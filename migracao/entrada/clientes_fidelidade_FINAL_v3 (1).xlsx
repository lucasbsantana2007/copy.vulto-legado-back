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edro\insper-jr\3a entrega\code\copy.vulto-legado-back\migracao\entrada\"/>
    </mc:Choice>
  </mc:AlternateContent>
  <xr:revisionPtr revIDLastSave="0" documentId="13_ncr:1_{3C59B020-77A5-482A-8EED-1FD8A56BF5D2}" xr6:coauthVersionLast="47" xr6:coauthVersionMax="47" xr10:uidLastSave="{00000000-0000-0000-0000-000000000000}"/>
  <bookViews>
    <workbookView xWindow="2580" yWindow="2580" windowWidth="17280" windowHeight="9960" xr2:uid="{00000000-000D-0000-FFFF-FFFF00000000}"/>
  </bookViews>
  <sheets>
    <sheet name="Relatório de Mudanças" sheetId="10" r:id="rId1"/>
    <sheet name="Clientes" sheetId="1" r:id="rId2"/>
    <sheet name="Resgates" sheetId="3" r:id="rId3"/>
    <sheet name="Pendências" sheetId="8" r:id="rId4"/>
    <sheet name="Regras e Parâmetros" sheetId="5" r:id="rId5"/>
    <sheet name="Varredura (automação)" sheetId="11" r:id="rId6"/>
  </sheets>
  <definedNames>
    <definedName name="_xlnm._FilterDatabase" localSheetId="1" hidden="1">Clientes!$A$1:$L$2396</definedName>
    <definedName name="_xlnm._FilterDatabase" localSheetId="2" hidden="1">Resgates!$A$1:$K$597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8" l="1"/>
  <c r="R34" i="8"/>
  <c r="S34" i="8"/>
  <c r="T34" i="8"/>
  <c r="U34" i="8"/>
  <c r="R35" i="8"/>
  <c r="S35" i="8"/>
  <c r="T35" i="8"/>
  <c r="U35" i="8"/>
  <c r="R36" i="8"/>
  <c r="S36" i="8"/>
  <c r="T36" i="8"/>
  <c r="U36" i="8"/>
  <c r="R37" i="8"/>
  <c r="S37" i="8"/>
  <c r="T37" i="8"/>
  <c r="U37" i="8"/>
  <c r="R38" i="8"/>
  <c r="S38" i="8"/>
  <c r="T38" i="8"/>
  <c r="U38" i="8"/>
  <c r="R39" i="8"/>
  <c r="S39" i="8"/>
  <c r="T39" i="8"/>
  <c r="U39" i="8"/>
  <c r="R40" i="8"/>
  <c r="S40" i="8"/>
  <c r="T40" i="8"/>
  <c r="U40" i="8"/>
  <c r="R41" i="8"/>
  <c r="S41" i="8"/>
  <c r="T41" i="8"/>
  <c r="U41" i="8"/>
  <c r="R42" i="8"/>
  <c r="S42" i="8"/>
  <c r="T42" i="8"/>
  <c r="U42" i="8"/>
  <c r="R43" i="8"/>
  <c r="S43" i="8"/>
  <c r="T43" i="8"/>
  <c r="U43" i="8"/>
  <c r="R44" i="8"/>
  <c r="S44" i="8"/>
  <c r="T44" i="8"/>
  <c r="U44" i="8"/>
  <c r="R45" i="8"/>
  <c r="S45" i="8"/>
  <c r="T45" i="8"/>
  <c r="U45" i="8"/>
  <c r="Q19" i="8" a="1"/>
  <c r="R11" i="8"/>
  <c r="R12" i="8"/>
  <c r="R13" i="8"/>
  <c r="R14" i="8"/>
  <c r="R10" i="8"/>
  <c r="R15" i="8" s="1"/>
  <c r="L4" i="8"/>
  <c r="L5" i="8"/>
  <c r="H55" i="8" a="1"/>
  <c r="H56" i="8" a="1"/>
  <c r="H57" i="8" a="1"/>
  <c r="H58" i="8" a="1"/>
  <c r="H59" i="8" a="1"/>
  <c r="H60" i="8" a="1"/>
  <c r="H61" i="8" a="1"/>
  <c r="H62" i="8" a="1"/>
  <c r="H63" i="8" a="1"/>
  <c r="H64" i="8" a="1"/>
  <c r="H65" i="8" a="1"/>
  <c r="H66" i="8" a="1"/>
  <c r="H67" i="8" a="1"/>
  <c r="H68" i="8" a="1"/>
  <c r="H69" i="8" a="1"/>
  <c r="H70" i="8" a="1"/>
  <c r="H71" i="8" a="1"/>
  <c r="H72" i="8" a="1"/>
  <c r="H73" i="8" a="1"/>
  <c r="H74" i="8" a="1"/>
  <c r="H75" i="8" a="1"/>
  <c r="H76" i="8" a="1"/>
  <c r="H77" i="8" a="1"/>
  <c r="H78" i="8" a="1"/>
  <c r="H79" i="8" a="1"/>
  <c r="H80" i="8" a="1"/>
  <c r="H81" i="8" a="1"/>
  <c r="H82" i="8" a="1"/>
  <c r="H83" i="8" a="1"/>
  <c r="H84" i="8" a="1"/>
  <c r="H85" i="8" a="1"/>
  <c r="H86" i="8" a="1"/>
  <c r="H87" i="8" a="1"/>
  <c r="H88" i="8" a="1"/>
  <c r="H89" i="8" a="1"/>
  <c r="H90" i="8" a="1"/>
  <c r="H91" i="8" a="1"/>
  <c r="H92" i="8" a="1"/>
  <c r="H93" i="8" a="1"/>
  <c r="H94" i="8" a="1"/>
  <c r="H95" i="8" a="1"/>
  <c r="H96" i="8" a="1"/>
  <c r="H97" i="8" a="1"/>
  <c r="H98" i="8" a="1"/>
  <c r="H99" i="8" a="1"/>
  <c r="H100" i="8" a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2" i="3"/>
  <c r="A10" i="8" s="1" a="1"/>
  <c r="F2" i="3"/>
  <c r="G2" i="3" s="1"/>
  <c r="I2165" i="1"/>
  <c r="I1618" i="1"/>
  <c r="I51" i="1"/>
  <c r="I2062" i="1"/>
  <c r="I1545" i="1"/>
  <c r="I2012" i="1"/>
  <c r="I437" i="1"/>
  <c r="I924" i="1"/>
  <c r="I2093" i="1"/>
  <c r="I1147" i="1"/>
  <c r="I545" i="1"/>
  <c r="I776" i="1"/>
  <c r="I555" i="1"/>
  <c r="I723" i="1"/>
  <c r="I662" i="1"/>
  <c r="I1859" i="1"/>
  <c r="I853" i="1"/>
  <c r="I1806" i="1"/>
  <c r="I1141" i="1"/>
  <c r="I1765" i="1"/>
  <c r="I1251" i="1"/>
  <c r="I34" i="1"/>
  <c r="I68" i="1"/>
  <c r="I1939" i="1"/>
  <c r="I571" i="1"/>
  <c r="I104" i="1"/>
  <c r="I2368" i="1"/>
  <c r="I1498" i="1"/>
  <c r="I93" i="1"/>
  <c r="I960" i="1"/>
  <c r="I1515" i="1"/>
  <c r="I1274" i="1"/>
  <c r="I986" i="1"/>
  <c r="I1216" i="1"/>
  <c r="I1975" i="1"/>
  <c r="I551" i="1"/>
  <c r="I96" i="1"/>
  <c r="I1160" i="1"/>
  <c r="I71" i="1"/>
  <c r="I1007" i="1"/>
  <c r="I951" i="1"/>
  <c r="I567" i="1"/>
  <c r="I708" i="1"/>
  <c r="I61" i="1"/>
  <c r="I1957" i="1"/>
  <c r="I1199" i="1"/>
  <c r="I846" i="1"/>
  <c r="I777" i="1"/>
  <c r="I329" i="1"/>
  <c r="I2265" i="1"/>
  <c r="I1779" i="1"/>
  <c r="I2244" i="1"/>
  <c r="I1900" i="1"/>
  <c r="I1453" i="1"/>
  <c r="I866" i="1"/>
  <c r="I933" i="1"/>
  <c r="I829" i="1"/>
  <c r="I217" i="1"/>
  <c r="I1991" i="1"/>
  <c r="I495" i="1"/>
  <c r="I1557" i="1"/>
  <c r="I1393" i="1"/>
  <c r="I2185" i="1"/>
  <c r="I2371" i="1"/>
  <c r="I1816" i="1"/>
  <c r="I710" i="1"/>
  <c r="I2046" i="1"/>
  <c r="I415" i="1"/>
  <c r="I1450" i="1"/>
  <c r="I1304" i="1"/>
  <c r="I1652" i="1"/>
  <c r="I1285" i="1"/>
  <c r="I314" i="1"/>
  <c r="I416" i="1"/>
  <c r="I1944" i="1"/>
  <c r="I716" i="1"/>
  <c r="I667" i="1"/>
  <c r="I425" i="1"/>
  <c r="I537" i="1"/>
  <c r="I2221" i="1"/>
  <c r="I1669" i="1"/>
  <c r="I1196" i="1"/>
  <c r="I236" i="1"/>
  <c r="I942" i="1"/>
  <c r="I666" i="1"/>
  <c r="I827" i="1"/>
  <c r="I490" i="1"/>
  <c r="I1232" i="1"/>
  <c r="I1093" i="1"/>
  <c r="I1209" i="1"/>
  <c r="I1668" i="1"/>
  <c r="I1282" i="1"/>
  <c r="I1485" i="1"/>
  <c r="I692" i="1"/>
  <c r="I1943" i="1"/>
  <c r="I424" i="1"/>
  <c r="I1937" i="1"/>
  <c r="I2056" i="1"/>
  <c r="I94" i="1"/>
  <c r="I497" i="1"/>
  <c r="I997" i="1"/>
  <c r="I2141" i="1"/>
  <c r="I1963" i="1"/>
  <c r="I1441" i="1"/>
  <c r="I292" i="1"/>
  <c r="I2089" i="1"/>
  <c r="I2090" i="1"/>
  <c r="I1165" i="1"/>
  <c r="I1351" i="1"/>
  <c r="I1374" i="1"/>
  <c r="I800" i="1"/>
  <c r="I1909" i="1"/>
  <c r="I376" i="1"/>
  <c r="I1847" i="1"/>
  <c r="I552" i="1"/>
  <c r="I2097" i="1"/>
  <c r="I919" i="1"/>
  <c r="I1589" i="1"/>
  <c r="I1700" i="1"/>
  <c r="I2318" i="1"/>
  <c r="I1828" i="1"/>
  <c r="I2197" i="1"/>
  <c r="I41" i="1"/>
  <c r="I917" i="1"/>
  <c r="I174" i="1"/>
  <c r="I1383" i="1"/>
  <c r="I1759" i="1"/>
  <c r="I1229" i="1"/>
  <c r="I2392" i="1"/>
  <c r="I1650" i="1"/>
  <c r="I1166" i="1"/>
  <c r="I1829" i="1"/>
  <c r="I1930" i="1"/>
  <c r="I263" i="1"/>
  <c r="I532" i="1"/>
  <c r="I2127" i="1"/>
  <c r="I500" i="1"/>
  <c r="I1501" i="1"/>
  <c r="I682" i="1"/>
  <c r="I1843" i="1"/>
  <c r="I112" i="1"/>
  <c r="I840" i="1"/>
  <c r="I1707" i="1"/>
  <c r="I1384" i="1"/>
  <c r="I491" i="1"/>
  <c r="I1315" i="1"/>
  <c r="I1278" i="1"/>
  <c r="I1616" i="1"/>
  <c r="I890" i="1"/>
  <c r="I1857" i="1"/>
  <c r="I2058" i="1"/>
  <c r="I464" i="1"/>
  <c r="I774" i="1"/>
  <c r="I42" i="1"/>
  <c r="I1947" i="1"/>
  <c r="I1408" i="1"/>
  <c r="I1262" i="1"/>
  <c r="I2396" i="1"/>
  <c r="I1593" i="1"/>
  <c r="I2115" i="1"/>
  <c r="I330" i="1"/>
  <c r="I1051" i="1"/>
  <c r="I1509" i="1"/>
  <c r="I2118" i="1"/>
  <c r="I685" i="1"/>
  <c r="I1335" i="1"/>
  <c r="I219" i="1"/>
  <c r="I428" i="1"/>
  <c r="I2069" i="1"/>
  <c r="I1982" i="1"/>
  <c r="I2285" i="1"/>
  <c r="I1592" i="1"/>
  <c r="I1300" i="1"/>
  <c r="I66" i="1"/>
  <c r="I2315" i="1"/>
  <c r="I1566" i="1"/>
  <c r="I2333" i="1"/>
  <c r="I2267" i="1"/>
  <c r="I1076" i="1"/>
  <c r="I725" i="1"/>
  <c r="I1639" i="1"/>
  <c r="I1686" i="1"/>
  <c r="I2271" i="1"/>
  <c r="I1312" i="1"/>
  <c r="I9" i="1"/>
  <c r="I1289" i="1"/>
  <c r="I610" i="1"/>
  <c r="I1479" i="1"/>
  <c r="I1807" i="1"/>
  <c r="I1144" i="1"/>
  <c r="I1193" i="1"/>
  <c r="I76" i="1"/>
  <c r="I2184" i="1"/>
  <c r="I1719" i="1"/>
  <c r="I2161" i="1"/>
  <c r="I2308" i="1"/>
  <c r="I1826" i="1"/>
  <c r="I143" i="1"/>
  <c r="I891" i="1"/>
  <c r="I1392" i="1"/>
  <c r="I674" i="1"/>
  <c r="I1906" i="1"/>
  <c r="I1349" i="1"/>
  <c r="I683" i="1"/>
  <c r="I1758" i="1"/>
  <c r="I87" i="1"/>
  <c r="I1111" i="1"/>
  <c r="I1426" i="1"/>
  <c r="I431" i="1"/>
  <c r="I920" i="1"/>
  <c r="I349" i="1"/>
  <c r="I2193" i="1"/>
  <c r="I503" i="1"/>
  <c r="I89" i="1"/>
  <c r="I1238" i="1"/>
  <c r="I2253" i="1"/>
  <c r="I492" i="1"/>
  <c r="I1036" i="1"/>
  <c r="I1786" i="1"/>
  <c r="I526" i="1"/>
  <c r="I861" i="1"/>
  <c r="I2367" i="1"/>
  <c r="I147" i="1"/>
  <c r="I1302" i="1"/>
  <c r="I652" i="1"/>
  <c r="I2109" i="1"/>
  <c r="I44" i="1"/>
  <c r="I839" i="1"/>
  <c r="I728" i="1"/>
  <c r="I469" i="1"/>
  <c r="I791" i="1"/>
  <c r="I401" i="1"/>
  <c r="I1541" i="1"/>
  <c r="I1699" i="1"/>
  <c r="I1098" i="1"/>
  <c r="I2123" i="1"/>
  <c r="I1599" i="1"/>
  <c r="I1787" i="1"/>
  <c r="I1955" i="1"/>
  <c r="I1190" i="1"/>
  <c r="I72" i="1"/>
  <c r="I1206" i="1"/>
  <c r="I95" i="1"/>
  <c r="I1637" i="1"/>
  <c r="I689" i="1"/>
  <c r="I496" i="1"/>
  <c r="I2037" i="1"/>
  <c r="I973" i="1"/>
  <c r="I1008" i="1"/>
  <c r="I668" i="1"/>
  <c r="I1433" i="1"/>
  <c r="I1011" i="1"/>
  <c r="I1549" i="1"/>
  <c r="I2075" i="1"/>
  <c r="I2363" i="1"/>
  <c r="I1454" i="1"/>
  <c r="I1043" i="1"/>
  <c r="I1069" i="1"/>
  <c r="I1101" i="1"/>
  <c r="I421" i="1"/>
  <c r="I1812" i="1"/>
  <c r="I945" i="1"/>
  <c r="I2356" i="1"/>
  <c r="I1328" i="1"/>
  <c r="I179" i="1"/>
  <c r="I1844" i="1"/>
  <c r="I126" i="1"/>
  <c r="I2272" i="1"/>
  <c r="I1848" i="1"/>
  <c r="I2035" i="1"/>
  <c r="I144" i="1"/>
  <c r="I2210" i="1"/>
  <c r="I2" i="1"/>
  <c r="I1953" i="1"/>
  <c r="I1858" i="1"/>
  <c r="I1524" i="1"/>
  <c r="I577" i="1"/>
  <c r="I1080" i="1"/>
  <c r="I1310" i="1"/>
  <c r="I602" i="1"/>
  <c r="I529" i="1"/>
  <c r="I1500" i="1"/>
  <c r="I1491" i="1"/>
  <c r="I1163" i="1"/>
  <c r="I1381" i="1"/>
  <c r="I2143" i="1"/>
  <c r="I886" i="1"/>
  <c r="I2278" i="1"/>
  <c r="I995" i="1"/>
  <c r="I862" i="1"/>
  <c r="I1911" i="1"/>
  <c r="I1145" i="1"/>
  <c r="I2246" i="1"/>
  <c r="I1277" i="1"/>
  <c r="I1543" i="1"/>
  <c r="I119" i="1"/>
  <c r="I921" i="1"/>
  <c r="I1372" i="1"/>
  <c r="I2321" i="1"/>
  <c r="I389" i="1"/>
  <c r="I653" i="1"/>
  <c r="I2053" i="1"/>
  <c r="I1794" i="1"/>
  <c r="I1569" i="1"/>
  <c r="I2017" i="1"/>
  <c r="I1180" i="1"/>
  <c r="I36" i="1"/>
  <c r="I1435" i="1"/>
  <c r="I1432" i="1"/>
  <c r="I1338" i="1"/>
  <c r="I1972" i="1"/>
  <c r="I1885" i="1"/>
  <c r="I814" i="1"/>
  <c r="I13" i="1"/>
  <c r="I1825" i="1"/>
  <c r="I1132" i="1"/>
  <c r="I2071" i="1"/>
  <c r="I228" i="1"/>
  <c r="I110" i="1"/>
  <c r="I35" i="1"/>
  <c r="I1194" i="1"/>
  <c r="I47" i="1"/>
  <c r="I214" i="1"/>
  <c r="I2065" i="1"/>
  <c r="I947" i="1"/>
  <c r="I1676" i="1"/>
  <c r="I858" i="1"/>
  <c r="I1336" i="1"/>
  <c r="I1979" i="1"/>
  <c r="I2148" i="1"/>
  <c r="I189" i="1"/>
  <c r="I1006" i="1"/>
  <c r="I1861" i="1"/>
  <c r="I2018" i="1"/>
  <c r="I1520" i="1"/>
  <c r="I773" i="1"/>
  <c r="I1715" i="1"/>
  <c r="I863" i="1"/>
  <c r="I91" i="1"/>
  <c r="I1142" i="1"/>
  <c r="I1654" i="1"/>
  <c r="I2169" i="1"/>
  <c r="I1767" i="1"/>
  <c r="I823" i="1"/>
  <c r="I1682" i="1"/>
  <c r="I819" i="1"/>
  <c r="I1980" i="1"/>
  <c r="I440" i="1"/>
  <c r="I1542" i="1"/>
  <c r="I1368" i="1"/>
  <c r="I1463" i="1"/>
  <c r="I655" i="1"/>
  <c r="I2249" i="1"/>
  <c r="I641" i="1"/>
  <c r="I1798" i="1"/>
  <c r="I2134" i="1"/>
  <c r="I1332" i="1"/>
  <c r="I1005" i="1"/>
  <c r="I1243" i="1"/>
  <c r="I1502" i="1"/>
  <c r="I2064" i="1"/>
  <c r="I2032" i="1"/>
  <c r="I1508" i="1"/>
  <c r="I753" i="1"/>
  <c r="I1461" i="1"/>
  <c r="I1134" i="1"/>
  <c r="I1695" i="1"/>
  <c r="I129" i="1"/>
  <c r="I743" i="1"/>
  <c r="I517" i="1"/>
  <c r="I118" i="1"/>
  <c r="I813" i="1"/>
  <c r="I818" i="1"/>
  <c r="I1702" i="1"/>
  <c r="I1234" i="1"/>
  <c r="I1442" i="1"/>
  <c r="I320" i="1"/>
  <c r="I1992" i="1"/>
  <c r="I353" i="1"/>
  <c r="I1054" i="1"/>
  <c r="I1109" i="1"/>
  <c r="I2026" i="1"/>
  <c r="I227" i="1"/>
  <c r="I2293" i="1"/>
  <c r="I590" i="1"/>
  <c r="I449" i="1"/>
  <c r="I2381" i="1"/>
  <c r="I1999" i="1"/>
  <c r="I1440" i="1"/>
  <c r="I1170" i="1"/>
  <c r="I78" i="1"/>
  <c r="I2078" i="1"/>
  <c r="I1263" i="1"/>
  <c r="I1088" i="1"/>
  <c r="I1295" i="1"/>
  <c r="I233" i="1"/>
  <c r="I1802" i="1"/>
  <c r="I1925" i="1"/>
  <c r="I162" i="1"/>
  <c r="I1830" i="1"/>
  <c r="I2076" i="1"/>
  <c r="I2154" i="1"/>
  <c r="I2354" i="1"/>
  <c r="I2301" i="1"/>
  <c r="I1299" i="1"/>
  <c r="I1922" i="1"/>
  <c r="I482" i="1"/>
  <c r="I302" i="1"/>
  <c r="I1558" i="1"/>
  <c r="I484" i="1"/>
  <c r="I1195" i="1"/>
  <c r="I1841" i="1"/>
  <c r="I501" i="1"/>
  <c r="I1512" i="1"/>
  <c r="I771" i="1"/>
  <c r="I934" i="1"/>
  <c r="I733" i="1"/>
  <c r="I2001" i="1"/>
  <c r="I1050" i="1"/>
  <c r="I2273" i="1"/>
  <c r="I1221" i="1"/>
  <c r="I1396" i="1"/>
  <c r="I125" i="1"/>
  <c r="I1862" i="1"/>
  <c r="I775" i="1"/>
  <c r="I794" i="1"/>
  <c r="I2226" i="1"/>
  <c r="I2394" i="1"/>
  <c r="I600" i="1"/>
  <c r="I1497" i="1"/>
  <c r="I1259" i="1"/>
  <c r="I1181" i="1"/>
  <c r="I2179" i="1"/>
  <c r="I669" i="1"/>
  <c r="I1066" i="1"/>
  <c r="I1528" i="1"/>
  <c r="I1087" i="1"/>
  <c r="I1560" i="1"/>
  <c r="I898" i="1"/>
  <c r="I17" i="1"/>
  <c r="I714" i="1"/>
  <c r="I2194" i="1"/>
  <c r="I1708" i="1"/>
  <c r="I2251" i="1"/>
  <c r="I1355" i="1"/>
  <c r="I732" i="1"/>
  <c r="I1350" i="1"/>
  <c r="I1917" i="1"/>
  <c r="I1948" i="1"/>
  <c r="I73" i="1"/>
  <c r="I2353" i="1"/>
  <c r="I232" i="1"/>
  <c r="I1662" i="1"/>
  <c r="I1711" i="1"/>
  <c r="I779" i="1"/>
  <c r="I1813" i="1"/>
  <c r="I2338" i="1"/>
  <c r="I2068" i="1"/>
  <c r="I1389" i="1"/>
  <c r="I2113" i="1"/>
  <c r="I1213" i="1"/>
  <c r="I238" i="1"/>
  <c r="I241" i="1"/>
  <c r="I248" i="1"/>
  <c r="I253" i="1"/>
  <c r="I970" i="1"/>
  <c r="I1027" i="1"/>
  <c r="I1745" i="1"/>
  <c r="I1987" i="1"/>
  <c r="I2129" i="1"/>
  <c r="I748" i="1"/>
  <c r="I792" i="1"/>
  <c r="I1464" i="1"/>
  <c r="I2329" i="1"/>
  <c r="I956" i="1"/>
  <c r="I2240" i="1"/>
  <c r="I383" i="1"/>
  <c r="I2304" i="1"/>
  <c r="I735" i="1"/>
  <c r="I1851" i="1"/>
  <c r="I407" i="1"/>
  <c r="I1934" i="1"/>
  <c r="I289" i="1"/>
  <c r="I324" i="1"/>
  <c r="I1746" i="1"/>
  <c r="I1401" i="1"/>
  <c r="I1675" i="1"/>
  <c r="I28" i="1"/>
  <c r="I244" i="1"/>
  <c r="I487" i="1"/>
  <c r="I2389" i="1"/>
  <c r="I740" i="1"/>
  <c r="I399" i="1"/>
  <c r="I627" i="1"/>
  <c r="I1606" i="1"/>
  <c r="I1183" i="1"/>
  <c r="I403" i="1"/>
  <c r="I1204" i="1"/>
  <c r="I2209" i="1"/>
  <c r="I2088" i="1"/>
  <c r="I538" i="1"/>
  <c r="I525" i="1"/>
  <c r="I1448" i="1"/>
  <c r="I1465" i="1"/>
  <c r="I650" i="1"/>
  <c r="I374" i="1"/>
  <c r="I1334" i="1"/>
  <c r="I2019" i="1"/>
  <c r="I210" i="1"/>
  <c r="I360" i="1"/>
  <c r="I2000" i="1"/>
  <c r="I611" i="1"/>
  <c r="I1063" i="1"/>
  <c r="I142" i="1"/>
  <c r="I1736" i="1"/>
  <c r="I2009" i="1"/>
  <c r="I1004" i="1"/>
  <c r="I167" i="1"/>
  <c r="I168" i="1"/>
  <c r="I434" i="1"/>
  <c r="I1013" i="1"/>
  <c r="I218" i="1"/>
  <c r="I1191" i="1"/>
  <c r="I2120" i="1"/>
  <c r="I1473" i="1"/>
  <c r="I1152" i="1"/>
  <c r="I965" i="1"/>
  <c r="I1586" i="1"/>
  <c r="I1649" i="1"/>
  <c r="I1703" i="1"/>
  <c r="I439" i="1"/>
  <c r="I547" i="1"/>
  <c r="I271" i="1"/>
  <c r="I1210" i="1"/>
  <c r="I1157" i="1"/>
  <c r="I2033" i="1"/>
  <c r="I1846" i="1"/>
  <c r="I889" i="1"/>
  <c r="I766" i="1"/>
  <c r="I981" i="1"/>
  <c r="I2104" i="1"/>
  <c r="I31" i="1"/>
  <c r="I85" i="1"/>
  <c r="I2045" i="1"/>
  <c r="I1074" i="1"/>
  <c r="I1740" i="1"/>
  <c r="I824" i="1"/>
  <c r="I989" i="1"/>
  <c r="I1123" i="1"/>
  <c r="I149" i="1"/>
  <c r="I211" i="1"/>
  <c r="I2369" i="1"/>
  <c r="I1731" i="1"/>
  <c r="I2136" i="1"/>
  <c r="I1604" i="1"/>
  <c r="I1641" i="1"/>
  <c r="I2260" i="1"/>
  <c r="I2172" i="1"/>
  <c r="I962" i="1"/>
  <c r="I657" i="1"/>
  <c r="I1685" i="1"/>
  <c r="I2059" i="1"/>
  <c r="I183" i="1"/>
  <c r="I1222" i="1"/>
  <c r="I2135" i="1"/>
  <c r="I336" i="1"/>
  <c r="I2137" i="1"/>
  <c r="I332" i="1"/>
  <c r="I1070" i="1"/>
  <c r="I1997" i="1"/>
  <c r="I749" i="1"/>
  <c r="I1534" i="1"/>
  <c r="I1344" i="1"/>
  <c r="I659" i="1"/>
  <c r="I2238" i="1"/>
  <c r="I1391" i="1"/>
  <c r="I1115" i="1"/>
  <c r="I2219" i="1"/>
  <c r="I1723" i="1"/>
  <c r="I1267" i="1"/>
  <c r="I896" i="1"/>
  <c r="I1439" i="1"/>
  <c r="I504" i="1"/>
  <c r="I1192" i="1"/>
  <c r="I509" i="1"/>
  <c r="I377" i="1"/>
  <c r="I1492" i="1"/>
  <c r="I1687" i="1"/>
  <c r="I2355" i="1"/>
  <c r="I2151" i="1"/>
  <c r="I1484" i="1"/>
  <c r="I1547" i="1"/>
  <c r="I1664" i="1"/>
  <c r="I194" i="1"/>
  <c r="I1493" i="1"/>
  <c r="I486" i="1"/>
  <c r="I267" i="1"/>
  <c r="I363" i="1"/>
  <c r="I2183" i="1"/>
  <c r="I1961" i="1"/>
  <c r="I1237" i="1"/>
  <c r="I1405" i="1"/>
  <c r="I1108" i="1"/>
  <c r="I738" i="1"/>
  <c r="I311" i="1"/>
  <c r="I191" i="1"/>
  <c r="I2257" i="1"/>
  <c r="I2067" i="1"/>
  <c r="I978" i="1"/>
  <c r="I2362" i="1"/>
  <c r="I1061" i="1"/>
  <c r="I899" i="1"/>
  <c r="I1062" i="1"/>
  <c r="I1275" i="1"/>
  <c r="I1110" i="1"/>
  <c r="I2072" i="1"/>
  <c r="I2296" i="1"/>
  <c r="I1896" i="1"/>
  <c r="I337" i="1"/>
  <c r="I1583" i="1"/>
  <c r="I544" i="1"/>
  <c r="I208" i="1"/>
  <c r="I944" i="1"/>
  <c r="I2057" i="1"/>
  <c r="I2340" i="1"/>
  <c r="I1877" i="1"/>
  <c r="I634" i="1"/>
  <c r="I2335" i="1"/>
  <c r="I982" i="1"/>
  <c r="I887" i="1"/>
  <c r="I677" i="1"/>
  <c r="I1875" i="1"/>
  <c r="I1836" i="1"/>
  <c r="I907" i="1"/>
  <c r="I1016" i="1"/>
  <c r="I2284" i="1"/>
  <c r="I1224" i="1"/>
  <c r="I2339" i="1"/>
  <c r="I1774" i="1"/>
  <c r="I357" i="1"/>
  <c r="I346" i="1"/>
  <c r="I1704" i="1"/>
  <c r="I595" i="1"/>
  <c r="I2214" i="1"/>
  <c r="I521" i="1"/>
  <c r="I1505" i="1"/>
  <c r="I2255" i="1"/>
  <c r="I1033" i="1"/>
  <c r="I1993" i="1"/>
  <c r="I954" i="1"/>
  <c r="I2345" i="1"/>
  <c r="I1297" i="1"/>
  <c r="I646" i="1"/>
  <c r="I939" i="1"/>
  <c r="I1462" i="1"/>
  <c r="I1124" i="1"/>
  <c r="I26" i="1"/>
  <c r="I1744" i="1"/>
  <c r="I1427" i="1"/>
  <c r="I1628" i="1"/>
  <c r="I1330" i="1"/>
  <c r="I1361" i="1"/>
  <c r="I40" i="1"/>
  <c r="I1803" i="1"/>
  <c r="I1323" i="1"/>
  <c r="I494" i="1"/>
  <c r="I1158" i="1"/>
  <c r="I1734" i="1"/>
  <c r="I1954" i="1"/>
  <c r="I2016" i="1"/>
  <c r="I158" i="1"/>
  <c r="I1458" i="1"/>
  <c r="I1626" i="1"/>
  <c r="I12" i="1"/>
  <c r="I1219" i="1"/>
  <c r="I1788" i="1"/>
  <c r="I338" i="1"/>
  <c r="I1503" i="1"/>
  <c r="I589" i="1"/>
  <c r="I350" i="1"/>
  <c r="I619" i="1"/>
  <c r="I1037" i="1"/>
  <c r="I826" i="1"/>
  <c r="I159" i="1"/>
  <c r="I1645" i="1"/>
  <c r="I160" i="1"/>
  <c r="I1212" i="1"/>
  <c r="I322" i="1"/>
  <c r="I2208" i="1"/>
  <c r="I1998" i="1"/>
  <c r="I2133" i="1"/>
  <c r="I620" i="1"/>
  <c r="I92" i="1"/>
  <c r="I1019" i="1"/>
  <c r="I345" i="1"/>
  <c r="I433" i="1"/>
  <c r="I1082" i="1"/>
  <c r="I1126" i="1"/>
  <c r="I177" i="1"/>
  <c r="I1265" i="1"/>
  <c r="I1217" i="1"/>
  <c r="I301" i="1"/>
  <c r="I1683" i="1"/>
  <c r="I2023" i="1"/>
  <c r="I1423" i="1"/>
  <c r="I1790" i="1"/>
  <c r="I185" i="1"/>
  <c r="I985" i="1"/>
  <c r="I426" i="1"/>
  <c r="I367" i="1"/>
  <c r="I98" i="1"/>
  <c r="I1164" i="1"/>
  <c r="I1301" i="1"/>
  <c r="I948" i="1"/>
  <c r="I1762" i="1"/>
  <c r="I3" i="1"/>
  <c r="I1681" i="1"/>
  <c r="I1671" i="1"/>
  <c r="I277" i="1"/>
  <c r="I56" i="1"/>
  <c r="I1317" i="1"/>
  <c r="I1419" i="1"/>
  <c r="I711" i="1"/>
  <c r="I2156" i="1"/>
  <c r="I2047" i="1"/>
  <c r="I1526" i="1"/>
  <c r="I1248" i="1"/>
  <c r="I2337" i="1"/>
  <c r="I2352" i="1"/>
  <c r="I656" i="1"/>
  <c r="I1079" i="1"/>
  <c r="I1945" i="1"/>
  <c r="I1889" i="1"/>
  <c r="I2314" i="1"/>
  <c r="I651" i="1"/>
  <c r="I315" i="1"/>
  <c r="I1058" i="1"/>
  <c r="I261" i="1"/>
  <c r="I2188" i="1"/>
  <c r="I224" i="1"/>
  <c r="I642" i="1"/>
  <c r="I2383" i="1"/>
  <c r="I696" i="1"/>
  <c r="I1021" i="1"/>
  <c r="I305" i="1"/>
  <c r="I200" i="1"/>
  <c r="I1411" i="1"/>
  <c r="I1481" i="1"/>
  <c r="I2195" i="1"/>
  <c r="I1320" i="1"/>
  <c r="I140" i="1"/>
  <c r="I1292" i="1"/>
  <c r="I1840" i="1"/>
  <c r="I2299" i="1"/>
  <c r="I243" i="1"/>
  <c r="I1697" i="1"/>
  <c r="I2229" i="1"/>
  <c r="I1060" i="1"/>
  <c r="I1620" i="1"/>
  <c r="I1113" i="1"/>
  <c r="I850" i="1"/>
  <c r="I1215" i="1"/>
  <c r="I1890" i="1"/>
  <c r="I901" i="1"/>
  <c r="I2379" i="1"/>
  <c r="I1831" i="1"/>
  <c r="I2199" i="1"/>
  <c r="I1159" i="1"/>
  <c r="I2393" i="1"/>
  <c r="I323" i="1"/>
  <c r="I1941" i="1"/>
  <c r="I2039" i="1"/>
  <c r="I2024" i="1"/>
  <c r="I2084" i="1"/>
  <c r="I1161" i="1"/>
  <c r="I155" i="1"/>
  <c r="I1449" i="1"/>
  <c r="I1077" i="1"/>
  <c r="I1151" i="1"/>
  <c r="I1437" i="1"/>
  <c r="I135" i="1"/>
  <c r="I184" i="1"/>
  <c r="I182" i="1"/>
  <c r="I1989" i="1"/>
  <c r="I816" i="1"/>
  <c r="I2343" i="1"/>
  <c r="I1240" i="1"/>
  <c r="I333" i="1"/>
  <c r="I1574" i="1"/>
  <c r="I617" i="1"/>
  <c r="I675" i="1"/>
  <c r="I1257" i="1"/>
  <c r="I2395" i="1"/>
  <c r="I940" i="1"/>
  <c r="I436" i="1"/>
  <c r="I935" i="1"/>
  <c r="I187" i="1"/>
  <c r="I1827" i="1"/>
  <c r="I1153" i="1"/>
  <c r="I1078" i="1"/>
  <c r="I959" i="1"/>
  <c r="I1097" i="1"/>
  <c r="I381" i="1"/>
  <c r="I281" i="1"/>
  <c r="I1978" i="1"/>
  <c r="I380" i="1"/>
  <c r="I103" i="1"/>
  <c r="I245" i="1"/>
  <c r="I761" i="1"/>
  <c r="I579" i="1"/>
  <c r="I582" i="1"/>
  <c r="I1665" i="1"/>
  <c r="I573" i="1"/>
  <c r="I1693" i="1"/>
  <c r="I1724" i="1"/>
  <c r="I2052" i="1"/>
  <c r="I316" i="1"/>
  <c r="I335" i="1"/>
  <c r="I1910" i="1"/>
  <c r="I979" i="1"/>
  <c r="I481" i="1"/>
  <c r="I169" i="1"/>
  <c r="I1085" i="1"/>
  <c r="I2044" i="1"/>
  <c r="I1778" i="1"/>
  <c r="I342" i="1"/>
  <c r="I780" i="1"/>
  <c r="I586" i="1"/>
  <c r="I720" i="1"/>
  <c r="I1139" i="1"/>
  <c r="I923" i="1"/>
  <c r="I2317" i="1"/>
  <c r="I1607" i="1"/>
  <c r="I432" i="1"/>
  <c r="I105" i="1"/>
  <c r="I2166" i="1"/>
  <c r="I768" i="1"/>
  <c r="I406" i="1"/>
  <c r="I2096" i="1"/>
  <c r="I876" i="1"/>
  <c r="I1781" i="1"/>
  <c r="I1960" i="1"/>
  <c r="I983" i="1"/>
  <c r="I2152" i="1"/>
  <c r="I318" i="1"/>
  <c r="I1496" i="1"/>
  <c r="I396" i="1"/>
  <c r="I1041" i="1"/>
  <c r="I2086" i="1"/>
  <c r="I1633" i="1"/>
  <c r="I1507" i="1"/>
  <c r="I2309" i="1"/>
  <c r="I1780" i="1"/>
  <c r="I225" i="1"/>
  <c r="I756" i="1"/>
  <c r="I1928" i="1"/>
  <c r="I283" i="1"/>
  <c r="I1845" i="1"/>
  <c r="I524" i="1"/>
  <c r="I260" i="1"/>
  <c r="I58" i="1"/>
  <c r="I1680" i="1"/>
  <c r="I356" i="1"/>
  <c r="I384" i="1"/>
  <c r="I2063" i="1"/>
  <c r="I1940" i="1"/>
  <c r="I1305" i="1"/>
  <c r="I864" i="1"/>
  <c r="I1162" i="1"/>
  <c r="I1146" i="1"/>
  <c r="I269" i="1"/>
  <c r="I1477" i="1"/>
  <c r="I1946" i="1"/>
  <c r="I325" i="1"/>
  <c r="I990" i="1"/>
  <c r="I166" i="1"/>
  <c r="I373" i="1"/>
  <c r="I398" i="1"/>
  <c r="I676" i="1"/>
  <c r="I591" i="1"/>
  <c r="I394" i="1"/>
  <c r="I2101" i="1"/>
  <c r="I2138" i="1"/>
  <c r="I916" i="1"/>
  <c r="I1415" i="1"/>
  <c r="I2220" i="1"/>
  <c r="I1918" i="1"/>
  <c r="I961" i="1"/>
  <c r="I60" i="1"/>
  <c r="I593" i="1"/>
  <c r="I285" i="1"/>
  <c r="I1218" i="1"/>
  <c r="I2302" i="1"/>
  <c r="I2082" i="1"/>
  <c r="I1674" i="1"/>
  <c r="I613" i="1"/>
  <c r="I18" i="1"/>
  <c r="I1466" i="1"/>
  <c r="I796" i="1"/>
  <c r="I2114" i="1"/>
  <c r="I1150" i="1"/>
  <c r="I1737" i="1"/>
  <c r="I1661" i="1"/>
  <c r="I1748" i="1"/>
  <c r="I1563" i="1"/>
  <c r="I1611" i="1"/>
  <c r="I1770" i="1"/>
  <c r="I1755" i="1"/>
  <c r="I1303" i="1"/>
  <c r="I412" i="1"/>
  <c r="I1375" i="1"/>
  <c r="I1092" i="1"/>
  <c r="I1722" i="1"/>
  <c r="I1653" i="1"/>
  <c r="I309" i="1"/>
  <c r="I1129" i="1"/>
  <c r="I992" i="1"/>
  <c r="I1863" i="1"/>
  <c r="I691" i="1"/>
  <c r="I707" i="1"/>
  <c r="I639" i="1"/>
  <c r="I1047" i="1"/>
  <c r="I1694" i="1"/>
  <c r="I106" i="1"/>
  <c r="I1712" i="1"/>
  <c r="I1622" i="1"/>
  <c r="I2205" i="1"/>
  <c r="I70" i="1"/>
  <c r="I1404" i="1"/>
  <c r="I448" i="1"/>
  <c r="I1590" i="1"/>
  <c r="I49" i="1"/>
  <c r="I303" i="1"/>
  <c r="I290" i="1"/>
  <c r="I701" i="1"/>
  <c r="I414" i="1"/>
  <c r="I1133" i="1"/>
  <c r="I1879" i="1"/>
  <c r="I2163" i="1"/>
  <c r="I1888" i="1"/>
  <c r="I2180" i="1"/>
  <c r="I2202" i="1"/>
  <c r="I1689" i="1"/>
  <c r="I417" i="1"/>
  <c r="I1472" i="1"/>
  <c r="I341" i="1"/>
  <c r="I1866" i="1"/>
  <c r="I1511" i="1"/>
  <c r="I764" i="1"/>
  <c r="I1342" i="1"/>
  <c r="I1621" i="1"/>
  <c r="I2080" i="1"/>
  <c r="I1976" i="1"/>
  <c r="I1942" i="1"/>
  <c r="I638" i="1"/>
  <c r="I2227" i="1"/>
  <c r="I1550" i="1"/>
  <c r="I2091" i="1"/>
  <c r="I1298" i="1"/>
  <c r="I2289" i="1"/>
  <c r="I592" i="1"/>
  <c r="I717" i="1"/>
  <c r="I1226" i="1"/>
  <c r="I564" i="1"/>
  <c r="I2359" i="1"/>
  <c r="I2094" i="1"/>
  <c r="I2038" i="1"/>
  <c r="I442" i="1"/>
  <c r="I1363" i="1"/>
  <c r="I1105" i="1"/>
  <c r="I1255" i="1"/>
  <c r="I1772" i="1"/>
  <c r="I1143" i="1"/>
  <c r="I2079" i="1"/>
  <c r="I911" i="1"/>
  <c r="I1631" i="1"/>
  <c r="I1319" i="1"/>
  <c r="I1874" i="1"/>
  <c r="I1513" i="1"/>
  <c r="I300" i="1"/>
  <c r="I1891" i="1"/>
  <c r="I1117" i="1"/>
  <c r="I1000" i="1"/>
  <c r="I2342" i="1"/>
  <c r="I1698" i="1"/>
  <c r="I101" i="1"/>
  <c r="I1083" i="1"/>
  <c r="I99" i="1"/>
  <c r="I1597" i="1"/>
  <c r="I1241" i="1"/>
  <c r="I173" i="1"/>
  <c r="I25" i="1"/>
  <c r="I1017" i="1"/>
  <c r="I362" i="1"/>
  <c r="I247" i="1"/>
  <c r="I2066" i="1"/>
  <c r="I2146" i="1"/>
  <c r="I1792" i="1"/>
  <c r="I1996" i="1"/>
  <c r="I2250" i="1"/>
  <c r="I2311" i="1"/>
  <c r="I1154" i="1"/>
  <c r="I1246" i="1"/>
  <c r="I2370" i="1"/>
  <c r="I830" i="1"/>
  <c r="I1174" i="1"/>
  <c r="I1306" i="1"/>
  <c r="I1824" i="1"/>
  <c r="I1495" i="1"/>
  <c r="I1459" i="1"/>
  <c r="I1044" i="1"/>
  <c r="I694" i="1"/>
  <c r="I722" i="1"/>
  <c r="I984" i="1"/>
  <c r="I910" i="1"/>
  <c r="I721" i="1"/>
  <c r="I1434" i="1"/>
  <c r="I1239" i="1"/>
  <c r="I1367" i="1"/>
  <c r="I255" i="1"/>
  <c r="I739" i="1"/>
  <c r="I1800" i="1"/>
  <c r="I127" i="1"/>
  <c r="I1915" i="1"/>
  <c r="I884" i="1"/>
  <c r="I37" i="1"/>
  <c r="I1130" i="1"/>
  <c r="I1749" i="1"/>
  <c r="I443" i="1"/>
  <c r="I533" i="1"/>
  <c r="I1820" i="1"/>
  <c r="I699" i="1"/>
  <c r="I1615" i="1"/>
  <c r="I614" i="1"/>
  <c r="I757" i="1"/>
  <c r="I1561" i="1"/>
  <c r="I927" i="1"/>
  <c r="I2173" i="1"/>
  <c r="I411" i="1"/>
  <c r="I180" i="1"/>
  <c r="I1430" i="1"/>
  <c r="I493" i="1"/>
  <c r="I1594" i="1"/>
  <c r="I2211" i="1"/>
  <c r="I2280" i="1"/>
  <c r="I2031" i="1"/>
  <c r="I88" i="1"/>
  <c r="I975" i="1"/>
  <c r="I2060" i="1"/>
  <c r="I1867" i="1"/>
  <c r="I2155" i="1"/>
  <c r="I821" i="1"/>
  <c r="I2334" i="1"/>
  <c r="I2203" i="1"/>
  <c r="I2149" i="1"/>
  <c r="I542" i="1"/>
  <c r="I1052" i="1"/>
  <c r="I637" i="1"/>
  <c r="I879" i="1"/>
  <c r="I1409" i="1"/>
  <c r="I1887" i="1"/>
  <c r="I822" i="1"/>
  <c r="I1873" i="1"/>
  <c r="I1529" i="1"/>
  <c r="I929" i="1"/>
  <c r="I2204" i="1"/>
  <c r="I352" i="1"/>
  <c r="I2225" i="1"/>
  <c r="I953" i="1"/>
  <c r="I1876" i="1"/>
  <c r="I1455" i="1"/>
  <c r="I513" i="1"/>
  <c r="I1860" i="1"/>
  <c r="I79" i="1"/>
  <c r="I1354" i="1"/>
  <c r="I1468" i="1"/>
  <c r="I854" i="1"/>
  <c r="I1814" i="1"/>
  <c r="I1901" i="1"/>
  <c r="I1012" i="1"/>
  <c r="I1467" i="1"/>
  <c r="I1852" i="1"/>
  <c r="I1506" i="1"/>
  <c r="I27" i="1"/>
  <c r="I514" i="1"/>
  <c r="I1926" i="1"/>
  <c r="I2234" i="1"/>
  <c r="I1230" i="1"/>
  <c r="I2139" i="1"/>
  <c r="I977" i="1"/>
  <c r="I1486" i="1"/>
  <c r="I2322" i="1"/>
  <c r="I897" i="1"/>
  <c r="I928" i="1"/>
  <c r="I1390" i="1"/>
  <c r="I505" i="1"/>
  <c r="I754" i="1"/>
  <c r="I1483" i="1"/>
  <c r="I1797" i="1"/>
  <c r="I712" i="1"/>
  <c r="I2105" i="1"/>
  <c r="I762" i="1"/>
  <c r="I1413" i="1"/>
  <c r="I1460" i="1"/>
  <c r="I2341" i="1"/>
  <c r="I618" i="1"/>
  <c r="I1914" i="1"/>
  <c r="I742" i="1"/>
  <c r="I2051" i="1"/>
  <c r="I729" i="1"/>
  <c r="I1709" i="1"/>
  <c r="I364" i="1"/>
  <c r="I1394" i="1"/>
  <c r="I751" i="1"/>
  <c r="I704" i="1"/>
  <c r="I249" i="1"/>
  <c r="I2025" i="1"/>
  <c r="I1531" i="1"/>
  <c r="I489" i="1"/>
  <c r="I198" i="1"/>
  <c r="I1516" i="1"/>
  <c r="I1613" i="1"/>
  <c r="I1469" i="1"/>
  <c r="I306" i="1"/>
  <c r="I967" i="1"/>
  <c r="I1973" i="1"/>
  <c r="I1140" i="1"/>
  <c r="I2218" i="1"/>
  <c r="I279" i="1"/>
  <c r="I1024" i="1"/>
  <c r="I2292" i="1"/>
  <c r="I286" i="1"/>
  <c r="I326" i="1"/>
  <c r="I1474" i="1"/>
  <c r="I474" i="1"/>
  <c r="I2100" i="1"/>
  <c r="I946" i="1"/>
  <c r="I1856" i="1"/>
  <c r="I273" i="1"/>
  <c r="I116" i="1"/>
  <c r="I969" i="1"/>
  <c r="I81" i="1"/>
  <c r="I1428" i="1"/>
  <c r="I1743" i="1"/>
  <c r="I1580" i="1"/>
  <c r="I2020" i="1"/>
  <c r="I681" i="1"/>
  <c r="I1965" i="1"/>
  <c r="I1818" i="1"/>
  <c r="I1533" i="1"/>
  <c r="I1155" i="1"/>
  <c r="I343" i="1"/>
  <c r="I837" i="1"/>
  <c r="I2324" i="1"/>
  <c r="I252" i="1"/>
  <c r="I660" i="1"/>
  <c r="I510" i="1"/>
  <c r="I1892" i="1"/>
  <c r="I204" i="1"/>
  <c r="I1451" i="1"/>
  <c r="I2130" i="1"/>
  <c r="I1233" i="1"/>
  <c r="I1056" i="1"/>
  <c r="I1838" i="1"/>
  <c r="I702" i="1"/>
  <c r="I410" i="1"/>
  <c r="I980" i="1"/>
  <c r="I635" i="1"/>
  <c r="I2380" i="1"/>
  <c r="I697" i="1"/>
  <c r="I566" i="1"/>
  <c r="I1325" i="1"/>
  <c r="I1713" i="1"/>
  <c r="I630" i="1"/>
  <c r="I1596" i="1"/>
  <c r="I195" i="1"/>
  <c r="I10" i="1"/>
  <c r="I769" i="1"/>
  <c r="I784" i="1"/>
  <c r="I2029" i="1"/>
  <c r="I1001" i="1"/>
  <c r="I138" i="1"/>
  <c r="I1329" i="1"/>
  <c r="I32" i="1"/>
  <c r="I950" i="1"/>
  <c r="I50" i="1"/>
  <c r="I240" i="1"/>
  <c r="I477" i="1"/>
  <c r="I999" i="1"/>
  <c r="I1912" i="1"/>
  <c r="I1638" i="1"/>
  <c r="I1701" i="1"/>
  <c r="I1521" i="1"/>
  <c r="I1339" i="1"/>
  <c r="I1296" i="1"/>
  <c r="I485" i="1"/>
  <c r="I1370" i="1"/>
  <c r="I1880" i="1"/>
  <c r="I856" i="1"/>
  <c r="I38" i="1"/>
  <c r="I1605" i="1"/>
  <c r="I2237" i="1"/>
  <c r="I54" i="1"/>
  <c r="I908" i="1"/>
  <c r="I1776" i="1"/>
  <c r="I226" i="1"/>
  <c r="I998" i="1"/>
  <c r="I2245" i="1"/>
  <c r="I1314" i="1"/>
  <c r="I313" i="1"/>
  <c r="I1040" i="1"/>
  <c r="I1228" i="1"/>
  <c r="I2390" i="1"/>
  <c r="I1730" i="1"/>
  <c r="I461" i="1"/>
  <c r="I1039" i="1"/>
  <c r="I811" i="1"/>
  <c r="I24" i="1"/>
  <c r="I156" i="1"/>
  <c r="I2158" i="1"/>
  <c r="I2307" i="1"/>
  <c r="I918" i="1"/>
  <c r="I511" i="1"/>
  <c r="I213" i="1"/>
  <c r="I1376" i="1"/>
  <c r="I2092" i="1"/>
  <c r="I1855" i="1"/>
  <c r="I19" i="1"/>
  <c r="I181" i="1"/>
  <c r="I1136" i="1"/>
  <c r="I2010" i="1"/>
  <c r="I1407" i="1"/>
  <c r="I20" i="1"/>
  <c r="I2157" i="1"/>
  <c r="I2042" i="1"/>
  <c r="I1284" i="1"/>
  <c r="I1431" i="1"/>
  <c r="I1034" i="1"/>
  <c r="I1696" i="1"/>
  <c r="I2357" i="1"/>
  <c r="I1395" i="1"/>
  <c r="I2207" i="1"/>
  <c r="I1612" i="1"/>
  <c r="I16" i="1"/>
  <c r="I30" i="1"/>
  <c r="I33" i="1"/>
  <c r="I1643" i="1"/>
  <c r="I86" i="1"/>
  <c r="I450" i="1"/>
  <c r="I1009" i="1"/>
  <c r="I446" i="1"/>
  <c r="I319" i="1"/>
  <c r="I1073" i="1"/>
  <c r="I375" i="1"/>
  <c r="I1554" i="1"/>
  <c r="I1107" i="1"/>
  <c r="I580" i="1"/>
  <c r="I1075" i="1"/>
  <c r="I2190" i="1"/>
  <c r="I282" i="1"/>
  <c r="I1247" i="1"/>
  <c r="I366" i="1"/>
  <c r="I121" i="1"/>
  <c r="I778" i="1"/>
  <c r="I527" i="1"/>
  <c r="I2264" i="1"/>
  <c r="I2279" i="1"/>
  <c r="I1587" i="1"/>
  <c r="I321" i="1"/>
  <c r="I1185" i="1"/>
  <c r="I535" i="1"/>
  <c r="I2347" i="1"/>
  <c r="I797" i="1"/>
  <c r="I304" i="1"/>
  <c r="I2201" i="1"/>
  <c r="I370" i="1"/>
  <c r="I859" i="1"/>
  <c r="I2305" i="1"/>
  <c r="I1032" i="1"/>
  <c r="I1921" i="1"/>
  <c r="I786" i="1"/>
  <c r="I459" i="1"/>
  <c r="I1988" i="1"/>
  <c r="I257" i="1"/>
  <c r="I170" i="1"/>
  <c r="I1096" i="1"/>
  <c r="I473" i="1"/>
  <c r="I2191" i="1"/>
  <c r="I686" i="1"/>
  <c r="I964" i="1"/>
  <c r="I1225" i="1"/>
  <c r="I1738" i="1"/>
  <c r="I2330" i="1"/>
  <c r="I1690" i="1"/>
  <c r="I172" i="1"/>
  <c r="I1171" i="1"/>
  <c r="I2247" i="1"/>
  <c r="I1022" i="1"/>
  <c r="I136" i="1"/>
  <c r="I146" i="1"/>
  <c r="I1400" i="1"/>
  <c r="I102" i="1"/>
  <c r="I1869" i="1"/>
  <c r="I453" i="1"/>
  <c r="I872" i="1"/>
  <c r="I2290" i="1"/>
  <c r="I1270" i="1"/>
  <c r="I1938" i="1"/>
  <c r="I880" i="1"/>
  <c r="I976" i="1"/>
  <c r="I2235" i="1"/>
  <c r="I565" i="1"/>
  <c r="I1530" i="1"/>
  <c r="I392" i="1"/>
  <c r="I1884" i="1"/>
  <c r="I2269" i="1"/>
  <c r="I397" i="1"/>
  <c r="I612" i="1"/>
  <c r="I2364" i="1"/>
  <c r="I1784" i="1"/>
  <c r="I831" i="1"/>
  <c r="I2275" i="1"/>
  <c r="I2274" i="1"/>
  <c r="I470" i="1"/>
  <c r="I67" i="1"/>
  <c r="I2070" i="1"/>
  <c r="I400" i="1"/>
  <c r="I1202" i="1"/>
  <c r="I799" i="1"/>
  <c r="I955" i="1"/>
  <c r="I1172" i="1"/>
  <c r="I1805" i="1"/>
  <c r="I1198" i="1"/>
  <c r="I892" i="1"/>
  <c r="I2213" i="1"/>
  <c r="I2297" i="1"/>
  <c r="I888" i="1"/>
  <c r="I1821" i="1"/>
  <c r="I825" i="1"/>
  <c r="I295" i="1"/>
  <c r="I1871" i="1"/>
  <c r="I758" i="1"/>
  <c r="I1020" i="1"/>
  <c r="I476" i="1"/>
  <c r="I2378" i="1"/>
  <c r="I1425" i="1"/>
  <c r="I48" i="1"/>
  <c r="I65" i="1"/>
  <c r="I2189" i="1"/>
  <c r="I727" i="1"/>
  <c r="I479" i="1"/>
  <c r="I836" i="1"/>
  <c r="I77" i="1"/>
  <c r="I1567" i="1"/>
  <c r="I1273" i="1"/>
  <c r="I216" i="1"/>
  <c r="I1288" i="1"/>
  <c r="I904" i="1"/>
  <c r="I251" i="1"/>
  <c r="I518" i="1"/>
  <c r="I2027" i="1"/>
  <c r="I1706" i="1"/>
  <c r="I594" i="1"/>
  <c r="I654" i="1"/>
  <c r="I893" i="1"/>
  <c r="I23" i="1"/>
  <c r="I930" i="1"/>
  <c r="I2319" i="1"/>
  <c r="I1804" i="1"/>
  <c r="I2147" i="1"/>
  <c r="I531" i="1"/>
  <c r="I1651" i="1"/>
  <c r="I1148" i="1"/>
  <c r="I1279" i="1"/>
  <c r="I1688" i="1"/>
  <c r="I810" i="1"/>
  <c r="I8" i="1"/>
  <c r="I2323" i="1"/>
  <c r="I2283" i="1"/>
  <c r="I287" i="1"/>
  <c r="I2360" i="1"/>
  <c r="I1904" i="1"/>
  <c r="I560" i="1"/>
  <c r="I288" i="1"/>
  <c r="I731" i="1"/>
  <c r="I874" i="1"/>
  <c r="I215" i="1"/>
  <c r="I161" i="1"/>
  <c r="I379" i="1"/>
  <c r="I1771" i="1"/>
  <c r="I1777" i="1"/>
  <c r="I765" i="1"/>
  <c r="I2384" i="1"/>
  <c r="I1254" i="1"/>
  <c r="I2291" i="1"/>
  <c r="I196" i="1"/>
  <c r="I1055" i="1"/>
  <c r="I455" i="1"/>
  <c r="I883" i="1"/>
  <c r="I2386" i="1"/>
  <c r="I2160" i="1"/>
  <c r="I1581" i="1"/>
  <c r="I463" i="1"/>
  <c r="I372" i="1"/>
  <c r="I2295" i="1"/>
  <c r="I632" i="1"/>
  <c r="I1775" i="1"/>
  <c r="I1903" i="1"/>
  <c r="I1065" i="1"/>
  <c r="I2176" i="1"/>
  <c r="I1264" i="1"/>
  <c r="I5" i="1"/>
  <c r="I1490" i="1"/>
  <c r="I237" i="1"/>
  <c r="I1380" i="1"/>
  <c r="I1276" i="1"/>
  <c r="I2262" i="1"/>
  <c r="I2040" i="1"/>
  <c r="I2385" i="1"/>
  <c r="I1015" i="1"/>
  <c r="I2043" i="1"/>
  <c r="I1630" i="1"/>
  <c r="I1670" i="1"/>
  <c r="I1971" i="1"/>
  <c r="I178" i="1"/>
  <c r="I1603" i="1"/>
  <c r="I2242" i="1"/>
  <c r="I82" i="1"/>
  <c r="I266" i="1"/>
  <c r="I1421" i="1"/>
  <c r="I1089" i="1"/>
  <c r="I1203" i="1"/>
  <c r="I2164" i="1"/>
  <c r="I405" i="1"/>
  <c r="I1968" i="1"/>
  <c r="I1416" i="1"/>
  <c r="I2232" i="1"/>
  <c r="I239" i="1"/>
  <c r="I2288" i="1"/>
  <c r="I807" i="1"/>
  <c r="I4" i="1"/>
  <c r="I1046" i="1"/>
  <c r="I793" i="1"/>
  <c r="I549" i="1"/>
  <c r="I203" i="1"/>
  <c r="I772" i="1"/>
  <c r="I2206" i="1"/>
  <c r="I936" i="1"/>
  <c r="I164" i="1"/>
  <c r="I53" i="1"/>
  <c r="I2111" i="1"/>
  <c r="I2281" i="1"/>
  <c r="I188" i="1"/>
  <c r="I636" i="1"/>
  <c r="I1014" i="1"/>
  <c r="I1537" i="1"/>
  <c r="I15" i="1"/>
  <c r="I1532" i="1"/>
  <c r="I1227" i="1"/>
  <c r="I895" i="1"/>
  <c r="I1379" i="1"/>
  <c r="I387" i="1"/>
  <c r="I1386" i="1"/>
  <c r="I963" i="1"/>
  <c r="I1678" i="1"/>
  <c r="I1504" i="1"/>
  <c r="I1235" i="1"/>
  <c r="I1184" i="1"/>
  <c r="I1023" i="1"/>
  <c r="I310" i="1"/>
  <c r="I515" i="1"/>
  <c r="I1369" i="1"/>
  <c r="I1986" i="1"/>
  <c r="I272" i="1"/>
  <c r="I860" i="1"/>
  <c r="I1031" i="1"/>
  <c r="I57" i="1"/>
  <c r="I1487" i="1"/>
  <c r="I1112" i="1"/>
  <c r="I499" i="1"/>
  <c r="I2028" i="1"/>
  <c r="I2361" i="1"/>
  <c r="I1655" i="1"/>
  <c r="I1186" i="1"/>
  <c r="I1414" i="1"/>
  <c r="I1244" i="1"/>
  <c r="I1667" i="1"/>
  <c r="I1348" i="1"/>
  <c r="I2098" i="1"/>
  <c r="I1983" i="1"/>
  <c r="I788" i="1"/>
  <c r="I1068" i="1"/>
  <c r="I1733" i="1"/>
  <c r="I212" i="1"/>
  <c r="I1673" i="1"/>
  <c r="I1125" i="1"/>
  <c r="I475" i="1"/>
  <c r="I120" i="1"/>
  <c r="I165" i="1"/>
  <c r="I1760" i="1"/>
  <c r="I868" i="1"/>
  <c r="I1446" i="1"/>
  <c r="I570" i="1"/>
  <c r="I1932" i="1"/>
  <c r="I1916" i="1"/>
  <c r="I672" i="1"/>
  <c r="I572" i="1"/>
  <c r="I2103" i="1"/>
  <c r="I2316" i="1"/>
  <c r="I2011" i="1"/>
  <c r="I176" i="1"/>
  <c r="I2376" i="1"/>
  <c r="I1958" i="1"/>
  <c r="I1429" i="1"/>
  <c r="I1868" i="1"/>
  <c r="I828" i="1"/>
  <c r="I46" i="1"/>
  <c r="I1048" i="1"/>
  <c r="I109" i="1"/>
  <c r="I327" i="1"/>
  <c r="I1356" i="1"/>
  <c r="I1949" i="1"/>
  <c r="I1471" i="1"/>
  <c r="I755" i="1"/>
  <c r="I258" i="1"/>
  <c r="I1572" i="1"/>
  <c r="I1324" i="1"/>
  <c r="I2217" i="1"/>
  <c r="I1796" i="1"/>
  <c r="I152" i="1"/>
  <c r="I1565" i="1"/>
  <c r="I871" i="1"/>
  <c r="I1100" i="1"/>
  <c r="I221" i="1"/>
  <c r="I2181" i="1"/>
  <c r="I6" i="1"/>
  <c r="I519" i="1"/>
  <c r="I820" i="1"/>
  <c r="I1951" i="1"/>
  <c r="I1373" i="1"/>
  <c r="I724" i="1"/>
  <c r="I548" i="1"/>
  <c r="I223" i="1"/>
  <c r="I690" i="1"/>
  <c r="I605" i="1"/>
  <c r="I262" i="1"/>
  <c r="I130" i="1"/>
  <c r="I2144" i="1"/>
  <c r="I1624" i="1"/>
  <c r="I1293" i="1"/>
  <c r="I670" i="1"/>
  <c r="I242" i="1"/>
  <c r="I297" i="1"/>
  <c r="I1131" i="1"/>
  <c r="I63" i="1"/>
  <c r="I1398" i="1"/>
  <c r="I2171" i="1"/>
  <c r="I1333" i="1"/>
  <c r="I621" i="1"/>
  <c r="I1647" i="1"/>
  <c r="I2119" i="1"/>
  <c r="I365" i="1"/>
  <c r="I785" i="1"/>
  <c r="I1519" i="1"/>
  <c r="I2085" i="1"/>
  <c r="I2177" i="1"/>
  <c r="I569" i="1"/>
  <c r="I1952" i="1"/>
  <c r="I1059" i="1"/>
  <c r="I1985" i="1"/>
  <c r="I133" i="1"/>
  <c r="I885" i="1"/>
  <c r="I378" i="1"/>
  <c r="I1258" i="1"/>
  <c r="I1340" i="1"/>
  <c r="I1808" i="1"/>
  <c r="I625" i="1"/>
  <c r="I804" i="1"/>
  <c r="I2222" i="1"/>
  <c r="I2326" i="1"/>
  <c r="I516" i="1"/>
  <c r="I2142" i="1"/>
  <c r="I734" i="1"/>
  <c r="I1253" i="1"/>
  <c r="I865" i="1"/>
  <c r="I498" i="1"/>
  <c r="I1967" i="1"/>
  <c r="I952" i="1"/>
  <c r="I2175" i="1"/>
  <c r="I1754" i="1"/>
  <c r="I2365" i="1"/>
  <c r="I1766" i="1"/>
  <c r="I1010" i="1"/>
  <c r="I229" i="1"/>
  <c r="I1476" i="1"/>
  <c r="I2022" i="1"/>
  <c r="I1121" i="1"/>
  <c r="I1188" i="1"/>
  <c r="I385" i="1"/>
  <c r="I1591" i="1"/>
  <c r="I2073" i="1"/>
  <c r="I622" i="1"/>
  <c r="I2192" i="1"/>
  <c r="I141" i="1"/>
  <c r="I1799" i="1"/>
  <c r="I1897" i="1"/>
  <c r="I706" i="1"/>
  <c r="I123" i="1"/>
  <c r="I1692" i="1"/>
  <c r="I760" i="1"/>
  <c r="I1173" i="1"/>
  <c r="I1833" i="1"/>
  <c r="I2081" i="1"/>
  <c r="I941" i="1"/>
  <c r="I1538" i="1"/>
  <c r="I1625" i="1"/>
  <c r="I2328" i="1"/>
  <c r="I115" i="1"/>
  <c r="I1757" i="1"/>
  <c r="I80" i="1"/>
  <c r="I1127" i="1"/>
  <c r="I435" i="1"/>
  <c r="I1819" i="1"/>
  <c r="I2346" i="1"/>
  <c r="I626" i="1"/>
  <c r="I1499" i="1"/>
  <c r="I932" i="1"/>
  <c r="I1684" i="1"/>
  <c r="I2282" i="1"/>
  <c r="I2320" i="1"/>
  <c r="I1518" i="1"/>
  <c r="I741" i="1"/>
  <c r="I1878" i="1"/>
  <c r="I1456" i="1"/>
  <c r="I1898" i="1"/>
  <c r="I1902" i="1"/>
  <c r="I1084" i="1"/>
  <c r="I604" i="1"/>
  <c r="I59" i="1"/>
  <c r="I2021" i="1"/>
  <c r="I912" i="1"/>
  <c r="I563" i="1"/>
  <c r="I1359" i="1"/>
  <c r="I2261" i="1"/>
  <c r="I781" i="1"/>
  <c r="I2332" i="1"/>
  <c r="I894" i="1"/>
  <c r="I139" i="1"/>
  <c r="I2241" i="1"/>
  <c r="I11" i="1"/>
  <c r="I1747" i="1"/>
  <c r="I419" i="1"/>
  <c r="I539" i="1"/>
  <c r="I1931" i="1"/>
  <c r="I695" i="1"/>
  <c r="I805" i="1"/>
  <c r="I206" i="1"/>
  <c r="I1811" i="1"/>
  <c r="I746" i="1"/>
  <c r="I1536" i="1"/>
  <c r="I2344" i="1"/>
  <c r="I157" i="1"/>
  <c r="I1189" i="1"/>
  <c r="I1200" i="1"/>
  <c r="I851" i="1"/>
  <c r="I1609" i="1"/>
  <c r="I1045" i="1"/>
  <c r="I1365" i="1"/>
  <c r="I456" i="1"/>
  <c r="I1578" i="1"/>
  <c r="I1718" i="1"/>
  <c r="I554" i="1"/>
  <c r="I2124" i="1"/>
  <c r="I1345" i="1"/>
  <c r="I661" i="1"/>
  <c r="I996" i="1"/>
  <c r="I488" i="1"/>
  <c r="I801" i="1"/>
  <c r="I568" i="1"/>
  <c r="I1923" i="1"/>
  <c r="I1026" i="1"/>
  <c r="I1913" i="1"/>
  <c r="I472" i="1"/>
  <c r="I1443" i="1"/>
  <c r="I420" i="1"/>
  <c r="I2243" i="1"/>
  <c r="I1629" i="1"/>
  <c r="I1397" i="1"/>
  <c r="I1710" i="1"/>
  <c r="I596" i="1"/>
  <c r="I2266" i="1"/>
  <c r="I2286" i="1"/>
  <c r="I870" i="1"/>
  <c r="I334" i="1"/>
  <c r="I1623" i="1"/>
  <c r="I1783" i="1"/>
  <c r="I2107" i="1"/>
  <c r="I1366" i="1"/>
  <c r="I2077" i="1"/>
  <c r="I1974" i="1"/>
  <c r="I1950" i="1"/>
  <c r="I2083" i="1"/>
  <c r="I1646" i="1"/>
  <c r="I2351" i="1"/>
  <c r="I1739" i="1"/>
  <c r="I2036" i="1"/>
  <c r="I1245" i="1"/>
  <c r="I62" i="1"/>
  <c r="I2348" i="1"/>
  <c r="I1795" i="1"/>
  <c r="I1773" i="1"/>
  <c r="I2126" i="1"/>
  <c r="I2034" i="1"/>
  <c r="I2239" i="1"/>
  <c r="I1309" i="1"/>
  <c r="I684" i="1"/>
  <c r="I2170" i="1"/>
  <c r="I2366" i="1"/>
  <c r="I339" i="1"/>
  <c r="I1116" i="1"/>
  <c r="I855" i="1"/>
  <c r="I190" i="1"/>
  <c r="I355" i="1"/>
  <c r="I205" i="1"/>
  <c r="I1552" i="1"/>
  <c r="I1556" i="1"/>
  <c r="I1672" i="1"/>
  <c r="I1568" i="1"/>
  <c r="I2095" i="1"/>
  <c r="I299" i="1"/>
  <c r="I833" i="1"/>
  <c r="I744" i="1"/>
  <c r="I1343" i="1"/>
  <c r="I462" i="1"/>
  <c r="I1236" i="1"/>
  <c r="I750" i="1"/>
  <c r="I597" i="1"/>
  <c r="I1178" i="1"/>
  <c r="I423" i="1"/>
  <c r="I175" i="1"/>
  <c r="I1728" i="1"/>
  <c r="I506" i="1"/>
  <c r="I1582" i="1"/>
  <c r="I599" i="1"/>
  <c r="I275" i="1"/>
  <c r="I574" i="1"/>
  <c r="I371" i="1"/>
  <c r="I145" i="1"/>
  <c r="I22" i="1"/>
  <c r="I21" i="1"/>
  <c r="I700" i="1"/>
  <c r="I1882" i="1"/>
  <c r="I2186" i="1"/>
  <c r="I1214" i="1"/>
  <c r="I736" i="1"/>
  <c r="I663" i="1"/>
  <c r="I2087" i="1"/>
  <c r="I2117" i="1"/>
  <c r="I1387" i="1"/>
  <c r="I1853" i="1"/>
  <c r="I202" i="1"/>
  <c r="I1522" i="1"/>
  <c r="I2298" i="1"/>
  <c r="I2233" i="1"/>
  <c r="I128" i="1"/>
  <c r="I905" i="1"/>
  <c r="I2099" i="1"/>
  <c r="I471" i="1"/>
  <c r="I1969" i="1"/>
  <c r="I845" i="1"/>
  <c r="I1357" i="1"/>
  <c r="I2061" i="1"/>
  <c r="I2252" i="1"/>
  <c r="I1981" i="1"/>
  <c r="I197" i="1"/>
  <c r="I2374" i="1"/>
  <c r="I45" i="1"/>
  <c r="I1064" i="1"/>
  <c r="I994" i="1"/>
  <c r="I413" i="1"/>
  <c r="I1769" i="1"/>
  <c r="I1120" i="1"/>
  <c r="I393" i="1"/>
  <c r="I1399" i="1"/>
  <c r="I1135" i="1"/>
  <c r="I2174" i="1"/>
  <c r="I557" i="1"/>
  <c r="I817" i="1"/>
  <c r="I1201" i="1"/>
  <c r="I882" i="1"/>
  <c r="I1761" i="1"/>
  <c r="I391" i="1"/>
  <c r="I480" i="1"/>
  <c r="I763" i="1"/>
  <c r="I2254" i="1"/>
  <c r="I1480" i="1"/>
  <c r="I1720" i="1"/>
  <c r="I29" i="1"/>
  <c r="I1207" i="1"/>
  <c r="I1025" i="1"/>
  <c r="I2116" i="1"/>
  <c r="I1933" i="1"/>
  <c r="I1752" i="1"/>
  <c r="I2198" i="1"/>
  <c r="I1990" i="1"/>
  <c r="I296" i="1"/>
  <c r="I39" i="1"/>
  <c r="I705" i="1"/>
  <c r="I644" i="1"/>
  <c r="I1924" i="1"/>
  <c r="I2131" i="1"/>
  <c r="I430" i="1"/>
  <c r="I1445" i="1"/>
  <c r="I1584" i="1"/>
  <c r="I2145" i="1"/>
  <c r="I913" i="1"/>
  <c r="I1377" i="1"/>
  <c r="I2349" i="1"/>
  <c r="I1272" i="1"/>
  <c r="I153" i="1"/>
  <c r="I581" i="1"/>
  <c r="I331" i="1"/>
  <c r="I1364" i="1"/>
  <c r="I1018" i="1"/>
  <c r="I922" i="1"/>
  <c r="I124" i="1"/>
  <c r="I507" i="1"/>
  <c r="I2236" i="1"/>
  <c r="I1137" i="1"/>
  <c r="I2256" i="1"/>
  <c r="I1261" i="1"/>
  <c r="I1764" i="1"/>
  <c r="I512" i="1"/>
  <c r="I2350" i="1"/>
  <c r="I445" i="1"/>
  <c r="I250" i="1"/>
  <c r="I2300" i="1"/>
  <c r="I1577" i="1"/>
  <c r="I438" i="1"/>
  <c r="I2007" i="1"/>
  <c r="I1893" i="1"/>
  <c r="I1360" i="1"/>
  <c r="I1003" i="1"/>
  <c r="I1388" i="1"/>
  <c r="I1691" i="1"/>
  <c r="I2167" i="1"/>
  <c r="I429" i="1"/>
  <c r="I640" i="1"/>
  <c r="I1406" i="1"/>
  <c r="I2196" i="1"/>
  <c r="I2313" i="1"/>
  <c r="I1220" i="1"/>
  <c r="I832" i="1"/>
  <c r="I536" i="1"/>
  <c r="I767" i="1"/>
  <c r="I578" i="1"/>
  <c r="I1403" i="1"/>
  <c r="I69" i="1"/>
  <c r="I1994" i="1"/>
  <c r="I1735" i="1"/>
  <c r="I74" i="1"/>
  <c r="I847" i="1"/>
  <c r="I649" i="1"/>
  <c r="I643" i="1"/>
  <c r="I1260" i="1"/>
  <c r="I483" i="1"/>
  <c r="I1271" i="1"/>
  <c r="I148" i="1"/>
  <c r="I909" i="1"/>
  <c r="I688" i="1"/>
  <c r="I624" i="1"/>
  <c r="I1839" i="1"/>
  <c r="I1579" i="1"/>
  <c r="I458" i="1"/>
  <c r="I361" i="1"/>
  <c r="I1919" i="1"/>
  <c r="I293" i="1"/>
  <c r="I1385" i="1"/>
  <c r="I1169" i="1"/>
  <c r="I358" i="1"/>
  <c r="I1122" i="1"/>
  <c r="I1187" i="1"/>
  <c r="I2153" i="1"/>
  <c r="I842" i="1"/>
  <c r="I1842" i="1"/>
  <c r="I278" i="1"/>
  <c r="I623" i="1"/>
  <c r="I1793" i="1"/>
  <c r="I294" i="1"/>
  <c r="I1072" i="1"/>
  <c r="I1870" i="1"/>
  <c r="I2030" i="1"/>
  <c r="I1535" i="1"/>
  <c r="I1822" i="1"/>
  <c r="I2168" i="1"/>
  <c r="I2231" i="1"/>
  <c r="I1962" i="1"/>
  <c r="I2224" i="1"/>
  <c r="I268" i="1"/>
  <c r="I1452" i="1"/>
  <c r="I1559" i="1"/>
  <c r="I1677" i="1"/>
  <c r="I1482" i="1"/>
  <c r="I2055" i="1"/>
  <c r="I943" i="1"/>
  <c r="I2128" i="1"/>
  <c r="I1865" i="1"/>
  <c r="I2373" i="1"/>
  <c r="I2277" i="1"/>
  <c r="I2375" i="1"/>
  <c r="I752" i="1"/>
  <c r="I108" i="1"/>
  <c r="I843" i="1"/>
  <c r="I648" i="1"/>
  <c r="I2005" i="1"/>
  <c r="I1817" i="1"/>
  <c r="I280" i="1"/>
  <c r="I1071" i="1"/>
  <c r="I234" i="1"/>
  <c r="I1156" i="1"/>
  <c r="I703" i="1"/>
  <c r="I1750" i="1"/>
  <c r="I925" i="1"/>
  <c r="I55" i="1"/>
  <c r="I2310" i="1"/>
  <c r="I575" i="1"/>
  <c r="I1182" i="1"/>
  <c r="I1553" i="1"/>
  <c r="I2200" i="1"/>
  <c r="I1478" i="1"/>
  <c r="I2372" i="1"/>
  <c r="I2358" i="1"/>
  <c r="I1205" i="1"/>
  <c r="I2048" i="1"/>
  <c r="I1316" i="1"/>
  <c r="I1081" i="1"/>
  <c r="I344" i="1"/>
  <c r="I523" i="1"/>
  <c r="I1970" i="1"/>
  <c r="I2122" i="1"/>
  <c r="I608" i="1"/>
  <c r="I2306" i="1"/>
  <c r="I1099" i="1"/>
  <c r="I2382" i="1"/>
  <c r="I1751" i="1"/>
  <c r="I1608" i="1"/>
  <c r="I1809" i="1"/>
  <c r="I1644" i="1"/>
  <c r="I726" i="1"/>
  <c r="I1341" i="1"/>
  <c r="I359" i="1"/>
  <c r="I1488" i="1"/>
  <c r="I1470" i="1"/>
  <c r="I1475" i="1"/>
  <c r="I111" i="1"/>
  <c r="I340" i="1"/>
  <c r="I1362" i="1"/>
  <c r="I2178" i="1"/>
  <c r="I1280" i="1"/>
  <c r="I631" i="1"/>
  <c r="I1854" i="1"/>
  <c r="I1659" i="1"/>
  <c r="I664" i="1"/>
  <c r="I550" i="1"/>
  <c r="I971" i="1"/>
  <c r="I1114" i="1"/>
  <c r="I114" i="1"/>
  <c r="I2050" i="1"/>
  <c r="I834" i="1"/>
  <c r="I1337" i="1"/>
  <c r="I1269" i="1"/>
  <c r="I852" i="1"/>
  <c r="I1741" i="1"/>
  <c r="I347" i="1"/>
  <c r="I1660" i="1"/>
  <c r="I154" i="1"/>
  <c r="I1517" i="1"/>
  <c r="I451" i="1"/>
  <c r="I658" i="1"/>
  <c r="I1049" i="1"/>
  <c r="I1927" i="1"/>
  <c r="I1382" i="1"/>
  <c r="I1438" i="1"/>
  <c r="I508" i="1"/>
  <c r="I1294" i="1"/>
  <c r="I1872" i="1"/>
  <c r="I100" i="1"/>
  <c r="I1252" i="1"/>
  <c r="I588" i="1"/>
  <c r="I987" i="1"/>
  <c r="I2388" i="1"/>
  <c r="I1562" i="1"/>
  <c r="I1619" i="1"/>
  <c r="I1864" i="1"/>
  <c r="I1307" i="1"/>
  <c r="I520" i="1"/>
  <c r="I915" i="1"/>
  <c r="I991" i="1"/>
  <c r="I576" i="1"/>
  <c r="I1103" i="1"/>
  <c r="I1308" i="1"/>
  <c r="I308" i="1"/>
  <c r="I709" i="1"/>
  <c r="I2132" i="1"/>
  <c r="I949" i="1"/>
  <c r="I254" i="1"/>
  <c r="I2074" i="1"/>
  <c r="I1138" i="1"/>
  <c r="I2187" i="1"/>
  <c r="I1627" i="1"/>
  <c r="I1551" i="1"/>
  <c r="I1283" i="1"/>
  <c r="I351" i="1"/>
  <c r="I1208" i="1"/>
  <c r="I171" i="1"/>
  <c r="I546" i="1"/>
  <c r="I43" i="1"/>
  <c r="I1725" i="1"/>
  <c r="I1679" i="1"/>
  <c r="I1576" i="1"/>
  <c r="I528" i="1"/>
  <c r="I783" i="1"/>
  <c r="I1035" i="1"/>
  <c r="I2002" i="1"/>
  <c r="I1418" i="1"/>
  <c r="I1318" i="1"/>
  <c r="I107" i="1"/>
  <c r="I795" i="1"/>
  <c r="I1936" i="1"/>
  <c r="I1331" i="1"/>
  <c r="I1176" i="1"/>
  <c r="I881" i="1"/>
  <c r="I1540" i="1"/>
  <c r="I2054" i="1"/>
  <c r="I1053" i="1"/>
  <c r="I1920" i="1"/>
  <c r="I1614" i="1"/>
  <c r="I1984" i="1"/>
  <c r="I848" i="1"/>
  <c r="I665" i="1"/>
  <c r="I201" i="1"/>
  <c r="I534" i="1"/>
  <c r="I1598" i="1"/>
  <c r="I382" i="1"/>
  <c r="I957" i="1"/>
  <c r="I1815" i="1"/>
  <c r="I2287" i="1"/>
  <c r="I835" i="1"/>
  <c r="I1175" i="1"/>
  <c r="I14" i="1"/>
  <c r="I209" i="1"/>
  <c r="I1095" i="1"/>
  <c r="I1727" i="1"/>
  <c r="I163" i="1"/>
  <c r="I2303" i="1"/>
  <c r="I1424" i="1"/>
  <c r="I274" i="1"/>
  <c r="I1514" i="1"/>
  <c r="I1321" i="1"/>
  <c r="I2327" i="1"/>
  <c r="I808" i="1"/>
  <c r="I562" i="1"/>
  <c r="I1823" i="1"/>
  <c r="I968" i="1"/>
  <c r="I1632" i="1"/>
  <c r="I798" i="1"/>
  <c r="I7" i="1"/>
  <c r="I553" i="1"/>
  <c r="I1353" i="1"/>
  <c r="I2228" i="1"/>
  <c r="I1322" i="1"/>
  <c r="I616" i="1"/>
  <c r="I1029" i="1"/>
  <c r="I1179" i="1"/>
  <c r="I1347" i="1"/>
  <c r="I841" i="1"/>
  <c r="I1167" i="1"/>
  <c r="I914" i="1"/>
  <c r="I1118" i="1"/>
  <c r="I1588" i="1"/>
  <c r="I1544" i="1"/>
  <c r="I1291" i="1"/>
  <c r="I117" i="1"/>
  <c r="I454" i="1"/>
  <c r="I1791" i="1"/>
  <c r="I645" i="1"/>
  <c r="I1832" i="1"/>
  <c r="I192" i="1"/>
  <c r="I1104" i="1"/>
  <c r="I312" i="1"/>
  <c r="I1149" i="1"/>
  <c r="I2162" i="1"/>
  <c r="I1714" i="1"/>
  <c r="I2270" i="1"/>
  <c r="I1371" i="1"/>
  <c r="I457" i="1"/>
  <c r="I502" i="1"/>
  <c r="I1527" i="1"/>
  <c r="I1358" i="1"/>
  <c r="I938" i="1"/>
  <c r="I409" i="1"/>
  <c r="I2294" i="1"/>
  <c r="I906" i="1"/>
  <c r="I1028" i="1"/>
  <c r="I1881" i="1"/>
  <c r="I615" i="1"/>
  <c r="I789" i="1"/>
  <c r="I134" i="1"/>
  <c r="I558" i="1"/>
  <c r="I747" i="1"/>
  <c r="I1177" i="1"/>
  <c r="I2248" i="1"/>
  <c r="I1935" i="1"/>
  <c r="I354" i="1"/>
  <c r="I1223" i="1"/>
  <c r="I2014" i="1"/>
  <c r="I1436" i="1"/>
  <c r="I522" i="1"/>
  <c r="I673" i="1"/>
  <c r="I131" i="1"/>
  <c r="I2276" i="1"/>
  <c r="I284" i="1"/>
  <c r="I1782" i="1"/>
  <c r="I1600" i="1"/>
  <c r="I1444" i="1"/>
  <c r="I679" i="1"/>
  <c r="I1648" i="1"/>
  <c r="I441" i="1"/>
  <c r="I1929" i="1"/>
  <c r="I1211" i="1"/>
  <c r="I931" i="1"/>
  <c r="I584" i="1"/>
  <c r="I609" i="1"/>
  <c r="I1119" i="1"/>
  <c r="I2212" i="1"/>
  <c r="I1106" i="1"/>
  <c r="I1756" i="1"/>
  <c r="I603" i="1"/>
  <c r="I1378" i="1"/>
  <c r="I468" i="1"/>
  <c r="I770" i="1"/>
  <c r="I873" i="1"/>
  <c r="I1067" i="1"/>
  <c r="I150" i="1"/>
  <c r="I1102" i="1"/>
  <c r="I1634" i="1"/>
  <c r="I1094" i="1"/>
  <c r="I2102" i="1"/>
  <c r="I1768" i="1"/>
  <c r="I2223" i="1"/>
  <c r="I1256" i="1"/>
  <c r="I1231" i="1"/>
  <c r="I678" i="1"/>
  <c r="I1352" i="1"/>
  <c r="I1763" i="1"/>
  <c r="I693" i="1"/>
  <c r="I561" i="1"/>
  <c r="I838" i="1"/>
  <c r="I1956" i="1"/>
  <c r="I806" i="1"/>
  <c r="I713" i="1"/>
  <c r="I1742" i="1"/>
  <c r="I1837" i="1"/>
  <c r="I815" i="1"/>
  <c r="I1959" i="1"/>
  <c r="I151" i="1"/>
  <c r="I718" i="1"/>
  <c r="I583" i="1"/>
  <c r="I1539" i="1"/>
  <c r="I671" i="1"/>
  <c r="I1883" i="1"/>
  <c r="I1249" i="1"/>
  <c r="I1977" i="1"/>
  <c r="I2331" i="1"/>
  <c r="I328" i="1"/>
  <c r="I235" i="1"/>
  <c r="I556" i="1"/>
  <c r="I137" i="1"/>
  <c r="I737" i="1"/>
  <c r="I317" i="1"/>
  <c r="I2125" i="1"/>
  <c r="I265" i="1"/>
  <c r="I97" i="1"/>
  <c r="I1636" i="1"/>
  <c r="I1038" i="1"/>
  <c r="I730" i="1"/>
  <c r="I1086" i="1"/>
  <c r="I559" i="1"/>
  <c r="I875" i="1"/>
  <c r="I1042" i="1"/>
  <c r="I1525" i="1"/>
  <c r="I2112" i="1"/>
  <c r="I1721" i="1"/>
  <c r="I719" i="1"/>
  <c r="I2003" i="1"/>
  <c r="I2159" i="1"/>
  <c r="I1057" i="1"/>
  <c r="I1412" i="1"/>
  <c r="I64" i="1"/>
  <c r="I1964" i="1"/>
  <c r="I1894" i="1"/>
  <c r="I1834" i="1"/>
  <c r="I2387" i="1"/>
  <c r="I802" i="1"/>
  <c r="I1457" i="1"/>
  <c r="I276" i="1"/>
  <c r="I1753" i="1"/>
  <c r="I1705" i="1"/>
  <c r="I52" i="1"/>
  <c r="I2312" i="1"/>
  <c r="I256" i="1"/>
  <c r="I633" i="1"/>
  <c r="I199" i="1"/>
  <c r="I1785" i="1"/>
  <c r="I386" i="1"/>
  <c r="I186" i="1"/>
  <c r="I1966" i="1"/>
  <c r="I291" i="1"/>
  <c r="I715" i="1"/>
  <c r="I2182" i="1"/>
  <c r="I1447" i="1"/>
  <c r="I993" i="1"/>
  <c r="I2013" i="1"/>
  <c r="I1732" i="1"/>
  <c r="I1168" i="1"/>
  <c r="I2215" i="1"/>
  <c r="I220" i="1"/>
  <c r="I698" i="1"/>
  <c r="I1417" i="1"/>
  <c r="I647" i="1"/>
  <c r="I2006" i="1"/>
  <c r="I418" i="1"/>
  <c r="I812" i="1"/>
  <c r="I680" i="1"/>
  <c r="I745" i="1"/>
  <c r="I607" i="1"/>
  <c r="I1091" i="1"/>
  <c r="I1281" i="1"/>
  <c r="I193" i="1"/>
  <c r="I803" i="1"/>
  <c r="I1726" i="1"/>
  <c r="I1523" i="1"/>
  <c r="I259" i="1"/>
  <c r="I1642" i="1"/>
  <c r="I790" i="1"/>
  <c r="I867" i="1"/>
  <c r="I1835" i="1"/>
  <c r="I460" i="1"/>
  <c r="I2041" i="1"/>
  <c r="I1789" i="1"/>
  <c r="I2268" i="1"/>
  <c r="I787" i="1"/>
  <c r="I1570" i="1"/>
  <c r="I298" i="1"/>
  <c r="I478" i="1"/>
  <c r="I782" i="1"/>
  <c r="I2377" i="1"/>
  <c r="I1030" i="1"/>
  <c r="I541" i="1"/>
  <c r="I1602" i="1"/>
  <c r="I230" i="1"/>
  <c r="I1886" i="1"/>
  <c r="I395" i="1"/>
  <c r="I1548" i="1"/>
  <c r="I246" i="1"/>
  <c r="I2336" i="1"/>
  <c r="I368" i="1"/>
  <c r="I1575" i="1"/>
  <c r="I1327" i="1"/>
  <c r="I687" i="1"/>
  <c r="I1717" i="1"/>
  <c r="I540" i="1"/>
  <c r="I1635" i="1"/>
  <c r="I902" i="1"/>
  <c r="I857" i="1"/>
  <c r="I1197" i="1"/>
  <c r="I1585" i="1"/>
  <c r="I937" i="1"/>
  <c r="I1420" i="1"/>
  <c r="I1290" i="1"/>
  <c r="I1266" i="1"/>
  <c r="I926" i="1"/>
  <c r="I447" i="1"/>
  <c r="I422" i="1"/>
  <c r="I2230" i="1"/>
  <c r="I2015" i="1"/>
  <c r="I1571" i="1"/>
  <c r="I2325" i="1"/>
  <c r="I2150" i="1"/>
  <c r="I390" i="1"/>
  <c r="I1402" i="1"/>
  <c r="I1716" i="1"/>
  <c r="I1287" i="1"/>
  <c r="I465" i="1"/>
  <c r="I2259" i="1"/>
  <c r="I1663" i="1"/>
  <c r="I2108" i="1"/>
  <c r="I628" i="1"/>
  <c r="I231" i="1"/>
  <c r="I388" i="1"/>
  <c r="I598" i="1"/>
  <c r="I444" i="1"/>
  <c r="I1494" i="1"/>
  <c r="I1555" i="1"/>
  <c r="I1422" i="1"/>
  <c r="I83" i="1"/>
  <c r="I878" i="1"/>
  <c r="I1995" i="1"/>
  <c r="I1546" i="1"/>
  <c r="I1002" i="1"/>
  <c r="I1656" i="1"/>
  <c r="I1657" i="1"/>
  <c r="I2049" i="1"/>
  <c r="I1313" i="1"/>
  <c r="I369" i="1"/>
  <c r="I1410" i="1"/>
  <c r="I1242" i="1"/>
  <c r="I1810" i="1"/>
  <c r="I543" i="1"/>
  <c r="I2258" i="1"/>
  <c r="I988" i="1"/>
  <c r="I264" i="1"/>
  <c r="I90" i="1"/>
  <c r="I900" i="1"/>
  <c r="I1666" i="1"/>
  <c r="I113" i="1"/>
  <c r="I1658" i="1"/>
  <c r="I207" i="1"/>
  <c r="I1489" i="1"/>
  <c r="I2263" i="1"/>
  <c r="I759" i="1"/>
  <c r="I466" i="1"/>
  <c r="I1801" i="1"/>
  <c r="I585" i="1"/>
  <c r="I132" i="1"/>
  <c r="I408" i="1"/>
  <c r="I1849" i="1"/>
  <c r="I122" i="1"/>
  <c r="I270" i="1"/>
  <c r="I601" i="1"/>
  <c r="I1268" i="1"/>
  <c r="I606" i="1"/>
  <c r="I844" i="1"/>
  <c r="I452" i="1"/>
  <c r="I2121" i="1"/>
  <c r="I2216" i="1"/>
  <c r="I348" i="1"/>
  <c r="I1510" i="1"/>
  <c r="I1729" i="1"/>
  <c r="I1899" i="1"/>
  <c r="I809" i="1"/>
  <c r="I1286" i="1"/>
  <c r="I2391" i="1"/>
  <c r="I84" i="1"/>
  <c r="I467" i="1"/>
  <c r="I587" i="1"/>
  <c r="I404" i="1"/>
  <c r="I629" i="1"/>
  <c r="I1573" i="1"/>
  <c r="I1850" i="1"/>
  <c r="I1128" i="1"/>
  <c r="I2110" i="1"/>
  <c r="I903" i="1"/>
  <c r="I1908" i="1"/>
  <c r="I972" i="1"/>
  <c r="I402" i="1"/>
  <c r="I1311" i="1"/>
  <c r="I2008" i="1"/>
  <c r="I1640" i="1"/>
  <c r="I222" i="1"/>
  <c r="I869" i="1"/>
  <c r="I2140" i="1"/>
  <c r="I2004" i="1"/>
  <c r="I1595" i="1"/>
  <c r="I427" i="1"/>
  <c r="I1326" i="1"/>
  <c r="I1346" i="1"/>
  <c r="I958" i="1"/>
  <c r="I1564" i="1"/>
  <c r="I1601" i="1"/>
  <c r="I530" i="1"/>
  <c r="I1610" i="1"/>
  <c r="I1907" i="1"/>
  <c r="I75" i="1"/>
  <c r="I849" i="1"/>
  <c r="I974" i="1"/>
  <c r="I2106" i="1"/>
  <c r="I307" i="1"/>
  <c r="I1617" i="1"/>
  <c r="I1905" i="1"/>
  <c r="I966" i="1"/>
  <c r="I877" i="1"/>
  <c r="I1895" i="1"/>
  <c r="I1090" i="1"/>
  <c r="I1250" i="1"/>
  <c r="A11" i="5"/>
  <c r="A12" i="5"/>
  <c r="B16" i="5" l="1"/>
  <c r="S19" i="8"/>
  <c r="R19" i="8"/>
  <c r="R33" i="8"/>
  <c r="U32" i="8"/>
  <c r="S32" i="8"/>
  <c r="R32" i="8"/>
  <c r="T32" i="8" s="1"/>
  <c r="R31" i="8"/>
  <c r="U25" i="8"/>
  <c r="U30" i="8"/>
  <c r="S30" i="8"/>
  <c r="R30" i="8"/>
  <c r="U29" i="8"/>
  <c r="S29" i="8"/>
  <c r="R29" i="8"/>
  <c r="T29" i="8" s="1"/>
  <c r="U28" i="8"/>
  <c r="S28" i="8"/>
  <c r="R28" i="8"/>
  <c r="U27" i="8"/>
  <c r="S27" i="8"/>
  <c r="R27" i="8"/>
  <c r="U26" i="8"/>
  <c r="S26" i="8"/>
  <c r="R26" i="8"/>
  <c r="T26" i="8" s="1"/>
  <c r="R20" i="8"/>
  <c r="S20" i="8"/>
  <c r="U20" i="8"/>
  <c r="R21" i="8"/>
  <c r="T21" i="8" s="1"/>
  <c r="S21" i="8"/>
  <c r="U21" i="8"/>
  <c r="R22" i="8"/>
  <c r="S22" i="8"/>
  <c r="U22" i="8"/>
  <c r="R23" i="8"/>
  <c r="S23" i="8"/>
  <c r="U23" i="8"/>
  <c r="R24" i="8"/>
  <c r="T24" i="8" s="1"/>
  <c r="S24" i="8"/>
  <c r="U24" i="8"/>
  <c r="R25" i="8"/>
  <c r="T25" i="8" s="1"/>
  <c r="S25" i="8"/>
  <c r="U19" i="8"/>
  <c r="U13" i="8"/>
  <c r="S14" i="8"/>
  <c r="T14" i="8" s="1"/>
  <c r="U14" i="8"/>
  <c r="U12" i="8"/>
  <c r="U46" i="8"/>
  <c r="U10" i="8"/>
  <c r="U15" i="8" s="1"/>
  <c r="U11" i="8"/>
  <c r="R4" i="8"/>
  <c r="R5" i="8"/>
  <c r="F159" i="3"/>
  <c r="G159" i="3" s="1"/>
  <c r="F160" i="3"/>
  <c r="G160" i="3" s="1"/>
  <c r="F161" i="3"/>
  <c r="G161" i="3" s="1"/>
  <c r="F162" i="3"/>
  <c r="G162" i="3" s="1"/>
  <c r="S10" i="8" s="1"/>
  <c r="F163" i="3"/>
  <c r="G163" i="3" s="1"/>
  <c r="F164" i="3"/>
  <c r="G164" i="3" s="1"/>
  <c r="F165" i="3"/>
  <c r="G165" i="3" s="1"/>
  <c r="F166" i="3"/>
  <c r="G166" i="3" s="1"/>
  <c r="F167" i="3"/>
  <c r="G167" i="3" s="1"/>
  <c r="F168" i="3"/>
  <c r="G168" i="3" s="1"/>
  <c r="F169" i="3"/>
  <c r="G169" i="3" s="1"/>
  <c r="F170" i="3"/>
  <c r="G170" i="3" s="1"/>
  <c r="F171" i="3"/>
  <c r="G171" i="3" s="1"/>
  <c r="F172" i="3"/>
  <c r="G172" i="3" s="1"/>
  <c r="F173" i="3"/>
  <c r="G173" i="3" s="1"/>
  <c r="F174" i="3"/>
  <c r="G174" i="3" s="1"/>
  <c r="F175" i="3"/>
  <c r="G175" i="3" s="1"/>
  <c r="F176" i="3"/>
  <c r="G176" i="3" s="1"/>
  <c r="F177" i="3"/>
  <c r="G177" i="3" s="1"/>
  <c r="F178" i="3"/>
  <c r="G178" i="3" s="1"/>
  <c r="F179" i="3"/>
  <c r="G179" i="3" s="1"/>
  <c r="F180" i="3"/>
  <c r="G180" i="3" s="1"/>
  <c r="F181" i="3"/>
  <c r="G181" i="3" s="1"/>
  <c r="F182" i="3"/>
  <c r="G182" i="3" s="1"/>
  <c r="F183" i="3"/>
  <c r="G183" i="3" s="1"/>
  <c r="F184" i="3"/>
  <c r="G184" i="3" s="1"/>
  <c r="F185" i="3"/>
  <c r="G185" i="3" s="1"/>
  <c r="F186" i="3"/>
  <c r="G186" i="3" s="1"/>
  <c r="F187" i="3"/>
  <c r="G187" i="3" s="1"/>
  <c r="F188" i="3"/>
  <c r="G188" i="3" s="1"/>
  <c r="F189" i="3"/>
  <c r="G189" i="3" s="1"/>
  <c r="F190" i="3"/>
  <c r="G190" i="3" s="1"/>
  <c r="F191" i="3"/>
  <c r="G191" i="3" s="1"/>
  <c r="F192" i="3"/>
  <c r="G192" i="3" s="1"/>
  <c r="F193" i="3"/>
  <c r="G193" i="3" s="1"/>
  <c r="F194" i="3"/>
  <c r="G194" i="3" s="1"/>
  <c r="F195" i="3"/>
  <c r="G195" i="3" s="1"/>
  <c r="F196" i="3"/>
  <c r="G196" i="3" s="1"/>
  <c r="F197" i="3"/>
  <c r="G197" i="3" s="1"/>
  <c r="F198" i="3"/>
  <c r="G198" i="3" s="1"/>
  <c r="F199" i="3"/>
  <c r="G199" i="3" s="1"/>
  <c r="F200" i="3"/>
  <c r="G200" i="3" s="1"/>
  <c r="F201" i="3"/>
  <c r="G201" i="3" s="1"/>
  <c r="F202" i="3"/>
  <c r="G202" i="3" s="1"/>
  <c r="F203" i="3"/>
  <c r="G203" i="3" s="1"/>
  <c r="F204" i="3"/>
  <c r="G204" i="3" s="1"/>
  <c r="F205" i="3"/>
  <c r="G205" i="3" s="1"/>
  <c r="F206" i="3"/>
  <c r="G206" i="3" s="1"/>
  <c r="F207" i="3"/>
  <c r="G207" i="3" s="1"/>
  <c r="F208" i="3"/>
  <c r="G208" i="3" s="1"/>
  <c r="F209" i="3"/>
  <c r="G209" i="3" s="1"/>
  <c r="F210" i="3"/>
  <c r="G210" i="3" s="1"/>
  <c r="F211" i="3"/>
  <c r="G211" i="3" s="1"/>
  <c r="F212" i="3"/>
  <c r="G212" i="3" s="1"/>
  <c r="F213" i="3"/>
  <c r="G213" i="3" s="1"/>
  <c r="F214" i="3"/>
  <c r="G214" i="3" s="1"/>
  <c r="F215" i="3"/>
  <c r="G215" i="3" s="1"/>
  <c r="F216" i="3"/>
  <c r="G216" i="3" s="1"/>
  <c r="F217" i="3"/>
  <c r="G217" i="3" s="1"/>
  <c r="F218" i="3"/>
  <c r="G218" i="3" s="1"/>
  <c r="F219" i="3"/>
  <c r="G219" i="3" s="1"/>
  <c r="F220" i="3"/>
  <c r="G220" i="3" s="1"/>
  <c r="F363" i="3"/>
  <c r="G363" i="3" s="1"/>
  <c r="F366" i="3"/>
  <c r="G366" i="3" s="1"/>
  <c r="F369" i="3"/>
  <c r="G369" i="3" s="1"/>
  <c r="F371" i="3"/>
  <c r="G371" i="3" s="1"/>
  <c r="F373" i="3"/>
  <c r="G373" i="3" s="1"/>
  <c r="F375" i="3"/>
  <c r="G375" i="3" s="1"/>
  <c r="F377" i="3"/>
  <c r="G377" i="3" s="1"/>
  <c r="F379" i="3"/>
  <c r="G379" i="3" s="1"/>
  <c r="F381" i="3"/>
  <c r="G381" i="3" s="1"/>
  <c r="F383" i="3"/>
  <c r="G383" i="3" s="1"/>
  <c r="F385" i="3"/>
  <c r="G385" i="3" s="1"/>
  <c r="F387" i="3"/>
  <c r="G387" i="3" s="1"/>
  <c r="F389" i="3"/>
  <c r="G389" i="3" s="1"/>
  <c r="F391" i="3"/>
  <c r="G391" i="3" s="1"/>
  <c r="F393" i="3"/>
  <c r="G393" i="3" s="1"/>
  <c r="F395" i="3"/>
  <c r="G395" i="3" s="1"/>
  <c r="F397" i="3"/>
  <c r="G397" i="3" s="1"/>
  <c r="F399" i="3"/>
  <c r="G399" i="3" s="1"/>
  <c r="F401" i="3"/>
  <c r="G401" i="3" s="1"/>
  <c r="F403" i="3"/>
  <c r="G403" i="3" s="1"/>
  <c r="F404" i="3"/>
  <c r="G404" i="3" s="1"/>
  <c r="F407" i="3"/>
  <c r="G407" i="3" s="1"/>
  <c r="F408" i="3"/>
  <c r="G408" i="3" s="1"/>
  <c r="F410" i="3"/>
  <c r="G410" i="3" s="1"/>
  <c r="F412" i="3"/>
  <c r="G412" i="3" s="1"/>
  <c r="F414" i="3"/>
  <c r="G414" i="3" s="1"/>
  <c r="F416" i="3"/>
  <c r="G416" i="3" s="1"/>
  <c r="F418" i="3"/>
  <c r="G418" i="3" s="1"/>
  <c r="F420" i="3"/>
  <c r="G420" i="3" s="1"/>
  <c r="F422" i="3"/>
  <c r="G422" i="3" s="1"/>
  <c r="F424" i="3"/>
  <c r="G424" i="3" s="1"/>
  <c r="F426" i="3"/>
  <c r="G426" i="3" s="1"/>
  <c r="F429" i="3"/>
  <c r="G429" i="3" s="1"/>
  <c r="F431" i="3"/>
  <c r="G431" i="3" s="1"/>
  <c r="F433" i="3"/>
  <c r="G433" i="3" s="1"/>
  <c r="F435" i="3"/>
  <c r="G435" i="3" s="1"/>
  <c r="F437" i="3"/>
  <c r="G437" i="3" s="1"/>
  <c r="F439" i="3"/>
  <c r="G439" i="3" s="1"/>
  <c r="F441" i="3"/>
  <c r="G441" i="3" s="1"/>
  <c r="F444" i="3"/>
  <c r="G444" i="3" s="1"/>
  <c r="F446" i="3"/>
  <c r="G446" i="3" s="1"/>
  <c r="F448" i="3"/>
  <c r="G448" i="3" s="1"/>
  <c r="F450" i="3"/>
  <c r="G450" i="3" s="1"/>
  <c r="F452" i="3"/>
  <c r="G452" i="3" s="1"/>
  <c r="F453" i="3"/>
  <c r="G453" i="3" s="1"/>
  <c r="F455" i="3"/>
  <c r="G455" i="3" s="1"/>
  <c r="F457" i="3"/>
  <c r="G457" i="3" s="1"/>
  <c r="F459" i="3"/>
  <c r="G459" i="3" s="1"/>
  <c r="F461" i="3"/>
  <c r="G461" i="3" s="1"/>
  <c r="F462" i="3"/>
  <c r="G462" i="3" s="1"/>
  <c r="F464" i="3"/>
  <c r="G464" i="3" s="1"/>
  <c r="F466" i="3"/>
  <c r="G466" i="3" s="1"/>
  <c r="F468" i="3"/>
  <c r="G468" i="3" s="1"/>
  <c r="F471" i="3"/>
  <c r="G471" i="3" s="1"/>
  <c r="F473" i="3"/>
  <c r="G473" i="3" s="1"/>
  <c r="F475" i="3"/>
  <c r="G475" i="3" s="1"/>
  <c r="F477" i="3"/>
  <c r="G477" i="3" s="1"/>
  <c r="F479" i="3"/>
  <c r="G479" i="3" s="1"/>
  <c r="F480" i="3"/>
  <c r="G480" i="3" s="1"/>
  <c r="F482" i="3"/>
  <c r="G482" i="3" s="1"/>
  <c r="F484" i="3"/>
  <c r="G484" i="3" s="1"/>
  <c r="F486" i="3"/>
  <c r="G486" i="3" s="1"/>
  <c r="F488" i="3"/>
  <c r="G488" i="3" s="1"/>
  <c r="F490" i="3"/>
  <c r="G490" i="3" s="1"/>
  <c r="F492" i="3"/>
  <c r="G492" i="3" s="1"/>
  <c r="F494" i="3"/>
  <c r="G494" i="3" s="1"/>
  <c r="F496" i="3"/>
  <c r="G496" i="3" s="1"/>
  <c r="F498" i="3"/>
  <c r="G498" i="3" s="1"/>
  <c r="F500" i="3"/>
  <c r="G500" i="3" s="1"/>
  <c r="F502" i="3"/>
  <c r="G502" i="3" s="1"/>
  <c r="F504" i="3"/>
  <c r="G504" i="3" s="1"/>
  <c r="F505" i="3"/>
  <c r="G505" i="3" s="1"/>
  <c r="F507" i="3"/>
  <c r="G507" i="3" s="1"/>
  <c r="F509" i="3"/>
  <c r="G509" i="3" s="1"/>
  <c r="F511" i="3"/>
  <c r="G511" i="3" s="1"/>
  <c r="F513" i="3"/>
  <c r="G513" i="3" s="1"/>
  <c r="F515" i="3"/>
  <c r="G515" i="3" s="1"/>
  <c r="F517" i="3"/>
  <c r="G517" i="3" s="1"/>
  <c r="F519" i="3"/>
  <c r="G519" i="3" s="1"/>
  <c r="F521" i="3"/>
  <c r="G521" i="3" s="1"/>
  <c r="F523" i="3"/>
  <c r="G523" i="3" s="1"/>
  <c r="F525" i="3"/>
  <c r="G525" i="3" s="1"/>
  <c r="F527" i="3"/>
  <c r="G527" i="3" s="1"/>
  <c r="F529" i="3"/>
  <c r="G529" i="3" s="1"/>
  <c r="F531" i="3"/>
  <c r="G531" i="3" s="1"/>
  <c r="F538" i="3"/>
  <c r="G538" i="3" s="1"/>
  <c r="F541" i="3"/>
  <c r="G541" i="3" s="1"/>
  <c r="F543" i="3"/>
  <c r="G543" i="3" s="1"/>
  <c r="F545" i="3"/>
  <c r="G545" i="3" s="1"/>
  <c r="F547" i="3"/>
  <c r="G547" i="3" s="1"/>
  <c r="F549" i="3"/>
  <c r="G549" i="3" s="1"/>
  <c r="F551" i="3"/>
  <c r="G551" i="3" s="1"/>
  <c r="F553" i="3"/>
  <c r="G553" i="3" s="1"/>
  <c r="F555" i="3"/>
  <c r="G555" i="3" s="1"/>
  <c r="F557" i="3"/>
  <c r="G557" i="3" s="1"/>
  <c r="F558" i="3"/>
  <c r="G558" i="3" s="1"/>
  <c r="F560" i="3"/>
  <c r="G560" i="3" s="1"/>
  <c r="F563" i="3"/>
  <c r="G563" i="3" s="1"/>
  <c r="F565" i="3"/>
  <c r="G565" i="3" s="1"/>
  <c r="F567" i="3"/>
  <c r="G567" i="3" s="1"/>
  <c r="F569" i="3"/>
  <c r="G569" i="3" s="1"/>
  <c r="F571" i="3"/>
  <c r="G571" i="3" s="1"/>
  <c r="F573" i="3"/>
  <c r="G573" i="3" s="1"/>
  <c r="F576" i="3"/>
  <c r="G576" i="3" s="1"/>
  <c r="F578" i="3"/>
  <c r="G578" i="3" s="1"/>
  <c r="F582" i="3"/>
  <c r="G582" i="3" s="1"/>
  <c r="F586" i="3"/>
  <c r="G586" i="3" s="1"/>
  <c r="F592" i="3"/>
  <c r="G592" i="3" s="1"/>
  <c r="F597" i="3"/>
  <c r="G597" i="3" s="1"/>
  <c r="F221" i="3"/>
  <c r="G221" i="3" s="1"/>
  <c r="F222" i="3"/>
  <c r="G222" i="3" s="1"/>
  <c r="F223" i="3"/>
  <c r="G223" i="3" s="1"/>
  <c r="F224" i="3"/>
  <c r="G224" i="3" s="1"/>
  <c r="F225" i="3"/>
  <c r="G225" i="3" s="1"/>
  <c r="F226" i="3"/>
  <c r="G226" i="3" s="1"/>
  <c r="F227" i="3"/>
  <c r="G227" i="3" s="1"/>
  <c r="F228" i="3"/>
  <c r="G228" i="3" s="1"/>
  <c r="F229" i="3"/>
  <c r="G229" i="3" s="1"/>
  <c r="F230" i="3"/>
  <c r="G230" i="3" s="1"/>
  <c r="F231" i="3"/>
  <c r="G231" i="3" s="1"/>
  <c r="F232" i="3"/>
  <c r="G232" i="3" s="1"/>
  <c r="F233" i="3"/>
  <c r="G233" i="3" s="1"/>
  <c r="F234" i="3"/>
  <c r="G234" i="3" s="1"/>
  <c r="F235" i="3"/>
  <c r="G235" i="3" s="1"/>
  <c r="F236" i="3"/>
  <c r="G236" i="3" s="1"/>
  <c r="F237" i="3"/>
  <c r="G237" i="3" s="1"/>
  <c r="F238" i="3"/>
  <c r="G238" i="3" s="1"/>
  <c r="F239" i="3"/>
  <c r="G239" i="3" s="1"/>
  <c r="F240" i="3"/>
  <c r="G240" i="3" s="1"/>
  <c r="F241" i="3"/>
  <c r="G241" i="3" s="1"/>
  <c r="F242" i="3"/>
  <c r="G242" i="3" s="1"/>
  <c r="F243" i="3"/>
  <c r="G243" i="3" s="1"/>
  <c r="F244" i="3"/>
  <c r="G244" i="3" s="1"/>
  <c r="F245" i="3"/>
  <c r="G245" i="3" s="1"/>
  <c r="F246" i="3"/>
  <c r="G246" i="3" s="1"/>
  <c r="F247" i="3"/>
  <c r="G247" i="3" s="1"/>
  <c r="F248" i="3"/>
  <c r="G248" i="3" s="1"/>
  <c r="F249" i="3"/>
  <c r="G249" i="3" s="1"/>
  <c r="F250" i="3"/>
  <c r="G250" i="3" s="1"/>
  <c r="F251" i="3"/>
  <c r="G251" i="3" s="1"/>
  <c r="F252" i="3"/>
  <c r="G252" i="3" s="1"/>
  <c r="F253" i="3"/>
  <c r="G253" i="3" s="1"/>
  <c r="F254" i="3"/>
  <c r="G254" i="3" s="1"/>
  <c r="F255" i="3"/>
  <c r="G255" i="3" s="1"/>
  <c r="F256" i="3"/>
  <c r="G256" i="3" s="1"/>
  <c r="F257" i="3"/>
  <c r="G257" i="3" s="1"/>
  <c r="F258" i="3"/>
  <c r="G258" i="3" s="1"/>
  <c r="F259" i="3"/>
  <c r="G259" i="3" s="1"/>
  <c r="F260" i="3"/>
  <c r="G260" i="3" s="1"/>
  <c r="F261" i="3"/>
  <c r="G261" i="3" s="1"/>
  <c r="F262" i="3"/>
  <c r="G262" i="3" s="1"/>
  <c r="F263" i="3"/>
  <c r="G263" i="3" s="1"/>
  <c r="F264" i="3"/>
  <c r="G264" i="3" s="1"/>
  <c r="F265" i="3"/>
  <c r="G265" i="3" s="1"/>
  <c r="F266" i="3"/>
  <c r="G266" i="3" s="1"/>
  <c r="F267" i="3"/>
  <c r="G267" i="3" s="1"/>
  <c r="F268" i="3"/>
  <c r="G268" i="3" s="1"/>
  <c r="F142" i="3"/>
  <c r="G142" i="3" s="1"/>
  <c r="F270" i="3"/>
  <c r="G270" i="3" s="1"/>
  <c r="F271" i="3"/>
  <c r="G271" i="3" s="1"/>
  <c r="F272" i="3"/>
  <c r="G272" i="3" s="1"/>
  <c r="F273" i="3"/>
  <c r="G273" i="3" s="1"/>
  <c r="F274" i="3"/>
  <c r="G274" i="3" s="1"/>
  <c r="F275" i="3"/>
  <c r="G275" i="3" s="1"/>
  <c r="F276" i="3"/>
  <c r="G276" i="3" s="1"/>
  <c r="F277" i="3"/>
  <c r="G277" i="3" s="1"/>
  <c r="F278" i="3"/>
  <c r="G278" i="3" s="1"/>
  <c r="F279" i="3"/>
  <c r="G279" i="3" s="1"/>
  <c r="F280" i="3"/>
  <c r="G280" i="3" s="1"/>
  <c r="F281" i="3"/>
  <c r="G281" i="3" s="1"/>
  <c r="F282" i="3"/>
  <c r="G282" i="3" s="1"/>
  <c r="F283" i="3"/>
  <c r="G283" i="3" s="1"/>
  <c r="F284" i="3"/>
  <c r="G284" i="3" s="1"/>
  <c r="F285" i="3"/>
  <c r="G285" i="3" s="1"/>
  <c r="F286" i="3"/>
  <c r="G286" i="3" s="1"/>
  <c r="F287" i="3"/>
  <c r="G287" i="3" s="1"/>
  <c r="F288" i="3"/>
  <c r="G288" i="3" s="1"/>
  <c r="F289" i="3"/>
  <c r="G289" i="3" s="1"/>
  <c r="F290" i="3"/>
  <c r="G290" i="3" s="1"/>
  <c r="F291" i="3"/>
  <c r="G291" i="3" s="1"/>
  <c r="F292" i="3"/>
  <c r="G292" i="3" s="1"/>
  <c r="F293" i="3"/>
  <c r="G293" i="3" s="1"/>
  <c r="F294" i="3"/>
  <c r="G294" i="3" s="1"/>
  <c r="F295" i="3"/>
  <c r="G295" i="3" s="1"/>
  <c r="F296" i="3"/>
  <c r="G296" i="3" s="1"/>
  <c r="F297" i="3"/>
  <c r="G297" i="3" s="1"/>
  <c r="F298" i="3"/>
  <c r="G298" i="3" s="1"/>
  <c r="F299" i="3"/>
  <c r="G299" i="3" s="1"/>
  <c r="F300" i="3"/>
  <c r="G300" i="3" s="1"/>
  <c r="F301" i="3"/>
  <c r="G301" i="3" s="1"/>
  <c r="F302" i="3"/>
  <c r="G302" i="3" s="1"/>
  <c r="F303" i="3"/>
  <c r="G303" i="3" s="1"/>
  <c r="F304" i="3"/>
  <c r="G304" i="3" s="1"/>
  <c r="F305" i="3"/>
  <c r="G305" i="3" s="1"/>
  <c r="F306" i="3"/>
  <c r="G306" i="3" s="1"/>
  <c r="F307" i="3"/>
  <c r="G307" i="3" s="1"/>
  <c r="F308" i="3"/>
  <c r="G308" i="3" s="1"/>
  <c r="F309" i="3"/>
  <c r="G309" i="3" s="1"/>
  <c r="F310" i="3"/>
  <c r="G310" i="3" s="1"/>
  <c r="F311" i="3"/>
  <c r="G311" i="3" s="1"/>
  <c r="F312" i="3"/>
  <c r="G312" i="3" s="1"/>
  <c r="F313" i="3"/>
  <c r="G313" i="3" s="1"/>
  <c r="F314" i="3"/>
  <c r="G314" i="3" s="1"/>
  <c r="F315" i="3"/>
  <c r="G315" i="3" s="1"/>
  <c r="F316" i="3"/>
  <c r="G316" i="3" s="1"/>
  <c r="F317" i="3"/>
  <c r="G317" i="3" s="1"/>
  <c r="F318" i="3"/>
  <c r="G318" i="3" s="1"/>
  <c r="F319" i="3"/>
  <c r="G319" i="3" s="1"/>
  <c r="F320" i="3"/>
  <c r="G320" i="3" s="1"/>
  <c r="F321" i="3"/>
  <c r="G321" i="3" s="1"/>
  <c r="F322" i="3"/>
  <c r="G322" i="3" s="1"/>
  <c r="F323" i="3"/>
  <c r="G323" i="3" s="1"/>
  <c r="F324" i="3"/>
  <c r="G324" i="3" s="1"/>
  <c r="F325" i="3"/>
  <c r="G325" i="3" s="1"/>
  <c r="F326" i="3"/>
  <c r="G326" i="3" s="1"/>
  <c r="F327" i="3"/>
  <c r="G327" i="3" s="1"/>
  <c r="F328" i="3"/>
  <c r="G328" i="3" s="1"/>
  <c r="F329" i="3"/>
  <c r="G329" i="3" s="1"/>
  <c r="F330" i="3"/>
  <c r="G330" i="3" s="1"/>
  <c r="F331" i="3"/>
  <c r="G331" i="3" s="1"/>
  <c r="F332" i="3"/>
  <c r="G332" i="3" s="1"/>
  <c r="F333" i="3"/>
  <c r="G333" i="3" s="1"/>
  <c r="F334" i="3"/>
  <c r="G334" i="3" s="1"/>
  <c r="F335" i="3"/>
  <c r="G335" i="3" s="1"/>
  <c r="F336" i="3"/>
  <c r="G336" i="3" s="1"/>
  <c r="F337" i="3"/>
  <c r="G337" i="3" s="1"/>
  <c r="F338" i="3"/>
  <c r="G338" i="3" s="1"/>
  <c r="F339" i="3"/>
  <c r="G339" i="3" s="1"/>
  <c r="F340" i="3"/>
  <c r="G340" i="3" s="1"/>
  <c r="F341" i="3"/>
  <c r="G341" i="3" s="1"/>
  <c r="F342" i="3"/>
  <c r="G342" i="3" s="1"/>
  <c r="F343" i="3"/>
  <c r="G343" i="3" s="1"/>
  <c r="F344" i="3"/>
  <c r="G344" i="3" s="1"/>
  <c r="F345" i="3"/>
  <c r="G345" i="3" s="1"/>
  <c r="F346" i="3"/>
  <c r="G346" i="3" s="1"/>
  <c r="F347" i="3"/>
  <c r="G347" i="3" s="1"/>
  <c r="F348" i="3"/>
  <c r="G348" i="3" s="1"/>
  <c r="F349" i="3"/>
  <c r="G349" i="3" s="1"/>
  <c r="F350" i="3"/>
  <c r="G350" i="3" s="1"/>
  <c r="F351" i="3"/>
  <c r="G351" i="3" s="1"/>
  <c r="F352" i="3"/>
  <c r="G352" i="3" s="1"/>
  <c r="F353" i="3"/>
  <c r="G353" i="3" s="1"/>
  <c r="F354" i="3"/>
  <c r="G354" i="3" s="1"/>
  <c r="F355" i="3"/>
  <c r="G355" i="3" s="1"/>
  <c r="F356" i="3"/>
  <c r="G356" i="3" s="1"/>
  <c r="F357" i="3"/>
  <c r="G357" i="3" s="1"/>
  <c r="F358" i="3"/>
  <c r="G358" i="3" s="1"/>
  <c r="F359" i="3"/>
  <c r="G359" i="3" s="1"/>
  <c r="F360" i="3"/>
  <c r="G360" i="3" s="1"/>
  <c r="F361" i="3"/>
  <c r="G361" i="3" s="1"/>
  <c r="F362" i="3"/>
  <c r="G362" i="3" s="1"/>
  <c r="F364" i="3"/>
  <c r="G364" i="3" s="1"/>
  <c r="F365" i="3"/>
  <c r="G365" i="3" s="1"/>
  <c r="F367" i="3"/>
  <c r="G367" i="3" s="1"/>
  <c r="F368" i="3"/>
  <c r="G368" i="3" s="1"/>
  <c r="F370" i="3"/>
  <c r="G370" i="3" s="1"/>
  <c r="F372" i="3"/>
  <c r="G372" i="3" s="1"/>
  <c r="F374" i="3"/>
  <c r="G374" i="3" s="1"/>
  <c r="F376" i="3"/>
  <c r="G376" i="3" s="1"/>
  <c r="F378" i="3"/>
  <c r="G378" i="3" s="1"/>
  <c r="F380" i="3"/>
  <c r="G380" i="3" s="1"/>
  <c r="F382" i="3"/>
  <c r="G382" i="3" s="1"/>
  <c r="F384" i="3"/>
  <c r="G384" i="3" s="1"/>
  <c r="F386" i="3"/>
  <c r="G386" i="3" s="1"/>
  <c r="F388" i="3"/>
  <c r="G388" i="3" s="1"/>
  <c r="F390" i="3"/>
  <c r="G390" i="3" s="1"/>
  <c r="F392" i="3"/>
  <c r="G392" i="3" s="1"/>
  <c r="F394" i="3"/>
  <c r="G394" i="3" s="1"/>
  <c r="F396" i="3"/>
  <c r="G396" i="3" s="1"/>
  <c r="F398" i="3"/>
  <c r="G398" i="3" s="1"/>
  <c r="F400" i="3"/>
  <c r="G400" i="3" s="1"/>
  <c r="F402" i="3"/>
  <c r="G402" i="3" s="1"/>
  <c r="F405" i="3"/>
  <c r="G405" i="3" s="1"/>
  <c r="F406" i="3"/>
  <c r="G406" i="3" s="1"/>
  <c r="F409" i="3"/>
  <c r="G409" i="3" s="1"/>
  <c r="F411" i="3"/>
  <c r="G411" i="3" s="1"/>
  <c r="F413" i="3"/>
  <c r="G413" i="3" s="1"/>
  <c r="F415" i="3"/>
  <c r="G415" i="3" s="1"/>
  <c r="F417" i="3"/>
  <c r="G417" i="3" s="1"/>
  <c r="F419" i="3"/>
  <c r="G419" i="3" s="1"/>
  <c r="F421" i="3"/>
  <c r="G421" i="3" s="1"/>
  <c r="F423" i="3"/>
  <c r="G423" i="3" s="1"/>
  <c r="F425" i="3"/>
  <c r="G425" i="3" s="1"/>
  <c r="F427" i="3"/>
  <c r="G427" i="3" s="1"/>
  <c r="F428" i="3"/>
  <c r="G428" i="3" s="1"/>
  <c r="F430" i="3"/>
  <c r="G430" i="3" s="1"/>
  <c r="F432" i="3"/>
  <c r="G432" i="3" s="1"/>
  <c r="F434" i="3"/>
  <c r="G434" i="3" s="1"/>
  <c r="F436" i="3"/>
  <c r="G436" i="3" s="1"/>
  <c r="F438" i="3"/>
  <c r="G438" i="3" s="1"/>
  <c r="F440" i="3"/>
  <c r="G440" i="3" s="1"/>
  <c r="F442" i="3"/>
  <c r="G442" i="3" s="1"/>
  <c r="F443" i="3"/>
  <c r="G443" i="3" s="1"/>
  <c r="F445" i="3"/>
  <c r="G445" i="3" s="1"/>
  <c r="F447" i="3"/>
  <c r="G447" i="3" s="1"/>
  <c r="F449" i="3"/>
  <c r="G449" i="3" s="1"/>
  <c r="F451" i="3"/>
  <c r="G451" i="3" s="1"/>
  <c r="F454" i="3"/>
  <c r="G454" i="3" s="1"/>
  <c r="F456" i="3"/>
  <c r="G456" i="3" s="1"/>
  <c r="F458" i="3"/>
  <c r="G458" i="3" s="1"/>
  <c r="F460" i="3"/>
  <c r="G460" i="3" s="1"/>
  <c r="F463" i="3"/>
  <c r="G463" i="3" s="1"/>
  <c r="F465" i="3"/>
  <c r="G465" i="3" s="1"/>
  <c r="F467" i="3"/>
  <c r="G467" i="3" s="1"/>
  <c r="F469" i="3"/>
  <c r="G469" i="3" s="1"/>
  <c r="F470" i="3"/>
  <c r="G470" i="3" s="1"/>
  <c r="F472" i="3"/>
  <c r="G472" i="3" s="1"/>
  <c r="F474" i="3"/>
  <c r="G474" i="3" s="1"/>
  <c r="F476" i="3"/>
  <c r="G476" i="3" s="1"/>
  <c r="F478" i="3"/>
  <c r="G478" i="3" s="1"/>
  <c r="F481" i="3"/>
  <c r="G481" i="3" s="1"/>
  <c r="F483" i="3"/>
  <c r="G483" i="3" s="1"/>
  <c r="F485" i="3"/>
  <c r="G485" i="3" s="1"/>
  <c r="F487" i="3"/>
  <c r="G487" i="3" s="1"/>
  <c r="F65" i="3"/>
  <c r="G65" i="3" s="1"/>
  <c r="F491" i="3"/>
  <c r="G491" i="3" s="1"/>
  <c r="F493" i="3"/>
  <c r="G493" i="3" s="1"/>
  <c r="F495" i="3"/>
  <c r="G495" i="3" s="1"/>
  <c r="F497" i="3"/>
  <c r="G497" i="3" s="1"/>
  <c r="F499" i="3"/>
  <c r="G499" i="3" s="1"/>
  <c r="F501" i="3"/>
  <c r="G501" i="3" s="1"/>
  <c r="F503" i="3"/>
  <c r="G503" i="3" s="1"/>
  <c r="F506" i="3"/>
  <c r="G506" i="3" s="1"/>
  <c r="F508" i="3"/>
  <c r="G508" i="3" s="1"/>
  <c r="F510" i="3"/>
  <c r="G510" i="3" s="1"/>
  <c r="F512" i="3"/>
  <c r="G512" i="3" s="1"/>
  <c r="F514" i="3"/>
  <c r="G514" i="3" s="1"/>
  <c r="F516" i="3"/>
  <c r="G516" i="3" s="1"/>
  <c r="F518" i="3"/>
  <c r="G518" i="3" s="1"/>
  <c r="F520" i="3"/>
  <c r="G520" i="3" s="1"/>
  <c r="F522" i="3"/>
  <c r="G522" i="3" s="1"/>
  <c r="F524" i="3"/>
  <c r="G524" i="3" s="1"/>
  <c r="F526" i="3"/>
  <c r="G526" i="3" s="1"/>
  <c r="F528" i="3"/>
  <c r="G528" i="3" s="1"/>
  <c r="F530" i="3"/>
  <c r="G530" i="3" s="1"/>
  <c r="F532" i="3"/>
  <c r="G532" i="3" s="1"/>
  <c r="F533" i="3"/>
  <c r="G533" i="3" s="1"/>
  <c r="F534" i="3"/>
  <c r="G534" i="3" s="1"/>
  <c r="F535" i="3"/>
  <c r="G535" i="3" s="1"/>
  <c r="F536" i="3"/>
  <c r="G536" i="3" s="1"/>
  <c r="F537" i="3"/>
  <c r="G537" i="3" s="1"/>
  <c r="F539" i="3"/>
  <c r="G539" i="3" s="1"/>
  <c r="F540" i="3"/>
  <c r="G540" i="3" s="1"/>
  <c r="F542" i="3"/>
  <c r="G542" i="3" s="1"/>
  <c r="F544" i="3"/>
  <c r="G544" i="3" s="1"/>
  <c r="F546" i="3"/>
  <c r="G546" i="3" s="1"/>
  <c r="F548" i="3"/>
  <c r="G548" i="3" s="1"/>
  <c r="F550" i="3"/>
  <c r="G550" i="3" s="1"/>
  <c r="F552" i="3"/>
  <c r="G552" i="3" s="1"/>
  <c r="F554" i="3"/>
  <c r="G554" i="3" s="1"/>
  <c r="F556" i="3"/>
  <c r="G556" i="3" s="1"/>
  <c r="F559" i="3"/>
  <c r="G559" i="3" s="1"/>
  <c r="F561" i="3"/>
  <c r="G561" i="3" s="1"/>
  <c r="F564" i="3"/>
  <c r="G564" i="3" s="1"/>
  <c r="F566" i="3"/>
  <c r="G566" i="3" s="1"/>
  <c r="F568" i="3"/>
  <c r="G568" i="3" s="1"/>
  <c r="F570" i="3"/>
  <c r="G570" i="3" s="1"/>
  <c r="F572" i="3"/>
  <c r="G572" i="3" s="1"/>
  <c r="F574" i="3"/>
  <c r="G574" i="3" s="1"/>
  <c r="F577" i="3"/>
  <c r="G577" i="3" s="1"/>
  <c r="F580" i="3"/>
  <c r="G580" i="3" s="1"/>
  <c r="F584" i="3"/>
  <c r="G584" i="3" s="1"/>
  <c r="F588" i="3"/>
  <c r="G588" i="3" s="1"/>
  <c r="F591" i="3"/>
  <c r="G591" i="3" s="1"/>
  <c r="F594" i="3"/>
  <c r="G594" i="3" s="1"/>
  <c r="F562" i="3"/>
  <c r="G562" i="3" s="1"/>
  <c r="F575" i="3"/>
  <c r="G575" i="3" s="1"/>
  <c r="F579" i="3"/>
  <c r="G579" i="3" s="1"/>
  <c r="F581" i="3"/>
  <c r="G581" i="3" s="1"/>
  <c r="F583" i="3"/>
  <c r="G583" i="3" s="1"/>
  <c r="F585" i="3"/>
  <c r="G585" i="3" s="1"/>
  <c r="F587" i="3"/>
  <c r="G587" i="3" s="1"/>
  <c r="F589" i="3"/>
  <c r="G589" i="3" s="1"/>
  <c r="F590" i="3"/>
  <c r="G590" i="3" s="1"/>
  <c r="F593" i="3"/>
  <c r="G593" i="3" s="1"/>
  <c r="F595" i="3"/>
  <c r="G595" i="3" s="1"/>
  <c r="F596" i="3"/>
  <c r="G596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269" i="3"/>
  <c r="G269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133" i="3"/>
  <c r="G133" i="3" s="1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G139" i="3" s="1"/>
  <c r="F140" i="3"/>
  <c r="G140" i="3" s="1"/>
  <c r="F141" i="3"/>
  <c r="G141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F153" i="3"/>
  <c r="G153" i="3" s="1"/>
  <c r="F154" i="3"/>
  <c r="G154" i="3" s="1"/>
  <c r="F155" i="3"/>
  <c r="G155" i="3" s="1"/>
  <c r="F156" i="3"/>
  <c r="G156" i="3" s="1"/>
  <c r="F157" i="3"/>
  <c r="G157" i="3" s="1"/>
  <c r="F158" i="3"/>
  <c r="G158" i="3" s="1"/>
  <c r="F489" i="3"/>
  <c r="G489" i="3" s="1"/>
  <c r="I55" i="8" a="1"/>
  <c r="J55" i="8"/>
  <c r="I56" i="8" a="1"/>
  <c r="J56" i="8"/>
  <c r="I57" i="8" a="1"/>
  <c r="J57" i="8"/>
  <c r="I58" i="8" a="1"/>
  <c r="J58" i="8"/>
  <c r="I59" i="8" a="1"/>
  <c r="J59" i="8"/>
  <c r="I60" i="8" a="1"/>
  <c r="J60" i="8"/>
  <c r="I61" i="8" a="1"/>
  <c r="J61" i="8"/>
  <c r="I62" i="8" a="1"/>
  <c r="J62" i="8"/>
  <c r="I63" i="8" a="1"/>
  <c r="J63" i="8"/>
  <c r="I64" i="8" a="1"/>
  <c r="J64" i="8"/>
  <c r="I65" i="8" a="1"/>
  <c r="J65" i="8"/>
  <c r="I66" i="8" a="1"/>
  <c r="J66" i="8"/>
  <c r="I67" i="8" a="1"/>
  <c r="J67" i="8"/>
  <c r="I68" i="8" a="1"/>
  <c r="J68" i="8"/>
  <c r="I69" i="8" a="1"/>
  <c r="J69" i="8"/>
  <c r="I70" i="8" a="1"/>
  <c r="J70" i="8"/>
  <c r="I71" i="8" a="1"/>
  <c r="J71" i="8"/>
  <c r="I72" i="8" a="1"/>
  <c r="J72" i="8"/>
  <c r="I73" i="8" a="1"/>
  <c r="J73" i="8"/>
  <c r="I74" i="8" a="1"/>
  <c r="J74" i="8"/>
  <c r="I75" i="8" a="1"/>
  <c r="J75" i="8"/>
  <c r="I76" i="8" a="1"/>
  <c r="J76" i="8"/>
  <c r="I77" i="8" a="1"/>
  <c r="J77" i="8"/>
  <c r="I78" i="8" a="1"/>
  <c r="J78" i="8"/>
  <c r="I79" i="8" a="1"/>
  <c r="J79" i="8"/>
  <c r="I80" i="8" a="1"/>
  <c r="J80" i="8"/>
  <c r="I81" i="8" a="1"/>
  <c r="J81" i="8"/>
  <c r="I82" i="8" a="1"/>
  <c r="J82" i="8"/>
  <c r="I83" i="8" a="1"/>
  <c r="J83" i="8"/>
  <c r="I84" i="8" a="1"/>
  <c r="J84" i="8"/>
  <c r="I85" i="8" a="1"/>
  <c r="J85" i="8"/>
  <c r="I86" i="8" a="1"/>
  <c r="J86" i="8"/>
  <c r="I87" i="8" a="1"/>
  <c r="J87" i="8"/>
  <c r="I88" i="8" a="1"/>
  <c r="J88" i="8"/>
  <c r="I89" i="8" a="1"/>
  <c r="J89" i="8"/>
  <c r="I90" i="8" a="1"/>
  <c r="J90" i="8"/>
  <c r="I91" i="8" a="1"/>
  <c r="J91" i="8"/>
  <c r="I92" i="8" a="1"/>
  <c r="J92" i="8"/>
  <c r="I93" i="8" a="1"/>
  <c r="J93" i="8"/>
  <c r="I94" i="8" a="1"/>
  <c r="J94" i="8"/>
  <c r="I95" i="8" a="1"/>
  <c r="J95" i="8"/>
  <c r="I96" i="8" a="1"/>
  <c r="J96" i="8"/>
  <c r="I97" i="8" a="1"/>
  <c r="J97" i="8"/>
  <c r="I98" i="8" a="1"/>
  <c r="J98" i="8"/>
  <c r="I99" i="8" a="1"/>
  <c r="J99" i="8"/>
  <c r="I100" i="8" a="1"/>
  <c r="J100" i="8"/>
  <c r="B15" i="5"/>
  <c r="B19" i="5" s="1"/>
  <c r="B20" i="5" s="1"/>
  <c r="B18" i="5"/>
  <c r="B17" i="5"/>
  <c r="H54" i="8" a="1"/>
  <c r="T10" i="8" l="1"/>
  <c r="T19" i="8"/>
  <c r="T20" i="8"/>
  <c r="T23" i="8"/>
  <c r="T30" i="8"/>
  <c r="T28" i="8"/>
  <c r="T27" i="8"/>
  <c r="T22" i="8"/>
  <c r="U33" i="8"/>
  <c r="S33" i="8"/>
  <c r="T33" i="8" s="1"/>
  <c r="S11" i="8"/>
  <c r="T11" i="8" s="1"/>
  <c r="U31" i="8"/>
  <c r="S31" i="8"/>
  <c r="T31" i="8" s="1"/>
  <c r="S12" i="8"/>
  <c r="S46" i="8"/>
  <c r="T46" i="8" s="1"/>
  <c r="S13" i="8"/>
  <c r="T13" i="8" s="1"/>
  <c r="I54" i="8" a="1"/>
  <c r="J54" i="8"/>
  <c r="H50" i="8" a="1"/>
  <c r="H32" i="8" a="1"/>
  <c r="H37" i="8" a="1"/>
  <c r="H15" i="8" a="1"/>
  <c r="H13" i="8" a="1"/>
  <c r="H11" i="8" a="1"/>
  <c r="H27" i="8" a="1"/>
  <c r="H52" i="8" a="1"/>
  <c r="H17" i="8" a="1"/>
  <c r="H44" i="8" a="1"/>
  <c r="H42" i="8" a="1"/>
  <c r="H40" i="8" a="1"/>
  <c r="H46" i="8" a="1"/>
  <c r="H34" i="8" a="1"/>
  <c r="H30" i="8" a="1"/>
  <c r="H36" i="8" a="1"/>
  <c r="H22" i="8" a="1"/>
  <c r="H26" i="8" a="1"/>
  <c r="H49" i="8" a="1"/>
  <c r="H16" i="8" a="1"/>
  <c r="H51" i="8" a="1"/>
  <c r="H28" i="8" a="1"/>
  <c r="H18" i="8" a="1"/>
  <c r="H33" i="8" a="1"/>
  <c r="H31" i="8" a="1"/>
  <c r="H19" i="8" a="1"/>
  <c r="H24" i="8" a="1"/>
  <c r="H20" i="8" a="1"/>
  <c r="H48" i="8" a="1"/>
  <c r="H14" i="8" a="1"/>
  <c r="H12" i="8" a="1"/>
  <c r="H38" i="8" a="1"/>
  <c r="H53" i="8" a="1"/>
  <c r="H39" i="8" a="1"/>
  <c r="H45" i="8" a="1"/>
  <c r="H43" i="8" a="1"/>
  <c r="H41" i="8" a="1"/>
  <c r="H29" i="8" a="1"/>
  <c r="H35" i="8" a="1"/>
  <c r="H47" i="8" a="1"/>
  <c r="H25" i="8" a="1"/>
  <c r="H23" i="8" a="1"/>
  <c r="H21" i="8" a="1"/>
  <c r="H10" i="8" a="1"/>
  <c r="B4" i="8"/>
  <c r="B5" i="8"/>
  <c r="B6" i="8"/>
  <c r="T12" i="8" l="1"/>
  <c r="S15" i="8"/>
  <c r="T15" i="8" s="1"/>
  <c r="I50" i="8" a="1"/>
  <c r="J50" i="8"/>
  <c r="I32" i="8" a="1"/>
  <c r="J32" i="8"/>
  <c r="I37" i="8" a="1"/>
  <c r="J37" i="8"/>
  <c r="I52" i="8" a="1"/>
  <c r="J52" i="8"/>
  <c r="I44" i="8" a="1"/>
  <c r="J44" i="8"/>
  <c r="I42" i="8" a="1"/>
  <c r="J42" i="8"/>
  <c r="I40" i="8" a="1"/>
  <c r="J40" i="8"/>
  <c r="I46" i="8" a="1"/>
  <c r="J46" i="8"/>
  <c r="I34" i="8" a="1"/>
  <c r="J34" i="8"/>
  <c r="I30" i="8" a="1"/>
  <c r="J30" i="8"/>
  <c r="I36" i="8" a="1"/>
  <c r="J36" i="8"/>
  <c r="I49" i="8" a="1"/>
  <c r="J49" i="8"/>
  <c r="I51" i="8" a="1"/>
  <c r="J51" i="8"/>
  <c r="I33" i="8" a="1"/>
  <c r="J33" i="8"/>
  <c r="I31" i="8" a="1"/>
  <c r="J31" i="8"/>
  <c r="I48" i="8" a="1"/>
  <c r="J48" i="8"/>
  <c r="I38" i="8" a="1"/>
  <c r="J38" i="8"/>
  <c r="I53" i="8" a="1"/>
  <c r="J53" i="8"/>
  <c r="I39" i="8" a="1"/>
  <c r="J39" i="8"/>
  <c r="I45" i="8" a="1"/>
  <c r="J45" i="8"/>
  <c r="I43" i="8" a="1"/>
  <c r="J43" i="8"/>
  <c r="I41" i="8" a="1"/>
  <c r="J41" i="8"/>
  <c r="I29" i="8" a="1"/>
  <c r="J29" i="8"/>
  <c r="I35" i="8" a="1"/>
  <c r="J35" i="8"/>
  <c r="I47" i="8" a="1"/>
  <c r="J47" i="8"/>
  <c r="I15" i="8" a="1"/>
  <c r="J15" i="8"/>
  <c r="I13" i="8" a="1"/>
  <c r="J13" i="8"/>
  <c r="I11" i="8" a="1"/>
  <c r="J11" i="8"/>
  <c r="I27" i="8" a="1"/>
  <c r="J27" i="8"/>
  <c r="I17" i="8" a="1"/>
  <c r="J17" i="8"/>
  <c r="I22" i="8" a="1"/>
  <c r="J22" i="8"/>
  <c r="I26" i="8" a="1"/>
  <c r="J26" i="8"/>
  <c r="I16" i="8" a="1"/>
  <c r="J16" i="8"/>
  <c r="I28" i="8" a="1"/>
  <c r="J28" i="8"/>
  <c r="I18" i="8" a="1"/>
  <c r="J18" i="8"/>
  <c r="I19" i="8" a="1"/>
  <c r="J19" i="8"/>
  <c r="I24" i="8" a="1"/>
  <c r="J24" i="8"/>
  <c r="I20" i="8" a="1"/>
  <c r="J20" i="8"/>
  <c r="I14" i="8" a="1"/>
  <c r="J14" i="8"/>
  <c r="I12" i="8" a="1"/>
  <c r="J12" i="8"/>
  <c r="I25" i="8" a="1"/>
  <c r="J25" i="8"/>
  <c r="I23" i="8" a="1"/>
  <c r="J23" i="8"/>
  <c r="I21" i="8" a="1"/>
  <c r="J21" i="8"/>
  <c r="I10" i="8" a="1"/>
  <c r="J1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Barbosa Santana</author>
  </authors>
  <commentList>
    <comment ref="A3" authorId="0" shapeId="0" xr:uid="{89256D06-4E2E-A84D-B068-CB2BFEAEE616}">
      <text>
        <r>
          <rPr>
            <b/>
            <sz val="10"/>
            <color rgb="FF000000"/>
            <rFont val="Tahoma"/>
            <family val="2"/>
          </rPr>
          <t>Lucas Barbosa Santana:</t>
        </r>
        <r>
          <rPr>
            <sz val="10"/>
            <color rgb="FF000000"/>
            <rFont val="Tahoma"/>
            <family val="2"/>
          </rPr>
          <t xml:space="preserve">
Source: clientes atualizado.xlsx, uploaded 19/10/2026. Uploaded file. Faixas deduzidas dos pontos x categoria desse arquivo (0 pts = sem categoria). Diferem da regra escrita no LEIA ISSO.</t>
        </r>
      </text>
    </comment>
    <comment ref="A9" authorId="0" shapeId="0" xr:uid="{1BA163B7-5C1F-1247-974E-663DEDD103E8}">
      <text>
        <r>
          <rPr>
            <b/>
            <sz val="10"/>
            <color rgb="FF000000"/>
            <rFont val="Tahoma"/>
            <family val="2"/>
          </rPr>
          <t>Lucas Barbosa Santana:</t>
        </r>
        <r>
          <rPr>
            <sz val="10"/>
            <color rgb="FF000000"/>
            <rFont val="Tahoma"/>
            <family val="2"/>
          </rPr>
          <t xml:space="preserve">
Conforme LEIA ISSO: 100 pts = R$10 até fev/2025; R$5 a partir de mar/2025.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<sst xmlns="http://schemas.openxmlformats.org/spreadsheetml/2006/main" count="21624" uniqueCount="10305">
  <si>
    <t>Nome</t>
  </si>
  <si>
    <t>E-mail</t>
  </si>
  <si>
    <t>Data Cadastro</t>
  </si>
  <si>
    <t>Pontos</t>
  </si>
  <si>
    <t>Obs</t>
  </si>
  <si>
    <t>Larissa V. Batista</t>
  </si>
  <si>
    <t>larissa.batista87@bol.com.br</t>
  </si>
  <si>
    <t>aline.barros64@uol.com.br</t>
  </si>
  <si>
    <t>aniversario em maio</t>
  </si>
  <si>
    <t>sabrina.mendes80@uol.com.br</t>
  </si>
  <si>
    <t>marina.dias81@gmail.com</t>
  </si>
  <si>
    <t>(11) 98369-1660</t>
  </si>
  <si>
    <t>Rodrigo Barbosa Moreira</t>
  </si>
  <si>
    <t>401.324.108-00</t>
  </si>
  <si>
    <t>rodrigo.moreira5@gmail.com</t>
  </si>
  <si>
    <t>Clara Mendes</t>
  </si>
  <si>
    <t>clara.mendes63@icloud.com</t>
  </si>
  <si>
    <t>heloisa.andrade9@outlook.com</t>
  </si>
  <si>
    <t>Eldorado</t>
  </si>
  <si>
    <t>Sofia Freitas</t>
  </si>
  <si>
    <t>147.527.113-11</t>
  </si>
  <si>
    <t>sofia.freitas59@gmail.com</t>
  </si>
  <si>
    <t>Savassi</t>
  </si>
  <si>
    <t>juliana.nunes88@yahoo.com.br</t>
  </si>
  <si>
    <t>(11) 98225-9168</t>
  </si>
  <si>
    <t>Bronze</t>
  </si>
  <si>
    <t>Debora Ribeiro</t>
  </si>
  <si>
    <t>debora.ribeiro84@uol.com.br</t>
  </si>
  <si>
    <t>(48) 91412-5986</t>
  </si>
  <si>
    <t>Gabriel Peixoto</t>
  </si>
  <si>
    <t>467.622.563-68</t>
  </si>
  <si>
    <t>gabriel.peixoto3@gmail.com</t>
  </si>
  <si>
    <t>(11) 92224-4428</t>
  </si>
  <si>
    <t>VIP</t>
  </si>
  <si>
    <t>Diego Barros Farias</t>
  </si>
  <si>
    <t>diego.farias39@hotmail.com</t>
  </si>
  <si>
    <t>Felipe Pinto</t>
  </si>
  <si>
    <t>863.677.726-77</t>
  </si>
  <si>
    <t>felipe.pinto31@gmail.com</t>
  </si>
  <si>
    <t>93869-5105</t>
  </si>
  <si>
    <t>Emanuelly Machado Dias</t>
  </si>
  <si>
    <t>emanuelly.dias41@icloud.com</t>
  </si>
  <si>
    <t>(61) 92745-3592</t>
  </si>
  <si>
    <t>Prata</t>
  </si>
  <si>
    <t>trocou de cpf?</t>
  </si>
  <si>
    <t>Site</t>
  </si>
  <si>
    <t>Priscila Ferreira Fernandes</t>
  </si>
  <si>
    <t>priscila.fernandes30@uol.con.br</t>
  </si>
  <si>
    <t>(48) 90836-0852</t>
  </si>
  <si>
    <t>Guilherme Rodrigues Ribeiro</t>
  </si>
  <si>
    <t>guilherme.ribeiro96@outlook.com</t>
  </si>
  <si>
    <t>App</t>
  </si>
  <si>
    <t>Paula Teixeira</t>
  </si>
  <si>
    <t>825.920.440-19</t>
  </si>
  <si>
    <t>paula.teixeira8@bol.com.br</t>
  </si>
  <si>
    <t>Juliana Cavalcanti</t>
  </si>
  <si>
    <t>juliana.cavalcanti79@gmail.com</t>
  </si>
  <si>
    <t>(31) 97639-9865</t>
  </si>
  <si>
    <t>183.646.671-49</t>
  </si>
  <si>
    <t>thais.barros83@hotmail.com</t>
  </si>
  <si>
    <t>92459-5132</t>
  </si>
  <si>
    <t>621.386.323-00</t>
  </si>
  <si>
    <t>otavio.rodrigues69@outlook.com</t>
  </si>
  <si>
    <t>(41) 99584-6818</t>
  </si>
  <si>
    <t>Laura Almeida</t>
  </si>
  <si>
    <t>395.582.710-04</t>
  </si>
  <si>
    <t>laura.almeida63@gmail.com</t>
  </si>
  <si>
    <t>Alice Marques Teixeira</t>
  </si>
  <si>
    <t>alice.teixeira9@gmail.com</t>
  </si>
  <si>
    <t>(11) 98823-7237</t>
  </si>
  <si>
    <t>Murilo Almeida</t>
  </si>
  <si>
    <t>murilo.almeida2@hotmail.com</t>
  </si>
  <si>
    <t>não ligar</t>
  </si>
  <si>
    <t>Aline Rocha</t>
  </si>
  <si>
    <t>aline.rocha44@gmail.com</t>
  </si>
  <si>
    <t>(71) 97333-2854</t>
  </si>
  <si>
    <t>rebeca.silva84@outlook.com</t>
  </si>
  <si>
    <t>796.752.424-18</t>
  </si>
  <si>
    <t>eduarda.alves85@outlook.com</t>
  </si>
  <si>
    <t>99964-8267</t>
  </si>
  <si>
    <t>ana.vieira6@hotmail.com</t>
  </si>
  <si>
    <t>(11) 90033-6467</t>
  </si>
  <si>
    <t>Yasmin N. Gomes</t>
  </si>
  <si>
    <t>yasmin.gomes36@gmail.com</t>
  </si>
  <si>
    <t>(48) 92905-0369</t>
  </si>
  <si>
    <t>marcelo.lopes6@gmail.com</t>
  </si>
  <si>
    <t>Ana Pereira</t>
  </si>
  <si>
    <t>ana.pereira37@hotmail.com</t>
  </si>
  <si>
    <t>60241967767</t>
  </si>
  <si>
    <t>luana.almeida66@icloud.com</t>
  </si>
  <si>
    <t>mariana.barbosa64@icloud.com</t>
  </si>
  <si>
    <t>laura.tavares67@gmail.com</t>
  </si>
  <si>
    <t>hugo.ferreira77@hotmail.com</t>
  </si>
  <si>
    <t>(41) 97906-2139</t>
  </si>
  <si>
    <t>Larissa Batista</t>
  </si>
  <si>
    <t>larissa.batista50@gmail.com</t>
  </si>
  <si>
    <t>(31) 96142-6401</t>
  </si>
  <si>
    <t>Renata Nogueira</t>
  </si>
  <si>
    <t>renata.nogueira50@gmail.com</t>
  </si>
  <si>
    <t>(41) 98972-9351</t>
  </si>
  <si>
    <t>Batel</t>
  </si>
  <si>
    <t>561.654.208-34</t>
  </si>
  <si>
    <t>juliana.rocha85@hotmail.com</t>
  </si>
  <si>
    <t>Aline Soares</t>
  </si>
  <si>
    <t>832.682.561-12</t>
  </si>
  <si>
    <t>aline.soares26@gmail.com</t>
  </si>
  <si>
    <t>91258-7201</t>
  </si>
  <si>
    <t>Ícaro Ramos</t>
  </si>
  <si>
    <t>icaro.ramos27@hotmail.com</t>
  </si>
  <si>
    <t>(11) 95792-8264</t>
  </si>
  <si>
    <t>Pinheiros</t>
  </si>
  <si>
    <t>Heloísa Ribeiro</t>
  </si>
  <si>
    <t>heloisa.ribeiro31@yahoo.com.br</t>
  </si>
  <si>
    <t>(41) 97148-8964</t>
  </si>
  <si>
    <t>diego.santos16@icloud.com</t>
  </si>
  <si>
    <t>(41) 92500-4961</t>
  </si>
  <si>
    <t>Fábio Santos Costa</t>
  </si>
  <si>
    <t>fabio.costa40@gmail.com</t>
  </si>
  <si>
    <t>(11) 90831-1835</t>
  </si>
  <si>
    <t>Aline Machado</t>
  </si>
  <si>
    <t>428.889.549-90</t>
  </si>
  <si>
    <t>aline.machado83@icloud.com</t>
  </si>
  <si>
    <t>(47) 97780-6779</t>
  </si>
  <si>
    <t>renan.santana72@outlook.com</t>
  </si>
  <si>
    <t>Kauã F. Andrade</t>
  </si>
  <si>
    <t>kaua.andrade10@bol.com.br</t>
  </si>
  <si>
    <t>97842-2074</t>
  </si>
  <si>
    <t>Guilherme Peixoto</t>
  </si>
  <si>
    <t>434.741.978-35</t>
  </si>
  <si>
    <t>gabriel.pereira61@gmail.com</t>
  </si>
  <si>
    <t>Debora Soares</t>
  </si>
  <si>
    <t>448.463.464-39</t>
  </si>
  <si>
    <t>hugo.soares50@gmail.com</t>
  </si>
  <si>
    <t>Camila Campos Machado</t>
  </si>
  <si>
    <t>956.067.304-13</t>
  </si>
  <si>
    <t>camila.machado79@yahoo.com.br</t>
  </si>
  <si>
    <t>Vinicius Cavalcanti Batista</t>
  </si>
  <si>
    <t>vinicius.batista88@gmail.com</t>
  </si>
  <si>
    <t>(31) 94013-2998</t>
  </si>
  <si>
    <t>Paula Barros</t>
  </si>
  <si>
    <t>paula.barros86@bol.com.br</t>
  </si>
  <si>
    <t>(31) 99447-1057</t>
  </si>
  <si>
    <t>Ouro</t>
  </si>
  <si>
    <t>vanessa.andrade27@gmail.com</t>
  </si>
  <si>
    <t>Rafaela Lopes</t>
  </si>
  <si>
    <t>421.574.816-05</t>
  </si>
  <si>
    <t>rafaela.lopes25@yahoo.com.br</t>
  </si>
  <si>
    <t>Lucas Rodrigues Nascimento</t>
  </si>
  <si>
    <t>lucas.nascimento81@hotmail.com</t>
  </si>
  <si>
    <t>Gustavo Oliveira Cavalcanti</t>
  </si>
  <si>
    <t>gustavo.cavalcanti70@gmail.com</t>
  </si>
  <si>
    <t>(21) 94754-5599</t>
  </si>
  <si>
    <t>Heloísa Freitas</t>
  </si>
  <si>
    <t>865.949.706-66</t>
  </si>
  <si>
    <t>heloisa.freitas20@hotmail.com</t>
  </si>
  <si>
    <t>Giovanna Pereira</t>
  </si>
  <si>
    <t>giovanna.pereira54@hotmail.com</t>
  </si>
  <si>
    <t>Breno Machado Correia</t>
  </si>
  <si>
    <t>breno.correia68@yahoo.com.br</t>
  </si>
  <si>
    <t>Ricardo Almeida Lima</t>
  </si>
  <si>
    <t>45290131205</t>
  </si>
  <si>
    <t>ricardo.lima64@gmail.com</t>
  </si>
  <si>
    <t>Davi Barros</t>
  </si>
  <si>
    <t>davi.barros35@gmail.com</t>
  </si>
  <si>
    <t>(41) 92776-7131</t>
  </si>
  <si>
    <t>Marina Ramos</t>
  </si>
  <si>
    <t>marina.ramos11@icloud.com</t>
  </si>
  <si>
    <t>Luan Dias</t>
  </si>
  <si>
    <t>276.148.759-15</t>
  </si>
  <si>
    <t>luan.dias53@yahoo.com.br</t>
  </si>
  <si>
    <t>(41) 92311-5216</t>
  </si>
  <si>
    <t>Thaís Moura</t>
  </si>
  <si>
    <t>thais.moura31@hotmail.com</t>
  </si>
  <si>
    <t>(11) 93665-1166</t>
  </si>
  <si>
    <t>Yasmin R. Oliveira</t>
  </si>
  <si>
    <t>yasmin.oliveira98@outlook.com</t>
  </si>
  <si>
    <t>(61) 98506-5880</t>
  </si>
  <si>
    <t>cliente reclamou</t>
  </si>
  <si>
    <t>Paulo Gonçalves Barbosa</t>
  </si>
  <si>
    <t>416.657.387-07</t>
  </si>
  <si>
    <t>paulo.barbosa1@gmail.com</t>
  </si>
  <si>
    <t>(11) 94065-9613</t>
  </si>
  <si>
    <t>Felipe Alves Farias</t>
  </si>
  <si>
    <t>felipe.farias99@bol.com.br</t>
  </si>
  <si>
    <t>(11) 99383-8675</t>
  </si>
  <si>
    <t>sabrina.campos90@outlook.com</t>
  </si>
  <si>
    <t>(11) 95751-5062</t>
  </si>
  <si>
    <t>ver com gerente</t>
  </si>
  <si>
    <t>Leonardo Nunes Teixeira</t>
  </si>
  <si>
    <t>leonardo.teixeira36@gmail.com</t>
  </si>
  <si>
    <t>Caio Rodrigues Soares</t>
  </si>
  <si>
    <t>caio.soares39@yahoo.com.br</t>
  </si>
  <si>
    <t>cecilia.rezende14@gmail.com</t>
  </si>
  <si>
    <t>Rebeca Vieira Araujo</t>
  </si>
  <si>
    <t>239.506.314-29</t>
  </si>
  <si>
    <t>rebeca.araujo1@hotmail.com</t>
  </si>
  <si>
    <t>(11) 95853-5795</t>
  </si>
  <si>
    <t>Felipe Carvalho</t>
  </si>
  <si>
    <t>101.219.215-65</t>
  </si>
  <si>
    <t>felipe.carvalho17@gmail.com</t>
  </si>
  <si>
    <t>95185-1350</t>
  </si>
  <si>
    <t>Emanuelly Pereira Ribeiro</t>
  </si>
  <si>
    <t>emanuelly.ribeiro69@yahoo.com.br</t>
  </si>
  <si>
    <t>517.270.325-00</t>
  </si>
  <si>
    <t>clara.alves36@bol.com.br</t>
  </si>
  <si>
    <t>462.254.400-89</t>
  </si>
  <si>
    <t>debora.moura33@hotmail.com</t>
  </si>
  <si>
    <t>96113-6004</t>
  </si>
  <si>
    <t>Valentina Cavalcanti Teixeira</t>
  </si>
  <si>
    <t>61451381573</t>
  </si>
  <si>
    <t>valentina.teixeira18@icloud.com</t>
  </si>
  <si>
    <t>97406-1212</t>
  </si>
  <si>
    <t>Nicolas Oliveira</t>
  </si>
  <si>
    <t>930.326.447-98</t>
  </si>
  <si>
    <t>nicolas.oliveira45@gmail.com</t>
  </si>
  <si>
    <t>Kauã Andrade</t>
  </si>
  <si>
    <t>kaua.andrade79@yahoo.com.br</t>
  </si>
  <si>
    <t>(51) 91210-2287</t>
  </si>
  <si>
    <t>Cecília Ramos</t>
  </si>
  <si>
    <t>cecilia.ramos44@outlook.com</t>
  </si>
  <si>
    <t>Bruna Campos</t>
  </si>
  <si>
    <t>07435373435</t>
  </si>
  <si>
    <t>bruna.campos46@outlook.com</t>
  </si>
  <si>
    <t>Heloísa Mendes Santos</t>
  </si>
  <si>
    <t>heloisa.santos19@hotmail.com</t>
  </si>
  <si>
    <t>Emanuelly O. Correia</t>
  </si>
  <si>
    <t>emanuelly.correia5@gmail.com</t>
  </si>
  <si>
    <t>giovanna.silva6@gmail.com</t>
  </si>
  <si>
    <t>Lucas Pereira Tavares</t>
  </si>
  <si>
    <t>173.072.622-40</t>
  </si>
  <si>
    <t>lucas.tavares21@gmail.com</t>
  </si>
  <si>
    <t>99039-6822</t>
  </si>
  <si>
    <t>Daniela Ribeiro Machado</t>
  </si>
  <si>
    <t>daniela.machado88@hotmail.com</t>
  </si>
  <si>
    <t>99700-3676</t>
  </si>
  <si>
    <t>Larissa Martins Campos</t>
  </si>
  <si>
    <t>larissa.campos4@gmail.com</t>
  </si>
  <si>
    <t>João Santana</t>
  </si>
  <si>
    <t>joao.santana83@hotmail.com</t>
  </si>
  <si>
    <t>94128-1600</t>
  </si>
  <si>
    <t>leticia.moreira84@hotmail.com</t>
  </si>
  <si>
    <t>Kaua Nogueira Mendes</t>
  </si>
  <si>
    <t>368.017.158-79</t>
  </si>
  <si>
    <t>kaua.mendes14@gmail.com</t>
  </si>
  <si>
    <t>(11) 91444-8372</t>
  </si>
  <si>
    <t>Nicolas Moura Monteiro</t>
  </si>
  <si>
    <t>475.182.883-54</t>
  </si>
  <si>
    <t>nicolas.monteiro54@hotmail.com</t>
  </si>
  <si>
    <t>Leonardo Moura</t>
  </si>
  <si>
    <t>(11) 90664-2721</t>
  </si>
  <si>
    <t>Manuela Vieira</t>
  </si>
  <si>
    <t>manuela.vieira52@gmail.com</t>
  </si>
  <si>
    <t>(11) 93664-5983</t>
  </si>
  <si>
    <t>Fabio Campos Carvalho</t>
  </si>
  <si>
    <t>582.969.938-99</t>
  </si>
  <si>
    <t>fabio.carvalho93@outlook.com</t>
  </si>
  <si>
    <t>824.475.093-67</t>
  </si>
  <si>
    <t>rebeca.vieira18@hotmail.com</t>
  </si>
  <si>
    <t>Cecilia Tavares</t>
  </si>
  <si>
    <t>cecilia.tavares27@bol.com.br</t>
  </si>
  <si>
    <t>94758-9314</t>
  </si>
  <si>
    <t>Rebeca Pinto Moreira</t>
  </si>
  <si>
    <t>331.300.750-38</t>
  </si>
  <si>
    <t>rebeca.moreira87@gmail.com</t>
  </si>
  <si>
    <t>(11) 90585-2184</t>
  </si>
  <si>
    <t>sabrina.marques75@yahoo.com.br</t>
  </si>
  <si>
    <t>(11) 95490-2760</t>
  </si>
  <si>
    <t>ana.pereira24@gmail.com</t>
  </si>
  <si>
    <t>96836-9315</t>
  </si>
  <si>
    <t>Davi C. Santana</t>
  </si>
  <si>
    <t>davi.santana69@icloud.com</t>
  </si>
  <si>
    <t>Ícaro Alves Barros</t>
  </si>
  <si>
    <t>icaro.barros1@icloud.com</t>
  </si>
  <si>
    <t>(11) 95756-3020</t>
  </si>
  <si>
    <t>Tainá Teixeira Rocha</t>
  </si>
  <si>
    <t>470.192.379-67</t>
  </si>
  <si>
    <t>taina.rocha82@hotmail.com</t>
  </si>
  <si>
    <t>Natália Santos Pinto</t>
  </si>
  <si>
    <t>natalia.pinto75@gmail.com</t>
  </si>
  <si>
    <t>(11) 93569-6533</t>
  </si>
  <si>
    <t>Renata Cavalcanti</t>
  </si>
  <si>
    <t>renata.cavalcanti60@gmail.com</t>
  </si>
  <si>
    <t>94893-7481</t>
  </si>
  <si>
    <t>Luana Tavares Fonseca</t>
  </si>
  <si>
    <t>luana.fonseca10@gmail.com</t>
  </si>
  <si>
    <t>(11) 97374-5679</t>
  </si>
  <si>
    <t>Lorena Nascimento Campos</t>
  </si>
  <si>
    <t>lorena.campos82@hotmail.com</t>
  </si>
  <si>
    <t>Lorenzo Marques</t>
  </si>
  <si>
    <t>lorenzo.marques4@outlook.com</t>
  </si>
  <si>
    <t>130.203.925-35</t>
  </si>
  <si>
    <t>gabriela.rodrigues39@outlook.com</t>
  </si>
  <si>
    <t>93285-6616</t>
  </si>
  <si>
    <t>rafaela.peixoto63@gmail.com</t>
  </si>
  <si>
    <t>Carolina Souza Ramos</t>
  </si>
  <si>
    <t>365.887.853-30</t>
  </si>
  <si>
    <t>carolina.ramos46@gmail.com</t>
  </si>
  <si>
    <t>pedro.souza44@outlook.com</t>
  </si>
  <si>
    <t>Débora Souza Soares</t>
  </si>
  <si>
    <t>debora.soares58@gmail.com</t>
  </si>
  <si>
    <t>Sofia Monteiro Ferreira</t>
  </si>
  <si>
    <t>sofia.ferreira42@hotmail.com</t>
  </si>
  <si>
    <t>661.416.763-40</t>
  </si>
  <si>
    <t>nicole.teixeira82@gmail.com</t>
  </si>
  <si>
    <t>853.603.801-28</t>
  </si>
  <si>
    <t>melissa.dias70@outlook.com</t>
  </si>
  <si>
    <t>Caetano Rezende Farias</t>
  </si>
  <si>
    <t>caetano.farias82@gmail.com</t>
  </si>
  <si>
    <t>(11) 94990-0050</t>
  </si>
  <si>
    <t>nicole.moura25@hotmail.com</t>
  </si>
  <si>
    <t>(62) 98257-4270</t>
  </si>
  <si>
    <t>vitoria.marques35@yahoo.com.br</t>
  </si>
  <si>
    <t>Paulo Vieira Teixeira</t>
  </si>
  <si>
    <t>343.359.162-80</t>
  </si>
  <si>
    <t>paulo.teixeira12@gmail.com</t>
  </si>
  <si>
    <t>(21) 96001-1211</t>
  </si>
  <si>
    <t>Thaís Vieira</t>
  </si>
  <si>
    <t>842.912.097-11</t>
  </si>
  <si>
    <t>thais.vieira19@hotmail.com</t>
  </si>
  <si>
    <t>Alice Ribeiro Alves</t>
  </si>
  <si>
    <t>575.810.313-65</t>
  </si>
  <si>
    <t>alice.alves18@yahoo.com.br</t>
  </si>
  <si>
    <t>Helena Santos</t>
  </si>
  <si>
    <t>108.436.456-52</t>
  </si>
  <si>
    <t>helena.santos62@icloud.com</t>
  </si>
  <si>
    <t>Bernardo Gomes Nascimento</t>
  </si>
  <si>
    <t>034.933.873-69</t>
  </si>
  <si>
    <t>bernardo.nascimento32@gmail.com</t>
  </si>
  <si>
    <t>90523-6927</t>
  </si>
  <si>
    <t>Lorenzo Rocha</t>
  </si>
  <si>
    <t>lorenzo.rocha27@gmail.com</t>
  </si>
  <si>
    <t>90290-9075</t>
  </si>
  <si>
    <t>Sofia Ferreira</t>
  </si>
  <si>
    <t>445.248.146-98</t>
  </si>
  <si>
    <t>sofia.ferreira45@gmail.com</t>
  </si>
  <si>
    <t>Otávio Ferreira Gonçalves</t>
  </si>
  <si>
    <t>otavio.goncalves63@gmail.com</t>
  </si>
  <si>
    <t>(61) 92719-8016</t>
  </si>
  <si>
    <t>larissa.fonseca95@gmail.com</t>
  </si>
  <si>
    <t>yuri.alves43@hotmail.com</t>
  </si>
  <si>
    <t>Sofia Fonseca</t>
  </si>
  <si>
    <t>sofia.fonseca40@gmail.com</t>
  </si>
  <si>
    <t>Natália Rodrigues Ribeiro</t>
  </si>
  <si>
    <t>natalia.ribeiro16@uol.com.br</t>
  </si>
  <si>
    <t>juliana.soares81@outlook.com</t>
  </si>
  <si>
    <t>91341-2748</t>
  </si>
  <si>
    <t>Pedro Araújo Almeida</t>
  </si>
  <si>
    <t>rebeca.martins79@icloud.com</t>
  </si>
  <si>
    <t>(41) 97967-8538</t>
  </si>
  <si>
    <t>Juliana Soares</t>
  </si>
  <si>
    <t>936.966.479-34</t>
  </si>
  <si>
    <t>juliana.soares3@yahoo.com.br</t>
  </si>
  <si>
    <t>(85) 93622-1207</t>
  </si>
  <si>
    <t>bruna.teixeira87@gmail.com</t>
  </si>
  <si>
    <t>Débora Moura</t>
  </si>
  <si>
    <t>debora.moura58@uol.com.br</t>
  </si>
  <si>
    <t>93801-3824</t>
  </si>
  <si>
    <t>Tainá Mendes Gonçalves</t>
  </si>
  <si>
    <t>taina.goncalves52@gmail.com</t>
  </si>
  <si>
    <t>Davi Fernandes Dias</t>
  </si>
  <si>
    <t>965.930.895-75</t>
  </si>
  <si>
    <t>davi.dias86@outlook.com</t>
  </si>
  <si>
    <t>Marcelo Oliveira Lopes</t>
  </si>
  <si>
    <t>marcelo.lopes32@gmail.com</t>
  </si>
  <si>
    <t>(31) 94025-7750</t>
  </si>
  <si>
    <t>Enzo Costa Silva</t>
  </si>
  <si>
    <t>enzo.silva9@gmail.com</t>
  </si>
  <si>
    <t>Guilherme Araujo</t>
  </si>
  <si>
    <t>635.568.660-64</t>
  </si>
  <si>
    <t>guilherme.araujo76@bol.com.br</t>
  </si>
  <si>
    <t>(41) 95398-4061</t>
  </si>
  <si>
    <t>Nicole Pereira Costa</t>
  </si>
  <si>
    <t>366.733.615-22</t>
  </si>
  <si>
    <t>nicole.costa2@gmail.com</t>
  </si>
  <si>
    <t>(71) 90691-3272</t>
  </si>
  <si>
    <t>079.847.928-01</t>
  </si>
  <si>
    <t>(71) 96439-2944</t>
  </si>
  <si>
    <t>27465158575</t>
  </si>
  <si>
    <t>daniela.rocha7@hotmail.com</t>
  </si>
  <si>
    <t>(31) 99703-8121</t>
  </si>
  <si>
    <t>livia.barbosa15@hotmail.com</t>
  </si>
  <si>
    <t>851.810.798-90</t>
  </si>
  <si>
    <t>leonardo.machado65@hotmail.com</t>
  </si>
  <si>
    <t>98585-3334</t>
  </si>
  <si>
    <t>miguel.vieira81@gmail.com</t>
  </si>
  <si>
    <t>Helena Barbosa Tavares</t>
  </si>
  <si>
    <t>helena.tavares17@gmail.com</t>
  </si>
  <si>
    <t>(31) 95010-5165</t>
  </si>
  <si>
    <t>193.499.129-53</t>
  </si>
  <si>
    <t>priscila.tavares26@hotmail.com</t>
  </si>
  <si>
    <t>91589-5169</t>
  </si>
  <si>
    <t>Sabrina Marques Dias</t>
  </si>
  <si>
    <t>sabrina.dias62@outlook.com</t>
  </si>
  <si>
    <t>(31) 99907-0681</t>
  </si>
  <si>
    <t>Daniela Barbosa</t>
  </si>
  <si>
    <t>Gabriel Nascimento Nunes</t>
  </si>
  <si>
    <t>950.018.208-47</t>
  </si>
  <si>
    <t>gabriel.nunes52@yahoo.com.br</t>
  </si>
  <si>
    <t>Alice Rocha Pereira</t>
  </si>
  <si>
    <t>alice.pereira32@uol.com.br</t>
  </si>
  <si>
    <t>91817-6487</t>
  </si>
  <si>
    <t>Renan Correia Marques</t>
  </si>
  <si>
    <t>902.491.217-27</t>
  </si>
  <si>
    <t>renan.marques84@gmail.com</t>
  </si>
  <si>
    <t>Luan Tavares</t>
  </si>
  <si>
    <t>luan.tavares43@icloud.com</t>
  </si>
  <si>
    <t>Laura Mendes</t>
  </si>
  <si>
    <t>laura.mendes15@gmial.com</t>
  </si>
  <si>
    <t>Pedro Moura Almeida</t>
  </si>
  <si>
    <t>pedro.almeida25@gmail.com</t>
  </si>
  <si>
    <t>Yuri V. Santos</t>
  </si>
  <si>
    <t>yuri.santos99@hotmail.com</t>
  </si>
  <si>
    <t>Melissa Moreira</t>
  </si>
  <si>
    <t>taina.marques63@hotmail.com</t>
  </si>
  <si>
    <t>91777-2621</t>
  </si>
  <si>
    <t>Camila Carvalho</t>
  </si>
  <si>
    <t>camila.carvalho92@outlook.com</t>
  </si>
  <si>
    <t>Isabela Rodrigues Peixoto</t>
  </si>
  <si>
    <t>isabela.peixoto46@icloud.com</t>
  </si>
  <si>
    <t>Marcelo Tavares</t>
  </si>
  <si>
    <t>marcelo.tavares40@gmail.com</t>
  </si>
  <si>
    <t>94623-2544</t>
  </si>
  <si>
    <t>taina.farias19@yahoo.com.br</t>
  </si>
  <si>
    <t>99143-8275</t>
  </si>
  <si>
    <t>Enzo Lima Costa</t>
  </si>
  <si>
    <t>enzo.costa51@hotmail.com</t>
  </si>
  <si>
    <t>(31) 94190-5385</t>
  </si>
  <si>
    <t>Lorena Alves Lopes</t>
  </si>
  <si>
    <t>734.251.744-52</t>
  </si>
  <si>
    <t>lorena.lopes99@icloud.com</t>
  </si>
  <si>
    <t>Breno Moreira</t>
  </si>
  <si>
    <t>816.117.908-59</t>
  </si>
  <si>
    <t>breno.moreira98@gmail.com</t>
  </si>
  <si>
    <t>clara.campos88@uol.com.br</t>
  </si>
  <si>
    <t>(41) 91558-7505</t>
  </si>
  <si>
    <t>Samuel Almeida</t>
  </si>
  <si>
    <t>(31) 94538-6667</t>
  </si>
  <si>
    <t>renata.ramos78@uol.com.br</t>
  </si>
  <si>
    <t>Vitor Araújo Lopes</t>
  </si>
  <si>
    <t>vitor.lopes59@gmail.com</t>
  </si>
  <si>
    <t>97057-1226</t>
  </si>
  <si>
    <t>André Pereira</t>
  </si>
  <si>
    <t>andre.pereira78@gmail.com</t>
  </si>
  <si>
    <t>Melissa Mendes Moreira</t>
  </si>
  <si>
    <t>85105400127</t>
  </si>
  <si>
    <t>melissa.moreira41@bol.com.br</t>
  </si>
  <si>
    <t>Leticia Machado</t>
  </si>
  <si>
    <t>leticia.machado88@gmail.com</t>
  </si>
  <si>
    <t>951.575.739-87</t>
  </si>
  <si>
    <t>aline.ramos86@gmail.com</t>
  </si>
  <si>
    <t>(51) 91671-0891</t>
  </si>
  <si>
    <t>vitoria.mendes30@gmail.com</t>
  </si>
  <si>
    <t>(48) 94372-5850</t>
  </si>
  <si>
    <t>Matheus Mendes Oliveira</t>
  </si>
  <si>
    <t>matheus.oliveira61@gmail.com</t>
  </si>
  <si>
    <t>(85) 99929-2734</t>
  </si>
  <si>
    <t>Wesley Barbosa</t>
  </si>
  <si>
    <t>177.930.829-90</t>
  </si>
  <si>
    <t>wesley.barbosa78@gmail.com</t>
  </si>
  <si>
    <t>Vinícius Lopes Rezende</t>
  </si>
  <si>
    <t>vinicius.rezende76@hotmail.com</t>
  </si>
  <si>
    <t>jaqueline.lima34@outlook.com</t>
  </si>
  <si>
    <t>95468-1689</t>
  </si>
  <si>
    <t>Felipe S. Rezende</t>
  </si>
  <si>
    <t>felipe.rezende3@hotmail.com</t>
  </si>
  <si>
    <t>Natália Monteiro Nogueira</t>
  </si>
  <si>
    <t>Nicole Campos Barbosa</t>
  </si>
  <si>
    <t>830.908.872-82</t>
  </si>
  <si>
    <t>nicole.barbosa30@gmail.com</t>
  </si>
  <si>
    <t>vinicius.martins98@hotmail.com</t>
  </si>
  <si>
    <t>(11) 93288-2859</t>
  </si>
  <si>
    <t>Letícia Rodrigues</t>
  </si>
  <si>
    <t>leticia.rodrigues1@gmail.com</t>
  </si>
  <si>
    <t>99975-5530</t>
  </si>
  <si>
    <t>Alexandre Ferreira Araújo</t>
  </si>
  <si>
    <t>605.917.487-62</t>
  </si>
  <si>
    <t>alexandre.araujo26@gmail.com</t>
  </si>
  <si>
    <t>Leticia Andrade</t>
  </si>
  <si>
    <t>leticia.andrade8@hotmail.com</t>
  </si>
  <si>
    <t>95871-0814</t>
  </si>
  <si>
    <t>538.346.770-00</t>
  </si>
  <si>
    <t>eduardo.silva10@gmail.com</t>
  </si>
  <si>
    <t>Manuela Ramos</t>
  </si>
  <si>
    <t>948.318.890-32</t>
  </si>
  <si>
    <t>manuela.ramos73@hotmail.com</t>
  </si>
  <si>
    <t>Paula Vieira</t>
  </si>
  <si>
    <t>paula.vieira8@gmail.com</t>
  </si>
  <si>
    <t>99736-7908</t>
  </si>
  <si>
    <t>juliana.freitas84@yahoo.com.br</t>
  </si>
  <si>
    <t>671.292.428-68</t>
  </si>
  <si>
    <t>kamila.marques1@yahoo.com.br</t>
  </si>
  <si>
    <t>(11) 94509-4784</t>
  </si>
  <si>
    <t>Ana Cavalcanti</t>
  </si>
  <si>
    <t>ana.cavalcanti18@gmail.com</t>
  </si>
  <si>
    <t>(31) 99324-2948</t>
  </si>
  <si>
    <t>Thaís Moreira Costa</t>
  </si>
  <si>
    <t>thais.costa74@gmail.com</t>
  </si>
  <si>
    <t>Olivia Campos</t>
  </si>
  <si>
    <t>134.992.920-41</t>
  </si>
  <si>
    <t>olivia.campos45@gmail.com</t>
  </si>
  <si>
    <t>(41) 98669-4557</t>
  </si>
  <si>
    <t>Thaís Almeida Machado</t>
  </si>
  <si>
    <t>thais.machado54@gmail.com</t>
  </si>
  <si>
    <t>94233-7757</t>
  </si>
  <si>
    <t>33879248796</t>
  </si>
  <si>
    <t>vitoria.cardoso54@yahoo.com.br</t>
  </si>
  <si>
    <t>99593-3394</t>
  </si>
  <si>
    <t>Paulo Teixeira</t>
  </si>
  <si>
    <t>paulo.teixeira1@hotmail.com</t>
  </si>
  <si>
    <t>92746-5203</t>
  </si>
  <si>
    <t>Beatriz Fernandes</t>
  </si>
  <si>
    <t>243.301.252-00</t>
  </si>
  <si>
    <t>beatriz.fernandes26@hotmail.com</t>
  </si>
  <si>
    <t>(19) 93547-8455</t>
  </si>
  <si>
    <t>Helena C. Souza</t>
  </si>
  <si>
    <t>helena.souza70@gmial.com</t>
  </si>
  <si>
    <t>Luan Carvalho Marques</t>
  </si>
  <si>
    <t>053.500.701-93</t>
  </si>
  <si>
    <t>luan.marques67@outlook.com</t>
  </si>
  <si>
    <t>(47) 97709-1546</t>
  </si>
  <si>
    <t>569.169.460-08</t>
  </si>
  <si>
    <t>emanuelly.silva29@gmail.com</t>
  </si>
  <si>
    <t>082.001.952-60</t>
  </si>
  <si>
    <t>rafaela.nascimento57@uol.com.br</t>
  </si>
  <si>
    <t>(11) 92996-5402</t>
  </si>
  <si>
    <t>Lorena Moreira</t>
  </si>
  <si>
    <t>lorena.moreira10@outlook.com</t>
  </si>
  <si>
    <t>92061-4314</t>
  </si>
  <si>
    <t>Enzo Ferreira Batista</t>
  </si>
  <si>
    <t>696.028.328-00</t>
  </si>
  <si>
    <t>enzo.batista84@hotmail.com</t>
  </si>
  <si>
    <t>(11) 90458-9984</t>
  </si>
  <si>
    <t>Otávio Ferreira</t>
  </si>
  <si>
    <t>otavio.ferreira34@gmail.com</t>
  </si>
  <si>
    <t>462.709.601-18</t>
  </si>
  <si>
    <t>ana.machado19@yahoo.com.br</t>
  </si>
  <si>
    <t>(19) 96152-7912</t>
  </si>
  <si>
    <t>Júlia Lopes Almeida</t>
  </si>
  <si>
    <t>julia.almeida27@yahoo.com.br</t>
  </si>
  <si>
    <t>(11) 98757-2801</t>
  </si>
  <si>
    <t>Thaís Santana</t>
  </si>
  <si>
    <t>thais.santana11@gmail.com</t>
  </si>
  <si>
    <t>(47) 98639-9286</t>
  </si>
  <si>
    <t>davi.cardoso18@gmail.com</t>
  </si>
  <si>
    <t>96730-6542</t>
  </si>
  <si>
    <t>Ana Nascimento</t>
  </si>
  <si>
    <t>ana.nascimento22@bol.com.br</t>
  </si>
  <si>
    <t>93625-8743</t>
  </si>
  <si>
    <t>117.120.379-61</t>
  </si>
  <si>
    <t>larissa.nunes10@gmail.com</t>
  </si>
  <si>
    <t>99932-5214</t>
  </si>
  <si>
    <t>Vanessa Lopes Ribeiro</t>
  </si>
  <si>
    <t>vanessa.ribeiro78@outlook.com</t>
  </si>
  <si>
    <t>Daniela Soares Rocha</t>
  </si>
  <si>
    <t>daniela.rocha13@outlook.com</t>
  </si>
  <si>
    <t>(41) 98732-1031</t>
  </si>
  <si>
    <t>Isabela Dias Almeida</t>
  </si>
  <si>
    <t>isabela.almeida97@hotmail.com</t>
  </si>
  <si>
    <t>Paula Ferreira</t>
  </si>
  <si>
    <t>paula.ferreira24@gmail.com</t>
  </si>
  <si>
    <t>Débora Machado Gomes</t>
  </si>
  <si>
    <t>076.716.887-97</t>
  </si>
  <si>
    <t>debora.gomes47@outlook.com</t>
  </si>
  <si>
    <t>gustavo.farias52@gmail.com</t>
  </si>
  <si>
    <t>luana.ramos76@outlook.com</t>
  </si>
  <si>
    <t>(41) 97789-7959</t>
  </si>
  <si>
    <t>Yasmin Moreira Gomes</t>
  </si>
  <si>
    <t>yasmin.gomes54@bol.com.br</t>
  </si>
  <si>
    <t>(41) 90683-6190</t>
  </si>
  <si>
    <t>Beatriz Freitas Santos</t>
  </si>
  <si>
    <t>640.638.787-24</t>
  </si>
  <si>
    <t>beatriz.santos52@gmail.com</t>
  </si>
  <si>
    <t>(31) 95653-0993</t>
  </si>
  <si>
    <t>Letícia Marques Lopes</t>
  </si>
  <si>
    <t>leticia.lopes33@hotmail.com</t>
  </si>
  <si>
    <t>Emanuelly Costa Lima</t>
  </si>
  <si>
    <t>emanuelly.lima15@hotmail.com</t>
  </si>
  <si>
    <t>Sofia T. Peixoto</t>
  </si>
  <si>
    <t>sofia.peixoto18@hotmail.com</t>
  </si>
  <si>
    <t>Clara Correia Marques</t>
  </si>
  <si>
    <t>clara.marques50@hotmail.com</t>
  </si>
  <si>
    <t>Helena Teixeira</t>
  </si>
  <si>
    <t>helena.teixeira94@gmail.com</t>
  </si>
  <si>
    <t>(62) 96898-8397</t>
  </si>
  <si>
    <t>189.839.983-26</t>
  </si>
  <si>
    <t>aline.almeida78@gmail.com</t>
  </si>
  <si>
    <t>Guilherme Almeida</t>
  </si>
  <si>
    <t>guilherme.almeida39@uol.com.br</t>
  </si>
  <si>
    <t>Fernanda Alves</t>
  </si>
  <si>
    <t>fernanda.alves27@gmail.com</t>
  </si>
  <si>
    <t>(31) 90427-0344</t>
  </si>
  <si>
    <t>Daniela Campos Nunes</t>
  </si>
  <si>
    <t>daniela.nunes74@icloud.com</t>
  </si>
  <si>
    <t>gabriela.nascimento15@gmail.com</t>
  </si>
  <si>
    <t>457.408.864-81</t>
  </si>
  <si>
    <t>cecilia.nascimento2@hotmail.com</t>
  </si>
  <si>
    <t>(11) 96432-7192</t>
  </si>
  <si>
    <t>marina.campos68@icloud.com</t>
  </si>
  <si>
    <t>(11) 98086-8562</t>
  </si>
  <si>
    <t>Nicole Martins</t>
  </si>
  <si>
    <t>696.556.958-16</t>
  </si>
  <si>
    <t>nicole.martins52@bol.com.br</t>
  </si>
  <si>
    <t>(11) 92619-2448</t>
  </si>
  <si>
    <t>Carolina Almeida</t>
  </si>
  <si>
    <t>(19) 97665-4054</t>
  </si>
  <si>
    <t>997.994.453-61</t>
  </si>
  <si>
    <t>julia.alves43@icloud.com</t>
  </si>
  <si>
    <t>(11) 97517-5249</t>
  </si>
  <si>
    <t>Tainá Lima</t>
  </si>
  <si>
    <t>taina.lima90@gmail.com</t>
  </si>
  <si>
    <t>(11) 92807-1864</t>
  </si>
  <si>
    <t>Melissa Tavares</t>
  </si>
  <si>
    <t>melissa.tavares29@gmail.com</t>
  </si>
  <si>
    <t>Kamila Santos Rodrigues</t>
  </si>
  <si>
    <t>kamila.rodrigues61@gmail.com</t>
  </si>
  <si>
    <t>aline.teixeira8@hotmail.com</t>
  </si>
  <si>
    <t>242.409.051-33</t>
  </si>
  <si>
    <t>kaua.gomes65@outlook.com</t>
  </si>
  <si>
    <t>Ana Pinto</t>
  </si>
  <si>
    <t>ana.pinto99@outlook.com</t>
  </si>
  <si>
    <t>97365-6883</t>
  </si>
  <si>
    <t>Natália Martins</t>
  </si>
  <si>
    <t>natalia.martins23@outlook.com</t>
  </si>
  <si>
    <t>Enzo Silva</t>
  </si>
  <si>
    <t>enzo.silva48@yahoo.com.br</t>
  </si>
  <si>
    <t>627.460.961-02</t>
  </si>
  <si>
    <t>davi.batista98@gmail.com</t>
  </si>
  <si>
    <t>Rodrigo T. Nogueira</t>
  </si>
  <si>
    <t>rodrigo.nogueira68@outlook.com</t>
  </si>
  <si>
    <t>(11) 93478-3134</t>
  </si>
  <si>
    <t>Henrique Oliveira Gomes</t>
  </si>
  <si>
    <t>henrique.gomes83@yahoo.com.br</t>
  </si>
  <si>
    <t>(31) 98963-0812</t>
  </si>
  <si>
    <t>icaro.rodrigues58@gmail.com</t>
  </si>
  <si>
    <t>(41) 95767-5432</t>
  </si>
  <si>
    <t>Emanuelly R. Cavalcanti</t>
  </si>
  <si>
    <t>517.396.970-90</t>
  </si>
  <si>
    <t>emanuelly.cavalcanti7@gmail.com</t>
  </si>
  <si>
    <t>(31) 94547-0626</t>
  </si>
  <si>
    <t>Luana Ribeiro Cardoso</t>
  </si>
  <si>
    <t>luana.cardoso13@gmail.com</t>
  </si>
  <si>
    <t>(11) 99886-3809</t>
  </si>
  <si>
    <t>Ícaro Soares Fernandes</t>
  </si>
  <si>
    <t>icaro.fernandes84@hotmail.com</t>
  </si>
  <si>
    <t>(31) 98100-2538</t>
  </si>
  <si>
    <t>Marina Marques</t>
  </si>
  <si>
    <t>marina.marques86@outlook.com</t>
  </si>
  <si>
    <t>Samuel Pinto</t>
  </si>
  <si>
    <t>samuel.pinto69@hotmail.com</t>
  </si>
  <si>
    <t>90822-9730</t>
  </si>
  <si>
    <t>563.944.608-00</t>
  </si>
  <si>
    <t>yasmin.gomes38@outlook.com</t>
  </si>
  <si>
    <t>Paula Ferreira Peixoto</t>
  </si>
  <si>
    <t>paula.peixoto36@gmail.com</t>
  </si>
  <si>
    <t>(11) 94561-9054</t>
  </si>
  <si>
    <t>766.010.604-02</t>
  </si>
  <si>
    <t>lucas.martins52@gmail.com</t>
  </si>
  <si>
    <t>isabela.lopes28@yahoo.com.br</t>
  </si>
  <si>
    <t>Jaqueline R. Campos</t>
  </si>
  <si>
    <t>jaqueline.campos49@gmail.com</t>
  </si>
  <si>
    <t>97617-3048</t>
  </si>
  <si>
    <t>Júlia Batista</t>
  </si>
  <si>
    <t>101.665.274-75</t>
  </si>
  <si>
    <t>(41) 95644-8177</t>
  </si>
  <si>
    <t>Cecília Souza</t>
  </si>
  <si>
    <t>cecilia.souza7@icloud.com</t>
  </si>
  <si>
    <t>(11) 96589-8301</t>
  </si>
  <si>
    <t>Paulo Barbosa Gomes</t>
  </si>
  <si>
    <t>paulo.gomes48@hotmail.com</t>
  </si>
  <si>
    <t>(31) 98822-6467</t>
  </si>
  <si>
    <t>heloisa.nascimento80@outlook.com</t>
  </si>
  <si>
    <t>(11) 90917-9771</t>
  </si>
  <si>
    <t>Renan Ramos</t>
  </si>
  <si>
    <t>654.545.222-36</t>
  </si>
  <si>
    <t>renan.ramos63@outlook.com</t>
  </si>
  <si>
    <t>081.642.495-05</t>
  </si>
  <si>
    <t>99654-1178</t>
  </si>
  <si>
    <t>Lívia Lopes Fonseca</t>
  </si>
  <si>
    <t>459.660.328-66</t>
  </si>
  <si>
    <t>livia.fonseca26@outlook.com</t>
  </si>
  <si>
    <t>(31) 94573-3570</t>
  </si>
  <si>
    <t>pedro.correia57@gmail.com</t>
  </si>
  <si>
    <t>Arthur Nogueira</t>
  </si>
  <si>
    <t>arthur.nogueira27@hotmail.com</t>
  </si>
  <si>
    <t>91194-6518</t>
  </si>
  <si>
    <t>Vinícius Mendes</t>
  </si>
  <si>
    <t>vinicius.mendes84@uol.com.br</t>
  </si>
  <si>
    <t>pedro.souza10@hotmail.com</t>
  </si>
  <si>
    <t>99743-7799</t>
  </si>
  <si>
    <t>Rodrigo Rodrigues</t>
  </si>
  <si>
    <t>154.231.995-14</t>
  </si>
  <si>
    <t>rodrigo.rodrigues10@gmail.com</t>
  </si>
  <si>
    <t>92825-5332</t>
  </si>
  <si>
    <t>Thiago Souza Ferreira</t>
  </si>
  <si>
    <t>thiago.ferreira82@hotmail.com</t>
  </si>
  <si>
    <t>(41) 93115-2519</t>
  </si>
  <si>
    <t>Alexandre Almeida Ribeiro</t>
  </si>
  <si>
    <t>alexandre.ribeiro28@yahoo.com.br</t>
  </si>
  <si>
    <t>94371-6949</t>
  </si>
  <si>
    <t>renan.nunes11@hotmail.com</t>
  </si>
  <si>
    <t>Priscila Ferreira</t>
  </si>
  <si>
    <t>priscila.ferreira4@hotmail.com</t>
  </si>
  <si>
    <t>Mariana Moreira</t>
  </si>
  <si>
    <t>mariana.moreira10@hotmail.com</t>
  </si>
  <si>
    <t>Débora Mendes Rocha</t>
  </si>
  <si>
    <t>debora.rocha34@gmail.com</t>
  </si>
  <si>
    <t>Marcelo N. Monteiro</t>
  </si>
  <si>
    <t>marcelo.monteiro71@bol.com.br</t>
  </si>
  <si>
    <t>cadastro refeito</t>
  </si>
  <si>
    <t>Marcelo Farias Ramos</t>
  </si>
  <si>
    <t>marcelo.ramos70@gmail.com</t>
  </si>
  <si>
    <t>Juliana Rodrigues Fernandes</t>
  </si>
  <si>
    <t>juliana.fernandes94@yahoo.com.br</t>
  </si>
  <si>
    <t>(41) 90832-1755</t>
  </si>
  <si>
    <t>028.899.494-94</t>
  </si>
  <si>
    <t>eduarda.fonseca38@hotmail.com</t>
  </si>
  <si>
    <t>Lorenzo Peixoto</t>
  </si>
  <si>
    <t>842.982.767-67</t>
  </si>
  <si>
    <t>lorenzo.peixoto86@hotmail.com</t>
  </si>
  <si>
    <t>Heitor Tavares Oliveira</t>
  </si>
  <si>
    <t>heitor.oliveira33@gmail.com</t>
  </si>
  <si>
    <t>(11) 96647-7712</t>
  </si>
  <si>
    <t>Vinícius Ramos</t>
  </si>
  <si>
    <t>vinicius.ramos45@gmail.com</t>
  </si>
  <si>
    <t>Hugo Ramos Moura</t>
  </si>
  <si>
    <t>443.059.045-19</t>
  </si>
  <si>
    <t>hugo.moura72@gmail.com</t>
  </si>
  <si>
    <t>gustavo.fonseca11@gmial.com</t>
  </si>
  <si>
    <t>(11) 99618-3375</t>
  </si>
  <si>
    <t>Rafaela Pinto</t>
  </si>
  <si>
    <t>326.015.252-07</t>
  </si>
  <si>
    <t>rafaela.pinto45@gmail.com</t>
  </si>
  <si>
    <t>Juliana Fernandes</t>
  </si>
  <si>
    <t>028.508.439-97</t>
  </si>
  <si>
    <t>juliana.fernandes23@uol.com.br</t>
  </si>
  <si>
    <t>(11) 95535-6647</t>
  </si>
  <si>
    <t>Vanessa B. Silva</t>
  </si>
  <si>
    <t>306.485.565-49</t>
  </si>
  <si>
    <t>vanessa.silva35@gmail.com</t>
  </si>
  <si>
    <t>Leonardo Carvalho Marques</t>
  </si>
  <si>
    <t>69974750008</t>
  </si>
  <si>
    <t>(11) 96490-0173</t>
  </si>
  <si>
    <t>João Barros</t>
  </si>
  <si>
    <t>996.944.942-73</t>
  </si>
  <si>
    <t>Marina Correia</t>
  </si>
  <si>
    <t>90397356706</t>
  </si>
  <si>
    <t>marina.correia75@hotmail.com</t>
  </si>
  <si>
    <t>(11) 96113-2008</t>
  </si>
  <si>
    <t>028.381.745-33</t>
  </si>
  <si>
    <t>natalia.nogueira413@gmail.com</t>
  </si>
  <si>
    <t>arthur.cavalcanti66@gmail.com</t>
  </si>
  <si>
    <t>helena.teixeira19@hotmail.com</t>
  </si>
  <si>
    <t>(19) 93149-6606</t>
  </si>
  <si>
    <t>lorenzo.goncalves71@gmail.com</t>
  </si>
  <si>
    <t>Vitória Nogueira Gomes</t>
  </si>
  <si>
    <t>vitoria.gomes69@hotmail.com</t>
  </si>
  <si>
    <t>886.333.650-49</t>
  </si>
  <si>
    <t>caua.teixeira48@gmail.com</t>
  </si>
  <si>
    <t>leticia.fernandes70@gmail.com</t>
  </si>
  <si>
    <t>(11) 97278-1250</t>
  </si>
  <si>
    <t>(11) 91109-3877</t>
  </si>
  <si>
    <t>Eduardo Andrade Rocha</t>
  </si>
  <si>
    <t>(11) 90176-0232</t>
  </si>
  <si>
    <t>sabrina.nascimento19@gmail.com</t>
  </si>
  <si>
    <t>paula.campos91@gmail.com</t>
  </si>
  <si>
    <t>(41) 90462-7322</t>
  </si>
  <si>
    <t>matheus.fonseca34@hotmail.com</t>
  </si>
  <si>
    <t>Rodrigo Cavalcanti Lima</t>
  </si>
  <si>
    <t>634.108.642-37</t>
  </si>
  <si>
    <t>rodrigo.lima85@hotmail.com</t>
  </si>
  <si>
    <t>90557-5789</t>
  </si>
  <si>
    <t>Kamila Moreira</t>
  </si>
  <si>
    <t>kamila.moreira15@gmail.com</t>
  </si>
  <si>
    <t>Renata G. Fonseca</t>
  </si>
  <si>
    <t>renata.fonseca65@hotmail.com</t>
  </si>
  <si>
    <t>(41) 98091-7082</t>
  </si>
  <si>
    <t>Rafael Silva</t>
  </si>
  <si>
    <t>rafael.silva73@gmail.com</t>
  </si>
  <si>
    <t>alice.lima85@hotmail.com</t>
  </si>
  <si>
    <t>(11) 94421-2062</t>
  </si>
  <si>
    <t>Giovanna Farias Marques</t>
  </si>
  <si>
    <t>247.229.565-02</t>
  </si>
  <si>
    <t>giovanna.marques23@gmail.com</t>
  </si>
  <si>
    <t>99507-8353</t>
  </si>
  <si>
    <t>Alexandre Lopes Martins</t>
  </si>
  <si>
    <t>420.881.664-32</t>
  </si>
  <si>
    <t>alexandre.martins92@hotmail.com</t>
  </si>
  <si>
    <t>(85) 99521-0580</t>
  </si>
  <si>
    <t>Paulo Souza</t>
  </si>
  <si>
    <t>paulo.souza66@gmail.com</t>
  </si>
  <si>
    <t>Juliana Andrade</t>
  </si>
  <si>
    <t>juliana.andrade37@hotmail.com</t>
  </si>
  <si>
    <t>Samuel Nogueira</t>
  </si>
  <si>
    <t>287.771.216-86</t>
  </si>
  <si>
    <t>samuel.nogueira50@bol.com.br</t>
  </si>
  <si>
    <t>Luana Rocha</t>
  </si>
  <si>
    <t>559.787.312-17</t>
  </si>
  <si>
    <t>(11) 95205-7446</t>
  </si>
  <si>
    <t>Breno Silva Nunes</t>
  </si>
  <si>
    <t>breno.nunes9@gmail.com</t>
  </si>
  <si>
    <t>Andre Moreira Santos</t>
  </si>
  <si>
    <t>andre.santos54@gmail.com</t>
  </si>
  <si>
    <t>Luana Pinto</t>
  </si>
  <si>
    <t>47049241300</t>
  </si>
  <si>
    <t>luana.pinto2@gmail.com</t>
  </si>
  <si>
    <t>(31) 90605-1096</t>
  </si>
  <si>
    <t>Alice Monteiro Moreira</t>
  </si>
  <si>
    <t>920.354.730-47</t>
  </si>
  <si>
    <t>alice.moreira16@uol.com.br</t>
  </si>
  <si>
    <t>Kamila Tavares Pereira</t>
  </si>
  <si>
    <t>572.674.653-82</t>
  </si>
  <si>
    <t>kamila.pereira13@hotmail.com</t>
  </si>
  <si>
    <t>(51) 93361-3581</t>
  </si>
  <si>
    <t>aline.araujo85@yahoo.com.br</t>
  </si>
  <si>
    <t>(11) 90580-3144</t>
  </si>
  <si>
    <t>Lorena Batista</t>
  </si>
  <si>
    <t>857.757.556-00</t>
  </si>
  <si>
    <t>marcelo.batista59@gmail.com</t>
  </si>
  <si>
    <t>breno.cavalcanti85@gmail.com</t>
  </si>
  <si>
    <t>Sabrina Pereira</t>
  </si>
  <si>
    <t>sabrina.pereira8@gmail.com</t>
  </si>
  <si>
    <t>(11) 91290-2369</t>
  </si>
  <si>
    <t>Heloísa Nunes</t>
  </si>
  <si>
    <t>heloisa.nunes8@gmail.com</t>
  </si>
  <si>
    <t>357.048.682-66</t>
  </si>
  <si>
    <t>nicolas.nascimento45@hotmail.com</t>
  </si>
  <si>
    <t>495.147.810-23</t>
  </si>
  <si>
    <t>gustavo.barbosa9@hotmail.com</t>
  </si>
  <si>
    <t>93339-8875</t>
  </si>
  <si>
    <t>Lorena Andrade Lopes</t>
  </si>
  <si>
    <t>lorena.lopes74@yahoo.com.br</t>
  </si>
  <si>
    <t>Renata Peixoto Freitas</t>
  </si>
  <si>
    <t>renata.freitas15@yahoo.com.br</t>
  </si>
  <si>
    <t>Teo G. Campos</t>
  </si>
  <si>
    <t>teo.campos37@gmail.com</t>
  </si>
  <si>
    <t>Bianca Costa Almeida</t>
  </si>
  <si>
    <t>bianca.almeida74@gmail.com</t>
  </si>
  <si>
    <t>Ícaro N. Peixoto</t>
  </si>
  <si>
    <t>icaro.peixoto48@yahoo.com.br</t>
  </si>
  <si>
    <t>(11) 99131-9092</t>
  </si>
  <si>
    <t>Priscila M. Cardoso</t>
  </si>
  <si>
    <t>639.229.499-67</t>
  </si>
  <si>
    <t>priscila.cardoso3@outlook.com</t>
  </si>
  <si>
    <t>Rodrigo Correia Rodrigues</t>
  </si>
  <si>
    <t>rodrigo.rodrigues21@yahoo.com.br</t>
  </si>
  <si>
    <t>Mariana Marques</t>
  </si>
  <si>
    <t>mariana.marques74@icloud.com</t>
  </si>
  <si>
    <t>Gabriel Mendes</t>
  </si>
  <si>
    <t>gabriel.mendes40@hotmail.com</t>
  </si>
  <si>
    <t>(31) 94072-7339</t>
  </si>
  <si>
    <t>olivia.alves38@gmail.com</t>
  </si>
  <si>
    <t>Gustavo Freitas Nascimento</t>
  </si>
  <si>
    <t>gustavo.nascimento8@hotmail.com</t>
  </si>
  <si>
    <t>(47) 93402-4327</t>
  </si>
  <si>
    <t>984.711.503-60</t>
  </si>
  <si>
    <t>ana.nunes38@uol.com.br</t>
  </si>
  <si>
    <t>360.456.401-87</t>
  </si>
  <si>
    <t>juliana.nogueira85@icloud.com</t>
  </si>
  <si>
    <t>44079782950</t>
  </si>
  <si>
    <t>natalia.monteiro62@gmail.com</t>
  </si>
  <si>
    <t>(11) 94083-4847</t>
  </si>
  <si>
    <t>thais.marques4@hotmail.com</t>
  </si>
  <si>
    <t>Otavio Machado Gomes</t>
  </si>
  <si>
    <t>55402512450</t>
  </si>
  <si>
    <t>otavio.gomes55@gmail.com</t>
  </si>
  <si>
    <t>Giovanna Freitas</t>
  </si>
  <si>
    <t>giovanna.freitas9@bol.com.br</t>
  </si>
  <si>
    <t>renata.costa63@gmail.com</t>
  </si>
  <si>
    <t>(41) 97577-9826</t>
  </si>
  <si>
    <t>Clara Nunes Teixeira</t>
  </si>
  <si>
    <t>29960844544</t>
  </si>
  <si>
    <t>clara.teixeira13@gmail.com</t>
  </si>
  <si>
    <t>(11) 97255-8662</t>
  </si>
  <si>
    <t>Marina Cavalcanti</t>
  </si>
  <si>
    <t>marina.cavalcanti28@gmail.com</t>
  </si>
  <si>
    <t>Lorenzo B. Correia</t>
  </si>
  <si>
    <t>lorenzo.correia58@uol.com.br</t>
  </si>
  <si>
    <t>Manuela Fernandes Cardoso</t>
  </si>
  <si>
    <t>17763641126</t>
  </si>
  <si>
    <t>manuela.cardoso76@gmail.com</t>
  </si>
  <si>
    <t>(31) 93930-2871</t>
  </si>
  <si>
    <t>Emanuelly Dias Almeida</t>
  </si>
  <si>
    <t>662.519.674-63</t>
  </si>
  <si>
    <t>emanuelly.almeida96@gmail.com</t>
  </si>
  <si>
    <t>(11) 91598-8806</t>
  </si>
  <si>
    <t>Giovanna Mendes Gomes</t>
  </si>
  <si>
    <t>648.231.274-80</t>
  </si>
  <si>
    <t>giovanna.gomes24@hotmail.com</t>
  </si>
  <si>
    <t>vanessa.carvalho43@outlook.com</t>
  </si>
  <si>
    <t>(41) 92492-4991</t>
  </si>
  <si>
    <t>Emanuelly Andrade Ferreira</t>
  </si>
  <si>
    <t>618.716.824-01</t>
  </si>
  <si>
    <t>emanuelly.ferreira17@hotmail.com</t>
  </si>
  <si>
    <t>(31) 90589-4532</t>
  </si>
  <si>
    <t>Paula Ramos Tavares</t>
  </si>
  <si>
    <t>paula.tavares20@icloud.com</t>
  </si>
  <si>
    <t>pedro.almeida682@hotmail.com</t>
  </si>
  <si>
    <t>Tainá Peixoto</t>
  </si>
  <si>
    <t>696.816.090-00</t>
  </si>
  <si>
    <t>taina.peixoto23@outlook.com</t>
  </si>
  <si>
    <t>99407-9320</t>
  </si>
  <si>
    <t>40953272940</t>
  </si>
  <si>
    <t>Ícaro Lima</t>
  </si>
  <si>
    <t>Larissa Pinto Tavares</t>
  </si>
  <si>
    <t>larissa.tavares72@hotmail.com</t>
  </si>
  <si>
    <t>Marcelo P. Almeida</t>
  </si>
  <si>
    <t>marcelo.almeida41@outlook.com</t>
  </si>
  <si>
    <t>(31) 94729-0519</t>
  </si>
  <si>
    <t>Sabrina Peixoto</t>
  </si>
  <si>
    <t>Rodrigo Oliveira Silva</t>
  </si>
  <si>
    <t>rodrigo.silva81@gmail.com</t>
  </si>
  <si>
    <t>Marcelo Silva Batista</t>
  </si>
  <si>
    <t>(41) 99949-4321</t>
  </si>
  <si>
    <t>Fernanda Rocha</t>
  </si>
  <si>
    <t>fernanda.rocha99@gmail.com</t>
  </si>
  <si>
    <t>Manuela Correia Pereira</t>
  </si>
  <si>
    <t>manuela.pereira16@hotmail.com</t>
  </si>
  <si>
    <t>Juliana Araujo</t>
  </si>
  <si>
    <t>juliana.araujo1@gmail.com</t>
  </si>
  <si>
    <t>Nicole Barros Santana</t>
  </si>
  <si>
    <t>nicole.santana58@uol.com.br</t>
  </si>
  <si>
    <t>(11) 99170-8197</t>
  </si>
  <si>
    <t>nicole.silva33@gmail.com</t>
  </si>
  <si>
    <t>91815-1155</t>
  </si>
  <si>
    <t>Arthur Rocha</t>
  </si>
  <si>
    <t>arthur.rocha77@hotmail.com</t>
  </si>
  <si>
    <t>(41) 94111-2216</t>
  </si>
  <si>
    <t>Arthur Carvalho</t>
  </si>
  <si>
    <t>380.975.180-40</t>
  </si>
  <si>
    <t>arthur.carvalho65@gmail.com</t>
  </si>
  <si>
    <t>(31) 95621-9348</t>
  </si>
  <si>
    <t>Giovanna Costa</t>
  </si>
  <si>
    <t>giovanna.costa35@yahoo.com.br</t>
  </si>
  <si>
    <t>(11) 94384-8996</t>
  </si>
  <si>
    <t>Giovanna Fonseca</t>
  </si>
  <si>
    <t>083.566.278-00</t>
  </si>
  <si>
    <t>giovanna.fonseca1@gmail.com</t>
  </si>
  <si>
    <t>Nicole Nogueira</t>
  </si>
  <si>
    <t>900.765.637-66</t>
  </si>
  <si>
    <t>nicole.nogueira77@gmail.com</t>
  </si>
  <si>
    <t>Larissa Mendes Freitas</t>
  </si>
  <si>
    <t>larissa.freitas19@yahoo.com.br</t>
  </si>
  <si>
    <t>lucas.almeida35@gmail.com</t>
  </si>
  <si>
    <t>(11) 90042-8315</t>
  </si>
  <si>
    <t>Caio Teixeira</t>
  </si>
  <si>
    <t>caio.teixeira18@icloud.com</t>
  </si>
  <si>
    <t>98898-0757</t>
  </si>
  <si>
    <t>391.295.570-03</t>
  </si>
  <si>
    <t>fernanda.martins70@bol.com.br</t>
  </si>
  <si>
    <t>(41) 93516-3831</t>
  </si>
  <si>
    <t>Ricardo Barros Nunes</t>
  </si>
  <si>
    <t>ricardo.nunes88@hotmail.com</t>
  </si>
  <si>
    <t>carolina.soares74@gmail.com</t>
  </si>
  <si>
    <t>(71) 98413-0988</t>
  </si>
  <si>
    <t>Jaqueline Barros Araujo</t>
  </si>
  <si>
    <t>jaqueline.araujo8@gmail.com</t>
  </si>
  <si>
    <t>94945-7218</t>
  </si>
  <si>
    <t>julia.freitas90@yahoo.com.br</t>
  </si>
  <si>
    <t>(11) 96877-2317</t>
  </si>
  <si>
    <t>rodrigo.marques50@gmail.com</t>
  </si>
  <si>
    <t>(41) 98692-1454</t>
  </si>
  <si>
    <t>BRENO SILVA FARIAS</t>
  </si>
  <si>
    <t>859.410.216-07</t>
  </si>
  <si>
    <t>Vitor Fonseca</t>
  </si>
  <si>
    <t>vitor.fonseca14@gmail.com</t>
  </si>
  <si>
    <t>(31) 95431-1308</t>
  </si>
  <si>
    <t>eduarda.pinto52@hotmail.com</t>
  </si>
  <si>
    <t>197.277.846-31</t>
  </si>
  <si>
    <t>daniel.andrade6@uol.com.br</t>
  </si>
  <si>
    <t>Yuri Almeida Santos</t>
  </si>
  <si>
    <t>814.605.515-08</t>
  </si>
  <si>
    <t>yuri.santos76@yahoo.com.br</t>
  </si>
  <si>
    <t>91080-3233</t>
  </si>
  <si>
    <t>Ricardo O. Rezende</t>
  </si>
  <si>
    <t>242.924.879-44</t>
  </si>
  <si>
    <t>ricardo.rezende14@gmail.com</t>
  </si>
  <si>
    <t>90483-8763</t>
  </si>
  <si>
    <t>Luana Tavares</t>
  </si>
  <si>
    <t>luana.tavares88@bol.com.br</t>
  </si>
  <si>
    <t>(51) 96414-3902</t>
  </si>
  <si>
    <t>Juliana Vieira Costa</t>
  </si>
  <si>
    <t>juliana.costa26@gmail.com</t>
  </si>
  <si>
    <t>(31) 91625-2448</t>
  </si>
  <si>
    <t>ana.farias68@hotmail.com</t>
  </si>
  <si>
    <t>(11) 95467-3989</t>
  </si>
  <si>
    <t>547.639.876-74</t>
  </si>
  <si>
    <t>samuel.farias38@yahoo.com.br</t>
  </si>
  <si>
    <t>(11) 90103-8236</t>
  </si>
  <si>
    <t>249.202.150-53</t>
  </si>
  <si>
    <t>laura.mendes48@yahoo.com.br</t>
  </si>
  <si>
    <t>João Oliveira Cardoso</t>
  </si>
  <si>
    <t>joao.cardoso58@gmail.com</t>
  </si>
  <si>
    <t>Letícia Correia Peixoto</t>
  </si>
  <si>
    <t>149.790.884-14</t>
  </si>
  <si>
    <t>leticia.peixoto13@uol.com.br</t>
  </si>
  <si>
    <t>Bruna Barbosa Monteiro</t>
  </si>
  <si>
    <t>bruna.monteiro2@gmail.com</t>
  </si>
  <si>
    <t>Alexandre Oliveira</t>
  </si>
  <si>
    <t>alexandre.oliveira15@gmial.com</t>
  </si>
  <si>
    <t>(31) 99866-0683</t>
  </si>
  <si>
    <t>Alice D. Rodrigues</t>
  </si>
  <si>
    <t>alice.rodrigues25@gmail.com</t>
  </si>
  <si>
    <t>Aline Teixeira Nascimento</t>
  </si>
  <si>
    <t>383.154.106-01</t>
  </si>
  <si>
    <t>aline.nascimento8@gmail.com</t>
  </si>
  <si>
    <t>Arthur Goncalves</t>
  </si>
  <si>
    <t>arthur.goncalves95@uol.com.br</t>
  </si>
  <si>
    <t>Beatriz Farias Campos</t>
  </si>
  <si>
    <t>Beatriz Rocha</t>
  </si>
  <si>
    <t>beatriz.rocha85@outlook.com</t>
  </si>
  <si>
    <t>Bianca Rocha</t>
  </si>
  <si>
    <t>bianca.rocha44@gmail.com</t>
  </si>
  <si>
    <t>(51) 99154-9504</t>
  </si>
  <si>
    <t>Bruna Araújo Dias</t>
  </si>
  <si>
    <t>bruna.dias54@outlook.com</t>
  </si>
  <si>
    <t>(51) 95578-8217</t>
  </si>
  <si>
    <t>Bruna Campos Batista</t>
  </si>
  <si>
    <t>bruna.batista55@outlook.com</t>
  </si>
  <si>
    <t>Bruna Dias Farias</t>
  </si>
  <si>
    <t>bruna.farias43@gmail.com</t>
  </si>
  <si>
    <t>767.411.699-97</t>
  </si>
  <si>
    <t>bruna.fonseca54@bol.com.br</t>
  </si>
  <si>
    <t>(41) 96608-3523</t>
  </si>
  <si>
    <t>Bruna Gonçalves</t>
  </si>
  <si>
    <t>(41) 97047-6257</t>
  </si>
  <si>
    <t>(11) 97576-2089</t>
  </si>
  <si>
    <t>Caetano Peixoto Araújo</t>
  </si>
  <si>
    <t>102.281.710-83</t>
  </si>
  <si>
    <t>caetano.araujo71@gmail.com</t>
  </si>
  <si>
    <t>Caio Gomes</t>
  </si>
  <si>
    <t>290.125.391-10</t>
  </si>
  <si>
    <t>caio.gomes11@gmail.com</t>
  </si>
  <si>
    <t>Camila Andrade</t>
  </si>
  <si>
    <t>camila.andrade58@gmail.com</t>
  </si>
  <si>
    <t>(11) 94293-1768</t>
  </si>
  <si>
    <t>846.501.094-34</t>
  </si>
  <si>
    <t>(11) 95221-4754</t>
  </si>
  <si>
    <t>Carolina Santos Ribeiro</t>
  </si>
  <si>
    <t>44283612979</t>
  </si>
  <si>
    <t>carolina.ribeiro93@gmail.com</t>
  </si>
  <si>
    <t>Cauã Marques</t>
  </si>
  <si>
    <t>392.872.350-23</t>
  </si>
  <si>
    <t>caua.marques56@gmail.com</t>
  </si>
  <si>
    <t>Cecília Batista Barros</t>
  </si>
  <si>
    <t>15191121732</t>
  </si>
  <si>
    <t>cecilia.barros8@gmail.com</t>
  </si>
  <si>
    <t>Cecília Cavalcanti Moreira</t>
  </si>
  <si>
    <t>095.151.724-46</t>
  </si>
  <si>
    <t>cecilia.moreira38@bol.com.br</t>
  </si>
  <si>
    <t>934.365.449-90</t>
  </si>
  <si>
    <t>cecilia.fernandes88@gmail.com</t>
  </si>
  <si>
    <t>99454-2615</t>
  </si>
  <si>
    <t>183.402.550-88</t>
  </si>
  <si>
    <t>daniela.barbosa127@gmail.com</t>
  </si>
  <si>
    <t>Daniela Moura</t>
  </si>
  <si>
    <t>daniela.moura94@icloud.com</t>
  </si>
  <si>
    <t>Daniela Nogueira</t>
  </si>
  <si>
    <t>(11) 94440-0636</t>
  </si>
  <si>
    <t>804.398.212-07</t>
  </si>
  <si>
    <t>daniela.peixoto5@icloud.com</t>
  </si>
  <si>
    <t>98389-7336</t>
  </si>
  <si>
    <t>Davi Ferreira</t>
  </si>
  <si>
    <t>58593517714</t>
  </si>
  <si>
    <t>davi.ferreira24@gmail.com</t>
  </si>
  <si>
    <t>debora.barros42@outlook.com</t>
  </si>
  <si>
    <t>Débora Gonçalves</t>
  </si>
  <si>
    <t>debora.goncalves43@yahoo.com.br</t>
  </si>
  <si>
    <t>Débora Nunes Rodrigues</t>
  </si>
  <si>
    <t>267.390.314-89</t>
  </si>
  <si>
    <t>debora.rodrigues13@gmial.com</t>
  </si>
  <si>
    <t>(31) 95169-9637</t>
  </si>
  <si>
    <t>Eduardo Alves Marques</t>
  </si>
  <si>
    <t>138.010.362-27</t>
  </si>
  <si>
    <t>eduardo.marques94@yahoo.com.br</t>
  </si>
  <si>
    <t>(11) 93840-7948</t>
  </si>
  <si>
    <t>Eduardo Rezende</t>
  </si>
  <si>
    <t>85985886360</t>
  </si>
  <si>
    <t>eduardo.rezende55@outlook.com</t>
  </si>
  <si>
    <t>(31) 97777-7697</t>
  </si>
  <si>
    <t>Emanuel Monteiro Nunes</t>
  </si>
  <si>
    <t>020.454.035-64</t>
  </si>
  <si>
    <t>emanuel.nunes98@outlook.com</t>
  </si>
  <si>
    <t>(11) 97712-2200</t>
  </si>
  <si>
    <t>Emanuelly Cavalcanti</t>
  </si>
  <si>
    <t>emanuelly.cavalcanti32@hotmail.com</t>
  </si>
  <si>
    <t>Emanuelly Rezende Rodrigues</t>
  </si>
  <si>
    <t>820.545.713-18</t>
  </si>
  <si>
    <t>emanuelly.rodrigues85@outlook.com</t>
  </si>
  <si>
    <t>90948-1229</t>
  </si>
  <si>
    <t>Felipe Campos</t>
  </si>
  <si>
    <t>felipe.campos36@gmial.com</t>
  </si>
  <si>
    <t>Fernanda Campos</t>
  </si>
  <si>
    <t>fernanda.campos80@gmail.com</t>
  </si>
  <si>
    <t>Fernanda Campos Peixoto</t>
  </si>
  <si>
    <t>Fernanda Correia Campos</t>
  </si>
  <si>
    <t>fernanda.campos20@hotmail.con</t>
  </si>
  <si>
    <t>(19) 99852-9004</t>
  </si>
  <si>
    <t>Fernanda Fernandes</t>
  </si>
  <si>
    <t>fernanda.fernandes12@uol.com.br</t>
  </si>
  <si>
    <t>(31) 96943-9347</t>
  </si>
  <si>
    <t>Fernanda Nogueira Barros</t>
  </si>
  <si>
    <t>(51) 97742-4402</t>
  </si>
  <si>
    <t>290.927.512-43</t>
  </si>
  <si>
    <t>gabriel.lima35@gmail.com</t>
  </si>
  <si>
    <t>Gabriel Nunes</t>
  </si>
  <si>
    <t>gabriel.nunes74@gmail.com</t>
  </si>
  <si>
    <t>95120-5144</t>
  </si>
  <si>
    <t>gabriel.ferreira39@hotmail.com</t>
  </si>
  <si>
    <t>(31) 92900-2547</t>
  </si>
  <si>
    <t>Gabriela Cavalcanti Barbosa</t>
  </si>
  <si>
    <t>gabriela.barbosa6@icloud.com</t>
  </si>
  <si>
    <t>95668-4315</t>
  </si>
  <si>
    <t>Helena Farias</t>
  </si>
  <si>
    <t>914.049.239-77</t>
  </si>
  <si>
    <t>helena.farias29@hotmail.com</t>
  </si>
  <si>
    <t>(11) 99298-4778</t>
  </si>
  <si>
    <t>heloisa.freitas91@gmail.com</t>
  </si>
  <si>
    <t>heloisa.tavares10@gmail.com</t>
  </si>
  <si>
    <t>Henrique Mendes Lima</t>
  </si>
  <si>
    <t>henrique.lima48@hotmail.com</t>
  </si>
  <si>
    <t>867.202.073-18</t>
  </si>
  <si>
    <t>igor.cavalcanti30@gmail.com</t>
  </si>
  <si>
    <t>(11) 99908-4438</t>
  </si>
  <si>
    <t>Isabela Ramos Teixeira</t>
  </si>
  <si>
    <t>isabela.teixeira9@hotmail.com</t>
  </si>
  <si>
    <t>Jaqueline M. Freitas</t>
  </si>
  <si>
    <t>jaqueline.freitas50@bol.com.br</t>
  </si>
  <si>
    <t>(47) 96964-7953</t>
  </si>
  <si>
    <t>147.229.363-07</t>
  </si>
  <si>
    <t>kamila.lima59@gmail.com</t>
  </si>
  <si>
    <t>99264-7304</t>
  </si>
  <si>
    <t>Kamila Oliveira</t>
  </si>
  <si>
    <t>091.600.544-50</t>
  </si>
  <si>
    <t>(31) 99723-4405</t>
  </si>
  <si>
    <t>Kamila Teixeira</t>
  </si>
  <si>
    <t>kamila.teixeira89@uol.com.br</t>
  </si>
  <si>
    <t>(11) 98262-8489</t>
  </si>
  <si>
    <t>Kauã Ferreira</t>
  </si>
  <si>
    <t>kaua.ferreira54@gmail.com</t>
  </si>
  <si>
    <t>Larissa Andrade Moura</t>
  </si>
  <si>
    <t>294.916.462-57</t>
  </si>
  <si>
    <t>larissa.moura33@icloud.com</t>
  </si>
  <si>
    <t>(11) 96582-5245</t>
  </si>
  <si>
    <t>larissa.correia53@yahoo.com.br</t>
  </si>
  <si>
    <t>Laura Dias Alves</t>
  </si>
  <si>
    <t>039.311.835-56</t>
  </si>
  <si>
    <t>laura.alves31@yahoo.com.br</t>
  </si>
  <si>
    <t>(11) 99627-0006</t>
  </si>
  <si>
    <t>Leticia Gomes Campos</t>
  </si>
  <si>
    <t>leticia.campos57@hotmail.com</t>
  </si>
  <si>
    <t>Lorena Moura Santana</t>
  </si>
  <si>
    <t>573.794.192-26</t>
  </si>
  <si>
    <t>lorena.santana11@hotmail.com</t>
  </si>
  <si>
    <t>Lorena Rodrigues</t>
  </si>
  <si>
    <t>57224590541</t>
  </si>
  <si>
    <t>lorena.rodrigues39@outlook.com</t>
  </si>
  <si>
    <t>luan.batista9@gmail.com</t>
  </si>
  <si>
    <t>(11) 98348-9675</t>
  </si>
  <si>
    <t>Luan Farias Correia</t>
  </si>
  <si>
    <t>luan.correia5@gmail.com</t>
  </si>
  <si>
    <t>(71) 91063-9284</t>
  </si>
  <si>
    <t>luan.gomes44@gmail.com</t>
  </si>
  <si>
    <t>135.061.539-00</t>
  </si>
  <si>
    <t>lucas.campos52@outlook.com</t>
  </si>
  <si>
    <t>(62) 97575-9308</t>
  </si>
  <si>
    <t>Lívia P. Martins</t>
  </si>
  <si>
    <t>livia.martins62@icloud.com</t>
  </si>
  <si>
    <t>(11) 91949-0696</t>
  </si>
  <si>
    <t>manuela.ferreira87@gmail.com</t>
  </si>
  <si>
    <t>(11) 93827-8455</t>
  </si>
  <si>
    <t>209.681.767-63</t>
  </si>
  <si>
    <t>manuela.ferreira70@gmail.com</t>
  </si>
  <si>
    <t>marcelo.barros3@gmail.com</t>
  </si>
  <si>
    <t>(11) 93474-8444</t>
  </si>
  <si>
    <t>Mariana Carvalho Nogueira</t>
  </si>
  <si>
    <t>mariana.nogueira44@outlook.com</t>
  </si>
  <si>
    <t>(48) 97201-9169</t>
  </si>
  <si>
    <t>Mariana Oliveira Fonseca</t>
  </si>
  <si>
    <t>mariana.fonseca59@yahoo.com.br</t>
  </si>
  <si>
    <t>Marina Ramos Lopes</t>
  </si>
  <si>
    <t>marina.lopes66@yahoo.com.br</t>
  </si>
  <si>
    <t>(11) 96905-9210</t>
  </si>
  <si>
    <t>Marina S. Cavalcanti</t>
  </si>
  <si>
    <t>marina.cavalcanti10@hotmail.com</t>
  </si>
  <si>
    <t>90964-9470</t>
  </si>
  <si>
    <t>Nicolas F. Batista</t>
  </si>
  <si>
    <t>529.149.376-36</t>
  </si>
  <si>
    <t>nicolas.batista81@gmail.com</t>
  </si>
  <si>
    <t>90518-0084</t>
  </si>
  <si>
    <t>Nicolas Souza</t>
  </si>
  <si>
    <t>nicolas.souza76@gmail.com</t>
  </si>
  <si>
    <t>(11) 99720-6366</t>
  </si>
  <si>
    <t>Nicole Pinto</t>
  </si>
  <si>
    <t>nicole.pinto8@gmail.com</t>
  </si>
  <si>
    <t>93446-2486</t>
  </si>
  <si>
    <t>nicole.barbosa11@gmail.com</t>
  </si>
  <si>
    <t>Olivia Nunes Pereira</t>
  </si>
  <si>
    <t>olivia.pereira15@outlook.com</t>
  </si>
  <si>
    <t>96116-0555</t>
  </si>
  <si>
    <t>Olívia Soares</t>
  </si>
  <si>
    <t>189.272.465-00</t>
  </si>
  <si>
    <t>olivia.soares39@icloud.com</t>
  </si>
  <si>
    <t>(11) 95777-9603</t>
  </si>
  <si>
    <t>Olívia Souza</t>
  </si>
  <si>
    <t>olivia.souza79@gmail.com</t>
  </si>
  <si>
    <t>(11) 94909-0454</t>
  </si>
  <si>
    <t>427.207.583-70</t>
  </si>
  <si>
    <t>paulo.costa45@hotmail.com</t>
  </si>
  <si>
    <t>Pedro Cardoso</t>
  </si>
  <si>
    <t>pedro.cardoso68@gmail.com</t>
  </si>
  <si>
    <t>(48) 95440-0726</t>
  </si>
  <si>
    <t>Pedro Machado</t>
  </si>
  <si>
    <t>pedro.machado9@uol.com.br</t>
  </si>
  <si>
    <t>priscila.alves58@uol.com.br</t>
  </si>
  <si>
    <t>Priscila Machado</t>
  </si>
  <si>
    <t>960.989.348-19</t>
  </si>
  <si>
    <t>priscila.machado49@hotmail.com</t>
  </si>
  <si>
    <t>Rafaela Tavares Souza</t>
  </si>
  <si>
    <t>734.883.651-82</t>
  </si>
  <si>
    <t>rafaela.souza97@hotmail.con</t>
  </si>
  <si>
    <t>97609-1578</t>
  </si>
  <si>
    <t>Rebeca Dias</t>
  </si>
  <si>
    <t>rebeca.dias64@gmail.com</t>
  </si>
  <si>
    <t>Rebeca Gonçalves Santana</t>
  </si>
  <si>
    <t>rebeca.santana51@hotmail.com</t>
  </si>
  <si>
    <t>rebeca.nunes66@hotmail.com</t>
  </si>
  <si>
    <t>95121-7990</t>
  </si>
  <si>
    <t>Renan G. Teixeira</t>
  </si>
  <si>
    <t>renan.teixeira22@gmail.com</t>
  </si>
  <si>
    <t>(11) 99890-7556</t>
  </si>
  <si>
    <t>Renata Santos</t>
  </si>
  <si>
    <t>Ricardo Oliveira</t>
  </si>
  <si>
    <t>ricardo.oliveira72@gmail.com</t>
  </si>
  <si>
    <t>(41) 90571-6869</t>
  </si>
  <si>
    <t>Ricardo Oliveira Ribeiro</t>
  </si>
  <si>
    <t>343.969.735-51</t>
  </si>
  <si>
    <t>ricardo.ribeiro30@uol.com.br</t>
  </si>
  <si>
    <t>rodrigo.fernandes9@gmail.com</t>
  </si>
  <si>
    <t>(61) 95656-9946</t>
  </si>
  <si>
    <t>03938809230</t>
  </si>
  <si>
    <t>sabrina.silva50@bol.com.br</t>
  </si>
  <si>
    <t>Samuel Ramos Araújo</t>
  </si>
  <si>
    <t>samuel.araujo31@gmail.com</t>
  </si>
  <si>
    <t>(11) 93437-9750</t>
  </si>
  <si>
    <t>sofia.nogueira69@hotmail.com</t>
  </si>
  <si>
    <t>(71) 96626-7523</t>
  </si>
  <si>
    <t>Tainá Batista Vieira</t>
  </si>
  <si>
    <t>817.699.118-04</t>
  </si>
  <si>
    <t>taina.vieira39@uol.com.br</t>
  </si>
  <si>
    <t>Tainá Monteiro Nascimento</t>
  </si>
  <si>
    <t>55888798053</t>
  </si>
  <si>
    <t>taina.nascimento34@gmail.com</t>
  </si>
  <si>
    <t>(21) 97653-0183</t>
  </si>
  <si>
    <t>Teo Nogueira Araújo</t>
  </si>
  <si>
    <t>teo.araujo8@gmail.com</t>
  </si>
  <si>
    <t>772.005.441-59</t>
  </si>
  <si>
    <t>thais.lopes41@hotmail.com</t>
  </si>
  <si>
    <t>92173-0937</t>
  </si>
  <si>
    <t>Thaís Santos Silva</t>
  </si>
  <si>
    <t>310.987.642-69</t>
  </si>
  <si>
    <t>thais.silva58@gmail.com</t>
  </si>
  <si>
    <t>91530-2730</t>
  </si>
  <si>
    <t>thiago.campos96@hotmail.com</t>
  </si>
  <si>
    <t>90284-0959</t>
  </si>
  <si>
    <t>Valentina Gomes</t>
  </si>
  <si>
    <t>920.582.934-01</t>
  </si>
  <si>
    <t>valentina.gomes5@hotmail.com</t>
  </si>
  <si>
    <t>Valentina Teixeira</t>
  </si>
  <si>
    <t>valentina.teixeira53@icloud.com</t>
  </si>
  <si>
    <t>(71) 97263-4421</t>
  </si>
  <si>
    <t>vanessa.ramos9@gmail.com</t>
  </si>
  <si>
    <t>91156-0657</t>
  </si>
  <si>
    <t>Vinícius Mendes Fernandes</t>
  </si>
  <si>
    <t>Vitor Nunes Rezende</t>
  </si>
  <si>
    <t>(11) 97952-6515</t>
  </si>
  <si>
    <t>Vitória A. Martins</t>
  </si>
  <si>
    <t>887.852.987-78</t>
  </si>
  <si>
    <t>vitoria.martins50@bol.com.br</t>
  </si>
  <si>
    <t>Vitória Rodrigues</t>
  </si>
  <si>
    <t>vitoria.rodrigues27@hotmail.com</t>
  </si>
  <si>
    <t>Wesley Fonseca</t>
  </si>
  <si>
    <t>wesley.fonseca81@gmail.com</t>
  </si>
  <si>
    <t>Yasmin Araújo</t>
  </si>
  <si>
    <t>44301102477</t>
  </si>
  <si>
    <t>yasmin.araujo12@hotmail.com</t>
  </si>
  <si>
    <t>95016-0585</t>
  </si>
  <si>
    <t>Yasmin Campos</t>
  </si>
  <si>
    <t>658.729.757-91</t>
  </si>
  <si>
    <t>yasmin.campos22@bol.com.br</t>
  </si>
  <si>
    <t>yasmin.cardoso17@bol.com.br</t>
  </si>
  <si>
    <t>95653222631</t>
  </si>
  <si>
    <t>yuri.andrade38@yahoo.com.br</t>
  </si>
  <si>
    <t>(61) 91993-9123</t>
  </si>
  <si>
    <t>283.489.476-04</t>
  </si>
  <si>
    <t>yuri.nascimento91@gmail.com</t>
  </si>
  <si>
    <t>(11) 91086-9416</t>
  </si>
  <si>
    <t>Rodrigo Andrade</t>
  </si>
  <si>
    <t>357.091.435-61</t>
  </si>
  <si>
    <t>rodrigo.andrade9@gmail.com</t>
  </si>
  <si>
    <t>Ícaro Gonçalves Santos</t>
  </si>
  <si>
    <t>icaro.santos23@outlook.com</t>
  </si>
  <si>
    <t>(31) 96189-4199</t>
  </si>
  <si>
    <t>Beatriz Teixeira</t>
  </si>
  <si>
    <t>751.131.389-24</t>
  </si>
  <si>
    <t>beatriz.teixeira71@hotmail.com</t>
  </si>
  <si>
    <t>(47) 96808-3495</t>
  </si>
  <si>
    <t>beatriz.fonseca14@yahoo.com.br</t>
  </si>
  <si>
    <t>95383-0989</t>
  </si>
  <si>
    <t>Clara Gomes Nascimento</t>
  </si>
  <si>
    <t>139.878.705-16</t>
  </si>
  <si>
    <t>clara.nascimento24@hotmail.com</t>
  </si>
  <si>
    <t>icaro.tavares52@icloud.com</t>
  </si>
  <si>
    <t>Miguel Fonseca</t>
  </si>
  <si>
    <t>miguel.fonseca60@gmail.com</t>
  </si>
  <si>
    <t>Breno Machado Fernandes</t>
  </si>
  <si>
    <t>949.536.678-08</t>
  </si>
  <si>
    <t>breno.fernandes66@gmail.com</t>
  </si>
  <si>
    <t>99845-3257</t>
  </si>
  <si>
    <t>Kamila Silva</t>
  </si>
  <si>
    <t>kamila.silva57@gmail.com</t>
  </si>
  <si>
    <t>(31) 96233-4263</t>
  </si>
  <si>
    <t>Tainá Fonseca Freitas</t>
  </si>
  <si>
    <t>taina.freitas94@gmail.com</t>
  </si>
  <si>
    <t>(11) 95947-0595</t>
  </si>
  <si>
    <t>Manuela Nogueira Rodrigues</t>
  </si>
  <si>
    <t>344.830.427-18</t>
  </si>
  <si>
    <t>manuela.rodrigues83@hotmail.com</t>
  </si>
  <si>
    <t>juliana.nascimento26@gmail.com</t>
  </si>
  <si>
    <t>90981-1761</t>
  </si>
  <si>
    <t>Nicole Nunes Vieira</t>
  </si>
  <si>
    <t>02969168545</t>
  </si>
  <si>
    <t>nicole.vieira24@icloud.com</t>
  </si>
  <si>
    <t>Clara Monteiro Marques</t>
  </si>
  <si>
    <t>clara.marques6@hotmail.com</t>
  </si>
  <si>
    <t>Débora Rodrigues Cavalcanti</t>
  </si>
  <si>
    <t>debora.cavalcanti32@outlook.com</t>
  </si>
  <si>
    <t>Bruno Farias Santos</t>
  </si>
  <si>
    <t>46885406201</t>
  </si>
  <si>
    <t>bruno.santos52@outlook.com</t>
  </si>
  <si>
    <t>(41) 91686-1886</t>
  </si>
  <si>
    <t>kaua.alves1@hotmail.com</t>
  </si>
  <si>
    <t>92283-2098</t>
  </si>
  <si>
    <t>Juliana R. Rodrigues</t>
  </si>
  <si>
    <t>juliana.rodrigues34@gmail.com</t>
  </si>
  <si>
    <t>(11) 99118-5082</t>
  </si>
  <si>
    <t>rodrigo.batista42@gmail.com</t>
  </si>
  <si>
    <t>42994871416</t>
  </si>
  <si>
    <t>pedro.pinto99@outlook.com</t>
  </si>
  <si>
    <t>(11) 93725-5772</t>
  </si>
  <si>
    <t>helena.rocha22@hotmail.com</t>
  </si>
  <si>
    <t>396.265.357-09</t>
  </si>
  <si>
    <t>gabriel.cavalcanti92@gmail.com</t>
  </si>
  <si>
    <t>92484-7602</t>
  </si>
  <si>
    <t>Hugo Alves</t>
  </si>
  <si>
    <t>hugo.alves32@gmail.com</t>
  </si>
  <si>
    <t>(31) 98286-3317</t>
  </si>
  <si>
    <t>398.531.408-02</t>
  </si>
  <si>
    <t>sofia.rodrigues57@gmail.com</t>
  </si>
  <si>
    <t>alice.fonseca86@icloud.com</t>
  </si>
  <si>
    <t>Ana Gomes Marques</t>
  </si>
  <si>
    <t>67381485699</t>
  </si>
  <si>
    <t>ana.marques43@gmail.com</t>
  </si>
  <si>
    <t>Sabrina Barros</t>
  </si>
  <si>
    <t>sabrina.barros37@uol.com.br</t>
  </si>
  <si>
    <t>Jaqueline Teixeira Fernandes</t>
  </si>
  <si>
    <t>700.093.210-47</t>
  </si>
  <si>
    <t>jaqueline.fernandes6@gmail.com</t>
  </si>
  <si>
    <t>441.591.887-53</t>
  </si>
  <si>
    <t>Giovanna Mendes Gonçalves</t>
  </si>
  <si>
    <t>giovanna.goncalves55@hotmail.com</t>
  </si>
  <si>
    <t>Henrique Farias</t>
  </si>
  <si>
    <t>henrique.farias73@hotmail.com</t>
  </si>
  <si>
    <t>99042-8776</t>
  </si>
  <si>
    <t>Hugo Moura</t>
  </si>
  <si>
    <t>906.909.552-19</t>
  </si>
  <si>
    <t>hugo.moura96@hotmail.com</t>
  </si>
  <si>
    <t>Júlia Rezende Freitas</t>
  </si>
  <si>
    <t>julia.freitas36@gmail.com</t>
  </si>
  <si>
    <t>(11) 93062-5726</t>
  </si>
  <si>
    <t>Beatriz Lopes Rodrigues</t>
  </si>
  <si>
    <t>beatriz.rodrigues57@hotmail.com</t>
  </si>
  <si>
    <t>bianca.barbosa65@yahoo.com.br</t>
  </si>
  <si>
    <t>(11) 95581-0362</t>
  </si>
  <si>
    <t>yasmin.nogueira34@gmail.com</t>
  </si>
  <si>
    <t>Tainá Rocha Soares</t>
  </si>
  <si>
    <t>taina.soares88@icloud.com</t>
  </si>
  <si>
    <t>Miguel Cavalcanti Rezende</t>
  </si>
  <si>
    <t>miguel.rezende15@gmail.com</t>
  </si>
  <si>
    <t>900.543.761-81</t>
  </si>
  <si>
    <t>natalia.nogueira58@hotmail.com</t>
  </si>
  <si>
    <t>572.178.736-81</t>
  </si>
  <si>
    <t>ana.nogueira136@gmail.com</t>
  </si>
  <si>
    <t>vanessa.moreira48@bol.com.br</t>
  </si>
  <si>
    <t>(11) 99387-3487</t>
  </si>
  <si>
    <t>thais.fernandes60@gmail.com</t>
  </si>
  <si>
    <t>(11) 98662-8409</t>
  </si>
  <si>
    <t>Melissa Fernandes</t>
  </si>
  <si>
    <t>melissa.fernandes15@gmail.com</t>
  </si>
  <si>
    <t>(31) 93161-1622</t>
  </si>
  <si>
    <t>Henrique Cardoso Araújo</t>
  </si>
  <si>
    <t>807.962.580-82</t>
  </si>
  <si>
    <t>henrique.araujo43@outlook.com</t>
  </si>
  <si>
    <t>(11) 90171-4638</t>
  </si>
  <si>
    <t>Emanuelly Fernandes Nunes</t>
  </si>
  <si>
    <t>emanuelly.nunes12@yahoo.com.br</t>
  </si>
  <si>
    <t>Nicole Batista Martins</t>
  </si>
  <si>
    <t>nicole.martins10@bol.com.br</t>
  </si>
  <si>
    <t>Sabrina Marques Santana</t>
  </si>
  <si>
    <t>sabrina.santana1@yahoo.com.br</t>
  </si>
  <si>
    <t>94003-0614</t>
  </si>
  <si>
    <t>bernardo.pereira6@bol.com.br</t>
  </si>
  <si>
    <t>(11) 97463-1736</t>
  </si>
  <si>
    <t>Larissa Correia Martins</t>
  </si>
  <si>
    <t>larissa.martins37@gmail.com</t>
  </si>
  <si>
    <t>taina.pinto82@outlook.com</t>
  </si>
  <si>
    <t>(41) 96278-3581</t>
  </si>
  <si>
    <t>Camila Gomes Alves</t>
  </si>
  <si>
    <t>336.073.652-45</t>
  </si>
  <si>
    <t>camila.alves75@outlook.com</t>
  </si>
  <si>
    <t>(11) 90245-3692</t>
  </si>
  <si>
    <t>Tainá Santos Ribeiro</t>
  </si>
  <si>
    <t>002.659.487-03</t>
  </si>
  <si>
    <t>taina.ribeiro55@gmail.com</t>
  </si>
  <si>
    <t>Camila Correia</t>
  </si>
  <si>
    <t>camila.correia33@gmail.com</t>
  </si>
  <si>
    <t>Jaqueline Rocha Dias</t>
  </si>
  <si>
    <t>jaqueline.dias11@gmail.com</t>
  </si>
  <si>
    <t>leonardo.marques55@hotmail.com</t>
  </si>
  <si>
    <t>Ricardo Mendes Ramos</t>
  </si>
  <si>
    <t>ricardo.ramos72@outlook.com</t>
  </si>
  <si>
    <t>Fernanda Pereira</t>
  </si>
  <si>
    <t>fernanda.pereira95@outlook.com</t>
  </si>
  <si>
    <t>966.456.052-93</t>
  </si>
  <si>
    <t>mariana.tavares9@gmail.com</t>
  </si>
  <si>
    <t>(48) 98082-4477</t>
  </si>
  <si>
    <t>Natália Rocha Freitas</t>
  </si>
  <si>
    <t>natalia.freitas82@gmail.com</t>
  </si>
  <si>
    <t>Lorena L. Araújo</t>
  </si>
  <si>
    <t>lorena.araujo98@gmail.com</t>
  </si>
  <si>
    <t>(11) 93563-5843</t>
  </si>
  <si>
    <t>Emanuelly G. Oliveira</t>
  </si>
  <si>
    <t>209.532.599-00</t>
  </si>
  <si>
    <t>emanuelly.oliveira87@yahoo.com.br</t>
  </si>
  <si>
    <t>Laura Pinto</t>
  </si>
  <si>
    <t>21621891607</t>
  </si>
  <si>
    <t>laura.pinto72@uol.com.br</t>
  </si>
  <si>
    <t>285.027.746-03</t>
  </si>
  <si>
    <t>(41) 92253-2834</t>
  </si>
  <si>
    <t>Luana Souza Gomes</t>
  </si>
  <si>
    <t>luana.gomes79@bol.com.br</t>
  </si>
  <si>
    <t>Davi Machado</t>
  </si>
  <si>
    <t>davi.machado33@gmail.com</t>
  </si>
  <si>
    <t>(48) 95951-1230</t>
  </si>
  <si>
    <t>Kamila Souza Pereira</t>
  </si>
  <si>
    <t>368.172.148-31</t>
  </si>
  <si>
    <t>kamila.pereira52@gmail.com</t>
  </si>
  <si>
    <t>davi.rodrigues54@hotmail.com</t>
  </si>
  <si>
    <t>Cauã Carvalho</t>
  </si>
  <si>
    <t>caua.carvalho39@uol.com.br</t>
  </si>
  <si>
    <t>93122-5115</t>
  </si>
  <si>
    <t>Marcelo Fonseca</t>
  </si>
  <si>
    <t>56718998770</t>
  </si>
  <si>
    <t>marcelo.fonseca67@gmail.com</t>
  </si>
  <si>
    <t>(41) 98508-5385</t>
  </si>
  <si>
    <t>nicole.barbosa22@gmail.com</t>
  </si>
  <si>
    <t>Yasmin Campos Mendes</t>
  </si>
  <si>
    <t>yasmin.mendes87@hotmail.com</t>
  </si>
  <si>
    <t>Teo Martins</t>
  </si>
  <si>
    <t>teo.martins53@bol.com.br</t>
  </si>
  <si>
    <t>93841-0473</t>
  </si>
  <si>
    <t>Manuela Tavares Moura</t>
  </si>
  <si>
    <t>519.417.328-87</t>
  </si>
  <si>
    <t>manuela.moura19@bol.com.br</t>
  </si>
  <si>
    <t>Marina Fonseca</t>
  </si>
  <si>
    <t>775.083.478-89</t>
  </si>
  <si>
    <t>marina.fonseca44@outlook.com</t>
  </si>
  <si>
    <t>Valentina Silva Batista</t>
  </si>
  <si>
    <t>474.899.639-07</t>
  </si>
  <si>
    <t>valentina.batista89@gmail.com</t>
  </si>
  <si>
    <t>(11) 95194-9060</t>
  </si>
  <si>
    <t>Nicolas Freitas Barros</t>
  </si>
  <si>
    <t>nicolas.barros93@hotmail.com</t>
  </si>
  <si>
    <t>(31) 99341-6627</t>
  </si>
  <si>
    <t>32959069803</t>
  </si>
  <si>
    <t>bianca.machado97@uol.com.br</t>
  </si>
  <si>
    <t>95522-0059</t>
  </si>
  <si>
    <t>Luan Campos</t>
  </si>
  <si>
    <t>luan.campos21@bol.com.br</t>
  </si>
  <si>
    <t>Marcelo Gomes</t>
  </si>
  <si>
    <t>358.081.072-37</t>
  </si>
  <si>
    <t>Daniela Peixoto</t>
  </si>
  <si>
    <t>daniela.peixoto12@yahoo.com.br</t>
  </si>
  <si>
    <t>(21) 91573-4368</t>
  </si>
  <si>
    <t>Bruno Campos</t>
  </si>
  <si>
    <t>bruno.campos34@outlook.com</t>
  </si>
  <si>
    <t>(11) 92180-9549</t>
  </si>
  <si>
    <t>Carolina Martins Ferreira</t>
  </si>
  <si>
    <t>582.304.437-26</t>
  </si>
  <si>
    <t>carolina.ferreira71@hotmail.com</t>
  </si>
  <si>
    <t>Thaís Monteiro Costa</t>
  </si>
  <si>
    <t>thais.costa46@uol.com.br</t>
  </si>
  <si>
    <t>renata.pinto15@outlook.com</t>
  </si>
  <si>
    <t>(31) 92202-4531</t>
  </si>
  <si>
    <t>248.419.883-35</t>
  </si>
  <si>
    <t>carolina.almeida452@uol.com.br</t>
  </si>
  <si>
    <t>Larissa Nascimento</t>
  </si>
  <si>
    <t>larissa.nascimento37@gmail.com</t>
  </si>
  <si>
    <t>Luan Ramos Santos</t>
  </si>
  <si>
    <t>luan.santos45@gmail.com</t>
  </si>
  <si>
    <t>JÚLIA FERREIRA</t>
  </si>
  <si>
    <t>julia.ferreira66@gmail.com</t>
  </si>
  <si>
    <t>91589-0193</t>
  </si>
  <si>
    <t>fernanda.gomes18@bol.com.br</t>
  </si>
  <si>
    <t>94251-4370</t>
  </si>
  <si>
    <t>Caio Nunes Pereira</t>
  </si>
  <si>
    <t>caio.pereira33@hotmail.com</t>
  </si>
  <si>
    <t>(31) 93711-0792</t>
  </si>
  <si>
    <t>080.879.397-78</t>
  </si>
  <si>
    <t>bianca.nogueira58@gmail.com</t>
  </si>
  <si>
    <t>90941-8727</t>
  </si>
  <si>
    <t>Vanessa Nogueira Moura</t>
  </si>
  <si>
    <t>vanessa.moura94@yahoo.com.br</t>
  </si>
  <si>
    <t>(21) 97126-8347</t>
  </si>
  <si>
    <t>Sabrina R. Tavares</t>
  </si>
  <si>
    <t>sabrina.tavares12@outlook.com</t>
  </si>
  <si>
    <t>henrique.silva25@gmail.com</t>
  </si>
  <si>
    <t>590.395.275-55</t>
  </si>
  <si>
    <t>julia.nascimento96@gmail.com</t>
  </si>
  <si>
    <t>yasmin.fernandes60@gmail.com</t>
  </si>
  <si>
    <t>Jaqueline L. Almeida</t>
  </si>
  <si>
    <t>jaqueline.almeida22@icloud.com</t>
  </si>
  <si>
    <t>Valentina C. Machado</t>
  </si>
  <si>
    <t>53855007985</t>
  </si>
  <si>
    <t>valentina.machado97@gmail.com</t>
  </si>
  <si>
    <t>95618-6189</t>
  </si>
  <si>
    <t>Helena Farias Silva</t>
  </si>
  <si>
    <t>074.265.359-59</t>
  </si>
  <si>
    <t>helena.silva99@gmial.com</t>
  </si>
  <si>
    <t>(11) 92456-8043</t>
  </si>
  <si>
    <t>Jaqueline M. Fonseca</t>
  </si>
  <si>
    <t>jaqueline.fonseca14@gmail.com</t>
  </si>
  <si>
    <t>(11) 97972-7754</t>
  </si>
  <si>
    <t>Laura Teixeira Costa</t>
  </si>
  <si>
    <t>laura.costa95@gmail.com</t>
  </si>
  <si>
    <t>(11) 95031-4547</t>
  </si>
  <si>
    <t>701.063.892-62</t>
  </si>
  <si>
    <t>julia.fernandes11@bol.com.br</t>
  </si>
  <si>
    <t>(11) 92342-8094</t>
  </si>
  <si>
    <t>Samuel Nunes Souza</t>
  </si>
  <si>
    <t>768.631.857-50</t>
  </si>
  <si>
    <t>samuel.souza46@hotmail.com</t>
  </si>
  <si>
    <t>(11) 94403-4281</t>
  </si>
  <si>
    <t>Vitor Gomes</t>
  </si>
  <si>
    <t>071.501.821-35</t>
  </si>
  <si>
    <t>98980-3159</t>
  </si>
  <si>
    <t>julia.batista212@gmail.com</t>
  </si>
  <si>
    <t>rafaela.fernandes47@hotmail.com</t>
  </si>
  <si>
    <t>Camila Lima</t>
  </si>
  <si>
    <t>camila.lima63@icloud.com</t>
  </si>
  <si>
    <t>melissa.gomes82@gmail.com</t>
  </si>
  <si>
    <t>olivia.campos14@bol.com.br</t>
  </si>
  <si>
    <t>(31) 92196-3257</t>
  </si>
  <si>
    <t>Débora Rezende Ribeiro</t>
  </si>
  <si>
    <t>(11) 93750-7255</t>
  </si>
  <si>
    <t>Wesley Machado</t>
  </si>
  <si>
    <t>985.759.795-58</t>
  </si>
  <si>
    <t>wesley.machado37@uol.com.br</t>
  </si>
  <si>
    <t>98320-1852</t>
  </si>
  <si>
    <t>rafael.santana84@outlook.com</t>
  </si>
  <si>
    <t>emanuel.soares29@gmail.com</t>
  </si>
  <si>
    <t>94582-5645</t>
  </si>
  <si>
    <t>Wesley Correia Dias</t>
  </si>
  <si>
    <t>844.347.560-95</t>
  </si>
  <si>
    <t>wesley.dias51@bol.com.br</t>
  </si>
  <si>
    <t>Hugo Andrade</t>
  </si>
  <si>
    <t>hugo.andrade37@gmail.com</t>
  </si>
  <si>
    <t>(11) 96276-4337</t>
  </si>
  <si>
    <t>Bianca Peixoto Fonseca</t>
  </si>
  <si>
    <t>bianca.fonseca2@outlook.com</t>
  </si>
  <si>
    <t>(11) 90650-2265</t>
  </si>
  <si>
    <t>heitor.teixeira18@outlook.com</t>
  </si>
  <si>
    <t>(11) 96635-3714</t>
  </si>
  <si>
    <t>Enzo Alves Santos</t>
  </si>
  <si>
    <t>516.616.735-03</t>
  </si>
  <si>
    <t>enzo.santos65@yahoo.com.br</t>
  </si>
  <si>
    <t>620.540.291-22</t>
  </si>
  <si>
    <t>rafael.freitas37@gmail.com</t>
  </si>
  <si>
    <t>94726-9902</t>
  </si>
  <si>
    <t>Heloísa Moreira Nogueira</t>
  </si>
  <si>
    <t>heloisa.nogueira30@outlook.com</t>
  </si>
  <si>
    <t>Pedro F. Correia</t>
  </si>
  <si>
    <t>pedro.correia28@icloud.com</t>
  </si>
  <si>
    <t>Helena Nascimento</t>
  </si>
  <si>
    <t>helena.nascimento58@gmail.com</t>
  </si>
  <si>
    <t>Igor B. Rezende</t>
  </si>
  <si>
    <t>411.567.623-08</t>
  </si>
  <si>
    <t>igor.rezende82@icloud.com</t>
  </si>
  <si>
    <t>Vitor Araujo</t>
  </si>
  <si>
    <t>vitor.araujo71@hotmail.com</t>
  </si>
  <si>
    <t>Larissa Dias</t>
  </si>
  <si>
    <t>larissa.dias83@icloud.com</t>
  </si>
  <si>
    <t>(31) 91587-6902</t>
  </si>
  <si>
    <t>Wesley M. Mendes</t>
  </si>
  <si>
    <t>wesley.mendes87@bol.com.br</t>
  </si>
  <si>
    <t>99160-9570</t>
  </si>
  <si>
    <t>otavio.tavares22@icloud.com</t>
  </si>
  <si>
    <t>96065-9805</t>
  </si>
  <si>
    <t>(85) 98524-0857</t>
  </si>
  <si>
    <t>194.741.839-45</t>
  </si>
  <si>
    <t>camila.teixeira6@gmial.com</t>
  </si>
  <si>
    <t>nicole.oliveira34@gmail.com</t>
  </si>
  <si>
    <t>eduarda.almeida76@gmail.com</t>
  </si>
  <si>
    <t>019.197.087-58</t>
  </si>
  <si>
    <t>valentina.freitas43@icloud.com</t>
  </si>
  <si>
    <t>eduardo.rocha386@gmail.com</t>
  </si>
  <si>
    <t>Sabrina Marques</t>
  </si>
  <si>
    <t>sabrina.marques72@icloud.com</t>
  </si>
  <si>
    <t>(11) 99106-7755</t>
  </si>
  <si>
    <t>Débora F. Tavares</t>
  </si>
  <si>
    <t>debora.tavares82@gmail.com</t>
  </si>
  <si>
    <t>(41) 94142-2530</t>
  </si>
  <si>
    <t>96738-6471</t>
  </si>
  <si>
    <t>vanessa.ferreira18@yahoo.com.br</t>
  </si>
  <si>
    <t>(11) 91845-2196</t>
  </si>
  <si>
    <t>Isabela Barros</t>
  </si>
  <si>
    <t>092.742.848-49</t>
  </si>
  <si>
    <t>isabela.barros22@gmail.com</t>
  </si>
  <si>
    <t>(31) 99488-9621</t>
  </si>
  <si>
    <t>Heloisa Rocha Monteiro</t>
  </si>
  <si>
    <t>heloisa.monteiro56@gmail.com</t>
  </si>
  <si>
    <t>Wesley Silva</t>
  </si>
  <si>
    <t>wesley.silva66@outlook.com</t>
  </si>
  <si>
    <t>Letícia Dias Tavares</t>
  </si>
  <si>
    <t>emanuelly.barbosa38@hotmail.com</t>
  </si>
  <si>
    <t>Heloísa Marques</t>
  </si>
  <si>
    <t>671.399.879-80</t>
  </si>
  <si>
    <t>(11) 99607-6111</t>
  </si>
  <si>
    <t>159.737.470-93</t>
  </si>
  <si>
    <t>manuela.farias36@gmail.com</t>
  </si>
  <si>
    <t>(11) 98854-3911</t>
  </si>
  <si>
    <t>Júlia Rezende Pinto</t>
  </si>
  <si>
    <t>894.022.150-85</t>
  </si>
  <si>
    <t>julia.pinto20@yahoo.com.br</t>
  </si>
  <si>
    <t>(11) 92293-9936</t>
  </si>
  <si>
    <t>ALICE CORREIA</t>
  </si>
  <si>
    <t>485.479.084-98</t>
  </si>
  <si>
    <t>alice.correia3@hotmail.com</t>
  </si>
  <si>
    <t>(41) 99478-3236</t>
  </si>
  <si>
    <t>olivia.araujo15@gmail.com</t>
  </si>
  <si>
    <t>(11) 92063-0572</t>
  </si>
  <si>
    <t>luana.monteiro86@uol.com.br</t>
  </si>
  <si>
    <t>96734-0811</t>
  </si>
  <si>
    <t>Murilo Monteiro Cavalcanti</t>
  </si>
  <si>
    <t>624.757.306-50</t>
  </si>
  <si>
    <t>murilo.cavalcanti14@gmail.com</t>
  </si>
  <si>
    <t>livia.mendes96@gmail.com</t>
  </si>
  <si>
    <t>Lorena Tavares Pereira</t>
  </si>
  <si>
    <t>lorena.pereira70@gmail.com</t>
  </si>
  <si>
    <t>95244-3615</t>
  </si>
  <si>
    <t>Lívia Correia</t>
  </si>
  <si>
    <t>250.870.433-48</t>
  </si>
  <si>
    <t>livia.correia58@gmial.com</t>
  </si>
  <si>
    <t>422.043.529-85</t>
  </si>
  <si>
    <t>davi.nunes62@gmail.com</t>
  </si>
  <si>
    <t>Juliana Ramos Martins</t>
  </si>
  <si>
    <t>195.161.913-71</t>
  </si>
  <si>
    <t>(11) 91198-1340</t>
  </si>
  <si>
    <t>673.395.778-74</t>
  </si>
  <si>
    <t>olivia.barbosa19@hotmail.com</t>
  </si>
  <si>
    <t>Renan Peixoto Barbosa</t>
  </si>
  <si>
    <t>311.108.816-22</t>
  </si>
  <si>
    <t>renan.barbosa92@gmail.com</t>
  </si>
  <si>
    <t>rodrigo.cavalcanti58@gmail.com</t>
  </si>
  <si>
    <t>(85) 94605-7271</t>
  </si>
  <si>
    <t>Beatriz R. Batista</t>
  </si>
  <si>
    <t>beatriz.batista92@yahoo.com.br</t>
  </si>
  <si>
    <t>Manuela Batista</t>
  </si>
  <si>
    <t>manuela.batista88@gmail.com</t>
  </si>
  <si>
    <t>(61) 98841-2628</t>
  </si>
  <si>
    <t>Murilo Mendes</t>
  </si>
  <si>
    <t>murilo.mendes18@hotmail.com</t>
  </si>
  <si>
    <t>256.768.897-80</t>
  </si>
  <si>
    <t>94673-6967</t>
  </si>
  <si>
    <t>Larissa Carvalho</t>
  </si>
  <si>
    <t>larissa.carvalho81@hotmail.com</t>
  </si>
  <si>
    <t>125.894.762-56</t>
  </si>
  <si>
    <t>daniela.nogueira279@hotmail.com</t>
  </si>
  <si>
    <t>Paula Fonseca</t>
  </si>
  <si>
    <t>paula.fonseca99@gmail.com</t>
  </si>
  <si>
    <t>91740-1266</t>
  </si>
  <si>
    <t>Alice Oliveira Machado</t>
  </si>
  <si>
    <t>316.389.963-34</t>
  </si>
  <si>
    <t>alice.machado13@icloud.com</t>
  </si>
  <si>
    <t>camila.lima9@hotmail.com</t>
  </si>
  <si>
    <t>90118-2603</t>
  </si>
  <si>
    <t>704.848.882-42</t>
  </si>
  <si>
    <t>marcelo.peixoto19@bol.com.br</t>
  </si>
  <si>
    <t>Eduarda Pereira Soares</t>
  </si>
  <si>
    <t>eduarda.soares92@icloud.com</t>
  </si>
  <si>
    <t>carolina.almeida72@gmail.com</t>
  </si>
  <si>
    <t>96267-4110</t>
  </si>
  <si>
    <t>913.586.345-56</t>
  </si>
  <si>
    <t>emanuel.freitas1@uol.com.br</t>
  </si>
  <si>
    <t>Isabela Ferreira</t>
  </si>
  <si>
    <t>158.041.516-49</t>
  </si>
  <si>
    <t>giovanna.nascimento37@gmail.com</t>
  </si>
  <si>
    <t>Beatriz Rezende</t>
  </si>
  <si>
    <t>132.577.860-50</t>
  </si>
  <si>
    <t>beatriz.rezende43@yahoo.com.br</t>
  </si>
  <si>
    <t>(41) 95586-9626</t>
  </si>
  <si>
    <t>Natália Ribeiro</t>
  </si>
  <si>
    <t>47701960830</t>
  </si>
  <si>
    <t>beatriz.rezende88@gmail.com</t>
  </si>
  <si>
    <t>Larissa A. Vieira</t>
  </si>
  <si>
    <t>larissa.vieira6@uol.com.br</t>
  </si>
  <si>
    <t>(11) 92417-6084</t>
  </si>
  <si>
    <t>Camila Alves</t>
  </si>
  <si>
    <t>71322012555</t>
  </si>
  <si>
    <t>camila.alves38@icloud.com</t>
  </si>
  <si>
    <t>Thiago Rodrigues</t>
  </si>
  <si>
    <t>thiago.rodrigues54@bol.com.br</t>
  </si>
  <si>
    <t>(11) 93750-3739</t>
  </si>
  <si>
    <t>Ricardo Nunes Andrade</t>
  </si>
  <si>
    <t>ricardo.andrade53@hotmail.com</t>
  </si>
  <si>
    <t>(31) 90350-6608</t>
  </si>
  <si>
    <t>Tainá Oliveira Fernandes</t>
  </si>
  <si>
    <t>491.376.566-35</t>
  </si>
  <si>
    <t>taina.fernandes8@yahoo.com.br</t>
  </si>
  <si>
    <t>(11) 91502-8651</t>
  </si>
  <si>
    <t>Emanuel Gomes Freitas</t>
  </si>
  <si>
    <t>787.505.125-87</t>
  </si>
  <si>
    <t>emanuel.freitas45@outlook.com</t>
  </si>
  <si>
    <t>Ana Peixoto</t>
  </si>
  <si>
    <t>(47) 96365-4291</t>
  </si>
  <si>
    <t>Igor Cavalcanti Carvalho</t>
  </si>
  <si>
    <t>igor.carvalho62@gmail.com</t>
  </si>
  <si>
    <t>(11) 95518-1499</t>
  </si>
  <si>
    <t>Camila Santos Teixeira</t>
  </si>
  <si>
    <t>542.791.670-95</t>
  </si>
  <si>
    <t>camila.teixeira80@yahoo.com.br</t>
  </si>
  <si>
    <t>clara.fonseca85@icloud.com</t>
  </si>
  <si>
    <t>João Carvalho Teixeira</t>
  </si>
  <si>
    <t>Júlia Rocha Santana</t>
  </si>
  <si>
    <t>633.558.536-74</t>
  </si>
  <si>
    <t>julia.santana16@gmail.com</t>
  </si>
  <si>
    <t>Bernardo Marques Monteiro</t>
  </si>
  <si>
    <t>bernardo.monteiro10@gmail.com</t>
  </si>
  <si>
    <t>99597-7713</t>
  </si>
  <si>
    <t>612.228.896-92</t>
  </si>
  <si>
    <t>laura.cavalcanti50@uol.com.br</t>
  </si>
  <si>
    <t>91664-9765</t>
  </si>
  <si>
    <t>larissa.batista45@gmial.com</t>
  </si>
  <si>
    <t>(51) 90107-1542</t>
  </si>
  <si>
    <t>Paula Santos Gonçalves</t>
  </si>
  <si>
    <t>paula.goncalves97@gmail.com</t>
  </si>
  <si>
    <t>Caio Ferreira Martins</t>
  </si>
  <si>
    <t>816.922.602-35</t>
  </si>
  <si>
    <t>caio.martins24@gmail.com</t>
  </si>
  <si>
    <t>Nicole Batista</t>
  </si>
  <si>
    <t>923.325.620-01</t>
  </si>
  <si>
    <t>nicole.batista4@outlook.com</t>
  </si>
  <si>
    <t>luana.nunes49@bol.com.br</t>
  </si>
  <si>
    <t>(51) 93543-5880</t>
  </si>
  <si>
    <t>Paula G. Pereira</t>
  </si>
  <si>
    <t>paula.pereira45@hotmail.com</t>
  </si>
  <si>
    <t>95812-1690</t>
  </si>
  <si>
    <t>bernardo.monteiro99@hotmail.com</t>
  </si>
  <si>
    <t>(11) 96715-4970</t>
  </si>
  <si>
    <t>hugo.barros74@hotmail.com</t>
  </si>
  <si>
    <t>Clara Andrade</t>
  </si>
  <si>
    <t>191.624.112-33</t>
  </si>
  <si>
    <t>clara.andrade90@hotmail.com</t>
  </si>
  <si>
    <t>Carolina Oliveira</t>
  </si>
  <si>
    <t>carolina.oliveira50@gmail.com</t>
  </si>
  <si>
    <t>(11) 95034-1946</t>
  </si>
  <si>
    <t>Ana Rocha Gomes</t>
  </si>
  <si>
    <t>568.915.115-77</t>
  </si>
  <si>
    <t>ana.gomes38@hotmail.com</t>
  </si>
  <si>
    <t>(48) 99897-3525</t>
  </si>
  <si>
    <t>Juliana Rodrigues Vieira</t>
  </si>
  <si>
    <t>174.430.895-03</t>
  </si>
  <si>
    <t>juliana.vieira36@yahoo.com.br</t>
  </si>
  <si>
    <t>(31) 96032-8141</t>
  </si>
  <si>
    <t>leticia.marques29@gmail.com</t>
  </si>
  <si>
    <t>heloisa.nunes62@bol.com.br</t>
  </si>
  <si>
    <t>Otavio Freitas</t>
  </si>
  <si>
    <t>otavio.freitas75@gmail.com</t>
  </si>
  <si>
    <t>alexandre.batista70@hotmail.com</t>
  </si>
  <si>
    <t>(41) 90723-3343</t>
  </si>
  <si>
    <t>636.788.261-80</t>
  </si>
  <si>
    <t>nicole.campos24@outlook.com</t>
  </si>
  <si>
    <t>(11) 99270-0204</t>
  </si>
  <si>
    <t>nicolas.pinto52@gmail.com</t>
  </si>
  <si>
    <t>(41) 96343-2159</t>
  </si>
  <si>
    <t>438.488.695-00</t>
  </si>
  <si>
    <t>bruno.ribeiro1@gmail.com</t>
  </si>
  <si>
    <t>Aline Farias</t>
  </si>
  <si>
    <t>aline.farias71@gmail.com</t>
  </si>
  <si>
    <t>Rodrigo Freitas</t>
  </si>
  <si>
    <t>rodrigo.freitas64@hotmail.com</t>
  </si>
  <si>
    <t>Lívia Campos</t>
  </si>
  <si>
    <t>livia.campos31@gmail.com</t>
  </si>
  <si>
    <t>(11) 93579-5613</t>
  </si>
  <si>
    <t>Luana Dias Marques</t>
  </si>
  <si>
    <t>914.674.033-34</t>
  </si>
  <si>
    <t>luana.marques34@outlook.com</t>
  </si>
  <si>
    <t>Felipe Araujo</t>
  </si>
  <si>
    <t>888.117.906-70</t>
  </si>
  <si>
    <t>emanuelly.araujo7@icloud.com</t>
  </si>
  <si>
    <t>melissa.moreira256@bol.com.br</t>
  </si>
  <si>
    <t>Teo Pereira</t>
  </si>
  <si>
    <t>teo.pereira37@gmail.com</t>
  </si>
  <si>
    <t>sabrina.campos1@bol.com.br</t>
  </si>
  <si>
    <t>Mariana Nascimento Farias</t>
  </si>
  <si>
    <t>mariana.farias52@outlook.com</t>
  </si>
  <si>
    <t>(11) 94414-3830</t>
  </si>
  <si>
    <t>Larissa Teixeira</t>
  </si>
  <si>
    <t>Wesley Ferreira</t>
  </si>
  <si>
    <t>147.093.175-34</t>
  </si>
  <si>
    <t>hugo.ferreira27@outlook.com</t>
  </si>
  <si>
    <t>(31) 90180-4392</t>
  </si>
  <si>
    <t>Yasmin Andrade Rezende</t>
  </si>
  <si>
    <t>Emanuelly Fernandes</t>
  </si>
  <si>
    <t>emanuelly.fernandes76@yahoo.com.br</t>
  </si>
  <si>
    <t>(41) 96232-8521</t>
  </si>
  <si>
    <t>João Barbosa</t>
  </si>
  <si>
    <t>joao.barbosa51@gmail.com</t>
  </si>
  <si>
    <t>(48) 96424-6890</t>
  </si>
  <si>
    <t>088.683.873-87</t>
  </si>
  <si>
    <t>renan.barbosa73@outlook.com</t>
  </si>
  <si>
    <t>Rafaela A. Martins</t>
  </si>
  <si>
    <t>rafaela.martins55@gmail.com</t>
  </si>
  <si>
    <t>94344-9042</t>
  </si>
  <si>
    <t>779.953.624-12</t>
  </si>
  <si>
    <t>vitoria.goncalves80@gmail.com</t>
  </si>
  <si>
    <t>(11) 99919-1229</t>
  </si>
  <si>
    <t>481.368.054-23</t>
  </si>
  <si>
    <t>(11) 98092-1037</t>
  </si>
  <si>
    <t>caio.pinto38@gmail.com</t>
  </si>
  <si>
    <t>Emanuelly Andrade Teixeira</t>
  </si>
  <si>
    <t>emanuelly.teixeira1@yahoo.com.br</t>
  </si>
  <si>
    <t>(61) 95773-9648</t>
  </si>
  <si>
    <t>Yuri Barbosa Rezende</t>
  </si>
  <si>
    <t>yuri.rezende72@outlook.com</t>
  </si>
  <si>
    <t>Fábio Fonseca</t>
  </si>
  <si>
    <t>297.811.089-91</t>
  </si>
  <si>
    <t>fabio.fonseca29@icloud.com</t>
  </si>
  <si>
    <t>Jaqueline Costa</t>
  </si>
  <si>
    <t>jaqueline.costa76@uol.com.br</t>
  </si>
  <si>
    <t>Jaqueline Martins Nunes</t>
  </si>
  <si>
    <t>jaqueline.nunes47@gmail.com</t>
  </si>
  <si>
    <t>igor.fernandes93@hotmail.com</t>
  </si>
  <si>
    <t>caio.moura2@gmail.com</t>
  </si>
  <si>
    <t>Bianca Monteiro Rezende</t>
  </si>
  <si>
    <t>424.341.957-41</t>
  </si>
  <si>
    <t>bianca.rezende58@yahoo.com.br</t>
  </si>
  <si>
    <t>(48) 94993-6558</t>
  </si>
  <si>
    <t>Luana Alves Araújo</t>
  </si>
  <si>
    <t>luana.araujo81@bol.com.br</t>
  </si>
  <si>
    <t>Manuela Silva</t>
  </si>
  <si>
    <t>Thaís Soares Alves</t>
  </si>
  <si>
    <t>thais.alves15@outlook.com</t>
  </si>
  <si>
    <t>717.043.968-91</t>
  </si>
  <si>
    <t>livia.cardoso77@outlook.com</t>
  </si>
  <si>
    <t>96951-7914</t>
  </si>
  <si>
    <t>Beatriz Costa</t>
  </si>
  <si>
    <t>beatriz.costa51@uol.com.br</t>
  </si>
  <si>
    <t>leticia.gomes1@uol.com.br</t>
  </si>
  <si>
    <t>Pedro Lopes Nogueira</t>
  </si>
  <si>
    <t>pedro.nogueira82@outlook.com</t>
  </si>
  <si>
    <t>(11) 91019-3658</t>
  </si>
  <si>
    <t>Vitor Marques Alves</t>
  </si>
  <si>
    <t>899.896.669-40</t>
  </si>
  <si>
    <t>vitor.alves57@icloud.com</t>
  </si>
  <si>
    <t>Bruna Ferreira</t>
  </si>
  <si>
    <t>bruna.ferreira30@icloud.com</t>
  </si>
  <si>
    <t>(41) 98242-5982</t>
  </si>
  <si>
    <t>Nicole Lopes Pinto</t>
  </si>
  <si>
    <t>870.531.271-09</t>
  </si>
  <si>
    <t>nicole.pinto5@yahoo.com.br</t>
  </si>
  <si>
    <t>Valentina Marques</t>
  </si>
  <si>
    <t>valentina.marques54@icloud.com</t>
  </si>
  <si>
    <t>(11) 92390-3562</t>
  </si>
  <si>
    <t>Jaqueline Fernandes Ferreira</t>
  </si>
  <si>
    <t>487.999.022-14</t>
  </si>
  <si>
    <t>jaqueline.ferreira17@gmail.com</t>
  </si>
  <si>
    <t>Bruna Souza</t>
  </si>
  <si>
    <t>bruna.souza34@gmail.com</t>
  </si>
  <si>
    <t>Thaís Peixoto Nogueira</t>
  </si>
  <si>
    <t>thais.nogueira88@gmail.com</t>
  </si>
  <si>
    <t>Murilo Barbosa</t>
  </si>
  <si>
    <t>murilo.barbosa42@gmail.com</t>
  </si>
  <si>
    <t>(11) 99386-6394</t>
  </si>
  <si>
    <t>Júlia Martins Farias</t>
  </si>
  <si>
    <t>35282924668</t>
  </si>
  <si>
    <t>julia.farias3@gmail.com</t>
  </si>
  <si>
    <t>Breno Rocha Alves</t>
  </si>
  <si>
    <t>(11) 93917-8249</t>
  </si>
  <si>
    <t>Guilherme Ramos Souza</t>
  </si>
  <si>
    <t>guilherme.souza83@hotmail.com</t>
  </si>
  <si>
    <t>(71) 91781-9627</t>
  </si>
  <si>
    <t>Larissa Andrade Teixeira</t>
  </si>
  <si>
    <t>larissa.teixeira92@uol.com.br</t>
  </si>
  <si>
    <t>rafaela.correia6@gmail.com</t>
  </si>
  <si>
    <t>(48) 97175-7550</t>
  </si>
  <si>
    <t>helena.freitas53@gmail.com</t>
  </si>
  <si>
    <t>(11) 99167-4776</t>
  </si>
  <si>
    <t>Yasmin Vieira Cardoso</t>
  </si>
  <si>
    <t>yasmin.cardoso59@gmail.com</t>
  </si>
  <si>
    <t>pedro.cardoso65@uol.com.br</t>
  </si>
  <si>
    <t>95720-3139</t>
  </si>
  <si>
    <t>Thiago Barros</t>
  </si>
  <si>
    <t>954.007.964-00</t>
  </si>
  <si>
    <t>thiago.barros75@uol.com.br</t>
  </si>
  <si>
    <t>Juliana Ribeiro Farias</t>
  </si>
  <si>
    <t>juliana.farias81@yahoo.com.br</t>
  </si>
  <si>
    <t>557.523.045-71</t>
  </si>
  <si>
    <t>(31) 93840-7752</t>
  </si>
  <si>
    <t>049.570.208-09</t>
  </si>
  <si>
    <t>camila.alves2@hotmail.com</t>
  </si>
  <si>
    <t>Rebeca Tavares</t>
  </si>
  <si>
    <t>rebeca.tavares89@gmail.com</t>
  </si>
  <si>
    <t>(47) 98763-2282</t>
  </si>
  <si>
    <t>Juliana Mendes Soares</t>
  </si>
  <si>
    <t>juliana.soares39@bol.com.br</t>
  </si>
  <si>
    <t>11764447603</t>
  </si>
  <si>
    <t>luana.campos16@hotmail.com</t>
  </si>
  <si>
    <t>93057-1807</t>
  </si>
  <si>
    <t>Beatriz Batista Mendes</t>
  </si>
  <si>
    <t>beatriz.mendes40@yahoo.com.br</t>
  </si>
  <si>
    <t>Bernardo Pereira</t>
  </si>
  <si>
    <t>bernardo.pereira76@uol.com.br</t>
  </si>
  <si>
    <t>Bernardo Oliveira</t>
  </si>
  <si>
    <t>bernardo.oliveira92@gmail.com</t>
  </si>
  <si>
    <t>(11) 99138-2316</t>
  </si>
  <si>
    <t>Ricardo Almeida</t>
  </si>
  <si>
    <t>035.268.217-55</t>
  </si>
  <si>
    <t>ricardo.almeida97@gmail.com</t>
  </si>
  <si>
    <t>bruna.goncalves929@gmail.com</t>
  </si>
  <si>
    <t>Giovanna Ferreira</t>
  </si>
  <si>
    <t>042.339.809-15</t>
  </si>
  <si>
    <t>giovanna.ferreira83@gmail.com</t>
  </si>
  <si>
    <t>Sabrina Almeida Nascimento</t>
  </si>
  <si>
    <t>sabrina.nascimento34@gmail.com</t>
  </si>
  <si>
    <t>93119-9605</t>
  </si>
  <si>
    <t>Rodrigo Lima</t>
  </si>
  <si>
    <t>rodrigo.lima83@gmail.com</t>
  </si>
  <si>
    <t>93180-0022</t>
  </si>
  <si>
    <t>Wesley Ribeiro Souza</t>
  </si>
  <si>
    <t>899.745.710-14</t>
  </si>
  <si>
    <t>wesley.souza51@icloud.com</t>
  </si>
  <si>
    <t>Larissa Nunes Santana</t>
  </si>
  <si>
    <t>larissa.santana74@hotmail.com</t>
  </si>
  <si>
    <t>(41) 98890-3361</t>
  </si>
  <si>
    <t>Camila Correia Mendes</t>
  </si>
  <si>
    <t>camila.mendes41@gmail.com</t>
  </si>
  <si>
    <t>950.332.667-21</t>
  </si>
  <si>
    <t>matheus.costa22@hotmail.com</t>
  </si>
  <si>
    <t>028.708.789-15</t>
  </si>
  <si>
    <t>sofia.barros64@outlook.com</t>
  </si>
  <si>
    <t>(11) 92957-7984</t>
  </si>
  <si>
    <t>Emanuel Cavalcanti Cardoso</t>
  </si>
  <si>
    <t>886.611.494-44</t>
  </si>
  <si>
    <t>emanuel.cardoso12@gmail.com</t>
  </si>
  <si>
    <t>(11) 94620-7431</t>
  </si>
  <si>
    <t>Juliana Rocha</t>
  </si>
  <si>
    <t>juliana.rocha92@outlook.com</t>
  </si>
  <si>
    <t>94674-2386</t>
  </si>
  <si>
    <t>Emanuelly Teixeira</t>
  </si>
  <si>
    <t>905.687.768-28</t>
  </si>
  <si>
    <t>emanuelly.teixeira93@hotmail.com</t>
  </si>
  <si>
    <t>Laura Costa Almeida</t>
  </si>
  <si>
    <t>995.478.126-96</t>
  </si>
  <si>
    <t>laura.almeida72@outlook.com</t>
  </si>
  <si>
    <t>Yuri Souza Moreira</t>
  </si>
  <si>
    <t>26241565850</t>
  </si>
  <si>
    <t>yuri.moreira58@hotmail.com</t>
  </si>
  <si>
    <t>(11) 93513-1084</t>
  </si>
  <si>
    <t>313.864.292-60</t>
  </si>
  <si>
    <t>heloisa.marques85@gmail.com</t>
  </si>
  <si>
    <t>334.190.483-27</t>
  </si>
  <si>
    <t>clara.martins13@outlook.com</t>
  </si>
  <si>
    <t>heloisa.rocha47@bol.com.br</t>
  </si>
  <si>
    <t>(11) 96964-1567</t>
  </si>
  <si>
    <t>Bianca Campos</t>
  </si>
  <si>
    <t>(11) 91309-1473</t>
  </si>
  <si>
    <t>815.973.832-36</t>
  </si>
  <si>
    <t>paulo.teixeira95@bol.com.br</t>
  </si>
  <si>
    <t>(31) 96110-7617</t>
  </si>
  <si>
    <t>Juliana Nascimento Cavalcanti</t>
  </si>
  <si>
    <t>juliana.cavalcanti16@gmail.com</t>
  </si>
  <si>
    <t>João Alves Vieira</t>
  </si>
  <si>
    <t>567.976.105-08</t>
  </si>
  <si>
    <t>beatriz.moura46@uol.com.br</t>
  </si>
  <si>
    <t>91737-5994</t>
  </si>
  <si>
    <t>Lucas Oliveira</t>
  </si>
  <si>
    <t>06006293250</t>
  </si>
  <si>
    <t>lucas.oliveira80@outlook.com</t>
  </si>
  <si>
    <t>Henrique A. Santos</t>
  </si>
  <si>
    <t>henrique.santos83@hotmail.com</t>
  </si>
  <si>
    <t>Júlia Almeida Pereira</t>
  </si>
  <si>
    <t>julia.pereira30@hotmail.com</t>
  </si>
  <si>
    <t>95578-9278</t>
  </si>
  <si>
    <t>Cauã Lima Santana</t>
  </si>
  <si>
    <t>681.896.349-84</t>
  </si>
  <si>
    <t>caua.santana88@gmail.com</t>
  </si>
  <si>
    <t>jaqueline.rodrigues1@hotmail.com</t>
  </si>
  <si>
    <t>caetano.andrade8@gmail.com</t>
  </si>
  <si>
    <t>(11) 94135-2536</t>
  </si>
  <si>
    <t>549.623.532-41</t>
  </si>
  <si>
    <t>renata.dias90@icloud.com</t>
  </si>
  <si>
    <t>(62) 90918-9255</t>
  </si>
  <si>
    <t>Cauã Gomes Machado</t>
  </si>
  <si>
    <t>caua.machado53@hotmail.com</t>
  </si>
  <si>
    <t>(11) 98029-1806</t>
  </si>
  <si>
    <t>ana.dias61@gmail.com</t>
  </si>
  <si>
    <t>Bruna Fonseca Rezende</t>
  </si>
  <si>
    <t>362.343.690-90</t>
  </si>
  <si>
    <t>Eduarda Goncalves</t>
  </si>
  <si>
    <t>eduarda.goncalves80@hotmail.com</t>
  </si>
  <si>
    <t>(31) 93646-4466</t>
  </si>
  <si>
    <t>Eduarda Monteiro Teixeira</t>
  </si>
  <si>
    <t>277.233.139-34</t>
  </si>
  <si>
    <t>eduarda.teixeira73@outlook.com</t>
  </si>
  <si>
    <t>96595-9137</t>
  </si>
  <si>
    <t>Nicolas Machado Costa</t>
  </si>
  <si>
    <t>nicolas.costa73@gmail.com</t>
  </si>
  <si>
    <t>98750-0865</t>
  </si>
  <si>
    <t>Eduarda Barros</t>
  </si>
  <si>
    <t>eduarda.barros62@gmail.com</t>
  </si>
  <si>
    <t>(11) 95395-5477</t>
  </si>
  <si>
    <t>Nicole Gomes Moreira</t>
  </si>
  <si>
    <t>899.289.832-08</t>
  </si>
  <si>
    <t>nicole.moreira26@hotmail.com</t>
  </si>
  <si>
    <t>olivia.farias86@uol.com.br</t>
  </si>
  <si>
    <t>(31) 92546-9374</t>
  </si>
  <si>
    <t>teo.cardoso188@uol.com.br</t>
  </si>
  <si>
    <t>(11) 99063-2745</t>
  </si>
  <si>
    <t>Sabrina Farias</t>
  </si>
  <si>
    <t>sabrina.farias94@outlook.com</t>
  </si>
  <si>
    <t>Caio Santos Araújo</t>
  </si>
  <si>
    <t>caio.araujo75@bol.com.br</t>
  </si>
  <si>
    <t>Camila Fonseca Gomes</t>
  </si>
  <si>
    <t>445.800.588-01</t>
  </si>
  <si>
    <t>camila.gomes68@hotmail.com</t>
  </si>
  <si>
    <t>96658-3954</t>
  </si>
  <si>
    <t>Rafaela Peixoto Farias</t>
  </si>
  <si>
    <t>rafaela.farias53@hotmail.com</t>
  </si>
  <si>
    <t>(11) 95386-2569</t>
  </si>
  <si>
    <t>Henrique Tavares</t>
  </si>
  <si>
    <t>545.657.636-80</t>
  </si>
  <si>
    <t>daniela.freitas29@gmail.com</t>
  </si>
  <si>
    <t>882.559.802-53</t>
  </si>
  <si>
    <t>bernardo.almeida87@outlook.com</t>
  </si>
  <si>
    <t>95492-8392</t>
  </si>
  <si>
    <t>João Monteiro Farias</t>
  </si>
  <si>
    <t>755.091.136-34</t>
  </si>
  <si>
    <t>joao.farias41@gmail.com</t>
  </si>
  <si>
    <t>(11) 91195-2183</t>
  </si>
  <si>
    <t>Sabrina Barbosa Andrade</t>
  </si>
  <si>
    <t>sabrina.andrade71@gmail.com</t>
  </si>
  <si>
    <t>Paula Barbosa Nunes</t>
  </si>
  <si>
    <t>220.600.575-15</t>
  </si>
  <si>
    <t>paula.nunes93@hotmail.com</t>
  </si>
  <si>
    <t>(11) 97890-9282</t>
  </si>
  <si>
    <t>Camila Pereira Mendes</t>
  </si>
  <si>
    <t>camila.mendes26@outlook.com</t>
  </si>
  <si>
    <t>(31) 97776-3705</t>
  </si>
  <si>
    <t>Carolina Farias Rocha</t>
  </si>
  <si>
    <t>carolina.rocha591@yahoo.com.br</t>
  </si>
  <si>
    <t>Gabriel Santos</t>
  </si>
  <si>
    <t>gabriel.santos45@gmail.com</t>
  </si>
  <si>
    <t>Eduarda P. Nascimento</t>
  </si>
  <si>
    <t>eduarda.nascimento25@gmail.com</t>
  </si>
  <si>
    <t>felipe.monteiro63@gmail.com</t>
  </si>
  <si>
    <t>juliana.campos71@hotmail.com</t>
  </si>
  <si>
    <t>97376-0991</t>
  </si>
  <si>
    <t>Heloísa Alves</t>
  </si>
  <si>
    <t>heloisa.alves49@gmail.com</t>
  </si>
  <si>
    <t>vitoria.moura57@outlook.com</t>
  </si>
  <si>
    <t>(11) 99299-9062</t>
  </si>
  <si>
    <t>Miguel Fonseca Tavares</t>
  </si>
  <si>
    <t>miguel.tavares36@outlook.com</t>
  </si>
  <si>
    <t>96764-1740</t>
  </si>
  <si>
    <t>Clara Dias Tavares</t>
  </si>
  <si>
    <t>clara.tavares41@gmail.com</t>
  </si>
  <si>
    <t>Ana Vieira</t>
  </si>
  <si>
    <t>ana.vieira49@hotmail.con</t>
  </si>
  <si>
    <t>Thaís C. Marques</t>
  </si>
  <si>
    <t>245.593.821-06</t>
  </si>
  <si>
    <t>thais.marques48@gmail.com</t>
  </si>
  <si>
    <t>gabriel.gomes26@gmail.com</t>
  </si>
  <si>
    <t>Cecilia Fernandes</t>
  </si>
  <si>
    <t>cecilia.fernandes3@gmail.com</t>
  </si>
  <si>
    <t>Sofia Machado</t>
  </si>
  <si>
    <t>(11) 99601-3329</t>
  </si>
  <si>
    <t>Heitor Lima Soares</t>
  </si>
  <si>
    <t>heitor.soares66@hotmail.com</t>
  </si>
  <si>
    <t>Paula Barros Lopes</t>
  </si>
  <si>
    <t>paula.lopes53@hotmail.com</t>
  </si>
  <si>
    <t>407.020.670-16</t>
  </si>
  <si>
    <t>renata.alves31@hotmail.com</t>
  </si>
  <si>
    <t>hugo.barros30@hotmail.com</t>
  </si>
  <si>
    <t>(11) 97176-0647</t>
  </si>
  <si>
    <t>isabela.goncalves31@hotmail.com</t>
  </si>
  <si>
    <t>Sofia Cardoso</t>
  </si>
  <si>
    <t>sofia.cardoso95@gmail.com</t>
  </si>
  <si>
    <t>Murilo Teixeira Peixoto</t>
  </si>
  <si>
    <t>970.577.838-84</t>
  </si>
  <si>
    <t>murilo.peixoto50@icloud.com</t>
  </si>
  <si>
    <t>(41) 92410-0121</t>
  </si>
  <si>
    <t>Marcelo Silva</t>
  </si>
  <si>
    <t>marcelo.silva25@bol.com.br</t>
  </si>
  <si>
    <t>Vitoria Farias Almeida</t>
  </si>
  <si>
    <t>vitoria.almeida21@uol.com.br</t>
  </si>
  <si>
    <t>Paula Barros Gomes</t>
  </si>
  <si>
    <t>04137415080</t>
  </si>
  <si>
    <t>paula.gomes64@gmail.com</t>
  </si>
  <si>
    <t>breno.monteiro61@gmail.com</t>
  </si>
  <si>
    <t>98254-2516</t>
  </si>
  <si>
    <t>Fernanda Souza Silva</t>
  </si>
  <si>
    <t>fernanda.silva44@uol.com.br</t>
  </si>
  <si>
    <t>(62) 90598-6988</t>
  </si>
  <si>
    <t>Rebeca Lima Nunes</t>
  </si>
  <si>
    <t>joao.teixeira991@gmail.com</t>
  </si>
  <si>
    <t>Caetano Batista Santos</t>
  </si>
  <si>
    <t>caetano.santos28@bol.com.br</t>
  </si>
  <si>
    <t>Pedro Rodrigues</t>
  </si>
  <si>
    <t>044.479.638-09</t>
  </si>
  <si>
    <t>pedro.rodrigues13@gmail.com</t>
  </si>
  <si>
    <t>(11) 92048-3860</t>
  </si>
  <si>
    <t>debora.rezende67@uol.com.br</t>
  </si>
  <si>
    <t>luana.rocha869@gmail.com</t>
  </si>
  <si>
    <t>Bruna Soares Farias</t>
  </si>
  <si>
    <t>bruna.farias76@gmail.com</t>
  </si>
  <si>
    <t>Aline Goncalves Campos</t>
  </si>
  <si>
    <t>aline.campos67@bol.com.br</t>
  </si>
  <si>
    <t>(11) 95296-8800</t>
  </si>
  <si>
    <t>Nicole Barbosa Lima</t>
  </si>
  <si>
    <t>nicole.lima8@uol.com.br</t>
  </si>
  <si>
    <t>900.900.554-20</t>
  </si>
  <si>
    <t>caio.souza95@gmail.com</t>
  </si>
  <si>
    <t>Carolina Dias Ribeiro</t>
  </si>
  <si>
    <t>carolina.ribeiro56@hotmail.com</t>
  </si>
  <si>
    <t>(11) 90576-5831</t>
  </si>
  <si>
    <t>Marcelo Mendes</t>
  </si>
  <si>
    <t>079.156.212-38</t>
  </si>
  <si>
    <t>marcelo.mendes93@uol.com.br</t>
  </si>
  <si>
    <t>(61) 93925-1814</t>
  </si>
  <si>
    <t>Caua Moura</t>
  </si>
  <si>
    <t>caua.moura68@yahoo.com.br</t>
  </si>
  <si>
    <t>Sabrina Mendes Rodrigues</t>
  </si>
  <si>
    <t>sabrina.rodrigues41@gmail.com</t>
  </si>
  <si>
    <t>90449-4739</t>
  </si>
  <si>
    <t>Rebeca Soares Monteiro</t>
  </si>
  <si>
    <t>rebeca.monteiro53@yahoo.com.br</t>
  </si>
  <si>
    <t>(11) 98609-6394</t>
  </si>
  <si>
    <t>Letícia Nascimento Tavares</t>
  </si>
  <si>
    <t>leticia.tavares67@gmail.com</t>
  </si>
  <si>
    <t>(11) 98208-0143</t>
  </si>
  <si>
    <t>gustavo.mendes9@yahoo.com.br</t>
  </si>
  <si>
    <t>juliana.andrade66@yahoo.com.br</t>
  </si>
  <si>
    <t>(85) 94880-8207</t>
  </si>
  <si>
    <t>Juliana Fonseca</t>
  </si>
  <si>
    <t>juliana.fonseca19@hotmail.com</t>
  </si>
  <si>
    <t>Bruno Costa</t>
  </si>
  <si>
    <t>869.604.875-01</t>
  </si>
  <si>
    <t>bruno.costa48@hotmail.com</t>
  </si>
  <si>
    <t>94316-8333</t>
  </si>
  <si>
    <t>manuela.lima15@hotmail.com</t>
  </si>
  <si>
    <t>Renan Cardoso</t>
  </si>
  <si>
    <t>173.810.429-08</t>
  </si>
  <si>
    <t>renan.cardoso97@gmail.com</t>
  </si>
  <si>
    <t>54716401952</t>
  </si>
  <si>
    <t>camila.andrade2@yahoo.com.br</t>
  </si>
  <si>
    <t>Hugo Moura Ferreira</t>
  </si>
  <si>
    <t>766.842.791-05</t>
  </si>
  <si>
    <t>(11) 96801-9352</t>
  </si>
  <si>
    <t>bianca.campos552@gmail.com</t>
  </si>
  <si>
    <t>Beatriz Silva Santana</t>
  </si>
  <si>
    <t>(41) 91131-5440</t>
  </si>
  <si>
    <t>329.780.756-35</t>
  </si>
  <si>
    <t>cecilia.andrade24@bol.com.br</t>
  </si>
  <si>
    <t>(71) 99522-9401</t>
  </si>
  <si>
    <t>Carolina Santana Rodrigues</t>
  </si>
  <si>
    <t>carolina.rodrigues15@gmail.com</t>
  </si>
  <si>
    <t>cecilia.batista63@outlook.com</t>
  </si>
  <si>
    <t>(11) 91492-5939</t>
  </si>
  <si>
    <t>Enzo Alves</t>
  </si>
  <si>
    <t>enzo.alves57@bol.com.br</t>
  </si>
  <si>
    <t>Eduarda Pinto Ferreira</t>
  </si>
  <si>
    <t>522.504.761-01</t>
  </si>
  <si>
    <t>eduarda.ferreira31@hotmail.com</t>
  </si>
  <si>
    <t>(41) 92479-2820</t>
  </si>
  <si>
    <t>Cauã Vieira Moura</t>
  </si>
  <si>
    <t>160.304.356-04</t>
  </si>
  <si>
    <t>caua.moura14@bol.com.br</t>
  </si>
  <si>
    <t>611.241.977-70</t>
  </si>
  <si>
    <t>taina.silva19@hotmail.com</t>
  </si>
  <si>
    <t>(47) 92147-5063</t>
  </si>
  <si>
    <t>helena.santana50@gmail.com</t>
  </si>
  <si>
    <t>(19) 97481-8936</t>
  </si>
  <si>
    <t>Luana Araújo Campos</t>
  </si>
  <si>
    <t>luana.campos80@gmail.com</t>
  </si>
  <si>
    <t>valentina.barros65@gmail.com</t>
  </si>
  <si>
    <t>(11) 91751-4665</t>
  </si>
  <si>
    <t>Rebeca C. Freitas</t>
  </si>
  <si>
    <t>rebeca.freitas49@hotmail.com</t>
  </si>
  <si>
    <t>Henrique Cardoso</t>
  </si>
  <si>
    <t>henrique.cardoso23@gmail.com</t>
  </si>
  <si>
    <t>(11) 94164-6815</t>
  </si>
  <si>
    <t>311.161.674-68</t>
  </si>
  <si>
    <t>aline.costa96@gmail.com</t>
  </si>
  <si>
    <t>(11) 95649-3621</t>
  </si>
  <si>
    <t>Sofia R. Batista</t>
  </si>
  <si>
    <t>sofia.batista5@gmail.com</t>
  </si>
  <si>
    <t>(11) 91777-6492</t>
  </si>
  <si>
    <t>Eduarda Ramos Cardoso</t>
  </si>
  <si>
    <t>eduarda.cardoso29@gmail.com</t>
  </si>
  <si>
    <t>(85) 93916-8505</t>
  </si>
  <si>
    <t>302.104.610-04</t>
  </si>
  <si>
    <t>leonardo.moura667@bol.com.br</t>
  </si>
  <si>
    <t>Caetano Correia Gonçalves</t>
  </si>
  <si>
    <t>caetano.goncalves98@gmail.com</t>
  </si>
  <si>
    <t>(31) 98295-0704</t>
  </si>
  <si>
    <t>Larissa Campos Rezende</t>
  </si>
  <si>
    <t>larissa.rezende1@outlook.com</t>
  </si>
  <si>
    <t>95494-4364</t>
  </si>
  <si>
    <t>Vitor Ramos</t>
  </si>
  <si>
    <t>vitor.ramos3@outlook.com</t>
  </si>
  <si>
    <t>(31) 91590-1443</t>
  </si>
  <si>
    <t>Sofia Almeida</t>
  </si>
  <si>
    <t>sofia.almeida31@gmail.com</t>
  </si>
  <si>
    <t>(61) 90116-0685</t>
  </si>
  <si>
    <t>Nicolas Silva Cardoso</t>
  </si>
  <si>
    <t>nicolas.cardoso59@uol.com.br</t>
  </si>
  <si>
    <t>00274735709</t>
  </si>
  <si>
    <t>alexandre.ribeiro51@hotmail.com</t>
  </si>
  <si>
    <t>breno.alves268@hotmail.com</t>
  </si>
  <si>
    <t>Manuela Ferreira</t>
  </si>
  <si>
    <t>manuela.ferreira3@uol.com.br</t>
  </si>
  <si>
    <t>(21) 92741-9527</t>
  </si>
  <si>
    <t>Gabriela Ferreira Peixoto</t>
  </si>
  <si>
    <t>gabriela.peixoto82@outlook.com</t>
  </si>
  <si>
    <t>92400-0988</t>
  </si>
  <si>
    <t>Tainá C. Moreira</t>
  </si>
  <si>
    <t>771.511.051-50</t>
  </si>
  <si>
    <t>taina.moreira10@hotmail.com</t>
  </si>
  <si>
    <t>(31) 93081-4477</t>
  </si>
  <si>
    <t>Juliana Marques</t>
  </si>
  <si>
    <t>922.350.891-60</t>
  </si>
  <si>
    <t>juliana.marques41@gmail.com</t>
  </si>
  <si>
    <t>olivia.moreira93@icloud.com</t>
  </si>
  <si>
    <t>(11) 91510-1097</t>
  </si>
  <si>
    <t>nicolas.costa6@icloud.com</t>
  </si>
  <si>
    <t>98999-8210</t>
  </si>
  <si>
    <t>vinicius.fernandes162@gmail.com</t>
  </si>
  <si>
    <t>700.147.578-50</t>
  </si>
  <si>
    <t>(31) 91730-1101</t>
  </si>
  <si>
    <t>matheus.costa26@gmail.com</t>
  </si>
  <si>
    <t>(11) 90097-9911</t>
  </si>
  <si>
    <t>miguel.moura27@hotmail.com</t>
  </si>
  <si>
    <t>Otávio Moreira Costa</t>
  </si>
  <si>
    <t>otavio.costa75@hotmail.com</t>
  </si>
  <si>
    <t>Otávio Costa Souza</t>
  </si>
  <si>
    <t>otavio.souza44@uol.com.br</t>
  </si>
  <si>
    <t>(11) 96722-1931</t>
  </si>
  <si>
    <t>leticia.mendes94@bol.com.br</t>
  </si>
  <si>
    <t>(31) 97611-1363</t>
  </si>
  <si>
    <t>391.079.238-30</t>
  </si>
  <si>
    <t>cecilia.oliveira67@gmail.com</t>
  </si>
  <si>
    <t>Lorenzo Marques Santana</t>
  </si>
  <si>
    <t>lorenzo.santana48@gmail.com</t>
  </si>
  <si>
    <t>Joao Santana</t>
  </si>
  <si>
    <t>joao.santana40@gmail.com</t>
  </si>
  <si>
    <t>(11) 97097-5582</t>
  </si>
  <si>
    <t>Olívia Campos Santana</t>
  </si>
  <si>
    <t>172.452.493-34</t>
  </si>
  <si>
    <t>olivia.santana61@gmail.com</t>
  </si>
  <si>
    <t>joao.barros38@bol.com.br</t>
  </si>
  <si>
    <t>360.717.772-40</t>
  </si>
  <si>
    <t>natalia.silva27@uol.com.br</t>
  </si>
  <si>
    <t>(41) 94114-5243</t>
  </si>
  <si>
    <t>caio.souza44@yahoo.com.br</t>
  </si>
  <si>
    <t>beatriz.nogueira436@gmail.com</t>
  </si>
  <si>
    <t>(11) 92962-8627</t>
  </si>
  <si>
    <t>julia.souza73@gmail.com</t>
  </si>
  <si>
    <t>(31) 94199-6651</t>
  </si>
  <si>
    <t>337.384.467-37</t>
  </si>
  <si>
    <t>hugo.peixoto35@icloud.com</t>
  </si>
  <si>
    <t>Priscila Machado Alves</t>
  </si>
  <si>
    <t>457.146.101-13</t>
  </si>
  <si>
    <t>priscila.alves76@yahoo.com.br</t>
  </si>
  <si>
    <t>(11) 94678-7332</t>
  </si>
  <si>
    <t>Fábio Barros</t>
  </si>
  <si>
    <t>220.253.334-63</t>
  </si>
  <si>
    <t>fabio.barros1@hotmail.com</t>
  </si>
  <si>
    <t>90295-4258</t>
  </si>
  <si>
    <t>fabio.santana59@outlook.com</t>
  </si>
  <si>
    <t>(48) 91811-1357</t>
  </si>
  <si>
    <t>emanuelly.souza54@outlook.com</t>
  </si>
  <si>
    <t>isabela.lima9@gmail.com</t>
  </si>
  <si>
    <t>934.758.570-06</t>
  </si>
  <si>
    <t>nicole.rezende39@uol.com.br</t>
  </si>
  <si>
    <t>beatriz.campos506@outlook.com</t>
  </si>
  <si>
    <t>(31) 92440-7790</t>
  </si>
  <si>
    <t>andre.goncalves7@icloud.com</t>
  </si>
  <si>
    <t>(62) 95241-5049</t>
  </si>
  <si>
    <t>Nicole Tavares</t>
  </si>
  <si>
    <t>nicole.tavares61@outlook.com</t>
  </si>
  <si>
    <t>murilo.campos48@gmail.com</t>
  </si>
  <si>
    <t>Thiago Pinto Rocha</t>
  </si>
  <si>
    <t>266.142.385-07</t>
  </si>
  <si>
    <t>thiago.rocha10@hotmail.com</t>
  </si>
  <si>
    <t>56914901333</t>
  </si>
  <si>
    <t>daniel.teixeira69@gmail.com</t>
  </si>
  <si>
    <t>Melissa Martins</t>
  </si>
  <si>
    <t>269.919.488-37</t>
  </si>
  <si>
    <t>melissa.martins46@outlook.com</t>
  </si>
  <si>
    <t>(31) 96181-1071</t>
  </si>
  <si>
    <t>Aline Barbosa Barros</t>
  </si>
  <si>
    <t>883.620.557-20</t>
  </si>
  <si>
    <t>aline.barros9@hotmail.com</t>
  </si>
  <si>
    <t>caio.alves25@hotmail.com</t>
  </si>
  <si>
    <t>Caetano Pereira Batista</t>
  </si>
  <si>
    <t>caetano.batista88@hotmail.com</t>
  </si>
  <si>
    <t>Fábio Moura Almeida</t>
  </si>
  <si>
    <t>fabio.almeida70@gmail.com</t>
  </si>
  <si>
    <t>(11) 99348-6805</t>
  </si>
  <si>
    <t>Cecília R. Nascimento</t>
  </si>
  <si>
    <t>cecilia.nascimento89@gmail.com</t>
  </si>
  <si>
    <t>(11) 94009-5723</t>
  </si>
  <si>
    <t>823.666.482-19</t>
  </si>
  <si>
    <t>juliana.andrade12@outlook.com</t>
  </si>
  <si>
    <t>(11) 94223-5091</t>
  </si>
  <si>
    <t>Rafael Gonçalves</t>
  </si>
  <si>
    <t>rafael.goncalves39@outlook.com</t>
  </si>
  <si>
    <t>(51) 91640-9205</t>
  </si>
  <si>
    <t>Thaís Araújo</t>
  </si>
  <si>
    <t>thais.araujo70@uol.com.br</t>
  </si>
  <si>
    <t>Aline Silva Freitas</t>
  </si>
  <si>
    <t>aline.freitas92@gmail.com</t>
  </si>
  <si>
    <t>(31) 97714-2234</t>
  </si>
  <si>
    <t>Rafael Souza Marques</t>
  </si>
  <si>
    <t>038.279.197-54</t>
  </si>
  <si>
    <t>rafael.marques24@gmail.com</t>
  </si>
  <si>
    <t>Thaís M. Fonseca</t>
  </si>
  <si>
    <t>395.035.905-23</t>
  </si>
  <si>
    <t>thais.fonseca80@bol.com.br</t>
  </si>
  <si>
    <t>Thiago Monteiro Nogueira</t>
  </si>
  <si>
    <t>560.553.996-52</t>
  </si>
  <si>
    <t>thiago.nogueira4@gmail.com</t>
  </si>
  <si>
    <t>(61) 96335-5304</t>
  </si>
  <si>
    <t>Nicole Cardoso Teixeira</t>
  </si>
  <si>
    <t>Cecília Ribeiro</t>
  </si>
  <si>
    <t>cecilia.ribeiro83@uol.com.br</t>
  </si>
  <si>
    <t>(11) 90697-9398</t>
  </si>
  <si>
    <t>Manuela Nogueira</t>
  </si>
  <si>
    <t>206.235.578-51</t>
  </si>
  <si>
    <t>manuela.nogueira75@outlook.com</t>
  </si>
  <si>
    <t>96695-4636</t>
  </si>
  <si>
    <t>Camila Peixoto Santana</t>
  </si>
  <si>
    <t>camila.santana76@outlook.com</t>
  </si>
  <si>
    <t>Priscila Moreira Peixoto</t>
  </si>
  <si>
    <t>priscila.peixoto59@gmail.com</t>
  </si>
  <si>
    <t>Mariana Alves</t>
  </si>
  <si>
    <t>mariana.alves93@bol.com.br</t>
  </si>
  <si>
    <t>Gabriel Barbosa Silva</t>
  </si>
  <si>
    <t>806.869.737-39</t>
  </si>
  <si>
    <t>gabriel.silva92@icloud.com</t>
  </si>
  <si>
    <t>Lorena Ferreira Gomes</t>
  </si>
  <si>
    <t>lorena.gomes8@gmail.com</t>
  </si>
  <si>
    <t>97641-1474</t>
  </si>
  <si>
    <t>Murilo Barros Freitas</t>
  </si>
  <si>
    <t>113.845.357-99</t>
  </si>
  <si>
    <t>Samuel Teixeira Costa</t>
  </si>
  <si>
    <t>742.300.372-79</t>
  </si>
  <si>
    <t>renata.peixoto54@yahoo.com.br</t>
  </si>
  <si>
    <t>Rebeca Teixeira Vieira</t>
  </si>
  <si>
    <t>rebeca.vieira75@bol.com.br</t>
  </si>
  <si>
    <t>93722-1437</t>
  </si>
  <si>
    <t>emanuelly.pinto55@bol.com.br</t>
  </si>
  <si>
    <t>valentina.ferreira90@gmail.com</t>
  </si>
  <si>
    <t>Sofia Fonseca Machado</t>
  </si>
  <si>
    <t>511.335.531-33</t>
  </si>
  <si>
    <t>sofia.machado14@gmail.com</t>
  </si>
  <si>
    <t>(11) 96638-0712</t>
  </si>
  <si>
    <t>Letícia Fernandes Moreira</t>
  </si>
  <si>
    <t>leticia.moreira39@gmail.com</t>
  </si>
  <si>
    <t>93519-8833</t>
  </si>
  <si>
    <t>Vitor Campos Mendes</t>
  </si>
  <si>
    <t>626.264.957-35</t>
  </si>
  <si>
    <t>vitor.mendes63@gmail.com</t>
  </si>
  <si>
    <t>Eduarda Ramos</t>
  </si>
  <si>
    <t>110.441.742-18</t>
  </si>
  <si>
    <t>eduarda.ramos35@gmail.com</t>
  </si>
  <si>
    <t>(31) 91734-9546</t>
  </si>
  <si>
    <t>Felipe Gonçalves</t>
  </si>
  <si>
    <t>felipe.goncalves78@gmail.com</t>
  </si>
  <si>
    <t>91362-4637</t>
  </si>
  <si>
    <t>Larissa Ferreira</t>
  </si>
  <si>
    <t>larissa.ferreira45@gmail.com</t>
  </si>
  <si>
    <t>Diego Pinto</t>
  </si>
  <si>
    <t>733.831.883-29</t>
  </si>
  <si>
    <t>diego.pinto7@gmail.com</t>
  </si>
  <si>
    <t>(61) 90127-1179</t>
  </si>
  <si>
    <t>Yasmin Costa</t>
  </si>
  <si>
    <t>860.962.916-35</t>
  </si>
  <si>
    <t>yasmin.costa51@gmail.com</t>
  </si>
  <si>
    <t>Sofia Freitas Costa</t>
  </si>
  <si>
    <t>sofia.costa4@gmail.com</t>
  </si>
  <si>
    <t>Rodrigo Vieira Farias</t>
  </si>
  <si>
    <t>845.846.838-75</t>
  </si>
  <si>
    <t>rodrigo.farias18@outlook.com</t>
  </si>
  <si>
    <t>139.241.723-66</t>
  </si>
  <si>
    <t>clara.monteiro4@icloud.com</t>
  </si>
  <si>
    <t>Lorena Vieira Andrade</t>
  </si>
  <si>
    <t>lorena.andrade97@hotmail.com</t>
  </si>
  <si>
    <t>julia.farias35@outlook.com</t>
  </si>
  <si>
    <t>439.220.926-16</t>
  </si>
  <si>
    <t>luan.ribeiro9@gmail.com</t>
  </si>
  <si>
    <t>Laura Barros Andrade</t>
  </si>
  <si>
    <t>797.332.785-13</t>
  </si>
  <si>
    <t>laura.andrade9@gmail.com</t>
  </si>
  <si>
    <t>helena.peixoto29@uol.com.br</t>
  </si>
  <si>
    <t>Murilo Ramos Monteiro</t>
  </si>
  <si>
    <t>093.575.040-10</t>
  </si>
  <si>
    <t>murilo.monteiro40@gmail.com</t>
  </si>
  <si>
    <t>Lívia Campos Pereira</t>
  </si>
  <si>
    <t>livia.pereira38@hotmail.com</t>
  </si>
  <si>
    <t>(41) 90387-1941</t>
  </si>
  <si>
    <t>312.541.258-76</t>
  </si>
  <si>
    <t>icaro.lima142@hotmail.com</t>
  </si>
  <si>
    <t>Priscila T. Martins</t>
  </si>
  <si>
    <t>82248001568</t>
  </si>
  <si>
    <t>priscila.martins89@gmail.com</t>
  </si>
  <si>
    <t>90186-5472</t>
  </si>
  <si>
    <t>otavio.rodrigues49@gmail.com</t>
  </si>
  <si>
    <t>Mariana Ferreira</t>
  </si>
  <si>
    <t>mariana.ferreira95@uol.com.br</t>
  </si>
  <si>
    <t>92738-2782</t>
  </si>
  <si>
    <t>Caio Fernandes Correia</t>
  </si>
  <si>
    <t>735.331.744-25</t>
  </si>
  <si>
    <t>caio.correia54@hotmail.com</t>
  </si>
  <si>
    <t>emanuelly.dias823@yahoo.com.br</t>
  </si>
  <si>
    <t>Rafaela Araújo Lopes</t>
  </si>
  <si>
    <t>rafaela.lopes88@hotmail.com</t>
  </si>
  <si>
    <t>Júlia Pereira</t>
  </si>
  <si>
    <t>julia.pereira15@gmail.com</t>
  </si>
  <si>
    <t>99825171120</t>
  </si>
  <si>
    <t>icaro.nogueira34@gmail.com</t>
  </si>
  <si>
    <t>(41) 97521-5924</t>
  </si>
  <si>
    <t>Wesley R. Monteiro</t>
  </si>
  <si>
    <t>521.388.328-51</t>
  </si>
  <si>
    <t>wesley.monteiro10@bol.com.br</t>
  </si>
  <si>
    <t>Nicole Machado Cavalcanti</t>
  </si>
  <si>
    <t>nicole.cavalcanti86@gmail.com</t>
  </si>
  <si>
    <t>(21) 98164-7090</t>
  </si>
  <si>
    <t>emanuelly.correia254@gmail.com</t>
  </si>
  <si>
    <t>Ana Silva</t>
  </si>
  <si>
    <t>ana.silva46@uol.com.br</t>
  </si>
  <si>
    <t>João Fernandes Pereira</t>
  </si>
  <si>
    <t>699.910.750-54</t>
  </si>
  <si>
    <t>joao.pereira85@uol.com.br</t>
  </si>
  <si>
    <t>Ana Santana</t>
  </si>
  <si>
    <t>ana.santana40@outlook.com</t>
  </si>
  <si>
    <t>(48) 90558-1936</t>
  </si>
  <si>
    <t>Melissa Rocha Alves</t>
  </si>
  <si>
    <t>melissa.alves23@outlook.com</t>
  </si>
  <si>
    <t>(62) 91339-9372</t>
  </si>
  <si>
    <t>815.035.244-93</t>
  </si>
  <si>
    <t>(11) 93233-3642</t>
  </si>
  <si>
    <t>Bernardo Cavalcanti Teixeira</t>
  </si>
  <si>
    <t>bernardo.teixeira42@hotmail.com</t>
  </si>
  <si>
    <t>rebeca.nunes996@gmail.com</t>
  </si>
  <si>
    <t>alice.alves72@gmail.com</t>
  </si>
  <si>
    <t>154.700.628-56</t>
  </si>
  <si>
    <t>igor.peixoto30@uol.com.br</t>
  </si>
  <si>
    <t>(11) 95173-0036</t>
  </si>
  <si>
    <t>Carolina Marques</t>
  </si>
  <si>
    <t>carolina.marques97@outlook.com</t>
  </si>
  <si>
    <t>Juliana Costa Barbosa</t>
  </si>
  <si>
    <t>juliana.barbosa46@gmail.com</t>
  </si>
  <si>
    <t>(11) 92026-6020</t>
  </si>
  <si>
    <t>Samuel Silva Marques</t>
  </si>
  <si>
    <t>samuel.marques76@gmail.com</t>
  </si>
  <si>
    <t>(11) 92232-5036</t>
  </si>
  <si>
    <t>bruna.campos58@uol.com.br</t>
  </si>
  <si>
    <t>(71) 92765-2846</t>
  </si>
  <si>
    <t>sabrina.pereira96@hotmail.com</t>
  </si>
  <si>
    <t>teo.mendes30@gmail.com</t>
  </si>
  <si>
    <t>bruna.oliveira234@outlook.com</t>
  </si>
  <si>
    <t>Paula Lopes Fernandes</t>
  </si>
  <si>
    <t>800.689.923-19</t>
  </si>
  <si>
    <t>paula.fernandes13@hotmail.com</t>
  </si>
  <si>
    <t>ricardo.silva29@gmail.com</t>
  </si>
  <si>
    <t>Juliana Nogueira Carvalho</t>
  </si>
  <si>
    <t>juliana.carvalho26@yahoo.com.br</t>
  </si>
  <si>
    <t>larissa.soares45@hotmail.com</t>
  </si>
  <si>
    <t>(11) 91126-9780</t>
  </si>
  <si>
    <t>49823643547</t>
  </si>
  <si>
    <t>yasmin.nogueira63@bol.com.br</t>
  </si>
  <si>
    <t>vanessa.cavalcanti34@gmail.com</t>
  </si>
  <si>
    <t>Giovanna Pinto</t>
  </si>
  <si>
    <t>376.831.917-28</t>
  </si>
  <si>
    <t>giovanna.pinto22@yahoo.com.br</t>
  </si>
  <si>
    <t>93372-5146</t>
  </si>
  <si>
    <t>Kamila F. Almeida</t>
  </si>
  <si>
    <t>kamila.almeida35@outlook.com</t>
  </si>
  <si>
    <t>Letícia Nogueira Moura</t>
  </si>
  <si>
    <t>leticia.moura65@hotmail.com</t>
  </si>
  <si>
    <t>(31) 91305-8173</t>
  </si>
  <si>
    <t>Paulo Soares Moreira</t>
  </si>
  <si>
    <t>paulo.moreira64@hotmail.com</t>
  </si>
  <si>
    <t>(19) 96613-7603</t>
  </si>
  <si>
    <t>Marcelo Marques</t>
  </si>
  <si>
    <t>marcelo.marques64@hotmail.com</t>
  </si>
  <si>
    <t>Manuela Campos Dias</t>
  </si>
  <si>
    <t>manuela.dias64@gmail.com</t>
  </si>
  <si>
    <t>(11) 98234-9117</t>
  </si>
  <si>
    <t>043.093.443-21</t>
  </si>
  <si>
    <t>isabela.fernandes91@bol.com.br</t>
  </si>
  <si>
    <t>(19) 92044-5303</t>
  </si>
  <si>
    <t>295.643.302-46</t>
  </si>
  <si>
    <t>fabio.correia87@hotmail.com</t>
  </si>
  <si>
    <t>Felipe Nunes</t>
  </si>
  <si>
    <t>558.223.685-65</t>
  </si>
  <si>
    <t>felipe.nunes35@gmail.com</t>
  </si>
  <si>
    <t>(11) 92411-5998</t>
  </si>
  <si>
    <t>Hugo Goncalves Soares</t>
  </si>
  <si>
    <t>hugo.soares3@hotmail.com</t>
  </si>
  <si>
    <t>Helena Oliveira Cavalcanti</t>
  </si>
  <si>
    <t>827.033.710-20</t>
  </si>
  <si>
    <t>helena.cavalcanti5@hotmail.com</t>
  </si>
  <si>
    <t>99190-5753</t>
  </si>
  <si>
    <t>Felipe Moreira Souza</t>
  </si>
  <si>
    <t>felipe.souza11@gmail.com</t>
  </si>
  <si>
    <t>luana.nogueira27@gmail.com</t>
  </si>
  <si>
    <t>(11) 91487-2817</t>
  </si>
  <si>
    <t>Vitória Farias Mendes</t>
  </si>
  <si>
    <t>vitoria.mendes29@gmail.com</t>
  </si>
  <si>
    <t>93732-6355</t>
  </si>
  <si>
    <t>Larissa Nunes</t>
  </si>
  <si>
    <t>117.180.379-61</t>
  </si>
  <si>
    <t>larissa.nunes105@gmail.com</t>
  </si>
  <si>
    <t>(51) 99932-5214</t>
  </si>
  <si>
    <t>Lorenzo Andrade Nunes</t>
  </si>
  <si>
    <t>lorenzo.nunes97@hotmail.com</t>
  </si>
  <si>
    <t>91049-7362</t>
  </si>
  <si>
    <t>bruna.ferreira39@uol.com.br</t>
  </si>
  <si>
    <t>Fernanda Farias Rezende</t>
  </si>
  <si>
    <t>fernanda.rezende37@icloud.com</t>
  </si>
  <si>
    <t>Paula Rezende</t>
  </si>
  <si>
    <t>paula.rezende90@gmail.com</t>
  </si>
  <si>
    <t>(11) 94194-6615</t>
  </si>
  <si>
    <t>522.037.222-07</t>
  </si>
  <si>
    <t>arthur.nunes87@hotmail.com</t>
  </si>
  <si>
    <t>Rafaela Santana Barbosa</t>
  </si>
  <si>
    <t>rafaela.barbosa6@outlook.com</t>
  </si>
  <si>
    <t>92501-9301</t>
  </si>
  <si>
    <t>heitor.ribeiro62@icloud.com</t>
  </si>
  <si>
    <t>Alice Moura</t>
  </si>
  <si>
    <t>alice.moura71@yahoo.com.br</t>
  </si>
  <si>
    <t>Júlia Teixeira</t>
  </si>
  <si>
    <t>95407786389</t>
  </si>
  <si>
    <t>julia.teixeira26@gmail.com</t>
  </si>
  <si>
    <t>(48) 97561-3415</t>
  </si>
  <si>
    <t>Otávio Barros</t>
  </si>
  <si>
    <t>(51) 98097-9305</t>
  </si>
  <si>
    <t>639.445.998-45</t>
  </si>
  <si>
    <t>clara.pereira95@gmail.com</t>
  </si>
  <si>
    <t>91403-2762</t>
  </si>
  <si>
    <t>debora.moura76@yahoo.com.br</t>
  </si>
  <si>
    <t>96892-7239</t>
  </si>
  <si>
    <t>Paulo Rezende Machado</t>
  </si>
  <si>
    <t>paulo.machado44@gmail.com</t>
  </si>
  <si>
    <t>eduardo.vieira412@yahoo.com.br</t>
  </si>
  <si>
    <t>Fábio Gonçalves</t>
  </si>
  <si>
    <t>fabio.goncalves41@gmail.com</t>
  </si>
  <si>
    <t>(11) 99240-1331</t>
  </si>
  <si>
    <t>miguel.ferreira60@gmail.com</t>
  </si>
  <si>
    <t>96185-7838</t>
  </si>
  <si>
    <t>Eduardo Santos Fonseca</t>
  </si>
  <si>
    <t>eduardo.fonseca19@hotmail.com</t>
  </si>
  <si>
    <t>326.324.855-33</t>
  </si>
  <si>
    <t>fernanda522@gmail.com</t>
  </si>
  <si>
    <t>Fernanda Vieira</t>
  </si>
  <si>
    <t>fernanda.vieira86@gmail.com</t>
  </si>
  <si>
    <t>92056-8958</t>
  </si>
  <si>
    <t>Thaís Fernandes</t>
  </si>
  <si>
    <t>thais.fernandes40@outlook.com</t>
  </si>
  <si>
    <t>Cecília Nogueira</t>
  </si>
  <si>
    <t>cecilia.nogueira21@gmail.com</t>
  </si>
  <si>
    <t>(11) 90855-3099</t>
  </si>
  <si>
    <t>bernardo.monteiro94@outlook.com</t>
  </si>
  <si>
    <t>(41) 96457-0763</t>
  </si>
  <si>
    <t>Luana O. Marques</t>
  </si>
  <si>
    <t>luana.marques53@gmail.com</t>
  </si>
  <si>
    <t>Davi Andrade</t>
  </si>
  <si>
    <t>144.310.110-99</t>
  </si>
  <si>
    <t>davi.andrade65@hotmail.com</t>
  </si>
  <si>
    <t>061.683.251-66</t>
  </si>
  <si>
    <t>manuela.silva188@gmail.com</t>
  </si>
  <si>
    <t>791.463.462-01</t>
  </si>
  <si>
    <t>96765-0396</t>
  </si>
  <si>
    <t>Thiago Vieira Andrade</t>
  </si>
  <si>
    <t>thiago.andrade84@uol.com.br</t>
  </si>
  <si>
    <t>(19) 91854-0830</t>
  </si>
  <si>
    <t>807.133.820-66</t>
  </si>
  <si>
    <t>(31) 92686-4693</t>
  </si>
  <si>
    <t>Ana Mendes</t>
  </si>
  <si>
    <t>971.794.885-26</t>
  </si>
  <si>
    <t>ana.mendes21@gmail.com</t>
  </si>
  <si>
    <t>Henrique Rezende Monteiro</t>
  </si>
  <si>
    <t>henrique.monteiro20@gmail.com</t>
  </si>
  <si>
    <t>(11) 95445-2863</t>
  </si>
  <si>
    <t>Sabrina Marques Souza</t>
  </si>
  <si>
    <t>sabrina.souza28@gmial.com</t>
  </si>
  <si>
    <t>Marina Santos</t>
  </si>
  <si>
    <t>marina.santos47@gmail.com</t>
  </si>
  <si>
    <t>Priscila Nascimento Araújo</t>
  </si>
  <si>
    <t>714.720.748-31</t>
  </si>
  <si>
    <t>priscila.araujo66@uol.com.br</t>
  </si>
  <si>
    <t>Teo Nunes</t>
  </si>
  <si>
    <t>teo.nunes87@gmail.com</t>
  </si>
  <si>
    <t>Giovanna Gonçalves Fernandes</t>
  </si>
  <si>
    <t>giovanna.fernandes26@uol.com.br</t>
  </si>
  <si>
    <t>wesley.campos43@outlook.com</t>
  </si>
  <si>
    <t>(11) 90984-7393</t>
  </si>
  <si>
    <t>985.626.531-28</t>
  </si>
  <si>
    <t>thiago.moura2@hotmail.con</t>
  </si>
  <si>
    <t>Teo Lima</t>
  </si>
  <si>
    <t>202.701.964-20</t>
  </si>
  <si>
    <t>teo.lima97@gmail.com</t>
  </si>
  <si>
    <t>Débora Rezende</t>
  </si>
  <si>
    <t>debora.rezende43@gmail.com</t>
  </si>
  <si>
    <t>Isabela Santana Correia</t>
  </si>
  <si>
    <t>isabela.correia99@outlook.com</t>
  </si>
  <si>
    <t>Emanuelly Alves Nunes</t>
  </si>
  <si>
    <t>788.528.950-86</t>
  </si>
  <si>
    <t>emanuelly.nunes55@outlook.com</t>
  </si>
  <si>
    <t>(47) 97549-1265</t>
  </si>
  <si>
    <t>Heitor Nascimento Vieira</t>
  </si>
  <si>
    <t>406.764.167-21</t>
  </si>
  <si>
    <t>heitor.vieira89@hotmail.com</t>
  </si>
  <si>
    <t>347.739.768-10</t>
  </si>
  <si>
    <t>luan.alves52@yahoo.com.br</t>
  </si>
  <si>
    <t>Rafael Soares Teixeira</t>
  </si>
  <si>
    <t>539.736.640-86</t>
  </si>
  <si>
    <t>rafael.teixeira25@gmial.com</t>
  </si>
  <si>
    <t>Giovanna M. Farias</t>
  </si>
  <si>
    <t>244.148.057-08</t>
  </si>
  <si>
    <t>giovanna.farias54@gmail.com</t>
  </si>
  <si>
    <t>94122-3434</t>
  </si>
  <si>
    <t>Priscila Santana</t>
  </si>
  <si>
    <t>priscila.santana79@hotmail.com</t>
  </si>
  <si>
    <t>Mariana Oliveira Moura</t>
  </si>
  <si>
    <t>mariana.moura57@outlook.com</t>
  </si>
  <si>
    <t>Heloísa Carvalho Gonçalves</t>
  </si>
  <si>
    <t>heloisa.goncalves14@gmail.com</t>
  </si>
  <si>
    <t>Thiago Nascimento</t>
  </si>
  <si>
    <t>thiago.nascimento47@gmail.com</t>
  </si>
  <si>
    <t>620.512.841-13</t>
  </si>
  <si>
    <t>sabrina.peixoto659@gmail.com</t>
  </si>
  <si>
    <t>Carolina Alves Fonseca</t>
  </si>
  <si>
    <t>696.641.738-60</t>
  </si>
  <si>
    <t>carolina.fonseca72@outlook.com</t>
  </si>
  <si>
    <t>Valentina Fernandes</t>
  </si>
  <si>
    <t>valentina.fernandes70@hotmail.com</t>
  </si>
  <si>
    <t>Heloísa Rocha</t>
  </si>
  <si>
    <t>801.568.759-42</t>
  </si>
  <si>
    <t>heloisa.rocha75@hotmail.com</t>
  </si>
  <si>
    <t>998.487.869-45</t>
  </si>
  <si>
    <t>rafael.nascimento99@yahoo.com.br</t>
  </si>
  <si>
    <t>(62) 94178-2329</t>
  </si>
  <si>
    <t>Lucas Vieira Santana</t>
  </si>
  <si>
    <t>244.145.917-16</t>
  </si>
  <si>
    <t>(41) 99881-5816</t>
  </si>
  <si>
    <t>Débora Almeida</t>
  </si>
  <si>
    <t>debora.almeida11@yahoo.com.br</t>
  </si>
  <si>
    <t>(31) 95773-7689</t>
  </si>
  <si>
    <t>Heloísa Campos Nascimento</t>
  </si>
  <si>
    <t>heloisa.nascimento8@outlook.com</t>
  </si>
  <si>
    <t>Priscila Gomes Ramos</t>
  </si>
  <si>
    <t>347.577.509-35</t>
  </si>
  <si>
    <t>priscila.ramos29@uol.com.br</t>
  </si>
  <si>
    <t>Ana Farias</t>
  </si>
  <si>
    <t>Lorena Rezende Costa</t>
  </si>
  <si>
    <t>lorena.costa55@icloud.com</t>
  </si>
  <si>
    <t>038.153.829-04</t>
  </si>
  <si>
    <t>manuela.carvalho58@hotmail.com</t>
  </si>
  <si>
    <t>Guilherme Tavares Batista</t>
  </si>
  <si>
    <t>372.796.952-05</t>
  </si>
  <si>
    <t>guilherme.batista89@gmail.com</t>
  </si>
  <si>
    <t>Paulo Freitas Santana</t>
  </si>
  <si>
    <t>276.038.326-16</t>
  </si>
  <si>
    <t>paulo.santana13@hotmail.com</t>
  </si>
  <si>
    <t>(41) 92101-5649</t>
  </si>
  <si>
    <t>debora.andrade53@gmail.com</t>
  </si>
  <si>
    <t>(11) 99138-5484</t>
  </si>
  <si>
    <t>766.120.436-36</t>
  </si>
  <si>
    <t>rafaela.ramos69@gmail.com</t>
  </si>
  <si>
    <t>98024-1004</t>
  </si>
  <si>
    <t>Ícaro T. Correia</t>
  </si>
  <si>
    <t>icaro.correia33@icloud.com</t>
  </si>
  <si>
    <t>Rebeca Lima</t>
  </si>
  <si>
    <t>rebeca.lima30@gmail.com</t>
  </si>
  <si>
    <t>90214-8517</t>
  </si>
  <si>
    <t>valentina.souza51@outlook.com</t>
  </si>
  <si>
    <t>Larissa Lopes Cavalcanti</t>
  </si>
  <si>
    <t>larissa.cavalcanti45@gmail.com</t>
  </si>
  <si>
    <t>(11) 92029-1930</t>
  </si>
  <si>
    <t>896.133.614-21</t>
  </si>
  <si>
    <t>taina.silva64@gmail.com</t>
  </si>
  <si>
    <t>98580-8621</t>
  </si>
  <si>
    <t>Henrique Santana</t>
  </si>
  <si>
    <t>henrique.santana61@gmail.com</t>
  </si>
  <si>
    <t>Marcelo A. Peixoto</t>
  </si>
  <si>
    <t>(11) 96981-4512</t>
  </si>
  <si>
    <t>vitoria.nunes17@gmail.com</t>
  </si>
  <si>
    <t>(11) 94343-5020</t>
  </si>
  <si>
    <t>Helena Dias Marques</t>
  </si>
  <si>
    <t>019.434.516-56</t>
  </si>
  <si>
    <t>helena.marques6@gmail.com</t>
  </si>
  <si>
    <t>(11) 92705-8254</t>
  </si>
  <si>
    <t>heloisa.carvalho15@uol.com.br</t>
  </si>
  <si>
    <t>92662-4976</t>
  </si>
  <si>
    <t>Luan Batista Farias</t>
  </si>
  <si>
    <t>luan.farias36@gmail.com</t>
  </si>
  <si>
    <t>(41) 91566-5060</t>
  </si>
  <si>
    <t>davi.ferreira54@gmail.com</t>
  </si>
  <si>
    <t>fernanda.rocha4@hotmail.com</t>
  </si>
  <si>
    <t>(11) 94639-4776</t>
  </si>
  <si>
    <t>Manuela Fonseca</t>
  </si>
  <si>
    <t>manuela.fonseca30@gmail.com</t>
  </si>
  <si>
    <t>(11) 92534-1620</t>
  </si>
  <si>
    <t>Manuela Soares Lima</t>
  </si>
  <si>
    <t>140.864.892-01</t>
  </si>
  <si>
    <t>manuela.lima81@outlook.com</t>
  </si>
  <si>
    <t>(11) 99008-5013</t>
  </si>
  <si>
    <t>704.524.212-33</t>
  </si>
  <si>
    <t>priscila.alves66@gmail.com</t>
  </si>
  <si>
    <t>(11) 90136-9641</t>
  </si>
  <si>
    <t>Marcelo Rocha</t>
  </si>
  <si>
    <t>339.338.681-65</t>
  </si>
  <si>
    <t>marcelo.rocha73@yahoo.com.br</t>
  </si>
  <si>
    <t>95627-6189</t>
  </si>
  <si>
    <t>Alice Correia</t>
  </si>
  <si>
    <t>783.626.843-80</t>
  </si>
  <si>
    <t>Felipe Barbosa Machado</t>
  </si>
  <si>
    <t>476.728.859-26</t>
  </si>
  <si>
    <t>felipe.machado70@gmail.com</t>
  </si>
  <si>
    <t>Sofia Santana Lopes</t>
  </si>
  <si>
    <t>48633435667</t>
  </si>
  <si>
    <t>sofia.lopes66@icloud.com</t>
  </si>
  <si>
    <t>Gabriel Alves Teixeira</t>
  </si>
  <si>
    <t>gabriel.teixeira2@hotmail.com</t>
  </si>
  <si>
    <t>Luana Andrade Soares</t>
  </si>
  <si>
    <t>722.865.968-67</t>
  </si>
  <si>
    <t>luana.soares95@outlook.com</t>
  </si>
  <si>
    <t>90730-6728</t>
  </si>
  <si>
    <t>Wesley Nogueira Barbosa</t>
  </si>
  <si>
    <t>839.485.382-04</t>
  </si>
  <si>
    <t>wesley.barbosa30@uol.com.br</t>
  </si>
  <si>
    <t>Emanuel Correia</t>
  </si>
  <si>
    <t>51205154523</t>
  </si>
  <si>
    <t>emanuel.correia38@hotmail.com</t>
  </si>
  <si>
    <t>96284-8183</t>
  </si>
  <si>
    <t>Rafaela Rodrigues Fernandes</t>
  </si>
  <si>
    <t>033.856.254-08</t>
  </si>
  <si>
    <t>rafaela.fernandes84@gmail.com</t>
  </si>
  <si>
    <t>009.049.143-21</t>
  </si>
  <si>
    <t>fernanda.lima2@yahoo.com.br</t>
  </si>
  <si>
    <t>(41) 94826-7393</t>
  </si>
  <si>
    <t>Sabrina Dias Moura</t>
  </si>
  <si>
    <t>sabrina.moura43@gmail.com</t>
  </si>
  <si>
    <t>216.854.846-38</t>
  </si>
  <si>
    <t>fernanda.araujo4@yahoo.com.br</t>
  </si>
  <si>
    <t>95661-8602</t>
  </si>
  <si>
    <t>nicole.pinto31@gmail.com</t>
  </si>
  <si>
    <t>(11) 99302-0419</t>
  </si>
  <si>
    <t>Carolina Martins Soares</t>
  </si>
  <si>
    <t>carolina.soares34@hotmail.com</t>
  </si>
  <si>
    <t>luan.andrade35@outlook.com</t>
  </si>
  <si>
    <t>96437-0825</t>
  </si>
  <si>
    <t>258.495.517-27</t>
  </si>
  <si>
    <t>(11) 95193-9415</t>
  </si>
  <si>
    <t>Fábio Oliveira</t>
  </si>
  <si>
    <t>449.183.566-29</t>
  </si>
  <si>
    <t>fabio.oliveira22@gmail.com</t>
  </si>
  <si>
    <t>(31) 95803-9859</t>
  </si>
  <si>
    <t>livia615@hotmail.com</t>
  </si>
  <si>
    <t>(11) 90451-0281</t>
  </si>
  <si>
    <t>bruna.goncalves66@gmail.com</t>
  </si>
  <si>
    <t>(48) 98489-7120</t>
  </si>
  <si>
    <t>Rodrigo Lima Nascimento</t>
  </si>
  <si>
    <t>rodrigo.nascimento75@hotmail.com</t>
  </si>
  <si>
    <t>97596-6325</t>
  </si>
  <si>
    <t>mariana.rezende46@gmail.com</t>
  </si>
  <si>
    <t>Daniela Ribeiro Andrade</t>
  </si>
  <si>
    <t>daniela.andrade61@gmail.com</t>
  </si>
  <si>
    <t>Bianca Mendes Batista</t>
  </si>
  <si>
    <t>bianca.batista10@gmail.com</t>
  </si>
  <si>
    <t>Manuela Cardoso</t>
  </si>
  <si>
    <t>manuela.cardoso73@icloud.com</t>
  </si>
  <si>
    <t>Mariana Gonçalves Marques</t>
  </si>
  <si>
    <t>mariana.marques54@outlook.com</t>
  </si>
  <si>
    <t>Miguel Ramos Moreira</t>
  </si>
  <si>
    <t>miguel.moreira1@icloud.com</t>
  </si>
  <si>
    <t>92260-1641</t>
  </si>
  <si>
    <t>manuela.carvalho55@gmail.com</t>
  </si>
  <si>
    <t>Caio Moura Gomes</t>
  </si>
  <si>
    <t>caio.gomes58@gmail.com</t>
  </si>
  <si>
    <t>(48) 92838-6268</t>
  </si>
  <si>
    <t>Henrique Ferreira</t>
  </si>
  <si>
    <t>85915134360</t>
  </si>
  <si>
    <t>henrique.ferreira55@hotmail.com</t>
  </si>
  <si>
    <t>(11) 91360-6356</t>
  </si>
  <si>
    <t>Renata Lopes Santana</t>
  </si>
  <si>
    <t>53242722132</t>
  </si>
  <si>
    <t>renata.santana95@hotmail.com</t>
  </si>
  <si>
    <t>Juliana Cardoso</t>
  </si>
  <si>
    <t>juliana.cardoso54@outlook.com</t>
  </si>
  <si>
    <t>386.683.870-06</t>
  </si>
  <si>
    <t>valentina.barros99@bol.com.br</t>
  </si>
  <si>
    <t>(31) 99182-8605</t>
  </si>
  <si>
    <t>bruno.soares37@gmail.com</t>
  </si>
  <si>
    <t>98726-9710</t>
  </si>
  <si>
    <t>Igor Lopes Mendes</t>
  </si>
  <si>
    <t>igor.mendes19@bol.com.br</t>
  </si>
  <si>
    <t>Vitor Fernandes Gomes</t>
  </si>
  <si>
    <t>vitor.gomes73@gmail.com</t>
  </si>
  <si>
    <t>(31) 96586-8073</t>
  </si>
  <si>
    <t>420.425.533-79</t>
  </si>
  <si>
    <t>camila.andrade68@hotmail.com</t>
  </si>
  <si>
    <t>Caetano Dias Santana</t>
  </si>
  <si>
    <t>caetano.santana39@icloud.com</t>
  </si>
  <si>
    <t>(41) 93743-9082</t>
  </si>
  <si>
    <t>Manuela Nogueira Santos</t>
  </si>
  <si>
    <t>manuela.santos80@outlook.com</t>
  </si>
  <si>
    <t>Daniela Dias Farias</t>
  </si>
  <si>
    <t>224.018.319-59</t>
  </si>
  <si>
    <t>daniela.farias2@yahoo.com.br</t>
  </si>
  <si>
    <t>94545-3141</t>
  </si>
  <si>
    <t>Sofia Peixoto</t>
  </si>
  <si>
    <t>sofia.peixoto78@hotmail.com</t>
  </si>
  <si>
    <t>908.579.218-51</t>
  </si>
  <si>
    <t>heloisa.nascimento14@hotmail.com</t>
  </si>
  <si>
    <t>Priscila Carvalho Tavares</t>
  </si>
  <si>
    <t>priscila.tavares80@gmail.com</t>
  </si>
  <si>
    <t>99610-9361</t>
  </si>
  <si>
    <t>Bruno Gomes</t>
  </si>
  <si>
    <t>065.783.701-61</t>
  </si>
  <si>
    <t>bruno.gomes90@gmail.com</t>
  </si>
  <si>
    <t>(11) 91990-8790</t>
  </si>
  <si>
    <t>arthur.araujo23@gmail.com</t>
  </si>
  <si>
    <t>Henrique Lima Santana</t>
  </si>
  <si>
    <t>272.617.907-02</t>
  </si>
  <si>
    <t>henrique.santana21@outlook.com</t>
  </si>
  <si>
    <t>(11) 97433-9470</t>
  </si>
  <si>
    <t>Ana Fonseca</t>
  </si>
  <si>
    <t>Luana Nascimento</t>
  </si>
  <si>
    <t>luana.nascimento6@gmail.com</t>
  </si>
  <si>
    <t>(31) 99706-3332</t>
  </si>
  <si>
    <t>olivia.vieira71@bol.com.br</t>
  </si>
  <si>
    <t>(11) 90128-9831</t>
  </si>
  <si>
    <t>Melissa Correia Santos</t>
  </si>
  <si>
    <t>731.613.999-43</t>
  </si>
  <si>
    <t>melissa.santos13@outlook.com</t>
  </si>
  <si>
    <t>(11) 99221-9234</t>
  </si>
  <si>
    <t>Rodrigo Ferreira</t>
  </si>
  <si>
    <t>198.015.688-36</t>
  </si>
  <si>
    <t>rodrigo.ferreira66@gmail.com</t>
  </si>
  <si>
    <t>Enzo Correia Mendes</t>
  </si>
  <si>
    <t>enzo.mendes12@gmial.com</t>
  </si>
  <si>
    <t>(11) 93158-6599</t>
  </si>
  <si>
    <t>88633145782</t>
  </si>
  <si>
    <t>renata.moreira96@outlook.com</t>
  </si>
  <si>
    <t>Paulo Pinto</t>
  </si>
  <si>
    <t>22260797261</t>
  </si>
  <si>
    <t>paulo.pinto27@icloud.com</t>
  </si>
  <si>
    <t>(11) 92730-7053</t>
  </si>
  <si>
    <t>Mariana Soares Santos</t>
  </si>
  <si>
    <t>mariana.santos6@gmail.com</t>
  </si>
  <si>
    <t>Vitória Peixoto Andrade</t>
  </si>
  <si>
    <t>vitoria.andrade74@outlook.com</t>
  </si>
  <si>
    <t>Bruna Nascimento Santana</t>
  </si>
  <si>
    <t>182.438.710-55</t>
  </si>
  <si>
    <t>bruna.santana37@gmail.com</t>
  </si>
  <si>
    <t>94913-9574</t>
  </si>
  <si>
    <t>Emanuelly Lima</t>
  </si>
  <si>
    <t>lorena.lima89@gmail.com</t>
  </si>
  <si>
    <t>Davi Rodrigues</t>
  </si>
  <si>
    <t>davi.rodrigues54@yahoo.com.br</t>
  </si>
  <si>
    <t>(62) 95380-5439</t>
  </si>
  <si>
    <t>Rafaela Barros</t>
  </si>
  <si>
    <t>rafaela.barros20@hotmail.com</t>
  </si>
  <si>
    <t>(11) 94703-7719</t>
  </si>
  <si>
    <t>Bianca Nunes Soares</t>
  </si>
  <si>
    <t>bianca.soares68@gmail.com</t>
  </si>
  <si>
    <t>(11) 95680-5051</t>
  </si>
  <si>
    <t>Lucas Rocha Cardoso</t>
  </si>
  <si>
    <t>lucas.cardoso73@gmail.com</t>
  </si>
  <si>
    <t>Tainá Moura</t>
  </si>
  <si>
    <t>taina.moura29@uol.com.br</t>
  </si>
  <si>
    <t>(47) 91581-4655</t>
  </si>
  <si>
    <t>larissa.mendes39@gmail.com</t>
  </si>
  <si>
    <t>(11) 98669-6990</t>
  </si>
  <si>
    <t>Jaqueline Campos</t>
  </si>
  <si>
    <t>jaqueline.campos41@outlook.com</t>
  </si>
  <si>
    <t>(41) 93079-9824</t>
  </si>
  <si>
    <t>vitor.rezende95@hotmail.com</t>
  </si>
  <si>
    <t>21189312980</t>
  </si>
  <si>
    <t>pedro.gomes23@hotmail.com</t>
  </si>
  <si>
    <t>Fábio Nogueira</t>
  </si>
  <si>
    <t>fabio.nogueira94@bol.com.br</t>
  </si>
  <si>
    <t>971.439.053-21</t>
  </si>
  <si>
    <t>juliana.nunes38@gmail.com</t>
  </si>
  <si>
    <t>505.591.139-51</t>
  </si>
  <si>
    <t>camila.rezende89@gmail.com</t>
  </si>
  <si>
    <t>(85) 99329-1518</t>
  </si>
  <si>
    <t>Cecília Monteiro</t>
  </si>
  <si>
    <t>720.649.242-80</t>
  </si>
  <si>
    <t>(21) 93898-5390</t>
  </si>
  <si>
    <t>henrique.tavares60@gmail.com</t>
  </si>
  <si>
    <t>Giovanna Santana</t>
  </si>
  <si>
    <t>giovanna.santana86@outlook.com</t>
  </si>
  <si>
    <t>Emanuelly A. Cardoso</t>
  </si>
  <si>
    <t>097.383.043-34</t>
  </si>
  <si>
    <t>emanuelly.cardoso55@gmail.com</t>
  </si>
  <si>
    <t>Yuri Almeida Rocha</t>
  </si>
  <si>
    <t>yuri.rocha25@yahoo.com.br</t>
  </si>
  <si>
    <t>Fábio Freitas</t>
  </si>
  <si>
    <t>fabio.freitas78@gmail.com</t>
  </si>
  <si>
    <t>(11) 95015-7797</t>
  </si>
  <si>
    <t>Diego Rodrigues Costa</t>
  </si>
  <si>
    <t>diego.costa15@gmail.com</t>
  </si>
  <si>
    <t>Lívia Fonseca Campos</t>
  </si>
  <si>
    <t>635.171.601-21</t>
  </si>
  <si>
    <t>Olívia Almeida</t>
  </si>
  <si>
    <t>752.319.792-28</t>
  </si>
  <si>
    <t>olivia.almeida30@gmail.com</t>
  </si>
  <si>
    <t>Emanuel N. Silva</t>
  </si>
  <si>
    <t>28585827505</t>
  </si>
  <si>
    <t>emanuel.silva39@outlook.com</t>
  </si>
  <si>
    <t>Melissa P. Almeida</t>
  </si>
  <si>
    <t>melissa.almeida51@outlook.com</t>
  </si>
  <si>
    <t>93209-3627</t>
  </si>
  <si>
    <t>Bianca Machado</t>
  </si>
  <si>
    <t>(41) 96714-1590</t>
  </si>
  <si>
    <t>Alexandre Ferreira Pereira</t>
  </si>
  <si>
    <t>785.912.707-54</t>
  </si>
  <si>
    <t>alexandre.pereira62@yahoo.com.br</t>
  </si>
  <si>
    <t>gabriel.freitas24@uol.com.br</t>
  </si>
  <si>
    <t>Gabriela Alves Mendes</t>
  </si>
  <si>
    <t>555.792.790-51</t>
  </si>
  <si>
    <t>gabriela.mendes85@gmail.com</t>
  </si>
  <si>
    <t>(11) 94899-3806</t>
  </si>
  <si>
    <t>110.867.188-87</t>
  </si>
  <si>
    <t>rodrigo.nunes1@gmail.com</t>
  </si>
  <si>
    <t>Ícaro Campos</t>
  </si>
  <si>
    <t>552.563.890-84</t>
  </si>
  <si>
    <t>icaro.campos93@icloud.com</t>
  </si>
  <si>
    <t>(41) 91714-9777</t>
  </si>
  <si>
    <t>Beatriz Carvalho Cavalcanti</t>
  </si>
  <si>
    <t>428.400.414-05</t>
  </si>
  <si>
    <t>beatriz.cavalcanti37@hotmail.com</t>
  </si>
  <si>
    <t>(41) 94866-0677</t>
  </si>
  <si>
    <t>Lívia Martins</t>
  </si>
  <si>
    <t>livia.martins21@hotmail.com</t>
  </si>
  <si>
    <t>(11) 96230-5033</t>
  </si>
  <si>
    <t>Alice Gomes</t>
  </si>
  <si>
    <t>alice.gomes14@uol.com.br</t>
  </si>
  <si>
    <t>(31) 92897-6385</t>
  </si>
  <si>
    <t>heloisa.pinto40@outlook.com</t>
  </si>
  <si>
    <t>Aline Barbosa Pereira</t>
  </si>
  <si>
    <t>022.119.698-60</t>
  </si>
  <si>
    <t>aline.pereira36@bol.com.br</t>
  </si>
  <si>
    <t>Daniela Ferreira Peixoto</t>
  </si>
  <si>
    <t>daniela.peixoto42@gmail.com</t>
  </si>
  <si>
    <t>91813-1718</t>
  </si>
  <si>
    <t>Ícaro Barbosa Carvalho</t>
  </si>
  <si>
    <t>icaro.carvalho29@gmail.com</t>
  </si>
  <si>
    <t>169.680.727-18</t>
  </si>
  <si>
    <t>rafaela.rodrigues65@hotmail.com</t>
  </si>
  <si>
    <t>(62) 90667-7083</t>
  </si>
  <si>
    <t>Natália Monteiro</t>
  </si>
  <si>
    <t>165.029.609-60</t>
  </si>
  <si>
    <t>natalia.monteiro72@gmail.com</t>
  </si>
  <si>
    <t>(61) 96639-7361</t>
  </si>
  <si>
    <t>Bruna Cavalcanti Correia</t>
  </si>
  <si>
    <t>bruna.correia72@hotmail.com</t>
  </si>
  <si>
    <t>(61) 99423-3354</t>
  </si>
  <si>
    <t>Carolina Lopes Mendes</t>
  </si>
  <si>
    <t>carolina.mendes859@icloud.com</t>
  </si>
  <si>
    <t>Nicole Moura</t>
  </si>
  <si>
    <t>nicole.moura69@bol.com.br</t>
  </si>
  <si>
    <t>(11) 94009-6195</t>
  </si>
  <si>
    <t>Mariana Marques Santos</t>
  </si>
  <si>
    <t>mariana.santos37@hotmail.com</t>
  </si>
  <si>
    <t>(11) 97483-0085</t>
  </si>
  <si>
    <t>Lorena Campos</t>
  </si>
  <si>
    <t>742.500.601-44</t>
  </si>
  <si>
    <t>lorena.campos46@hotmail.com</t>
  </si>
  <si>
    <t>(31) 99433-4374</t>
  </si>
  <si>
    <t>leticia.costa65@gmail.com</t>
  </si>
  <si>
    <t>Daniela P. Oliveira</t>
  </si>
  <si>
    <t>174.329.154-07</t>
  </si>
  <si>
    <t>daniela.oliveira75@hotmail.com</t>
  </si>
  <si>
    <t>Lorenzo Cavalcanti Ribeiro</t>
  </si>
  <si>
    <t>675.006.080-39</t>
  </si>
  <si>
    <t>lorenzo.ribeiro4@gmail.com</t>
  </si>
  <si>
    <t>Rafael Moreira Ferreira</t>
  </si>
  <si>
    <t>rafael.ferreira3@icloud.com</t>
  </si>
  <si>
    <t>Guilherme V. Cavalcanti</t>
  </si>
  <si>
    <t>guilherme.cavalcanti81@outlook.com</t>
  </si>
  <si>
    <t>88828862980</t>
  </si>
  <si>
    <t>alice.nogueira97@outlook.com</t>
  </si>
  <si>
    <t>95302-9297</t>
  </si>
  <si>
    <t>Miguel Costa Pinto</t>
  </si>
  <si>
    <t>miguel.pinto24@uol.com.br</t>
  </si>
  <si>
    <t>Valentina Santana</t>
  </si>
  <si>
    <t>valentina.santana1@uol.com.br</t>
  </si>
  <si>
    <t>120.465.661-49</t>
  </si>
  <si>
    <t>aline.costa45@hotmail.com</t>
  </si>
  <si>
    <t>(11) 92538-7729</t>
  </si>
  <si>
    <t>kamila884@hotmail.com</t>
  </si>
  <si>
    <t>helena.lima54@gmail.com</t>
  </si>
  <si>
    <t>(11) 90862-2409</t>
  </si>
  <si>
    <t>Paula Araújo</t>
  </si>
  <si>
    <t>197.606.348-98</t>
  </si>
  <si>
    <t>paula.araujo57@bol.com.br</t>
  </si>
  <si>
    <t>96143-8726</t>
  </si>
  <si>
    <t>26376968341</t>
  </si>
  <si>
    <t>leticia.tavares835@bol.com.br</t>
  </si>
  <si>
    <t>Breno S. Freitas</t>
  </si>
  <si>
    <t>16792214930</t>
  </si>
  <si>
    <t>breno.freitas14@hotmail.com</t>
  </si>
  <si>
    <t>Ícaro Andrade</t>
  </si>
  <si>
    <t>icaro.andrade76@gmail.com</t>
  </si>
  <si>
    <t>Vanessa B. Campos</t>
  </si>
  <si>
    <t>vanessa.campos9@gmail.com</t>
  </si>
  <si>
    <t>(31) 92630-0851</t>
  </si>
  <si>
    <t>Lívia Araújo Tavares</t>
  </si>
  <si>
    <t>livia.tavares44@bol.com.br</t>
  </si>
  <si>
    <t>(11) 92332-6433</t>
  </si>
  <si>
    <t>840.614.686-93</t>
  </si>
  <si>
    <t>caio.ribeiro22@gmail.com</t>
  </si>
  <si>
    <t>(11) 98341-0442</t>
  </si>
  <si>
    <t>Isabela Gomes Araújo</t>
  </si>
  <si>
    <t>967.184.720-00</t>
  </si>
  <si>
    <t>isabela.araujo23@gmail.com</t>
  </si>
  <si>
    <t>(31) 90618-6252</t>
  </si>
  <si>
    <t>Larissa Lima Araujo</t>
  </si>
  <si>
    <t>larissa.araujo65@gmail.com</t>
  </si>
  <si>
    <t>Yuri Freitas Tavares</t>
  </si>
  <si>
    <t>yuri.tavares99@outlook.com</t>
  </si>
  <si>
    <t>Olívia Martins Cardoso</t>
  </si>
  <si>
    <t>Daniela Alves Monteiro</t>
  </si>
  <si>
    <t>daniela.monteiro86@yahoo.com.br</t>
  </si>
  <si>
    <t>393.072.518-51</t>
  </si>
  <si>
    <t>fernanda.peixoto268@gmail.com</t>
  </si>
  <si>
    <t>(41) 92055-7249</t>
  </si>
  <si>
    <t>Isabela Fonseca</t>
  </si>
  <si>
    <t>isabela.fonseca96@gmail.com</t>
  </si>
  <si>
    <t>Gabriela Vieira Farias</t>
  </si>
  <si>
    <t>484.067.590-20</t>
  </si>
  <si>
    <t>gabriela.farias95@hotmail.com</t>
  </si>
  <si>
    <t>Teo Rezende</t>
  </si>
  <si>
    <t>487.721.998-65</t>
  </si>
  <si>
    <t>(71) 99305-2221</t>
  </si>
  <si>
    <t>Vitória Barros</t>
  </si>
  <si>
    <t>931.482.691-01</t>
  </si>
  <si>
    <t>vitoria.barros76@bol.com.br</t>
  </si>
  <si>
    <t>Helena Santos Lopes</t>
  </si>
  <si>
    <t>592.344.732-05</t>
  </si>
  <si>
    <t>helena.lopes68@icloud.com</t>
  </si>
  <si>
    <t>(31) 98697-0318</t>
  </si>
  <si>
    <t>Davi S. Gomes</t>
  </si>
  <si>
    <t>davi.gomes14@bol.com.br</t>
  </si>
  <si>
    <t>97075-2865</t>
  </si>
  <si>
    <t>(11) 93788-8298</t>
  </si>
  <si>
    <t>lorenzo.monteiro63@bol.com.br</t>
  </si>
  <si>
    <t>larissa.oliveira762@outlook.com</t>
  </si>
  <si>
    <t>Sofia Fonseca Nogueira</t>
  </si>
  <si>
    <t>94465-8910</t>
  </si>
  <si>
    <t>916.106.352-56</t>
  </si>
  <si>
    <t>olivia473@gmail.com</t>
  </si>
  <si>
    <t>Priscila Cardoso Silva</t>
  </si>
  <si>
    <t>192.407.031-60</t>
  </si>
  <si>
    <t>priscila.silva90@hotmail.com</t>
  </si>
  <si>
    <t>Alice C. Machado</t>
  </si>
  <si>
    <t>alice.machado83@uol.com.br</t>
  </si>
  <si>
    <t>Alexandre Rocha Mendes</t>
  </si>
  <si>
    <t>alexandre.mendes92@hotmail.com</t>
  </si>
  <si>
    <t>(31) 97970-9642</t>
  </si>
  <si>
    <t>Bernardo Monteiro Cavalcanti</t>
  </si>
  <si>
    <t>bernardo.cavalcanti84@icloud.com</t>
  </si>
  <si>
    <t>Juliana Araújo Machado</t>
  </si>
  <si>
    <t>juliana.machado44@uol.com.br</t>
  </si>
  <si>
    <t>Rodrigo B. Gonçalves</t>
  </si>
  <si>
    <t>rodrigo.goncalves10@hotmail.com</t>
  </si>
  <si>
    <t>94724-8456</t>
  </si>
  <si>
    <t>Luan Santana Teixeira</t>
  </si>
  <si>
    <t>luan.teixeira57@hotmail.com</t>
  </si>
  <si>
    <t>Alexandre Tavares</t>
  </si>
  <si>
    <t>alexandre.tavares50@outlook.com</t>
  </si>
  <si>
    <t>96783-6339</t>
  </si>
  <si>
    <t>Teo Ramos Vieira</t>
  </si>
  <si>
    <t>333.054.012-57</t>
  </si>
  <si>
    <t>teo.vieira66@gmail.com</t>
  </si>
  <si>
    <t>Sabrina Andrade Silva</t>
  </si>
  <si>
    <t>sabrina.silva37@gmail.com</t>
  </si>
  <si>
    <t>99044-5305</t>
  </si>
  <si>
    <t>Leonardo Nunes Costa</t>
  </si>
  <si>
    <t>leonardo.costa70@hotmail.com</t>
  </si>
  <si>
    <t>92130-9624</t>
  </si>
  <si>
    <t>Luana Pereira Mendes</t>
  </si>
  <si>
    <t>luana.mendes91@hotmail.com</t>
  </si>
  <si>
    <t>Isabela C. Barros</t>
  </si>
  <si>
    <t>isabela.barros58@hotmail.com</t>
  </si>
  <si>
    <t>(11) 92802-7696</t>
  </si>
  <si>
    <t>Nicole Lopes</t>
  </si>
  <si>
    <t>526.421.504-96</t>
  </si>
  <si>
    <t>nicole.lopes57@gmail.com</t>
  </si>
  <si>
    <t>99449-3973</t>
  </si>
  <si>
    <t>Yasmin Cardoso Nascimento</t>
  </si>
  <si>
    <t>14677942013</t>
  </si>
  <si>
    <t>yasmin.nascimento51@gmail.com</t>
  </si>
  <si>
    <t>Luan Farias</t>
  </si>
  <si>
    <t>(11) 90133-0768</t>
  </si>
  <si>
    <t>Thiago Rocha Machado</t>
  </si>
  <si>
    <t>thiago.machado14@yahoo.com.br</t>
  </si>
  <si>
    <t>Miguel Nogueira Freitas</t>
  </si>
  <si>
    <t>miguel.freitas29@outlook.com</t>
  </si>
  <si>
    <t>Beatriz Oliveira</t>
  </si>
  <si>
    <t>beatriz.oliveira79@gmail.com</t>
  </si>
  <si>
    <t>Alexandre Moreira Fonseca</t>
  </si>
  <si>
    <t>(11) 95372-9822</t>
  </si>
  <si>
    <t>Alice Ferreira Ribeiro</t>
  </si>
  <si>
    <t>alice.ribeiro87@outlook.com</t>
  </si>
  <si>
    <t>(11) 97259-2263</t>
  </si>
  <si>
    <t>Ana Gonçalves</t>
  </si>
  <si>
    <t>104.286.394-61</t>
  </si>
  <si>
    <t>daniel.andrade24@outlook.com</t>
  </si>
  <si>
    <t>Alice Marques Correia</t>
  </si>
  <si>
    <t>alice.correia64@gmail.com</t>
  </si>
  <si>
    <t>Natália Pinto</t>
  </si>
  <si>
    <t>572.982.100-09</t>
  </si>
  <si>
    <t>natalia.pinto39@hotmail.com</t>
  </si>
  <si>
    <t>icaro.rodrigues44@hotmail.com</t>
  </si>
  <si>
    <t>Clara Souza Campos</t>
  </si>
  <si>
    <t>clara.campos16@gmail.com</t>
  </si>
  <si>
    <t>Caio Souza</t>
  </si>
  <si>
    <t>caio.souza4@bol.com.br</t>
  </si>
  <si>
    <t>(31) 97539-3692</t>
  </si>
  <si>
    <t>273.788.359-86</t>
  </si>
  <si>
    <t>jaqueline.teixeira94@gmail.com</t>
  </si>
  <si>
    <t>Carolina Silva Monteiro</t>
  </si>
  <si>
    <t>46703476918</t>
  </si>
  <si>
    <t>carolina.monteiro68@yahoo.com.br</t>
  </si>
  <si>
    <t>170.196.150-40</t>
  </si>
  <si>
    <t>marina.peixoto77@hotmail.com</t>
  </si>
  <si>
    <t>96269-6185</t>
  </si>
  <si>
    <t>julia.campos83@hotmail.com</t>
  </si>
  <si>
    <t>(11) 99843-7853</t>
  </si>
  <si>
    <t>eduarda.tavares41@gmail.com</t>
  </si>
  <si>
    <t>Jaqueline Vieira</t>
  </si>
  <si>
    <t>110.886.683-21</t>
  </si>
  <si>
    <t>jaqueline.vieira42@outlook.com</t>
  </si>
  <si>
    <t>408.082.342-85</t>
  </si>
  <si>
    <t>(11) 92055-3804</t>
  </si>
  <si>
    <t>Caetano Araújo Barros</t>
  </si>
  <si>
    <t>333.263.507-75</t>
  </si>
  <si>
    <t>caetano.barros35@icloud.com</t>
  </si>
  <si>
    <t>(11) 97090-7289</t>
  </si>
  <si>
    <t>Larissa Soares Dias</t>
  </si>
  <si>
    <t>830.397.647-80</t>
  </si>
  <si>
    <t>larissa.dias95@gmail.com</t>
  </si>
  <si>
    <t>Carolina Nogueira</t>
  </si>
  <si>
    <t>609.535.970-83</t>
  </si>
  <si>
    <t>carolina.nogueira20@gmail.com</t>
  </si>
  <si>
    <t>renata.santos746@gmail.com</t>
  </si>
  <si>
    <t>(41) 97496-9203</t>
  </si>
  <si>
    <t>Arthur Fernandes Oliveira</t>
  </si>
  <si>
    <t>arthur.oliveira13@gmail.com</t>
  </si>
  <si>
    <t>(11) 94907-4071</t>
  </si>
  <si>
    <t>Gabriel Ramos</t>
  </si>
  <si>
    <t>gabriel.ramos68@icloud.com</t>
  </si>
  <si>
    <t>(31) 93797-3115</t>
  </si>
  <si>
    <t>Débora Marques Nunes</t>
  </si>
  <si>
    <t>773.720.074-61</t>
  </si>
  <si>
    <t>debora.nunes19@gmail.com</t>
  </si>
  <si>
    <t>(41) 93907-8910</t>
  </si>
  <si>
    <t>Vinícius Barros Gomes</t>
  </si>
  <si>
    <t>vinicius.gomes35@gmail.com</t>
  </si>
  <si>
    <t>(41) 95752-2069</t>
  </si>
  <si>
    <t>Vinicius Soares</t>
  </si>
  <si>
    <t>vinicius.soares89@outlook.com</t>
  </si>
  <si>
    <t>Melissa Fonseca</t>
  </si>
  <si>
    <t>melissa.fonseca91@gmail.com</t>
  </si>
  <si>
    <t>Caio Vieira</t>
  </si>
  <si>
    <t>caio.vieira41@hotmail.com</t>
  </si>
  <si>
    <t>(11) 97000-8354</t>
  </si>
  <si>
    <t>kamila.ramos56@gmail.com</t>
  </si>
  <si>
    <t>Débora Moura Nascimento</t>
  </si>
  <si>
    <t>debora.nascimento17@hotmail.com</t>
  </si>
  <si>
    <t>011.733.657-29</t>
  </si>
  <si>
    <t>wesley.tavares73@gmail.com</t>
  </si>
  <si>
    <t>Gabriela Gomes Araújo</t>
  </si>
  <si>
    <t>644.070.968-29</t>
  </si>
  <si>
    <t>gabriela.araujo81@gmail.com</t>
  </si>
  <si>
    <t>Caio Moreira</t>
  </si>
  <si>
    <t>110.321.127-78</t>
  </si>
  <si>
    <t>caio.moreira66@gmail.com</t>
  </si>
  <si>
    <t>97787-1580</t>
  </si>
  <si>
    <t>Thiago Machado Rezende</t>
  </si>
  <si>
    <t>943.427.944-54</t>
  </si>
  <si>
    <t>thiago.rezende3@bol.com.br</t>
  </si>
  <si>
    <t>(11) 92517-6400</t>
  </si>
  <si>
    <t>Carolina Ribeiro Santos</t>
  </si>
  <si>
    <t>carolina.santos50@bol.com.br</t>
  </si>
  <si>
    <t>(85) 91916-1362</t>
  </si>
  <si>
    <t>Gustavo Batista Cavalcanti</t>
  </si>
  <si>
    <t>gustavo.cavalcanti10@uol.con.br</t>
  </si>
  <si>
    <t>(11) 92455-4123</t>
  </si>
  <si>
    <t>Vitória Almeida</t>
  </si>
  <si>
    <t>101.605.664-87</t>
  </si>
  <si>
    <t>vitoria.almeida78@yahoo.com.br</t>
  </si>
  <si>
    <t>(11) 90557-9200</t>
  </si>
  <si>
    <t>Isabela Araújo</t>
  </si>
  <si>
    <t>isabela.araujo2@gmail.com</t>
  </si>
  <si>
    <t>Daniela Almeida</t>
  </si>
  <si>
    <t>Renata Teixeira Moreira</t>
  </si>
  <si>
    <t>renata.moreira57@gmail.com</t>
  </si>
  <si>
    <t>Bruna S. Nascimento</t>
  </si>
  <si>
    <t>bruna.nascimento38@gmail.com</t>
  </si>
  <si>
    <t>Bernardo Andrade</t>
  </si>
  <si>
    <t>602.016.444-60</t>
  </si>
  <si>
    <t>bernardo.andrade20@gmail.com</t>
  </si>
  <si>
    <t>João Tavares</t>
  </si>
  <si>
    <t>joao.tavares1@gmail.com</t>
  </si>
  <si>
    <t>daniela.correia46@uol.con.br</t>
  </si>
  <si>
    <t>Thais Rezende Teixeira</t>
  </si>
  <si>
    <t>Enzo Monteiro</t>
  </si>
  <si>
    <t>enzo.monteiro46@gmail.com</t>
  </si>
  <si>
    <t>Henrique Dias</t>
  </si>
  <si>
    <t>192.164.647-04</t>
  </si>
  <si>
    <t>henrique.dias2@hotmail.com</t>
  </si>
  <si>
    <t>(11) 99755-9610</t>
  </si>
  <si>
    <t>Larissa Farias Rodrigues</t>
  </si>
  <si>
    <t>larissa.rodrigues73@icloud.com</t>
  </si>
  <si>
    <t>Olívia Rezende</t>
  </si>
  <si>
    <t>471.715.282-43</t>
  </si>
  <si>
    <t>olivia.rezende80@gmail.com</t>
  </si>
  <si>
    <t>(31) 97347-0290</t>
  </si>
  <si>
    <t>isabela.ferreira929@gmail.com</t>
  </si>
  <si>
    <t>(31) 94524-7707</t>
  </si>
  <si>
    <t>vitoria.nunes79@gmail.com</t>
  </si>
  <si>
    <t>Nicole Dias Barbosa</t>
  </si>
  <si>
    <t>nicole.barbosa35@hotmail.com</t>
  </si>
  <si>
    <t>(11) 92181-6827</t>
  </si>
  <si>
    <t>Bernardo Andrade Carvalho</t>
  </si>
  <si>
    <t>bernardo.carvalho72@hotmail.com</t>
  </si>
  <si>
    <t>Kamila Araújo</t>
  </si>
  <si>
    <t>983.486.025-00</t>
  </si>
  <si>
    <t>kamila.araujo4@gmail.com</t>
  </si>
  <si>
    <t>Vanessa Campos</t>
  </si>
  <si>
    <t>821.556.870-01</t>
  </si>
  <si>
    <t>vanessa.campos86@bol.com.br</t>
  </si>
  <si>
    <t>Igor Freitas</t>
  </si>
  <si>
    <t>igor.freitas29@gmial.com</t>
  </si>
  <si>
    <t>937.082.663-74</t>
  </si>
  <si>
    <t>beatriz.carvalho69@gmail.com</t>
  </si>
  <si>
    <t>beatriz.barbosa88@gmail.com</t>
  </si>
  <si>
    <t>(11) 95008-6540</t>
  </si>
  <si>
    <t>Luan N. Soares</t>
  </si>
  <si>
    <t>luan.soares8@bol.com.br</t>
  </si>
  <si>
    <t>(11) 92894-2341</t>
  </si>
  <si>
    <t>670.414.397-12</t>
  </si>
  <si>
    <t>Ana Soares</t>
  </si>
  <si>
    <t>ana.soares13@hotmail.com</t>
  </si>
  <si>
    <t>(31) 96666-1528</t>
  </si>
  <si>
    <t>Priscila Ramos Almeida</t>
  </si>
  <si>
    <t>priscila.almeida24@gmail.com</t>
  </si>
  <si>
    <t>Daniel Correia</t>
  </si>
  <si>
    <t>daniel.correia7@yahoo.com.br</t>
  </si>
  <si>
    <t>heitor.almeida97@hotmail.com</t>
  </si>
  <si>
    <t>Vitor Campos Tavares</t>
  </si>
  <si>
    <t>vitor.tavares91@gmail.com</t>
  </si>
  <si>
    <t>Laura Santos Fonseca</t>
  </si>
  <si>
    <t>laura.fonseca73@gmail.com</t>
  </si>
  <si>
    <t>92161-0194</t>
  </si>
  <si>
    <t>Rebeca Santos Rodrigues</t>
  </si>
  <si>
    <t>rebeca.rodrigues1@outlook.com</t>
  </si>
  <si>
    <t>93869-9961</t>
  </si>
  <si>
    <t>Heitor R. Rodrigues</t>
  </si>
  <si>
    <t>heitor.rodrigues31@yahoo.com.br</t>
  </si>
  <si>
    <t>(41) 92044-2463</t>
  </si>
  <si>
    <t>Henrique Rodrigues</t>
  </si>
  <si>
    <t>331.729.824-32</t>
  </si>
  <si>
    <t>henrique.rodrigues74@bol.com.br</t>
  </si>
  <si>
    <t>94003-2070</t>
  </si>
  <si>
    <t>Valentina Rocha</t>
  </si>
  <si>
    <t>244.222.918-82</t>
  </si>
  <si>
    <t>valentina.rocha68@gmail.com</t>
  </si>
  <si>
    <t>(11) 94956-6420</t>
  </si>
  <si>
    <t>diego.ribeiro58@hotmail.com</t>
  </si>
  <si>
    <t>96288-8734</t>
  </si>
  <si>
    <t>Gabriela Andrade Batista</t>
  </si>
  <si>
    <t>gabriela.batista69@hotmail.com</t>
  </si>
  <si>
    <t>Mariana Pinto Martins</t>
  </si>
  <si>
    <t>995.952.852-93</t>
  </si>
  <si>
    <t>mariana.martins80@hotmail.com</t>
  </si>
  <si>
    <t>94684-3847</t>
  </si>
  <si>
    <t>Vinícius Machado Cardoso</t>
  </si>
  <si>
    <t>vinicius.cardoso91@hotmail.com</t>
  </si>
  <si>
    <t>cecilia.santana92@gmial.com</t>
  </si>
  <si>
    <t>(51) 92107-3343</t>
  </si>
  <si>
    <t>Eduardo Rezende Gonçalves</t>
  </si>
  <si>
    <t>618.167.150-18</t>
  </si>
  <si>
    <t>eduardo.goncalves61@bol.com.br</t>
  </si>
  <si>
    <t>Yasmin Machado</t>
  </si>
  <si>
    <t>yasmin.machado56@hotmail.com</t>
  </si>
  <si>
    <t>Paula Carvalho Tavares</t>
  </si>
  <si>
    <t>paula.tavares86@gmail.com</t>
  </si>
  <si>
    <t>(11) 91140-7617</t>
  </si>
  <si>
    <t>Giovanna Rezende</t>
  </si>
  <si>
    <t>539.860.999-80</t>
  </si>
  <si>
    <t>giovanna.rezende46@hotmail.com</t>
  </si>
  <si>
    <t>(11) 93838-4697</t>
  </si>
  <si>
    <t>Vinicius Nogueira</t>
  </si>
  <si>
    <t>vinicius.nogueira27@gmail.com</t>
  </si>
  <si>
    <t>(41) 90070-1384</t>
  </si>
  <si>
    <t>Vinícius Monteiro Oliveira</t>
  </si>
  <si>
    <t>vinicius.oliveira86@gmail.com</t>
  </si>
  <si>
    <t>(11) 91924-2523</t>
  </si>
  <si>
    <t>Daniela Cardoso Monteiro</t>
  </si>
  <si>
    <t>daniela.monteiro70@outlook.com</t>
  </si>
  <si>
    <t>(11) 91946-0692</t>
  </si>
  <si>
    <t>Samuel Almeida Peixoto</t>
  </si>
  <si>
    <t>samuel.peixoto78@bol.com.br</t>
  </si>
  <si>
    <t>Cecília Cardoso Freitas</t>
  </si>
  <si>
    <t>cecilia.freitas57@gmail.com</t>
  </si>
  <si>
    <t>Cauã Soares Costa</t>
  </si>
  <si>
    <t>caua.costa78@icloud.com</t>
  </si>
  <si>
    <t>92402-7007</t>
  </si>
  <si>
    <t>Kauã Fernandes Alves</t>
  </si>
  <si>
    <t>kaua.alves17@bol.com.br</t>
  </si>
  <si>
    <t>(11) 98343-7954</t>
  </si>
  <si>
    <t>Gabriela Machado Cardoso</t>
  </si>
  <si>
    <t>500.985.051-65</t>
  </si>
  <si>
    <t>gabriela.cardoso90@bol.com.br</t>
  </si>
  <si>
    <t>heloisa.silva71@uol.com.br</t>
  </si>
  <si>
    <t>(11) 97815-5121</t>
  </si>
  <si>
    <t>kamila.batista52@gmail.com</t>
  </si>
  <si>
    <t>Paula Soares Alves</t>
  </si>
  <si>
    <t>paula.alves23@gmail.com</t>
  </si>
  <si>
    <t>Kauã Dias Santana</t>
  </si>
  <si>
    <t>078.147.062-54</t>
  </si>
  <si>
    <t>kaua.santana67@bol.com.br</t>
  </si>
  <si>
    <t>90146-1408</t>
  </si>
  <si>
    <t>helena.cardoso22@gmail.com</t>
  </si>
  <si>
    <t>(11) 99413-6066</t>
  </si>
  <si>
    <t>Valentina Almeida</t>
  </si>
  <si>
    <t>valentina.almeida92@hotmail.com</t>
  </si>
  <si>
    <t>(11) 96659-6490</t>
  </si>
  <si>
    <t>Helena Andrade Tavares</t>
  </si>
  <si>
    <t>381.355.401-59</t>
  </si>
  <si>
    <t>helena.tavares16@outlook.com</t>
  </si>
  <si>
    <t>Rafael Oliveira Pinto</t>
  </si>
  <si>
    <t>rafael.pinto61@outlook.com</t>
  </si>
  <si>
    <t>(62) 95249-7900</t>
  </si>
  <si>
    <t>Paulo Ribeiro</t>
  </si>
  <si>
    <t>paulo.ribeiro74@gmail.com</t>
  </si>
  <si>
    <t>Giovanna Moreira Ferreira</t>
  </si>
  <si>
    <t>giovanna.ferreira8@gmail.com</t>
  </si>
  <si>
    <t>626.014.969-75</t>
  </si>
  <si>
    <t>caetano.souza62@gmail.com</t>
  </si>
  <si>
    <t>(11) 93467-6853</t>
  </si>
  <si>
    <t>Priscila Ribeiro</t>
  </si>
  <si>
    <t>priscila.ribeiro67@gmail.com</t>
  </si>
  <si>
    <t>02269494199</t>
  </si>
  <si>
    <t>fernanda.vieira33@gmail.com</t>
  </si>
  <si>
    <t>(41) 96780-1943</t>
  </si>
  <si>
    <t>Daniela Fernandes Gonçalves</t>
  </si>
  <si>
    <t>daniela.goncalves75@gmail.com</t>
  </si>
  <si>
    <t>yasmin.martins71@outlook.com</t>
  </si>
  <si>
    <t>(85) 94073-4125</t>
  </si>
  <si>
    <t>Luana Lopes Nunes</t>
  </si>
  <si>
    <t>luana.nunes16@gmail.com</t>
  </si>
  <si>
    <t>95118-8322</t>
  </si>
  <si>
    <t>aline.araujo29@hotmail.com</t>
  </si>
  <si>
    <t>Aline Nascimento Freitas</t>
  </si>
  <si>
    <t>394.003.178-08</t>
  </si>
  <si>
    <t>aline.freitas5@outlook.com</t>
  </si>
  <si>
    <t>(41) 93913-9396</t>
  </si>
  <si>
    <t>Thais Ramos</t>
  </si>
  <si>
    <t>thais.ramos99@icloud.com</t>
  </si>
  <si>
    <t>93462-4640</t>
  </si>
  <si>
    <t>Felipe Tavares</t>
  </si>
  <si>
    <t>44534598157</t>
  </si>
  <si>
    <t>felipe.tavares23@outlook.com</t>
  </si>
  <si>
    <t>(11) 99186-6321</t>
  </si>
  <si>
    <t>29797302202</t>
  </si>
  <si>
    <t>daniela.marques6@gmail.com</t>
  </si>
  <si>
    <t>(11) 90584-8955</t>
  </si>
  <si>
    <t>Giovanna S. Tavares</t>
  </si>
  <si>
    <t>042.135.802-53</t>
  </si>
  <si>
    <t>giovanna.tavares82@hotmail.com</t>
  </si>
  <si>
    <t>Ana Costa Martins</t>
  </si>
  <si>
    <t>ana.martins3@bol.com.br</t>
  </si>
  <si>
    <t>Laura Souza</t>
  </si>
  <si>
    <t>laura.souza3@gmail.com</t>
  </si>
  <si>
    <t>(41) 93726-9098</t>
  </si>
  <si>
    <t>Breno Lopes</t>
  </si>
  <si>
    <t>Leonardo Silva Moura</t>
  </si>
  <si>
    <t>Helena M. Marques</t>
  </si>
  <si>
    <t>helena.marques45@gmail.com</t>
  </si>
  <si>
    <t>(62) 93333-7132</t>
  </si>
  <si>
    <t>Bruna Moura Almeida</t>
  </si>
  <si>
    <t>bruna.almeida61@hotmail.com</t>
  </si>
  <si>
    <t>(31) 91962-1893</t>
  </si>
  <si>
    <t>30753174979</t>
  </si>
  <si>
    <t>debora.campos19@icloud.com</t>
  </si>
  <si>
    <t>(11) 92863-0101</t>
  </si>
  <si>
    <t>Rodrigo Martins Rodrigues</t>
  </si>
  <si>
    <t>rodrigo.rodrigues87@gmail.com</t>
  </si>
  <si>
    <t>Nicole Pereira</t>
  </si>
  <si>
    <t>nicole.pereira99@icloud.com</t>
  </si>
  <si>
    <t>Eduarda Rezende</t>
  </si>
  <si>
    <t>(11) 95108-3099</t>
  </si>
  <si>
    <t>Matheus Monteiro Dias</t>
  </si>
  <si>
    <t>matheus.dias81@gmail.com</t>
  </si>
  <si>
    <t>478.201.293-44</t>
  </si>
  <si>
    <t>emanuelly.dias41@uol.com.br</t>
  </si>
  <si>
    <t>(11) 95257-9483</t>
  </si>
  <si>
    <t>Helena Cardoso</t>
  </si>
  <si>
    <t>752.820.221-50</t>
  </si>
  <si>
    <t>helena.cardoso58@gmail.com</t>
  </si>
  <si>
    <t>Alice Batista Farias</t>
  </si>
  <si>
    <t>alice.farias36@gmail.com</t>
  </si>
  <si>
    <t>Heloísa Correia Martins</t>
  </si>
  <si>
    <t>561.500.043-09</t>
  </si>
  <si>
    <t>heloisa.martins29@outlook.com</t>
  </si>
  <si>
    <t>Vitória Moreira</t>
  </si>
  <si>
    <t>vitoria.moreira16@gmail.com</t>
  </si>
  <si>
    <t>Paula Santos Peixoto</t>
  </si>
  <si>
    <t>paula.peixoto34@outlook.com</t>
  </si>
  <si>
    <t>Teo Farias Carvalho</t>
  </si>
  <si>
    <t>156.421.960-73</t>
  </si>
  <si>
    <t>teo.carvalho4@yahoo.com.br</t>
  </si>
  <si>
    <t>(41) 94565-3876</t>
  </si>
  <si>
    <t>Débora Monteiro Freitas</t>
  </si>
  <si>
    <t>debora.freitas6@gmail.com</t>
  </si>
  <si>
    <t>94146-0034</t>
  </si>
  <si>
    <t>Natália Santos</t>
  </si>
  <si>
    <t>150.879.879-66</t>
  </si>
  <si>
    <t>natalia.santos26@gmail.com</t>
  </si>
  <si>
    <t>99150-8317</t>
  </si>
  <si>
    <t>Juliana Gomes Nunes</t>
  </si>
  <si>
    <t>juliana.nunes89@gmail.com</t>
  </si>
  <si>
    <t>(11) 93857-8817</t>
  </si>
  <si>
    <t>Leonardo Marques</t>
  </si>
  <si>
    <t>leonardo.marques23@gmail.com</t>
  </si>
  <si>
    <t>(11) 97517-8479</t>
  </si>
  <si>
    <t>Nicole Cardoso Ribeiro</t>
  </si>
  <si>
    <t>nicole.ribeiro35@hotmail.com</t>
  </si>
  <si>
    <t>Gabriela Silva Martins</t>
  </si>
  <si>
    <t>754.187.486-88</t>
  </si>
  <si>
    <t>Alexandre Fernandes</t>
  </si>
  <si>
    <t>140.620.046-82</t>
  </si>
  <si>
    <t>alexandre.fernandes83@icloud.com</t>
  </si>
  <si>
    <t>013.156.842-68</t>
  </si>
  <si>
    <t>vitoria.peixoto16@hotmail.com</t>
  </si>
  <si>
    <t>(47) 93381-2384</t>
  </si>
  <si>
    <t>Vitor Andrade Ferreira</t>
  </si>
  <si>
    <t>541.417.090-85</t>
  </si>
  <si>
    <t>vitor.ferreira4@yahoo.com.br</t>
  </si>
  <si>
    <t>Caetano Farias</t>
  </si>
  <si>
    <t>834.497.354-62</t>
  </si>
  <si>
    <t>caetano.farias3@gmail.com</t>
  </si>
  <si>
    <t>(11) 98458-7902</t>
  </si>
  <si>
    <t>038.696.959-00</t>
  </si>
  <si>
    <t>paula728@gmail.com</t>
  </si>
  <si>
    <t>(48) 94986-5477</t>
  </si>
  <si>
    <t>Yasmin Costa Soares</t>
  </si>
  <si>
    <t>yasmin.soares43@hotmail.com</t>
  </si>
  <si>
    <t>(11) 99618-0232</t>
  </si>
  <si>
    <t>Rafaela Monteiro Pinto</t>
  </si>
  <si>
    <t>rafaela.pinto57@hotmail.com</t>
  </si>
  <si>
    <t>(11) 99172-4952</t>
  </si>
  <si>
    <t>Diego Gonçalves</t>
  </si>
  <si>
    <t>diego.goncalves9@yahoo.com.br</t>
  </si>
  <si>
    <t>055.606.209-47</t>
  </si>
  <si>
    <t>caetano.lima29@gmail.com</t>
  </si>
  <si>
    <t>Fernanda C. Peixoto</t>
  </si>
  <si>
    <t>fernanda.peixoto26@hotmail.com</t>
  </si>
  <si>
    <t>(11) 99948-0196</t>
  </si>
  <si>
    <t>alice.correia105@hotmail.com</t>
  </si>
  <si>
    <t>Heitor Fonseca Alves</t>
  </si>
  <si>
    <t>heitor.alves66@uol.com.br</t>
  </si>
  <si>
    <t>98290-3184</t>
  </si>
  <si>
    <t>Otávio Rezende Rocha</t>
  </si>
  <si>
    <t>otavio.rocha27@uol.com.br</t>
  </si>
  <si>
    <t>Paula B. Monteiro</t>
  </si>
  <si>
    <t>048.857.438-26</t>
  </si>
  <si>
    <t>paula.monteiro67@outlook.com</t>
  </si>
  <si>
    <t>93344-1541</t>
  </si>
  <si>
    <t>Gabriel Carvalho</t>
  </si>
  <si>
    <t>gabriel.carvalho89@outlook.com</t>
  </si>
  <si>
    <t>(31) 96137-1013</t>
  </si>
  <si>
    <t>Yuri Batista</t>
  </si>
  <si>
    <t>yuri.batista91@outlook.com</t>
  </si>
  <si>
    <t>99334-6708</t>
  </si>
  <si>
    <t>Laura Barros</t>
  </si>
  <si>
    <t>164.041.705-23</t>
  </si>
  <si>
    <t>laura.barros26@bol.com.br</t>
  </si>
  <si>
    <t>Vitor Fernandes Almeida</t>
  </si>
  <si>
    <t>vitor.almeida43@yahoo.com.br</t>
  </si>
  <si>
    <t>Bianca Martins</t>
  </si>
  <si>
    <t>15176462605</t>
  </si>
  <si>
    <t>bianca.martins6@icloud.com</t>
  </si>
  <si>
    <t>Jaqueline Batista</t>
  </si>
  <si>
    <t>jaqueline.batista23@bol.com.br</t>
  </si>
  <si>
    <t>(21) 98074-6756</t>
  </si>
  <si>
    <t>Daniel Monteiro</t>
  </si>
  <si>
    <t>165.058.993-08</t>
  </si>
  <si>
    <t>daniel.monteiro7@bol.com.br</t>
  </si>
  <si>
    <t>Breno Correia</t>
  </si>
  <si>
    <t>732.701.951-09</t>
  </si>
  <si>
    <t>breno.correia96@gmail.com</t>
  </si>
  <si>
    <t>(41) 91549-6942</t>
  </si>
  <si>
    <t>Heitor Rocha</t>
  </si>
  <si>
    <t>heitor.rocha97@gmail.com</t>
  </si>
  <si>
    <t>Yuri Carvalho</t>
  </si>
  <si>
    <t>yuri.carvalho38@gmail.com</t>
  </si>
  <si>
    <t>(71) 92091-9782</t>
  </si>
  <si>
    <t>Teo Rodrigues</t>
  </si>
  <si>
    <t>851.441.652-90</t>
  </si>
  <si>
    <t>teo.rodrigues49@icloud.com</t>
  </si>
  <si>
    <t>(85) 98257-6639</t>
  </si>
  <si>
    <t>Melissa Costa</t>
  </si>
  <si>
    <t>193.858.350-76</t>
  </si>
  <si>
    <t>melissa.costa58@gmail.com</t>
  </si>
  <si>
    <t>(11) 99256-4159</t>
  </si>
  <si>
    <t>Daniela B. Peixoto</t>
  </si>
  <si>
    <t>daniela.peixoto45@icloud.com</t>
  </si>
  <si>
    <t>086.947.900-84</t>
  </si>
  <si>
    <t>carolina.soares39@yahoo.com.br</t>
  </si>
  <si>
    <t>(11) 93751-7339</t>
  </si>
  <si>
    <t>vitor.freitas59@hotmail.com</t>
  </si>
  <si>
    <t>98274-8514</t>
  </si>
  <si>
    <t>084.077.822-55</t>
  </si>
  <si>
    <t>emanuel.peixoto25@gmail.com</t>
  </si>
  <si>
    <t>Otávio Teixeira</t>
  </si>
  <si>
    <t>685.710.613-43</t>
  </si>
  <si>
    <t>otavio.teixeira15@bol.com.br</t>
  </si>
  <si>
    <t>(11) 90331-2851</t>
  </si>
  <si>
    <t>rafaela.martins76@yahoo.com.br</t>
  </si>
  <si>
    <t>(11) 90832-4249</t>
  </si>
  <si>
    <t>Jaqueline Martins Campos</t>
  </si>
  <si>
    <t>jaqueline.campos80@gmail.com</t>
  </si>
  <si>
    <t>(11) 95372-4639</t>
  </si>
  <si>
    <t>(41) 93223-8589</t>
  </si>
  <si>
    <t>laura.nascimento33@outlook.com</t>
  </si>
  <si>
    <t>Alexandre Cardoso</t>
  </si>
  <si>
    <t>Marcelo Carvalho Santana</t>
  </si>
  <si>
    <t>051.809.768-47</t>
  </si>
  <si>
    <t>marcelo.santana62@gmail.com</t>
  </si>
  <si>
    <t>126.568.858-33</t>
  </si>
  <si>
    <t>bruna.campos32@gmail.com</t>
  </si>
  <si>
    <t>(31) 91032-7603</t>
  </si>
  <si>
    <t>Lorenzo P. Nunes</t>
  </si>
  <si>
    <t>248.177.445-02</t>
  </si>
  <si>
    <t>lorenzo.nunes17@bol.com.br</t>
  </si>
  <si>
    <t>Leonardo Almeida</t>
  </si>
  <si>
    <t>leonardo.almeida93@outlook.com</t>
  </si>
  <si>
    <t>Vinícius Alves Ferreira</t>
  </si>
  <si>
    <t>vinicius.ferreira25@gmail.com</t>
  </si>
  <si>
    <t>Beatriz Ribeiro</t>
  </si>
  <si>
    <t>beatriz.ribeiro18@hotmail.com</t>
  </si>
  <si>
    <t>733.589.805-61</t>
  </si>
  <si>
    <t>sabrina.andrade81@gmail.com</t>
  </si>
  <si>
    <t>(11) 98345-9461</t>
  </si>
  <si>
    <t>yuri.gomes67@gmail.com</t>
  </si>
  <si>
    <t>97455-3679</t>
  </si>
  <si>
    <t>igor.alves11@gmail.com</t>
  </si>
  <si>
    <t>Sabrina Barbosa</t>
  </si>
  <si>
    <t>sabrina.barbosa29@uol.com.br</t>
  </si>
  <si>
    <t>(31) 99553-3819</t>
  </si>
  <si>
    <t>Murilo Moura</t>
  </si>
  <si>
    <t>nicolas.barros35@yahoo.com.br</t>
  </si>
  <si>
    <t>(31) 91169-3514</t>
  </si>
  <si>
    <t>Renata Fonseca</t>
  </si>
  <si>
    <t>718.541.900-08</t>
  </si>
  <si>
    <t>renata.fonseca65@uol.com.br</t>
  </si>
  <si>
    <t>caua.fonseca12@bol.com.br</t>
  </si>
  <si>
    <t>010.810.342-03</t>
  </si>
  <si>
    <t>bernardo.nascimento38@gmail.com</t>
  </si>
  <si>
    <t>miguel.costa48@outlook.com</t>
  </si>
  <si>
    <t>valentina.freitas85@hotmail.com</t>
  </si>
  <si>
    <t>(41) 95761-0107</t>
  </si>
  <si>
    <t>ana.fonseca76@gmail.com</t>
  </si>
  <si>
    <t>Bruno C. Machado</t>
  </si>
  <si>
    <t>bruno.machado11@gmail.com</t>
  </si>
  <si>
    <t>Luana Barros</t>
  </si>
  <si>
    <t>679.180.116-60</t>
  </si>
  <si>
    <t>luana.barros72@gmail.com</t>
  </si>
  <si>
    <t>Luana Fonseca</t>
  </si>
  <si>
    <t>luana.fonseca95@gmail.com</t>
  </si>
  <si>
    <t>99469-2077</t>
  </si>
  <si>
    <t>978.408.760-05</t>
  </si>
  <si>
    <t>valentina.nascimento15@gmail.com</t>
  </si>
  <si>
    <t>(41) 99626-9004</t>
  </si>
  <si>
    <t>Bruna Cardoso</t>
  </si>
  <si>
    <t>bruna.cardoso89@gmail.com</t>
  </si>
  <si>
    <t>Vitor Campos</t>
  </si>
  <si>
    <t>vitor.campos97@gmial.com</t>
  </si>
  <si>
    <t>(47) 96832-6501</t>
  </si>
  <si>
    <t>Gabriela Rezende</t>
  </si>
  <si>
    <t>861.617.130-47</t>
  </si>
  <si>
    <t>gabriela.rezende11@yahoo.com.br</t>
  </si>
  <si>
    <t>(71) 92644-9327</t>
  </si>
  <si>
    <t>Alexandre C. Alves</t>
  </si>
  <si>
    <t>alexandre.alves36@outlook.com</t>
  </si>
  <si>
    <t>93581-6538</t>
  </si>
  <si>
    <t>Isabela Machado Moreira</t>
  </si>
  <si>
    <t>isabela.moreira76@uol.com.br</t>
  </si>
  <si>
    <t>(11) 98690-3246</t>
  </si>
  <si>
    <t>Gabriela Costa Fonseca</t>
  </si>
  <si>
    <t>gabriela.fonseca71@hotmail.com</t>
  </si>
  <si>
    <t>(11) 99200-0195</t>
  </si>
  <si>
    <t>Débora Santos</t>
  </si>
  <si>
    <t>(11) 94936-1816</t>
  </si>
  <si>
    <t>Bianca Nogueira Fonseca</t>
  </si>
  <si>
    <t>bianca.fonseca83@hotmail.com</t>
  </si>
  <si>
    <t>Gabriel Martins Ribeiro</t>
  </si>
  <si>
    <t>gabriel.ribeiro86@outlook.com</t>
  </si>
  <si>
    <t>thiago.ribeiro82@hotmail.com</t>
  </si>
  <si>
    <t>Heloísa L. Fonseca</t>
  </si>
  <si>
    <t>186.956.981-49</t>
  </si>
  <si>
    <t>beatriz.rodrigues25@gmail.com</t>
  </si>
  <si>
    <t>(11) 97052-6281</t>
  </si>
  <si>
    <t>Aline Cardoso</t>
  </si>
  <si>
    <t>aline.cardoso52@outlook.com</t>
  </si>
  <si>
    <t>Tainá Almeida Campos</t>
  </si>
  <si>
    <t>taina.campos3@bol.com.br</t>
  </si>
  <si>
    <t>(11) 98231-1365</t>
  </si>
  <si>
    <t>joao.mendes65@yahoo.com.br</t>
  </si>
  <si>
    <t>93888-7635</t>
  </si>
  <si>
    <t>kaua.moura87@uol.com.br</t>
  </si>
  <si>
    <t>Vinícius Tavares</t>
  </si>
  <si>
    <t>vinicius.tavares42@gmail.com</t>
  </si>
  <si>
    <t>(41) 96263-8561</t>
  </si>
  <si>
    <t>320.468.213-78</t>
  </si>
  <si>
    <t>eduarda.rezende492@yahoo.com.br</t>
  </si>
  <si>
    <t>Bianca Cardoso</t>
  </si>
  <si>
    <t>101.878.594-93</t>
  </si>
  <si>
    <t>bianca.cardoso79@gmail.com</t>
  </si>
  <si>
    <t>(62) 96177-3278</t>
  </si>
  <si>
    <t>Emanuelly Almeida</t>
  </si>
  <si>
    <t>emanuelly.almeida7@outlook.com</t>
  </si>
  <si>
    <t>93614-2453</t>
  </si>
  <si>
    <t>077.042.923-82</t>
  </si>
  <si>
    <t>joao.vieira145@gmail.com</t>
  </si>
  <si>
    <t>(11) 93240-5672</t>
  </si>
  <si>
    <t>Ícaro Teixeira</t>
  </si>
  <si>
    <t>291.007.968-67</t>
  </si>
  <si>
    <t>icaro.teixeira76@gmail.com</t>
  </si>
  <si>
    <t>Marina Araújo</t>
  </si>
  <si>
    <t>marina.araujo44@gmail.com</t>
  </si>
  <si>
    <t>alexandre.cavalcanti5@outlook.com</t>
  </si>
  <si>
    <t>Mariana S. Vieira</t>
  </si>
  <si>
    <t>mariana.vieira57@gmail.com</t>
  </si>
  <si>
    <t>(11) 93577-4079</t>
  </si>
  <si>
    <t>Larissa Gonçalves Rocha</t>
  </si>
  <si>
    <t>(11) 99897-9146</t>
  </si>
  <si>
    <t>Helena Dias</t>
  </si>
  <si>
    <t>helena.dias8@hotmail.com</t>
  </si>
  <si>
    <t>Thais Barbosa Santana</t>
  </si>
  <si>
    <t>thais.santana58@gmail.com</t>
  </si>
  <si>
    <t>Lorenzo Nunes</t>
  </si>
  <si>
    <t>Cecília Farias</t>
  </si>
  <si>
    <t>547.208.468-74</t>
  </si>
  <si>
    <t>Cauã Pinto</t>
  </si>
  <si>
    <t>755.206.681-40</t>
  </si>
  <si>
    <t>caua.pinto49@bol.com.br</t>
  </si>
  <si>
    <t>96056-3813</t>
  </si>
  <si>
    <t>Lorenzo Soares</t>
  </si>
  <si>
    <t>lorenzo.soares40@yahoo.com.br</t>
  </si>
  <si>
    <t>Henrique Correia Rodrigues</t>
  </si>
  <si>
    <t>931.729.037-02</t>
  </si>
  <si>
    <t>henrique.rodrigues16@outlook.com</t>
  </si>
  <si>
    <t>beatriz.santana716@bol.com.br</t>
  </si>
  <si>
    <t>Nicole Araújo</t>
  </si>
  <si>
    <t>(85) 92915-5635</t>
  </si>
  <si>
    <t>Marcelo Pereira</t>
  </si>
  <si>
    <t>653.368.376-44</t>
  </si>
  <si>
    <t>marcelo.pereira16@hotmail.com</t>
  </si>
  <si>
    <t>Larissa Moura Dias</t>
  </si>
  <si>
    <t>larissa.dias60@outlook.com</t>
  </si>
  <si>
    <t>97695-2316</t>
  </si>
  <si>
    <t>Renata Farias Ribeiro</t>
  </si>
  <si>
    <t>renata.ribeiro27@yahoo.com.br</t>
  </si>
  <si>
    <t>(19) 92953-1863</t>
  </si>
  <si>
    <t>kamila.peixoto38@gmail.com</t>
  </si>
  <si>
    <t>(41) 96010-4113</t>
  </si>
  <si>
    <t>(31) 99278-1520</t>
  </si>
  <si>
    <t>Caio Nunes</t>
  </si>
  <si>
    <t>caio.nunes94@hotmail.com</t>
  </si>
  <si>
    <t>debora.barbosa51@outlook.com</t>
  </si>
  <si>
    <t>Lorenzo Cavalcanti Lima</t>
  </si>
  <si>
    <t>lorenzo.lima12@yahoo.com.br</t>
  </si>
  <si>
    <t>Bruno Freitas</t>
  </si>
  <si>
    <t>bruno.freitas78@bol.com.br</t>
  </si>
  <si>
    <t>92874-5368</t>
  </si>
  <si>
    <t>Isabela A. Santos</t>
  </si>
  <si>
    <t>isabela.santos4@hotmail.com</t>
  </si>
  <si>
    <t>Renata Santana</t>
  </si>
  <si>
    <t>(47) 95113-7349</t>
  </si>
  <si>
    <t>Aline Fernandes</t>
  </si>
  <si>
    <t>aline.fernandes40@outlook.com</t>
  </si>
  <si>
    <t>(51) 92155-2771</t>
  </si>
  <si>
    <t>Marcelo Alves</t>
  </si>
  <si>
    <t>Júlia Marques Rezende</t>
  </si>
  <si>
    <t>996.860.022-94</t>
  </si>
  <si>
    <t>julia.rezende7@bol.com.br</t>
  </si>
  <si>
    <t>(11) 99567-9132</t>
  </si>
  <si>
    <t>marina.marques888@bol.com.br</t>
  </si>
  <si>
    <t>Davi F. Nunes</t>
  </si>
  <si>
    <t>davi.nunes41@yahoo.com.br</t>
  </si>
  <si>
    <t>Rodrigo Nascimento</t>
  </si>
  <si>
    <t>rodrigo.nascimento16@outlook.com</t>
  </si>
  <si>
    <t>94873-2123</t>
  </si>
  <si>
    <t>Yasmin F. Rezende</t>
  </si>
  <si>
    <t>yasmin.rezende55@uol.com.br</t>
  </si>
  <si>
    <t>97956-2012</t>
  </si>
  <si>
    <t>natalia.santos70@yahoo.com.br</t>
  </si>
  <si>
    <t>98964-1825</t>
  </si>
  <si>
    <t>Kamila Ramos</t>
  </si>
  <si>
    <t>(41) 92224-9615</t>
  </si>
  <si>
    <t>Luana Araújo</t>
  </si>
  <si>
    <t>luana.araujo7@gmail.com</t>
  </si>
  <si>
    <t>99005-5733</t>
  </si>
  <si>
    <t>Larissa Rocha Tavares</t>
  </si>
  <si>
    <t>larissa.tavares76@gmail.com</t>
  </si>
  <si>
    <t>(11) 91835-5732</t>
  </si>
  <si>
    <t>Nicolas Moreira Nascimento</t>
  </si>
  <si>
    <t>nicolas.nascimento21@hotmail.com</t>
  </si>
  <si>
    <t>(41) 96724-6985</t>
  </si>
  <si>
    <t>Lorena Monteiro Batista</t>
  </si>
  <si>
    <t>716.654.369-80</t>
  </si>
  <si>
    <t>lorena.batista23@gmail.com</t>
  </si>
  <si>
    <t>29711198312</t>
  </si>
  <si>
    <t>sofia.moreira70@gmail.com</t>
  </si>
  <si>
    <t>renata.cavalcanti62@hotmail.com</t>
  </si>
  <si>
    <t>Gabriela Barros Oliveira</t>
  </si>
  <si>
    <t>gabriela.oliveira44@outlook.com</t>
  </si>
  <si>
    <t>93691-2716</t>
  </si>
  <si>
    <t>Jaqueline Moreira Santos</t>
  </si>
  <si>
    <t>537.281.093-98</t>
  </si>
  <si>
    <t>jaqueline.santos72@outlook.com</t>
  </si>
  <si>
    <t>98770-1236</t>
  </si>
  <si>
    <t>521.346.185-06</t>
  </si>
  <si>
    <t>olivia.moreira79@gmail.com</t>
  </si>
  <si>
    <t>142.986.492-37</t>
  </si>
  <si>
    <t>bianca.mendes52@gmail.com</t>
  </si>
  <si>
    <t>nicolas.silva87@gmail.com</t>
  </si>
  <si>
    <t>Júlia Rocha Nascimento</t>
  </si>
  <si>
    <t>004.633.375-49</t>
  </si>
  <si>
    <t>Daniela Farias</t>
  </si>
  <si>
    <t>daniela.farias19@bol.com.br</t>
  </si>
  <si>
    <t>Arthur Fernandes Monteiro</t>
  </si>
  <si>
    <t>arthur.monteiro38@gmail.com</t>
  </si>
  <si>
    <t>94827-1041</t>
  </si>
  <si>
    <t>Beatriz Rodrigues</t>
  </si>
  <si>
    <t>beatriz.rodrigues64@hotmail.com</t>
  </si>
  <si>
    <t>(31) 97551-1224</t>
  </si>
  <si>
    <t>578.741.728-33</t>
  </si>
  <si>
    <t>otavio.cavalcanti26@hotmail.com</t>
  </si>
  <si>
    <t>Gustavo Rodrigues</t>
  </si>
  <si>
    <t>gustavo.rodrigues67@icloud.com</t>
  </si>
  <si>
    <t>lucas.freitas34@gmail.com</t>
  </si>
  <si>
    <t>eduarda.almeida62@yahoo.com.br</t>
  </si>
  <si>
    <t>Vitória Lopes Soares</t>
  </si>
  <si>
    <t>117.736.380-17</t>
  </si>
  <si>
    <t>vitoria.soares53@hotmail.com</t>
  </si>
  <si>
    <t>(11) 96133-4946</t>
  </si>
  <si>
    <t>Rodrigo Barbosa Lopes</t>
  </si>
  <si>
    <t>rodrigo.lopes94@gmail.com</t>
  </si>
  <si>
    <t>(11) 92360-8523</t>
  </si>
  <si>
    <t>Bernardo Lima</t>
  </si>
  <si>
    <t>bernardo.lima81@gmail.com</t>
  </si>
  <si>
    <t>(48) 99358-5200</t>
  </si>
  <si>
    <t>12875082604</t>
  </si>
  <si>
    <t>yasmin.teixeira34@yahoo.com.br</t>
  </si>
  <si>
    <t>(41) 95837-5854</t>
  </si>
  <si>
    <t>Luana Nunes Monteiro</t>
  </si>
  <si>
    <t>luana.monteiro83@hotmail.com</t>
  </si>
  <si>
    <t>(41) 94001-2026</t>
  </si>
  <si>
    <t>priscila.campos93@icloud.com</t>
  </si>
  <si>
    <t>Rebeca Moura</t>
  </si>
  <si>
    <t>rebeca.moura82@icloud.com</t>
  </si>
  <si>
    <t>(11) 98853-8875</t>
  </si>
  <si>
    <t>Giovanna Oliveira</t>
  </si>
  <si>
    <t>giovanna.oliveira41@gmail.com</t>
  </si>
  <si>
    <t>aline.carvalho24@outlook.com</t>
  </si>
  <si>
    <t>rafaela.soares96@outlook.com</t>
  </si>
  <si>
    <t>isabela.nunes77@gmail.com</t>
  </si>
  <si>
    <t>(11) 90810-2993</t>
  </si>
  <si>
    <t>André Machado Martins</t>
  </si>
  <si>
    <t>247.494.778-77</t>
  </si>
  <si>
    <t>andre.martins27@outlook.com</t>
  </si>
  <si>
    <t>(11) 90486-7675</t>
  </si>
  <si>
    <t>Emanuelly Rocha</t>
  </si>
  <si>
    <t>emanuelly.rocha48@gmail.com</t>
  </si>
  <si>
    <t>camila.andrade19@outlook.com</t>
  </si>
  <si>
    <t>30045164037</t>
  </si>
  <si>
    <t>lorena.monteiro14@gmail.com</t>
  </si>
  <si>
    <t>Renan Gonçalves</t>
  </si>
  <si>
    <t>renan.goncalves56@hotmail.com</t>
  </si>
  <si>
    <t>(11) 99037-2002</t>
  </si>
  <si>
    <t>Manuela Nascimento Alves</t>
  </si>
  <si>
    <t>manuela.alves48@gmail.com</t>
  </si>
  <si>
    <t>879.323.008-78</t>
  </si>
  <si>
    <t>fernanda.silva19@hotmail.com</t>
  </si>
  <si>
    <t>(11) 91532-8323</t>
  </si>
  <si>
    <t>bruna.santana83@hotmail.com</t>
  </si>
  <si>
    <t>(11) 96048-4237</t>
  </si>
  <si>
    <t>Matheus Nunes</t>
  </si>
  <si>
    <t>matheus.nunes86@outlook.com</t>
  </si>
  <si>
    <t>(41) 92069-1803</t>
  </si>
  <si>
    <t>livia.correia16@gmail.com</t>
  </si>
  <si>
    <t>(41) 97840-3628</t>
  </si>
  <si>
    <t>valentina.souza66@hotmail.com</t>
  </si>
  <si>
    <t>(41) 98071-8104</t>
  </si>
  <si>
    <t>247.677.800-12</t>
  </si>
  <si>
    <t>breno837@outlook.com</t>
  </si>
  <si>
    <t>(11) 94513-8814</t>
  </si>
  <si>
    <t>Paula Pereira Cardoso</t>
  </si>
  <si>
    <t>372.355.387-41</t>
  </si>
  <si>
    <t>paula.cardoso85@yahoo.com.br</t>
  </si>
  <si>
    <t>(11) 91662-1152</t>
  </si>
  <si>
    <t>beatriz.almeida56@hotmail.com</t>
  </si>
  <si>
    <t>Matheus M. Nunes</t>
  </si>
  <si>
    <t>matheus.nunes74@gmail.com</t>
  </si>
  <si>
    <t>Heitor Batista Teixeira</t>
  </si>
  <si>
    <t>heitor.teixeira27@hotmail.com</t>
  </si>
  <si>
    <t>Júlia Barbosa Souza</t>
  </si>
  <si>
    <t>julia.souza30@gmail.com</t>
  </si>
  <si>
    <t>breno.pereira37@gmail.com</t>
  </si>
  <si>
    <t>thais.cardoso50@gmail.com</t>
  </si>
  <si>
    <t>alexandre.correia27@hotmail.com</t>
  </si>
  <si>
    <t>Débora Cavalcanti Monteiro</t>
  </si>
  <si>
    <t>debora.monteiro59@gmail.com</t>
  </si>
  <si>
    <t>(31) 95407-1430</t>
  </si>
  <si>
    <t>giovanna.freitas91@outlook.com</t>
  </si>
  <si>
    <t>(47) 96412-5402</t>
  </si>
  <si>
    <t>Renan Marques Rezende</t>
  </si>
  <si>
    <t>renan.rezende88@gmail.com</t>
  </si>
  <si>
    <t>(48) 92251-1412</t>
  </si>
  <si>
    <t>Lorenzo M. Souza</t>
  </si>
  <si>
    <t>lorenzo.souza89@outlook.com</t>
  </si>
  <si>
    <t>Eduarda Araújo</t>
  </si>
  <si>
    <t>eduarda.araujo11@bol.com.br</t>
  </si>
  <si>
    <t>Felipe Ramos Barbosa</t>
  </si>
  <si>
    <t>50205482511</t>
  </si>
  <si>
    <t>felipe.barbosa51@hotmail.com</t>
  </si>
  <si>
    <t>Débora S. Marques</t>
  </si>
  <si>
    <t>debora.marques81@gmail.com</t>
  </si>
  <si>
    <t>Breno P. Rocha</t>
  </si>
  <si>
    <t>668.934.605-62</t>
  </si>
  <si>
    <t>breno.rocha88@gmail.com</t>
  </si>
  <si>
    <t>(11) 95067-7813</t>
  </si>
  <si>
    <t>855.584.080-57</t>
  </si>
  <si>
    <t>enzo.lopes43@gmail.com</t>
  </si>
  <si>
    <t>(41) 93987-6250</t>
  </si>
  <si>
    <t>Eduardo Lima</t>
  </si>
  <si>
    <t>eduardo.lima57@uol.com.br</t>
  </si>
  <si>
    <t>(48) 92580-6302</t>
  </si>
  <si>
    <t>bruna.souza70@gmail.com</t>
  </si>
  <si>
    <t>Sofia Rocha</t>
  </si>
  <si>
    <t>sofia.rocha13@hotmail.con</t>
  </si>
  <si>
    <t>(11) 97994-0976</t>
  </si>
  <si>
    <t>arthur.freitas24@yahoo.com.br</t>
  </si>
  <si>
    <t>(11) 90763-6040</t>
  </si>
  <si>
    <t>teo.monteiro79@hotmail.com</t>
  </si>
  <si>
    <t>Murilo Farias Pereira</t>
  </si>
  <si>
    <t>murilo.pereira38@gmial.com</t>
  </si>
  <si>
    <t>(41) 91642-3745</t>
  </si>
  <si>
    <t>Letícia Cardoso</t>
  </si>
  <si>
    <t>leticia.cardoso31@yahoo.com.br</t>
  </si>
  <si>
    <t>(61) 92802-7540</t>
  </si>
  <si>
    <t>Luan L. Gonçalves</t>
  </si>
  <si>
    <t>luan.goncalves18@gmail.com</t>
  </si>
  <si>
    <t>95612-9210</t>
  </si>
  <si>
    <t>Thaís Dias Cavalcanti</t>
  </si>
  <si>
    <t>thais.cavalcanti63@bol.com.br</t>
  </si>
  <si>
    <t>livia.nogueira94@gmail.com</t>
  </si>
  <si>
    <t>91698-0654</t>
  </si>
  <si>
    <t>Emanuel Lima</t>
  </si>
  <si>
    <t>Natália Rocha</t>
  </si>
  <si>
    <t>natalia.rocha14@gmail.com</t>
  </si>
  <si>
    <t>Tainá Farias</t>
  </si>
  <si>
    <t>taina.farias66@gmail.com</t>
  </si>
  <si>
    <t>carolina.moreira90@hotmail.com</t>
  </si>
  <si>
    <t>(41) 90934-5091</t>
  </si>
  <si>
    <t>gabriela.andrade64@uol.com.br</t>
  </si>
  <si>
    <t>Mariana Machado</t>
  </si>
  <si>
    <t>mariana.machado19@gmail.com</t>
  </si>
  <si>
    <t>Sofia Barros</t>
  </si>
  <si>
    <t>sofia.barros19@gmail.com</t>
  </si>
  <si>
    <t>549.389.170-09</t>
  </si>
  <si>
    <t>Diego Soares</t>
  </si>
  <si>
    <t>030.583.453-30</t>
  </si>
  <si>
    <t>diego.soares79@yahoo.com.br</t>
  </si>
  <si>
    <t>94554-3653</t>
  </si>
  <si>
    <t>Bruna Fernandes Cardoso</t>
  </si>
  <si>
    <t>793.926.756-66</t>
  </si>
  <si>
    <t>bruna.cardoso61@gmail.com</t>
  </si>
  <si>
    <t>Renan Nascimento Santos</t>
  </si>
  <si>
    <t>589.368.212-29</t>
  </si>
  <si>
    <t>jaqueline.dias36@hotmail.com</t>
  </si>
  <si>
    <t>(85) 97290-0878</t>
  </si>
  <si>
    <t>Renata Ribeiro Ferreira</t>
  </si>
  <si>
    <t>272.858.327-74</t>
  </si>
  <si>
    <t>renata.ferreira58@bol.com.br</t>
  </si>
  <si>
    <t>murilo.freitas679@icloud.com</t>
  </si>
  <si>
    <t>(11) 90289-6898</t>
  </si>
  <si>
    <t>Beatriz Andrade Monteiro</t>
  </si>
  <si>
    <t>081.019.397-33</t>
  </si>
  <si>
    <t>beatriz.monteiro81@gmail.com</t>
  </si>
  <si>
    <t>444.030.188-66</t>
  </si>
  <si>
    <t>caua.araujo76@gmail.com</t>
  </si>
  <si>
    <t>97777-0435</t>
  </si>
  <si>
    <t>Laura D. Almeida</t>
  </si>
  <si>
    <t>laura.almeida9@gmail.com</t>
  </si>
  <si>
    <t>(11) 95658-0926</t>
  </si>
  <si>
    <t>Lorena Cardoso Cavalcanti</t>
  </si>
  <si>
    <t>lorena.cavalcanti72@outlook.com</t>
  </si>
  <si>
    <t>Caetano Teixeira</t>
  </si>
  <si>
    <t>499.258.745-30</t>
  </si>
  <si>
    <t>caetano.teixeira47@gmail.com</t>
  </si>
  <si>
    <t>paula.pinto71@hotmail.com</t>
  </si>
  <si>
    <t>91107-4717</t>
  </si>
  <si>
    <t>Julia Vieira Teixeira</t>
  </si>
  <si>
    <t>julia.teixeira74@hotmail.com</t>
  </si>
  <si>
    <t>(31) 98960-8994</t>
  </si>
  <si>
    <t>Emanuel Martins Pinto</t>
  </si>
  <si>
    <t>emanuel.pinto12@icloud.com</t>
  </si>
  <si>
    <t>93397-1331</t>
  </si>
  <si>
    <t>Gabriela Moura</t>
  </si>
  <si>
    <t>316.646.814-50</t>
  </si>
  <si>
    <t>gabriela.moura16@icloud.com</t>
  </si>
  <si>
    <t>(11) 93980-2850</t>
  </si>
  <si>
    <t>Valentina Correia Goncalves</t>
  </si>
  <si>
    <t>valentina.goncalves60@bol.com.br</t>
  </si>
  <si>
    <t>(31) 95972-2377</t>
  </si>
  <si>
    <t>Vitória Pereira Santana</t>
  </si>
  <si>
    <t>685.651.197-34</t>
  </si>
  <si>
    <t>vitoria.santana46@hotmail.com</t>
  </si>
  <si>
    <t>Yuri Rocha</t>
  </si>
  <si>
    <t>yuri.rocha587@yahoo.com.br</t>
  </si>
  <si>
    <t>Débora Barbosa</t>
  </si>
  <si>
    <t>debora.barbosa70@yahoo.com.br</t>
  </si>
  <si>
    <t>96881-0878</t>
  </si>
  <si>
    <t>Teo Alves</t>
  </si>
  <si>
    <t>892.585.486-47</t>
  </si>
  <si>
    <t>teo.alves38@yahoo.com.br</t>
  </si>
  <si>
    <t>fernanda.correia30@yahoo.com.br</t>
  </si>
  <si>
    <t>(41) 92532-9620</t>
  </si>
  <si>
    <t>laura.araujo62@outlook.com</t>
  </si>
  <si>
    <t>663.398.831-17</t>
  </si>
  <si>
    <t>132.137.695-25</t>
  </si>
  <si>
    <t>davi.cavalcanti91@icloud.com</t>
  </si>
  <si>
    <t>91455-9296</t>
  </si>
  <si>
    <t>508.586.232-50</t>
  </si>
  <si>
    <t>renata.dias6@outlook.com</t>
  </si>
  <si>
    <t>(11) 92534-2055</t>
  </si>
  <si>
    <t>heloisa.ribeiro2@gmail.com</t>
  </si>
  <si>
    <t>Aline Marques Barros</t>
  </si>
  <si>
    <t>aline.barros23@bol.com.br</t>
  </si>
  <si>
    <t>Thaís Fernandes Mendes</t>
  </si>
  <si>
    <t>560.186.297-47</t>
  </si>
  <si>
    <t>thais.mendes72@outlook.com</t>
  </si>
  <si>
    <t>94549-7422</t>
  </si>
  <si>
    <t>Otávio Cardoso</t>
  </si>
  <si>
    <t>otavio.cardoso30@bol.com.br</t>
  </si>
  <si>
    <t>(11) 97203-1054</t>
  </si>
  <si>
    <t>Yasmin Marques</t>
  </si>
  <si>
    <t>yasmin.marques62@gmail.com</t>
  </si>
  <si>
    <t>Otávio M. Martins</t>
  </si>
  <si>
    <t>otavio.martins19@gmail.com</t>
  </si>
  <si>
    <t>Ícaro Soares</t>
  </si>
  <si>
    <t>407.223.902-03</t>
  </si>
  <si>
    <t>97330-3872</t>
  </si>
  <si>
    <t>Breno Silva Peixoto</t>
  </si>
  <si>
    <t>breno.peixoto42@outlook.com</t>
  </si>
  <si>
    <t>(11) 99486-1366</t>
  </si>
  <si>
    <t>Manuela Nunes Costa</t>
  </si>
  <si>
    <t>705.732.233-00</t>
  </si>
  <si>
    <t>manuela.costa42@gmail.com</t>
  </si>
  <si>
    <t>Rodrigo Fonseca Mendes</t>
  </si>
  <si>
    <t>rodrigo.mendes61@gmail.com</t>
  </si>
  <si>
    <t>(48) 93548-5820</t>
  </si>
  <si>
    <t>Júlia Rezende</t>
  </si>
  <si>
    <t>276.216.513-00</t>
  </si>
  <si>
    <t>julia.rezende53@hotmail.com</t>
  </si>
  <si>
    <t>96515-7715</t>
  </si>
  <si>
    <t>050.934.406-20</t>
  </si>
  <si>
    <t>Cauã Oliveira</t>
  </si>
  <si>
    <t>475.675.137-73</t>
  </si>
  <si>
    <t>caua.oliveira88@uol.com.br</t>
  </si>
  <si>
    <t>098.891.091-82</t>
  </si>
  <si>
    <t>melissa.martins30@gmail.com</t>
  </si>
  <si>
    <t>(31) 94645-4457</t>
  </si>
  <si>
    <t>Samuel Peixoto</t>
  </si>
  <si>
    <t>samuel.peixoto34@yahoo.com.br</t>
  </si>
  <si>
    <t>Emanuel Lopes Gomes</t>
  </si>
  <si>
    <t>996.415.861-06</t>
  </si>
  <si>
    <t>thais.rodrigues73@gmail.com</t>
  </si>
  <si>
    <t>(41) 97241-0629</t>
  </si>
  <si>
    <t>beatriz.costa21@hotmail.com</t>
  </si>
  <si>
    <t>(11) 91838-3517</t>
  </si>
  <si>
    <t>Paula Ramos Teixeira</t>
  </si>
  <si>
    <t>paula.teixeira42@hotmail.com</t>
  </si>
  <si>
    <t>Rafaela Fernandes Vieira</t>
  </si>
  <si>
    <t>rafaela.vieira14@gmail.com</t>
  </si>
  <si>
    <t>Fabio Ribeiro Fonseca</t>
  </si>
  <si>
    <t>fabio.fonseca32@icloud.com</t>
  </si>
  <si>
    <t>Arthur Freitas</t>
  </si>
  <si>
    <t>703.922.639-12</t>
  </si>
  <si>
    <t>arthur.freitas45@gmail.com</t>
  </si>
  <si>
    <t>95604-5816</t>
  </si>
  <si>
    <t>thais.teixeira661@gmail.com</t>
  </si>
  <si>
    <t>nicole.campos22@hotmail.com</t>
  </si>
  <si>
    <t>(11) 92314-1957</t>
  </si>
  <si>
    <t>Fernanda Vieira Martins</t>
  </si>
  <si>
    <t>fernanda.martins2@gmail.com</t>
  </si>
  <si>
    <t>(11) 95342-9447</t>
  </si>
  <si>
    <t>kamila.dias20@uol.com.br</t>
  </si>
  <si>
    <t>312.296.464-71</t>
  </si>
  <si>
    <t>pedro.carvalho25@icloud.com</t>
  </si>
  <si>
    <t>Samuel Vieira</t>
  </si>
  <si>
    <t>samuel.vieira18@bol.com.br</t>
  </si>
  <si>
    <t>92288-6757</t>
  </si>
  <si>
    <t>heloisa.martins55@icloud.com</t>
  </si>
  <si>
    <t>934.432.520-01</t>
  </si>
  <si>
    <t>marina.ferreira59@gmial.com</t>
  </si>
  <si>
    <t>98042-0344</t>
  </si>
  <si>
    <t>Murilo Freitas Batista</t>
  </si>
  <si>
    <t>864.223.343-54</t>
  </si>
  <si>
    <t>murilo.batista52@yahoo.com.br</t>
  </si>
  <si>
    <t>(62) 98701-8047</t>
  </si>
  <si>
    <t>Vitória Ribeiro Farias</t>
  </si>
  <si>
    <t>033.687.312-38</t>
  </si>
  <si>
    <t>André Silva Farias</t>
  </si>
  <si>
    <t>andre.farias43@gmail.com</t>
  </si>
  <si>
    <t>(41) 93252-6562</t>
  </si>
  <si>
    <t>789.627.790-56</t>
  </si>
  <si>
    <t>otavio.dias1@uol.com.br</t>
  </si>
  <si>
    <t>979.901.638-02</t>
  </si>
  <si>
    <t>ana.silva96@gmail.com</t>
  </si>
  <si>
    <t>(11) 97694-4214</t>
  </si>
  <si>
    <t>Júlia S. Lopes</t>
  </si>
  <si>
    <t>julia.lopes78@hotmail.com</t>
  </si>
  <si>
    <t>95928-2765</t>
  </si>
  <si>
    <t>Clara Lopes Dias</t>
  </si>
  <si>
    <t>851.411.690-81</t>
  </si>
  <si>
    <t>clara.dias22@hotmail.com</t>
  </si>
  <si>
    <t>Paulo Ramos Fonseca</t>
  </si>
  <si>
    <t>paulo.fonseca76@hotmail.com</t>
  </si>
  <si>
    <t>Wesley Souza Silva</t>
  </si>
  <si>
    <t>686.969.937-21</t>
  </si>
  <si>
    <t>wesley.silva43@outlook.com</t>
  </si>
  <si>
    <t>(31) 99067-0653</t>
  </si>
  <si>
    <t>emanuel.monteiro2@gmail.com</t>
  </si>
  <si>
    <t>marcelo.moura69@hotmail.com</t>
  </si>
  <si>
    <t>Heloísa Fernandes</t>
  </si>
  <si>
    <t>heloisa.fernandes25@yahoo.com.br</t>
  </si>
  <si>
    <t>91666-4241</t>
  </si>
  <si>
    <t>nicole.costa20@gmial.com</t>
  </si>
  <si>
    <t>samuel.costa982@outlook.com</t>
  </si>
  <si>
    <t>(31) 97400-9414</t>
  </si>
  <si>
    <t>Vitor Alves Ribeiro</t>
  </si>
  <si>
    <t>vitor.ribeiro96@bol.com.br</t>
  </si>
  <si>
    <t>Vitória Nogueira</t>
  </si>
  <si>
    <t>328.022.876-05</t>
  </si>
  <si>
    <t>vitoria.nogueira49@hotmail.com</t>
  </si>
  <si>
    <t>(11) 94915-9891</t>
  </si>
  <si>
    <t>Mariana Lopes Moreira</t>
  </si>
  <si>
    <t>388.117.322-63</t>
  </si>
  <si>
    <t>mariana.moreira71@gmail.com</t>
  </si>
  <si>
    <t>(19) 98592-6236</t>
  </si>
  <si>
    <t>Fernanda Ferreira Rezende</t>
  </si>
  <si>
    <t>253.883.301-92</t>
  </si>
  <si>
    <t>fernanda.rezende36@uol.com.br</t>
  </si>
  <si>
    <t>Rafael Freitas Ramos</t>
  </si>
  <si>
    <t>rafael.ramos93@hotmail.com</t>
  </si>
  <si>
    <t>94085-9841</t>
  </si>
  <si>
    <t>Manuela A. Araújo</t>
  </si>
  <si>
    <t>manuela.araujo15@gmail.com</t>
  </si>
  <si>
    <t>Rafaela Ferreira Monteiro</t>
  </si>
  <si>
    <t>971.906.138-38</t>
  </si>
  <si>
    <t>rafaela.monteiro36@hotmail.com</t>
  </si>
  <si>
    <t>Rafaela Marques Rodrigues</t>
  </si>
  <si>
    <t>rafaela.rodrigues39@gmail.com</t>
  </si>
  <si>
    <t>João Gonçalves</t>
  </si>
  <si>
    <t>joao.goncalves74@gmail.com</t>
  </si>
  <si>
    <t>eduardo.martins19@gmail.com</t>
  </si>
  <si>
    <t>Aline Gonçalves Costa</t>
  </si>
  <si>
    <t>(11) 97873-0697</t>
  </si>
  <si>
    <t>Rodrigo Ferreira Ribeiro</t>
  </si>
  <si>
    <t>rodrigo.ribeiro28@hotmail.com</t>
  </si>
  <si>
    <t>91864-2476</t>
  </si>
  <si>
    <t>514.540.772-63</t>
  </si>
  <si>
    <t>helena.rezende58@gmial.com</t>
  </si>
  <si>
    <t>Diego Moura</t>
  </si>
  <si>
    <t>512.229.760-64</t>
  </si>
  <si>
    <t>diego.moura53@outlook.com</t>
  </si>
  <si>
    <t>238.178.243-51</t>
  </si>
  <si>
    <t>lorena.souza27@yahoo.com.br</t>
  </si>
  <si>
    <t>Vanessa Teixeira</t>
  </si>
  <si>
    <t>402.937.170-10</t>
  </si>
  <si>
    <t>Beatriz Cavalcanti Peixoto</t>
  </si>
  <si>
    <t>beatriz.peixoto68@hotmail.com</t>
  </si>
  <si>
    <t>valentina.teixeira72@hotmail.com</t>
  </si>
  <si>
    <t>Alexandre Freitas Ramos</t>
  </si>
  <si>
    <t>alexandre.ramos3@hotmail.com</t>
  </si>
  <si>
    <t>Otávio Alves</t>
  </si>
  <si>
    <t>otavio.alves75@outlook.com</t>
  </si>
  <si>
    <t>Cecília S. Gonçalves</t>
  </si>
  <si>
    <t>cecilia.goncalves29@gmail.com</t>
  </si>
  <si>
    <t>Débora Oliveira</t>
  </si>
  <si>
    <t>debora.oliveira3@yahoo.com.br</t>
  </si>
  <si>
    <t>(41) 96978-7888</t>
  </si>
  <si>
    <t>rebeca.monteiro86@gmail.com</t>
  </si>
  <si>
    <t>Fábio Correia Mendes</t>
  </si>
  <si>
    <t>845.877.682-00</t>
  </si>
  <si>
    <t>fabio.mendes87@yahoo.com.br</t>
  </si>
  <si>
    <t>Gabriela Peixoto</t>
  </si>
  <si>
    <t>gabriela.peixoto35@bol.com.br</t>
  </si>
  <si>
    <t>95573-8702</t>
  </si>
  <si>
    <t>Gabriel Silva Cavalcanti</t>
  </si>
  <si>
    <t>gabriel.cavalcanti67@icloud.com</t>
  </si>
  <si>
    <t>vitoria.souza60@outlook.com</t>
  </si>
  <si>
    <t>Bianca P. Freitas</t>
  </si>
  <si>
    <t>474.811.551-35</t>
  </si>
  <si>
    <t>bianca.freitas35@outlook.com</t>
  </si>
  <si>
    <t>Paulo B. Fernandes</t>
  </si>
  <si>
    <t>paulo.fernandes31@outlook.com</t>
  </si>
  <si>
    <t>Fernanda Nascimento</t>
  </si>
  <si>
    <t>fernanda.nascimento9@gmail.com</t>
  </si>
  <si>
    <t>93023-5446</t>
  </si>
  <si>
    <t>mariana.teixeira99@gmail.com</t>
  </si>
  <si>
    <t>(11) 93987-8016</t>
  </si>
  <si>
    <t>334.065.995-83</t>
  </si>
  <si>
    <t>wesley.rocha51@hotmail.com</t>
  </si>
  <si>
    <t>99667-6285</t>
  </si>
  <si>
    <t>Beatriz Oliveira Freitas</t>
  </si>
  <si>
    <t>beatriz.freitas7@gmail.com</t>
  </si>
  <si>
    <t>(47) 94202-7075</t>
  </si>
  <si>
    <t>Kamila Santana</t>
  </si>
  <si>
    <t>kamila.santana91@hotmail.com</t>
  </si>
  <si>
    <t>90061-4041</t>
  </si>
  <si>
    <t>Kauã Farias Almeida</t>
  </si>
  <si>
    <t>251.661.313-04</t>
  </si>
  <si>
    <t>kaua.almeida27@yahoo.com.br</t>
  </si>
  <si>
    <t>(11) 99717-8995</t>
  </si>
  <si>
    <t>Guilherme Rezende Santana</t>
  </si>
  <si>
    <t>guilherme.santana28@gmail.com</t>
  </si>
  <si>
    <t>Miguel Gomes Rezende</t>
  </si>
  <si>
    <t>miguel.rezende26@bol.com.br</t>
  </si>
  <si>
    <t>90751-5145</t>
  </si>
  <si>
    <t>Isabela Lopes Fonseca</t>
  </si>
  <si>
    <t>isabela.fonseca46@outlook.com</t>
  </si>
  <si>
    <t>Lorenzo Almeida Nogueira</t>
  </si>
  <si>
    <t>lorenzo.nogueira84@gmail.com</t>
  </si>
  <si>
    <t>daniel.santos91@gmail.com</t>
  </si>
  <si>
    <t>Melissa Cardoso Teixeira</t>
  </si>
  <si>
    <t>856.622.011-02</t>
  </si>
  <si>
    <t>melissa.teixeira49@uol.com.br</t>
  </si>
  <si>
    <t>Olívia Araújo</t>
  </si>
  <si>
    <t>339.857.049-61</t>
  </si>
  <si>
    <t>olivia.araujo39@gmail.com</t>
  </si>
  <si>
    <t>Diego Alves Costa</t>
  </si>
  <si>
    <t>diego.costa79@gmail.com</t>
  </si>
  <si>
    <t>taina.batista11@yahoo.com.br</t>
  </si>
  <si>
    <t>91890-3766</t>
  </si>
  <si>
    <t>rodrigo.dias626@hotmail.com</t>
  </si>
  <si>
    <t>Lorena Martins</t>
  </si>
  <si>
    <t>lorena.martins41@gmail.com</t>
  </si>
  <si>
    <t>sofia.nogueira555@hotmail.com</t>
  </si>
  <si>
    <t>Emanuelly Machado Carvalho</t>
  </si>
  <si>
    <t>743.039.720-45</t>
  </si>
  <si>
    <t>emanuelly.carvalho78@hotmail.com</t>
  </si>
  <si>
    <t>Helena Correia</t>
  </si>
  <si>
    <t>helena.correia4@outlook.com</t>
  </si>
  <si>
    <t>627.565.122-90</t>
  </si>
  <si>
    <t>Daniela Ribeiro</t>
  </si>
  <si>
    <t>daniela.ribeiro17@gmail.com</t>
  </si>
  <si>
    <t>(41) 97798-7073</t>
  </si>
  <si>
    <t>Gabriela Moreira</t>
  </si>
  <si>
    <t>445.240.312-35</t>
  </si>
  <si>
    <t>gabriela.moreira41@outlook.com</t>
  </si>
  <si>
    <t>Diego Silva</t>
  </si>
  <si>
    <t>578.307.737-26</t>
  </si>
  <si>
    <t>diego.silva90@outlook.com</t>
  </si>
  <si>
    <t>Rebeca Fernandes</t>
  </si>
  <si>
    <t>174.927.033-17</t>
  </si>
  <si>
    <t>rebeca.fernandes21@gmail.com</t>
  </si>
  <si>
    <t>96557-6460</t>
  </si>
  <si>
    <t>986.420.157-30</t>
  </si>
  <si>
    <t>daniela.almeida821@icloud.com</t>
  </si>
  <si>
    <t>Igor Mendes Moreira</t>
  </si>
  <si>
    <t>igor.moreira52@uol.com.br</t>
  </si>
  <si>
    <t>otavio.barros877@yahoo.com.br</t>
  </si>
  <si>
    <t>Lucas Alves</t>
  </si>
  <si>
    <t>046.668.765-61</t>
  </si>
  <si>
    <t>lucas.alves44@gmail.com</t>
  </si>
  <si>
    <t>(11) 90932-9763</t>
  </si>
  <si>
    <t>Cecília Soares</t>
  </si>
  <si>
    <t>275.998.846-53</t>
  </si>
  <si>
    <t>cecilia.soares97@hotmail.com</t>
  </si>
  <si>
    <t>93365-3683</t>
  </si>
  <si>
    <t>Vanessa Almeida Gomes</t>
  </si>
  <si>
    <t>vanessa.gomes10@hotmail.com</t>
  </si>
  <si>
    <t>murilo.nunes53@yahoo.com.br</t>
  </si>
  <si>
    <t>Luan Farias Monteiro</t>
  </si>
  <si>
    <t>637.342.975-08</t>
  </si>
  <si>
    <t>luan.monteiro69@hotmail.com</t>
  </si>
  <si>
    <t>693.318.804-30</t>
  </si>
  <si>
    <t>emanuelly978@gmail.com</t>
  </si>
  <si>
    <t>(41) 97268-4673</t>
  </si>
  <si>
    <t>eduarda.teixeira32@gmail.com</t>
  </si>
  <si>
    <t>Vinícius Farias</t>
  </si>
  <si>
    <t>689.408.903-53</t>
  </si>
  <si>
    <t>vitor.barbosa92@icloud.com</t>
  </si>
  <si>
    <t>Heitor Araujo</t>
  </si>
  <si>
    <t>heitor.araujo58@outlook.com</t>
  </si>
  <si>
    <t>Camila Costa Ramos</t>
  </si>
  <si>
    <t>camila.ramos40@hotmail.com</t>
  </si>
  <si>
    <t>(11) 98185-3710</t>
  </si>
  <si>
    <t>102.244.838-20</t>
  </si>
  <si>
    <t>murilo.correia88@gmail.com</t>
  </si>
  <si>
    <t>(41) 99244-5651</t>
  </si>
  <si>
    <t>rebeca.santos863@hotmail.com</t>
  </si>
  <si>
    <t>Paula Cardoso</t>
  </si>
  <si>
    <t>53202426974</t>
  </si>
  <si>
    <t>(11) 92188-2104</t>
  </si>
  <si>
    <t>sofia.alves52@gmail.com</t>
  </si>
  <si>
    <t>93628-1019</t>
  </si>
  <si>
    <t>Lorenzo Alves</t>
  </si>
  <si>
    <t>lorenzo.alves90@gmail.com</t>
  </si>
  <si>
    <t>(31) 92803-5621</t>
  </si>
  <si>
    <t>Samuel Rezende Soares</t>
  </si>
  <si>
    <t>samuel.soares50@outlook.com</t>
  </si>
  <si>
    <t>(11) 91648-0992</t>
  </si>
  <si>
    <t>Renata Nascimento</t>
  </si>
  <si>
    <t>336.377.169-09</t>
  </si>
  <si>
    <t>renata.nascimento6@hotmail.com</t>
  </si>
  <si>
    <t>Rafaela Rodrigues</t>
  </si>
  <si>
    <t>renan.oliveira58@gmail.com</t>
  </si>
  <si>
    <t>(11) 96748-5556</t>
  </si>
  <si>
    <t>Sofia Andrade</t>
  </si>
  <si>
    <t>538.162.656-85</t>
  </si>
  <si>
    <t>sofia.andrade27@hotmail.com</t>
  </si>
  <si>
    <t>90526-1144</t>
  </si>
  <si>
    <t>natalia.vieira55@gmail.com</t>
  </si>
  <si>
    <t>(11) 92764-0561</t>
  </si>
  <si>
    <t>236.903.595-11</t>
  </si>
  <si>
    <t>yasmin.farias58@gmail.com</t>
  </si>
  <si>
    <t>139.217.652-26</t>
  </si>
  <si>
    <t>olivia.rezende65@gmail.com</t>
  </si>
  <si>
    <t>(41) 98119-9185</t>
  </si>
  <si>
    <t>rodrigo.fonseca61@gmail.com</t>
  </si>
  <si>
    <t>(11) 97302-1019</t>
  </si>
  <si>
    <t>Larissa Rodrigues</t>
  </si>
  <si>
    <t>473.950.143-08</t>
  </si>
  <si>
    <t>larissa.rodrigues30@gmail.com</t>
  </si>
  <si>
    <t>(41) 93817-4143</t>
  </si>
  <si>
    <t>031.621.647-02</t>
  </si>
  <si>
    <t>aline.rodrigues92@hotmail.com</t>
  </si>
  <si>
    <t>92451-7672</t>
  </si>
  <si>
    <t>wesley.teixeira76@outlook.com</t>
  </si>
  <si>
    <t>(11) 99102-3804</t>
  </si>
  <si>
    <t>Paula P. Moura</t>
  </si>
  <si>
    <t>174.225.425-00</t>
  </si>
  <si>
    <t>paula.moura4@outlook.com</t>
  </si>
  <si>
    <t>92892-5853</t>
  </si>
  <si>
    <t>884.023.632-53</t>
  </si>
  <si>
    <t>otavio.barros52@bol.com.br</t>
  </si>
  <si>
    <t>(11) 94953-0981</t>
  </si>
  <si>
    <t>Daniela Cavalcanti</t>
  </si>
  <si>
    <t>daniela.cavalcanti61@gmail.com</t>
  </si>
  <si>
    <t>90975-9411</t>
  </si>
  <si>
    <t>Tainá Martins Barbosa</t>
  </si>
  <si>
    <t>taina.barbosa34@bol.com.br</t>
  </si>
  <si>
    <t>Rodrigo Pinto</t>
  </si>
  <si>
    <t>864.091.814-77</t>
  </si>
  <si>
    <t>rodrigo.pinto49@gmail.com</t>
  </si>
  <si>
    <t>91749-1040</t>
  </si>
  <si>
    <t>Valentina Souza</t>
  </si>
  <si>
    <t>valentina.souza93@gmail.com</t>
  </si>
  <si>
    <t>(11) 95407-0139</t>
  </si>
  <si>
    <t>Guilherme Teixeira</t>
  </si>
  <si>
    <t>76465624915</t>
  </si>
  <si>
    <t>Leticia Pinto Lopes</t>
  </si>
  <si>
    <t>081.004.602-48</t>
  </si>
  <si>
    <t>leticia.lopes13@gmail.com</t>
  </si>
  <si>
    <t>bianca.costa59@uol.com.br</t>
  </si>
  <si>
    <t>Carolina Costa</t>
  </si>
  <si>
    <t>220.517.390-13</t>
  </si>
  <si>
    <t>carolina.costa57@gmail.com</t>
  </si>
  <si>
    <t>253.763.558-29</t>
  </si>
  <si>
    <t>bianca.oliveira35@yahoo.com.br</t>
  </si>
  <si>
    <t>90807-4898</t>
  </si>
  <si>
    <t>Marina Monteiro</t>
  </si>
  <si>
    <t>marina.monteiro21@outlook.com</t>
  </si>
  <si>
    <t>(31) 97217-0311</t>
  </si>
  <si>
    <t>Marina Pereira Rezende</t>
  </si>
  <si>
    <t>Nicolas Pinto</t>
  </si>
  <si>
    <t>nicolas.pinto91@hotmail.com</t>
  </si>
  <si>
    <t>Matheus Moreira</t>
  </si>
  <si>
    <t>matheus.moreira94@outlook.com</t>
  </si>
  <si>
    <t>94992-5085</t>
  </si>
  <si>
    <t>Sofia Gomes Freitas</t>
  </si>
  <si>
    <t>99881-4063</t>
  </si>
  <si>
    <t>cecilia.monteiro506@gmail.com</t>
  </si>
  <si>
    <t>Caio Carvalho</t>
  </si>
  <si>
    <t>876.438.971-58</t>
  </si>
  <si>
    <t>caio.carvalho47@outlook.com</t>
  </si>
  <si>
    <t>(41) 98654-9969</t>
  </si>
  <si>
    <t>Giovanna Rodrigues</t>
  </si>
  <si>
    <t>giovanna.rodrigues17@gmail.com</t>
  </si>
  <si>
    <t>Fernanda Mendes Dias</t>
  </si>
  <si>
    <t>fernanda.dias81@hotmail.com</t>
  </si>
  <si>
    <t>(11) 91952-0810</t>
  </si>
  <si>
    <t>Lorena Freitas</t>
  </si>
  <si>
    <t>lorena.freitas48@outlook.com</t>
  </si>
  <si>
    <t>96375-6111</t>
  </si>
  <si>
    <t>Daniela Andrade</t>
  </si>
  <si>
    <t>daniela.andrade2@uol.com.br</t>
  </si>
  <si>
    <t>Larissa Moura Ribeiro</t>
  </si>
  <si>
    <t>larissa.ribeiro65@gmail.com</t>
  </si>
  <si>
    <t>744.176.237-59</t>
  </si>
  <si>
    <t>fernanda.pereira42@hotmail.com</t>
  </si>
  <si>
    <t>92352-4343</t>
  </si>
  <si>
    <t>Eduarda Rodrigues Nogueira</t>
  </si>
  <si>
    <t>490.759.994-37</t>
  </si>
  <si>
    <t>eduarda.nogueira40@gmail.com</t>
  </si>
  <si>
    <t>Kamila Lima Marques</t>
  </si>
  <si>
    <t>kamila.marques28@gmail.com</t>
  </si>
  <si>
    <t>566.159.281-75</t>
  </si>
  <si>
    <t>cecilia.teixeira39@gmail.com</t>
  </si>
  <si>
    <t>(31) 94612-5758</t>
  </si>
  <si>
    <t>Bernardo Gonçalves Santos</t>
  </si>
  <si>
    <t>217.418.241-68</t>
  </si>
  <si>
    <t>bernardo.santos10@icloud.com</t>
  </si>
  <si>
    <t>(31) 96269-5623</t>
  </si>
  <si>
    <t>Enzo Fonseca Mendes</t>
  </si>
  <si>
    <t>00918874963</t>
  </si>
  <si>
    <t>enzo.mendes85@gmail.com</t>
  </si>
  <si>
    <t>Thaís Costa Ramos</t>
  </si>
  <si>
    <t>Olívia Lima Almeida</t>
  </si>
  <si>
    <t>olivia.almeida21@hotmail.com</t>
  </si>
  <si>
    <t>Davi Oliveira</t>
  </si>
  <si>
    <t>davi.oliveira89@gmail.com</t>
  </si>
  <si>
    <t>Yasmin Marques Barros</t>
  </si>
  <si>
    <t>339.072.416-81</t>
  </si>
  <si>
    <t>yasmin.barros62@yahoo.com.br</t>
  </si>
  <si>
    <t>livia.campos16@gmail.com</t>
  </si>
  <si>
    <t>Eduardo Alves Goncalves</t>
  </si>
  <si>
    <t>311.224.414-10</t>
  </si>
  <si>
    <t>eduardo.goncalves75@gmail.com</t>
  </si>
  <si>
    <t>Bruno Oliveira</t>
  </si>
  <si>
    <t>bruno.oliveira15@gmail.com</t>
  </si>
  <si>
    <t>Eduarda C. Rocha</t>
  </si>
  <si>
    <t>eduarda.rocha93@hotmail.com</t>
  </si>
  <si>
    <t>(62) 93345-9638</t>
  </si>
  <si>
    <t>Carolina Rodrigues</t>
  </si>
  <si>
    <t>carolina.rodrigues85@outlook.com</t>
  </si>
  <si>
    <t>Beatriz Ferreira Pereira</t>
  </si>
  <si>
    <t>801.080.006-64</t>
  </si>
  <si>
    <t>beatriz.pereira51@uol.com.br</t>
  </si>
  <si>
    <t>(41) 95153-5527</t>
  </si>
  <si>
    <t>Camila Marques Campos</t>
  </si>
  <si>
    <t>295.196.450-18</t>
  </si>
  <si>
    <t>camila.campos70@gmail.com</t>
  </si>
  <si>
    <t>925.262.202-03</t>
  </si>
  <si>
    <t>alice.dias2@bol.com.br</t>
  </si>
  <si>
    <t>850.663.524-14</t>
  </si>
  <si>
    <t>alice.andrade63@bol.com.br</t>
  </si>
  <si>
    <t>Júlia Peixoto Ferreira</t>
  </si>
  <si>
    <t>julia.nascimento625@gmail.com</t>
  </si>
  <si>
    <t>Fábio Monteiro</t>
  </si>
  <si>
    <t>fabio.monteiro35@hotmail.com</t>
  </si>
  <si>
    <t>(11) 95694-7321</t>
  </si>
  <si>
    <t>Rafael O. Martins</t>
  </si>
  <si>
    <t>rafael.martins68@hotmail.com</t>
  </si>
  <si>
    <t>307.303.824-86</t>
  </si>
  <si>
    <t>thais.nunes2@bol.com.br</t>
  </si>
  <si>
    <t>98452-7340</t>
  </si>
  <si>
    <t>Larissa Andrade Santos</t>
  </si>
  <si>
    <t>larissa.santos60@uol.com.br</t>
  </si>
  <si>
    <t>97648-5768</t>
  </si>
  <si>
    <t>fernanda.almeida3@gmail.com</t>
  </si>
  <si>
    <t>98061-1604</t>
  </si>
  <si>
    <t>emanuelly.martins42@hotmail.com</t>
  </si>
  <si>
    <t>Tainá F. Nunes</t>
  </si>
  <si>
    <t>taina.nunes98@uol.com.br</t>
  </si>
  <si>
    <t>(41) 93988-5377</t>
  </si>
  <si>
    <t>Lorenzo Teixeira Souza</t>
  </si>
  <si>
    <t>lorenzo.souza59@gmail.com</t>
  </si>
  <si>
    <t>820.635.044-66</t>
  </si>
  <si>
    <t>Bianca Nascimento Barros</t>
  </si>
  <si>
    <t>bianca.barros9@gmail.com</t>
  </si>
  <si>
    <t>Mariana Mendes</t>
  </si>
  <si>
    <t>mariana.mendes81@uol.com.br</t>
  </si>
  <si>
    <t>Sofia Cavalcanti</t>
  </si>
  <si>
    <t>sofia.cavalcanti63@gmail.com</t>
  </si>
  <si>
    <t>(11) 93144-5960</t>
  </si>
  <si>
    <t>vitor.machado76@gmail.com</t>
  </si>
  <si>
    <t>(11) 92622-0310</t>
  </si>
  <si>
    <t>valentina.ramos83@yahoo.com.br</t>
  </si>
  <si>
    <t>(31) 99690-4433</t>
  </si>
  <si>
    <t>Arthur Pinto Barbosa</t>
  </si>
  <si>
    <t>552.490.027-73</t>
  </si>
  <si>
    <t>arthur.barbosa43@uol.com.br</t>
  </si>
  <si>
    <t>(31) 98412-7142</t>
  </si>
  <si>
    <t>helena.marques87@gmail.com</t>
  </si>
  <si>
    <t>sofia.nogueira30@hotmail.com</t>
  </si>
  <si>
    <t>Daniela Carvalho Farias</t>
  </si>
  <si>
    <t>daniela.farias93@yahoo.com.br</t>
  </si>
  <si>
    <t>(31) 97909-3109</t>
  </si>
  <si>
    <t>Renata Fernandes</t>
  </si>
  <si>
    <t>renata.fernandes23@gmail.com</t>
  </si>
  <si>
    <t>Guilherme Nunes Correia</t>
  </si>
  <si>
    <t>192.064.409-18</t>
  </si>
  <si>
    <t>guilherme.correia4@hotmail.com</t>
  </si>
  <si>
    <t>bianca.machado266@gmail.com</t>
  </si>
  <si>
    <t>lorena.lima55@hotmail.com</t>
  </si>
  <si>
    <t>(11) 97713-4746</t>
  </si>
  <si>
    <t>sabrina.pinto55@gmial.com</t>
  </si>
  <si>
    <t>(11) 90233-9487</t>
  </si>
  <si>
    <t>Vanessa Fonseca</t>
  </si>
  <si>
    <t>vanessa.fonseca21@gmail.com</t>
  </si>
  <si>
    <t>97644-2343</t>
  </si>
  <si>
    <t>Renata Pinto Freitas</t>
  </si>
  <si>
    <t>928.100.839-40</t>
  </si>
  <si>
    <t>renata.freitas16@gmail.com</t>
  </si>
  <si>
    <t>Bianca Martins Nogueira</t>
  </si>
  <si>
    <t>849.188.821-70</t>
  </si>
  <si>
    <t>bianca.nogueira90@hotmail.com</t>
  </si>
  <si>
    <t>Yasmin Souza</t>
  </si>
  <si>
    <t>939.589.881-05</t>
  </si>
  <si>
    <t>yasmin.souza24@yahoo.com.br</t>
  </si>
  <si>
    <t>Aline Alves Cardoso</t>
  </si>
  <si>
    <t>aline.cardoso53@bol.com.br</t>
  </si>
  <si>
    <t>(11) 92405-9703</t>
  </si>
  <si>
    <t>Jaqueline Marques</t>
  </si>
  <si>
    <t>jaqueline.marques14@hotmail.com</t>
  </si>
  <si>
    <t>(62) 95614-9350</t>
  </si>
  <si>
    <t>Hugo R. Carvalho</t>
  </si>
  <si>
    <t>hugo.carvalho63@hotmail.com</t>
  </si>
  <si>
    <t>cecilia.oliveira5@gmail.com</t>
  </si>
  <si>
    <t>191.428.942-04</t>
  </si>
  <si>
    <t>otavio.monteiro13@hotmail.com</t>
  </si>
  <si>
    <t>(48) 98303-4386</t>
  </si>
  <si>
    <t>Júlia Ramos Nogueira</t>
  </si>
  <si>
    <t>julia.nogueira48@hotmail.com</t>
  </si>
  <si>
    <t>Cauã Teixeira Gonçalves</t>
  </si>
  <si>
    <t>caua.goncalves50@hotmail.com</t>
  </si>
  <si>
    <t>luan.santos35@gmail.com</t>
  </si>
  <si>
    <t>702.922.937-12</t>
  </si>
  <si>
    <t>thais.fernandes10@hotmail.com</t>
  </si>
  <si>
    <t>(11) 97733-8127</t>
  </si>
  <si>
    <t>Diego Carvalho Correia</t>
  </si>
  <si>
    <t>358.938.032-21</t>
  </si>
  <si>
    <t>diego.correia81@icloud.com</t>
  </si>
  <si>
    <t>879.898.719-47</t>
  </si>
  <si>
    <t>Kauã Fernandes</t>
  </si>
  <si>
    <t>kaua.fernandes73@yahoo.com.br</t>
  </si>
  <si>
    <t>(41) 99888-1017</t>
  </si>
  <si>
    <t>Heitor Ribeiro Moura</t>
  </si>
  <si>
    <t>581.914.455-49</t>
  </si>
  <si>
    <t>heitor.moura72@icloud.com</t>
  </si>
  <si>
    <t>Otávio Fonseca Peixoto</t>
  </si>
  <si>
    <t>otavio.peixoto41@outlook.com</t>
  </si>
  <si>
    <t>(21) 92746-4905</t>
  </si>
  <si>
    <t>Cauã Silva</t>
  </si>
  <si>
    <t>caua.silva78@gmail.com</t>
  </si>
  <si>
    <t>(11) 90345-7320</t>
  </si>
  <si>
    <t>Daniela Mendes</t>
  </si>
  <si>
    <t>daniela.mendes64@yahoo.com.br</t>
  </si>
  <si>
    <t>034.210.768-20</t>
  </si>
  <si>
    <t>vanessa.mendes6@outlook.com</t>
  </si>
  <si>
    <t>(41) 96944-6071</t>
  </si>
  <si>
    <t>manuela.ramos71@icloud.com</t>
  </si>
  <si>
    <t>333.203.779-06</t>
  </si>
  <si>
    <t>olivia.campos19@bol.com.br</t>
  </si>
  <si>
    <t>Alice Dias Ferreira</t>
  </si>
  <si>
    <t>alice.ferreira76@gmail.com</t>
  </si>
  <si>
    <t>91490-7638</t>
  </si>
  <si>
    <t>Kauã Mendes</t>
  </si>
  <si>
    <t>kaua.mendes80@hotmail.com</t>
  </si>
  <si>
    <t>93875-9532</t>
  </si>
  <si>
    <t>thais.vieira5@bol.com.br</t>
  </si>
  <si>
    <t>Ricardo Almeida Fernandes</t>
  </si>
  <si>
    <t>ricardo.fernandes57@outlook.com</t>
  </si>
  <si>
    <t>(31) 95831-9475</t>
  </si>
  <si>
    <t>igor.gomes92@gmail.com</t>
  </si>
  <si>
    <t>Caetano Souza</t>
  </si>
  <si>
    <t>224.059.275-35</t>
  </si>
  <si>
    <t>caetano.souza83@icloud.com</t>
  </si>
  <si>
    <t>(11) 96796-5831</t>
  </si>
  <si>
    <t>Alice Nogueira</t>
  </si>
  <si>
    <t>alice.nogueira43@outlook.com</t>
  </si>
  <si>
    <t>95722-2852</t>
  </si>
  <si>
    <t>Fábio Oliveira Fernandes</t>
  </si>
  <si>
    <t>fabio.fernandes2@outlook.com</t>
  </si>
  <si>
    <t>(31) 91850-5417</t>
  </si>
  <si>
    <t>Emanuelly Araújo Campos</t>
  </si>
  <si>
    <t>emanuelly.campos3@gmail.com</t>
  </si>
  <si>
    <t>(31) 90268-4278</t>
  </si>
  <si>
    <t>rebeca.fonseca59@gmail.com</t>
  </si>
  <si>
    <t>(47) 96724-6101</t>
  </si>
  <si>
    <t>Tainá Dias</t>
  </si>
  <si>
    <t>taina.dias2@gmail.com</t>
  </si>
  <si>
    <t>taina.campos80@bol.com.br</t>
  </si>
  <si>
    <t>Rebeca Nogueira</t>
  </si>
  <si>
    <t>rebeca.nogueira55@hotmail.com</t>
  </si>
  <si>
    <t>Clara Cavalcanti Cardoso</t>
  </si>
  <si>
    <t>clara.cardoso47@gmail.com</t>
  </si>
  <si>
    <t>432.804.531-86</t>
  </si>
  <si>
    <t>lucas.correia34@gmail.com</t>
  </si>
  <si>
    <t>melissa.farias82@gmail.com</t>
  </si>
  <si>
    <t>ana.farias196@outlook.com</t>
  </si>
  <si>
    <t>(31) 93154-1441</t>
  </si>
  <si>
    <t>95051-6940</t>
  </si>
  <si>
    <t>Helena Pereira</t>
  </si>
  <si>
    <t>helena.pereira88@uol.com.br</t>
  </si>
  <si>
    <t>lorenzo.monteiro28@yahoo.com.br</t>
  </si>
  <si>
    <t>wesley.soares19@yahoo.com.br</t>
  </si>
  <si>
    <t>99366-0166</t>
  </si>
  <si>
    <t>Laura Silva Santos</t>
  </si>
  <si>
    <t>laura.santos69@hotmail.com</t>
  </si>
  <si>
    <t>130.592.205-06</t>
  </si>
  <si>
    <t>beatriz.monteiro97@yahoo.com.br</t>
  </si>
  <si>
    <t>(31) 97849-6763</t>
  </si>
  <si>
    <t>eduarda.dias32@icloud.com</t>
  </si>
  <si>
    <t>(11) 95626-2573</t>
  </si>
  <si>
    <t>camila.cavalcanti16@hotmail.com</t>
  </si>
  <si>
    <t>Otávio Batista</t>
  </si>
  <si>
    <t>otavio.batista56@outlook.com</t>
  </si>
  <si>
    <t>Lorena Vieira Batista</t>
  </si>
  <si>
    <t>lorena.batista24@uol.com.br</t>
  </si>
  <si>
    <t>Igor Cardoso</t>
  </si>
  <si>
    <t>igor.cardoso24@uol.com.br</t>
  </si>
  <si>
    <t>Heloísa Almeida</t>
  </si>
  <si>
    <t>heloisa.almeida98@gmail.com</t>
  </si>
  <si>
    <t>Arthur Freitas Nunes</t>
  </si>
  <si>
    <t>arthur.nunes43@uol.com.br</t>
  </si>
  <si>
    <t>Davi Oliveira Cavalcanti</t>
  </si>
  <si>
    <t>446.760.815-02</t>
  </si>
  <si>
    <t>davi.cavalcanti74@gmail.com</t>
  </si>
  <si>
    <t>(31) 91709-8996</t>
  </si>
  <si>
    <t>Juliana Barros</t>
  </si>
  <si>
    <t>juliana.barros65@uol.com.br</t>
  </si>
  <si>
    <t>93873-8474</t>
  </si>
  <si>
    <t>Vanessa Nascimento Rezende</t>
  </si>
  <si>
    <t>821.661.082-37</t>
  </si>
  <si>
    <t>vanessa.rezende89@icloud.com</t>
  </si>
  <si>
    <t>(85) 96325-5155</t>
  </si>
  <si>
    <t>laura.freitas87@outlook.com</t>
  </si>
  <si>
    <t>(11) 91238-9047</t>
  </si>
  <si>
    <t>Otávio Lima Correia</t>
  </si>
  <si>
    <t>210.980.966-30</t>
  </si>
  <si>
    <t>otavio.correia32@hotmail.com</t>
  </si>
  <si>
    <t>Renan Santos Nascimento</t>
  </si>
  <si>
    <t>439.567.562-07</t>
  </si>
  <si>
    <t>renan.nascimento654@bol.com.br</t>
  </si>
  <si>
    <t>(31) 93552-8414</t>
  </si>
  <si>
    <t>Débora A. Santos</t>
  </si>
  <si>
    <t>debora.santos28@gmail.com</t>
  </si>
  <si>
    <t>Yasmin Almeida Marques</t>
  </si>
  <si>
    <t>yasmin.marques58@yahoo.com.br</t>
  </si>
  <si>
    <t>(31) 90099-5738</t>
  </si>
  <si>
    <t>Clara Rocha Santana</t>
  </si>
  <si>
    <t>307.751.426-54</t>
  </si>
  <si>
    <t>(11) 98405-9099</t>
  </si>
  <si>
    <t>Bruna Monteiro Marques</t>
  </si>
  <si>
    <t>bruna.marques31@gmail.com</t>
  </si>
  <si>
    <t>(11) 97701-0945</t>
  </si>
  <si>
    <t>Vitor Mendes Moreira</t>
  </si>
  <si>
    <t>Melissa Araújo Rezende</t>
  </si>
  <si>
    <t>61776759648</t>
  </si>
  <si>
    <t>melissa.rezende49@outlook.com</t>
  </si>
  <si>
    <t>Clara Mendes Rezende</t>
  </si>
  <si>
    <t>929.135.337-01</t>
  </si>
  <si>
    <t>clara.rezende69@yahoo.com.br</t>
  </si>
  <si>
    <t>Ricardo Teixeira Rocha</t>
  </si>
  <si>
    <t>ricardo.rocha23@icloud.com</t>
  </si>
  <si>
    <t>(41) 93177-0281</t>
  </si>
  <si>
    <t>Rafaela Batista</t>
  </si>
  <si>
    <t>rafaela.batista96@outlook.com</t>
  </si>
  <si>
    <t>(31) 92520-7968</t>
  </si>
  <si>
    <t>261.888.813-82</t>
  </si>
  <si>
    <t>luan.farias398@hotmail.com</t>
  </si>
  <si>
    <t>Lorena Souza</t>
  </si>
  <si>
    <t>lorena.souza70@yahoo.com.br</t>
  </si>
  <si>
    <t>(11) 95452-6336</t>
  </si>
  <si>
    <t>icaro.teixeira74@gmail.com</t>
  </si>
  <si>
    <t>(11) 99226-5371</t>
  </si>
  <si>
    <t>Fernanda Pinto</t>
  </si>
  <si>
    <t>fernanda.pinto306@outlook.com</t>
  </si>
  <si>
    <t>751.222.915-19</t>
  </si>
  <si>
    <t>luan.almeida35@outlook.com</t>
  </si>
  <si>
    <t>nicole.fernandes60@hotmail.com</t>
  </si>
  <si>
    <t>priscila.araujo228@gmail.com</t>
  </si>
  <si>
    <t>(11) 97209-1725</t>
  </si>
  <si>
    <t>Thaís Cavalcanti Souza</t>
  </si>
  <si>
    <t>thais.souza22@icloud.com</t>
  </si>
  <si>
    <t>(11) 97087-1417</t>
  </si>
  <si>
    <t>Clara Campos Dias</t>
  </si>
  <si>
    <t>clara.dias88@outlook.com</t>
  </si>
  <si>
    <t>97500-3158</t>
  </si>
  <si>
    <t>Emanuelly Andrade</t>
  </si>
  <si>
    <t>Luan Santana</t>
  </si>
  <si>
    <t>luan.santana35@outlook.com</t>
  </si>
  <si>
    <t>Thaís Souza</t>
  </si>
  <si>
    <t>thais.souza33@hotmail.com</t>
  </si>
  <si>
    <t>Vitória Freitas Ramos</t>
  </si>
  <si>
    <t>(11) 96919-7144</t>
  </si>
  <si>
    <t>larissa.carvalho73@hotmail.com</t>
  </si>
  <si>
    <t>406.447.922-05</t>
  </si>
  <si>
    <t>(51) 96790-0286</t>
  </si>
  <si>
    <t>Debora Nascimento</t>
  </si>
  <si>
    <t>937.137.042-44</t>
  </si>
  <si>
    <t>91917-0532</t>
  </si>
  <si>
    <t>Gabriel Dias Almeida</t>
  </si>
  <si>
    <t>889.714.952-94</t>
  </si>
  <si>
    <t>gabriel.almeida36@hotmail.con</t>
  </si>
  <si>
    <t>Eduarda Gomes Costa</t>
  </si>
  <si>
    <t>741.745.506-97</t>
  </si>
  <si>
    <t>eduarda.costa36@outlook.com</t>
  </si>
  <si>
    <t>luan.souza47@gmail.com</t>
  </si>
  <si>
    <t>Aline Santana</t>
  </si>
  <si>
    <t>aline.santana13@gmail.com</t>
  </si>
  <si>
    <t>768.418.550-00</t>
  </si>
  <si>
    <t>ricardo.farias87@gmail.com</t>
  </si>
  <si>
    <t>(11) 97335-5626</t>
  </si>
  <si>
    <t>Olívia Nogueira Lopes</t>
  </si>
  <si>
    <t>olivia.lopes73@hotmail.com</t>
  </si>
  <si>
    <t>Aline Teixeira Peixoto</t>
  </si>
  <si>
    <t>829.813.272-67</t>
  </si>
  <si>
    <t>aline.peixoto62@icloud.com</t>
  </si>
  <si>
    <t>Guilherme Pereira</t>
  </si>
  <si>
    <t>742.485.666-99</t>
  </si>
  <si>
    <t>guilherme.pereira36@yahoo.com.br</t>
  </si>
  <si>
    <t>Emanuelly Carvalho</t>
  </si>
  <si>
    <t>168.036.586-00</t>
  </si>
  <si>
    <t>emanuelly.carvalho25@hotmail.com</t>
  </si>
  <si>
    <t>90863-9512</t>
  </si>
  <si>
    <t>93329-8327</t>
  </si>
  <si>
    <t>Laura Ferreira</t>
  </si>
  <si>
    <t>laura.ferreira18@bol.com.br</t>
  </si>
  <si>
    <t>Daniela Nascimento Nogueira</t>
  </si>
  <si>
    <t>daniela.nogueira66@gmail.com</t>
  </si>
  <si>
    <t>99560-9413</t>
  </si>
  <si>
    <t>Laura Silva Moreira</t>
  </si>
  <si>
    <t>782.068.697-94</t>
  </si>
  <si>
    <t>laura.moreira29@hotmail.com</t>
  </si>
  <si>
    <t>Beatriz Lima Nascimento</t>
  </si>
  <si>
    <t>beatriz.nascimento61@outlook.com</t>
  </si>
  <si>
    <t>Helena Nogueira</t>
  </si>
  <si>
    <t>helena.nogueira65@gmail.com</t>
  </si>
  <si>
    <t>enzo.freitas61@outlook.com</t>
  </si>
  <si>
    <t>Emanuel Martins</t>
  </si>
  <si>
    <t>emanuel.martins72@gmail.com</t>
  </si>
  <si>
    <t>Pedro Lima</t>
  </si>
  <si>
    <t>pedro.lima52@bol.com.br</t>
  </si>
  <si>
    <t>(41) 91697-5143</t>
  </si>
  <si>
    <t>Melissa Correia Carvalho</t>
  </si>
  <si>
    <t>melissa.carvalho21@outlook.com</t>
  </si>
  <si>
    <t>Daniel Ramos Cavalcanti</t>
  </si>
  <si>
    <t>daniel.cavalcanti65@bol.com.br</t>
  </si>
  <si>
    <t>(11) 92869-0020</t>
  </si>
  <si>
    <t>Carolina Machado Ribeiro</t>
  </si>
  <si>
    <t>carolina.ribeiro51@icloud.com</t>
  </si>
  <si>
    <t>Rebeca Cardoso</t>
  </si>
  <si>
    <t>rebeca.cardoso91@gmail.com</t>
  </si>
  <si>
    <t>(11) 96163-4140</t>
  </si>
  <si>
    <t>caetano.ribeiro30@gmail.com</t>
  </si>
  <si>
    <t>(47) 92444-6904</t>
  </si>
  <si>
    <t>Lorenzo Silva</t>
  </si>
  <si>
    <t>lorenzo.silva54@gmail.com</t>
  </si>
  <si>
    <t>Juliana Teixeira</t>
  </si>
  <si>
    <t>juliana.teixeira53@outlook.com</t>
  </si>
  <si>
    <t>(47) 98580-4227</t>
  </si>
  <si>
    <t>carolina.freitas59@icloud.com</t>
  </si>
  <si>
    <t>julia.rezende75@outlook.com</t>
  </si>
  <si>
    <t>Kamila Rocha</t>
  </si>
  <si>
    <t>kamila.rocha12@yahoo.com.br</t>
  </si>
  <si>
    <t>91101-6828</t>
  </si>
  <si>
    <t>474.991.687-00</t>
  </si>
  <si>
    <t>teo.nascimento28@hotmail.com</t>
  </si>
  <si>
    <t>657.740.093-86</t>
  </si>
  <si>
    <t>kamila.ramos377@gmail.com</t>
  </si>
  <si>
    <t>Guilherme Ferreira</t>
  </si>
  <si>
    <t>guilherme.ferreira34@yahoo.com.br</t>
  </si>
  <si>
    <t>rodrigo.barbosa84@hotmail.com</t>
  </si>
  <si>
    <t>97921-5169</t>
  </si>
  <si>
    <t>Mariana Tavares Barbosa</t>
  </si>
  <si>
    <t>300.924.648-07</t>
  </si>
  <si>
    <t>mariana.barbosa13@hotmail.com</t>
  </si>
  <si>
    <t>paulo.costa14@gmail.com</t>
  </si>
  <si>
    <t>Thaís Cavalcanti Vieira</t>
  </si>
  <si>
    <t>664.494.517-18</t>
  </si>
  <si>
    <t>thais.vieira44@gmail.com</t>
  </si>
  <si>
    <t>valentina.oliveira21@gmail.com</t>
  </si>
  <si>
    <t>111.683.882-60</t>
  </si>
  <si>
    <t>renata.campos20@gmail.com</t>
  </si>
  <si>
    <t>99273-0060</t>
  </si>
  <si>
    <t>Valentina Dias</t>
  </si>
  <si>
    <t>466.897.950-39</t>
  </si>
  <si>
    <t>valentina.dias42@hotmail.com</t>
  </si>
  <si>
    <t>97812-4921</t>
  </si>
  <si>
    <t>Bruno Cardoso Freitas</t>
  </si>
  <si>
    <t>948.755.513-71</t>
  </si>
  <si>
    <t>bruno.freitas46@gmail.com</t>
  </si>
  <si>
    <t>Lucas Rocha Pereira</t>
  </si>
  <si>
    <t>516.242.922-83</t>
  </si>
  <si>
    <t>lucas.pereira77@gmail.com</t>
  </si>
  <si>
    <t>(41) 97047-0262</t>
  </si>
  <si>
    <t>marina.rocha13@outlook.com</t>
  </si>
  <si>
    <t>(21) 96315-2608</t>
  </si>
  <si>
    <t>Nicole Alves Lopes</t>
  </si>
  <si>
    <t>311.801.448-21</t>
  </si>
  <si>
    <t>nicole.lopes56@outlook.com</t>
  </si>
  <si>
    <t>99410-3576</t>
  </si>
  <si>
    <t>Manuela Silva Martins</t>
  </si>
  <si>
    <t>120.191.635-60</t>
  </si>
  <si>
    <t>manuela.martins68@gmail.com</t>
  </si>
  <si>
    <t>Sabrina Machado Oliveira</t>
  </si>
  <si>
    <t>sabrina.oliveira73@yahoo.com.br</t>
  </si>
  <si>
    <t>pedro.machado17@icloud.com</t>
  </si>
  <si>
    <t>Bruno Ribeiro Nascimento</t>
  </si>
  <si>
    <t>872.370.542-60</t>
  </si>
  <si>
    <t>bruno.nascimento72@outlook.com</t>
  </si>
  <si>
    <t>(31) 97676-2455</t>
  </si>
  <si>
    <t>709.543.396-81</t>
  </si>
  <si>
    <t>heloisa.monteiro78@bol.com.br</t>
  </si>
  <si>
    <t>95987-4856</t>
  </si>
  <si>
    <t>Tainá Monteiro</t>
  </si>
  <si>
    <t>taina.monteiro1@gmail.com</t>
  </si>
  <si>
    <t>Priscila Moreira Almeida</t>
  </si>
  <si>
    <t>priscila.almeida84@bol.com.br</t>
  </si>
  <si>
    <t>(11) 96006-1892</t>
  </si>
  <si>
    <t>yasmin.rezende39@gmail.com</t>
  </si>
  <si>
    <t>(41) 99626-6294</t>
  </si>
  <si>
    <t>vinicius.correia52@outlook.com</t>
  </si>
  <si>
    <t>97023-4180</t>
  </si>
  <si>
    <t>919.127.946-16</t>
  </si>
  <si>
    <t>emanuel.marques54@gmail.com</t>
  </si>
  <si>
    <t>(11) 96553-6140</t>
  </si>
  <si>
    <t>fernanda.pinto96@hotmail.com</t>
  </si>
  <si>
    <t>(11) 93952-3061</t>
  </si>
  <si>
    <t>André M. Vieira</t>
  </si>
  <si>
    <t>andre.vieira55@gmail.com</t>
  </si>
  <si>
    <t>Guilherme Lima Rezende</t>
  </si>
  <si>
    <t>107.445.585-14</t>
  </si>
  <si>
    <t>guilherme.rezende75@outlook.com</t>
  </si>
  <si>
    <t>Emanuelly Batista Barros</t>
  </si>
  <si>
    <t>437.625.693-55</t>
  </si>
  <si>
    <t>emanuelly.barros57@gmail.com</t>
  </si>
  <si>
    <t>Ricardo Santana</t>
  </si>
  <si>
    <t>ricardo.santana59@hotmail.com</t>
  </si>
  <si>
    <t>(41) 99534-3828</t>
  </si>
  <si>
    <t>291.560.338-34</t>
  </si>
  <si>
    <t>paulo.martins32@outlook.com</t>
  </si>
  <si>
    <t>098.069.634-82</t>
  </si>
  <si>
    <t>bruno.tavares8@uol.com.br</t>
  </si>
  <si>
    <t>(11) 90825-7698</t>
  </si>
  <si>
    <t>Jaqueline Rodrigues Mendes</t>
  </si>
  <si>
    <t>(31) 93751-2852</t>
  </si>
  <si>
    <t>Paula Martins Rocha</t>
  </si>
  <si>
    <t>paula.rocha72@outlook.com</t>
  </si>
  <si>
    <t>Bruna Barros Santana</t>
  </si>
  <si>
    <t>272.296.520-81</t>
  </si>
  <si>
    <t>bruna.santana9@outlook.com</t>
  </si>
  <si>
    <t>99066-6757</t>
  </si>
  <si>
    <t>Juliana Pereira</t>
  </si>
  <si>
    <t>704.850.891-49</t>
  </si>
  <si>
    <t>juliana.pereira57@outlook.com</t>
  </si>
  <si>
    <t>Fábio Nunes</t>
  </si>
  <si>
    <t>fabio.nunes9@yahoo.com.br</t>
  </si>
  <si>
    <t>otavio.barros63@hotmail.com</t>
  </si>
  <si>
    <t>(31) 92410-2483</t>
  </si>
  <si>
    <t>Heloísa Araújo</t>
  </si>
  <si>
    <t>heloisa.araujo63@hotmail.com</t>
  </si>
  <si>
    <t>92932-1965</t>
  </si>
  <si>
    <t>Aline Carvalho Costa</t>
  </si>
  <si>
    <t>393.427.106-54</t>
  </si>
  <si>
    <t>Vitoria Farias Barbosa</t>
  </si>
  <si>
    <t>vitoria.barbosa14@gmail.com</t>
  </si>
  <si>
    <t>(11) 92791-6694</t>
  </si>
  <si>
    <t>eduarda.rodrigues24@gmail.com</t>
  </si>
  <si>
    <t>(11) 99583-7713</t>
  </si>
  <si>
    <t>Kamila Nunes Costa</t>
  </si>
  <si>
    <t>564.709.697-20</t>
  </si>
  <si>
    <t>kamila.costa27@outlook.com</t>
  </si>
  <si>
    <t>(31) 98697-6687</t>
  </si>
  <si>
    <t>Caetano Silva</t>
  </si>
  <si>
    <t>(11) 97568-0230</t>
  </si>
  <si>
    <t>vitor.moreira168@uol.com.br</t>
  </si>
  <si>
    <t>(41) 95416-2376</t>
  </si>
  <si>
    <t>Marina Moreira</t>
  </si>
  <si>
    <t>marina.moreira36@outlook.com</t>
  </si>
  <si>
    <t>(11) 93677-2894</t>
  </si>
  <si>
    <t>578.370.096-73</t>
  </si>
  <si>
    <t>thiago.mendes29@uol.com.br</t>
  </si>
  <si>
    <t>(11) 90080-0180</t>
  </si>
  <si>
    <t>Manuela Pinto Cavalcanti</t>
  </si>
  <si>
    <t>153.451.226-87</t>
  </si>
  <si>
    <t>manuela.cavalcanti23@uol.com.br</t>
  </si>
  <si>
    <t>98422-9348</t>
  </si>
  <si>
    <t>Jaqueline Silva Almeida</t>
  </si>
  <si>
    <t>649.568.499-15</t>
  </si>
  <si>
    <t>Yasmin Ramos Nogueira</t>
  </si>
  <si>
    <t>yasmin.nogueira5@gmail.com</t>
  </si>
  <si>
    <t>Priscila Rezende</t>
  </si>
  <si>
    <t>priscila.rezende86@gmail.com</t>
  </si>
  <si>
    <t>Yasmin Carvalho</t>
  </si>
  <si>
    <t>yasmin.carvalho90@gmail.com</t>
  </si>
  <si>
    <t>98936-4440</t>
  </si>
  <si>
    <t>768.099.515-04</t>
  </si>
  <si>
    <t>kaua.ferreira25@uol.com.br</t>
  </si>
  <si>
    <t>814.116.524-01</t>
  </si>
  <si>
    <t>sabrina.carvalho45@gmail.com</t>
  </si>
  <si>
    <t>livia.farias31@icloud.com</t>
  </si>
  <si>
    <t>Débora Gomes</t>
  </si>
  <si>
    <t>debora.gomes42@gmail.com</t>
  </si>
  <si>
    <t>713.660.598-91</t>
  </si>
  <si>
    <t>renata.fernandes69@gmail.com</t>
  </si>
  <si>
    <t>Taina Goncalves Freitas</t>
  </si>
  <si>
    <t>608.913.875-44</t>
  </si>
  <si>
    <t>taina.freitas68@yahoo.com.br</t>
  </si>
  <si>
    <t>Eduardo Lopes</t>
  </si>
  <si>
    <t>vitoria.nunes37@gmail.com</t>
  </si>
  <si>
    <t>Júlia Barbosa Silva</t>
  </si>
  <si>
    <t>julia.silva87@yahoo.com.br</t>
  </si>
  <si>
    <t>yuri.souza85@gmail.com</t>
  </si>
  <si>
    <t>Otávio Barros Gonçalves</t>
  </si>
  <si>
    <t>otavio.goncalves46@yahoo.com.br</t>
  </si>
  <si>
    <t>(51) 96627-6191</t>
  </si>
  <si>
    <t>Miguel Gomes</t>
  </si>
  <si>
    <t>61964904609</t>
  </si>
  <si>
    <t>miguel.gomes80@icloud.com</t>
  </si>
  <si>
    <t>paulo.andrade48@gmail.com</t>
  </si>
  <si>
    <t>Natália Pinto Barros</t>
  </si>
  <si>
    <t>717.690.689-02</t>
  </si>
  <si>
    <t>natalia.barros77@yahoo.com.br</t>
  </si>
  <si>
    <t>(31) 93672-7263</t>
  </si>
  <si>
    <t>Felipe Silva Nunes</t>
  </si>
  <si>
    <t>felipe.nunes53@gmail.com</t>
  </si>
  <si>
    <t>(19) 91538-4921</t>
  </si>
  <si>
    <t>Lorena Cavalcanti</t>
  </si>
  <si>
    <t>380.146.685-02</t>
  </si>
  <si>
    <t>lorena.cavalcanti8@gmail.com</t>
  </si>
  <si>
    <t>carolina.correia4@hotmail.com</t>
  </si>
  <si>
    <t>056.715.991-48</t>
  </si>
  <si>
    <t>marcelo.cavalcanti34@hotmail.com</t>
  </si>
  <si>
    <t>Manuela Martins Alves</t>
  </si>
  <si>
    <t>manuela.alves15@gmail.com</t>
  </si>
  <si>
    <t>thais.ferreira494@gmail.com</t>
  </si>
  <si>
    <t>(41) 92895-3022</t>
  </si>
  <si>
    <t>manuela.barros69@gmail.com</t>
  </si>
  <si>
    <t>(11) 94213-6585</t>
  </si>
  <si>
    <t>andre.nogueira65@yahoo.com.br</t>
  </si>
  <si>
    <t>872.290.295-38</t>
  </si>
  <si>
    <t>camila.fonseca64@gmail.com</t>
  </si>
  <si>
    <t>(31) 92701-5973</t>
  </si>
  <si>
    <t>Lorena Teixeira Tavares</t>
  </si>
  <si>
    <t>498.670.006-50</t>
  </si>
  <si>
    <t>lorena.tavares80@icloud.com</t>
  </si>
  <si>
    <t>98771-2593</t>
  </si>
  <si>
    <t>Thaís G. Campos</t>
  </si>
  <si>
    <t>thais.campos16@icloud.com</t>
  </si>
  <si>
    <t>Leonardo Martins Ramos</t>
  </si>
  <si>
    <t>141.910.006-83</t>
  </si>
  <si>
    <t>leonardo.ramos63@gmail.com</t>
  </si>
  <si>
    <t>761.231.759-12</t>
  </si>
  <si>
    <t>emanuel.nunes8@uol.com.br</t>
  </si>
  <si>
    <t>Priscila Campos Freitas</t>
  </si>
  <si>
    <t>priscila.freitas47@hotmail.com</t>
  </si>
  <si>
    <t>Nicolas Campos Machado</t>
  </si>
  <si>
    <t>nicolas.machado70@yahoo.com.br</t>
  </si>
  <si>
    <t>(19) 91424-9824</t>
  </si>
  <si>
    <t>Emanuelly Martins</t>
  </si>
  <si>
    <t>emanuelly.martins31@gmail.com</t>
  </si>
  <si>
    <t>João Campos Rodrigues</t>
  </si>
  <si>
    <t>joao.rodrigues16@hotmail.com</t>
  </si>
  <si>
    <t>Débora Santos Oliveira</t>
  </si>
  <si>
    <t>debora.oliveira81@outlook.com</t>
  </si>
  <si>
    <t>henrique.rocha53@gmail.com</t>
  </si>
  <si>
    <t>Camila Rodrigues</t>
  </si>
  <si>
    <t>479.185.809-31</t>
  </si>
  <si>
    <t>camila.rodrigues70@outlook.com</t>
  </si>
  <si>
    <t>Júlia Martins Fernandes</t>
  </si>
  <si>
    <t>407.806.718-21</t>
  </si>
  <si>
    <t>julia.fernandes15@hotmail.com</t>
  </si>
  <si>
    <t>(11) 99724-9256</t>
  </si>
  <si>
    <t>André Santos</t>
  </si>
  <si>
    <t>andre.santos88@yahoo.com.br</t>
  </si>
  <si>
    <t>(11) 91677-2703</t>
  </si>
  <si>
    <t>Sabrina Costa Farias</t>
  </si>
  <si>
    <t>sabrina.farias36@bol.com.br</t>
  </si>
  <si>
    <t>giovanna.rodrigues25@outlook.com</t>
  </si>
  <si>
    <t>99995-9674</t>
  </si>
  <si>
    <t>Lorena Barbosa</t>
  </si>
  <si>
    <t>lorena.barbosa82@gmail.com</t>
  </si>
  <si>
    <t>Laura Rezende Ribeiro</t>
  </si>
  <si>
    <t>laura.ribeiro24@hotmail.com</t>
  </si>
  <si>
    <t>(11) 94073-5003</t>
  </si>
  <si>
    <t>Guilherme Ribeiro</t>
  </si>
  <si>
    <t>guilherme.ribeiro23@hotmail.com</t>
  </si>
  <si>
    <t>Olívia Rodrigues</t>
  </si>
  <si>
    <t>olivia.rodrigues31@uol.com.br</t>
  </si>
  <si>
    <t>Camila Tavares Ramos</t>
  </si>
  <si>
    <t>672.618.417-49</t>
  </si>
  <si>
    <t>camila.ramos92@gmail.com</t>
  </si>
  <si>
    <t>Nicolas Cardoso Ramos</t>
  </si>
  <si>
    <t>nicolas.ramos1@icloud.com</t>
  </si>
  <si>
    <t>Beatriz Monteiro</t>
  </si>
  <si>
    <t>beatriz.monteiro97@hotmail.com</t>
  </si>
  <si>
    <t>(11) 90907-0356</t>
  </si>
  <si>
    <t>Mariana Lopes Barbosa</t>
  </si>
  <si>
    <t>mariana.barbosa40@outlook.com</t>
  </si>
  <si>
    <t>aline.costa272@hotmail.com</t>
  </si>
  <si>
    <t>Isabela R. Freitas</t>
  </si>
  <si>
    <t>isabela.freitas25@outlook.com</t>
  </si>
  <si>
    <t>rebeca.lima29@uol.com.br</t>
  </si>
  <si>
    <t>93881-8910</t>
  </si>
  <si>
    <t>lorenzo.barros58@outlook.com</t>
  </si>
  <si>
    <t>Luana Silva Andrade</t>
  </si>
  <si>
    <t>luana.andrade28@gmail.com</t>
  </si>
  <si>
    <t>(31) 97047-9720</t>
  </si>
  <si>
    <t>Davi Pinto</t>
  </si>
  <si>
    <t>249.299.071-01</t>
  </si>
  <si>
    <t>davi.pinto52@bol.com.br</t>
  </si>
  <si>
    <t>(62) 98094-1427</t>
  </si>
  <si>
    <t>579.951.166-24</t>
  </si>
  <si>
    <t>marina.rezende302@hotmail.com</t>
  </si>
  <si>
    <t>Letícia Cavalcanti Pinto</t>
  </si>
  <si>
    <t>117.289.655-00</t>
  </si>
  <si>
    <t>Priscila Rodrigues Teixeira</t>
  </si>
  <si>
    <t>(31) 91407-8197</t>
  </si>
  <si>
    <t>337.321.463-75</t>
  </si>
  <si>
    <t>ana.santana83@hotmail.com</t>
  </si>
  <si>
    <t>(31) 98013-3706</t>
  </si>
  <si>
    <t>Juliana Araújo</t>
  </si>
  <si>
    <t>juliana.araujo852@outlook.com</t>
  </si>
  <si>
    <t>(71) 92602-3644</t>
  </si>
  <si>
    <t>Daniel Cardoso</t>
  </si>
  <si>
    <t>472.781.306-89</t>
  </si>
  <si>
    <t>daniel.cardoso43@gmial.com</t>
  </si>
  <si>
    <t>743.883.363-19</t>
  </si>
  <si>
    <t>marcelo.alves238@hotmail.com</t>
  </si>
  <si>
    <t>(41) 93897-9725</t>
  </si>
  <si>
    <t>laura.alves34@gmail.com</t>
  </si>
  <si>
    <t>Eduarda Pereira Machado</t>
  </si>
  <si>
    <t>517.249.753-66</t>
  </si>
  <si>
    <t>eduarda.machado62@gmail.com</t>
  </si>
  <si>
    <t>Hugo Mendes Santana</t>
  </si>
  <si>
    <t>hugo.santana11@yahoo.com.br</t>
  </si>
  <si>
    <t>Yuri Farias</t>
  </si>
  <si>
    <t>yuri.farias91@hotmail.com</t>
  </si>
  <si>
    <t>(11) 97159-8273</t>
  </si>
  <si>
    <t>clara.santana356@icloud.com</t>
  </si>
  <si>
    <t>Matheus Barbosa Ferreira</t>
  </si>
  <si>
    <t>matheus.ferreira37@yahoo.com.br</t>
  </si>
  <si>
    <t>Murilo Almeida Monteiro</t>
  </si>
  <si>
    <t>murilo.monteiro95@gmail.com</t>
  </si>
  <si>
    <t>priscila.moreira62@gmail.com</t>
  </si>
  <si>
    <t>leticia.peixoto51@outlook.com</t>
  </si>
  <si>
    <t>Débora Cavalcanti Santana</t>
  </si>
  <si>
    <t>491.386.424-68</t>
  </si>
  <si>
    <t>debora.santana93@outlook.com</t>
  </si>
  <si>
    <t>Helena Rodrigues</t>
  </si>
  <si>
    <t>408.141.493-91</t>
  </si>
  <si>
    <t>helena.rodrigues81@outlook.com</t>
  </si>
  <si>
    <t>Hugo Oliveira</t>
  </si>
  <si>
    <t>073.070.617-67</t>
  </si>
  <si>
    <t>hugo.oliveira39@bol.com.br</t>
  </si>
  <si>
    <t>94964-9604</t>
  </si>
  <si>
    <t>90789-1387</t>
  </si>
  <si>
    <t>Julia Campos</t>
  </si>
  <si>
    <t>178.686.926-85</t>
  </si>
  <si>
    <t>julia.campos41@gmail.com</t>
  </si>
  <si>
    <t>98031-5331</t>
  </si>
  <si>
    <t>Leticia Pereira Araujo</t>
  </si>
  <si>
    <t>leticia.araujo88@gmail.com</t>
  </si>
  <si>
    <t>(31) 91217-4920</t>
  </si>
  <si>
    <t>caio.rodrigues96@gmail.com</t>
  </si>
  <si>
    <t>152.620.005-84</t>
  </si>
  <si>
    <t>fabio.silva37@yahoo.com.br</t>
  </si>
  <si>
    <t>Thaís Ferreira</t>
  </si>
  <si>
    <t>thais.ferreira949@gmail.com</t>
  </si>
  <si>
    <t>Emanuelly Ferreira</t>
  </si>
  <si>
    <t>emanuelly.ferreira58@icloud.com</t>
  </si>
  <si>
    <t>Tainá Nogueira</t>
  </si>
  <si>
    <t>taina.nogueira29@gmail.com</t>
  </si>
  <si>
    <t>(31) 96887-1490</t>
  </si>
  <si>
    <t>Heloísa Pereira</t>
  </si>
  <si>
    <t>heloisa.pereira56@uol.com.br</t>
  </si>
  <si>
    <t>814.804.968-80</t>
  </si>
  <si>
    <t>Samuel Pereira Oliveira</t>
  </si>
  <si>
    <t>909.446.837-97</t>
  </si>
  <si>
    <t>samuel.oliveira32@outlook.com</t>
  </si>
  <si>
    <t>juliana.batista73@gmail.com</t>
  </si>
  <si>
    <t>(11) 97560-9090</t>
  </si>
  <si>
    <t>Thaís Peixoto Mendes</t>
  </si>
  <si>
    <t>thais.mendes66@gmial.com</t>
  </si>
  <si>
    <t>(31) 97467-8195</t>
  </si>
  <si>
    <t>Murilo Monteiro</t>
  </si>
  <si>
    <t>murilo.monteiro43@gmail.com</t>
  </si>
  <si>
    <t>93003-0730</t>
  </si>
  <si>
    <t>318.627.159-20</t>
  </si>
  <si>
    <t>igor.martins204@gmail.com</t>
  </si>
  <si>
    <t>(41) 93309-2123</t>
  </si>
  <si>
    <t>859.125.565-81</t>
  </si>
  <si>
    <t>marina.santana85@gmail.com</t>
  </si>
  <si>
    <t>leonardo.moura39@gmail.com</t>
  </si>
  <si>
    <t>(41) 90836-9431</t>
  </si>
  <si>
    <t>bernardo.andrade42@gmail.com</t>
  </si>
  <si>
    <t>debora.ribeiro90@hotmail.com</t>
  </si>
  <si>
    <t>ana.goncalves963@hotmail.com</t>
  </si>
  <si>
    <t>Alice Santana Rodrigues</t>
  </si>
  <si>
    <t>alice.rodrigues37@gmail.com</t>
  </si>
  <si>
    <t>Olívia Fonseca Marques</t>
  </si>
  <si>
    <t>olivia.marques9@yahoo.com.br</t>
  </si>
  <si>
    <t>Nicole Araújo Ferreira</t>
  </si>
  <si>
    <t>nicole.ferreira60@hotmail.com</t>
  </si>
  <si>
    <t>694.627.748-11</t>
  </si>
  <si>
    <t>melissa.andrade99@hotmail.com</t>
  </si>
  <si>
    <t>116.945.663-40</t>
  </si>
  <si>
    <t>debora.nunes8@gmail.com</t>
  </si>
  <si>
    <t>602.368.285-50</t>
  </si>
  <si>
    <t>gabriel.teixeira81@gmail.com</t>
  </si>
  <si>
    <t>(11) 95842-7767</t>
  </si>
  <si>
    <t>Isabela Cardoso Batista</t>
  </si>
  <si>
    <t>isabela.batista94@gmail.com</t>
  </si>
  <si>
    <t>Ricardo Pinto Santos</t>
  </si>
  <si>
    <t>667.606.132-52</t>
  </si>
  <si>
    <t>paula.cardoso591@gmail.com</t>
  </si>
  <si>
    <t>Luana Cavalcanti Teixeira</t>
  </si>
  <si>
    <t>luana.teixeira81@bol.com.br</t>
  </si>
  <si>
    <t>Lívia Campos Gonçalves</t>
  </si>
  <si>
    <t>livia.goncalves58@gmail.com</t>
  </si>
  <si>
    <t>André Lima</t>
  </si>
  <si>
    <t>andre.lima57@gmail.com</t>
  </si>
  <si>
    <t>(11) 97519-8970</t>
  </si>
  <si>
    <t>Gabriela Ferreira Campos</t>
  </si>
  <si>
    <t>819.490.237-10</t>
  </si>
  <si>
    <t>(11) 93018-6498</t>
  </si>
  <si>
    <t>Rebeca Oliveira</t>
  </si>
  <si>
    <t>041.341.596-10</t>
  </si>
  <si>
    <t>rebeca.oliveira90@gmail.com</t>
  </si>
  <si>
    <t>Lívia Monteiro Rocha</t>
  </si>
  <si>
    <t>298.352.169-91</t>
  </si>
  <si>
    <t>livia.rocha50@gmail.com</t>
  </si>
  <si>
    <t>93321-0739</t>
  </si>
  <si>
    <t>Kamila Lima Ferreira</t>
  </si>
  <si>
    <t>(11) 94840-9587</t>
  </si>
  <si>
    <t>Heitor Ramos</t>
  </si>
  <si>
    <t>heitor.ramos99@gmail.com</t>
  </si>
  <si>
    <t>Marina Batista Santos</t>
  </si>
  <si>
    <t>marina.santos52@hotmail.com</t>
  </si>
  <si>
    <t>93259-6125</t>
  </si>
  <si>
    <t>sabrina.lopes48@outlook.com</t>
  </si>
  <si>
    <t>(41) 97887-8042</t>
  </si>
  <si>
    <t>Isabela Santos</t>
  </si>
  <si>
    <t>isabela.santos40@hotmail.com</t>
  </si>
  <si>
    <t>(85) 97723-2888</t>
  </si>
  <si>
    <t>Rebeca Cavalcanti</t>
  </si>
  <si>
    <t>117.302.949-04</t>
  </si>
  <si>
    <t>rebeca.cavalcanti19@hotmail.com</t>
  </si>
  <si>
    <t>Miguel Santana</t>
  </si>
  <si>
    <t>miguel.santana4@gmail.com</t>
  </si>
  <si>
    <t>renata.rezende91@gmail.com</t>
  </si>
  <si>
    <t>guilherme.pinto90@gmail.com</t>
  </si>
  <si>
    <t>(62) 97008-1849</t>
  </si>
  <si>
    <t>233.490.468-60</t>
  </si>
  <si>
    <t>carolina.almeida78@bol.com.br</t>
  </si>
  <si>
    <t>Emanuelly Nogueira Fernandes</t>
  </si>
  <si>
    <t>emanuelly.fernandes86@gmail.com</t>
  </si>
  <si>
    <t>(11) 92979-3056</t>
  </si>
  <si>
    <t>Bianca Moura Araújo</t>
  </si>
  <si>
    <t>760.615.281-08</t>
  </si>
  <si>
    <t>bianca.araujo79@gmail.com</t>
  </si>
  <si>
    <t>debora.moura39@outlook.com</t>
  </si>
  <si>
    <t>(41) 94060-1040</t>
  </si>
  <si>
    <t>Melissa Santana Santos</t>
  </si>
  <si>
    <t>melissa.santos42@hotmail.com</t>
  </si>
  <si>
    <t>(31) 96119-3211</t>
  </si>
  <si>
    <t>Cauã Machado</t>
  </si>
  <si>
    <t>caua.machado68@gmail.com</t>
  </si>
  <si>
    <t>(11) 91096-3419</t>
  </si>
  <si>
    <t>Heloisa Vieira</t>
  </si>
  <si>
    <t>heloisa.vieira50@uol.com.br</t>
  </si>
  <si>
    <t>(31) 94042-9498</t>
  </si>
  <si>
    <t>Paulo G. Moura</t>
  </si>
  <si>
    <t>paulo.moura53@gmail.com</t>
  </si>
  <si>
    <t>Vitor Barros Ribeiro</t>
  </si>
  <si>
    <t>286.153.414-19</t>
  </si>
  <si>
    <t>vitor.ribeiro70@gmail.com</t>
  </si>
  <si>
    <t>93243-4156</t>
  </si>
  <si>
    <t>Giovanna Rodrigues Freitas</t>
  </si>
  <si>
    <t>giovanna.freitas36@yahoo.com.br</t>
  </si>
  <si>
    <t>(11) 93521-8554</t>
  </si>
  <si>
    <t>Kamila Freitas Nascimento</t>
  </si>
  <si>
    <t>kamila.nascimento64@gmail.com</t>
  </si>
  <si>
    <t>alexandre.almeida3@hotmail.com</t>
  </si>
  <si>
    <t>(41) 90244-7822</t>
  </si>
  <si>
    <t>Bianca R. Lopes</t>
  </si>
  <si>
    <t>bianca.lopes76@hotmail.com</t>
  </si>
  <si>
    <t>João Souza</t>
  </si>
  <si>
    <t>joao.souza71@hotmail.com</t>
  </si>
  <si>
    <t>97372-0290</t>
  </si>
  <si>
    <t>Kauã Mendes Pinto</t>
  </si>
  <si>
    <t>377.405.336-70</t>
  </si>
  <si>
    <t>kaua.pinto10@gmail.com</t>
  </si>
  <si>
    <t>Olivia Gomes Souza</t>
  </si>
  <si>
    <t>461.505.408-47</t>
  </si>
  <si>
    <t>olivia.souza28@outlook.com</t>
  </si>
  <si>
    <t>beatriz.rocha19@hotmail.com</t>
  </si>
  <si>
    <t>(31) 94106-1010</t>
  </si>
  <si>
    <t>Vitor Souza Lopes</t>
  </si>
  <si>
    <t>068.602.791-41</t>
  </si>
  <si>
    <t>Luana Lopes</t>
  </si>
  <si>
    <t>luana.lopes9@gmail.com</t>
  </si>
  <si>
    <t>Vitória Ramos</t>
  </si>
  <si>
    <t>vitoria.ramos24@gmail.com</t>
  </si>
  <si>
    <t>Gabriela Ribeiro Lopes</t>
  </si>
  <si>
    <t>gabriela.lopes74@uol.com.br</t>
  </si>
  <si>
    <t>(11) 98208-1290</t>
  </si>
  <si>
    <t>renan.santos296@gmail.com</t>
  </si>
  <si>
    <t>Diego Mendes Moura</t>
  </si>
  <si>
    <t>diego.moura46@gmail.com</t>
  </si>
  <si>
    <t>Paulo Soares</t>
  </si>
  <si>
    <t>paulo.soares51@hotmail.com</t>
  </si>
  <si>
    <t>Bruno Nunes Fernandes</t>
  </si>
  <si>
    <t>bruno.fernandes81@gmail.com</t>
  </si>
  <si>
    <t>Henrique Freitas</t>
  </si>
  <si>
    <t>986.942.758-80</t>
  </si>
  <si>
    <t>henrique.freitas91@hotmail.com</t>
  </si>
  <si>
    <t>781.236.563-86</t>
  </si>
  <si>
    <t>murilo.tavares49@icloud.com</t>
  </si>
  <si>
    <t>(19) 99930-5986</t>
  </si>
  <si>
    <t>gabriela.santana53@gmail.com</t>
  </si>
  <si>
    <t>Alexandre Costa</t>
  </si>
  <si>
    <t>615.278.307-05</t>
  </si>
  <si>
    <t>alexandre.costa92@icloud.com</t>
  </si>
  <si>
    <t>Débora Tavares</t>
  </si>
  <si>
    <t>(11) 99967-4737</t>
  </si>
  <si>
    <t>Lorena Pereira</t>
  </si>
  <si>
    <t>lorena.pereira95@gmail.com</t>
  </si>
  <si>
    <t>Valentina Lima Peixoto</t>
  </si>
  <si>
    <t>valentina.peixoto23@outlook.com</t>
  </si>
  <si>
    <t>(11) 93159-8706</t>
  </si>
  <si>
    <t>Lívia Carvalho</t>
  </si>
  <si>
    <t>livia.carvalho71@hotmail.com</t>
  </si>
  <si>
    <t>636.349.482-64</t>
  </si>
  <si>
    <t>emanuel.campos90@hotmail.com</t>
  </si>
  <si>
    <t>(41) 96748-0201</t>
  </si>
  <si>
    <t>igor.santos6@gmail.com</t>
  </si>
  <si>
    <t>Kamila Martins Soares</t>
  </si>
  <si>
    <t>063.296.496-00</t>
  </si>
  <si>
    <t>kamila.soares37@gmail.com</t>
  </si>
  <si>
    <t>(47) 91128-3335</t>
  </si>
  <si>
    <t>lorena.silva64@gmail.com</t>
  </si>
  <si>
    <t>guilherme.cavalcanti13@gmail.com</t>
  </si>
  <si>
    <t>(31) 94399-0027</t>
  </si>
  <si>
    <t>Juliana Souza Dias</t>
  </si>
  <si>
    <t>juliana.dias79@gmail.com</t>
  </si>
  <si>
    <t>95227-8390</t>
  </si>
  <si>
    <t>Helena Rezende Carvalho</t>
  </si>
  <si>
    <t>helena.carvalho66@hotmail.com</t>
  </si>
  <si>
    <t>93493-7819</t>
  </si>
  <si>
    <t>julia.pinto17@gmail.com</t>
  </si>
  <si>
    <t>(11) 94893-4758</t>
  </si>
  <si>
    <t>Mariana Fonseca Ramos</t>
  </si>
  <si>
    <t>mariana.ramos98@yahoo.com.br</t>
  </si>
  <si>
    <t>Melissa Fonseca Pinto</t>
  </si>
  <si>
    <t>162.507.452-20</t>
  </si>
  <si>
    <t>Marina Correia Silva</t>
  </si>
  <si>
    <t>Letícia Araújo Tavares</t>
  </si>
  <si>
    <t>933.797.482-77</t>
  </si>
  <si>
    <t>leticia.tavares94@gmail.com</t>
  </si>
  <si>
    <t>Arthur Araújo</t>
  </si>
  <si>
    <t>arthur.araujo84@hotmail.com</t>
  </si>
  <si>
    <t>99517-5967</t>
  </si>
  <si>
    <t>Daniel Martins Ramos</t>
  </si>
  <si>
    <t>(41) 95380-4698</t>
  </si>
  <si>
    <t>Paula Goncalves</t>
  </si>
  <si>
    <t>747.689.144-97</t>
  </si>
  <si>
    <t>91005-1658</t>
  </si>
  <si>
    <t>Emanuelly Araújo Gomes</t>
  </si>
  <si>
    <t>emanuelly.gomes56@outlook.com</t>
  </si>
  <si>
    <t>pedro.cardoso39@gmail.com</t>
  </si>
  <si>
    <t>bianca.carvalho59@gmail.com</t>
  </si>
  <si>
    <t>livia.moreira42@uol.com.br</t>
  </si>
  <si>
    <t>julia.correia63@bol.com.br</t>
  </si>
  <si>
    <t>99288-7760</t>
  </si>
  <si>
    <t>Caio Peixoto</t>
  </si>
  <si>
    <t>903.762.623-89</t>
  </si>
  <si>
    <t>caio.peixoto79@gmail.com</t>
  </si>
  <si>
    <t>vanessa862@hotmail.com</t>
  </si>
  <si>
    <t>(41) 91644-8412</t>
  </si>
  <si>
    <t>Juliana Lima Souza</t>
  </si>
  <si>
    <t>juliana.souza26@hotmail.com</t>
  </si>
  <si>
    <t>thais.batista2@gmail.com</t>
  </si>
  <si>
    <t>Olivia Almeida Peixoto</t>
  </si>
  <si>
    <t>211.041.530-41</t>
  </si>
  <si>
    <t>olivia.peixoto85@gmail.com</t>
  </si>
  <si>
    <t>96267-9228</t>
  </si>
  <si>
    <t>Vinícius Marques Vieira</t>
  </si>
  <si>
    <t>vinicius.vieira85@bol.com.br</t>
  </si>
  <si>
    <t>Lorenzo Ferreira Barros</t>
  </si>
  <si>
    <t>lorenzo.barros18@yahoo.com.br</t>
  </si>
  <si>
    <t>90606-6223</t>
  </si>
  <si>
    <t>(11) 92762-4444</t>
  </si>
  <si>
    <t>davi.ferreira91@gmial.com</t>
  </si>
  <si>
    <t>(11) 97671-1363</t>
  </si>
  <si>
    <t>735.089.119-93</t>
  </si>
  <si>
    <t>emanuel.lima738@icloud.com</t>
  </si>
  <si>
    <t>mariana.silva68@hotmail.com</t>
  </si>
  <si>
    <t>(11) 92806-6611</t>
  </si>
  <si>
    <t>Lorena Silva Monteiro</t>
  </si>
  <si>
    <t>lorena.monteiro71@gmail.com</t>
  </si>
  <si>
    <t>(41) 98380-1104</t>
  </si>
  <si>
    <t>Heloísa M. Vieira</t>
  </si>
  <si>
    <t>heloisa.vieira22@hotmail.com</t>
  </si>
  <si>
    <t>029.914.324-46</t>
  </si>
  <si>
    <t>vitor.cardoso7@gmail.com</t>
  </si>
  <si>
    <t>91678-5784</t>
  </si>
  <si>
    <t>helena.moura51@gmail.com</t>
  </si>
  <si>
    <t>gabriela202@gmail.com</t>
  </si>
  <si>
    <t>Igor Rocha Santos</t>
  </si>
  <si>
    <t>igor.santos31@outlook.com</t>
  </si>
  <si>
    <t>rafael.mendes88@bol.com.br</t>
  </si>
  <si>
    <t>94989-3321</t>
  </si>
  <si>
    <t>89159709936</t>
  </si>
  <si>
    <t>(11) 96456-9916</t>
  </si>
  <si>
    <t>Gabriela Cardoso Freitas</t>
  </si>
  <si>
    <t>gabriela.freitas32@hotmail.com</t>
  </si>
  <si>
    <t>Beatriz Barros Campos</t>
  </si>
  <si>
    <t>beatriz.campos10@hotmail.com</t>
  </si>
  <si>
    <t>Diego Cavalcanti Nunes</t>
  </si>
  <si>
    <t>diego.nunes47@hotmail.com</t>
  </si>
  <si>
    <t>Fernanda Nascimento Moreira</t>
  </si>
  <si>
    <t>240.891.226-19</t>
  </si>
  <si>
    <t>fernanda.moreira41@outlook.com</t>
  </si>
  <si>
    <t>kamila.ferreira34@gmail.com</t>
  </si>
  <si>
    <t>Vanessa Cardoso Farias</t>
  </si>
  <si>
    <t>vanessa.farias69@yahoo.com.br</t>
  </si>
  <si>
    <t>Rebeca Nunes</t>
  </si>
  <si>
    <t>rebeca.nunes73@outlook.com</t>
  </si>
  <si>
    <t>Carolina Cavalcanti</t>
  </si>
  <si>
    <t>carolina.cavalcanti70@gmial.com</t>
  </si>
  <si>
    <t>923.037.550-00</t>
  </si>
  <si>
    <t>larissa.costa35@gmail.com</t>
  </si>
  <si>
    <t>rodrigo.carvalho79@gmail.com</t>
  </si>
  <si>
    <t>Luana Santana</t>
  </si>
  <si>
    <t>590.107.287-14</t>
  </si>
  <si>
    <t>luana.santana60@hotmail.con</t>
  </si>
  <si>
    <t>Daniel Peixoto</t>
  </si>
  <si>
    <t>daniel.peixoto77@yahoo.com.br</t>
  </si>
  <si>
    <t>Débora Fonseca</t>
  </si>
  <si>
    <t>debora.fonseca83@outlook.com</t>
  </si>
  <si>
    <t>emanuelly.santos4@uol.com.br</t>
  </si>
  <si>
    <t>(11) 95272-6222</t>
  </si>
  <si>
    <t>Arthur Soares Lima</t>
  </si>
  <si>
    <t>arthur.lima96@hotmail.com</t>
  </si>
  <si>
    <t>Vinícius Pinto</t>
  </si>
  <si>
    <t>vinicius.pinto62@outlook.com</t>
  </si>
  <si>
    <t>(11) 92748-2288</t>
  </si>
  <si>
    <t>Caetano Cardoso Freitas</t>
  </si>
  <si>
    <t>419.416.867-45</t>
  </si>
  <si>
    <t>caetano.freitas9@outlook.com</t>
  </si>
  <si>
    <t>Paula Campos</t>
  </si>
  <si>
    <t>(11) 93637-3670</t>
  </si>
  <si>
    <t>Melissa Vieira Carvalho</t>
  </si>
  <si>
    <t>melissa.carvalho75@gmail.com</t>
  </si>
  <si>
    <t>Lucas Barbosa</t>
  </si>
  <si>
    <t>287.200.977-94</t>
  </si>
  <si>
    <t>lucas.barbosa87@uol.com.br</t>
  </si>
  <si>
    <t>117.523.926-71</t>
  </si>
  <si>
    <t>larissa.rocha859@icloud.com</t>
  </si>
  <si>
    <t>Enzo Batista Lima</t>
  </si>
  <si>
    <t>795.314.800-52</t>
  </si>
  <si>
    <t>enzo.lima67@outlook.com</t>
  </si>
  <si>
    <t>Natália Rocha Carvalho</t>
  </si>
  <si>
    <t>616.004.066-30</t>
  </si>
  <si>
    <t>natalia.carvalho41@outlook.com</t>
  </si>
  <si>
    <t>403.966.309-42</t>
  </si>
  <si>
    <t>clara.oliveira16@uol.com.br</t>
  </si>
  <si>
    <t>(71) 91082-1453</t>
  </si>
  <si>
    <t>691.663.539-80</t>
  </si>
  <si>
    <t>rebeca.peixoto88@gmail.com</t>
  </si>
  <si>
    <t>Kauã Silva Barros</t>
  </si>
  <si>
    <t>kaua.barros98@gmail.com</t>
  </si>
  <si>
    <t>Heloísa Costa Oliveira</t>
  </si>
  <si>
    <t>heloisa.oliveira32@hotmail.com</t>
  </si>
  <si>
    <t>eduarda.nascimento37@gmail.com</t>
  </si>
  <si>
    <t>99260-9350</t>
  </si>
  <si>
    <t>Eduardo Marques</t>
  </si>
  <si>
    <t>109.621.304-43</t>
  </si>
  <si>
    <t>eduardo.marques31@hotmail.com</t>
  </si>
  <si>
    <t>(11) 94634-8612</t>
  </si>
  <si>
    <t>Júlia Ramos</t>
  </si>
  <si>
    <t>julia.ramos77@hotmail.com</t>
  </si>
  <si>
    <t>(11) 95972-3250</t>
  </si>
  <si>
    <t>Valentina A. Farias</t>
  </si>
  <si>
    <t>331.721.910-67</t>
  </si>
  <si>
    <t>Julia Fernandes</t>
  </si>
  <si>
    <t>julia.fernandes94@outlook.com</t>
  </si>
  <si>
    <t>(31) 94743-0669</t>
  </si>
  <si>
    <t>Otávio D. Gonçalves</t>
  </si>
  <si>
    <t>905.231.409-83</t>
  </si>
  <si>
    <t>otavio.goncalves51@gmail.com</t>
  </si>
  <si>
    <t>Eduardo Barbosa</t>
  </si>
  <si>
    <t>eduardo.barbosa96@gmail.com</t>
  </si>
  <si>
    <t>99835-4101</t>
  </si>
  <si>
    <t>Júlia C. Ferreira</t>
  </si>
  <si>
    <t>146.594.748-52</t>
  </si>
  <si>
    <t>julia.ferreira95@gmail.com</t>
  </si>
  <si>
    <t>(41) 91359-9189</t>
  </si>
  <si>
    <t>711.437.300-70</t>
  </si>
  <si>
    <t>natalia.ferreira72@hotmail.com</t>
  </si>
  <si>
    <t>João Soares</t>
  </si>
  <si>
    <t>joao.soares22@bol.com.br</t>
  </si>
  <si>
    <t>(11) 99195-6010</t>
  </si>
  <si>
    <t>Sofia Ramos Gomes</t>
  </si>
  <si>
    <t>834.723.993-25</t>
  </si>
  <si>
    <t>(31) 95330-0409</t>
  </si>
  <si>
    <t>Otávio Martins</t>
  </si>
  <si>
    <t>712.277.834-77</t>
  </si>
  <si>
    <t>Valentina Costa</t>
  </si>
  <si>
    <t>036.695.121-10</t>
  </si>
  <si>
    <t>valentina.costa15@bol.com.br</t>
  </si>
  <si>
    <t>Laura Barros Campos</t>
  </si>
  <si>
    <t>011.558.585-06</t>
  </si>
  <si>
    <t>laura.campos27@uol.com.br</t>
  </si>
  <si>
    <t>(51) 95343-6920</t>
  </si>
  <si>
    <t>Lorenzo Nogueira</t>
  </si>
  <si>
    <t>lorenzo.nogueira31@gmail.com</t>
  </si>
  <si>
    <t>Larissa Machado</t>
  </si>
  <si>
    <t>529.202.936-05</t>
  </si>
  <si>
    <t>Enzo Barros Batista</t>
  </si>
  <si>
    <t>enzo.batista6@gmail.com</t>
  </si>
  <si>
    <t>(71) 94504-6781</t>
  </si>
  <si>
    <t>daniela.campos30@yahoo.com.br</t>
  </si>
  <si>
    <t>458.794.139-50</t>
  </si>
  <si>
    <t>yasmin.batista631@uol.com.br</t>
  </si>
  <si>
    <t>(11) 91080-8055</t>
  </si>
  <si>
    <t>Lorena P. Lima</t>
  </si>
  <si>
    <t>807.535.072-34</t>
  </si>
  <si>
    <t>(62) 92193-8149</t>
  </si>
  <si>
    <t>Gabriel Gomes</t>
  </si>
  <si>
    <t>otavio.almeida5@hotmail.com</t>
  </si>
  <si>
    <t>95996-2802</t>
  </si>
  <si>
    <t>Fábio Carvalho Nascimento</t>
  </si>
  <si>
    <t>176.096.983-42</t>
  </si>
  <si>
    <t>fabio.nascimento31@gmial.com</t>
  </si>
  <si>
    <t>Diego Marques</t>
  </si>
  <si>
    <t>434.871.864-46</t>
  </si>
  <si>
    <t>diego.marques10@outlook.com</t>
  </si>
  <si>
    <t>90839-9188</t>
  </si>
  <si>
    <t>Giovanna Tavares</t>
  </si>
  <si>
    <t>(11) 93349-3979</t>
  </si>
  <si>
    <t>Renan Ramos Peixoto</t>
  </si>
  <si>
    <t>871.530.832-43</t>
  </si>
  <si>
    <t>renan.peixoto15@hotmail.com</t>
  </si>
  <si>
    <t>Heitor Dias</t>
  </si>
  <si>
    <t>587.392.198-95</t>
  </si>
  <si>
    <t>heitor.dias35@bol.com.br</t>
  </si>
  <si>
    <t>vitor.ramos25@icloud.com</t>
  </si>
  <si>
    <t>Felipe Batista Mendes</t>
  </si>
  <si>
    <t>felipe.mendes32@icloud.com</t>
  </si>
  <si>
    <t>Jaqueline Mendes Correia</t>
  </si>
  <si>
    <t>jaqueline.correia88@gmail.com</t>
  </si>
  <si>
    <t>Olívia Santana</t>
  </si>
  <si>
    <t>olivia.santana1@hotmail.com</t>
  </si>
  <si>
    <t>(41) 98845-2361</t>
  </si>
  <si>
    <t>pedro.ferreira58@hotmail.com</t>
  </si>
  <si>
    <t>93614-0743</t>
  </si>
  <si>
    <t>Giovanna Fernandes Farias</t>
  </si>
  <si>
    <t>giovanna.farias56@gmail.com</t>
  </si>
  <si>
    <t>Renan Souza Nascimento</t>
  </si>
  <si>
    <t>renan.nascimento92@hotmail.com</t>
  </si>
  <si>
    <t>leticia.pinto842@gmail.com</t>
  </si>
  <si>
    <t>Beatriz Martins Campos</t>
  </si>
  <si>
    <t>beatriz.campos10@outlook.com</t>
  </si>
  <si>
    <t>(11) 92449-7870</t>
  </si>
  <si>
    <t>felipe.costa71@outlook.com</t>
  </si>
  <si>
    <t>(48) 95555-5487</t>
  </si>
  <si>
    <t>Eduarda Moura</t>
  </si>
  <si>
    <t>eduarda.moura1@gmail.com</t>
  </si>
  <si>
    <t>(11) 98818-0691</t>
  </si>
  <si>
    <t>Marina B. Pinto</t>
  </si>
  <si>
    <t>marina.pinto67@uol.com.br</t>
  </si>
  <si>
    <t>emanuelly.ribeiro25@bol.com.br</t>
  </si>
  <si>
    <t>375.686.892-39</t>
  </si>
  <si>
    <t>rafael.freitas80@hotmail.com</t>
  </si>
  <si>
    <t>585.803.238-94</t>
  </si>
  <si>
    <t>beatriz.marques65@gmail.com</t>
  </si>
  <si>
    <t>larissa.teixeira76@gmail.com</t>
  </si>
  <si>
    <t>(11) 97617-7720</t>
  </si>
  <si>
    <t>renata.peixoto28@gmail.com</t>
  </si>
  <si>
    <t>leonardo.moura655@icloud.com</t>
  </si>
  <si>
    <t>(71) 95238-3622</t>
  </si>
  <si>
    <t>Vitória Silva Nascimento</t>
  </si>
  <si>
    <t>vitoria.nascimento42@outlook.com</t>
  </si>
  <si>
    <t>543.847.676-41</t>
  </si>
  <si>
    <t>camila.campos78@hotmail.com</t>
  </si>
  <si>
    <t>(31) 98974-8699</t>
  </si>
  <si>
    <t>Bruna Batista</t>
  </si>
  <si>
    <t>(51) 93950-0932</t>
  </si>
  <si>
    <t>Diego Cardoso</t>
  </si>
  <si>
    <t>630.415.170-51</t>
  </si>
  <si>
    <t>diego.cardoso59@hotmail.com</t>
  </si>
  <si>
    <t>Beatriz Carvalho</t>
  </si>
  <si>
    <t>224.581.047-38</t>
  </si>
  <si>
    <t>beatriz.carvalho23@bol.com.br</t>
  </si>
  <si>
    <t>95197-2209</t>
  </si>
  <si>
    <t>Fernanda Costa Vieira</t>
  </si>
  <si>
    <t>fernanda.vieira21@outlook.com</t>
  </si>
  <si>
    <t>(48) 99144-0032</t>
  </si>
  <si>
    <t>250.126.736-20</t>
  </si>
  <si>
    <t>caio.costa27@hotmail.com</t>
  </si>
  <si>
    <t>Ana Rezende Dias</t>
  </si>
  <si>
    <t>ana.dias60@gmail.com</t>
  </si>
  <si>
    <t>(41) 91982-3844</t>
  </si>
  <si>
    <t>Natália L. Ramos</t>
  </si>
  <si>
    <t>200.663.112-84</t>
  </si>
  <si>
    <t>natalia.ramos54@hotmail.com</t>
  </si>
  <si>
    <t>(11) 96106-9635</t>
  </si>
  <si>
    <t>isabela.ferreira81@uol.com.br</t>
  </si>
  <si>
    <t>(41) 94859-7565</t>
  </si>
  <si>
    <t>701.013.882-68</t>
  </si>
  <si>
    <t>fernanda.nascimento15@outlook.com</t>
  </si>
  <si>
    <t>joao.nascimento12@gmial.com</t>
  </si>
  <si>
    <t>Diego Correia</t>
  </si>
  <si>
    <t>836.396.725-42</t>
  </si>
  <si>
    <t>diego.correia38@outlook.com</t>
  </si>
  <si>
    <t>98627-2866</t>
  </si>
  <si>
    <t>Heitor Gomes Ramos</t>
  </si>
  <si>
    <t>522.955.107-08</t>
  </si>
  <si>
    <t>heitor.ramos32@bol.com.br</t>
  </si>
  <si>
    <t>99975-9072</t>
  </si>
  <si>
    <t>Isabela Lima</t>
  </si>
  <si>
    <t>isabela.lima17@gmail.com</t>
  </si>
  <si>
    <t>Mariana Nascimento</t>
  </si>
  <si>
    <t>750.516.410-07</t>
  </si>
  <si>
    <t>mariana.nascimento85@bol.com.br</t>
  </si>
  <si>
    <t>(31) 97203-6999</t>
  </si>
  <si>
    <t>Taina Araujo</t>
  </si>
  <si>
    <t>taina.araujo67@outlook.com</t>
  </si>
  <si>
    <t>94751-2958</t>
  </si>
  <si>
    <t>Olívia Campos Marques</t>
  </si>
  <si>
    <t>olivia.marques88@yahoo.com.br</t>
  </si>
  <si>
    <t>(71) 93893-7620</t>
  </si>
  <si>
    <t>Felipe Mendes Lopes</t>
  </si>
  <si>
    <t>felipe.lopes37@hotmail.com</t>
  </si>
  <si>
    <t>(11) 93388-0923</t>
  </si>
  <si>
    <t>Ricardo Rocha</t>
  </si>
  <si>
    <t>81846063469</t>
  </si>
  <si>
    <t>ricardo.rocha4@outlook.com</t>
  </si>
  <si>
    <t>41165235005</t>
  </si>
  <si>
    <t>Teo Rocha</t>
  </si>
  <si>
    <t>843.413.748-85</t>
  </si>
  <si>
    <t>teo.rocha43@gmail.com</t>
  </si>
  <si>
    <t>(11) 97342-9091</t>
  </si>
  <si>
    <t>jaqueline.cavalcanti89@outlook.com</t>
  </si>
  <si>
    <t>Luana Alves Farias</t>
  </si>
  <si>
    <t>luana.farias29@gmail.com</t>
  </si>
  <si>
    <t>98642-8599</t>
  </si>
  <si>
    <t>Aline Mendes</t>
  </si>
  <si>
    <t>aline.mendes34@gmail.com</t>
  </si>
  <si>
    <t>(48) 97834-1122</t>
  </si>
  <si>
    <t>renata.cavalcanti6@outlook.com</t>
  </si>
  <si>
    <t>rafaela.batista58@outlook.com</t>
  </si>
  <si>
    <t>(31) 96032-4103</t>
  </si>
  <si>
    <t>Pedro Cavalcanti Campos</t>
  </si>
  <si>
    <t>252.445.038-47</t>
  </si>
  <si>
    <t>pedro.campos36@gmail.com</t>
  </si>
  <si>
    <t>(85) 92890-3841</t>
  </si>
  <si>
    <t>Yuri Dias Pinto</t>
  </si>
  <si>
    <t>yuri.pinto25@bol.com.br</t>
  </si>
  <si>
    <t>Gabriela Moreira Monteiro</t>
  </si>
  <si>
    <t>(31) 98527-9919</t>
  </si>
  <si>
    <t>Manuela Barbosa</t>
  </si>
  <si>
    <t>manuela.barbosa28@icloud.com</t>
  </si>
  <si>
    <t>(11) 90634-5438</t>
  </si>
  <si>
    <t>lorenzo331@yahoo.com.br</t>
  </si>
  <si>
    <t>(11) 94212-8039</t>
  </si>
  <si>
    <t>Bruno Rezende</t>
  </si>
  <si>
    <t>018.749.807-56</t>
  </si>
  <si>
    <t>bruno.rezende30@gmail.com</t>
  </si>
  <si>
    <t>Otávio Campos Batista</t>
  </si>
  <si>
    <t>otavio.batista49@gmail.com</t>
  </si>
  <si>
    <t>(41) 98340-9571</t>
  </si>
  <si>
    <t>Nicole Oliveira</t>
  </si>
  <si>
    <t>nicole.oliveira45@gmail.com</t>
  </si>
  <si>
    <t>Aline C. Gomes</t>
  </si>
  <si>
    <t>838.178.990-76</t>
  </si>
  <si>
    <t>aline.gomes5@gmail.com</t>
  </si>
  <si>
    <t>Vitória Fernandes</t>
  </si>
  <si>
    <t>vitoria.fernandes8@gmail.com</t>
  </si>
  <si>
    <t>98204-9300</t>
  </si>
  <si>
    <t>Bruna Ramos</t>
  </si>
  <si>
    <t>bruna.ramos40@hotmail.com</t>
  </si>
  <si>
    <t>(85) 98123-6273</t>
  </si>
  <si>
    <t>Emanuel Santana</t>
  </si>
  <si>
    <t>831.047.020-71</t>
  </si>
  <si>
    <t>emanuel.santana53@outlook.com</t>
  </si>
  <si>
    <t>Bianca Mendes Monteiro</t>
  </si>
  <si>
    <t>bianca.monteiro69@gmail.com</t>
  </si>
  <si>
    <t>(41) 96586-9641</t>
  </si>
  <si>
    <t>639.431.259-20</t>
  </si>
  <si>
    <t>Tainá Martins</t>
  </si>
  <si>
    <t>907.205.096-70</t>
  </si>
  <si>
    <t>taina.martins65@gmail.com</t>
  </si>
  <si>
    <t>93540-9481</t>
  </si>
  <si>
    <t>Cauã Pereira Fernandes</t>
  </si>
  <si>
    <t>982.555.945-40</t>
  </si>
  <si>
    <t>caua.fernandes91@gmail.com</t>
  </si>
  <si>
    <t>90087-0377</t>
  </si>
  <si>
    <t>Bianca Alves Ramos</t>
  </si>
  <si>
    <t>543.152.488-78</t>
  </si>
  <si>
    <t>bianca.ramos99@yahoo.com.br</t>
  </si>
  <si>
    <t>renata.tavares97@outlook.com</t>
  </si>
  <si>
    <t>caetano.pinto29@gmail.com</t>
  </si>
  <si>
    <t>Felipe Cardoso</t>
  </si>
  <si>
    <t>felipe.cardoso41@gmail.com</t>
  </si>
  <si>
    <t>Thaís Marques Lima</t>
  </si>
  <si>
    <t>937.850.296-24</t>
  </si>
  <si>
    <t>thais.lima24@bol.com.br</t>
  </si>
  <si>
    <t>Bruno Araújo Ribeiro</t>
  </si>
  <si>
    <t>bruno.ribeiro99@gmail.com</t>
  </si>
  <si>
    <t>lucas.vieira11@gmail.com</t>
  </si>
  <si>
    <t>Hugo Peixoto</t>
  </si>
  <si>
    <t>hugo.peixoto18@uol.com.br</t>
  </si>
  <si>
    <t>rodrigo.barros87@icloud.com</t>
  </si>
  <si>
    <t>Olivia Monteiro Ribeiro</t>
  </si>
  <si>
    <t>olivia.ribeiro60@uol.com.br</t>
  </si>
  <si>
    <t>92072-4332</t>
  </si>
  <si>
    <t>Juliana Tavares</t>
  </si>
  <si>
    <t>juliana.tavares72@outlook.com</t>
  </si>
  <si>
    <t>Valentina B. Ferreira</t>
  </si>
  <si>
    <t>valentina.ferreira44@outlook.com</t>
  </si>
  <si>
    <t>(11) 98655-7204</t>
  </si>
  <si>
    <t>Breno Moura Batista</t>
  </si>
  <si>
    <t>breno.batista67@outlook.com</t>
  </si>
  <si>
    <t>(31) 95987-6739</t>
  </si>
  <si>
    <t>Fábio Gomes Cavalcanti</t>
  </si>
  <si>
    <t>fabio.cavalcanti62@gmail.com</t>
  </si>
  <si>
    <t>Giovanna Carvalho</t>
  </si>
  <si>
    <t>giovanna.carvalho99@gmail.com</t>
  </si>
  <si>
    <t>Enzo Carvalho</t>
  </si>
  <si>
    <t>enzo.carvalho42@gmail.com</t>
  </si>
  <si>
    <t>Fernanda Moreira Nogueira</t>
  </si>
  <si>
    <t>852.019.474-50</t>
  </si>
  <si>
    <t>fernanda.nogueira50@hotmail.com</t>
  </si>
  <si>
    <t>Eduardo Lima Ribeiro</t>
  </si>
  <si>
    <t>711.452.810-87</t>
  </si>
  <si>
    <t>eduardo.ribeiro30@hotmail.com</t>
  </si>
  <si>
    <t>(11) 93841-5673</t>
  </si>
  <si>
    <t>João Rezende Lima</t>
  </si>
  <si>
    <t>957.315.413-03</t>
  </si>
  <si>
    <t>joao.lima39@gmail.com</t>
  </si>
  <si>
    <t>(11) 92627-2706</t>
  </si>
  <si>
    <t>leonardo.monteiro15@hotmail.com</t>
  </si>
  <si>
    <t>Luana Batista</t>
  </si>
  <si>
    <t>809.024.949-37</t>
  </si>
  <si>
    <t>Bianca Gomes</t>
  </si>
  <si>
    <t>bianca.gomes98@outlook.com</t>
  </si>
  <si>
    <t>Emanuelly Barbosa Moreira</t>
  </si>
  <si>
    <t>769.770.814-06</t>
  </si>
  <si>
    <t>emanuelly.moreira37@gmail.com</t>
  </si>
  <si>
    <t>Gabriela Moreira Teixeira</t>
  </si>
  <si>
    <t>gabriela.teixeira45@gmail.com</t>
  </si>
  <si>
    <t>Olívia Freitas Rodrigues</t>
  </si>
  <si>
    <t>olivia.rodrigues85@gmail.com</t>
  </si>
  <si>
    <t>197.768.990-64</t>
  </si>
  <si>
    <t>Bruna Santos</t>
  </si>
  <si>
    <t>bruna.santos4@outlook.com</t>
  </si>
  <si>
    <t>gabriela.monteiro30@uol.com.br</t>
  </si>
  <si>
    <t>(11) 99154-8872</t>
  </si>
  <si>
    <t>660.725.926-00</t>
  </si>
  <si>
    <t>ricardo.santana24@outlook.com</t>
  </si>
  <si>
    <t>(11) 93629-5013</t>
  </si>
  <si>
    <t>Gustavo Peixoto Santana</t>
  </si>
  <si>
    <t>Pedro Correia Barros</t>
  </si>
  <si>
    <t>028.174.981-78</t>
  </si>
  <si>
    <t>pedro.barros96@outlook.com</t>
  </si>
  <si>
    <t>(71) 94610-8867</t>
  </si>
  <si>
    <t>(31) 97868-8142</t>
  </si>
  <si>
    <t>Sabrina Andrade</t>
  </si>
  <si>
    <t>415.275.576-85</t>
  </si>
  <si>
    <t>sabrina.andrade80@gmail.com</t>
  </si>
  <si>
    <t>Paula Fonseca Correia</t>
  </si>
  <si>
    <t>paula.correia96@hotmail.com</t>
  </si>
  <si>
    <t>Vinícius Machado</t>
  </si>
  <si>
    <t>vinicius.machado68@gmail.com</t>
  </si>
  <si>
    <t>003.237.529-85</t>
  </si>
  <si>
    <t>gabriela.ferreira71@yahoo.com.br</t>
  </si>
  <si>
    <t>91971-5164</t>
  </si>
  <si>
    <t>Matheus Nogueira</t>
  </si>
  <si>
    <t>940.430.106-05</t>
  </si>
  <si>
    <t>matheus.nogueira25@gmail.com</t>
  </si>
  <si>
    <t>(11) 99554-5113</t>
  </si>
  <si>
    <t>Caio Araujo Teixeira</t>
  </si>
  <si>
    <t>caio.teixeira5@gmail.com</t>
  </si>
  <si>
    <t>98783-4509</t>
  </si>
  <si>
    <t>996.970.918-62</t>
  </si>
  <si>
    <t>daniela.machado92@gmail.com</t>
  </si>
  <si>
    <t>(31) 92750-2780</t>
  </si>
  <si>
    <t>Cecília Rocha</t>
  </si>
  <si>
    <t>cecilia.rocha81@gmail.com</t>
  </si>
  <si>
    <t>(11) 92335-1443</t>
  </si>
  <si>
    <t>Gabriel Silva Ramos</t>
  </si>
  <si>
    <t>gabriel.ramos17@gmail.com</t>
  </si>
  <si>
    <t>Yasmin Teixeira</t>
  </si>
  <si>
    <t>yasmin.teixeira17@gmail.com</t>
  </si>
  <si>
    <t>90332-1673</t>
  </si>
  <si>
    <t>Igor Vieira Rodrigues</t>
  </si>
  <si>
    <t>igor.rodrigues88@yahoo.com.br</t>
  </si>
  <si>
    <t>Débora Pereira</t>
  </si>
  <si>
    <t>024.863.400-33</t>
  </si>
  <si>
    <t>(11) 90867-5664</t>
  </si>
  <si>
    <t>miguel.carvalho77@hotmail.com</t>
  </si>
  <si>
    <t>97571-8605</t>
  </si>
  <si>
    <t>Bruna Alves Teixeira</t>
  </si>
  <si>
    <t>bruna.teixeira34@icloud.com</t>
  </si>
  <si>
    <t>Rafael Soares Campos</t>
  </si>
  <si>
    <t>620.680.634-09</t>
  </si>
  <si>
    <t>rafael.campos5@bol.com.br</t>
  </si>
  <si>
    <t>Cecília Alves</t>
  </si>
  <si>
    <t>528.758.595-01</t>
  </si>
  <si>
    <t>cecilia.alves43@gmail.com</t>
  </si>
  <si>
    <t>(11) 98376-0022</t>
  </si>
  <si>
    <t>marina.fonseca12@uol.com.br</t>
  </si>
  <si>
    <t>Lívia Lopes Correia</t>
  </si>
  <si>
    <t>Enzo Ramos</t>
  </si>
  <si>
    <t>896.665.731-13</t>
  </si>
  <si>
    <t>enzo.ramos8@outlook.com</t>
  </si>
  <si>
    <t>Olívia Andrade</t>
  </si>
  <si>
    <t>olivia.andrade47@icloud.com</t>
  </si>
  <si>
    <t>Débora Peixoto Oliveira</t>
  </si>
  <si>
    <t>579.347.479-07</t>
  </si>
  <si>
    <t>debora.oliveira69@gmail.com</t>
  </si>
  <si>
    <t>natalia.gomes10@outlook.com</t>
  </si>
  <si>
    <t>95065-3990</t>
  </si>
  <si>
    <t>helena.freitas56@gmail.com</t>
  </si>
  <si>
    <t>(41) 98464-0109</t>
  </si>
  <si>
    <t>Gustavo A. Farias</t>
  </si>
  <si>
    <t>gustavo.farias62@bol.com.br</t>
  </si>
  <si>
    <t>(62) 95109-4693</t>
  </si>
  <si>
    <t>Kauã Dias Andrade</t>
  </si>
  <si>
    <t>kaua.andrade26@gmail.com</t>
  </si>
  <si>
    <t>Melissa Farias Fonseca</t>
  </si>
  <si>
    <t>melissa.fonseca91@uol.com.br</t>
  </si>
  <si>
    <t>Bruna Fonseca Santana</t>
  </si>
  <si>
    <t>bruna.santana10@gmail.com</t>
  </si>
  <si>
    <t>(51) 90226-4255</t>
  </si>
  <si>
    <t>heloisa.ferreira95@hotmail.com</t>
  </si>
  <si>
    <t>Luana Ferreira Santos</t>
  </si>
  <si>
    <t>luana.santos23@gmail.com</t>
  </si>
  <si>
    <t>600.694.691-21</t>
  </si>
  <si>
    <t>leticia.andrade95@outlook.com</t>
  </si>
  <si>
    <t>(47) 94690-6213</t>
  </si>
  <si>
    <t>Laura Peixoto</t>
  </si>
  <si>
    <t>laura.peixoto91@gmail.com</t>
  </si>
  <si>
    <t>Heloísa Barbosa Gonçalves</t>
  </si>
  <si>
    <t>heloisa.goncalves54@hotmail.com</t>
  </si>
  <si>
    <t>Clara Tavares Santana</t>
  </si>
  <si>
    <t>976.548.106-36</t>
  </si>
  <si>
    <t>clara.santana14@outlook.com</t>
  </si>
  <si>
    <t>Wesley F. Santana</t>
  </si>
  <si>
    <t>(41) 98125-6645</t>
  </si>
  <si>
    <t>Valentina Monteiro Rodrigues</t>
  </si>
  <si>
    <t>valentina.rodrigues54@outlook.com</t>
  </si>
  <si>
    <t>Rodrigo Carvalho</t>
  </si>
  <si>
    <t>rodrigo.carvalho55@bol.com.br</t>
  </si>
  <si>
    <t>99807-9007</t>
  </si>
  <si>
    <t>Matheus Nogueira Ferreira</t>
  </si>
  <si>
    <t>664.748.639-94</t>
  </si>
  <si>
    <t>matheus.ferreira97@hotmail.com</t>
  </si>
  <si>
    <t>(11) 90429-6274</t>
  </si>
  <si>
    <t>Vitória Peixoto Marques</t>
  </si>
  <si>
    <t>vitoria.marques27@gmail.com</t>
  </si>
  <si>
    <t>(41) 91303-4246</t>
  </si>
  <si>
    <t>Teo M. Alves</t>
  </si>
  <si>
    <t>teo.alves73@bol.com.br</t>
  </si>
  <si>
    <t>(11) 96910-1577</t>
  </si>
  <si>
    <t>Cauã Santos Ribeiro</t>
  </si>
  <si>
    <t>caua.ribeiro11@hotmail.com</t>
  </si>
  <si>
    <t>(31) 97678-1903</t>
  </si>
  <si>
    <t>Luan Peixoto Soares</t>
  </si>
  <si>
    <t>luan.soares60@yahoo.com.br</t>
  </si>
  <si>
    <t>Olívia Alves</t>
  </si>
  <si>
    <t>(41) 90763-4118</t>
  </si>
  <si>
    <t>Leonardo Ribeiro</t>
  </si>
  <si>
    <t>leonardo.ribeiro36@gmail.com</t>
  </si>
  <si>
    <t>heitor.lima295@hotmail.com</t>
  </si>
  <si>
    <t>daniela.barbosa44@outlook.com</t>
  </si>
  <si>
    <t>(71) 98548-9037</t>
  </si>
  <si>
    <t>Vanessa Ribeiro</t>
  </si>
  <si>
    <t>vanessa.ribeiro79@yahoo.com.br</t>
  </si>
  <si>
    <t>(48) 92600-2695</t>
  </si>
  <si>
    <t>Sofia Soares Cavalcanti</t>
  </si>
  <si>
    <t>sofia.cavalcanti60@hotmail.com</t>
  </si>
  <si>
    <t>92753-2911</t>
  </si>
  <si>
    <t>Emanuel Moreira</t>
  </si>
  <si>
    <t>325.727.003-87</t>
  </si>
  <si>
    <t>emanuel.moreira38@outlook.com</t>
  </si>
  <si>
    <t>Carolina R. Moreira</t>
  </si>
  <si>
    <t>carolina.moreira61@outlook.com</t>
  </si>
  <si>
    <t>bruna.silva46@bol.com.br</t>
  </si>
  <si>
    <t>caua.pinto37@hotmail.com</t>
  </si>
  <si>
    <t>Eduarda Vieira Nascimento</t>
  </si>
  <si>
    <t>298.879.138-47</t>
  </si>
  <si>
    <t>eduarda.nascimento62@outlook.com</t>
  </si>
  <si>
    <t>Matheus Rezende</t>
  </si>
  <si>
    <t>matheus.rezende11@hotmail.com</t>
  </si>
  <si>
    <t>97246-9357</t>
  </si>
  <si>
    <t>Clara Ramos</t>
  </si>
  <si>
    <t>clara.ramos23@icloud.com</t>
  </si>
  <si>
    <t>(31) 95445-1752</t>
  </si>
  <si>
    <t>Marcelo Gonçalves</t>
  </si>
  <si>
    <t>(41) 99990-8934</t>
  </si>
  <si>
    <t>773.659.614-06</t>
  </si>
  <si>
    <t>murilo.moura841@outlook.com</t>
  </si>
  <si>
    <t>(11) 93967-9385</t>
  </si>
  <si>
    <t>Luana Fonseca Almeida</t>
  </si>
  <si>
    <t>Ana Gomes</t>
  </si>
  <si>
    <t>954.768.436-12</t>
  </si>
  <si>
    <t>ana.gomes49@gmail.com</t>
  </si>
  <si>
    <t>(11) 93032-6406</t>
  </si>
  <si>
    <t>Heitor Mendes</t>
  </si>
  <si>
    <t>heitor.mendes6@hotmail.com</t>
  </si>
  <si>
    <t>ricardo.lopes12@gmail.com</t>
  </si>
  <si>
    <t>97172-2605</t>
  </si>
  <si>
    <t>Marina Fernandes</t>
  </si>
  <si>
    <t>marina.fernandes12@gmail.com</t>
  </si>
  <si>
    <t>Ícaro Carvalho Santos</t>
  </si>
  <si>
    <t>icaro.santos63@gmail.com</t>
  </si>
  <si>
    <t>(11) 96355-7284</t>
  </si>
  <si>
    <t>Natália Teixeira Moreira</t>
  </si>
  <si>
    <t>natalia.moreira72@yahoo.com.br</t>
  </si>
  <si>
    <t>Nicolas A. Moura</t>
  </si>
  <si>
    <t>nicolas.moura8@hotmail.com</t>
  </si>
  <si>
    <t>271.995.160-96</t>
  </si>
  <si>
    <t>sabrina.correia64@gmail.com</t>
  </si>
  <si>
    <t>(31) 99762-9982</t>
  </si>
  <si>
    <t>vitoria.farias725@gmail.com</t>
  </si>
  <si>
    <t>(11) 95469-4108</t>
  </si>
  <si>
    <t>marina.silva517@gmail.com</t>
  </si>
  <si>
    <t>Letícia Vieira</t>
  </si>
  <si>
    <t>leticia.vieira17@hotmail.com</t>
  </si>
  <si>
    <t>93941-4706</t>
  </si>
  <si>
    <t>Carolina Ribeiro Peixoto</t>
  </si>
  <si>
    <t>009.654.857-65</t>
  </si>
  <si>
    <t>carolina.peixoto1@gmail.com</t>
  </si>
  <si>
    <t>(41) 93835-3709</t>
  </si>
  <si>
    <t>nicolas.moreira10@bol.com.br</t>
  </si>
  <si>
    <t>(31) 97366-4537</t>
  </si>
  <si>
    <t>Luana Alves</t>
  </si>
  <si>
    <t>luana.alves82@gmail.com</t>
  </si>
  <si>
    <t>larissa.pinto14@uol.com.br</t>
  </si>
  <si>
    <t>98424-8684</t>
  </si>
  <si>
    <t>paulo.andrade16@gmail.com</t>
  </si>
  <si>
    <t>André R. Batista</t>
  </si>
  <si>
    <t>andre.batista39@icloud.com</t>
  </si>
  <si>
    <t>94402-5833</t>
  </si>
  <si>
    <t>Nicolas Almeida</t>
  </si>
  <si>
    <t>nicolas.almeida72@hotmail.com</t>
  </si>
  <si>
    <t>(41) 93482-1422</t>
  </si>
  <si>
    <t>Bianca Peixoto</t>
  </si>
  <si>
    <t>bianca.peixoto81@hotmail.com</t>
  </si>
  <si>
    <t>95562-3419</t>
  </si>
  <si>
    <t>alexandre504@gmail.com</t>
  </si>
  <si>
    <t>Marcelo Carvalho Cavalcanti</t>
  </si>
  <si>
    <t>marcelo.cavalcanti21@outlook.com</t>
  </si>
  <si>
    <t>vinicius.andrade20@hotmail.com</t>
  </si>
  <si>
    <t>(11) 94380-1593</t>
  </si>
  <si>
    <t>debora.rezende26@outlook.com</t>
  </si>
  <si>
    <t>fernanda.vieira20@uol.com.br</t>
  </si>
  <si>
    <t>Vanessa Peixoto</t>
  </si>
  <si>
    <t>vanessa.peixoto63@hotmail.com</t>
  </si>
  <si>
    <t>daniela.andrade33@gmail.com</t>
  </si>
  <si>
    <t>94403-5132</t>
  </si>
  <si>
    <t>Paula Rocha Rezende</t>
  </si>
  <si>
    <t>109.063.691-18</t>
  </si>
  <si>
    <t>paula.rezende13@uol.com.br</t>
  </si>
  <si>
    <t>(11) 93935-6930</t>
  </si>
  <si>
    <t>Eduarda Nascimento Pinto</t>
  </si>
  <si>
    <t>731.658.073-96</t>
  </si>
  <si>
    <t>eduarda.pinto52@outlook.com</t>
  </si>
  <si>
    <t>Beatriz Andrade</t>
  </si>
  <si>
    <t>beatriz.andrade79@gmail.com</t>
  </si>
  <si>
    <t>(11) 93381-3838</t>
  </si>
  <si>
    <t>Cecília Ferreira</t>
  </si>
  <si>
    <t>cecilia.ferreira87@hotmail.com</t>
  </si>
  <si>
    <t>(31) 92261-5467</t>
  </si>
  <si>
    <t>Pedro Souza Carvalho</t>
  </si>
  <si>
    <t>480.140.802-89</t>
  </si>
  <si>
    <t>pedro.carvalho93@outlook.com</t>
  </si>
  <si>
    <t>Arthur Ferreira Pinto</t>
  </si>
  <si>
    <t>arthur.pinto43@gmail.com</t>
  </si>
  <si>
    <t>Eduardo Andrade</t>
  </si>
  <si>
    <t>eduardo.andrade21@hotmail.com</t>
  </si>
  <si>
    <t>Laura Rezende</t>
  </si>
  <si>
    <t>laura.rezende1@gmail.com</t>
  </si>
  <si>
    <t>eduardo.lima50@icloud.com</t>
  </si>
  <si>
    <t>91388-2829</t>
  </si>
  <si>
    <t>Guilherme Moura Souza</t>
  </si>
  <si>
    <t>guilherme.souza78@gmail.com</t>
  </si>
  <si>
    <t>(31) 94130-1346</t>
  </si>
  <si>
    <t>Daniel Cavalcanti</t>
  </si>
  <si>
    <t>daniel.cavalcanti99@hotmail.com</t>
  </si>
  <si>
    <t>96952-0795</t>
  </si>
  <si>
    <t>Tainá Gomes Vieira</t>
  </si>
  <si>
    <t>taina.vieira44@gmail.com</t>
  </si>
  <si>
    <t>(11) 96185-6470</t>
  </si>
  <si>
    <t>Valentina B. Monteiro</t>
  </si>
  <si>
    <t>valentina.monteiro27@gmail.com</t>
  </si>
  <si>
    <t>Camila Teixeira</t>
  </si>
  <si>
    <t>camila.teixeira42@icloud.com</t>
  </si>
  <si>
    <t>(11) 98047-4482</t>
  </si>
  <si>
    <t>marcelo.tavares24@gmail.com</t>
  </si>
  <si>
    <t>giovanna.ferreira684@icloud.com</t>
  </si>
  <si>
    <t>(41) 94774-5836</t>
  </si>
  <si>
    <t>Olívia Martins</t>
  </si>
  <si>
    <t>olivia.martins73@outlook.com</t>
  </si>
  <si>
    <t>Hugo Monteiro Soares</t>
  </si>
  <si>
    <t>hugo.soares2@gmail.com</t>
  </si>
  <si>
    <t>(61) 95603-0045</t>
  </si>
  <si>
    <t>Rafaela Fonseca</t>
  </si>
  <si>
    <t>rafaela.fonseca69@hotmail.com</t>
  </si>
  <si>
    <t>Gabriela Rodrigues Campos</t>
  </si>
  <si>
    <t>gabriela.campos24@outlook.com</t>
  </si>
  <si>
    <t>bruno.cardoso58@bol.com.br</t>
  </si>
  <si>
    <t>Leonardo Ramos</t>
  </si>
  <si>
    <t>leonardo.ramos37@gmail.com</t>
  </si>
  <si>
    <t>899.372.335-42</t>
  </si>
  <si>
    <t>yuri.gomes53@uol.com.br</t>
  </si>
  <si>
    <t>ana.gomes90@gmail.com</t>
  </si>
  <si>
    <t>Daniela Barros Santana</t>
  </si>
  <si>
    <t>219.370.252-76</t>
  </si>
  <si>
    <t>daniela.santana96@yahoo.com.br</t>
  </si>
  <si>
    <t>92021-6159</t>
  </si>
  <si>
    <t>Eduarda Peixoto Gonçalves</t>
  </si>
  <si>
    <t>362.023.524-42</t>
  </si>
  <si>
    <t>eduarda.goncalves16@gmail.com</t>
  </si>
  <si>
    <t>(41) 96998-4672</t>
  </si>
  <si>
    <t>Cecília Correia</t>
  </si>
  <si>
    <t>cecilia.correia54@gmail.com</t>
  </si>
  <si>
    <t>97918-0488</t>
  </si>
  <si>
    <t>335.192.496-85</t>
  </si>
  <si>
    <t>emanuel.moura97@gmail.com</t>
  </si>
  <si>
    <t>345.786.103-06</t>
  </si>
  <si>
    <t>ana.nogueira91@outlook.com</t>
  </si>
  <si>
    <t>(11) 91604-8494</t>
  </si>
  <si>
    <t>Matheus Nunes Pereira</t>
  </si>
  <si>
    <t>matheus.pereira59@outlook.com</t>
  </si>
  <si>
    <t>(31) 98520-2982</t>
  </si>
  <si>
    <t>Pedro Tavares Rodrigues</t>
  </si>
  <si>
    <t>pedro.rodrigues78@outlook.com</t>
  </si>
  <si>
    <t>Julia Soares Nogueira</t>
  </si>
  <si>
    <t>julia.nogueira55@gmail.com</t>
  </si>
  <si>
    <t>Sofia Tavares Batista</t>
  </si>
  <si>
    <t>sofia.batista51@uol.com.br</t>
  </si>
  <si>
    <t>(11) 97698-8305</t>
  </si>
  <si>
    <t>160.500.941-52</t>
  </si>
  <si>
    <t>helena.gomes52@icloud.com</t>
  </si>
  <si>
    <t>Helena Fonseca Mendes</t>
  </si>
  <si>
    <t>545.679.806-97</t>
  </si>
  <si>
    <t>helena.mendes16@gmail.com</t>
  </si>
  <si>
    <t>(31) 98135-9022</t>
  </si>
  <si>
    <t>Henrique O. Cavalcanti</t>
  </si>
  <si>
    <t>henrique.cavalcanti23@gmail.com</t>
  </si>
  <si>
    <t>Natália Nunes</t>
  </si>
  <si>
    <t>(41) 92495-3446</t>
  </si>
  <si>
    <t>Breno Nunes Marques</t>
  </si>
  <si>
    <t>breno.marques39@gmail.com</t>
  </si>
  <si>
    <t>102.826.590-56</t>
  </si>
  <si>
    <t>gustavo.gomes31@gmail.com</t>
  </si>
  <si>
    <t>Cecília Carvalho Pinto</t>
  </si>
  <si>
    <t>079.973.439-03</t>
  </si>
  <si>
    <t>cecilia.pinto50@outlook.com</t>
  </si>
  <si>
    <t>taina.santos67@hotmail.com</t>
  </si>
  <si>
    <t>Ricardo Rocha Batista</t>
  </si>
  <si>
    <t>298.913.015-24</t>
  </si>
  <si>
    <t>ricardo.batista56@outlook.com</t>
  </si>
  <si>
    <t>(11) 98418-7821</t>
  </si>
  <si>
    <t>Melissa Nascimento Araújo</t>
  </si>
  <si>
    <t>melissa.araujo87@icloud.com</t>
  </si>
  <si>
    <t>(41) 95737-2394</t>
  </si>
  <si>
    <t>Clara Barbosa</t>
  </si>
  <si>
    <t>696.669.851-28</t>
  </si>
  <si>
    <t>clara.barbosa15@hotmail.com</t>
  </si>
  <si>
    <t>(11) 99012-0101</t>
  </si>
  <si>
    <t>Lívia Freitas Campos</t>
  </si>
  <si>
    <t>livia.campos1@hotmail.com</t>
  </si>
  <si>
    <t>(41) 90825-4021</t>
  </si>
  <si>
    <t>Lorena Martins Rodrigues</t>
  </si>
  <si>
    <t>078.082.003-79</t>
  </si>
  <si>
    <t>lorena.rodrigues97@gmail.com</t>
  </si>
  <si>
    <t>(41) 91712-9151</t>
  </si>
  <si>
    <t>Letícia Rocha Santana</t>
  </si>
  <si>
    <t>850.147.731-17</t>
  </si>
  <si>
    <t>leticia.santana73@icloud.com</t>
  </si>
  <si>
    <t>91763-1864</t>
  </si>
  <si>
    <t>Heloísa Vieira Moura</t>
  </si>
  <si>
    <t>heloisa.moura77@bol.com.br</t>
  </si>
  <si>
    <t>Matheus M. Barbosa</t>
  </si>
  <si>
    <t>matheus.barbosa53@uol.com.br</t>
  </si>
  <si>
    <t>Ricardo Vieira Nunes</t>
  </si>
  <si>
    <t>082.082.172-12</t>
  </si>
  <si>
    <t>ricardo.nunes17@bol.com.br</t>
  </si>
  <si>
    <t>284.751.010-97</t>
  </si>
  <si>
    <t>melissa.ferreira16@gmail.com</t>
  </si>
  <si>
    <t>(31) 91894-1441</t>
  </si>
  <si>
    <t>994.039.246-08</t>
  </si>
  <si>
    <t>93995-7288</t>
  </si>
  <si>
    <t>miguel.nunes17@gmail.com</t>
  </si>
  <si>
    <t>Rafaela Nogueira Lopes</t>
  </si>
  <si>
    <t>rafaela.lopes97@hotmail.com</t>
  </si>
  <si>
    <t>(31) 99689-5164</t>
  </si>
  <si>
    <t>Ana Barbosa Moura</t>
  </si>
  <si>
    <t>781.460.955-00</t>
  </si>
  <si>
    <t>ana.moura4@gmail.com</t>
  </si>
  <si>
    <t>(31) 92132-1004</t>
  </si>
  <si>
    <t>Guilherme Pinto Dias</t>
  </si>
  <si>
    <t>guilherme.dias36@gmial.com</t>
  </si>
  <si>
    <t>henrique.batista65@outlook.com</t>
  </si>
  <si>
    <t>(41) 95519-5245</t>
  </si>
  <si>
    <t>Sofia Santos</t>
  </si>
  <si>
    <t>sofia.santos72@gmail.com</t>
  </si>
  <si>
    <t>Caio Nascimento Monteiro</t>
  </si>
  <si>
    <t>caio.monteiro67@yahoo.com.br</t>
  </si>
  <si>
    <t>98249-5889</t>
  </si>
  <si>
    <t>Miguel Vieira Andrade</t>
  </si>
  <si>
    <t>428.967.915-31</t>
  </si>
  <si>
    <t>miguel.andrade53@yahoo.com.br</t>
  </si>
  <si>
    <t>97074-9918</t>
  </si>
  <si>
    <t>Rafaela Moura Freitas</t>
  </si>
  <si>
    <t>231.792.167-51</t>
  </si>
  <si>
    <t>rafaela.freitas79@bol.com.br</t>
  </si>
  <si>
    <t>gustavo931@hotmail.com</t>
  </si>
  <si>
    <t>Henrique Fernandes Gomes</t>
  </si>
  <si>
    <t>henrique.gomes81@uol.com.br</t>
  </si>
  <si>
    <t>(11) 99195-2996</t>
  </si>
  <si>
    <t>Heitor Lopes Correia</t>
  </si>
  <si>
    <t>800.129.508-74</t>
  </si>
  <si>
    <t>heitor.correia44@gmail.com</t>
  </si>
  <si>
    <t>99044-4936</t>
  </si>
  <si>
    <t>Rafaela Campos</t>
  </si>
  <si>
    <t>rafaela.campos82@gmail.com</t>
  </si>
  <si>
    <t>(19) 94832-0917</t>
  </si>
  <si>
    <t>bruno.costa462@icloud.com</t>
  </si>
  <si>
    <t>566.432.087-77</t>
  </si>
  <si>
    <t>bruna381@gmail.com</t>
  </si>
  <si>
    <t>cecilia.souza831@icloud.com</t>
  </si>
  <si>
    <t>melissa.pinto102@yahoo.com.br</t>
  </si>
  <si>
    <t>sofia.gomes789@gmail.com</t>
  </si>
  <si>
    <t>487.967.991-70</t>
  </si>
  <si>
    <t>vitoria.ramos234@gmail.com</t>
  </si>
  <si>
    <t>larissa681@gmail.com</t>
  </si>
  <si>
    <t>(11) 91952-2973</t>
  </si>
  <si>
    <t>314.356.174-28</t>
  </si>
  <si>
    <t>renata.santana569@gmail.com</t>
  </si>
  <si>
    <t>aline.costa344@hotmail.com</t>
  </si>
  <si>
    <t>(41) 94825-3542</t>
  </si>
  <si>
    <t>daniela.alves729@icloud.com</t>
  </si>
  <si>
    <t>gabriela.campos136@gmail.com</t>
  </si>
  <si>
    <t>891.597.099-36</t>
  </si>
  <si>
    <t>emanuel.barbosa362@bol.com.br</t>
  </si>
  <si>
    <t>João R. Lima</t>
  </si>
  <si>
    <t>joao.lima399@gmail.com</t>
  </si>
  <si>
    <t>ricardo.santos281@gmail.com</t>
  </si>
  <si>
    <t>(11) 95778-7951</t>
  </si>
  <si>
    <t>otavio.martins622@hotmail.com</t>
  </si>
  <si>
    <t>giovanna123@outlook.com</t>
  </si>
  <si>
    <t>giovanna.tavares549@uol.com.br</t>
  </si>
  <si>
    <t>valentina.rocha628@bol.com.br</t>
  </si>
  <si>
    <t>jaqueline.mendes334@yahoo.com.br</t>
  </si>
  <si>
    <t>nicolas.ferreira602@gmail.com</t>
  </si>
  <si>
    <t>Natália Pereira</t>
  </si>
  <si>
    <t>141.356.607-38</t>
  </si>
  <si>
    <t>natalia.pereira576@hotmail.com</t>
  </si>
  <si>
    <t>eduardo.lopes936@hotmail.com</t>
  </si>
  <si>
    <t>(11) 98899-3684</t>
  </si>
  <si>
    <t>olivia.alves673@hotmail.com</t>
  </si>
  <si>
    <t>cecilia942@hotmail.com</t>
  </si>
  <si>
    <t>(11) 90739-8950</t>
  </si>
  <si>
    <t>gabriel.gomes665@outlook.com</t>
  </si>
  <si>
    <t>gustavo.santana592@outlook.com</t>
  </si>
  <si>
    <t>kamila.ferreira492@hotmail.com</t>
  </si>
  <si>
    <t>julia.ferreira165@outlook.com</t>
  </si>
  <si>
    <t>mariana.goncalves483@uol.com.br</t>
  </si>
  <si>
    <t>jaqueline.almeida961@bol.com.br</t>
  </si>
  <si>
    <t>Marina Peixoto</t>
  </si>
  <si>
    <t>545.192.880-02</t>
  </si>
  <si>
    <t>marina.peixoto678@uol.com.br</t>
  </si>
  <si>
    <t>daniel.ramos336@gmail.com</t>
  </si>
  <si>
    <t>priscila.teixeira896@hotmail.com</t>
  </si>
  <si>
    <t>marcelo.goncalves722@hotmail.com</t>
  </si>
  <si>
    <t>105.033.624-09</t>
  </si>
  <si>
    <t>845.758.116-37</t>
  </si>
  <si>
    <t>220.402.682-43</t>
  </si>
  <si>
    <t>651.539.252-42</t>
  </si>
  <si>
    <t>647.160.584-68</t>
  </si>
  <si>
    <t>300.105.589-85</t>
  </si>
  <si>
    <t>736.265.507-02</t>
  </si>
  <si>
    <t>51941732887</t>
  </si>
  <si>
    <t>172.277.095-31</t>
  </si>
  <si>
    <t>477.019.608-30</t>
  </si>
  <si>
    <t>HELENA DIAS MARQUES</t>
  </si>
  <si>
    <t>574.724.964-99</t>
  </si>
  <si>
    <t>571.089.250-52</t>
  </si>
  <si>
    <t>34199413235</t>
  </si>
  <si>
    <t>409.358.883-06</t>
  </si>
  <si>
    <t>123.793.468-01</t>
  </si>
  <si>
    <t>349.803.647-56</t>
  </si>
  <si>
    <t>572.683.590-55</t>
  </si>
  <si>
    <t>BEATRIZ TEIXEIRA FONSECA</t>
  </si>
  <si>
    <t>279.701.641-61</t>
  </si>
  <si>
    <t>592.116.792-49</t>
  </si>
  <si>
    <t>182.008.073-04</t>
  </si>
  <si>
    <t>401.777.997-22</t>
  </si>
  <si>
    <t>259.066.177-01</t>
  </si>
  <si>
    <t>711.805.999-42</t>
  </si>
  <si>
    <t>055.669.799-55</t>
  </si>
  <si>
    <t>342.872.580-88</t>
  </si>
  <si>
    <t>689.794.108-59</t>
  </si>
  <si>
    <t>408.083.222-22</t>
  </si>
  <si>
    <t>547.164.019-52</t>
  </si>
  <si>
    <t>554.320.410-81</t>
  </si>
  <si>
    <t>86472776199</t>
  </si>
  <si>
    <t>476.728.859-28</t>
  </si>
  <si>
    <t>647.498.466-00</t>
  </si>
  <si>
    <t>426.911.705-27</t>
  </si>
  <si>
    <t>178.476.015-32</t>
  </si>
  <si>
    <t>121.849.611-83</t>
  </si>
  <si>
    <t>40106664123</t>
  </si>
  <si>
    <t>790.119.061-28</t>
  </si>
  <si>
    <t>336.065.876-00</t>
  </si>
  <si>
    <t>472.754.815-10</t>
  </si>
  <si>
    <t>728.273.643-01</t>
  </si>
  <si>
    <t>914.122.890-17</t>
  </si>
  <si>
    <t>177.282.376-75</t>
  </si>
  <si>
    <t>952.280.885-71</t>
  </si>
  <si>
    <t>564.977.441-26</t>
  </si>
  <si>
    <t>421.431.618-59</t>
  </si>
  <si>
    <t>795.804.830-00</t>
  </si>
  <si>
    <t>672.812.744-59</t>
  </si>
  <si>
    <t>494.959.506-78</t>
  </si>
  <si>
    <t>036.145.572-00</t>
  </si>
  <si>
    <t>489.394.352-90</t>
  </si>
  <si>
    <t>929.292.871-60</t>
  </si>
  <si>
    <t>078.718.703-86</t>
  </si>
  <si>
    <t>941.720.716-43</t>
  </si>
  <si>
    <t>Carlos</t>
  </si>
  <si>
    <t>852.250.131-98</t>
  </si>
  <si>
    <t>Gerente</t>
  </si>
  <si>
    <t>Rafa</t>
  </si>
  <si>
    <t>139.616.512-64</t>
  </si>
  <si>
    <t>Sabrina</t>
  </si>
  <si>
    <t>Daniela</t>
  </si>
  <si>
    <t>Alexandre</t>
  </si>
  <si>
    <t>638.765.788-17</t>
  </si>
  <si>
    <t>Bia</t>
  </si>
  <si>
    <t>428.928.423-01</t>
  </si>
  <si>
    <t>285.089.997-63</t>
  </si>
  <si>
    <t>Luana Ribeiro Nogueira</t>
  </si>
  <si>
    <t>Rodrigo</t>
  </si>
  <si>
    <t>Luan</t>
  </si>
  <si>
    <t>Camila</t>
  </si>
  <si>
    <t>652.493.544-67</t>
  </si>
  <si>
    <t>683.077.020-38</t>
  </si>
  <si>
    <t>Felipe</t>
  </si>
  <si>
    <t>103.631.755-20</t>
  </si>
  <si>
    <t>606.799.266-31</t>
  </si>
  <si>
    <t>Renata Barbosa Pinto</t>
  </si>
  <si>
    <t>896.348.156-50</t>
  </si>
  <si>
    <t>461.517.743-70</t>
  </si>
  <si>
    <t>André Araújo Gonçalves</t>
  </si>
  <si>
    <t>816.866.754-96</t>
  </si>
  <si>
    <t>Juliana</t>
  </si>
  <si>
    <t>Leonardo</t>
  </si>
  <si>
    <t>Mariana</t>
  </si>
  <si>
    <t>Heloísa</t>
  </si>
  <si>
    <t>Henrique Almeida</t>
  </si>
  <si>
    <t>63922949967</t>
  </si>
  <si>
    <t>85941021607</t>
  </si>
  <si>
    <t>17307262240</t>
  </si>
  <si>
    <t>62772510310</t>
  </si>
  <si>
    <t>28026531051</t>
  </si>
  <si>
    <t>Rodrigo Nunes Dias</t>
  </si>
  <si>
    <t>79198472496</t>
  </si>
  <si>
    <t>05560620947</t>
  </si>
  <si>
    <t>83449735462</t>
  </si>
  <si>
    <t>90618493492</t>
  </si>
  <si>
    <t>39307251851</t>
  </si>
  <si>
    <t>83948538204</t>
  </si>
  <si>
    <t>80439821207</t>
  </si>
  <si>
    <t>ENZO LIMA COSTA</t>
  </si>
  <si>
    <t>88490397511</t>
  </si>
  <si>
    <t>75499786895</t>
  </si>
  <si>
    <t>Thiago</t>
  </si>
  <si>
    <t>20491454112</t>
  </si>
  <si>
    <t>49514781023</t>
  </si>
  <si>
    <t>89387727300</t>
  </si>
  <si>
    <t>69602832800</t>
  </si>
  <si>
    <t>00197303226</t>
  </si>
  <si>
    <t>62051284113</t>
  </si>
  <si>
    <t>88730339464</t>
  </si>
  <si>
    <t>54565763680</t>
  </si>
  <si>
    <t>14745702329</t>
  </si>
  <si>
    <t>569.149.013-33</t>
  </si>
  <si>
    <t>67041439712</t>
  </si>
  <si>
    <t>78750512587</t>
  </si>
  <si>
    <t>27854481466</t>
  </si>
  <si>
    <t>57298210009</t>
  </si>
  <si>
    <t>Lívia Moreira</t>
  </si>
  <si>
    <t>31116167468</t>
  </si>
  <si>
    <t>22641218747</t>
  </si>
  <si>
    <t>54763987674</t>
  </si>
  <si>
    <t>87053127109</t>
  </si>
  <si>
    <t>Jéssica</t>
  </si>
  <si>
    <t>82246595851</t>
  </si>
  <si>
    <t>76128069673</t>
  </si>
  <si>
    <t>62221081803</t>
  </si>
  <si>
    <t>36234369090</t>
  </si>
  <si>
    <t>66760798600</t>
  </si>
  <si>
    <t>24330125200</t>
  </si>
  <si>
    <t>06960586429</t>
  </si>
  <si>
    <t>84650109434</t>
  </si>
  <si>
    <t>48896444829</t>
  </si>
  <si>
    <t>28777121686</t>
  </si>
  <si>
    <t>15423199514</t>
  </si>
  <si>
    <t>49495950678</t>
  </si>
  <si>
    <t>89301469456</t>
  </si>
  <si>
    <t>04957020809</t>
  </si>
  <si>
    <t>41614412820</t>
  </si>
  <si>
    <t>ISABELA RODRIGUES PEIXOTO</t>
  </si>
  <si>
    <t>78584933964</t>
  </si>
  <si>
    <t>42983655148</t>
  </si>
  <si>
    <t>58882805930</t>
  </si>
  <si>
    <t>80713382066</t>
  </si>
  <si>
    <t>94528728370</t>
  </si>
  <si>
    <t>Melissa</t>
  </si>
  <si>
    <t>86960487501</t>
  </si>
  <si>
    <t>10160566487</t>
  </si>
  <si>
    <t>78771436219</t>
  </si>
  <si>
    <t>89613361421</t>
  </si>
  <si>
    <t>52203722207</t>
  </si>
  <si>
    <t>81985789604</t>
  </si>
  <si>
    <t>27261790702</t>
  </si>
  <si>
    <t>128.750.826-04</t>
  </si>
  <si>
    <t>Gustavo</t>
  </si>
  <si>
    <t>João</t>
  </si>
  <si>
    <t>74823848209</t>
  </si>
  <si>
    <t>92283632587</t>
  </si>
  <si>
    <t>24715971739</t>
  </si>
  <si>
    <t>00220883939</t>
  </si>
  <si>
    <t>354.300.400-02</t>
  </si>
  <si>
    <t>11120871417</t>
  </si>
  <si>
    <t>669.859.675-23</t>
  </si>
  <si>
    <t>89634815650</t>
  </si>
  <si>
    <t>31851006893</t>
  </si>
  <si>
    <t>46130321643</t>
  </si>
  <si>
    <t>87356202697</t>
  </si>
  <si>
    <t>11086718887</t>
  </si>
  <si>
    <t>62138632300</t>
  </si>
  <si>
    <t>71704396891</t>
  </si>
  <si>
    <t>LUANA SOUZA GOMES</t>
  </si>
  <si>
    <t>12656885833</t>
  </si>
  <si>
    <t>36430480682</t>
  </si>
  <si>
    <t>75360125438</t>
  </si>
  <si>
    <t>71854190008</t>
  </si>
  <si>
    <t>54687687806</t>
  </si>
  <si>
    <t>39167540171</t>
  </si>
  <si>
    <t>29012539110</t>
  </si>
  <si>
    <t>306.531.212-37</t>
  </si>
  <si>
    <t>76601060402</t>
  </si>
  <si>
    <t>26692631866</t>
  </si>
  <si>
    <t>15804151649</t>
  </si>
  <si>
    <t>42176030028</t>
  </si>
  <si>
    <t>47395014308</t>
  </si>
  <si>
    <t>649.567.046-07</t>
  </si>
  <si>
    <t>70106389262</t>
  </si>
  <si>
    <t>98304804964</t>
  </si>
  <si>
    <t>29191018382</t>
  </si>
  <si>
    <t>Sofia Nogueira</t>
  </si>
  <si>
    <t>07058850119</t>
  </si>
  <si>
    <t>87913187778</t>
  </si>
  <si>
    <t>63019808596</t>
  </si>
  <si>
    <t>47518288354</t>
  </si>
  <si>
    <t>24270244496</t>
  </si>
  <si>
    <t>33026293709</t>
  </si>
  <si>
    <t>37696219642</t>
  </si>
  <si>
    <t>00758710178</t>
  </si>
  <si>
    <t>48547908498</t>
  </si>
  <si>
    <t>Samuel Silva Farias</t>
  </si>
  <si>
    <t>485.350.103-78</t>
  </si>
  <si>
    <t>16404170523</t>
  </si>
  <si>
    <t>99203833170</t>
  </si>
  <si>
    <t>33738446737</t>
  </si>
  <si>
    <t>68189634984</t>
  </si>
  <si>
    <t>86232302214</t>
  </si>
  <si>
    <t>73161399943</t>
  </si>
  <si>
    <t>851.054.001-27</t>
  </si>
  <si>
    <t>23950631429</t>
  </si>
  <si>
    <t>78573229977</t>
  </si>
  <si>
    <t>87657170158</t>
  </si>
  <si>
    <t>41130412377</t>
  </si>
  <si>
    <t>63355853674</t>
  </si>
  <si>
    <t>12337032930</t>
  </si>
  <si>
    <t>33419048327</t>
  </si>
  <si>
    <t>81541302460</t>
  </si>
  <si>
    <t>Hugo</t>
  </si>
  <si>
    <t>Carolina</t>
  </si>
  <si>
    <t>81145131441</t>
  </si>
  <si>
    <t>47481155135</t>
  </si>
  <si>
    <t>77995362412</t>
  </si>
  <si>
    <t>63824512157</t>
  </si>
  <si>
    <t>54938917009</t>
  </si>
  <si>
    <t>86594970666</t>
  </si>
  <si>
    <t>41127003933</t>
  </si>
  <si>
    <t>77151105150</t>
  </si>
  <si>
    <t>72625837780</t>
  </si>
  <si>
    <t>89974571014</t>
  </si>
  <si>
    <t>Giovanna</t>
  </si>
  <si>
    <t>65236388120</t>
  </si>
  <si>
    <t>50098505165</t>
  </si>
  <si>
    <t>82566251550</t>
  </si>
  <si>
    <t>74022322128</t>
  </si>
  <si>
    <t>97143905321</t>
  </si>
  <si>
    <t>84587768200</t>
  </si>
  <si>
    <t>68640877432</t>
  </si>
  <si>
    <t>69761134520</t>
  </si>
  <si>
    <t>82669367909</t>
  </si>
  <si>
    <t>63890230571</t>
  </si>
  <si>
    <t>16030435604</t>
  </si>
  <si>
    <t>65281603337</t>
  </si>
  <si>
    <t>85144165290</t>
  </si>
  <si>
    <t>24240905133</t>
  </si>
  <si>
    <t>738.674.995-35</t>
  </si>
  <si>
    <t>08293851503</t>
  </si>
  <si>
    <t>13213769525</t>
  </si>
  <si>
    <t>59211679249</t>
  </si>
  <si>
    <t>99839903004</t>
  </si>
  <si>
    <t>51133553133</t>
  </si>
  <si>
    <t>57246778659</t>
  </si>
  <si>
    <t>75096867412</t>
  </si>
  <si>
    <t>713.220.125-55</t>
  </si>
  <si>
    <t>80011056100</t>
  </si>
  <si>
    <t>70653978820</t>
  </si>
  <si>
    <t>25087043348</t>
  </si>
  <si>
    <t>42434195741</t>
  </si>
  <si>
    <t>65249354467</t>
  </si>
  <si>
    <t>03526821755</t>
  </si>
  <si>
    <t>46074313466</t>
  </si>
  <si>
    <t>60986863190</t>
  </si>
  <si>
    <t>359.687.364-96</t>
  </si>
  <si>
    <t>45874053026</t>
  </si>
  <si>
    <t>90249121727</t>
  </si>
  <si>
    <t>87907906776</t>
  </si>
  <si>
    <t>35766841400</t>
  </si>
  <si>
    <t>Ícaro</t>
  </si>
  <si>
    <t>25166131304</t>
  </si>
  <si>
    <t>10812709004</t>
  </si>
  <si>
    <t>Clara Martins</t>
  </si>
  <si>
    <t>51739697090</t>
  </si>
  <si>
    <t>Fernanda</t>
  </si>
  <si>
    <t>26741677690</t>
  </si>
  <si>
    <t>01418803847</t>
  </si>
  <si>
    <t>96353355041</t>
  </si>
  <si>
    <t>NICOLAS SILVA CARDOSO</t>
  </si>
  <si>
    <t>58494844180</t>
  </si>
  <si>
    <t>73383188329</t>
  </si>
  <si>
    <t>35893803221</t>
  </si>
  <si>
    <t>29100796867</t>
  </si>
  <si>
    <t>MURILO FARIAS PEREIRA</t>
  </si>
  <si>
    <t>47706663736</t>
  </si>
  <si>
    <t>86367772677</t>
  </si>
  <si>
    <t>30653121237</t>
  </si>
  <si>
    <t>92232503585</t>
  </si>
  <si>
    <t>33305401257</t>
  </si>
  <si>
    <t>95001820847</t>
  </si>
  <si>
    <t>92929287160</t>
  </si>
  <si>
    <t>29486328544</t>
  </si>
  <si>
    <t>34757750935</t>
  </si>
  <si>
    <t>32904347100</t>
  </si>
  <si>
    <t>436.313.671-55</t>
  </si>
  <si>
    <t>27773285284</t>
  </si>
  <si>
    <t>LETÍCIA COSTA</t>
  </si>
  <si>
    <t>33985704961</t>
  </si>
  <si>
    <t>78962779056</t>
  </si>
  <si>
    <t>77286601601</t>
  </si>
  <si>
    <t>81692260235</t>
  </si>
  <si>
    <t>05812496587</t>
  </si>
  <si>
    <t>00304238643</t>
  </si>
  <si>
    <t>25414222029</t>
  </si>
  <si>
    <t>Ana Paula</t>
  </si>
  <si>
    <t>10096117710</t>
  </si>
  <si>
    <t>84726778420</t>
  </si>
  <si>
    <t>74541559447</t>
  </si>
  <si>
    <t>36485326189</t>
  </si>
  <si>
    <t>50473148390</t>
  </si>
  <si>
    <t>11773638017</t>
  </si>
  <si>
    <t>71269614053</t>
  </si>
  <si>
    <t>CAMILA CARVALHO</t>
  </si>
  <si>
    <t>53663127958</t>
  </si>
  <si>
    <t>87439155823</t>
  </si>
  <si>
    <t>63225385948</t>
  </si>
  <si>
    <t>42852504111</t>
  </si>
  <si>
    <t>58346543980</t>
  </si>
  <si>
    <t>25849551727</t>
  </si>
  <si>
    <t>01297628578</t>
  </si>
  <si>
    <t>46225440089</t>
  </si>
  <si>
    <t>41946255521</t>
  </si>
  <si>
    <t>82055546767</t>
  </si>
  <si>
    <t>07984792801</t>
  </si>
  <si>
    <t>46168624945</t>
  </si>
  <si>
    <t>71769068902</t>
  </si>
  <si>
    <t>76902774382</t>
  </si>
  <si>
    <t>73945367859</t>
  </si>
  <si>
    <t>10555949575</t>
  </si>
  <si>
    <t>91467403334</t>
  </si>
  <si>
    <t>67139987980</t>
  </si>
  <si>
    <t>52250476101</t>
  </si>
  <si>
    <t>Davi</t>
  </si>
  <si>
    <t>140.230.315-77</t>
  </si>
  <si>
    <t>Laura</t>
  </si>
  <si>
    <t>86955652974</t>
  </si>
  <si>
    <t>Breno Rodrigues Monteiro</t>
  </si>
  <si>
    <t>LUANA CAVALCANTI TEIXEIRA</t>
  </si>
  <si>
    <t>40722390203</t>
  </si>
  <si>
    <t>Débora</t>
  </si>
  <si>
    <t>SABRINA BARBOSA</t>
  </si>
  <si>
    <t>13162361290</t>
  </si>
  <si>
    <t>11660689198</t>
  </si>
  <si>
    <t>72692110943</t>
  </si>
  <si>
    <t>09738304334</t>
  </si>
  <si>
    <t>84300079030</t>
  </si>
  <si>
    <t>45714610113</t>
  </si>
  <si>
    <t>52642150496</t>
  </si>
  <si>
    <t>27603832616</t>
  </si>
  <si>
    <t>57379419226</t>
  </si>
  <si>
    <t>84341374885</t>
  </si>
  <si>
    <t>12249834326</t>
  </si>
  <si>
    <t>03493387369</t>
  </si>
  <si>
    <t>01525526340</t>
  </si>
  <si>
    <t>05042140980</t>
  </si>
  <si>
    <t>47846978020</t>
  </si>
  <si>
    <t>22174763869</t>
  </si>
  <si>
    <t>84434756095</t>
  </si>
  <si>
    <t>37236658707</t>
  </si>
  <si>
    <t>59399670783</t>
  </si>
  <si>
    <t>31427649502</t>
  </si>
  <si>
    <t>95033266721</t>
  </si>
  <si>
    <t>Yasmin</t>
  </si>
  <si>
    <t>73049118407</t>
  </si>
  <si>
    <t>31607238101</t>
  </si>
  <si>
    <t>21949171361</t>
  </si>
  <si>
    <t>27599884653</t>
  </si>
  <si>
    <t>06860279141</t>
  </si>
  <si>
    <t>68696993721</t>
  </si>
  <si>
    <t>84575811637</t>
  </si>
  <si>
    <t>MARCELO FONSECA</t>
  </si>
  <si>
    <t>18892850725</t>
  </si>
  <si>
    <t>05997872521</t>
  </si>
  <si>
    <t>82981327267</t>
  </si>
  <si>
    <t>09806963482</t>
  </si>
  <si>
    <t>94444472782</t>
  </si>
  <si>
    <t>81227568592</t>
  </si>
  <si>
    <t>11262046505</t>
  </si>
  <si>
    <t>33193723606</t>
  </si>
  <si>
    <t>39759909960</t>
  </si>
  <si>
    <t>62668252440</t>
  </si>
  <si>
    <t>Nicole</t>
  </si>
  <si>
    <t>18410155710</t>
  </si>
  <si>
    <t>75818307808</t>
  </si>
  <si>
    <t>47563597441</t>
  </si>
  <si>
    <t>546.438.416-21</t>
  </si>
  <si>
    <t>59538365461</t>
  </si>
  <si>
    <t>73228770397</t>
  </si>
  <si>
    <t>92819230334</t>
  </si>
  <si>
    <t>34746879133</t>
  </si>
  <si>
    <t>03058345330</t>
  </si>
  <si>
    <t>98056421947</t>
  </si>
  <si>
    <t>62447000154</t>
  </si>
  <si>
    <t>91120885795</t>
  </si>
  <si>
    <t>89487865632</t>
  </si>
  <si>
    <t>843.597.892-38</t>
  </si>
  <si>
    <t>Júlia</t>
  </si>
  <si>
    <t>602.419.677-67</t>
  </si>
  <si>
    <t>78206869794</t>
  </si>
  <si>
    <t>14431011099</t>
  </si>
  <si>
    <t>03162164702</t>
  </si>
  <si>
    <t>00265948703</t>
  </si>
  <si>
    <t>32601525207</t>
  </si>
  <si>
    <t>56751425252</t>
  </si>
  <si>
    <t>29156033834</t>
  </si>
  <si>
    <t>51793466220</t>
  </si>
  <si>
    <t>316.072.381-01</t>
  </si>
  <si>
    <t>55432041081</t>
  </si>
  <si>
    <t>44524031235</t>
  </si>
  <si>
    <t>97840876005</t>
  </si>
  <si>
    <t>Manuela</t>
  </si>
  <si>
    <t>16488295110</t>
  </si>
  <si>
    <t>15973747093</t>
  </si>
  <si>
    <t>41665738707</t>
  </si>
  <si>
    <t>622.275.367-13</t>
  </si>
  <si>
    <t>80686973739</t>
  </si>
  <si>
    <t>21740270037</t>
  </si>
  <si>
    <t>22060057515</t>
  </si>
  <si>
    <t>15562410540</t>
  </si>
  <si>
    <t>PARÂMETROS DO PROGRAMA VULTO+</t>
  </si>
  <si>
    <t>Categoria</t>
  </si>
  <si>
    <t>Pontos mínimos</t>
  </si>
  <si>
    <t>Pontos máximos</t>
  </si>
  <si>
    <t>Vip</t>
  </si>
  <si>
    <t>Conversão de resgate</t>
  </si>
  <si>
    <t>Vigente a partir de</t>
  </si>
  <si>
    <t>R$ por 100 pontos</t>
  </si>
  <si>
    <t>Resumo (atualiza sozinho)</t>
  </si>
  <si>
    <t>Qtd clientes</t>
  </si>
  <si>
    <t>Sem categoria (0 pts)</t>
  </si>
  <si>
    <t>Total</t>
  </si>
  <si>
    <t>CPF</t>
  </si>
  <si>
    <t>CPF válido</t>
  </si>
  <si>
    <t>Telefone</t>
  </si>
  <si>
    <t>Loja Cadastro</t>
  </si>
  <si>
    <t>Pontos (até 01/01/2025)</t>
  </si>
  <si>
    <t>Aceita Msg</t>
  </si>
  <si>
    <t>Pendências</t>
  </si>
  <si>
    <t>277.732.852-84</t>
  </si>
  <si>
    <t>Sim</t>
  </si>
  <si>
    <t>(85) 96046-5366</t>
  </si>
  <si>
    <t>Thaís Barros</t>
  </si>
  <si>
    <t>167.259.642-49</t>
  </si>
  <si>
    <t>(11) 91258-7369</t>
  </si>
  <si>
    <t>Aline Barros</t>
  </si>
  <si>
    <t>752.099.584-42</t>
  </si>
  <si>
    <t>(11) 95102-1527</t>
  </si>
  <si>
    <t>Sabrina Mendes</t>
  </si>
  <si>
    <t>(11) 91217-2644</t>
  </si>
  <si>
    <t>Marina Dias</t>
  </si>
  <si>
    <t>441.954.145-80</t>
  </si>
  <si>
    <t>(11) 90071-2224</t>
  </si>
  <si>
    <t>130.759.977-06</t>
  </si>
  <si>
    <t>(31) 99516-5483</t>
  </si>
  <si>
    <t>Heloísa Andrade</t>
  </si>
  <si>
    <t>114.759.025-73</t>
  </si>
  <si>
    <t>(11) 98600-9017</t>
  </si>
  <si>
    <t>(31) 97940-7327</t>
  </si>
  <si>
    <t>Juliana Fonseca Nunes</t>
  </si>
  <si>
    <t>347.994.637-21</t>
  </si>
  <si>
    <t>355.285.260-35</t>
  </si>
  <si>
    <t>113.913.326-87</t>
  </si>
  <si>
    <t>(41) 91835-1342</t>
  </si>
  <si>
    <t>459.273.699-01</t>
  </si>
  <si>
    <t>759.975.991-32</t>
  </si>
  <si>
    <t>335.452.427-81</t>
  </si>
  <si>
    <t>(11) 95291-9109</t>
  </si>
  <si>
    <t>(31) 91496-7609</t>
  </si>
  <si>
    <t>534.313.967-12</t>
  </si>
  <si>
    <t>Otávio Lopes Rodrigues</t>
  </si>
  <si>
    <t>(47) 99217-7198</t>
  </si>
  <si>
    <t>868.471.190-47</t>
  </si>
  <si>
    <t>454.819.837-70</t>
  </si>
  <si>
    <t>Rebeca Silva</t>
  </si>
  <si>
    <t>655.369.530-01</t>
  </si>
  <si>
    <t>(61) 91856-9376</t>
  </si>
  <si>
    <t>Eduarda Alves</t>
  </si>
  <si>
    <t>547.013.303-61</t>
  </si>
  <si>
    <t>510.550.105-56</t>
  </si>
  <si>
    <t>Marcelo Moreira Lopes</t>
  </si>
  <si>
    <t>284.136.191-81</t>
  </si>
  <si>
    <t>(11) 99935-0786</t>
  </si>
  <si>
    <t>192.379.275-09</t>
  </si>
  <si>
    <t>(41) 95448-9178</t>
  </si>
  <si>
    <t>(31) 92408-8421</t>
  </si>
  <si>
    <t>Mariana Gonçalves Barbosa</t>
  </si>
  <si>
    <t>329.856.737-04</t>
  </si>
  <si>
    <t>Laura Tavares</t>
  </si>
  <si>
    <t>472.833.325-61</t>
  </si>
  <si>
    <t>(11) 92207-4959</t>
  </si>
  <si>
    <t>Hugo Mendes Ferreira</t>
  </si>
  <si>
    <t>493.910.159-21</t>
  </si>
  <si>
    <t>945.051.428-33</t>
  </si>
  <si>
    <t>371.943.720-53</t>
  </si>
  <si>
    <t>(31) 98517-0351</t>
  </si>
  <si>
    <t>Ana Pinto Nogueira</t>
  </si>
  <si>
    <t>(51) 90251-0235</t>
  </si>
  <si>
    <t>637.079.866-59</t>
  </si>
  <si>
    <t>750.968.674-12</t>
  </si>
  <si>
    <t>Diego Santos</t>
  </si>
  <si>
    <t>013.949.436-79</t>
  </si>
  <si>
    <t>127.190.736-44</t>
  </si>
  <si>
    <t>Renan Santana</t>
  </si>
  <si>
    <t>710.013.856-67</t>
  </si>
  <si>
    <t>(41) 90015-5695</t>
  </si>
  <si>
    <t>399.274.561-90</t>
  </si>
  <si>
    <t>guilherme.peixoto72@hotmail.com</t>
  </si>
  <si>
    <t>(31) 90990-9719</t>
  </si>
  <si>
    <t>Gabriel Pereira</t>
  </si>
  <si>
    <t>291.939.698-64</t>
  </si>
  <si>
    <t>(41) 93410-2736</t>
  </si>
  <si>
    <t>(47) 92507-2073</t>
  </si>
  <si>
    <t>540.237.305-13</t>
  </si>
  <si>
    <t>(41) 96126-6969</t>
  </si>
  <si>
    <t>595.383.654-61</t>
  </si>
  <si>
    <t>Vanessa Andrade</t>
  </si>
  <si>
    <t>978.418.366-86</t>
  </si>
  <si>
    <t>(11) 98235-1416</t>
  </si>
  <si>
    <t>(31) 94060-8318</t>
  </si>
  <si>
    <t>219.491.713-61</t>
  </si>
  <si>
    <t>(31) 92056-5772</t>
  </si>
  <si>
    <t>524.523.237-56</t>
  </si>
  <si>
    <t>(48) 92022-4470</t>
  </si>
  <si>
    <t>495.797.140-45</t>
  </si>
  <si>
    <t>(41) 92977-0879</t>
  </si>
  <si>
    <t>975.356.217-91</t>
  </si>
  <si>
    <t>(31) 97238-8083</t>
  </si>
  <si>
    <t>452.901.312-05</t>
  </si>
  <si>
    <t>325.581.469-39</t>
  </si>
  <si>
    <t>711.872.427-05</t>
  </si>
  <si>
    <t>(31) 94203-9116</t>
  </si>
  <si>
    <t>925.126.708-13</t>
  </si>
  <si>
    <t>Sabrina Campos</t>
  </si>
  <si>
    <t>588.828.059-30</t>
  </si>
  <si>
    <t>067.359.423-88</t>
  </si>
  <si>
    <t>(19) 97875-4241</t>
  </si>
  <si>
    <t>Letícia Moreira</t>
  </si>
  <si>
    <t>125.358.776-00</t>
  </si>
  <si>
    <t>(31) 93650-8384</t>
  </si>
  <si>
    <t>453.593.328-67</t>
  </si>
  <si>
    <t>397.599.099-60</t>
  </si>
  <si>
    <t>(41) 94790-9430</t>
  </si>
  <si>
    <t>567.514.252-52</t>
  </si>
  <si>
    <t>(11) 95314-3091</t>
  </si>
  <si>
    <t>Cecília Rezende</t>
  </si>
  <si>
    <t>260.428.492-80</t>
  </si>
  <si>
    <t>(19) 99801-3210</t>
  </si>
  <si>
    <t>116.606.891-98</t>
  </si>
  <si>
    <t>(11) 93491-8579</t>
  </si>
  <si>
    <t>Clara Alves</t>
  </si>
  <si>
    <t>(21) 93275-9641</t>
  </si>
  <si>
    <t>Débora Nunes Moura</t>
  </si>
  <si>
    <t>614.513.815-73</t>
  </si>
  <si>
    <t>(11) 91364-3401</t>
  </si>
  <si>
    <t>692.832.279-99</t>
  </si>
  <si>
    <t>074.353.734-35</t>
  </si>
  <si>
    <t>(11) 97886-3849</t>
  </si>
  <si>
    <t>(41) 92626-2225</t>
  </si>
  <si>
    <t>526.040.234-07</t>
  </si>
  <si>
    <t>(11) 91823-7007</t>
  </si>
  <si>
    <t>Giovanna Nogueira Silva</t>
  </si>
  <si>
    <t>869.591.894-70</t>
  </si>
  <si>
    <t>(41) 98323-0747</t>
  </si>
  <si>
    <t>928.888.893-40</t>
  </si>
  <si>
    <t>(21) 94362-6729</t>
  </si>
  <si>
    <t>085.780.424-33</t>
  </si>
  <si>
    <t>(11) 96531-1839</t>
  </si>
  <si>
    <t>416.144.128-20</t>
  </si>
  <si>
    <t>(19) 94007-3243</t>
  </si>
  <si>
    <t>Rebeca Vieira</t>
  </si>
  <si>
    <t>(31) 99649-2184</t>
  </si>
  <si>
    <t>428.585.827-42</t>
  </si>
  <si>
    <t>086.256.765-37</t>
  </si>
  <si>
    <t>(11) 90506-2725</t>
  </si>
  <si>
    <t>581.480.311-85</t>
  </si>
  <si>
    <t>(11) 95420-9802</t>
  </si>
  <si>
    <t>146.267.712-62</t>
  </si>
  <si>
    <t>461.667.647-07</t>
  </si>
  <si>
    <t>625.884.731-56</t>
  </si>
  <si>
    <t>(11) 94909-3490</t>
  </si>
  <si>
    <t>(71) 96664-1155</t>
  </si>
  <si>
    <t>837.863.295-40</t>
  </si>
  <si>
    <t>(48) 98196-7692</t>
  </si>
  <si>
    <t>804.879.617-14</t>
  </si>
  <si>
    <t>(41) 90572-0139</t>
  </si>
  <si>
    <t>Gabriela Martins Rodrigues</t>
  </si>
  <si>
    <t>Rafaela Peixoto</t>
  </si>
  <si>
    <t>583.465.439-80</t>
  </si>
  <si>
    <t>(11) 96257-7314</t>
  </si>
  <si>
    <t>(62) 94754-1487</t>
  </si>
  <si>
    <t>Pedro Souza</t>
  </si>
  <si>
    <t>608.368.416-11</t>
  </si>
  <si>
    <t>(41) 91325-7298</t>
  </si>
  <si>
    <t>344.631.219-65</t>
  </si>
  <si>
    <t>(11) 96375-0372</t>
  </si>
  <si>
    <t>095.537.168-65</t>
  </si>
  <si>
    <t>(11) 95148-5186</t>
  </si>
  <si>
    <t>(11) 93962-9552</t>
  </si>
  <si>
    <t>Melissa Gomes Dias</t>
  </si>
  <si>
    <t>(11) 99996-1935</t>
  </si>
  <si>
    <t>121.726.139-75</t>
  </si>
  <si>
    <t>Vitória Marques</t>
  </si>
  <si>
    <t>891.721.622-60</t>
  </si>
  <si>
    <t>(61) 93939-2708</t>
  </si>
  <si>
    <t>(21) 92116-0119</t>
  </si>
  <si>
    <t>(11) 93277-8121</t>
  </si>
  <si>
    <t>(71) 98188-8429</t>
  </si>
  <si>
    <t>067.900.295-24</t>
  </si>
  <si>
    <t>469.333.295-00</t>
  </si>
  <si>
    <t>Larissa Lima Fonseca</t>
  </si>
  <si>
    <t>317.524.965-58</t>
  </si>
  <si>
    <t>(47) 90825-7485</t>
  </si>
  <si>
    <t>Yuri Nunes Alves</t>
  </si>
  <si>
    <t>467.899.052-60</t>
  </si>
  <si>
    <t>(71) 92811-4746</t>
  </si>
  <si>
    <t>725.847.413-77</t>
  </si>
  <si>
    <t>(41) 96134-8062</t>
  </si>
  <si>
    <t>130.973.529-88</t>
  </si>
  <si>
    <t>448.912.030-30</t>
  </si>
  <si>
    <t>(61) 92693-1003</t>
  </si>
  <si>
    <t>Rebeca Martins</t>
  </si>
  <si>
    <t>106.710.169-11</t>
  </si>
  <si>
    <t>Bruna Teixeira</t>
  </si>
  <si>
    <t>220.131.309-10</t>
  </si>
  <si>
    <t>(11) 99454-0108</t>
  </si>
  <si>
    <t>758.183.078-08</t>
  </si>
  <si>
    <t>029.868.496-95</t>
  </si>
  <si>
    <t>(41) 92950-0529</t>
  </si>
  <si>
    <t>(71) 98700-7996</t>
  </si>
  <si>
    <t>440.508.616-82</t>
  </si>
  <si>
    <t>686.408.774-32</t>
  </si>
  <si>
    <t>(11) 99543-7465</t>
  </si>
  <si>
    <t>382.467.562-57</t>
  </si>
  <si>
    <t>066.827.850-11</t>
  </si>
  <si>
    <t>(11) 92219-8201</t>
  </si>
  <si>
    <t>lorenzo.rocha98@gmail.com</t>
  </si>
  <si>
    <t>Daniela Rocha</t>
  </si>
  <si>
    <t>274.651.585-75</t>
  </si>
  <si>
    <t>Lívia Barbosa</t>
  </si>
  <si>
    <t>059.576.572-63</t>
  </si>
  <si>
    <t>(47) 92497-0955</t>
  </si>
  <si>
    <t>Leonardo Dias Machado</t>
  </si>
  <si>
    <t>Miguel Teixeira Vieira</t>
  </si>
  <si>
    <t>022.715.719-28</t>
  </si>
  <si>
    <t>(11) 91892-4854</t>
  </si>
  <si>
    <t>442.964.276-10</t>
  </si>
  <si>
    <t>Priscila Costa Tavares</t>
  </si>
  <si>
    <t>440.344.076-20</t>
  </si>
  <si>
    <t>(11) 94684-1856</t>
  </si>
  <si>
    <t>(41) 99055-8099</t>
  </si>
  <si>
    <t>374.254.923-50</t>
  </si>
  <si>
    <t>(11) 92329-1331</t>
  </si>
  <si>
    <t>271.038.191-57</t>
  </si>
  <si>
    <t>(31) 99441-6827</t>
  </si>
  <si>
    <t>494.445.185-74</t>
  </si>
  <si>
    <t>(11) 93275-5544</t>
  </si>
  <si>
    <t>342.857.751-58</t>
  </si>
  <si>
    <t>(31) 91300-7245</t>
  </si>
  <si>
    <t>887.303.394-64</t>
  </si>
  <si>
    <t>(31) 90953-4934</t>
  </si>
  <si>
    <t>Tainá Cavalcanti Marques</t>
  </si>
  <si>
    <t>317.936.859-40</t>
  </si>
  <si>
    <t>317.070.665-90</t>
  </si>
  <si>
    <t>(31) 98418-3629</t>
  </si>
  <si>
    <t>774.110.246-00</t>
  </si>
  <si>
    <t>(11) 90339-5842</t>
  </si>
  <si>
    <t>446.652.199-90</t>
  </si>
  <si>
    <t>024.648.274-52</t>
  </si>
  <si>
    <t>249.948.661-98</t>
  </si>
  <si>
    <t>(11) 98614-7826</t>
  </si>
  <si>
    <t>(41) 97857-1954</t>
  </si>
  <si>
    <t>Clara Campos</t>
  </si>
  <si>
    <t>922.836.325-87</t>
  </si>
  <si>
    <t>805.802.794-48</t>
  </si>
  <si>
    <t>samuel.almeida15@gmail.com</t>
  </si>
  <si>
    <t>Renata Ramos</t>
  </si>
  <si>
    <t>054.032.740-90</t>
  </si>
  <si>
    <t>(41) 90941-9087</t>
  </si>
  <si>
    <t>058.124.965-87</t>
  </si>
  <si>
    <t>(11) 99454-0045</t>
  </si>
  <si>
    <t>099.081.953-10</t>
  </si>
  <si>
    <t>(41) 96723-2601</t>
  </si>
  <si>
    <t>Aline Ramos</t>
  </si>
  <si>
    <t>Vitória Lopes Mendes</t>
  </si>
  <si>
    <t>847.883.171-17</t>
  </si>
  <si>
    <t>656.493.727-05</t>
  </si>
  <si>
    <t>(31) 90995-0410</t>
  </si>
  <si>
    <t>058.830.771-88</t>
  </si>
  <si>
    <t>(11) 95377-0585</t>
  </si>
  <si>
    <t>Jaqueline Vieira Lima</t>
  </si>
  <si>
    <t>820.196.517-50</t>
  </si>
  <si>
    <t>(19) 97313-9001</t>
  </si>
  <si>
    <t>(11) 98094-2041</t>
  </si>
  <si>
    <t>(11) 91179-7094</t>
  </si>
  <si>
    <t>Vinícius Martins</t>
  </si>
  <si>
    <t>722.242.894-13</t>
  </si>
  <si>
    <t>(41) 95110-2094</t>
  </si>
  <si>
    <t>696.832.441-57</t>
  </si>
  <si>
    <t>Eduardo Peixoto Silva</t>
  </si>
  <si>
    <t>(11) 92968-8679</t>
  </si>
  <si>
    <t>(31) 98492-5876</t>
  </si>
  <si>
    <t>667.054.525-87</t>
  </si>
  <si>
    <t>Juliana Costa Freitas</t>
  </si>
  <si>
    <t>014.894.258-02</t>
  </si>
  <si>
    <t>(11) 99695-9727</t>
  </si>
  <si>
    <t>Kamila Tavares Marques</t>
  </si>
  <si>
    <t>983.048.049-64</t>
  </si>
  <si>
    <t>(31) 91819-3547</t>
  </si>
  <si>
    <t>402.452.626-01</t>
  </si>
  <si>
    <t>Vitória Cardoso</t>
  </si>
  <si>
    <t>338.792.487-96</t>
  </si>
  <si>
    <t>589.386.957-51</t>
  </si>
  <si>
    <t>830.325.490-19</t>
  </si>
  <si>
    <t>(11) 91141-1200</t>
  </si>
  <si>
    <t>Emanuelly Silva</t>
  </si>
  <si>
    <t>(11) 92619-5636</t>
  </si>
  <si>
    <t>Rafaela Nascimento</t>
  </si>
  <si>
    <t>781.664.945-23</t>
  </si>
  <si>
    <t>443.453.564-15</t>
  </si>
  <si>
    <t>(62) 92297-2443</t>
  </si>
  <si>
    <t>Ana Machado</t>
  </si>
  <si>
    <t>543.111.386-01</t>
  </si>
  <si>
    <t>Luana Mendes Ramos</t>
  </si>
  <si>
    <t>396.474.386-05</t>
  </si>
  <si>
    <t>281.460.503-87</t>
  </si>
  <si>
    <t>985.367.956-62</t>
  </si>
  <si>
    <t>095.485.965-04</t>
  </si>
  <si>
    <t>Davi Fonseca Cardoso</t>
  </si>
  <si>
    <t>655.104.835-80</t>
  </si>
  <si>
    <t>071.412.802-35</t>
  </si>
  <si>
    <t>Não</t>
  </si>
  <si>
    <t>043.439.961-23</t>
  </si>
  <si>
    <t>(11) 90233-4726</t>
  </si>
  <si>
    <t>070.049.050-71</t>
  </si>
  <si>
    <t>535.007.683-34</t>
  </si>
  <si>
    <t>(41) 97170-9839</t>
  </si>
  <si>
    <t>626.682.524-40</t>
  </si>
  <si>
    <t>(41) 92303-7876</t>
  </si>
  <si>
    <t>(61) 97234-4216</t>
  </si>
  <si>
    <t>Gustavo Farias</t>
  </si>
  <si>
    <t>584.433.947-90</t>
  </si>
  <si>
    <t>(11) 97714-9197</t>
  </si>
  <si>
    <t>254.142.220-29</t>
  </si>
  <si>
    <t>868.033.636-00</t>
  </si>
  <si>
    <t>(71) 96103-0357</t>
  </si>
  <si>
    <t>249.327.970-01</t>
  </si>
  <si>
    <t>(71) 94682-3265</t>
  </si>
  <si>
    <t>566.870.577-31</t>
  </si>
  <si>
    <t>(31) 97603-7271</t>
  </si>
  <si>
    <t>Aline Almeida</t>
  </si>
  <si>
    <t>(11) 95176-9022</t>
  </si>
  <si>
    <t>871.743.642-76</t>
  </si>
  <si>
    <t>(11) 93955-7659</t>
  </si>
  <si>
    <t>003.701.319-08</t>
  </si>
  <si>
    <t>854.162.605-99</t>
  </si>
  <si>
    <t>(85) 99246-7239</t>
  </si>
  <si>
    <t>Gabriela Cardoso Nascimento</t>
  </si>
  <si>
    <t>519.721.482-14</t>
  </si>
  <si>
    <t>(11) 90492-3610</t>
  </si>
  <si>
    <t>Cecília Carvalho Nascimento</t>
  </si>
  <si>
    <t>Marina Campos</t>
  </si>
  <si>
    <t>Júlia Alves</t>
  </si>
  <si>
    <t>512.578.788-40</t>
  </si>
  <si>
    <t>819.857.896-04</t>
  </si>
  <si>
    <t>(41) 97786-4095</t>
  </si>
  <si>
    <t>200.719.860-65</t>
  </si>
  <si>
    <t>(51) 93137-5484</t>
  </si>
  <si>
    <t>921.858.844-33</t>
  </si>
  <si>
    <t>(41) 95016-5767</t>
  </si>
  <si>
    <t>Aline Teixeira</t>
  </si>
  <si>
    <t>733.071.206-03</t>
  </si>
  <si>
    <t>(11) 99049-9104</t>
  </si>
  <si>
    <t>Kauã Gomes</t>
  </si>
  <si>
    <t>(31) 95983-8816</t>
  </si>
  <si>
    <t>077.824.827-55</t>
  </si>
  <si>
    <t>752.493.635-47</t>
  </si>
  <si>
    <t>(41) 93629-4486</t>
  </si>
  <si>
    <t>732.223.032-90</t>
  </si>
  <si>
    <t>(41) 92897-4598</t>
  </si>
  <si>
    <t>Davi Batista</t>
  </si>
  <si>
    <t>860.699.873-73</t>
  </si>
  <si>
    <t>610.562.688-67</t>
  </si>
  <si>
    <t>Ícaro Rodrigues</t>
  </si>
  <si>
    <t>477.066.637-36</t>
  </si>
  <si>
    <t>590.191.256-05</t>
  </si>
  <si>
    <t>970.619.124-05</t>
  </si>
  <si>
    <t>790.626.616-10</t>
  </si>
  <si>
    <t>(31) 96254-3502</t>
  </si>
  <si>
    <t>Yasmin Gomes</t>
  </si>
  <si>
    <t>(11) 92275-0813</t>
  </si>
  <si>
    <t>Lucas Soares Martins</t>
  </si>
  <si>
    <t>(19) 91482-3101</t>
  </si>
  <si>
    <t>Isabela Lopes</t>
  </si>
  <si>
    <t>414.376.260-92</t>
  </si>
  <si>
    <t>(11) 99304-9663</t>
  </si>
  <si>
    <t>593.996.707-83</t>
  </si>
  <si>
    <t>828.476.809-77</t>
  </si>
  <si>
    <t>024.544.944-26</t>
  </si>
  <si>
    <t>Heloísa Nascimento</t>
  </si>
  <si>
    <t>363.748.579-68</t>
  </si>
  <si>
    <t>Yasmin Cardoso</t>
  </si>
  <si>
    <t>Bernardo Mendes Gonçalves</t>
  </si>
  <si>
    <t>003.042.386-43</t>
  </si>
  <si>
    <t>(11) 91598-0279</t>
  </si>
  <si>
    <t>Pedro Rocha Correia</t>
  </si>
  <si>
    <t>879.079.067-76</t>
  </si>
  <si>
    <t>(11) 92775-3495</t>
  </si>
  <si>
    <t>524.230.614-98</t>
  </si>
  <si>
    <t>341.994.132-35</t>
  </si>
  <si>
    <t>(11) 97811-6063</t>
  </si>
  <si>
    <t>464.394.948-13</t>
  </si>
  <si>
    <t>Beatriz Fernandes Nogueira</t>
  </si>
  <si>
    <t>326.847.753-46</t>
  </si>
  <si>
    <t>812.275.685-92</t>
  </si>
  <si>
    <t>166.438.408-13</t>
  </si>
  <si>
    <t>Renan Nunes</t>
  </si>
  <si>
    <t>429.728.261-59</t>
  </si>
  <si>
    <t>(11) 91668-4166</t>
  </si>
  <si>
    <t>233.357.340-68</t>
  </si>
  <si>
    <t>(11) 95442-5859</t>
  </si>
  <si>
    <t>868.125.740-40</t>
  </si>
  <si>
    <t>(31) 98270-6127</t>
  </si>
  <si>
    <t>Eduarda Fonseca</t>
  </si>
  <si>
    <t>(51) 98251-7978</t>
  </si>
  <si>
    <t>(11) 93346-3278</t>
  </si>
  <si>
    <t>Letícia Ramos Fernandes</t>
  </si>
  <si>
    <t>880.022.240-43</t>
  </si>
  <si>
    <t>751.081.846-03</t>
  </si>
  <si>
    <t>(31) 98978-1841</t>
  </si>
  <si>
    <t>542.825.817-94</t>
  </si>
  <si>
    <t>(11) 96337-2531</t>
  </si>
  <si>
    <t>045.480.646-99</t>
  </si>
  <si>
    <t>(11) 91188-9013</t>
  </si>
  <si>
    <t>376.917.743-62</t>
  </si>
  <si>
    <t>(31) 92244-7677</t>
  </si>
  <si>
    <t>Teo Cardoso</t>
  </si>
  <si>
    <t>560.359.343-15</t>
  </si>
  <si>
    <t>869.556.529-74</t>
  </si>
  <si>
    <t>369.507.537-64</t>
  </si>
  <si>
    <t>(11) 99520-2699</t>
  </si>
  <si>
    <t>(11) 95833-7357</t>
  </si>
  <si>
    <t>Gustavo Farias Fonseca</t>
  </si>
  <si>
    <t>945.287.283-70</t>
  </si>
  <si>
    <t>(11) 99820-3527</t>
  </si>
  <si>
    <t>(11) 91087-0734</t>
  </si>
  <si>
    <t>699.747.500-08</t>
  </si>
  <si>
    <t>903.973.567-06</t>
  </si>
  <si>
    <t>Arthur Cavalcanti</t>
  </si>
  <si>
    <t>078.521.867-00</t>
  </si>
  <si>
    <t>(31) 94261-2055</t>
  </si>
  <si>
    <t>826.563.691-18</t>
  </si>
  <si>
    <t>Lorenzo Gonçalves</t>
  </si>
  <si>
    <t>089.550.105-83</t>
  </si>
  <si>
    <t>(41) 91475-4036</t>
  </si>
  <si>
    <t>582.578.681-32</t>
  </si>
  <si>
    <t>(11) 95947-8003</t>
  </si>
  <si>
    <t>Cauã Rezende Teixeira</t>
  </si>
  <si>
    <t>(11) 99963-6056</t>
  </si>
  <si>
    <t>Emanuelly Dias</t>
  </si>
  <si>
    <t>809.889.124-06</t>
  </si>
  <si>
    <t>Sabrina Fonseca Nascimento</t>
  </si>
  <si>
    <t>(47) 98879-4542</t>
  </si>
  <si>
    <t>Paula Nascimento Campos</t>
  </si>
  <si>
    <t>133.049.957-30</t>
  </si>
  <si>
    <t>Matheus Moreira Fonseca</t>
  </si>
  <si>
    <t>661.212.873-90</t>
  </si>
  <si>
    <t>(11) 93709-1033</t>
  </si>
  <si>
    <t>404.406.346-01</t>
  </si>
  <si>
    <t>(11) 91389-9686</t>
  </si>
  <si>
    <t>Alice Moreira Lima</t>
  </si>
  <si>
    <t>085.763.295-73</t>
  </si>
  <si>
    <t>470.492.413-00</t>
  </si>
  <si>
    <t>(31) 95703-4993</t>
  </si>
  <si>
    <t>521.735.257-43</t>
  </si>
  <si>
    <t>074.385.704-60</t>
  </si>
  <si>
    <t>(62) 94429-6276</t>
  </si>
  <si>
    <t>368.868.182-79</t>
  </si>
  <si>
    <t>(85) 93056-6885</t>
  </si>
  <si>
    <t>266.926.318-66</t>
  </si>
  <si>
    <t>(11) 94795-5842</t>
  </si>
  <si>
    <t>(19) 98815-0666</t>
  </si>
  <si>
    <t>131.135.911-71</t>
  </si>
  <si>
    <t>(31) 91156-6008</t>
  </si>
  <si>
    <t>928.192.303-34</t>
  </si>
  <si>
    <t>(31) 98825-2395</t>
  </si>
  <si>
    <t>Aline Araújo</t>
  </si>
  <si>
    <t>108.143.902-50</t>
  </si>
  <si>
    <t>Breno Cavalcanti</t>
  </si>
  <si>
    <t>225.526.759-48</t>
  </si>
  <si>
    <t>(11) 99286-3379</t>
  </si>
  <si>
    <t>131.623.612-90</t>
  </si>
  <si>
    <t>335.120.815-41</t>
  </si>
  <si>
    <t>(11) 90412-3676</t>
  </si>
  <si>
    <t>Nicolas Souza Nascimento</t>
  </si>
  <si>
    <t>(21) 91039-1688</t>
  </si>
  <si>
    <t>Gustavo Barbosa</t>
  </si>
  <si>
    <t>777.626.500-40</t>
  </si>
  <si>
    <t>(11) 95249-9158</t>
  </si>
  <si>
    <t>224.263.554-92</t>
  </si>
  <si>
    <t>(85) 93750-1401</t>
  </si>
  <si>
    <t>834.265.440-08</t>
  </si>
  <si>
    <t>(51) 92996-6159</t>
  </si>
  <si>
    <t>658.772.354-35</t>
  </si>
  <si>
    <t>(41) 99387-4895</t>
  </si>
  <si>
    <t>834.673.466-26</t>
  </si>
  <si>
    <t>(31) 92698-9011</t>
  </si>
  <si>
    <t>184.101.557-10</t>
  </si>
  <si>
    <t>(11) 97496-3962</t>
  </si>
  <si>
    <t>142.255.830-40</t>
  </si>
  <si>
    <t>(41) 95167-1042</t>
  </si>
  <si>
    <t>050.367.993-30</t>
  </si>
  <si>
    <t>818.897.214-25</t>
  </si>
  <si>
    <t>(11) 99936-2388</t>
  </si>
  <si>
    <t>542.007.340-44</t>
  </si>
  <si>
    <t>Ana Nogueira Nunes</t>
  </si>
  <si>
    <t>(41) 92834-4812</t>
  </si>
  <si>
    <t>Juliana Correia Nogueira</t>
  </si>
  <si>
    <t>(11) 90656-1688</t>
  </si>
  <si>
    <t>Natália Soares Monteiro</t>
  </si>
  <si>
    <t>440.797.829-50</t>
  </si>
  <si>
    <t>Thaís Costa Marques</t>
  </si>
  <si>
    <t>176.475.016-07</t>
  </si>
  <si>
    <t>(11) 93141-2275</t>
  </si>
  <si>
    <t>554.025.124-50</t>
  </si>
  <si>
    <t>(41) 94325-4876</t>
  </si>
  <si>
    <t>230.858.000-34</t>
  </si>
  <si>
    <t>140.263.496-08</t>
  </si>
  <si>
    <t>(11) 96777-3406</t>
  </si>
  <si>
    <t>Renata Pereira Costa</t>
  </si>
  <si>
    <t>587.089.111-69</t>
  </si>
  <si>
    <t>299.608.445-44</t>
  </si>
  <si>
    <t>534.234.255-47</t>
  </si>
  <si>
    <t>(41) 95774-6546</t>
  </si>
  <si>
    <t>252.814.480-64</t>
  </si>
  <si>
    <t>(31) 98597-0114</t>
  </si>
  <si>
    <t>177.636.411-26</t>
  </si>
  <si>
    <t>Vanessa Carvalho</t>
  </si>
  <si>
    <t>961.925.958-01</t>
  </si>
  <si>
    <t>066.963.745-90</t>
  </si>
  <si>
    <t>(11) 99745-5963</t>
  </si>
  <si>
    <t>409.532.729-40</t>
  </si>
  <si>
    <t>(62) 94108-6805</t>
  </si>
  <si>
    <t>153.774.780-02</t>
  </si>
  <si>
    <t>(11) 94060-9784</t>
  </si>
  <si>
    <t>712.583.353-52</t>
  </si>
  <si>
    <t>(85) 97409-2388</t>
  </si>
  <si>
    <t>992.937.964-90</t>
  </si>
  <si>
    <t>(31) 96679-5017</t>
  </si>
  <si>
    <t>014.188.038-47</t>
  </si>
  <si>
    <t>732.637.336-13</t>
  </si>
  <si>
    <t>(51) 96947-7202</t>
  </si>
  <si>
    <t>959.865.246-75</t>
  </si>
  <si>
    <t>(31) 98246-1774</t>
  </si>
  <si>
    <t>Nicole Gonçalves Silva</t>
  </si>
  <si>
    <t>171.800.068-58</t>
  </si>
  <si>
    <t>247.159.717-39</t>
  </si>
  <si>
    <t>Fernanda Martins</t>
  </si>
  <si>
    <t>Débora Barros</t>
  </si>
  <si>
    <t>246.562.950-60</t>
  </si>
  <si>
    <t>(11) 97530-9201</t>
  </si>
  <si>
    <t>633.795.920-56</t>
  </si>
  <si>
    <t>(41) 92374-2144</t>
  </si>
  <si>
    <t>(41) 94453-8119</t>
  </si>
  <si>
    <t>432.264.596-86</t>
  </si>
  <si>
    <t>(41) 91179-8739</t>
  </si>
  <si>
    <t>Lucas Almeida</t>
  </si>
  <si>
    <t>848.235.786-78</t>
  </si>
  <si>
    <t>938.454.653-44</t>
  </si>
  <si>
    <t>453.677.147-65</t>
  </si>
  <si>
    <t>(11) 97556-6973</t>
  </si>
  <si>
    <t>Carolina Batista Soares</t>
  </si>
  <si>
    <t>975.065.200-28</t>
  </si>
  <si>
    <t>606.368.675-44</t>
  </si>
  <si>
    <t>Júlia Freitas</t>
  </si>
  <si>
    <t>189.679.566-81</t>
  </si>
  <si>
    <t>Rodrigo Marques</t>
  </si>
  <si>
    <t>831.920.014-88</t>
  </si>
  <si>
    <t>Breno Silva Farias</t>
  </si>
  <si>
    <t>breno.farias58@uol.com.br</t>
  </si>
  <si>
    <t>(11) 90362-1511</t>
  </si>
  <si>
    <t>953.133.062-00</t>
  </si>
  <si>
    <t>Eduarda Pinto</t>
  </si>
  <si>
    <t>862.008.922-61</t>
  </si>
  <si>
    <t>(11) 99271-1902</t>
  </si>
  <si>
    <t>Daniel Andrade</t>
  </si>
  <si>
    <t>(11) 97096-2430</t>
  </si>
  <si>
    <t>644.661.590-68</t>
  </si>
  <si>
    <t>832.477.085-29</t>
  </si>
  <si>
    <t>780.930.930-79</t>
  </si>
  <si>
    <t>(11) 93854-4529</t>
  </si>
  <si>
    <t>355.339.925-29</t>
  </si>
  <si>
    <t>(11) 93365-7819</t>
  </si>
  <si>
    <t>(11) 91589-6130</t>
  </si>
  <si>
    <t>318.510.068-93</t>
  </si>
  <si>
    <t>(31) 92049-3932</t>
  </si>
  <si>
    <t>Paula Santos</t>
  </si>
  <si>
    <t>100.961.177-10</t>
  </si>
  <si>
    <t>paula.santos88@hotmail.com</t>
  </si>
  <si>
    <t>(11) 93763-2646</t>
  </si>
  <si>
    <t>164.882.951-10</t>
  </si>
  <si>
    <t>401.066.641-23</t>
  </si>
  <si>
    <t>(41) 95627-3168</t>
  </si>
  <si>
    <t>680.979.606-13</t>
  </si>
  <si>
    <t>571.150.528-91</t>
  </si>
  <si>
    <t>087.567.464-07</t>
  </si>
  <si>
    <t>(11) 97425-4221</t>
  </si>
  <si>
    <t>(41) 99437-8837</t>
  </si>
  <si>
    <t>031.923.811-32</t>
  </si>
  <si>
    <t>812.213.551-04</t>
  </si>
  <si>
    <t>(11) 95699-9075</t>
  </si>
  <si>
    <t>616.887.939-09</t>
  </si>
  <si>
    <t>(11) 98125-4612</t>
  </si>
  <si>
    <t>111.933.186-29</t>
  </si>
  <si>
    <t>(21) 91981-5412</t>
  </si>
  <si>
    <t>791.984.724-96</t>
  </si>
  <si>
    <t>488.964.448-29</t>
  </si>
  <si>
    <t>614.432.657-05</t>
  </si>
  <si>
    <t>(11) 93736-7113</t>
  </si>
  <si>
    <t>585.935.177-14</t>
  </si>
  <si>
    <t>(31) 93272-9616</t>
  </si>
  <si>
    <t>421.760.300-28</t>
  </si>
  <si>
    <t>Gabriel Lima</t>
  </si>
  <si>
    <t>(19) 99441-4408</t>
  </si>
  <si>
    <t>694.290.762-64</t>
  </si>
  <si>
    <t>(11) 92078-1583</t>
  </si>
  <si>
    <t>020.279.825-90</t>
  </si>
  <si>
    <t>(19) 91543-3654</t>
  </si>
  <si>
    <t>(62) 98251-0938</t>
  </si>
  <si>
    <t>Larissa Cavalcanti Correia</t>
  </si>
  <si>
    <t>092.586.129-49</t>
  </si>
  <si>
    <t>(11) 92608-5724</t>
  </si>
  <si>
    <t>316.078.008-29</t>
  </si>
  <si>
    <t>627.725.103-10</t>
  </si>
  <si>
    <t>(11) 95688-2993</t>
  </si>
  <si>
    <t>(51) 98483-5164</t>
  </si>
  <si>
    <t>306.088.545-14</t>
  </si>
  <si>
    <t>Gabriela Farias</t>
  </si>
  <si>
    <t>(11) 95261-4576</t>
  </si>
  <si>
    <t>(11) 92814-7183</t>
  </si>
  <si>
    <t>Yuri Rocha Nascimento</t>
  </si>
  <si>
    <t>Marcelo Mendes Barros</t>
  </si>
  <si>
    <t>557.447.874-96</t>
  </si>
  <si>
    <t>Kamila Moreira Lima</t>
  </si>
  <si>
    <t>472.803.314-75</t>
  </si>
  <si>
    <t>Thaís Lopes</t>
  </si>
  <si>
    <t>100.970.602-08</t>
  </si>
  <si>
    <t>(11) 99708-4333</t>
  </si>
  <si>
    <t>239.878.522-08</t>
  </si>
  <si>
    <t>(11) 90009-9317</t>
  </si>
  <si>
    <t>João Nascimento Nogueira</t>
  </si>
  <si>
    <t>joao.nogueira54@gmail.com</t>
  </si>
  <si>
    <t>(11) 99835-1142</t>
  </si>
  <si>
    <t>465.895.766-37</t>
  </si>
  <si>
    <t>291.910.183-82</t>
  </si>
  <si>
    <t>415.098.630-44</t>
  </si>
  <si>
    <t>(71) 99493-8607</t>
  </si>
  <si>
    <t>171.104.083-53</t>
  </si>
  <si>
    <t>Vanessa Correia Ramos</t>
  </si>
  <si>
    <t>540.023.992-73</t>
  </si>
  <si>
    <t>572.245.905-41</t>
  </si>
  <si>
    <t>(41) 92279-7542</t>
  </si>
  <si>
    <t>409.415.763-88</t>
  </si>
  <si>
    <t>(11) 96899-9747</t>
  </si>
  <si>
    <t>(31) 97440-6320</t>
  </si>
  <si>
    <t>121.835.480-10</t>
  </si>
  <si>
    <t>(85) 95251-7632</t>
  </si>
  <si>
    <t>443.011.024-77</t>
  </si>
  <si>
    <t>407.880.828-09</t>
  </si>
  <si>
    <t>Nicole Santana Barbosa</t>
  </si>
  <si>
    <t>815.413.024-60</t>
  </si>
  <si>
    <t>(19) 91415-5664</t>
  </si>
  <si>
    <t>Gabriel Rodrigues Ferreira</t>
  </si>
  <si>
    <t>332.730.313-44</t>
  </si>
  <si>
    <t>Paulo Freitas Costa</t>
  </si>
  <si>
    <t>(11) 90844-6676</t>
  </si>
  <si>
    <t>695.532.566-35</t>
  </si>
  <si>
    <t>(11) 98550-5998</t>
  </si>
  <si>
    <t>Sabrina Silva</t>
  </si>
  <si>
    <t>039.388.092-30</t>
  </si>
  <si>
    <t>(11) 94393-4881</t>
  </si>
  <si>
    <t>Luan Batista</t>
  </si>
  <si>
    <t>033.782.606-45</t>
  </si>
  <si>
    <t>(41) 97918-6033</t>
  </si>
  <si>
    <t>002.135.460-00</t>
  </si>
  <si>
    <t>(41) 97003-5473</t>
  </si>
  <si>
    <t>275.351.589-19</t>
  </si>
  <si>
    <t>(11) 90489-6047</t>
  </si>
  <si>
    <t>343.345.702-67</t>
  </si>
  <si>
    <t>Bruna Oliveira</t>
  </si>
  <si>
    <t>377.930.839-89</t>
  </si>
  <si>
    <t>803.859.992-67</t>
  </si>
  <si>
    <t>(11) 95181-1837</t>
  </si>
  <si>
    <t>Igor Moura Cavalcanti</t>
  </si>
  <si>
    <t>302.955.545-33</t>
  </si>
  <si>
    <t>558.887.980-53</t>
  </si>
  <si>
    <t>922.050.799-48</t>
  </si>
  <si>
    <t>024.409.351-23</t>
  </si>
  <si>
    <t>(11) 96999-1257</t>
  </si>
  <si>
    <t>Heloísa Tavares</t>
  </si>
  <si>
    <t>666.188.336-71</t>
  </si>
  <si>
    <t>(48) 91486-7324</t>
  </si>
  <si>
    <t>682.096.824-82</t>
  </si>
  <si>
    <t>(61) 98721-4950</t>
  </si>
  <si>
    <t>(11) 91515-4589</t>
  </si>
  <si>
    <t>260.217.023-28</t>
  </si>
  <si>
    <t>Priscila Alves</t>
  </si>
  <si>
    <t>273.891.021-10</t>
  </si>
  <si>
    <t>(31) 99092-1156</t>
  </si>
  <si>
    <t>Cecília Fernandes</t>
  </si>
  <si>
    <t>697.611.345-20</t>
  </si>
  <si>
    <t>(11) 95389-5151</t>
  </si>
  <si>
    <t>415.865.618-47</t>
  </si>
  <si>
    <t>223.045.419-68</t>
  </si>
  <si>
    <t>Luan Oliveira Gomes</t>
  </si>
  <si>
    <t>740.762.313-92</t>
  </si>
  <si>
    <t>(11) 95103-7974</t>
  </si>
  <si>
    <t>893.877.273-00</t>
  </si>
  <si>
    <t>(31) 96413-5345</t>
  </si>
  <si>
    <t>Bruna Fonseca</t>
  </si>
  <si>
    <t>Daniela Pinto Peixoto</t>
  </si>
  <si>
    <t>Yuri Freitas Andrade</t>
  </si>
  <si>
    <t>956.532.226-31</t>
  </si>
  <si>
    <t>256.243.905-80</t>
  </si>
  <si>
    <t>151.911.217-32</t>
  </si>
  <si>
    <t>(31) 97498-2441</t>
  </si>
  <si>
    <t>669.935.685-27</t>
  </si>
  <si>
    <t>(31) 95688-3406</t>
  </si>
  <si>
    <t>(62) 92415-6077</t>
  </si>
  <si>
    <t>803.949.500-89</t>
  </si>
  <si>
    <t>(31) 95871-7473</t>
  </si>
  <si>
    <t>Thiago Santos Campos</t>
  </si>
  <si>
    <t>814.894.431-85</t>
  </si>
  <si>
    <t>Sofia Dias Nogueira</t>
  </si>
  <si>
    <t>229.368.117-32</t>
  </si>
  <si>
    <t>009.296.102-96</t>
  </si>
  <si>
    <t>(11) 95552-5036</t>
  </si>
  <si>
    <t>Lucas Gomes Campos</t>
  </si>
  <si>
    <t>(11) 90195-3210</t>
  </si>
  <si>
    <t>367.883.916-96</t>
  </si>
  <si>
    <t>(31) 99091-2087</t>
  </si>
  <si>
    <t>442.836.129-79</t>
  </si>
  <si>
    <t>(11) 94251-6799</t>
  </si>
  <si>
    <t>422.188.223-93</t>
  </si>
  <si>
    <t>Rodrigo Fernandes</t>
  </si>
  <si>
    <t>365.233.213-04</t>
  </si>
  <si>
    <t>373.841.182-80</t>
  </si>
  <si>
    <t>792.265.468-51</t>
  </si>
  <si>
    <t>859.858.863-60</t>
  </si>
  <si>
    <t>721.420.501-74</t>
  </si>
  <si>
    <t>975.634.364-80</t>
  </si>
  <si>
    <t>406.113.183-42</t>
  </si>
  <si>
    <t>(11) 99209-5040</t>
  </si>
  <si>
    <t>896.243.429-62</t>
  </si>
  <si>
    <t>Beatriz Teixeira Fonseca</t>
  </si>
  <si>
    <t>(11) 93323-6255</t>
  </si>
  <si>
    <t>Ícaro Tavares</t>
  </si>
  <si>
    <t>(11) 93574-9037</t>
  </si>
  <si>
    <t>822.733.069-03</t>
  </si>
  <si>
    <t>411.304.123-77</t>
  </si>
  <si>
    <t>(11) 97724-1003</t>
  </si>
  <si>
    <t>Juliana Nascimento</t>
  </si>
  <si>
    <t>284.991.871-70</t>
  </si>
  <si>
    <t>781.236.954-46</t>
  </si>
  <si>
    <t>661.802.097-23</t>
  </si>
  <si>
    <t>357.668.414-00</t>
  </si>
  <si>
    <t>(11) 94611-5957</t>
  </si>
  <si>
    <t>029.691.685-45</t>
  </si>
  <si>
    <t>(41) 91193-3272</t>
  </si>
  <si>
    <t>091.595.740-03</t>
  </si>
  <si>
    <t>(11) 94022-6404</t>
  </si>
  <si>
    <t>957.335.135-86</t>
  </si>
  <si>
    <t>(11) 91676-9711</t>
  </si>
  <si>
    <t>468.854.062-01</t>
  </si>
  <si>
    <t>Kauã Oliveira Alves</t>
  </si>
  <si>
    <t>341.197.371-44</t>
  </si>
  <si>
    <t>873.562.026-97</t>
  </si>
  <si>
    <t>Rodrigo Peixoto Batista</t>
  </si>
  <si>
    <t>918.517.131-07</t>
  </si>
  <si>
    <t>(31) 90559-6067</t>
  </si>
  <si>
    <t>Pedro Rodrigues Pinto</t>
  </si>
  <si>
    <t>429.948.714-16</t>
  </si>
  <si>
    <t>Helena Barbosa Rocha</t>
  </si>
  <si>
    <t>313.792.512-65</t>
  </si>
  <si>
    <t>(21) 90500-8612</t>
  </si>
  <si>
    <t>Gabriel Cavalcanti</t>
  </si>
  <si>
    <t>132.160.105-03</t>
  </si>
  <si>
    <t>Sofia Rodrigues</t>
  </si>
  <si>
    <t>(11) 99044-6105</t>
  </si>
  <si>
    <t>Alice Fonseca</t>
  </si>
  <si>
    <t>941.377.422-60</t>
  </si>
  <si>
    <t>(62) 91890-9061</t>
  </si>
  <si>
    <t>673.814.856-99</t>
  </si>
  <si>
    <t>(11) 90884-5208</t>
  </si>
  <si>
    <t>274.107.768-11</t>
  </si>
  <si>
    <t>(11) 90158-8437</t>
  </si>
  <si>
    <t>(11) 90513-9596</t>
  </si>
  <si>
    <t>Olívia Ribeiro</t>
  </si>
  <si>
    <t>olivia.ribeiro26@gmail.com</t>
  </si>
  <si>
    <t>(85) 98828-3671</t>
  </si>
  <si>
    <t>816.031.966-50</t>
  </si>
  <si>
    <t>(62) 98190-7787</t>
  </si>
  <si>
    <t>(11) 98231-9569</t>
  </si>
  <si>
    <t>385.187.156-10</t>
  </si>
  <si>
    <t>582.189.988-53</t>
  </si>
  <si>
    <t>(62) 97060-6273</t>
  </si>
  <si>
    <t>Bianca Rocha Barbosa</t>
  </si>
  <si>
    <t>461.303.216-43</t>
  </si>
  <si>
    <t>Yasmin Nogueira</t>
  </si>
  <si>
    <t>055.308.359-70</t>
  </si>
  <si>
    <t>(62) 99645-0236</t>
  </si>
  <si>
    <t>Olívia Monteiro</t>
  </si>
  <si>
    <t>(11) 98479-5239</t>
  </si>
  <si>
    <t>034.831.493-09</t>
  </si>
  <si>
    <t>(11) 97393-2869</t>
  </si>
  <si>
    <t>(62) 97227-4321</t>
  </si>
  <si>
    <t>Natália Oliveira Nogueira</t>
  </si>
  <si>
    <t>(41) 92172-1031</t>
  </si>
  <si>
    <t>Vanessa Santos Moreira</t>
  </si>
  <si>
    <t>847.267.784-20</t>
  </si>
  <si>
    <t>Thaís Farias Fernandes</t>
  </si>
  <si>
    <t>609.897.655-47</t>
  </si>
  <si>
    <t>(11) 99623-1449</t>
  </si>
  <si>
    <t>188.515.268-00</t>
  </si>
  <si>
    <t>(21) 99710-0416</t>
  </si>
  <si>
    <t>365.745.782-80</t>
  </si>
  <si>
    <t>597.590.304-11</t>
  </si>
  <si>
    <t>838.959.308-49</t>
  </si>
  <si>
    <t>(31) 94393-6869</t>
  </si>
  <si>
    <t>Tainá Pinto</t>
  </si>
  <si>
    <t>791.893.313-38</t>
  </si>
  <si>
    <t>963.533.550-41</t>
  </si>
  <si>
    <t>(41) 94567-8651</t>
  </si>
  <si>
    <t>604.405.981-25</t>
  </si>
  <si>
    <t>(41) 96598-8931</t>
  </si>
  <si>
    <t>329.043.471-00</t>
  </si>
  <si>
    <t>(31) 96480-9418</t>
  </si>
  <si>
    <t>212.564.095-37</t>
  </si>
  <si>
    <t>(11) 94154-4366</t>
  </si>
  <si>
    <t>Mariana Tavares</t>
  </si>
  <si>
    <t>911.208.857-95</t>
  </si>
  <si>
    <t>(61) 97258-1907</t>
  </si>
  <si>
    <t>988.317.667-83</t>
  </si>
  <si>
    <t>Júlia Nascimento</t>
  </si>
  <si>
    <t>(11) 98792-5278</t>
  </si>
  <si>
    <t>538.550.079-85</t>
  </si>
  <si>
    <t>Olívia Cavalcanti Campos</t>
  </si>
  <si>
    <t>726.258.377-80</t>
  </si>
  <si>
    <t>216.218.916-07</t>
  </si>
  <si>
    <t>(51) 93576-6634</t>
  </si>
  <si>
    <t>Helena Dias Cardoso</t>
  </si>
  <si>
    <t>helena.cardoso59@outlook.com</t>
  </si>
  <si>
    <t>508.241.947-13</t>
  </si>
  <si>
    <t>(11) 98347-5337</t>
  </si>
  <si>
    <t>579.315.379-98</t>
  </si>
  <si>
    <t>(11) 90085-6480</t>
  </si>
  <si>
    <t>221.747.638-69</t>
  </si>
  <si>
    <t>(11) 96262-6189</t>
  </si>
  <si>
    <t>117.319.437-17</t>
  </si>
  <si>
    <t>567.189.987-70</t>
  </si>
  <si>
    <t>444.089.668-51</t>
  </si>
  <si>
    <t>(48) 99046-9316</t>
  </si>
  <si>
    <t>388.839.750-22</t>
  </si>
  <si>
    <t>(62) 99117-7373</t>
  </si>
  <si>
    <t>082.941.871-78</t>
  </si>
  <si>
    <t>(11) 91804-7453</t>
  </si>
  <si>
    <t>(11) 96386-9017</t>
  </si>
  <si>
    <t>415.894.044-32</t>
  </si>
  <si>
    <t>329.590.698-03</t>
  </si>
  <si>
    <t>marcelo.gomes7@yahoo.com.br</t>
  </si>
  <si>
    <t>(41) 91196-0345</t>
  </si>
  <si>
    <t>419.462.555-21</t>
  </si>
  <si>
    <t>783.815.266-63</t>
  </si>
  <si>
    <t>(31) 96494-4574</t>
  </si>
  <si>
    <t>689.838.363-93</t>
  </si>
  <si>
    <t>(11) 99704-3747</t>
  </si>
  <si>
    <t>272.617.924-03</t>
  </si>
  <si>
    <t>943.961.171-59</t>
  </si>
  <si>
    <t>(31) 97039-2245</t>
  </si>
  <si>
    <t>354.014.153-70</t>
  </si>
  <si>
    <t>(51) 94397-6145</t>
  </si>
  <si>
    <t>Júlia Ferreira</t>
  </si>
  <si>
    <t>865.662.870-43</t>
  </si>
  <si>
    <t>Fernanda Farias Gomes</t>
  </si>
  <si>
    <t>734.059.293-85</t>
  </si>
  <si>
    <t>350.378.942-12</t>
  </si>
  <si>
    <t>Bianca Ferreira Nogueira</t>
  </si>
  <si>
    <t>533.508.554-15</t>
  </si>
  <si>
    <t>757.388.264-50</t>
  </si>
  <si>
    <t>(19) 97518-5325</t>
  </si>
  <si>
    <t>Henrique Silva</t>
  </si>
  <si>
    <t>102.719.253-02</t>
  </si>
  <si>
    <t>(41) 97249-4373</t>
  </si>
  <si>
    <t>Yasmin Fernandes</t>
  </si>
  <si>
    <t>869.921.458-86</t>
  </si>
  <si>
    <t>(11) 91207-4576</t>
  </si>
  <si>
    <t>355.757.523-30</t>
  </si>
  <si>
    <t>(11) 91006-0057</t>
  </si>
  <si>
    <t>256.453.415-54</t>
  </si>
  <si>
    <t>420.805.536-74</t>
  </si>
  <si>
    <t>Júlia Gonçalves Fernandes</t>
  </si>
  <si>
    <t>Rafaela Campos Fernandes</t>
  </si>
  <si>
    <t>067.638.269-07</t>
  </si>
  <si>
    <t>(41) 98183-6526</t>
  </si>
  <si>
    <t>(11) 95855-6892</t>
  </si>
  <si>
    <t>Melissa Dias Gomes</t>
  </si>
  <si>
    <t>775.154.361-23</t>
  </si>
  <si>
    <t>(11) 96601-5175</t>
  </si>
  <si>
    <t>678.404.561-03</t>
  </si>
  <si>
    <t>debora.ribeiro42@bol.com.br</t>
  </si>
  <si>
    <t>997.106.180-59</t>
  </si>
  <si>
    <t>(41) 97900-1271</t>
  </si>
  <si>
    <t>055.820.980-70</t>
  </si>
  <si>
    <t>Rafael Dias Santana</t>
  </si>
  <si>
    <t>427.487.150-98</t>
  </si>
  <si>
    <t>(11) 92261-3478</t>
  </si>
  <si>
    <t>Emanuel Soares</t>
  </si>
  <si>
    <t>170.046.341-16</t>
  </si>
  <si>
    <t>(61) 96626-9791</t>
  </si>
  <si>
    <t>664.436.516-77</t>
  </si>
  <si>
    <t>Heitor Teixeira</t>
  </si>
  <si>
    <t>490.693.381-57</t>
  </si>
  <si>
    <t>(11) 93029-9140</t>
  </si>
  <si>
    <t>Rafael Campos Freitas</t>
  </si>
  <si>
    <t>157.021.198-19</t>
  </si>
  <si>
    <t>(11) 96105-0312</t>
  </si>
  <si>
    <t>893.014.694-56</t>
  </si>
  <si>
    <t>(19) 95632-4965</t>
  </si>
  <si>
    <t>(11) 93191-4426</t>
  </si>
  <si>
    <t>968.947.888-55</t>
  </si>
  <si>
    <t>(61) 91186-5188</t>
  </si>
  <si>
    <t>366.350.804-81</t>
  </si>
  <si>
    <t>392.755.865-60</t>
  </si>
  <si>
    <t>Otávio Tavares</t>
  </si>
  <si>
    <t>284.928.827-60</t>
  </si>
  <si>
    <t>Camila Souza Teixeira</t>
  </si>
  <si>
    <t>(31) 94718-5542</t>
  </si>
  <si>
    <t>346.087.054-07</t>
  </si>
  <si>
    <t>(11) 93963-9057</t>
  </si>
  <si>
    <t>Eduarda Ribeiro Almeida</t>
  </si>
  <si>
    <t>995.579.172-10</t>
  </si>
  <si>
    <t>(71) 99181-7352</t>
  </si>
  <si>
    <t>Valentina Almeida Freitas</t>
  </si>
  <si>
    <t>(21) 93403-5991</t>
  </si>
  <si>
    <t>979.828.956-03</t>
  </si>
  <si>
    <t>Marcelo Ribeiro Pereira</t>
  </si>
  <si>
    <t>899.650.641-99</t>
  </si>
  <si>
    <t>Vanessa Moura Ferreira</t>
  </si>
  <si>
    <t>342.019.388-24</t>
  </si>
  <si>
    <t>Ricardo Costa</t>
  </si>
  <si>
    <t>646.834.601-06</t>
  </si>
  <si>
    <t>ricardo.costa60@gmail.com</t>
  </si>
  <si>
    <t>(11) 96317-6874</t>
  </si>
  <si>
    <t>342.658.781-56</t>
  </si>
  <si>
    <t>(11) 94649-4617</t>
  </si>
  <si>
    <t>(41) 99735-4194</t>
  </si>
  <si>
    <t>263.769.683-41</t>
  </si>
  <si>
    <t>(11) 91750-7380</t>
  </si>
  <si>
    <t>Emanuelly Barbosa</t>
  </si>
  <si>
    <t>572.439.465-00</t>
  </si>
  <si>
    <t>(11) 94191-3314</t>
  </si>
  <si>
    <t>Manuela Farias</t>
  </si>
  <si>
    <t>Olívia Silva Araújo</t>
  </si>
  <si>
    <t>504.731.483-90</t>
  </si>
  <si>
    <t>Luana Monteiro</t>
  </si>
  <si>
    <t>793.313.890-00</t>
  </si>
  <si>
    <t>(31) 93146-5529</t>
  </si>
  <si>
    <t>Lívia Mendes</t>
  </si>
  <si>
    <t>467.737.053-20</t>
  </si>
  <si>
    <t>(31) 90625-5528</t>
  </si>
  <si>
    <t>087.823.424-15</t>
  </si>
  <si>
    <t>(11) 93748-4445</t>
  </si>
  <si>
    <t>(62) 92695-4603</t>
  </si>
  <si>
    <t>Davi Araújo Nunes</t>
  </si>
  <si>
    <t>(11) 96777-1036</t>
  </si>
  <si>
    <t>Olívia Nascimento Barbosa</t>
  </si>
  <si>
    <t>(31) 93244-5610</t>
  </si>
  <si>
    <t>(11) 97673-5502</t>
  </si>
  <si>
    <t>Rodrigo Cavalcanti</t>
  </si>
  <si>
    <t>648.568.223-65</t>
  </si>
  <si>
    <t>711.121.404-84</t>
  </si>
  <si>
    <t>(11) 96867-8130</t>
  </si>
  <si>
    <t>941.926.341-04</t>
  </si>
  <si>
    <t>863.860.561-75</t>
  </si>
  <si>
    <t>(31) 93485-8471</t>
  </si>
  <si>
    <t>Alexandre Gomes</t>
  </si>
  <si>
    <t>alexandre.gomes37@icloud.com</t>
  </si>
  <si>
    <t>914.434.777-45</t>
  </si>
  <si>
    <t>(11) 92434-7053</t>
  </si>
  <si>
    <t>347.468.791-33</t>
  </si>
  <si>
    <t>984.683.258-30</t>
  </si>
  <si>
    <t>Marcelo Peixoto</t>
  </si>
  <si>
    <t>(11) 98636-9415</t>
  </si>
  <si>
    <t>110.860.604-07</t>
  </si>
  <si>
    <t>(11) 96918-0441</t>
  </si>
  <si>
    <t>643.700.920-94</t>
  </si>
  <si>
    <t>Emanuel Freitas</t>
  </si>
  <si>
    <t>(41) 99004-7309</t>
  </si>
  <si>
    <t>Giovanna Nascimento</t>
  </si>
  <si>
    <t>(31) 95225-9717</t>
  </si>
  <si>
    <t>(31) 93630-9706</t>
  </si>
  <si>
    <t>(31) 90581-8504</t>
  </si>
  <si>
    <t>493.095.975-69</t>
  </si>
  <si>
    <t>(11) 99095-5171</t>
  </si>
  <si>
    <t>330.262.937-09</t>
  </si>
  <si>
    <t>659.079.247-05</t>
  </si>
  <si>
    <t>(11) 99803-2146</t>
  </si>
  <si>
    <t>982.395.665-02</t>
  </si>
  <si>
    <t>ana.peixoto94@bol.com.br</t>
  </si>
  <si>
    <t>964.048.969-74</t>
  </si>
  <si>
    <t>(19) 94112-8674</t>
  </si>
  <si>
    <t>Clara Fonseca</t>
  </si>
  <si>
    <t>517.934.662-20</t>
  </si>
  <si>
    <t>(51) 96729-0706</t>
  </si>
  <si>
    <t>295.325.088-30</t>
  </si>
  <si>
    <t>(31) 95772-3350</t>
  </si>
  <si>
    <t>(47) 96574-4792</t>
  </si>
  <si>
    <t>867.280.458-99</t>
  </si>
  <si>
    <t>Laura Nunes Cavalcanti</t>
  </si>
  <si>
    <t>332.226.540-42</t>
  </si>
  <si>
    <t>(11) 97119-1296</t>
  </si>
  <si>
    <t>(31) 94523-3887</t>
  </si>
  <si>
    <t>(31) 98498-3867</t>
  </si>
  <si>
    <t>Luana Fonseca Nunes</t>
  </si>
  <si>
    <t>425.702.567-06</t>
  </si>
  <si>
    <t>979.437.024-09</t>
  </si>
  <si>
    <t>Bernardo Rodrigues Monteiro</t>
  </si>
  <si>
    <t>919.434.572-47</t>
  </si>
  <si>
    <t>Hugo Lima Barros</t>
  </si>
  <si>
    <t>597.008.569-33</t>
  </si>
  <si>
    <t>(62) 91668-1076</t>
  </si>
  <si>
    <t>(21) 98478-0068</t>
  </si>
  <si>
    <t>884.903.975-11</t>
  </si>
  <si>
    <t>Letícia Marques</t>
  </si>
  <si>
    <t>825.662.515-50</t>
  </si>
  <si>
    <t>(41) 91806-7122</t>
  </si>
  <si>
    <t>681.574.765-42</t>
  </si>
  <si>
    <t>(41) 96879-5387</t>
  </si>
  <si>
    <t>338.552.350-82</t>
  </si>
  <si>
    <t>(51) 91543-7241</t>
  </si>
  <si>
    <t>Alexandre Batista</t>
  </si>
  <si>
    <t>874.391.558-23</t>
  </si>
  <si>
    <t>Nicole Barros Campos</t>
  </si>
  <si>
    <t>458.460.123-29</t>
  </si>
  <si>
    <t>Bruno Ribeiro</t>
  </si>
  <si>
    <t>(11) 96676-5648</t>
  </si>
  <si>
    <t>084.388.703-68</t>
  </si>
  <si>
    <t>(11) 96487-5191</t>
  </si>
  <si>
    <t>716.379.140-24</t>
  </si>
  <si>
    <t>(11) 96103-4105</t>
  </si>
  <si>
    <t>(31) 90178-6563</t>
  </si>
  <si>
    <t>684.282.509-10</t>
  </si>
  <si>
    <t>(11) 99098-4002</t>
  </si>
  <si>
    <t>864.358.372-36</t>
  </si>
  <si>
    <t>(11) 97948-5180</t>
  </si>
  <si>
    <t>320.303.508-18</t>
  </si>
  <si>
    <t>630.990.577-54</t>
  </si>
  <si>
    <t>(71) 93297-6326</t>
  </si>
  <si>
    <t>019.150.253-70</t>
  </si>
  <si>
    <t>yasmin.rezende79@yahoo.com.br</t>
  </si>
  <si>
    <t>(48) 92246-3219</t>
  </si>
  <si>
    <t>834.716.588-23</t>
  </si>
  <si>
    <t>476.168.946-31</t>
  </si>
  <si>
    <t>Renan Barbosa</t>
  </si>
  <si>
    <t>(11) 94784-6255</t>
  </si>
  <si>
    <t>302.269.880-15</t>
  </si>
  <si>
    <t>Vitória Gonçalves</t>
  </si>
  <si>
    <t>Emanuelly Correia</t>
  </si>
  <si>
    <t>Caio Santana Pinto</t>
  </si>
  <si>
    <t>(11) 90950-2153</t>
  </si>
  <si>
    <t>014.701.863-30</t>
  </si>
  <si>
    <t>(31) 98037-8098</t>
  </si>
  <si>
    <t>933.815.606-03</t>
  </si>
  <si>
    <t>(31) 98323-6118</t>
  </si>
  <si>
    <t>069.605.864-29</t>
  </si>
  <si>
    <t>(11) 93237-4421</t>
  </si>
  <si>
    <t>290.028.692-15</t>
  </si>
  <si>
    <t>651.184.464-14</t>
  </si>
  <si>
    <t>(11) 96630-7591</t>
  </si>
  <si>
    <t>(11) 97762-6998</t>
  </si>
  <si>
    <t>Igor Fernandes</t>
  </si>
  <si>
    <t>295.273.769-04</t>
  </si>
  <si>
    <t>Caio Moura</t>
  </si>
  <si>
    <t>145.986.442-57</t>
  </si>
  <si>
    <t>(11) 93463-4325</t>
  </si>
  <si>
    <t>917.296.860-52</t>
  </si>
  <si>
    <t>(41) 96708-3368</t>
  </si>
  <si>
    <t>(31) 97803-7467</t>
  </si>
  <si>
    <t>377.179.639-30</t>
  </si>
  <si>
    <t>(62) 90723-7115</t>
  </si>
  <si>
    <t>Lívia Cardoso</t>
  </si>
  <si>
    <t>070.588.501-19</t>
  </si>
  <si>
    <t>Letícia Batista Gomes</t>
  </si>
  <si>
    <t>008.821.760-48</t>
  </si>
  <si>
    <t>(11) 97449-2686</t>
  </si>
  <si>
    <t>558.707.566-42</t>
  </si>
  <si>
    <t>(19) 90213-6688</t>
  </si>
  <si>
    <t>504.363.325-58</t>
  </si>
  <si>
    <t>(11) 91476-5184</t>
  </si>
  <si>
    <t>635.657.682-07</t>
  </si>
  <si>
    <t>(11) 92029-2592</t>
  </si>
  <si>
    <t>008.852.051-03</t>
  </si>
  <si>
    <t>352.829.246-68</t>
  </si>
  <si>
    <t>(11) 90756-5357</t>
  </si>
  <si>
    <t>993.900.020-01</t>
  </si>
  <si>
    <t>(11) 90838-0993</t>
  </si>
  <si>
    <t>Rafaela Alves Correia</t>
  </si>
  <si>
    <t>544.339.564-57</t>
  </si>
  <si>
    <t>Helena Freitas</t>
  </si>
  <si>
    <t>526.835.672-00</t>
  </si>
  <si>
    <t>870.265.769-41</t>
  </si>
  <si>
    <t>(11) 95923-1055</t>
  </si>
  <si>
    <t>572.762.948-97</t>
  </si>
  <si>
    <t>(11) 93715-4690</t>
  </si>
  <si>
    <t>(41) 94520-0172</t>
  </si>
  <si>
    <t>(11) 91231-3167</t>
  </si>
  <si>
    <t>652.363.881-20</t>
  </si>
  <si>
    <t>874.051.330-02</t>
  </si>
  <si>
    <t>881.190.729-28</t>
  </si>
  <si>
    <t>768.910.511-42</t>
  </si>
  <si>
    <t>Beatriz Moura</t>
  </si>
  <si>
    <t>060.062.932-50</t>
  </si>
  <si>
    <t>(11) 91511-1490</t>
  </si>
  <si>
    <t>Jaqueline Vieira Rodrigues</t>
  </si>
  <si>
    <t>278.544.814-66</t>
  </si>
  <si>
    <t>(41) 91165-9691</t>
  </si>
  <si>
    <t>409.088.314-80</t>
  </si>
  <si>
    <t>(41) 96717-4583</t>
  </si>
  <si>
    <t>Luana Santos Campos</t>
  </si>
  <si>
    <t>117.644.476-03</t>
  </si>
  <si>
    <t>098.894.030-21</t>
  </si>
  <si>
    <t>(31) 90917-8832</t>
  </si>
  <si>
    <t>249.494.977-74</t>
  </si>
  <si>
    <t>(11) 92001-0066</t>
  </si>
  <si>
    <t>035.899.324-57</t>
  </si>
  <si>
    <t>(31) 95169-7031</t>
  </si>
  <si>
    <t>(11) 93503-0747</t>
  </si>
  <si>
    <t>(71) 93430-5545</t>
  </si>
  <si>
    <t>070.314.408-15</t>
  </si>
  <si>
    <t>365.909.976-75</t>
  </si>
  <si>
    <t>(19) 97458-8215</t>
  </si>
  <si>
    <t>Matheus Pinto Costa</t>
  </si>
  <si>
    <t>(31) 95962-5843</t>
  </si>
  <si>
    <t>(11) 97902-5986</t>
  </si>
  <si>
    <t>(11) 98070-6490</t>
  </si>
  <si>
    <t>262.415.658-50</t>
  </si>
  <si>
    <t>(31) 92010-1210</t>
  </si>
  <si>
    <t>Heloísa Gonçalves Rocha</t>
  </si>
  <si>
    <t>269.002.407-12</t>
  </si>
  <si>
    <t>754.710.012-06</t>
  </si>
  <si>
    <t>767.179.679-43</t>
  </si>
  <si>
    <t>(31) 91749-1147</t>
  </si>
  <si>
    <t>791.836.390-63</t>
  </si>
  <si>
    <t>(61) 99842-2289</t>
  </si>
  <si>
    <t>400.904.794-16</t>
  </si>
  <si>
    <t>(21) 92608-9553</t>
  </si>
  <si>
    <t>Caetano Andrade</t>
  </si>
  <si>
    <t>504.822.902-93</t>
  </si>
  <si>
    <t>Renata Peixoto Dias</t>
  </si>
  <si>
    <t>060.479.517-32</t>
  </si>
  <si>
    <t>Ana Teixeira Dias</t>
  </si>
  <si>
    <t>091.104.808-11</t>
  </si>
  <si>
    <t>(31) 94735-5316</t>
  </si>
  <si>
    <t>040.597.850-24</t>
  </si>
  <si>
    <t>bruna.rezende74@hotmail.com</t>
  </si>
  <si>
    <t>(21) 90571-3287</t>
  </si>
  <si>
    <t>Gabriel Almeida Monteiro</t>
  </si>
  <si>
    <t>gabriel.monteiro9@bol.com.br</t>
  </si>
  <si>
    <t>(31) 90663-9612</t>
  </si>
  <si>
    <t>785.849.339-64</t>
  </si>
  <si>
    <t>714.685.923-19</t>
  </si>
  <si>
    <t>(11) 99370-7431</t>
  </si>
  <si>
    <t>Olívia Farias</t>
  </si>
  <si>
    <t>330.220.698-47</t>
  </si>
  <si>
    <t>293.512.435-91</t>
  </si>
  <si>
    <t>(11) 97641-0275</t>
  </si>
  <si>
    <t>705.570.922-99</t>
  </si>
  <si>
    <t>(31) 97247-9782</t>
  </si>
  <si>
    <t>280.265.310-51</t>
  </si>
  <si>
    <t>453.871.690-10</t>
  </si>
  <si>
    <t>(48) 91914-7970</t>
  </si>
  <si>
    <t>Daniela Mendes Freitas</t>
  </si>
  <si>
    <t>(41) 98311-7961</t>
  </si>
  <si>
    <t>Bernardo Almeida</t>
  </si>
  <si>
    <t>219.728.214-07</t>
  </si>
  <si>
    <t>(31) 94342-4184</t>
  </si>
  <si>
    <t>200.082.755-13</t>
  </si>
  <si>
    <t>338.491.980-73</t>
  </si>
  <si>
    <t>(11) 98229-2724</t>
  </si>
  <si>
    <t>157.102.460-34</t>
  </si>
  <si>
    <t>(11) 99574-7963</t>
  </si>
  <si>
    <t>Felipe Monteiro</t>
  </si>
  <si>
    <t>(41) 98967-8696</t>
  </si>
  <si>
    <t>Juliana Campos</t>
  </si>
  <si>
    <t>108.824.037-29</t>
  </si>
  <si>
    <t>050.421.409-80</t>
  </si>
  <si>
    <t>(11) 96766-7788</t>
  </si>
  <si>
    <t>Vitória Machado Moura</t>
  </si>
  <si>
    <t>010.971.460-14</t>
  </si>
  <si>
    <t>754.997.868-95</t>
  </si>
  <si>
    <t>408.350.179-07</t>
  </si>
  <si>
    <t>(85) 95942-4223</t>
  </si>
  <si>
    <t>410.383.998-82</t>
  </si>
  <si>
    <t>(11) 92958-3231</t>
  </si>
  <si>
    <t>(11) 92106-5682</t>
  </si>
  <si>
    <t>Gabriel Fonseca Gomes</t>
  </si>
  <si>
    <t>570.056.584-69</t>
  </si>
  <si>
    <t>(11) 92017-4673</t>
  </si>
  <si>
    <t>634.349.221-64</t>
  </si>
  <si>
    <t>(11) 97918-5708</t>
  </si>
  <si>
    <t>859.089.178-00</t>
  </si>
  <si>
    <t>sofia.machado56@gmail.com</t>
  </si>
  <si>
    <t>470.821.332-86</t>
  </si>
  <si>
    <t>(41) 90840-8248</t>
  </si>
  <si>
    <t>848.119.555-36</t>
  </si>
  <si>
    <t>(11) 90053-5592</t>
  </si>
  <si>
    <t>Renata Alves</t>
  </si>
  <si>
    <t>(11) 90361-4946</t>
  </si>
  <si>
    <t>Hugo Barros</t>
  </si>
  <si>
    <t>134.895.184-20</t>
  </si>
  <si>
    <t>Teo Moreira</t>
  </si>
  <si>
    <t>467.915.843-35</t>
  </si>
  <si>
    <t>teo.moreira80@gmail.com</t>
  </si>
  <si>
    <t>(61) 91210-7389</t>
  </si>
  <si>
    <t>(11) 94720-8641</t>
  </si>
  <si>
    <t>Cecília Barros Andrade</t>
  </si>
  <si>
    <t>Isabela Gonçalves</t>
  </si>
  <si>
    <t>(11) 99974-3813</t>
  </si>
  <si>
    <t>469.451.287-09</t>
  </si>
  <si>
    <t>(41) 99802-4627</t>
  </si>
  <si>
    <t>983.579.607-66</t>
  </si>
  <si>
    <t>(31) 90368-0044</t>
  </si>
  <si>
    <t>884.189.190-43</t>
  </si>
  <si>
    <t>(11) 98931-3548</t>
  </si>
  <si>
    <t>041.374.150-80</t>
  </si>
  <si>
    <t>(11) 93400-1100</t>
  </si>
  <si>
    <t>341.015.707-79</t>
  </si>
  <si>
    <t>359.214.375-14</t>
  </si>
  <si>
    <t>761.613.081-00</t>
  </si>
  <si>
    <t>(11) 94159-0223</t>
  </si>
  <si>
    <t>042.272.667-26</t>
  </si>
  <si>
    <t>(11) 91535-1866</t>
  </si>
  <si>
    <t>Débora Gomes Rezende</t>
  </si>
  <si>
    <t>211.224.286-50</t>
  </si>
  <si>
    <t>(61) 97149-1354</t>
  </si>
  <si>
    <t>599.279.005-54</t>
  </si>
  <si>
    <t>(11) 97363-3717</t>
  </si>
  <si>
    <t>133.528.890-23</t>
  </si>
  <si>
    <t>350.276.782-31</t>
  </si>
  <si>
    <t>(11) 92362-6811</t>
  </si>
  <si>
    <t>250.275.036-95</t>
  </si>
  <si>
    <t>204.914.541-12</t>
  </si>
  <si>
    <t>(31) 97574-3288</t>
  </si>
  <si>
    <t>419.697.051-67</t>
  </si>
  <si>
    <t>197.136.726-58</t>
  </si>
  <si>
    <t>150.467.870-24</t>
  </si>
  <si>
    <t>Gustavo Mendes</t>
  </si>
  <si>
    <t>(31) 95922-1921</t>
  </si>
  <si>
    <t>Juliana Rocha Andrade</t>
  </si>
  <si>
    <t>619.613.740-99</t>
  </si>
  <si>
    <t>609.868.631-90</t>
  </si>
  <si>
    <t>(31) 98610-2491</t>
  </si>
  <si>
    <t>Manuela Oliveira Lima</t>
  </si>
  <si>
    <t>806.515.799-88</t>
  </si>
  <si>
    <t>(61) 94955-9658</t>
  </si>
  <si>
    <t>(11) 96336-9342</t>
  </si>
  <si>
    <t>(11) 98443-3782</t>
  </si>
  <si>
    <t>749.806.449-96</t>
  </si>
  <si>
    <t>207.937.397-80</t>
  </si>
  <si>
    <t>(41) 92743-2531</t>
  </si>
  <si>
    <t>Cecília Batista</t>
  </si>
  <si>
    <t>620.878.349-62</t>
  </si>
  <si>
    <t>552.424.463-90</t>
  </si>
  <si>
    <t>(11) 95866-9052</t>
  </si>
  <si>
    <t>(41) 94366-7354</t>
  </si>
  <si>
    <t>550.944.632-33</t>
  </si>
  <si>
    <t>Tainá Silva</t>
  </si>
  <si>
    <t>Helena Santana</t>
  </si>
  <si>
    <t>524.042.392-01</t>
  </si>
  <si>
    <t>278.534.323-99</t>
  </si>
  <si>
    <t>(11) 98965-4817</t>
  </si>
  <si>
    <t>Valentina Cavalcanti Barros</t>
  </si>
  <si>
    <t>450.440.304-81</t>
  </si>
  <si>
    <t>475.635.974-41</t>
  </si>
  <si>
    <t>(21) 91198-7290</t>
  </si>
  <si>
    <t>959.050.342-06</t>
  </si>
  <si>
    <t>Aline Lima Costa</t>
  </si>
  <si>
    <t>952.987.358-19</t>
  </si>
  <si>
    <t>156.050.248-76</t>
  </si>
  <si>
    <t>779.622.374-90</t>
  </si>
  <si>
    <t>877.674.520-18</t>
  </si>
  <si>
    <t>027.151.525-23</t>
  </si>
  <si>
    <t>673.938.098-85</t>
  </si>
  <si>
    <t>(31) 93323-2418</t>
  </si>
  <si>
    <t>Eduardo Rocha Vieira</t>
  </si>
  <si>
    <t>562.076.724-88</t>
  </si>
  <si>
    <t>(31) 97003-4133</t>
  </si>
  <si>
    <t>Alexandre Ribeiro</t>
  </si>
  <si>
    <t>002.747.357-09</t>
  </si>
  <si>
    <t>(11) 94003-6688</t>
  </si>
  <si>
    <t>311.747.578-84</t>
  </si>
  <si>
    <t>111.208.714-17</t>
  </si>
  <si>
    <t>(11) 99536-2878</t>
  </si>
  <si>
    <t>Olívia Peixoto Moreira</t>
  </si>
  <si>
    <t>074.439.903-32</t>
  </si>
  <si>
    <t>Nicolas Costa</t>
  </si>
  <si>
    <t>500.998.035-50</t>
  </si>
  <si>
    <t>Otávio Andrade</t>
  </si>
  <si>
    <t>otavio.andrade16@gmail.com</t>
  </si>
  <si>
    <t>Matheus Costa</t>
  </si>
  <si>
    <t>451.122.612-18</t>
  </si>
  <si>
    <t>Miguel Lima Moura</t>
  </si>
  <si>
    <t>226.412.187-47</t>
  </si>
  <si>
    <t>427.301.338-01</t>
  </si>
  <si>
    <t>(11) 94435-2259</t>
  </si>
  <si>
    <t>Letícia Monteiro Mendes</t>
  </si>
  <si>
    <t>058.203.356-00</t>
  </si>
  <si>
    <t>Cecília Oliveira</t>
  </si>
  <si>
    <t>(11) 94276-6065</t>
  </si>
  <si>
    <t>(11) 91547-8098</t>
  </si>
  <si>
    <t>977.166.837-48</t>
  </si>
  <si>
    <t>(31) 95341-1710</t>
  </si>
  <si>
    <t>Natália Silva</t>
  </si>
  <si>
    <t>Caio Nascimento Souza</t>
  </si>
  <si>
    <t>300.847.834-43</t>
  </si>
  <si>
    <t>(31) 93924-6805</t>
  </si>
  <si>
    <t>Júlia Souza</t>
  </si>
  <si>
    <t>746.754.381-64</t>
  </si>
  <si>
    <t>(11) 93969-2105</t>
  </si>
  <si>
    <t>Fábio Santana</t>
  </si>
  <si>
    <t>146.738.075-02</t>
  </si>
  <si>
    <t>Emanuelly Alves Souza</t>
  </si>
  <si>
    <t>013.196.190-02</t>
  </si>
  <si>
    <t>(11) 98343-1615</t>
  </si>
  <si>
    <t>Isabela Marques Lima</t>
  </si>
  <si>
    <t>301.340.031-52</t>
  </si>
  <si>
    <t>(47) 94872-4055</t>
  </si>
  <si>
    <t>Nicole Gomes Rezende</t>
  </si>
  <si>
    <t>(11) 96620-3010</t>
  </si>
  <si>
    <t>093.344.476-13</t>
  </si>
  <si>
    <t>(41) 98322-8552</t>
  </si>
  <si>
    <t>Murilo Campos</t>
  </si>
  <si>
    <t>893.553.455-26</t>
  </si>
  <si>
    <t>(11) 95170-5853</t>
  </si>
  <si>
    <t>(31) 93104-9782</t>
  </si>
  <si>
    <t>879.981.910-40</t>
  </si>
  <si>
    <t>Luan Ramos Ribeiro</t>
  </si>
  <si>
    <t>(31) 90981-8750</t>
  </si>
  <si>
    <t>Daniel Alves Teixeira</t>
  </si>
  <si>
    <t>(11) 90372-6664</t>
  </si>
  <si>
    <t>(11) 92805-4214</t>
  </si>
  <si>
    <t>Caio Marques Alves</t>
  </si>
  <si>
    <t>495.870.775-12</t>
  </si>
  <si>
    <t>(11) 99195-4636</t>
  </si>
  <si>
    <t>634.180.756-22</t>
  </si>
  <si>
    <t>(11) 94762-7465</t>
  </si>
  <si>
    <t>498.879.900-00</t>
  </si>
  <si>
    <t>917.705.260-99</t>
  </si>
  <si>
    <t>682.783.656-87</t>
  </si>
  <si>
    <t>(31) 92789-1314</t>
  </si>
  <si>
    <t>(11) 95147-1127</t>
  </si>
  <si>
    <t>(11) 90208-9974</t>
  </si>
  <si>
    <t>384.846.924-34</t>
  </si>
  <si>
    <t>(31) 93464-4077</t>
  </si>
  <si>
    <t>467.096.166-73</t>
  </si>
  <si>
    <t>968.557.900-89</t>
  </si>
  <si>
    <t>(21) 90657-2130</t>
  </si>
  <si>
    <t>390.891.190-78</t>
  </si>
  <si>
    <t>(11) 93923-3039</t>
  </si>
  <si>
    <t>200.316.751-07</t>
  </si>
  <si>
    <t>(11) 92464-7121</t>
  </si>
  <si>
    <t>(11) 91258-4397</t>
  </si>
  <si>
    <t>031.199.120-34</t>
  </si>
  <si>
    <t>700.907.153-57</t>
  </si>
  <si>
    <t>Renata Peixoto</t>
  </si>
  <si>
    <t>(41) 91102-1955</t>
  </si>
  <si>
    <t>Emanuelly Alves Pinto</t>
  </si>
  <si>
    <t>608.705.895-80</t>
  </si>
  <si>
    <t>(47) 99768-5692</t>
  </si>
  <si>
    <t>Valentina Gomes Ferreira</t>
  </si>
  <si>
    <t>(11) 97935-7831</t>
  </si>
  <si>
    <t>652.982.728-51</t>
  </si>
  <si>
    <t>(62) 99284-9187</t>
  </si>
  <si>
    <t>697.546.747-10</t>
  </si>
  <si>
    <t>(11) 94134-1220</t>
  </si>
  <si>
    <t>020.631.027-75</t>
  </si>
  <si>
    <t>083.847.197-80</t>
  </si>
  <si>
    <t>(48) 90595-2663</t>
  </si>
  <si>
    <t>(41) 91581-9544</t>
  </si>
  <si>
    <t>522.046.431-06</t>
  </si>
  <si>
    <t>(11) 94957-9480</t>
  </si>
  <si>
    <t>(41) 99142-1160</t>
  </si>
  <si>
    <t>Clara Oliveira Monteiro</t>
  </si>
  <si>
    <t>(21) 92685-0831</t>
  </si>
  <si>
    <t>240.957.541-25</t>
  </si>
  <si>
    <t>(11) 92585-0296</t>
  </si>
  <si>
    <t>Júlia Farias</t>
  </si>
  <si>
    <t>083.898.593-94</t>
  </si>
  <si>
    <t>(11) 96700-5126</t>
  </si>
  <si>
    <t>(41) 95272-7240</t>
  </si>
  <si>
    <t>Otávio Rodrigues</t>
  </si>
  <si>
    <t>873.860.027-77</t>
  </si>
  <si>
    <t>(47) 99460-5788</t>
  </si>
  <si>
    <t>143.979.017-59</t>
  </si>
  <si>
    <t>864.727.761-99</t>
  </si>
  <si>
    <t>Helena Peixoto</t>
  </si>
  <si>
    <t>676.982.831-60</t>
  </si>
  <si>
    <t>(11) 91483-7474</t>
  </si>
  <si>
    <t>(11) 91346-2476</t>
  </si>
  <si>
    <t>351.228.789-19</t>
  </si>
  <si>
    <t>822.480.015-68</t>
  </si>
  <si>
    <t>515.929.392-28</t>
  </si>
  <si>
    <t>(85) 92428-3986</t>
  </si>
  <si>
    <t>624.403.646-81</t>
  </si>
  <si>
    <t>(31) 93173-1549</t>
  </si>
  <si>
    <t>(11) 98428-2468</t>
  </si>
  <si>
    <t>Ícaro Barros Nogueira</t>
  </si>
  <si>
    <t>998.251.711-20</t>
  </si>
  <si>
    <t>(31) 97914-8742</t>
  </si>
  <si>
    <t>611.880.350-10</t>
  </si>
  <si>
    <t>801.650.147-84</t>
  </si>
  <si>
    <t>(85) 92988-4212</t>
  </si>
  <si>
    <t>(11) 91330-7966</t>
  </si>
  <si>
    <t>561.988.452-06</t>
  </si>
  <si>
    <t>429.836.551-48</t>
  </si>
  <si>
    <t>Larissa Pereira Oliveira</t>
  </si>
  <si>
    <t>122.498.343-26</t>
  </si>
  <si>
    <t>(31) 90979-0556</t>
  </si>
  <si>
    <t>Alice Cardoso Alves</t>
  </si>
  <si>
    <t>105.916.969-08</t>
  </si>
  <si>
    <t>(21) 96526-5164</t>
  </si>
  <si>
    <t>Igor Barbosa Peixoto</t>
  </si>
  <si>
    <t>488.168.667-48</t>
  </si>
  <si>
    <t>(11) 90379-5751</t>
  </si>
  <si>
    <t>Bruna Gomes Campos</t>
  </si>
  <si>
    <t>845.162.944-00</t>
  </si>
  <si>
    <t>957.638.050-20</t>
  </si>
  <si>
    <t>(31) 97123-2459</t>
  </si>
  <si>
    <t>Teo Dias Mendes</t>
  </si>
  <si>
    <t>294.863.285-44</t>
  </si>
  <si>
    <t>(31) 94460-1193</t>
  </si>
  <si>
    <t>(21) 90275-1707</t>
  </si>
  <si>
    <t>Ricardo Martins Silva</t>
  </si>
  <si>
    <t>(11) 98511-0745</t>
  </si>
  <si>
    <t>Vanessa Cavalcanti</t>
  </si>
  <si>
    <t>954.992.682-66</t>
  </si>
  <si>
    <t>(31) 93174-5260</t>
  </si>
  <si>
    <t>252.619.476-85</t>
  </si>
  <si>
    <t>353.749.110-74</t>
  </si>
  <si>
    <t>(11) 93009-8524</t>
  </si>
  <si>
    <t>Larissa Soares</t>
  </si>
  <si>
    <t>830.662.082-81</t>
  </si>
  <si>
    <t>498.236.435-47</t>
  </si>
  <si>
    <t>(31) 96562-6790</t>
  </si>
  <si>
    <t>865.631.251-07</t>
  </si>
  <si>
    <t>(11) 92580-7710</t>
  </si>
  <si>
    <t>622.210.818-03</t>
  </si>
  <si>
    <t>895.683.886-05</t>
  </si>
  <si>
    <t>877.719.180-34</t>
  </si>
  <si>
    <t>(47) 91025-8071</t>
  </si>
  <si>
    <t>289.282.718-35</t>
  </si>
  <si>
    <t>Isabela Lopes Fernandes</t>
  </si>
  <si>
    <t>Fábio Correia</t>
  </si>
  <si>
    <t>(11) 99914-3633</t>
  </si>
  <si>
    <t>495.748.956-45</t>
  </si>
  <si>
    <t>(11) 90774-9394</t>
  </si>
  <si>
    <t>494.466.106-13</t>
  </si>
  <si>
    <t>(11) 92325-6006</t>
  </si>
  <si>
    <t>036.750.517-73</t>
  </si>
  <si>
    <t>839.966.152-05</t>
  </si>
  <si>
    <t>Bruna Pereira Ferreira</t>
  </si>
  <si>
    <t>(11) 95112-8103</t>
  </si>
  <si>
    <t>695.123.888-04</t>
  </si>
  <si>
    <t>(11) 95178-4613</t>
  </si>
  <si>
    <t>Arthur Nunes</t>
  </si>
  <si>
    <t>(11) 99378-9977</t>
  </si>
  <si>
    <t>421.138.770-74</t>
  </si>
  <si>
    <t>Heitor Santos Ribeiro</t>
  </si>
  <si>
    <t>817.216.008-92</t>
  </si>
  <si>
    <t>(41) 91845-2765</t>
  </si>
  <si>
    <t>705.054.626-72</t>
  </si>
  <si>
    <t>(51) 92821-5195</t>
  </si>
  <si>
    <t>954.077.863-89</t>
  </si>
  <si>
    <t>273.951.717-30</t>
  </si>
  <si>
    <t>Clara Pereira</t>
  </si>
  <si>
    <t>723.578.254-48</t>
  </si>
  <si>
    <t>(11) 92469-5837</t>
  </si>
  <si>
    <t>822.465.958-51</t>
  </si>
  <si>
    <t>Miguel Tavares Ferreira</t>
  </si>
  <si>
    <t>062.297.079-85</t>
  </si>
  <si>
    <t>684.289.526-04</t>
  </si>
  <si>
    <t>(11) 93398-9282</t>
  </si>
  <si>
    <t>941.518.394-29</t>
  </si>
  <si>
    <t>951.648.741-64</t>
  </si>
  <si>
    <t>(11) 95138-2779</t>
  </si>
  <si>
    <t>(47) 99919-9108</t>
  </si>
  <si>
    <t>809.337.188-53</t>
  </si>
  <si>
    <t>(11) 97685-1503</t>
  </si>
  <si>
    <t>651.300.261-36</t>
  </si>
  <si>
    <t>Bernardo Monteiro</t>
  </si>
  <si>
    <t>997.733.347-59</t>
  </si>
  <si>
    <t>(85) 91624-1380</t>
  </si>
  <si>
    <t>Melissa Moura Peixoto</t>
  </si>
  <si>
    <t>melissa.peixoto53@icloud.com</t>
  </si>
  <si>
    <t>511.424.261-06</t>
  </si>
  <si>
    <t>Vinícius Souza</t>
  </si>
  <si>
    <t>242.702.444-96</t>
  </si>
  <si>
    <t>vinicius.souza12@outlook.com</t>
  </si>
  <si>
    <t>(47) 95201-2394</t>
  </si>
  <si>
    <t>(11) 90364-7965</t>
  </si>
  <si>
    <t>078.729.175-72</t>
  </si>
  <si>
    <t>120.773.019-02</t>
  </si>
  <si>
    <t>(11) 91519-7085</t>
  </si>
  <si>
    <t>(21) 99302-6217</t>
  </si>
  <si>
    <t>449.367.712-01</t>
  </si>
  <si>
    <t>(11) 92320-2245</t>
  </si>
  <si>
    <t>696.825.784-00</t>
  </si>
  <si>
    <t>(11) 93734-6811</t>
  </si>
  <si>
    <t>Wesley Campos</t>
  </si>
  <si>
    <t>226.710.505-50</t>
  </si>
  <si>
    <t>Thiago Moura</t>
  </si>
  <si>
    <t>(11) 96392-1365</t>
  </si>
  <si>
    <t>(11) 92209-3695</t>
  </si>
  <si>
    <t>451.259.272-52</t>
  </si>
  <si>
    <t>(31) 90514-8688</t>
  </si>
  <si>
    <t>135.117.964-07</t>
  </si>
  <si>
    <t>(41) 94742-5102</t>
  </si>
  <si>
    <t>(31) 98005-3256</t>
  </si>
  <si>
    <t>Luan Vieira Alves</t>
  </si>
  <si>
    <t>(11) 92621-6303</t>
  </si>
  <si>
    <t>(62) 91207-2145</t>
  </si>
  <si>
    <t>564.304.906-61</t>
  </si>
  <si>
    <t>(71) 95563-1029</t>
  </si>
  <si>
    <t>461.267.232-10</t>
  </si>
  <si>
    <t>(11) 94273-5176</t>
  </si>
  <si>
    <t>411.270.039-33</t>
  </si>
  <si>
    <t>(21) 95499-3809</t>
  </si>
  <si>
    <t>265.702.497-11</t>
  </si>
  <si>
    <t>(31) 91847-3895</t>
  </si>
  <si>
    <t>(11) 96562-2777</t>
  </si>
  <si>
    <t>761.403.871-16</t>
  </si>
  <si>
    <t>(31) 99586-5175</t>
  </si>
  <si>
    <t>(41) 91806-7986</t>
  </si>
  <si>
    <t>Rafael Cardoso Nascimento</t>
  </si>
  <si>
    <t>lucas.santana83@icloud.com</t>
  </si>
  <si>
    <t>(31) 99095-1356</t>
  </si>
  <si>
    <t>825.290.263-43</t>
  </si>
  <si>
    <t>422.401.230-87</t>
  </si>
  <si>
    <t>(11) 94919-7587</t>
  </si>
  <si>
    <t>Manuela Lima Carvalho</t>
  </si>
  <si>
    <t>(51) 91900-6297</t>
  </si>
  <si>
    <t>(11) 95337-3000</t>
  </si>
  <si>
    <t>Rafaela Lopes Ramos</t>
  </si>
  <si>
    <t>990.508.201-82</t>
  </si>
  <si>
    <t>(11) 93922-6904</t>
  </si>
  <si>
    <t>123.370.329-30</t>
  </si>
  <si>
    <t>(31) 97092-2008</t>
  </si>
  <si>
    <t>Débora Andrade</t>
  </si>
  <si>
    <t>978.520.689-01</t>
  </si>
  <si>
    <t>210.213.006-16</t>
  </si>
  <si>
    <t>Valentina Ribeiro Souza</t>
  </si>
  <si>
    <t>820.555.467-67</t>
  </si>
  <si>
    <t>(11) 91513-2650</t>
  </si>
  <si>
    <t>378.841.225-96</t>
  </si>
  <si>
    <t>411.634.979-83</t>
  </si>
  <si>
    <t>(11) 92473-1205</t>
  </si>
  <si>
    <t>459.079.086-61</t>
  </si>
  <si>
    <t>marcelo.peixoto33@gmail.com</t>
  </si>
  <si>
    <t>Vitória Nunes</t>
  </si>
  <si>
    <t>603.456.955-93</t>
  </si>
  <si>
    <t>Heloísa Carvalho</t>
  </si>
  <si>
    <t>085.153.849-57</t>
  </si>
  <si>
    <t>364.304.806-82</t>
  </si>
  <si>
    <t>Davi Nascimento Ferreira</t>
  </si>
  <si>
    <t>134.359.859-17</t>
  </si>
  <si>
    <t>(11) 98981-6436</t>
  </si>
  <si>
    <t>055.703.519-81</t>
  </si>
  <si>
    <t>Paula Ramos Moura</t>
  </si>
  <si>
    <t>(31) 99686-7349</t>
  </si>
  <si>
    <t>486.334.356-67</t>
  </si>
  <si>
    <t>(19) 94396-6810</t>
  </si>
  <si>
    <t>(11) 97675-7658</t>
  </si>
  <si>
    <t>147.457.023-29</t>
  </si>
  <si>
    <t>(41) 98879-6219</t>
  </si>
  <si>
    <t>(11) 96272-0388</t>
  </si>
  <si>
    <t>512.051.545-23</t>
  </si>
  <si>
    <t>(31) 95462-8475</t>
  </si>
  <si>
    <t>Fernanda Lima</t>
  </si>
  <si>
    <t>251.792.933-59</t>
  </si>
  <si>
    <t>(51) 95163-1821</t>
  </si>
  <si>
    <t>Fernanda Araújo</t>
  </si>
  <si>
    <t>599.989.411-56</t>
  </si>
  <si>
    <t>351.070.355-31</t>
  </si>
  <si>
    <t>(11) 92949-8384</t>
  </si>
  <si>
    <t>Luan Dias Andrade</t>
  </si>
  <si>
    <t>305.671.672-16</t>
  </si>
  <si>
    <t>530.901.057-21</t>
  </si>
  <si>
    <t>152.730.374-84</t>
  </si>
  <si>
    <t>Mariana Rezende</t>
  </si>
  <si>
    <t>826.562.154-04</t>
  </si>
  <si>
    <t>(11) 93834-0968</t>
  </si>
  <si>
    <t>595.528.048-09</t>
  </si>
  <si>
    <t>(41) 95035-3190</t>
  </si>
  <si>
    <t>228.766.740-76</t>
  </si>
  <si>
    <t>(11) 97177-2696</t>
  </si>
  <si>
    <t>364.853.261-89</t>
  </si>
  <si>
    <t>(31) 96247-5679</t>
  </si>
  <si>
    <t>363.261.473-36</t>
  </si>
  <si>
    <t>624.470.001-54</t>
  </si>
  <si>
    <t>(11) 91603-5979</t>
  </si>
  <si>
    <t>300.040.092-31</t>
  </si>
  <si>
    <t>859.151.343-60</t>
  </si>
  <si>
    <t>532.427.221-32</t>
  </si>
  <si>
    <t>(31) 91817-0380</t>
  </si>
  <si>
    <t>413.459.694-73</t>
  </si>
  <si>
    <t>(11) 98637-3523</t>
  </si>
  <si>
    <t>Valentina Barros</t>
  </si>
  <si>
    <t>Bruno Soares</t>
  </si>
  <si>
    <t>077.780.868-40</t>
  </si>
  <si>
    <t>320.394.476-60</t>
  </si>
  <si>
    <t>(11) 91670-1069</t>
  </si>
  <si>
    <t>283.420.553-10</t>
  </si>
  <si>
    <t>857.287.703-71</t>
  </si>
  <si>
    <t>(11) 91059-4787</t>
  </si>
  <si>
    <t>416.903.946-76</t>
  </si>
  <si>
    <t>(19) 94955-7259</t>
  </si>
  <si>
    <t>220.605.718-20</t>
  </si>
  <si>
    <t>(11) 97332-5862</t>
  </si>
  <si>
    <t>(11) 93172-7601</t>
  </si>
  <si>
    <t>978.386.168-91</t>
  </si>
  <si>
    <t>577.381.489-77</t>
  </si>
  <si>
    <t>(31) 93301-1064</t>
  </si>
  <si>
    <t>546.876.878-06</t>
  </si>
  <si>
    <t>ana.fonseca70@gmail.com</t>
  </si>
  <si>
    <t>(11) 98386-0517</t>
  </si>
  <si>
    <t>254.214.599-77</t>
  </si>
  <si>
    <t>Olívia Santos Vieira</t>
  </si>
  <si>
    <t>671.335.410-68</t>
  </si>
  <si>
    <t>379.503.102-86</t>
  </si>
  <si>
    <t>Renata Correia Moreira</t>
  </si>
  <si>
    <t>886.331.457-82</t>
  </si>
  <si>
    <t>(11) 93176-3566</t>
  </si>
  <si>
    <t>222.607.972-61</t>
  </si>
  <si>
    <t>093.742.547-86</t>
  </si>
  <si>
    <t>(19) 92552-5480</t>
  </si>
  <si>
    <t>Juliana Nunes</t>
  </si>
  <si>
    <t>(31) 97872-0660</t>
  </si>
  <si>
    <t>Camila Rezende</t>
  </si>
  <si>
    <t>260.735.708-05</t>
  </si>
  <si>
    <t>(11) 91623-7508</t>
  </si>
  <si>
    <t>441.821.325-21</t>
  </si>
  <si>
    <t>(31) 94363-2010</t>
  </si>
  <si>
    <t>740.223.221-28</t>
  </si>
  <si>
    <t>333.493.351-28</t>
  </si>
  <si>
    <t>321.451.545-40</t>
  </si>
  <si>
    <t>533.670.279-01</t>
  </si>
  <si>
    <t>(11) 94016-0492</t>
  </si>
  <si>
    <t>821.752.941-88</t>
  </si>
  <si>
    <t>Larissa Mendes</t>
  </si>
  <si>
    <t>190.508.354-81</t>
  </si>
  <si>
    <t>730.937.455-00</t>
  </si>
  <si>
    <t>Pedro Gomes</t>
  </si>
  <si>
    <t>211.893.129-80</t>
  </si>
  <si>
    <t>(21) 92563-0180</t>
  </si>
  <si>
    <t>007.587.101-78</t>
  </si>
  <si>
    <t>(85) 95377-8805</t>
  </si>
  <si>
    <t>980.564.219-47</t>
  </si>
  <si>
    <t>(11) 97241-4979</t>
  </si>
  <si>
    <t>537.991.969-35</t>
  </si>
  <si>
    <t>(11) 99010-6506</t>
  </si>
  <si>
    <t>517.465.409-40</t>
  </si>
  <si>
    <t>203.429.497-13</t>
  </si>
  <si>
    <t>(19) 91757-3163</t>
  </si>
  <si>
    <t>(31) 96935-6565</t>
  </si>
  <si>
    <t>(11) 92594-1180</t>
  </si>
  <si>
    <t>285.858.275-05</t>
  </si>
  <si>
    <t>473.192.917-20</t>
  </si>
  <si>
    <t>285.416.530-64</t>
  </si>
  <si>
    <t>(11) 98465-0023</t>
  </si>
  <si>
    <t>Gabriel Freitas</t>
  </si>
  <si>
    <t>832.962.524-95</t>
  </si>
  <si>
    <t>(41) 99923-9447</t>
  </si>
  <si>
    <t>Rodrigo Nunes</t>
  </si>
  <si>
    <t>(11) 91249-9667</t>
  </si>
  <si>
    <t>829.713.413-05</t>
  </si>
  <si>
    <t>627.532.074-53</t>
  </si>
  <si>
    <t>Heloísa Pinto</t>
  </si>
  <si>
    <t>161.528.871-60</t>
  </si>
  <si>
    <t>(41) 96280-7938</t>
  </si>
  <si>
    <t>046.715.346-90</t>
  </si>
  <si>
    <t>531.375.242-10</t>
  </si>
  <si>
    <t>996.792.631-77</t>
  </si>
  <si>
    <t>(11) 93666-8815</t>
  </si>
  <si>
    <t>030.514.122-87</t>
  </si>
  <si>
    <t>730.400.447-96</t>
  </si>
  <si>
    <t>Letícia Costa</t>
  </si>
  <si>
    <t>471.517.779-06</t>
  </si>
  <si>
    <t>(11) 90757-5926</t>
  </si>
  <si>
    <t>(11) 95391-4513</t>
  </si>
  <si>
    <t>001.527.787-99</t>
  </si>
  <si>
    <t>(62) 93842-3263</t>
  </si>
  <si>
    <t>467.165.989-10</t>
  </si>
  <si>
    <t>(11) 98901-8384</t>
  </si>
  <si>
    <t>888.288.629-80</t>
  </si>
  <si>
    <t>260.852.766-30</t>
  </si>
  <si>
    <t>(11) 93308-6787</t>
  </si>
  <si>
    <t>822.101.992-55</t>
  </si>
  <si>
    <t>(48) 98059-7480</t>
  </si>
  <si>
    <t>Aline Cardoso Costa</t>
  </si>
  <si>
    <t>Helena Nascimento Lima</t>
  </si>
  <si>
    <t>348.244.442-09</t>
  </si>
  <si>
    <t>167.922.149-30</t>
  </si>
  <si>
    <t>(31) 91254-4275</t>
  </si>
  <si>
    <t>706.539.788-20</t>
  </si>
  <si>
    <t>(11) 97902-3992</t>
  </si>
  <si>
    <t>667.607.986-00</t>
  </si>
  <si>
    <t>Caio Ribeiro</t>
  </si>
  <si>
    <t>216.661.861-80</t>
  </si>
  <si>
    <t>(11) 91305-2075</t>
  </si>
  <si>
    <t>679.268.565-84</t>
  </si>
  <si>
    <t>105.785.944-39</t>
  </si>
  <si>
    <t>(11) 94048-0395</t>
  </si>
  <si>
    <t>923.181.719-12</t>
  </si>
  <si>
    <t>(41) 99191-5010</t>
  </si>
  <si>
    <t>155.813.942-70</t>
  </si>
  <si>
    <t>(51) 99714-2009</t>
  </si>
  <si>
    <t>447.502.186-34</t>
  </si>
  <si>
    <t>(41) 98741-0686</t>
  </si>
  <si>
    <t>114.971.185-06</t>
  </si>
  <si>
    <t>(41) 94343-5125</t>
  </si>
  <si>
    <t>(11) 99832-7651</t>
  </si>
  <si>
    <t>758.418.506-10</t>
  </si>
  <si>
    <t>Bianca Santos</t>
  </si>
  <si>
    <t>675.740.697-78</t>
  </si>
  <si>
    <t>bianca.santos17@gmail.com</t>
  </si>
  <si>
    <t>Lorenzo Monteiro</t>
  </si>
  <si>
    <t>640.345.972-40</t>
  </si>
  <si>
    <t>(11) 98826-5979</t>
  </si>
  <si>
    <t>325.999.667-28</t>
  </si>
  <si>
    <t>(19) 93750-8375</t>
  </si>
  <si>
    <t>140.521.881-95</t>
  </si>
  <si>
    <t>430.839.431-72</t>
  </si>
  <si>
    <t>(31) 93308-7159</t>
  </si>
  <si>
    <t>896.611.458-06</t>
  </si>
  <si>
    <t>(11) 95054-2678</t>
  </si>
  <si>
    <t>664.995.667-80</t>
  </si>
  <si>
    <t>494.103.697-20</t>
  </si>
  <si>
    <t>(11) 90296-9236</t>
  </si>
  <si>
    <t>105.288.691-40</t>
  </si>
  <si>
    <t>(47) 92184-3105</t>
  </si>
  <si>
    <t>918.445.737-61</t>
  </si>
  <si>
    <t>992.533.798-47</t>
  </si>
  <si>
    <t>(11) 97019-5469</t>
  </si>
  <si>
    <t>013.904.788-31</t>
  </si>
  <si>
    <t>146.779.420-13</t>
  </si>
  <si>
    <t>(21) 98688-8527</t>
  </si>
  <si>
    <t>944.444.727-82</t>
  </si>
  <si>
    <t>(11) 99941-0492</t>
  </si>
  <si>
    <t>772.268.096-80</t>
  </si>
  <si>
    <t>(11) 94267-8789</t>
  </si>
  <si>
    <t>250.088.560-73</t>
  </si>
  <si>
    <t>001.973.032-26</t>
  </si>
  <si>
    <t>713.929.904-83</t>
  </si>
  <si>
    <t>(11) 91527-3444</t>
  </si>
  <si>
    <t>(31) 95278-3799</t>
  </si>
  <si>
    <t>217.402.700-37</t>
  </si>
  <si>
    <t>(11) 97490-7507</t>
  </si>
  <si>
    <t>838.539.377-30</t>
  </si>
  <si>
    <t>(31) 98555-8227</t>
  </si>
  <si>
    <t>438.526.027-34</t>
  </si>
  <si>
    <t>(11) 95506-2745</t>
  </si>
  <si>
    <t>063.829.600-55</t>
  </si>
  <si>
    <t>Jaqueline Teixeira</t>
  </si>
  <si>
    <t>(41) 93900-8139</t>
  </si>
  <si>
    <t>467.034.769-18</t>
  </si>
  <si>
    <t>(11) 97091-7692</t>
  </si>
  <si>
    <t>Júlia Fernandes Campos</t>
  </si>
  <si>
    <t>120.541.314-66</t>
  </si>
  <si>
    <t>Eduarda Gonçalves Tavares</t>
  </si>
  <si>
    <t>082.938.515-03</t>
  </si>
  <si>
    <t>(31) 93605-6202</t>
  </si>
  <si>
    <t>(41) 91527-6243</t>
  </si>
  <si>
    <t>Thaís Rezende</t>
  </si>
  <si>
    <t>thais.rezende12@gmail.com</t>
  </si>
  <si>
    <t>(41) 93239-9567</t>
  </si>
  <si>
    <t>(41) 99985-4997</t>
  </si>
  <si>
    <t>616.594.167-28</t>
  </si>
  <si>
    <t>377.636.545-54</t>
  </si>
  <si>
    <t>331.937.236-06</t>
  </si>
  <si>
    <t>299.526.629-04</t>
  </si>
  <si>
    <t>813.542.059-52</t>
  </si>
  <si>
    <t>(11) 98362-2657</t>
  </si>
  <si>
    <t>105.559.495-75</t>
  </si>
  <si>
    <t>981.376.028-10</t>
  </si>
  <si>
    <t>753.601.254-38</t>
  </si>
  <si>
    <t>(61) 99693-0540</t>
  </si>
  <si>
    <t>Wesley Tavares</t>
  </si>
  <si>
    <t>(41) 96836-3271</t>
  </si>
  <si>
    <t>(19) 93335-1061</t>
  </si>
  <si>
    <t>438.425.599-33</t>
  </si>
  <si>
    <t>456.525.443-33</t>
  </si>
  <si>
    <t>853.502.641-09</t>
  </si>
  <si>
    <t>(11) 95670-8811</t>
  </si>
  <si>
    <t>Rebeca Costa Santos</t>
  </si>
  <si>
    <t>(19) 90668-1762</t>
  </si>
  <si>
    <t>832.144.587-01</t>
  </si>
  <si>
    <t>(85) 94489-9541</t>
  </si>
  <si>
    <t>(11) 96988-4106</t>
  </si>
  <si>
    <t>329.203.938-04</t>
  </si>
  <si>
    <t>(47) 97856-7282</t>
  </si>
  <si>
    <t>081.776.440-25</t>
  </si>
  <si>
    <t>(31) 96480-7090</t>
  </si>
  <si>
    <t>(11) 91743-0176</t>
  </si>
  <si>
    <t>632.980.366-84</t>
  </si>
  <si>
    <t>(41) 96462-8821</t>
  </si>
  <si>
    <t>Daniela Correia</t>
  </si>
  <si>
    <t>989.120.475-82</t>
  </si>
  <si>
    <t>(11) 94517-1957</t>
  </si>
  <si>
    <t>743.269.133-98</t>
  </si>
  <si>
    <t>(11) 98629-3475</t>
  </si>
  <si>
    <t>223.191.980-08</t>
  </si>
  <si>
    <t>(11) 96736-5545</t>
  </si>
  <si>
    <t>344.956.674-16</t>
  </si>
  <si>
    <t>(41) 99558-1240</t>
  </si>
  <si>
    <t>Vitória Santana Nunes</t>
  </si>
  <si>
    <t>952.855.553-53</t>
  </si>
  <si>
    <t>(31) 94927-4667</t>
  </si>
  <si>
    <t>706.625.619-02</t>
  </si>
  <si>
    <t>992.038.331-70</t>
  </si>
  <si>
    <t>(41) 95690-9884</t>
  </si>
  <si>
    <t>(19) 97821-7928</t>
  </si>
  <si>
    <t>800.110.561-00</t>
  </si>
  <si>
    <t>(41) 92333-3946</t>
  </si>
  <si>
    <t>(41) 94039-1734</t>
  </si>
  <si>
    <t>Beatriz Fonseca Barbosa</t>
  </si>
  <si>
    <t>652.618.077-94</t>
  </si>
  <si>
    <t>886.644.794-37</t>
  </si>
  <si>
    <t>761.280.696-73</t>
  </si>
  <si>
    <t>781.559.708-41</t>
  </si>
  <si>
    <t>(71) 92916-4902</t>
  </si>
  <si>
    <t>067.422.586-40</t>
  </si>
  <si>
    <t>(41) 95149-9513</t>
  </si>
  <si>
    <t>Heitor Correia Almeida</t>
  </si>
  <si>
    <t>696.640.231-16</t>
  </si>
  <si>
    <t>781.568.719-95</t>
  </si>
  <si>
    <t>(21) 99430-9820</t>
  </si>
  <si>
    <t>815.839.021-80</t>
  </si>
  <si>
    <t>533.069.966-53</t>
  </si>
  <si>
    <t>748.238.482-09</t>
  </si>
  <si>
    <t>Diego Ribeiro</t>
  </si>
  <si>
    <t>986.945.461-59</t>
  </si>
  <si>
    <t>801.376.285-87</t>
  </si>
  <si>
    <t>806.985.507-06</t>
  </si>
  <si>
    <t>904.919.664-07</t>
  </si>
  <si>
    <t>(11) 96035-5683</t>
  </si>
  <si>
    <t>Cecília Barros Santana</t>
  </si>
  <si>
    <t>501.280.425-24</t>
  </si>
  <si>
    <t>(41) 98696-0272</t>
  </si>
  <si>
    <t>043.863.073-46</t>
  </si>
  <si>
    <t>(41) 95632-5289</t>
  </si>
  <si>
    <t>779.094.858-08</t>
  </si>
  <si>
    <t>527.956.573-33</t>
  </si>
  <si>
    <t>823.048.042-76</t>
  </si>
  <si>
    <t>317.871.670-03</t>
  </si>
  <si>
    <t>(41) 98933-8151</t>
  </si>
  <si>
    <t>Aline Rezende Soares</t>
  </si>
  <si>
    <t>747.385.815-70</t>
  </si>
  <si>
    <t>aline.soares14@bol.com.br</t>
  </si>
  <si>
    <t>604.745.189-65</t>
  </si>
  <si>
    <t>(11) 99229-7619</t>
  </si>
  <si>
    <t>351.704.319-29</t>
  </si>
  <si>
    <t>(85) 90296-2230</t>
  </si>
  <si>
    <t>870.548.827-33</t>
  </si>
  <si>
    <t>(11) 91050-7313</t>
  </si>
  <si>
    <t>Heloísa Silva</t>
  </si>
  <si>
    <t>861.563.331-26</t>
  </si>
  <si>
    <t>Kamila Batista</t>
  </si>
  <si>
    <t>052.898.049-19</t>
  </si>
  <si>
    <t>876.571.701-58</t>
  </si>
  <si>
    <t>(11) 99496-3630</t>
  </si>
  <si>
    <t>343.516.387-96</t>
  </si>
  <si>
    <t>517.544.412-38</t>
  </si>
  <si>
    <t>Vitor Lima Ramos</t>
  </si>
  <si>
    <t>836.555.821-10</t>
  </si>
  <si>
    <t>(41) 93240-2840</t>
  </si>
  <si>
    <t>(31) 93503-5827</t>
  </si>
  <si>
    <t>287.666.293-06</t>
  </si>
  <si>
    <t>(61) 96097-3256</t>
  </si>
  <si>
    <t>638.902.305-71</t>
  </si>
  <si>
    <t>(41) 91541-0418</t>
  </si>
  <si>
    <t>111.550.784-20</t>
  </si>
  <si>
    <t>(51) 97848-7778</t>
  </si>
  <si>
    <t>022.694.941-99</t>
  </si>
  <si>
    <t>Igor Farias Martins</t>
  </si>
  <si>
    <t>(11) 90971-9303</t>
  </si>
  <si>
    <t>Yasmin Teixeira Martins</t>
  </si>
  <si>
    <t>744.232.898-90</t>
  </si>
  <si>
    <t>888.602.597-11</t>
  </si>
  <si>
    <t>219.385.130-10</t>
  </si>
  <si>
    <t>(11) 90397-8437</t>
  </si>
  <si>
    <t>776.601.874-81</t>
  </si>
  <si>
    <t>445.345.981-57</t>
  </si>
  <si>
    <t>Daniela Marques</t>
  </si>
  <si>
    <t>297.973.022-02</t>
  </si>
  <si>
    <t>(41) 90868-2114</t>
  </si>
  <si>
    <t>536.631.279-58</t>
  </si>
  <si>
    <t>(62) 97501-7584</t>
  </si>
  <si>
    <t>803.127.326-00</t>
  </si>
  <si>
    <t>(11) 97698-0969</t>
  </si>
  <si>
    <t>507.516.822-17</t>
  </si>
  <si>
    <t>281.198.406-23</t>
  </si>
  <si>
    <t>005.003.671-83</t>
  </si>
  <si>
    <t>Débora Campos</t>
  </si>
  <si>
    <t>307.531.749-79</t>
  </si>
  <si>
    <t>517.149.625-04</t>
  </si>
  <si>
    <t>(31) 99433-5298</t>
  </si>
  <si>
    <t>015.255.263-40</t>
  </si>
  <si>
    <t>(41) 98958-0762</t>
  </si>
  <si>
    <t>(21) 95241-1381</t>
  </si>
  <si>
    <t>677.217.774-61</t>
  </si>
  <si>
    <t>(11) 99997-9423</t>
  </si>
  <si>
    <t>(11) 98624-4761</t>
  </si>
  <si>
    <t>567.604.588-42</t>
  </si>
  <si>
    <t>(51) 95513-4206</t>
  </si>
  <si>
    <t>862.323.022-14</t>
  </si>
  <si>
    <t>(11) 92525-5524</t>
  </si>
  <si>
    <t>574.854.467-97</t>
  </si>
  <si>
    <t>372.730.169-42</t>
  </si>
  <si>
    <t>333.453.867-20</t>
  </si>
  <si>
    <t>995.631.079-42</t>
  </si>
  <si>
    <t>(51) 96985-6697</t>
  </si>
  <si>
    <t>(31) 94555-6520</t>
  </si>
  <si>
    <t>(11) 94054-8828</t>
  </si>
  <si>
    <t>Vitória Peixoto</t>
  </si>
  <si>
    <t>(11) 98921-6774</t>
  </si>
  <si>
    <t>712.696.140-53</t>
  </si>
  <si>
    <t>344.585.206-52</t>
  </si>
  <si>
    <t>657.948.538-83</t>
  </si>
  <si>
    <t>(11) 95384-4057</t>
  </si>
  <si>
    <t>Caetano Fonseca Lima</t>
  </si>
  <si>
    <t>068.789.966-43</t>
  </si>
  <si>
    <t>376.505.186-12</t>
  </si>
  <si>
    <t>150.861.765-14</t>
  </si>
  <si>
    <t>(11) 90392-8151</t>
  </si>
  <si>
    <t>Cauã Fonseca</t>
  </si>
  <si>
    <t>093.300.804-05</t>
  </si>
  <si>
    <t>(11) 98799-7526</t>
  </si>
  <si>
    <t>943.743.101-93</t>
  </si>
  <si>
    <t>(11) 94534-6089</t>
  </si>
  <si>
    <t>878.553.948-18</t>
  </si>
  <si>
    <t>416.609.614-16</t>
  </si>
  <si>
    <t>(11) 95906-2371</t>
  </si>
  <si>
    <t>088.937.505-46</t>
  </si>
  <si>
    <t>(51) 97825-5794</t>
  </si>
  <si>
    <t>151.764.626-05</t>
  </si>
  <si>
    <t>(11) 90088-7758</t>
  </si>
  <si>
    <t>771.048.524-33</t>
  </si>
  <si>
    <t>(41) 90296-2131</t>
  </si>
  <si>
    <t>208.058.792-77</t>
  </si>
  <si>
    <t>(41) 90684-2721</t>
  </si>
  <si>
    <t>488.374.534-18</t>
  </si>
  <si>
    <t>092.044.367-27</t>
  </si>
  <si>
    <t>(41) 96159-3242</t>
  </si>
  <si>
    <t>Carolina Rodrigues Soares</t>
  </si>
  <si>
    <t>Vitor Freitas</t>
  </si>
  <si>
    <t>770.024.302-62</t>
  </si>
  <si>
    <t>Emanuel Peixoto</t>
  </si>
  <si>
    <t>(31) 96862-0822</t>
  </si>
  <si>
    <t>Rafaela Martins</t>
  </si>
  <si>
    <t>686.512.376-00</t>
  </si>
  <si>
    <t>993.223.821-04</t>
  </si>
  <si>
    <t>Laura Nascimento</t>
  </si>
  <si>
    <t>785.732.299-77</t>
  </si>
  <si>
    <t>(11) 96576-7086</t>
  </si>
  <si>
    <t>090.516.597-76</t>
  </si>
  <si>
    <t>(41) 93307-2553</t>
  </si>
  <si>
    <t>(31) 99963-3595</t>
  </si>
  <si>
    <t>(41) 98248-6462</t>
  </si>
  <si>
    <t>823.739.596-40</t>
  </si>
  <si>
    <t>(85) 91975-5127</t>
  </si>
  <si>
    <t>390.525.386-03</t>
  </si>
  <si>
    <t>(11) 95258-8989</t>
  </si>
  <si>
    <t>Yuri Cardoso Gomes</t>
  </si>
  <si>
    <t>352.192.005-42</t>
  </si>
  <si>
    <t>Igor Alves</t>
  </si>
  <si>
    <t>408.416.573-51</t>
  </si>
  <si>
    <t>(11) 98315-6706</t>
  </si>
  <si>
    <t>391.675.401-71</t>
  </si>
  <si>
    <t>Nicolas Pereira Barros</t>
  </si>
  <si>
    <t>594.581.847-03</t>
  </si>
  <si>
    <t>(11) 99090-3316</t>
  </si>
  <si>
    <t>Bernardo Marques Nascimento</t>
  </si>
  <si>
    <t>(31) 98662-9701</t>
  </si>
  <si>
    <t>Miguel Batista Costa</t>
  </si>
  <si>
    <t>787.714.362-19</t>
  </si>
  <si>
    <t>(21) 90094-4981</t>
  </si>
  <si>
    <t>Valentina Teixeira Freitas</t>
  </si>
  <si>
    <t>635.394.266-47</t>
  </si>
  <si>
    <t>736.497.716-32</t>
  </si>
  <si>
    <t>(61) 98820-1942</t>
  </si>
  <si>
    <t>705.656.033-45</t>
  </si>
  <si>
    <t>(41) 99955-5504</t>
  </si>
  <si>
    <t>682.241.109-74</t>
  </si>
  <si>
    <t>João Pereira Mendes</t>
  </si>
  <si>
    <t>249.952.721-86</t>
  </si>
  <si>
    <t>Kauã Fernandes Moura</t>
  </si>
  <si>
    <t>310.992.738-11</t>
  </si>
  <si>
    <t>(11) 90639-5859</t>
  </si>
  <si>
    <t>838.452.473-47</t>
  </si>
  <si>
    <t>(31) 96498-9121</t>
  </si>
  <si>
    <t>cecilia.farias18@hotmail.com</t>
  </si>
  <si>
    <t>(85) 95204-2090</t>
  </si>
  <si>
    <t>563.845.078-54</t>
  </si>
  <si>
    <t>(41) 96680-2407</t>
  </si>
  <si>
    <t>Valentina Pereira Nascimento</t>
  </si>
  <si>
    <t>100.838.100-48</t>
  </si>
  <si>
    <t>(41) 95733-1411</t>
  </si>
  <si>
    <t>018.846.472-78</t>
  </si>
  <si>
    <t>162.219.500-07</t>
  </si>
  <si>
    <t>407.506.244-93</t>
  </si>
  <si>
    <t>572.762.855-53</t>
  </si>
  <si>
    <t>082.307.719-52</t>
  </si>
  <si>
    <t>062.467.086-41</t>
  </si>
  <si>
    <t>(11) 97432-2173</t>
  </si>
  <si>
    <t>475.277.090-30</t>
  </si>
  <si>
    <t>(48) 91398-5964</t>
  </si>
  <si>
    <t>Thiago Ribeiro</t>
  </si>
  <si>
    <t>342.616.323-30</t>
  </si>
  <si>
    <t>(71) 94685-8955</t>
  </si>
  <si>
    <t>heloisa.fonseca75@outlook.com</t>
  </si>
  <si>
    <t>(41) 94331-6843</t>
  </si>
  <si>
    <t>516.617.346-50</t>
  </si>
  <si>
    <t>633.098.355-02</t>
  </si>
  <si>
    <t>(11) 96511-7591</t>
  </si>
  <si>
    <t>652.816.033-37</t>
  </si>
  <si>
    <t>372.366.587-07</t>
  </si>
  <si>
    <t>304.183.202-09</t>
  </si>
  <si>
    <t>896.706.017-38</t>
  </si>
  <si>
    <t>(11) 90712-8707</t>
  </si>
  <si>
    <t>Alexandre Machado Cavalcanti</t>
  </si>
  <si>
    <t>569.416.793-79</t>
  </si>
  <si>
    <t>(11) 90279-6820</t>
  </si>
  <si>
    <t>186.774.029-00</t>
  </si>
  <si>
    <t>755.291.917-54</t>
  </si>
  <si>
    <t>(41) 93098-0733</t>
  </si>
  <si>
    <t>573.014.055-02</t>
  </si>
  <si>
    <t>930.528.285-76</t>
  </si>
  <si>
    <t>(51) 97270-4772</t>
  </si>
  <si>
    <t>478.469.780-20</t>
  </si>
  <si>
    <t>(11) 95750-2244</t>
  </si>
  <si>
    <t>319.233.236-01</t>
  </si>
  <si>
    <t>Kamila Peixoto</t>
  </si>
  <si>
    <t>731.695.844-80</t>
  </si>
  <si>
    <t>Igor Lopes Costa</t>
  </si>
  <si>
    <t>745.415.594-47</t>
  </si>
  <si>
    <t>489.072.992-50</t>
  </si>
  <si>
    <t>(62) 93767-5650</t>
  </si>
  <si>
    <t>041.212.461-01</t>
  </si>
  <si>
    <t>(41) 98471-8050</t>
  </si>
  <si>
    <t>779.433.394-60</t>
  </si>
  <si>
    <t>(11) 94551-2809</t>
  </si>
  <si>
    <t>079.130.703-40</t>
  </si>
  <si>
    <t>Gustavo Carvalho</t>
  </si>
  <si>
    <t>305.555.414-01</t>
  </si>
  <si>
    <t>(11) 96152-3246</t>
  </si>
  <si>
    <t>289.018.936-81</t>
  </si>
  <si>
    <t>(11) 94447-7256</t>
  </si>
  <si>
    <t>458.740.530-26</t>
  </si>
  <si>
    <t>919.996.918-14</t>
  </si>
  <si>
    <t>(11) 97450-5674</t>
  </si>
  <si>
    <t>353.841.120-42</t>
  </si>
  <si>
    <t>336.158.212-11</t>
  </si>
  <si>
    <t>Natália Soares Santos</t>
  </si>
  <si>
    <t>778.258.541-44</t>
  </si>
  <si>
    <t>445.819.556-53</t>
  </si>
  <si>
    <t>778.340.748-06</t>
  </si>
  <si>
    <t>008.839.214-72</t>
  </si>
  <si>
    <t>(31) 94806-1472</t>
  </si>
  <si>
    <t>Sofia Moreira</t>
  </si>
  <si>
    <t>297.111.983-12</t>
  </si>
  <si>
    <t>(11) 95941-6997</t>
  </si>
  <si>
    <t>Renata Ramos Cavalcanti</t>
  </si>
  <si>
    <t>975.446.508-80</t>
  </si>
  <si>
    <t>(85) 97007-0015</t>
  </si>
  <si>
    <t>097.706.599-59</t>
  </si>
  <si>
    <t>Olívia Moreira</t>
  </si>
  <si>
    <t>(11) 95073-4887</t>
  </si>
  <si>
    <t>Bianca Santana Mendes</t>
  </si>
  <si>
    <t>(11) 93005-5102</t>
  </si>
  <si>
    <t>Nicolas Silva</t>
  </si>
  <si>
    <t>655.441.468-10</t>
  </si>
  <si>
    <t>(11) 94968-4048</t>
  </si>
  <si>
    <t>(41) 91035-7297</t>
  </si>
  <si>
    <t>376.962.196-42</t>
  </si>
  <si>
    <t>(31) 97542-6266</t>
  </si>
  <si>
    <t>460.743.134-66</t>
  </si>
  <si>
    <t>477.531.181-61</t>
  </si>
  <si>
    <t>Otávio Fonseca Cavalcanti</t>
  </si>
  <si>
    <t>(71) 98278-1699</t>
  </si>
  <si>
    <t>614.154.249-26</t>
  </si>
  <si>
    <t>(11) 94695-3460</t>
  </si>
  <si>
    <t>Lucas Freitas</t>
  </si>
  <si>
    <t>680.779.745-11</t>
  </si>
  <si>
    <t>(11) 90730-9468</t>
  </si>
  <si>
    <t>Eduarda Almeida</t>
  </si>
  <si>
    <t>665.295.922-45</t>
  </si>
  <si>
    <t>(31) 94833-2110</t>
  </si>
  <si>
    <t>630.198.085-96</t>
  </si>
  <si>
    <t>Rafaela Soares</t>
  </si>
  <si>
    <t>739.453.678-59</t>
  </si>
  <si>
    <t>(41) 97569-0580</t>
  </si>
  <si>
    <t>845.067.927-34</t>
  </si>
  <si>
    <t>(41) 95665-3667</t>
  </si>
  <si>
    <t>773.068.594-98</t>
  </si>
  <si>
    <t>(11) 94837-8795</t>
  </si>
  <si>
    <t>736.806.334-40</t>
  </si>
  <si>
    <t>753.472.308-60</t>
  </si>
  <si>
    <t>888.185.148-22</t>
  </si>
  <si>
    <t>241.802.707-49</t>
  </si>
  <si>
    <t>Priscila Nunes Campos</t>
  </si>
  <si>
    <t>832.504.164-10</t>
  </si>
  <si>
    <t>(31) 97270-2807</t>
  </si>
  <si>
    <t>488.812.996-74</t>
  </si>
  <si>
    <t>(31) 94757-6522</t>
  </si>
  <si>
    <t>Aline Alves Carvalho</t>
  </si>
  <si>
    <t>581.935.772-80</t>
  </si>
  <si>
    <t>(11) 97140-6709</t>
  </si>
  <si>
    <t>Isabela Nunes</t>
  </si>
  <si>
    <t>261.322.671-40</t>
  </si>
  <si>
    <t>307.382.340-95</t>
  </si>
  <si>
    <t>(11) 94222-1206</t>
  </si>
  <si>
    <t>Lorena Rodrigues Monteiro</t>
  </si>
  <si>
    <t>300.451.640-37</t>
  </si>
  <si>
    <t>(11) 93673-7090</t>
  </si>
  <si>
    <t>593.237.511-62</t>
  </si>
  <si>
    <t>547.216.397-83</t>
  </si>
  <si>
    <t>(11) 94609-7174</t>
  </si>
  <si>
    <t>Fernanda Silva</t>
  </si>
  <si>
    <t>Bruna Santana</t>
  </si>
  <si>
    <t>684.461.940-58</t>
  </si>
  <si>
    <t>545.311.427-48</t>
  </si>
  <si>
    <t>002.208.839-39</t>
  </si>
  <si>
    <t>Valentina Barbosa Souza</t>
  </si>
  <si>
    <t>270.911.288-42</t>
  </si>
  <si>
    <t>Beatriz Mendes Almeida</t>
  </si>
  <si>
    <t>704.536.556-02</t>
  </si>
  <si>
    <t>(47) 99160-9967</t>
  </si>
  <si>
    <t>138.370.133-40</t>
  </si>
  <si>
    <t>(11) 94536-2801</t>
  </si>
  <si>
    <t>488.272.775-79</t>
  </si>
  <si>
    <t>(31) 96110-5748</t>
  </si>
  <si>
    <t>055.710.635-48</t>
  </si>
  <si>
    <t>(11) 98359-6587</t>
  </si>
  <si>
    <t>Breno Nogueira Pereira</t>
  </si>
  <si>
    <t>706.671.957-34</t>
  </si>
  <si>
    <t>(11) 99272-2981</t>
  </si>
  <si>
    <t>Thaís Machado Cardoso</t>
  </si>
  <si>
    <t>551.601.903-68</t>
  </si>
  <si>
    <t>(62) 96116-8371</t>
  </si>
  <si>
    <t>Alexandre Correia</t>
  </si>
  <si>
    <t>503.752.048-73</t>
  </si>
  <si>
    <t>(85) 91904-3605</t>
  </si>
  <si>
    <t>247.923.558-00</t>
  </si>
  <si>
    <t>894.878.656-32</t>
  </si>
  <si>
    <t>456.874.643-44</t>
  </si>
  <si>
    <t>610.902.320-55</t>
  </si>
  <si>
    <t>(19) 91326-4384</t>
  </si>
  <si>
    <t>502.054.825-11</t>
  </si>
  <si>
    <t>(31) 97575-5737</t>
  </si>
  <si>
    <t>879.131.877-78</t>
  </si>
  <si>
    <t>(41) 93688-3372</t>
  </si>
  <si>
    <t>Enzo Souza Lopes</t>
  </si>
  <si>
    <t>112.620.465-05</t>
  </si>
  <si>
    <t>163.377.494-56</t>
  </si>
  <si>
    <t>(85) 98508-6860</t>
  </si>
  <si>
    <t>Arthur Santos Freitas</t>
  </si>
  <si>
    <t>281.336.052-02</t>
  </si>
  <si>
    <t>Teo Cardoso Monteiro</t>
  </si>
  <si>
    <t>099.286.832-71</t>
  </si>
  <si>
    <t>(61) 92819-2483</t>
  </si>
  <si>
    <t>892.824.602-40</t>
  </si>
  <si>
    <t>229.898.809-92</t>
  </si>
  <si>
    <t>(31) 94784-9477</t>
  </si>
  <si>
    <t>Emanuelly Ribeiro</t>
  </si>
  <si>
    <t>006.410.709-42</t>
  </si>
  <si>
    <t>emanuelly.ribeiro80@icloud.com</t>
  </si>
  <si>
    <t>(11) 96909-4158</t>
  </si>
  <si>
    <t>(11) 93514-2872</t>
  </si>
  <si>
    <t>516.194.136-71</t>
  </si>
  <si>
    <t>138.252.763-25</t>
  </si>
  <si>
    <t>(11) 90703-6452</t>
  </si>
  <si>
    <t>975.992.950-38</t>
  </si>
  <si>
    <t>309.013.985-51</t>
  </si>
  <si>
    <t>Lívia Nogueira</t>
  </si>
  <si>
    <t>992.233.294-93</t>
  </si>
  <si>
    <t>(61) 91851-7111</t>
  </si>
  <si>
    <t>901.825.317-08</t>
  </si>
  <si>
    <t>(41) 99466-6441</t>
  </si>
  <si>
    <t>453.139.536-05</t>
  </si>
  <si>
    <t>(31) 92584-8306</t>
  </si>
  <si>
    <t>Carolina Moreira</t>
  </si>
  <si>
    <t>246.359.983-98</t>
  </si>
  <si>
    <t>Gabriela Andrade</t>
  </si>
  <si>
    <t>489.000.453-00</t>
  </si>
  <si>
    <t>(11) 99853-8464</t>
  </si>
  <si>
    <t>772.866.016-01</t>
  </si>
  <si>
    <t>(31) 99192-0544</t>
  </si>
  <si>
    <t>647.649.940-89</t>
  </si>
  <si>
    <t>(11) 99530-6979</t>
  </si>
  <si>
    <t>345.953.740-03</t>
  </si>
  <si>
    <t>(11) 94420-7441</t>
  </si>
  <si>
    <t>Jaqueline Dias</t>
  </si>
  <si>
    <t>(11) 99464-1828</t>
  </si>
  <si>
    <t>(41) 97975-6537</t>
  </si>
  <si>
    <t>Heitor Soares Lima</t>
  </si>
  <si>
    <t>Cauã Farias Araújo</t>
  </si>
  <si>
    <t>846.753.909-78</t>
  </si>
  <si>
    <t>777.674.473-59</t>
  </si>
  <si>
    <t>125.290.110-01</t>
  </si>
  <si>
    <t>(61) 95850-4029</t>
  </si>
  <si>
    <t>Paula Vieira Pinto</t>
  </si>
  <si>
    <t>970.345.737-19</t>
  </si>
  <si>
    <t>099.849.126-80</t>
  </si>
  <si>
    <t>998.399.030-04</t>
  </si>
  <si>
    <t>(11) 91822-6854</t>
  </si>
  <si>
    <t>709.857.795-27</t>
  </si>
  <si>
    <t>(11) 99405-2599</t>
  </si>
  <si>
    <t>Fernanda Correia</t>
  </si>
  <si>
    <t>900.740.185-82</t>
  </si>
  <si>
    <t>Laura Araújo</t>
  </si>
  <si>
    <t>800.777.586-25</t>
  </si>
  <si>
    <t>(11) 96397-9105</t>
  </si>
  <si>
    <t>(41) 99157-9180</t>
  </si>
  <si>
    <t>Davi Cavalcanti</t>
  </si>
  <si>
    <t>Renata Dias</t>
  </si>
  <si>
    <t>725.983.798-53</t>
  </si>
  <si>
    <t>(41) 92590-6580</t>
  </si>
  <si>
    <t>806.042.772-53</t>
  </si>
  <si>
    <t>321.569.007-10</t>
  </si>
  <si>
    <t>(11) 95478-4826</t>
  </si>
  <si>
    <t>332.750.524-11</t>
  </si>
  <si>
    <t>(19) 94688-4835</t>
  </si>
  <si>
    <t>icaro.soares31@outlook.com</t>
  </si>
  <si>
    <t>187.179.933-34</t>
  </si>
  <si>
    <t>(11) 92742-4460</t>
  </si>
  <si>
    <t>764.066.479-98</t>
  </si>
  <si>
    <t>Kamila Rodrigues</t>
  </si>
  <si>
    <t>kamila.rodrigues69@hotmail.com</t>
  </si>
  <si>
    <t>(11) 96798-1346</t>
  </si>
  <si>
    <t>(19) 90539-8439</t>
  </si>
  <si>
    <t>552.917.714-02</t>
  </si>
  <si>
    <t>(41) 94005-5201</t>
  </si>
  <si>
    <t>emanuel.gomes61@bol.com.br</t>
  </si>
  <si>
    <t>(41) 98093-9046</t>
  </si>
  <si>
    <t>Thaís Rodrigues</t>
  </si>
  <si>
    <t>278.707.669-68</t>
  </si>
  <si>
    <t>908.902.493-00</t>
  </si>
  <si>
    <t>911.537.299-54</t>
  </si>
  <si>
    <t>675.255.287-80</t>
  </si>
  <si>
    <t>(11) 90489-5399</t>
  </si>
  <si>
    <t>631.555.227-71</t>
  </si>
  <si>
    <t>(19) 97144-3994</t>
  </si>
  <si>
    <t>Nicole Freitas Campos</t>
  </si>
  <si>
    <t>193.401.562-85</t>
  </si>
  <si>
    <t>252.832.183-09</t>
  </si>
  <si>
    <t>Kamila Dias</t>
  </si>
  <si>
    <t>497.712.441-32</t>
  </si>
  <si>
    <t>(19) 97171-0187</t>
  </si>
  <si>
    <t>Pedro Cardoso Carvalho</t>
  </si>
  <si>
    <t>835.355.272-87</t>
  </si>
  <si>
    <t>Heloísa Martins</t>
  </si>
  <si>
    <t>316.937.091-04</t>
  </si>
  <si>
    <t>(11) 93111-8361</t>
  </si>
  <si>
    <t>Marina Araújo Ferreira</t>
  </si>
  <si>
    <t>069.574.123-34</t>
  </si>
  <si>
    <t>Otávio Dias</t>
  </si>
  <si>
    <t>(11) 96500-0038</t>
  </si>
  <si>
    <t>Ana Fernandes Silva</t>
  </si>
  <si>
    <t>529.070.950-99</t>
  </si>
  <si>
    <t>(31) 98474-8329</t>
  </si>
  <si>
    <t>922.325.035-85</t>
  </si>
  <si>
    <t>(41) 96621-1927</t>
  </si>
  <si>
    <t>Emanuel Monteiro</t>
  </si>
  <si>
    <t>066.719.580-76</t>
  </si>
  <si>
    <t>(48) 98347-5923</t>
  </si>
  <si>
    <t>Marcelo Moura</t>
  </si>
  <si>
    <t>260.559.797-05</t>
  </si>
  <si>
    <t>(21) 91157-9288</t>
  </si>
  <si>
    <t>538.139.286-91</t>
  </si>
  <si>
    <t>Nicole Batista Costa</t>
  </si>
  <si>
    <t>883.623.438-00</t>
  </si>
  <si>
    <t>(11) 94846-6241</t>
  </si>
  <si>
    <t>898.533.281-35</t>
  </si>
  <si>
    <t>757.876.631-79</t>
  </si>
  <si>
    <t>855.054.912-60</t>
  </si>
  <si>
    <t>(11) 91624-6909</t>
  </si>
  <si>
    <t>(11) 94762-7364</t>
  </si>
  <si>
    <t>762.457.198-60</t>
  </si>
  <si>
    <t>(21) 96082-6783</t>
  </si>
  <si>
    <t>616.580.387-38</t>
  </si>
  <si>
    <t>(11) 96162-3205</t>
  </si>
  <si>
    <t>Eduardo Fernandes Martins</t>
  </si>
  <si>
    <t>768.301.982-83</t>
  </si>
  <si>
    <t>(61) 98610-7452</t>
  </si>
  <si>
    <t>136.811.304-42</t>
  </si>
  <si>
    <t>887.959.316-19</t>
  </si>
  <si>
    <t>Helena Peixoto Rezende</t>
  </si>
  <si>
    <t>(41) 93681-2292</t>
  </si>
  <si>
    <t>(41) 91812-0224</t>
  </si>
  <si>
    <t>(11) 95379-0593</t>
  </si>
  <si>
    <t>282.177.988-77</t>
  </si>
  <si>
    <t>(51) 97960-4294</t>
  </si>
  <si>
    <t>Vitória Souza</t>
  </si>
  <si>
    <t>018.294.518-98</t>
  </si>
  <si>
    <t>(31) 91156-9580</t>
  </si>
  <si>
    <t>865.421.818-57</t>
  </si>
  <si>
    <t>(61) 96932-2412</t>
  </si>
  <si>
    <t>251.843.328-71</t>
  </si>
  <si>
    <t>(31) 91777-8517</t>
  </si>
  <si>
    <t>711.451.288-07</t>
  </si>
  <si>
    <t>(41) 96929-7814</t>
  </si>
  <si>
    <t>826.620.339-32</t>
  </si>
  <si>
    <t>(11) 97561-9899</t>
  </si>
  <si>
    <t>133.370.402-09</t>
  </si>
  <si>
    <t>(41) 92284-7217</t>
  </si>
  <si>
    <t>457.811.939-44</t>
  </si>
  <si>
    <t>(51) 99016-8388</t>
  </si>
  <si>
    <t>219.736.985-79</t>
  </si>
  <si>
    <t>Rebeca Monteiro</t>
  </si>
  <si>
    <t>485.838.895-62</t>
  </si>
  <si>
    <t>(31) 92931-4749</t>
  </si>
  <si>
    <t>(61) 95818-2674</t>
  </si>
  <si>
    <t>008.025.383-04</t>
  </si>
  <si>
    <t>(11) 90175-5748</t>
  </si>
  <si>
    <t>159.966.070-93</t>
  </si>
  <si>
    <t>(41) 90635-6218</t>
  </si>
  <si>
    <t>820.635.626-60</t>
  </si>
  <si>
    <t>Mariana Teixeira</t>
  </si>
  <si>
    <t>690.911.143-55</t>
  </si>
  <si>
    <t>Wesley Rocha</t>
  </si>
  <si>
    <t>752.380.192-70</t>
  </si>
  <si>
    <t>826.693.679-09</t>
  </si>
  <si>
    <t>858.655.842-78</t>
  </si>
  <si>
    <t>(11) 91021-2517</t>
  </si>
  <si>
    <t>424.906.434-44</t>
  </si>
  <si>
    <t>696.521.725-10</t>
  </si>
  <si>
    <t>(48) 90999-7817</t>
  </si>
  <si>
    <t>138.565.722-79</t>
  </si>
  <si>
    <t>(41) 93967-8944</t>
  </si>
  <si>
    <t>Daniel Nunes Santos</t>
  </si>
  <si>
    <t>454.889.182-05</t>
  </si>
  <si>
    <t>(11) 91378-6919</t>
  </si>
  <si>
    <t>(31) 92436-3088</t>
  </si>
  <si>
    <t>871.639.305-85</t>
  </si>
  <si>
    <t>(47) 98987-3451</t>
  </si>
  <si>
    <t>Tainá Marques Batista</t>
  </si>
  <si>
    <t>335.451.676-31</t>
  </si>
  <si>
    <t>314.047.970-09</t>
  </si>
  <si>
    <t>(41) 96556-2177</t>
  </si>
  <si>
    <t>(61) 93259-2570</t>
  </si>
  <si>
    <t>Hugo Soares</t>
  </si>
  <si>
    <t>(61) 97222-4445</t>
  </si>
  <si>
    <t>985.726.057-89</t>
  </si>
  <si>
    <t>(11) 99050-8309</t>
  </si>
  <si>
    <t>(71) 92512-7650</t>
  </si>
  <si>
    <t>059.978.725-21</t>
  </si>
  <si>
    <t>(31) 97717-3259</t>
  </si>
  <si>
    <t>592.341.351-56</t>
  </si>
  <si>
    <t>(31) 97827-2341</t>
  </si>
  <si>
    <t>239.204.436-83</t>
  </si>
  <si>
    <t>880.105.190-57</t>
  </si>
  <si>
    <t>(21) 99744-5918</t>
  </si>
  <si>
    <t>Murilo Monteiro Nunes</t>
  </si>
  <si>
    <t>411.828.475-87</t>
  </si>
  <si>
    <t>(71) 98396-6419</t>
  </si>
  <si>
    <t>(11) 93326-7104</t>
  </si>
  <si>
    <t>nicole.pinto89@gmail.com</t>
  </si>
  <si>
    <t>(41) 95230-4613</t>
  </si>
  <si>
    <t>Eduarda Ribeiro Teixeira</t>
  </si>
  <si>
    <t>368.100.821-31</t>
  </si>
  <si>
    <t>(11) 96915-5643</t>
  </si>
  <si>
    <t>Vitor Barbosa</t>
  </si>
  <si>
    <t>289.047.207-88</t>
  </si>
  <si>
    <t>(31) 98670-5412</t>
  </si>
  <si>
    <t>167.474.374-20</t>
  </si>
  <si>
    <t>(71) 94274-2632</t>
  </si>
  <si>
    <t>459.813.747-99</t>
  </si>
  <si>
    <t>Murilo Correia</t>
  </si>
  <si>
    <t>532.024.269-74</t>
  </si>
  <si>
    <t>Sofia Soares Alves</t>
  </si>
  <si>
    <t>194.171.187-14</t>
  </si>
  <si>
    <t>418.917.881-08</t>
  </si>
  <si>
    <t>600.528.525-47</t>
  </si>
  <si>
    <t>(61) 93857-9135</t>
  </si>
  <si>
    <t>Renan Lopes Oliveira</t>
  </si>
  <si>
    <t>014.743.315-05</t>
  </si>
  <si>
    <t>Natália Ribeiro Vieira</t>
  </si>
  <si>
    <t>074.925.192-14</t>
  </si>
  <si>
    <t>Yasmin Alves Farias</t>
  </si>
  <si>
    <t>(11) 95044-7709</t>
  </si>
  <si>
    <t>Rodrigo Rodrigues Fonseca</t>
  </si>
  <si>
    <t>630.413.634-02</t>
  </si>
  <si>
    <t>Aline Machado Rodrigues</t>
  </si>
  <si>
    <t>Wesley Teixeira</t>
  </si>
  <si>
    <t>308.845.510-91</t>
  </si>
  <si>
    <t>Otávio Souza Barros</t>
  </si>
  <si>
    <t>333.856.948-33</t>
  </si>
  <si>
    <t>(48) 93129-2343</t>
  </si>
  <si>
    <t>462.539.917-36</t>
  </si>
  <si>
    <t>(21) 97781-4591</t>
  </si>
  <si>
    <t>009.188.749-63</t>
  </si>
  <si>
    <t>(41) 96958-5918</t>
  </si>
  <si>
    <t>732.472.210-50</t>
  </si>
  <si>
    <t>thais.ramos47@gmail.com</t>
  </si>
  <si>
    <t>(11) 97607-5072</t>
  </si>
  <si>
    <t>(11) 91589-5290</t>
  </si>
  <si>
    <t>(48) 95192-9978</t>
  </si>
  <si>
    <t>123.214.834-23</t>
  </si>
  <si>
    <t>(31) 92989-8472</t>
  </si>
  <si>
    <t>764.656.249-15</t>
  </si>
  <si>
    <t>Bianca Dias Costa</t>
  </si>
  <si>
    <t>811.451.314-41</t>
  </si>
  <si>
    <t>(41) 91691-2698</t>
  </si>
  <si>
    <t>(11) 98211-5330</t>
  </si>
  <si>
    <t>Bianca Oliveira</t>
  </si>
  <si>
    <t>190.899.197-67</t>
  </si>
  <si>
    <t>(31) 94075-6281</t>
  </si>
  <si>
    <t>764.566.666-86</t>
  </si>
  <si>
    <t>(41) 92426-7794</t>
  </si>
  <si>
    <t>667.404.696-52</t>
  </si>
  <si>
    <t>337.090.396-22</t>
  </si>
  <si>
    <t>sofia.freitas31@hotmail.com</t>
  </si>
  <si>
    <t>474.348.914-83</t>
  </si>
  <si>
    <t>(21) 91863-1195</t>
  </si>
  <si>
    <t>507.017.679-01</t>
  </si>
  <si>
    <t>362.755.154-06</t>
  </si>
  <si>
    <t>938.672.088-40</t>
  </si>
  <si>
    <t>(11) 91949-3960</t>
  </si>
  <si>
    <t>267.416.776-90</t>
  </si>
  <si>
    <t>(41) 97500-2012</t>
  </si>
  <si>
    <t>(11) 92069-5253</t>
  </si>
  <si>
    <t>014.921.100-78</t>
  </si>
  <si>
    <t>(47) 95557-2425</t>
  </si>
  <si>
    <t>Cecília Souza Teixeira</t>
  </si>
  <si>
    <t>967.617.394-03</t>
  </si>
  <si>
    <t>(11) 91866-1206</t>
  </si>
  <si>
    <t>148.121.665-19</t>
  </si>
  <si>
    <t>(47) 90712-2951</t>
  </si>
  <si>
    <t>419.894.347-89</t>
  </si>
  <si>
    <t>melissa.costa94@outlook.com</t>
  </si>
  <si>
    <t>(11) 98250-2727</t>
  </si>
  <si>
    <t>(71) 93474-9680</t>
  </si>
  <si>
    <t>979.684.462-10</t>
  </si>
  <si>
    <t>(41) 93728-2839</t>
  </si>
  <si>
    <t>329.701.422-95</t>
  </si>
  <si>
    <t>108.127.090-04</t>
  </si>
  <si>
    <t>(41) 90235-9457</t>
  </si>
  <si>
    <t>Alice Andrade Dias</t>
  </si>
  <si>
    <t>(41) 99085-6913</t>
  </si>
  <si>
    <t>Alice Andrade</t>
  </si>
  <si>
    <t>(11) 92623-8139</t>
  </si>
  <si>
    <t>684.255.596-50</t>
  </si>
  <si>
    <t>780.440.769-64</t>
  </si>
  <si>
    <t>(41) 91818-0960</t>
  </si>
  <si>
    <t>Thaís Nunes</t>
  </si>
  <si>
    <t>814.825.521-08</t>
  </si>
  <si>
    <t>Fernanda Costa Almeida</t>
  </si>
  <si>
    <t>069.819.976-65</t>
  </si>
  <si>
    <t>389.347.285-15</t>
  </si>
  <si>
    <t>(11) 96315-0030</t>
  </si>
  <si>
    <t>808.186.251-04</t>
  </si>
  <si>
    <t>245.625.165-26</t>
  </si>
  <si>
    <t>311.181.440-82</t>
  </si>
  <si>
    <t>(41) 98850-4334</t>
  </si>
  <si>
    <t>Priscila Araújo</t>
  </si>
  <si>
    <t>628.833.258-55</t>
  </si>
  <si>
    <t>(41) 94159-6981</t>
  </si>
  <si>
    <t>321.181.597-06</t>
  </si>
  <si>
    <t>(31) 95656-1809</t>
  </si>
  <si>
    <t>Vitor Machado</t>
  </si>
  <si>
    <t>836.264.477-07</t>
  </si>
  <si>
    <t>Valentina Ramos</t>
  </si>
  <si>
    <t>711.711.296-45</t>
  </si>
  <si>
    <t>661.691.780-00</t>
  </si>
  <si>
    <t>(11) 90555-1097</t>
  </si>
  <si>
    <t>267.810.060-02</t>
  </si>
  <si>
    <t>(11) 92568-4846</t>
  </si>
  <si>
    <t>753.052.934-05</t>
  </si>
  <si>
    <t>954.172.742-59</t>
  </si>
  <si>
    <t>(41) 98071-3796</t>
  </si>
  <si>
    <t>(11) 94445-4595</t>
  </si>
  <si>
    <t>Lorena Santos Lima</t>
  </si>
  <si>
    <t>760.122.540-24</t>
  </si>
  <si>
    <t>Sabrina Martins Pinto</t>
  </si>
  <si>
    <t>424.475.269-20</t>
  </si>
  <si>
    <t>715.202.412-08</t>
  </si>
  <si>
    <t>(11) 91031-3261</t>
  </si>
  <si>
    <t>(31) 92165-8134</t>
  </si>
  <si>
    <t>(41) 91169-2010</t>
  </si>
  <si>
    <t>193.118.618-98</t>
  </si>
  <si>
    <t>931.144.312-32</t>
  </si>
  <si>
    <t>461.686.249-45</t>
  </si>
  <si>
    <t>(61) 94171-1739</t>
  </si>
  <si>
    <t>500.215.241-49</t>
  </si>
  <si>
    <t>(62) 96788-5426</t>
  </si>
  <si>
    <t>Otávio Monteiro</t>
  </si>
  <si>
    <t>216.476.624-51</t>
  </si>
  <si>
    <t>(11) 94627-4695</t>
  </si>
  <si>
    <t>115.714.437-38</t>
  </si>
  <si>
    <t>(11) 90866-6424</t>
  </si>
  <si>
    <t>Luan Martins Santos</t>
  </si>
  <si>
    <t>555.281.024-48</t>
  </si>
  <si>
    <t>(41) 99523-1094</t>
  </si>
  <si>
    <t>925.882.884-48</t>
  </si>
  <si>
    <t>(31) 97397-5799</t>
  </si>
  <si>
    <t>416.514.083-00</t>
  </si>
  <si>
    <t>(19) 96905-0062</t>
  </si>
  <si>
    <t>195.327.360-26</t>
  </si>
  <si>
    <t>272.822.078-60</t>
  </si>
  <si>
    <t>342.083.930-84</t>
  </si>
  <si>
    <t>(41) 91423-2670</t>
  </si>
  <si>
    <t>Gabriel Andrade Santana</t>
  </si>
  <si>
    <t>908.121.070-04</t>
  </si>
  <si>
    <t>gabriel.santana4@gmail.com</t>
  </si>
  <si>
    <t>(11) 97890-5622</t>
  </si>
  <si>
    <t>Vanessa Mendes</t>
  </si>
  <si>
    <t>777.735.744-13</t>
  </si>
  <si>
    <t>(11) 95468-2246</t>
  </si>
  <si>
    <t>(85) 99101-0014</t>
  </si>
  <si>
    <t>397.719.945-57</t>
  </si>
  <si>
    <t>013.856.087-06</t>
  </si>
  <si>
    <t>Igor Martins Gomes</t>
  </si>
  <si>
    <t>956.684.228-79</t>
  </si>
  <si>
    <t>(11) 94560-2240</t>
  </si>
  <si>
    <t>914.547.167-38</t>
  </si>
  <si>
    <t>(11) 98294-1014</t>
  </si>
  <si>
    <t>158.023.031-82</t>
  </si>
  <si>
    <t>(41) 98049-3030</t>
  </si>
  <si>
    <t>517.948.771-42</t>
  </si>
  <si>
    <t>(11) 93280-8231</t>
  </si>
  <si>
    <t>109.005.713-06</t>
  </si>
  <si>
    <t>(21) 98928-1513</t>
  </si>
  <si>
    <t>073.679.385-25</t>
  </si>
  <si>
    <t>694.872.152-47</t>
  </si>
  <si>
    <t>113.518.667-70</t>
  </si>
  <si>
    <t>Rebeca Fonseca</t>
  </si>
  <si>
    <t>995.243.682-34</t>
  </si>
  <si>
    <t>Tainá Nascimento Campos</t>
  </si>
  <si>
    <t>001.905.260-09</t>
  </si>
  <si>
    <t>(11) 98853-7208</t>
  </si>
  <si>
    <t>524.626.645-13</t>
  </si>
  <si>
    <t>(48) 91993-4333</t>
  </si>
  <si>
    <t>Lucas Correia</t>
  </si>
  <si>
    <t>(71) 95606-7399</t>
  </si>
  <si>
    <t>Melissa Farias</t>
  </si>
  <si>
    <t>761.929.315-93</t>
  </si>
  <si>
    <t>(31) 95315-1134</t>
  </si>
  <si>
    <t>Teo Correia</t>
  </si>
  <si>
    <t>686.725.621-00</t>
  </si>
  <si>
    <t>823.594.307-77</t>
  </si>
  <si>
    <t>(11) 98262-6735</t>
  </si>
  <si>
    <t>644.150.266-64</t>
  </si>
  <si>
    <t>(62) 97791-7041</t>
  </si>
  <si>
    <t>Wesley Teixeira Soares</t>
  </si>
  <si>
    <t>260.213.585-20</t>
  </si>
  <si>
    <t>769.027.743-82</t>
  </si>
  <si>
    <t>(11) 91510-0930</t>
  </si>
  <si>
    <t>Beatriz Mendes Monteiro</t>
  </si>
  <si>
    <t>Eduarda Martins Dias</t>
  </si>
  <si>
    <t>794.060.473-22</t>
  </si>
  <si>
    <t>Camila Cavalcanti</t>
  </si>
  <si>
    <t>288.779.231-80</t>
  </si>
  <si>
    <t>(11) 95763-6081</t>
  </si>
  <si>
    <t>607.954.173-49</t>
  </si>
  <si>
    <t>191.281.999-60</t>
  </si>
  <si>
    <t>(41) 97791-8992</t>
  </si>
  <si>
    <t>311.499.826-75</t>
  </si>
  <si>
    <t>(48) 98354-3172</t>
  </si>
  <si>
    <t>732.287.703-97</t>
  </si>
  <si>
    <t>(11) 92339-1828</t>
  </si>
  <si>
    <t>(31) 91545-6542</t>
  </si>
  <si>
    <t>164.189.839-98</t>
  </si>
  <si>
    <t>031.422.748-20</t>
  </si>
  <si>
    <t>Laura Freitas</t>
  </si>
  <si>
    <t>767.210.639-21</t>
  </si>
  <si>
    <t>(31) 91727-0814</t>
  </si>
  <si>
    <t>289.203.959-26</t>
  </si>
  <si>
    <t>(51) 98464-0480</t>
  </si>
  <si>
    <t>936.932.333-30</t>
  </si>
  <si>
    <t>427.465.602-08</t>
  </si>
  <si>
    <t>684.851.306-77</t>
  </si>
  <si>
    <t>617.767.596-48</t>
  </si>
  <si>
    <t>(41) 91257-2707</t>
  </si>
  <si>
    <t>(31) 94525-1501</t>
  </si>
  <si>
    <t>204.154.254-33</t>
  </si>
  <si>
    <t>298.380.483-64</t>
  </si>
  <si>
    <t>448.147.221-92</t>
  </si>
  <si>
    <t>Ícaro Cavalcanti Teixeira</t>
  </si>
  <si>
    <t>584.948.441-80</t>
  </si>
  <si>
    <t>Luan Almeida</t>
  </si>
  <si>
    <t>(48) 98315-5108</t>
  </si>
  <si>
    <t>Nicole Fernandes</t>
  </si>
  <si>
    <t>045.463.987-27</t>
  </si>
  <si>
    <t>(51) 91310-4049</t>
  </si>
  <si>
    <t>478.140.322-02</t>
  </si>
  <si>
    <t>892.556.204-95</t>
  </si>
  <si>
    <t>(11) 99289-9259</t>
  </si>
  <si>
    <t>720.207.328-58</t>
  </si>
  <si>
    <t>(11) 98307-8451</t>
  </si>
  <si>
    <t>358.293.486-16</t>
  </si>
  <si>
    <t>(11) 92381-0130</t>
  </si>
  <si>
    <t>042.313.563-51</t>
  </si>
  <si>
    <t>(71) 90583-1362</t>
  </si>
  <si>
    <t>debora.nascimento53@gmail.com</t>
  </si>
  <si>
    <t>(11) 94971-2894</t>
  </si>
  <si>
    <t>(11) 93929-6466</t>
  </si>
  <si>
    <t>Luan Pinto Souza</t>
  </si>
  <si>
    <t>374.367.622-22</t>
  </si>
  <si>
    <t>(41) 91829-7904</t>
  </si>
  <si>
    <t>344.462.665-78</t>
  </si>
  <si>
    <t>(11) 91743-5771</t>
  </si>
  <si>
    <t>Ricardo Farias</t>
  </si>
  <si>
    <t>273.076.435-61</t>
  </si>
  <si>
    <t>(41) 96717-3936</t>
  </si>
  <si>
    <t>(11) 98577-3025</t>
  </si>
  <si>
    <t>(31) 93109-6161</t>
  </si>
  <si>
    <t>Emanuelly Araújo</t>
  </si>
  <si>
    <t>237.216.524-01</t>
  </si>
  <si>
    <t>109.964.123-36</t>
  </si>
  <si>
    <t>(11) 92009-1481</t>
  </si>
  <si>
    <t>582.363.011-50</t>
  </si>
  <si>
    <t>(11) 98566-3481</t>
  </si>
  <si>
    <t>542.651.882-30</t>
  </si>
  <si>
    <t>(11) 99780-3914</t>
  </si>
  <si>
    <t>528.197.183-29</t>
  </si>
  <si>
    <t>(48) 91234-4691</t>
  </si>
  <si>
    <t>Enzo Santos Freitas</t>
  </si>
  <si>
    <t>879.745.628-46</t>
  </si>
  <si>
    <t>(11) 90406-4669</t>
  </si>
  <si>
    <t>194.378.194-08</t>
  </si>
  <si>
    <t>(11) 98974-5650</t>
  </si>
  <si>
    <t>999.095.951-09</t>
  </si>
  <si>
    <t>755.481.921-67</t>
  </si>
  <si>
    <t>(47) 92971-0539</t>
  </si>
  <si>
    <t>441.869.809-42</t>
  </si>
  <si>
    <t>742.359.196-36</t>
  </si>
  <si>
    <t>(41) 93832-9246</t>
  </si>
  <si>
    <t>372.442.771-99</t>
  </si>
  <si>
    <t>Caetano Ribeiro</t>
  </si>
  <si>
    <t>481.349.640-79</t>
  </si>
  <si>
    <t>667.620.019-80</t>
  </si>
  <si>
    <t>(51) 97887-2101</t>
  </si>
  <si>
    <t>859.838.576-06</t>
  </si>
  <si>
    <t>Carolina Ferreira Freitas</t>
  </si>
  <si>
    <t>750.949.915-15</t>
  </si>
  <si>
    <t>(61) 91885-0057</t>
  </si>
  <si>
    <t>791.833.192-39</t>
  </si>
  <si>
    <t>(47) 99734-9413</t>
  </si>
  <si>
    <t>629.773.013-05</t>
  </si>
  <si>
    <t>Teo Nascimento</t>
  </si>
  <si>
    <t>(11) 97426-7754</t>
  </si>
  <si>
    <t>572.467.786-59</t>
  </si>
  <si>
    <t>(11) 92888-6411</t>
  </si>
  <si>
    <t>258.428.683-18</t>
  </si>
  <si>
    <t>(21) 93038-2574</t>
  </si>
  <si>
    <t>Emanuel Marques</t>
  </si>
  <si>
    <t>114.378.395-68</t>
  </si>
  <si>
    <t>(11) 90889-1300</t>
  </si>
  <si>
    <t>157.865.867-58</t>
  </si>
  <si>
    <t>caetano.silva41@bol.com.br</t>
  </si>
  <si>
    <t>(31) 91143-2418</t>
  </si>
  <si>
    <t>001.807.690-49</t>
  </si>
  <si>
    <t>Rodrigo Nunes Barbosa</t>
  </si>
  <si>
    <t>362.603.288-42</t>
  </si>
  <si>
    <t>(11) 96084-2736</t>
  </si>
  <si>
    <t>Paulo Santos Costa</t>
  </si>
  <si>
    <t>638.245.121-57</t>
  </si>
  <si>
    <t>(11) 93717-8404</t>
  </si>
  <si>
    <t>(11) 94563-9194</t>
  </si>
  <si>
    <t>Valentina Oliveira</t>
  </si>
  <si>
    <t>089.045.304-74</t>
  </si>
  <si>
    <t>(11) 96372-3140</t>
  </si>
  <si>
    <t>Renata Campos</t>
  </si>
  <si>
    <t>(41) 96097-5590</t>
  </si>
  <si>
    <t>Marina Rocha</t>
  </si>
  <si>
    <t>314.536.016-78</t>
  </si>
  <si>
    <t>(41) 99541-5801</t>
  </si>
  <si>
    <t>428.525.041-11</t>
  </si>
  <si>
    <t>(11) 93504-2685</t>
  </si>
  <si>
    <t>Heloísa Monteiro</t>
  </si>
  <si>
    <t>517.481.021-50</t>
  </si>
  <si>
    <t>(11) 94551-9890</t>
  </si>
  <si>
    <t>136.451.159-27</t>
  </si>
  <si>
    <t>Yasmin Rezende</t>
  </si>
  <si>
    <t>446.455.144-07</t>
  </si>
  <si>
    <t>Vinícius Pinto Correia</t>
  </si>
  <si>
    <t>953.999.405-58</t>
  </si>
  <si>
    <t>Yasmin Souza Batista</t>
  </si>
  <si>
    <t>083.439.882-64</t>
  </si>
  <si>
    <t>200.169.229-30</t>
  </si>
  <si>
    <t>(11) 97321-7026</t>
  </si>
  <si>
    <t>(11) 98793-2987</t>
  </si>
  <si>
    <t>(11) 96065-9227</t>
  </si>
  <si>
    <t>985.677.482-91</t>
  </si>
  <si>
    <t>Paulo Martins</t>
  </si>
  <si>
    <t>(11) 99120-7825</t>
  </si>
  <si>
    <t>Bruno Tavares</t>
  </si>
  <si>
    <t>411.652.350-05</t>
  </si>
  <si>
    <t>(31) 95449-5128</t>
  </si>
  <si>
    <t>665.664.956-49</t>
  </si>
  <si>
    <t>(11) 96244-2199</t>
  </si>
  <si>
    <t>155.624.105-40</t>
  </si>
  <si>
    <t>316.574.174-33</t>
  </si>
  <si>
    <t>161.995.798-10</t>
  </si>
  <si>
    <t>Eduarda Correia Rodrigues</t>
  </si>
  <si>
    <t>434.739.900-60</t>
  </si>
  <si>
    <t>358.410.152-22</t>
  </si>
  <si>
    <t>Thiago Costa Mendes</t>
  </si>
  <si>
    <t>803.987.919-10</t>
  </si>
  <si>
    <t>182.179.949-60</t>
  </si>
  <si>
    <t>(11) 90922-9445</t>
  </si>
  <si>
    <t>Sabrina Carvalho</t>
  </si>
  <si>
    <t>(11) 90409-1330</t>
  </si>
  <si>
    <t>Lívia Barbosa Farias</t>
  </si>
  <si>
    <t>507.776.033-06</t>
  </si>
  <si>
    <t>(41) 96711-4377</t>
  </si>
  <si>
    <t>093.807.888-78</t>
  </si>
  <si>
    <t>(19) 98160-4727</t>
  </si>
  <si>
    <t>(41) 99005-4039</t>
  </si>
  <si>
    <t>938.649.998-39</t>
  </si>
  <si>
    <t>(11) 99455-6610</t>
  </si>
  <si>
    <t>(31) 97778-6272</t>
  </si>
  <si>
    <t>(11) 92033-0945</t>
  </si>
  <si>
    <t>463.326.328-52</t>
  </si>
  <si>
    <t>Vitória Andrade Nunes</t>
  </si>
  <si>
    <t>314.276.495-02</t>
  </si>
  <si>
    <t>(71) 95492-2614</t>
  </si>
  <si>
    <t>747.325.855-90</t>
  </si>
  <si>
    <t>(51) 97845-5770</t>
  </si>
  <si>
    <t>Yuri Alves Souza</t>
  </si>
  <si>
    <t>790.695.121-22</t>
  </si>
  <si>
    <t>(41) 91519-4413</t>
  </si>
  <si>
    <t>168.664.991-60</t>
  </si>
  <si>
    <t>619.649.046-09</t>
  </si>
  <si>
    <t>(31) 98626-7151</t>
  </si>
  <si>
    <t>Paulo Andrade</t>
  </si>
  <si>
    <t>848.357.248-60</t>
  </si>
  <si>
    <t>(62) 90169-8939</t>
  </si>
  <si>
    <t>036.796.147-48</t>
  </si>
  <si>
    <t>(31) 92242-4109</t>
  </si>
  <si>
    <t>Carolina Gomes Correia</t>
  </si>
  <si>
    <t>921.555.592-75</t>
  </si>
  <si>
    <t>(51) 98569-8336</t>
  </si>
  <si>
    <t>Marcelo Alves Cavalcanti</t>
  </si>
  <si>
    <t>(31) 91778-0267</t>
  </si>
  <si>
    <t>855.815.487-22</t>
  </si>
  <si>
    <t>(31) 90654-0855</t>
  </si>
  <si>
    <t>Manuela Nunes Barros</t>
  </si>
  <si>
    <t>772.413.753-60</t>
  </si>
  <si>
    <t>André Nogueira</t>
  </si>
  <si>
    <t>648.670.955-32</t>
  </si>
  <si>
    <t>(41) 93667-1834</t>
  </si>
  <si>
    <t>Camila Nogueira Fonseca</t>
  </si>
  <si>
    <t>259.611.086-51</t>
  </si>
  <si>
    <t>(11) 99176-6356</t>
  </si>
  <si>
    <t>Emanuel Nunes</t>
  </si>
  <si>
    <t>(31) 96594-5547</t>
  </si>
  <si>
    <t>939.319.516-18</t>
  </si>
  <si>
    <t>466.695.795-27</t>
  </si>
  <si>
    <t>110.480.713-08</t>
  </si>
  <si>
    <t>(41) 94657-2956</t>
  </si>
  <si>
    <t>029.854.031-20</t>
  </si>
  <si>
    <t>(61) 97663-2135</t>
  </si>
  <si>
    <t>Henrique Nunes Rocha</t>
  </si>
  <si>
    <t>(41) 96126-9587</t>
  </si>
  <si>
    <t>285.639.061-78</t>
  </si>
  <si>
    <t>054.690.388-66</t>
  </si>
  <si>
    <t>(11) 98798-4321</t>
  </si>
  <si>
    <t>208.664.361-62</t>
  </si>
  <si>
    <t>905.065.750-80</t>
  </si>
  <si>
    <t>(31) 90721-4058</t>
  </si>
  <si>
    <t>142.188.516-62</t>
  </si>
  <si>
    <t>422.201.753-16</t>
  </si>
  <si>
    <t>(21) 93699-9093</t>
  </si>
  <si>
    <t>003.886.849-09</t>
  </si>
  <si>
    <t>(11) 98686-4650</t>
  </si>
  <si>
    <t>(41) 91126-6206</t>
  </si>
  <si>
    <t>531.918.128-06</t>
  </si>
  <si>
    <t>(41) 97630-0750</t>
  </si>
  <si>
    <t>660.118.693-78</t>
  </si>
  <si>
    <t>740.431.991-98</t>
  </si>
  <si>
    <t>(11) 97616-8809</t>
  </si>
  <si>
    <t>(11) 90312-4360</t>
  </si>
  <si>
    <t>142.260.298-28</t>
  </si>
  <si>
    <t>(11) 98668-0733</t>
  </si>
  <si>
    <t>986.211.922-50</t>
  </si>
  <si>
    <t>493.301.381-01</t>
  </si>
  <si>
    <t>Lorenzo Pereira Barros</t>
  </si>
  <si>
    <t>964.136.483-92</t>
  </si>
  <si>
    <t>(11) 99460-5650</t>
  </si>
  <si>
    <t>187.201.244-22</t>
  </si>
  <si>
    <t>(11) 92883-9385</t>
  </si>
  <si>
    <t>087.956.988-33</t>
  </si>
  <si>
    <t>Laura Alves</t>
  </si>
  <si>
    <t>184.516.414-82</t>
  </si>
  <si>
    <t>(11) 93302-7557</t>
  </si>
  <si>
    <t>(11) 93524-8515</t>
  </si>
  <si>
    <t>735.958.828-65</t>
  </si>
  <si>
    <t>(51) 95969-1586</t>
  </si>
  <si>
    <t>270.114.305-55</t>
  </si>
  <si>
    <t>690.372.251-36</t>
  </si>
  <si>
    <t>(11) 95670-7644</t>
  </si>
  <si>
    <t>365.476.650-11</t>
  </si>
  <si>
    <t>(71) 98666-9616</t>
  </si>
  <si>
    <t>Priscila Marques Moreira</t>
  </si>
  <si>
    <t>875.656.007-92</t>
  </si>
  <si>
    <t>Letícia Peixoto</t>
  </si>
  <si>
    <t>095.398.137-19</t>
  </si>
  <si>
    <t>(11) 96628-5798</t>
  </si>
  <si>
    <t>(11) 96736-1998</t>
  </si>
  <si>
    <t>(11) 90942-9628</t>
  </si>
  <si>
    <t>Eduarda Fernandes</t>
  </si>
  <si>
    <t>059.169.164-77</t>
  </si>
  <si>
    <t>722.797.851-61</t>
  </si>
  <si>
    <t>Caio Nascimento Rodrigues</t>
  </si>
  <si>
    <t>730.491.184-07</t>
  </si>
  <si>
    <t>(11) 98425-6761</t>
  </si>
  <si>
    <t>Fábio Silva</t>
  </si>
  <si>
    <t>(11) 90773-5776</t>
  </si>
  <si>
    <t>479.471.236-75</t>
  </si>
  <si>
    <t>630.464.151-68</t>
  </si>
  <si>
    <t>(11) 90369-3369</t>
  </si>
  <si>
    <t>Bruna Peixoto</t>
  </si>
  <si>
    <t>bruna.peixoto97@gmail.com</t>
  </si>
  <si>
    <t>(11) 98195-9384</t>
  </si>
  <si>
    <t>(11) 94584-8192</t>
  </si>
  <si>
    <t>Juliana Batista</t>
  </si>
  <si>
    <t>540.094.165-64</t>
  </si>
  <si>
    <t>259.563.766-51</t>
  </si>
  <si>
    <t>363.061.342-04</t>
  </si>
  <si>
    <t>Marina Mendes Santana</t>
  </si>
  <si>
    <t>964.208.507-03</t>
  </si>
  <si>
    <t>(61) 98150-1044</t>
  </si>
  <si>
    <t>(11) 91875-3486</t>
  </si>
  <si>
    <t>950.209.867-63</t>
  </si>
  <si>
    <t>(11) 99438-1088</t>
  </si>
  <si>
    <t>Débora Ribeiro</t>
  </si>
  <si>
    <t>788.947.185-81</t>
  </si>
  <si>
    <t>(31) 97324-0946</t>
  </si>
  <si>
    <t>418.229.060-75</t>
  </si>
  <si>
    <t>(21) 91831-9725</t>
  </si>
  <si>
    <t>980.290.606-96</t>
  </si>
  <si>
    <t>(11) 90215-1117</t>
  </si>
  <si>
    <t>738.407.811-32</t>
  </si>
  <si>
    <t>(11) 98791-7854</t>
  </si>
  <si>
    <t>Melissa Andrade</t>
  </si>
  <si>
    <t>(31) 99580-5693</t>
  </si>
  <si>
    <t>(19) 90756-4106</t>
  </si>
  <si>
    <t>Gabriel Teixeira</t>
  </si>
  <si>
    <t>341.306.196-83</t>
  </si>
  <si>
    <t>(11) 91773-0982</t>
  </si>
  <si>
    <t>418.184.429-30</t>
  </si>
  <si>
    <t>(11) 95626-6978</t>
  </si>
  <si>
    <t>641.751.903-17</t>
  </si>
  <si>
    <t>(41) 99782-4880</t>
  </si>
  <si>
    <t>114.704.903-31</t>
  </si>
  <si>
    <t>(31) 98778-2282</t>
  </si>
  <si>
    <t>513.868.243-13</t>
  </si>
  <si>
    <t>768.406.520-33</t>
  </si>
  <si>
    <t>(41) 92966-4141</t>
  </si>
  <si>
    <t>148.173.053-39</t>
  </si>
  <si>
    <t>Sabrina Lopes</t>
  </si>
  <si>
    <t>128.028.447-17</t>
  </si>
  <si>
    <t>140.617.355-00</t>
  </si>
  <si>
    <t>(62) 95786-3008</t>
  </si>
  <si>
    <t>313.331.705-99</t>
  </si>
  <si>
    <t>(62) 91699-4309</t>
  </si>
  <si>
    <t>Renata Rezende</t>
  </si>
  <si>
    <t>521.025.422-46</t>
  </si>
  <si>
    <t>(11) 97173-9878</t>
  </si>
  <si>
    <t>Guilherme Pinto</t>
  </si>
  <si>
    <t>829.761.480-82</t>
  </si>
  <si>
    <t>831.263.125-94</t>
  </si>
  <si>
    <t>(21) 90778-0216</t>
  </si>
  <si>
    <t>173.497.360-96</t>
  </si>
  <si>
    <t>705.456.825-76</t>
  </si>
  <si>
    <t>128.536.085-06</t>
  </si>
  <si>
    <t>946.726.885-00</t>
  </si>
  <si>
    <t>730.858.384-81</t>
  </si>
  <si>
    <t>(85) 96398-9835</t>
  </si>
  <si>
    <t>726.921.109-43</t>
  </si>
  <si>
    <t>192.285.857-90</t>
  </si>
  <si>
    <t>(31) 97129-1776</t>
  </si>
  <si>
    <t>Alexandre Machado Almeida</t>
  </si>
  <si>
    <t>406.037.566-70</t>
  </si>
  <si>
    <t>136.881.022-58</t>
  </si>
  <si>
    <t>(41) 98327-1614</t>
  </si>
  <si>
    <t>346.296.366-09</t>
  </si>
  <si>
    <t>(41) 97724-4390</t>
  </si>
  <si>
    <t>286.788.690-20</t>
  </si>
  <si>
    <t>vitor.lopes87@outlook.com</t>
  </si>
  <si>
    <t>(31) 91070-2565</t>
  </si>
  <si>
    <t>890.713.976-88</t>
  </si>
  <si>
    <t>149.684.829-22</t>
  </si>
  <si>
    <t>(11) 97421-3907</t>
  </si>
  <si>
    <t>974.035.039-96</t>
  </si>
  <si>
    <t>(21) 97224-7987</t>
  </si>
  <si>
    <t>Lívia Cardoso Moreira</t>
  </si>
  <si>
    <t>512.652.528-07</t>
  </si>
  <si>
    <t>(31) 99198-0553</t>
  </si>
  <si>
    <t>(11) 93448-5380</t>
  </si>
  <si>
    <t>785.746.123-75</t>
  </si>
  <si>
    <t>266.284.596-16</t>
  </si>
  <si>
    <t>(31) 95609-1534</t>
  </si>
  <si>
    <t>952.268.518-63</t>
  </si>
  <si>
    <t>(71) 92729-3824</t>
  </si>
  <si>
    <t>(11) 91446-6704</t>
  </si>
  <si>
    <t>Murilo Tavares</t>
  </si>
  <si>
    <t>Gabriela Lima Santana</t>
  </si>
  <si>
    <t>161.539.699-33</t>
  </si>
  <si>
    <t>(31) 99759-6897</t>
  </si>
  <si>
    <t>(11) 96608-7877</t>
  </si>
  <si>
    <t>667.140.971-40</t>
  </si>
  <si>
    <t>010.210.816-12</t>
  </si>
  <si>
    <t>(19) 93431-4387</t>
  </si>
  <si>
    <t>613.071.071-25</t>
  </si>
  <si>
    <t>586.992.139-21</t>
  </si>
  <si>
    <t>(11) 91549-9838</t>
  </si>
  <si>
    <t>Emanuel Campos</t>
  </si>
  <si>
    <t>Igor Santos</t>
  </si>
  <si>
    <t>743.960.855-08</t>
  </si>
  <si>
    <t>(21) 96600-6030</t>
  </si>
  <si>
    <t>Lorena Mendes Silva</t>
  </si>
  <si>
    <t>195.558.495-87</t>
  </si>
  <si>
    <t>(61) 99924-9631</t>
  </si>
  <si>
    <t>Guilherme Cavalcanti</t>
  </si>
  <si>
    <t>137.793.106-43</t>
  </si>
  <si>
    <t>196.275.973-33</t>
  </si>
  <si>
    <t>392.325.036-38</t>
  </si>
  <si>
    <t>Júlia Pinto</t>
  </si>
  <si>
    <t>110.190.122-50</t>
  </si>
  <si>
    <t>(11) 96343-8450</t>
  </si>
  <si>
    <t>388.558.634-79</t>
  </si>
  <si>
    <t>(19) 92177-3892</t>
  </si>
  <si>
    <t>(11) 96186-1687</t>
  </si>
  <si>
    <t>299.502.563-21</t>
  </si>
  <si>
    <t>036.759.180-41</t>
  </si>
  <si>
    <t>320.447.124-15</t>
  </si>
  <si>
    <t>(51) 99545-9485</t>
  </si>
  <si>
    <t>951.978.665-19</t>
  </si>
  <si>
    <t>(19) 92119-3907</t>
  </si>
  <si>
    <t>Bianca Fonseca Carvalho</t>
  </si>
  <si>
    <t>026.557.112-03</t>
  </si>
  <si>
    <t>(11) 97221-7725</t>
  </si>
  <si>
    <t>Júlia Correia</t>
  </si>
  <si>
    <t>875.957.026-15</t>
  </si>
  <si>
    <t>502.614.913-85</t>
  </si>
  <si>
    <t>Thaís Alves Batista</t>
  </si>
  <si>
    <t>094.692.252-79</t>
  </si>
  <si>
    <t>(21) 96042-3239</t>
  </si>
  <si>
    <t>759.611.664-73</t>
  </si>
  <si>
    <t>955.202.854-03</t>
  </si>
  <si>
    <t>865.809.099-00</t>
  </si>
  <si>
    <t>(11) 93810-4495</t>
  </si>
  <si>
    <t>984.385.832-88</t>
  </si>
  <si>
    <t>Mariana Nunes Silva</t>
  </si>
  <si>
    <t>076.221.129-68</t>
  </si>
  <si>
    <t>874.328.404-31</t>
  </si>
  <si>
    <t>646.953.471-64</t>
  </si>
  <si>
    <t>(41) 94013-5516</t>
  </si>
  <si>
    <t>Cecília Freitas Teixeira</t>
  </si>
  <si>
    <t>Vitor Fonseca Cardoso</t>
  </si>
  <si>
    <t>186.303.331-97</t>
  </si>
  <si>
    <t>Helena Moura</t>
  </si>
  <si>
    <t>730.808.304-74</t>
  </si>
  <si>
    <t>(11) 97885-2012</t>
  </si>
  <si>
    <t>163.538.708-68</t>
  </si>
  <si>
    <t>(11) 95410-5125</t>
  </si>
  <si>
    <t>Rafael Moura Mendes</t>
  </si>
  <si>
    <t>331.317.112-56</t>
  </si>
  <si>
    <t>Emanuel Barbosa</t>
  </si>
  <si>
    <t>297.863.060-40</t>
  </si>
  <si>
    <t>(11) 91017-6099</t>
  </si>
  <si>
    <t>695.714.730-49</t>
  </si>
  <si>
    <t>(31) 96145-8006</t>
  </si>
  <si>
    <t>064.953.135-35</t>
  </si>
  <si>
    <t>(11) 93356-9453</t>
  </si>
  <si>
    <t>(11) 98544-0983</t>
  </si>
  <si>
    <t>094.224.233-50</t>
  </si>
  <si>
    <t>(11) 90464-5046</t>
  </si>
  <si>
    <t>910.083.908-60</t>
  </si>
  <si>
    <t>(61) 92180-2736</t>
  </si>
  <si>
    <t>564.254.685-64</t>
  </si>
  <si>
    <t>252.825.452-09</t>
  </si>
  <si>
    <t>(31) 91649-1239</t>
  </si>
  <si>
    <t>Larissa Costa</t>
  </si>
  <si>
    <t>(31) 97157-7472</t>
  </si>
  <si>
    <t>554.967.296-02</t>
  </si>
  <si>
    <t>(11) 97472-8529</t>
  </si>
  <si>
    <t>467.718.953-60</t>
  </si>
  <si>
    <t>(61) 95681-8526</t>
  </si>
  <si>
    <t>Emanuelly Santos</t>
  </si>
  <si>
    <t>188.928.507-25</t>
  </si>
  <si>
    <t>830.599.640-92</t>
  </si>
  <si>
    <t>(31) 95384-3834</t>
  </si>
  <si>
    <t>180.831.944-33</t>
  </si>
  <si>
    <t>(11) 92280-9197</t>
  </si>
  <si>
    <t>368.261.687-07</t>
  </si>
  <si>
    <t>938.020.366-70</t>
  </si>
  <si>
    <t>(31) 93277-3075</t>
  </si>
  <si>
    <t>(11) 93278-2303</t>
  </si>
  <si>
    <t>(11) 98191-7922</t>
  </si>
  <si>
    <t>(11) 90027-4786</t>
  </si>
  <si>
    <t>Clara Oliveira</t>
  </si>
  <si>
    <t>Rebeca Marques Peixoto</t>
  </si>
  <si>
    <t>(31) 99052-8237</t>
  </si>
  <si>
    <t>432.206.591-01</t>
  </si>
  <si>
    <t>(11) 92717-3649</t>
  </si>
  <si>
    <t>110.992.973-03</t>
  </si>
  <si>
    <t>(31) 92410-3290</t>
  </si>
  <si>
    <t>Eduarda Nascimento</t>
  </si>
  <si>
    <t>608.031.131-37</t>
  </si>
  <si>
    <t>000.876.050-07</t>
  </si>
  <si>
    <t>valentina.farias75@outlook.com</t>
  </si>
  <si>
    <t>(11) 98202-1338</t>
  </si>
  <si>
    <t>558.971.099-58</t>
  </si>
  <si>
    <t>(48) 98057-8706</t>
  </si>
  <si>
    <t>107.996.021-08</t>
  </si>
  <si>
    <t>399.459.068-01</t>
  </si>
  <si>
    <t>(11) 94109-4699</t>
  </si>
  <si>
    <t>Daniela Campos</t>
  </si>
  <si>
    <t>607.651.106-01</t>
  </si>
  <si>
    <t>911.155.937-30</t>
  </si>
  <si>
    <t>(11) 94150-2881</t>
  </si>
  <si>
    <t>(62) 93540-0794</t>
  </si>
  <si>
    <t>961.894.517-05</t>
  </si>
  <si>
    <t>(61) 94627-0461</t>
  </si>
  <si>
    <t>Beatriz Marques</t>
  </si>
  <si>
    <t>(11) 90972-6380</t>
  </si>
  <si>
    <t>Natália Ferreira</t>
  </si>
  <si>
    <t>(11) 96723-9938</t>
  </si>
  <si>
    <t>140.639.428-99</t>
  </si>
  <si>
    <t>(61) 96670-1930</t>
  </si>
  <si>
    <t>(31) 92467-2569</t>
  </si>
  <si>
    <t>842.416.159-96</t>
  </si>
  <si>
    <t>Otávio Gonçalves Almeida</t>
  </si>
  <si>
    <t>196.295.600-89</t>
  </si>
  <si>
    <t>(41) 99971-9690</t>
  </si>
  <si>
    <t>800.284.850-09</t>
  </si>
  <si>
    <t>(11) 97303-1262</t>
  </si>
  <si>
    <t>Gabriela Ramos</t>
  </si>
  <si>
    <t>563.302.228-94</t>
  </si>
  <si>
    <t>(11) 90663-4557</t>
  </si>
  <si>
    <t>063.085.038-00</t>
  </si>
  <si>
    <t>(41) 97305-1716</t>
  </si>
  <si>
    <t>716.466.562-10</t>
  </si>
  <si>
    <t>Pedro Fernandes Ferreira</t>
  </si>
  <si>
    <t>901.639.016-27</t>
  </si>
  <si>
    <t>888.046.708-51</t>
  </si>
  <si>
    <t>(11) 90577-1111</t>
  </si>
  <si>
    <t>087.852.506-86</t>
  </si>
  <si>
    <t>(62) 99211-8361</t>
  </si>
  <si>
    <t>356.319.615-04</t>
  </si>
  <si>
    <t>Felipe Martins Costa</t>
  </si>
  <si>
    <t>409.587.982-30</t>
  </si>
  <si>
    <t>523.176.980-03</t>
  </si>
  <si>
    <t>678.965.458-53</t>
  </si>
  <si>
    <t>(11) 92919-0755</t>
  </si>
  <si>
    <t>850.948.115-68</t>
  </si>
  <si>
    <t>(11) 95528-3239</t>
  </si>
  <si>
    <t>Rafael Oliveira Freitas</t>
  </si>
  <si>
    <t>(21) 97085-8887</t>
  </si>
  <si>
    <t>994.779.989-15</t>
  </si>
  <si>
    <t>751.597.216-57</t>
  </si>
  <si>
    <t>(31) 94880-5019</t>
  </si>
  <si>
    <t>297.320.929-39</t>
  </si>
  <si>
    <t>(41) 90803-4044</t>
  </si>
  <si>
    <t>Camila Campos</t>
  </si>
  <si>
    <t>301.571.148-21</t>
  </si>
  <si>
    <t>Caio Silva Costa</t>
  </si>
  <si>
    <t>(48) 93228-0497</t>
  </si>
  <si>
    <t>821.113.769-06</t>
  </si>
  <si>
    <t>757.596.457-65</t>
  </si>
  <si>
    <t>373.475.686-33</t>
  </si>
  <si>
    <t>Fernanda Batista Nascimento</t>
  </si>
  <si>
    <t>(11) 91759-3882</t>
  </si>
  <si>
    <t>João Nascimento</t>
  </si>
  <si>
    <t>655.701.984-82</t>
  </si>
  <si>
    <t>(11) 92143-0419</t>
  </si>
  <si>
    <t>115.231.503-00</t>
  </si>
  <si>
    <t>(19) 97492-5159</t>
  </si>
  <si>
    <t>065.084.575-78</t>
  </si>
  <si>
    <t>003.217.881-68</t>
  </si>
  <si>
    <t>508.077.089-92</t>
  </si>
  <si>
    <t>818.460.634-69</t>
  </si>
  <si>
    <t>(19) 94071-0549</t>
  </si>
  <si>
    <t>Jaqueline Cavalcanti</t>
  </si>
  <si>
    <t>852.175.233-44</t>
  </si>
  <si>
    <t>(62) 95555-9253</t>
  </si>
  <si>
    <t>066.287.838-80</t>
  </si>
  <si>
    <t>174.326.530-11</t>
  </si>
  <si>
    <t>517.577.899-44</t>
  </si>
  <si>
    <t>(11) 97434-1704</t>
  </si>
  <si>
    <t>868.113.929-08</t>
  </si>
  <si>
    <t>662.784.010-37</t>
  </si>
  <si>
    <t>(11) 94237-5406</t>
  </si>
  <si>
    <t>427.596.980-41</t>
  </si>
  <si>
    <t>gabriela.monteiro14@hotmail.com</t>
  </si>
  <si>
    <t>998.191.659-54</t>
  </si>
  <si>
    <t>(11) 93418-0363</t>
  </si>
  <si>
    <t>060.993.083-42</t>
  </si>
  <si>
    <t>675.742.134-88</t>
  </si>
  <si>
    <t>(11) 90673-3747</t>
  </si>
  <si>
    <t>(11) 90402-2367</t>
  </si>
  <si>
    <t>338.797.278-48</t>
  </si>
  <si>
    <t>876.896.862-06</t>
  </si>
  <si>
    <t>(11) 91727-5820</t>
  </si>
  <si>
    <t>081.519.090-56</t>
  </si>
  <si>
    <t>Paula Dias</t>
  </si>
  <si>
    <t>paula.dias37@outlook.com</t>
  </si>
  <si>
    <t>(48) 96946-7812</t>
  </si>
  <si>
    <t>(41) 90424-1075</t>
  </si>
  <si>
    <t>Renata Costa Tavares</t>
  </si>
  <si>
    <t>704.116.080-70</t>
  </si>
  <si>
    <t>(31) 90879-2047</t>
  </si>
  <si>
    <t>Caetano Pinto</t>
  </si>
  <si>
    <t>301.080.979-43</t>
  </si>
  <si>
    <t>(11) 95297-0423</t>
  </si>
  <si>
    <t>067.238.602-09</t>
  </si>
  <si>
    <t>(11) 92172-6749</t>
  </si>
  <si>
    <t>(85) 94715-9607</t>
  </si>
  <si>
    <t>Lucas Freitas Vieira</t>
  </si>
  <si>
    <t>946.920.551-03</t>
  </si>
  <si>
    <t>(11) 94648-5673</t>
  </si>
  <si>
    <t>619.506.404-18</t>
  </si>
  <si>
    <t>(71) 96511-8970</t>
  </si>
  <si>
    <t>Rodrigo Barros</t>
  </si>
  <si>
    <t>033.583.060-97</t>
  </si>
  <si>
    <t>(31) 90003-1883</t>
  </si>
  <si>
    <t>479.691.935-01</t>
  </si>
  <si>
    <t>126.896.315-12</t>
  </si>
  <si>
    <t>(41) 99702-6380</t>
  </si>
  <si>
    <t>620.802.637-73</t>
  </si>
  <si>
    <t>620.716.661-27</t>
  </si>
  <si>
    <t>965.968.219-00</t>
  </si>
  <si>
    <t>(21) 96542-7501</t>
  </si>
  <si>
    <t>(11) 93634-0792</t>
  </si>
  <si>
    <t>(11) 92188-0005</t>
  </si>
  <si>
    <t>557.278.519-98</t>
  </si>
  <si>
    <t>409.697.135-92</t>
  </si>
  <si>
    <t>(11) 97746-0883</t>
  </si>
  <si>
    <t>523.514.237-39</t>
  </si>
  <si>
    <t>(48) 90266-6965</t>
  </si>
  <si>
    <t>(11) 91415-0092</t>
  </si>
  <si>
    <t>Leonardo Monteiro</t>
  </si>
  <si>
    <t>218.443.784-03</t>
  </si>
  <si>
    <t>(11) 92709-4084</t>
  </si>
  <si>
    <t>773.380.592-92</t>
  </si>
  <si>
    <t>(11) 92006-2606</t>
  </si>
  <si>
    <t>124.401.324-20</t>
  </si>
  <si>
    <t>(11) 94239-5265</t>
  </si>
  <si>
    <t>895.380.938-01</t>
  </si>
  <si>
    <t>(47) 99180-4731</t>
  </si>
  <si>
    <t>Mariana Monteiro Gonçalves</t>
  </si>
  <si>
    <t>(61) 95575-6992</t>
  </si>
  <si>
    <t>010.872.699-11</t>
  </si>
  <si>
    <t>(11) 96058-4456</t>
  </si>
  <si>
    <t>(11) 97328-5732</t>
  </si>
  <si>
    <t>Gabriela Cardoso Monteiro</t>
  </si>
  <si>
    <t>409.846.007-60</t>
  </si>
  <si>
    <t>483.824.945-44</t>
  </si>
  <si>
    <t>(85) 94260-0151</t>
  </si>
  <si>
    <t>Daniela Alves</t>
  </si>
  <si>
    <t>898.764.710-23</t>
  </si>
  <si>
    <t>(48) 93319-7781</t>
  </si>
  <si>
    <t>580.480.280-18</t>
  </si>
  <si>
    <t>(11) 99206-1864</t>
  </si>
  <si>
    <t>112.055.223-01</t>
  </si>
  <si>
    <t>(11) 91357-1824</t>
  </si>
  <si>
    <t>Gabriela Araújo Ferreira</t>
  </si>
  <si>
    <t>381.788.706-06</t>
  </si>
  <si>
    <t>Daniela Machado</t>
  </si>
  <si>
    <t>222.186.387-97</t>
  </si>
  <si>
    <t>(11) 92469-5952</t>
  </si>
  <si>
    <t>980.209.040-93</t>
  </si>
  <si>
    <t>001.277.519-39</t>
  </si>
  <si>
    <t>(11) 94460-8411</t>
  </si>
  <si>
    <t>Miguel Almeida Carvalho</t>
  </si>
  <si>
    <t>228.442.203-98</t>
  </si>
  <si>
    <t>922.867.006-13</t>
  </si>
  <si>
    <t>(11) 95133-4850</t>
  </si>
  <si>
    <t>(11) 97940-2985</t>
  </si>
  <si>
    <t>359.735.937-03</t>
  </si>
  <si>
    <t>(11) 90127-5113</t>
  </si>
  <si>
    <t>295.635.186-91</t>
  </si>
  <si>
    <t>187.910.670-14</t>
  </si>
  <si>
    <t>(11) 90234-7028</t>
  </si>
  <si>
    <t>285.716.470-03</t>
  </si>
  <si>
    <t>(11) 93988-4314</t>
  </si>
  <si>
    <t>318.752.997-69</t>
  </si>
  <si>
    <t>624.892.721-95</t>
  </si>
  <si>
    <t>(11) 90196-4512</t>
  </si>
  <si>
    <t>(41) 91994-6060</t>
  </si>
  <si>
    <t>661.848.582-70</t>
  </si>
  <si>
    <t>(71) 97704-1877</t>
  </si>
  <si>
    <t>Natália Gomes</t>
  </si>
  <si>
    <t>251.009.165-40</t>
  </si>
  <si>
    <t>953.069.087-80</t>
  </si>
  <si>
    <t>461.289.986-58</t>
  </si>
  <si>
    <t>996.730.394-88</t>
  </si>
  <si>
    <t>(11) 94516-2505</t>
  </si>
  <si>
    <t>528.540.657-94</t>
  </si>
  <si>
    <t>(11) 91930-2867</t>
  </si>
  <si>
    <t>Heloísa Lopes Ferreira</t>
  </si>
  <si>
    <t>752.220.060-18</t>
  </si>
  <si>
    <t>(31) 97501-1704</t>
  </si>
  <si>
    <t>345.572.175-32</t>
  </si>
  <si>
    <t>(11) 91431-4454</t>
  </si>
  <si>
    <t>Letícia Andrade</t>
  </si>
  <si>
    <t>350.701.199-90</t>
  </si>
  <si>
    <t>(31) 93322-9235</t>
  </si>
  <si>
    <t>108.101.293-53</t>
  </si>
  <si>
    <t>(71) 93757-0235</t>
  </si>
  <si>
    <t>(41) 93399-7052</t>
  </si>
  <si>
    <t>534.877.448-05</t>
  </si>
  <si>
    <t>375.544.902-14</t>
  </si>
  <si>
    <t>(41) 92558-8463</t>
  </si>
  <si>
    <t>311.751.242-06</t>
  </si>
  <si>
    <t>720.722.363-39</t>
  </si>
  <si>
    <t>257.345.954-38</t>
  </si>
  <si>
    <t>155.306.569-78</t>
  </si>
  <si>
    <t>233.091.153-05</t>
  </si>
  <si>
    <t>(31) 97372-9983</t>
  </si>
  <si>
    <t>548.067.878-76</t>
  </si>
  <si>
    <t>415.535.199-49</t>
  </si>
  <si>
    <t>(11) 94504-7394</t>
  </si>
  <si>
    <t>396.446.798-73</t>
  </si>
  <si>
    <t>616.152.664-61</t>
  </si>
  <si>
    <t>Nicolas Ferreira</t>
  </si>
  <si>
    <t>101.679.524-63</t>
  </si>
  <si>
    <t>(11) 91870-4921</t>
  </si>
  <si>
    <t>558.910.238-30</t>
  </si>
  <si>
    <t>(11) 97269-5634</t>
  </si>
  <si>
    <t>Bruna Andrade Silva</t>
  </si>
  <si>
    <t>942.366.041-08</t>
  </si>
  <si>
    <t>(11) 96312-6492</t>
  </si>
  <si>
    <t>226.747.315-16</t>
  </si>
  <si>
    <t>(41) 92336-6334</t>
  </si>
  <si>
    <t>(11) 94748-0073</t>
  </si>
  <si>
    <t>626.940.414-26</t>
  </si>
  <si>
    <t>771.769.335-61</t>
  </si>
  <si>
    <t>(11) 95095-6139</t>
  </si>
  <si>
    <t>007.182.733-11</t>
  </si>
  <si>
    <t>840.563.756-74</t>
  </si>
  <si>
    <t>(11) 92957-3167</t>
  </si>
  <si>
    <t>Ricardo Lopes</t>
  </si>
  <si>
    <t>479.993.968-85</t>
  </si>
  <si>
    <t>828.165.897-57</t>
  </si>
  <si>
    <t>(85) 98682-7117</t>
  </si>
  <si>
    <t>368.855.467-12</t>
  </si>
  <si>
    <t>346.406.193-08</t>
  </si>
  <si>
    <t>(11) 94140-5884</t>
  </si>
  <si>
    <t>428.696.810-38</t>
  </si>
  <si>
    <t>(71) 99331-2280</t>
  </si>
  <si>
    <t>Sabrina Correia</t>
  </si>
  <si>
    <t>890.740.733-95</t>
  </si>
  <si>
    <t>990.974.747-28</t>
  </si>
  <si>
    <t>(11) 94221-4586</t>
  </si>
  <si>
    <t>Larissa Pinto</t>
  </si>
  <si>
    <t>810.395.473-03</t>
  </si>
  <si>
    <t>352.368.098-00</t>
  </si>
  <si>
    <t>(11) 91559-8683</t>
  </si>
  <si>
    <t>573.254.417-89</t>
  </si>
  <si>
    <t>(41) 91217-5272</t>
  </si>
  <si>
    <t>977.628.105-28</t>
  </si>
  <si>
    <t>(31) 94649-8723</t>
  </si>
  <si>
    <t>911.898.606-43</t>
  </si>
  <si>
    <t>Bruno Araújo Cardoso</t>
  </si>
  <si>
    <t>313.297.215-00</t>
  </si>
  <si>
    <t>Ana Nogueira</t>
  </si>
  <si>
    <t>(31) 99736-1303</t>
  </si>
  <si>
    <t>Nicolas Moreira</t>
  </si>
  <si>
    <t>546.456.848-41</t>
  </si>
  <si>
    <t>450.125.382-77</t>
  </si>
  <si>
    <t>262.381.246-28</t>
  </si>
  <si>
    <t>839.979.019-29</t>
  </si>
  <si>
    <t>526.144.631-75</t>
  </si>
  <si>
    <t>(19) 99526-3963</t>
  </si>
  <si>
    <t>Vinícius Andrade</t>
  </si>
  <si>
    <t>504.875.559-61</t>
  </si>
  <si>
    <t>893.805.774-78</t>
  </si>
  <si>
    <t>(51) 98927-7847</t>
  </si>
  <si>
    <t>Daniela Barros Andrade</t>
  </si>
  <si>
    <t>923.673.547-90</t>
  </si>
  <si>
    <t>(85) 92925-9185</t>
  </si>
  <si>
    <t>643.689.779-80</t>
  </si>
  <si>
    <t>963.392.736-61</t>
  </si>
  <si>
    <t>213.426.048-30</t>
  </si>
  <si>
    <t>(47) 93967-3519</t>
  </si>
  <si>
    <t>627.782.042-70</t>
  </si>
  <si>
    <t>(31) 96102-0124</t>
  </si>
  <si>
    <t>636.773.263-20</t>
  </si>
  <si>
    <t>(71) 93114-0914</t>
  </si>
  <si>
    <t>990.713.356-66</t>
  </si>
  <si>
    <t>(61) 94078-7664</t>
  </si>
  <si>
    <t>451.645.137-90</t>
  </si>
  <si>
    <t>856.839.408-69</t>
  </si>
  <si>
    <t>722.151.277-91</t>
  </si>
  <si>
    <t>695.578.532-04</t>
  </si>
  <si>
    <t>028.151.267-10</t>
  </si>
  <si>
    <t>(31) 93424-5757</t>
  </si>
  <si>
    <t>839.638.321-93</t>
  </si>
  <si>
    <t>291.546.942-30</t>
  </si>
  <si>
    <t>033.814.998-82</t>
  </si>
  <si>
    <t>(11) 94766-6862</t>
  </si>
  <si>
    <t>352.480.313-03</t>
  </si>
  <si>
    <t>(31) 95761-1456</t>
  </si>
  <si>
    <t>722.201.969-33</t>
  </si>
  <si>
    <t>(11) 97853-8626</t>
  </si>
  <si>
    <t>513.386.792-10</t>
  </si>
  <si>
    <t>(11) 90257-8997</t>
  </si>
  <si>
    <t>Yuri Gomes</t>
  </si>
  <si>
    <t>(61) 95605-3880</t>
  </si>
  <si>
    <t>013.651.224-09</t>
  </si>
  <si>
    <t>(11) 93439-5506</t>
  </si>
  <si>
    <t>222.410.069-80</t>
  </si>
  <si>
    <t>Emanuel Moura</t>
  </si>
  <si>
    <t>529.976.344-15</t>
  </si>
  <si>
    <t>653.164.046-45</t>
  </si>
  <si>
    <t>(31) 94264-6754</t>
  </si>
  <si>
    <t>970.880.128-39</t>
  </si>
  <si>
    <t>(11) 91588-7327</t>
  </si>
  <si>
    <t>761.103.734-00</t>
  </si>
  <si>
    <t>Helena Gomes</t>
  </si>
  <si>
    <t>(11) 94286-8271</t>
  </si>
  <si>
    <t>Rafaela Nunes Fonseca</t>
  </si>
  <si>
    <t>965.865.193-30</t>
  </si>
  <si>
    <t>913.355.757-82</t>
  </si>
  <si>
    <t>(41) 93043-6394</t>
  </si>
  <si>
    <t>(11) 94956-8775</t>
  </si>
  <si>
    <t>(31) 90675-1958</t>
  </si>
  <si>
    <t>079.309.241-81</t>
  </si>
  <si>
    <t>natalia.nunes9@hotmail.com</t>
  </si>
  <si>
    <t>274.595.965-40</t>
  </si>
  <si>
    <t>(51) 92066-8076</t>
  </si>
  <si>
    <t>Gustavo Santos Gomes</t>
  </si>
  <si>
    <t>(11) 97419-0318</t>
  </si>
  <si>
    <t>Tainá Silva Santos</t>
  </si>
  <si>
    <t>232.659.237-97</t>
  </si>
  <si>
    <t>(41) 93883-7097</t>
  </si>
  <si>
    <t>725.644.751-59</t>
  </si>
  <si>
    <t>045.602.186-84</t>
  </si>
  <si>
    <t>269.362.085-68</t>
  </si>
  <si>
    <t>(62) 96427-6433</t>
  </si>
  <si>
    <t>668.974.460-41</t>
  </si>
  <si>
    <t>(21) 90011-7562</t>
  </si>
  <si>
    <t>Melissa Vieira Ferreira</t>
  </si>
  <si>
    <t>Débora Monteiro</t>
  </si>
  <si>
    <t>Miguel Gonçalves Nunes</t>
  </si>
  <si>
    <t>650.812.910-48</t>
  </si>
  <si>
    <t>(11) 97781-7424</t>
  </si>
  <si>
    <t>938.226.636-46</t>
  </si>
  <si>
    <t>276.168.961-54</t>
  </si>
  <si>
    <t>(11) 99910-0843</t>
  </si>
  <si>
    <t>Henrique Rezende Batista</t>
  </si>
  <si>
    <t>024.686.605-52</t>
  </si>
  <si>
    <t>355.708.244-05</t>
  </si>
  <si>
    <t>(31) 92565-0135</t>
  </si>
  <si>
    <t>128.327.421-30</t>
  </si>
  <si>
    <t>(41) 94669-6538</t>
  </si>
  <si>
    <t>903.339.846-09</t>
  </si>
  <si>
    <t>306.775.506-50</t>
  </si>
  <si>
    <t>957.345.413-03</t>
  </si>
  <si>
    <t>Data aproximada (só mês/ano) | Telefone sem DDD</t>
  </si>
  <si>
    <t>Não informado</t>
  </si>
  <si>
    <t>Data aproximada (só mês/ano)</t>
  </si>
  <si>
    <t>Telefone sem DDD</t>
  </si>
  <si>
    <t>Pontos aproximados (ex.: 2,7k)</t>
  </si>
  <si>
    <t>Cadastro unificado (2 linhas: 52, 562) | Outros e-mails: ana.nogueira13@gmail.com</t>
  </si>
  <si>
    <t>Pontos aproximados (ex.: 2,7k) | Telefone sem DDD</t>
  </si>
  <si>
    <t>não ligar | Cadastro unificado (3 linhas: 93, 274, 912) | Outros e-mails: leonardo.moura66@bol.com.br; leonardo.moura663@bol.com.br</t>
  </si>
  <si>
    <t>Cadastro unificado (2 linhas: 133, 359) | Outros e-mails: pedro.almeida68@hotmail.com</t>
  </si>
  <si>
    <t>cliente reclamou | Cadastro unificado (2 linhas: 152, 424) | Outros e-mails: daniela.barbosa12@gmail.com</t>
  </si>
  <si>
    <t>Cadastro unificado (2 linhas: 160, 737) | Outros e-mails: melissa.moreira25@bol.com.br</t>
  </si>
  <si>
    <t>Cadastro unificado (2 linhas: 183, 297) | Outros e-mails: natalia.nogueira41@gmail.com</t>
  </si>
  <si>
    <t>Cadastro unificado (2 linhas: 236, 607) | Outros e-mails: carolina.almeida45@uol.com.br</t>
  </si>
  <si>
    <t>Cadastro unificado (2 linhas: 260, 627) | Outros e-mails: julia.batista21@gmail.com</t>
  </si>
  <si>
    <t>Cadastro unificado (2 linhas: 265, 519) | Outros e-mails: yasmin.cardoso1@bol.com.br</t>
  </si>
  <si>
    <t>Sem e-mail</t>
  </si>
  <si>
    <t>ver com gerente | Cadastro unificado (2 linhas: 273, 941) | Outros e-mails: beatriz.nogueira43@gmail.com</t>
  </si>
  <si>
    <t>Cadastro unificado (2 linhas: 295, 938) | Outros e-mails: joao.barros3@bol.com.br</t>
  </si>
  <si>
    <t>Cadastro unificado (2 linhas: 305, 655) | Outros e-mails: eduardo.rocha38@gmail.com</t>
  </si>
  <si>
    <t>cadastro refeito | Cadastro unificado (2 linhas: 286, 832) | Outros e-mails: teo.cardoso18@uol.com.br</t>
  </si>
  <si>
    <t>não ligar | Cadastro unificado (2 linhas: 294, 577) | Outros e-mails: leonardo.marques5@hotmail.com</t>
  </si>
  <si>
    <t>Cadastro unificado (2 linhas: 304, 1007) | Outros e-mails: emanuelly.dias82@yahoo.com.br</t>
  </si>
  <si>
    <t>Cadastro unificado (2 linhas: 319, 876) | Outros e-mails: luana.rocha86@gmail.com</t>
  </si>
  <si>
    <t>Pontos aproximados (ex.: 2,7k) | Data aproximada (só mês/ano)</t>
  </si>
  <si>
    <t>Cadastro unificado (2 linhas: 361, 1151) | Outros e-mails: livia.moreira58@bol.com.br</t>
  </si>
  <si>
    <t>VIP | Cadastro unificado (2 linhas: 362, 1002) | Outros e-mails: icaro.lima14@hotmail.com</t>
  </si>
  <si>
    <t>Cadastro unificado (2 linhas: 365, 1101) | Outros e-mails: sabrina.peixoto65@gmail.com</t>
  </si>
  <si>
    <t>Cadastro unificado (2 linhas: 513, 1199) | Outros e-mails: vitor.rezende9@hotmail.com</t>
  </si>
  <si>
    <t>Cadastro unificado (2 linhas: 426, 686) | Outros e-mails: daniela.nogueira27@hotmail.com</t>
  </si>
  <si>
    <t>cliente reclamou | Cadastro unificado (2 linhas: 439, 1259) | Outros e-mails: fernanda.peixoto26@gmail.com</t>
  </si>
  <si>
    <t>Cadastro unificado (2 linhas: 512, 927) | Outros e-mails: vinicius.fernandes16@gmail.com</t>
  </si>
  <si>
    <t>trocou de cpf? | Cadastro unificado (2 linhas: 455, 755) | Outros e-mails: jaqueline.nunes4@gmail.com</t>
  </si>
  <si>
    <t>Cadastro unificado (2 linhas: 413, 793) | Outros e-mails: bruna.goncalves92@gmail.com</t>
  </si>
  <si>
    <t>cadastro refeito | Cadastro unificado (2 linhas: 414, 1029) | Outros e-mails: bruna.oliveira23@outlook.com</t>
  </si>
  <si>
    <t>cliente reclamou | Cadastro unificado (3 linhas: 496, 1183, 1309) | Outros e-mails: renata.santos74@gmail.com; renata.santos748@gmail.com</t>
  </si>
  <si>
    <t>aniversario em maio | Cadastro unificado (3 linhas: 442, 1068, 1247) | Outros e-mails: fernanda.barros82@icloud.com</t>
  </si>
  <si>
    <t>Cadastro unificado (2 linhas: 458, 1244) | Outros e-mails: kamila.oliveira2@outlook.com</t>
  </si>
  <si>
    <t>cliente reclamou | Cadastro unificado (2 linhas: 418, 1231) | Outros e-mails: carolina.mendes85@icloud.com</t>
  </si>
  <si>
    <t>Cadastro unificado (2 linhas: 406, 950) | Outros e-mails: beatriz.campos50@outlook.com</t>
  </si>
  <si>
    <t>VIP | Cadastro unificado (2 linhas: 558, 1270) | Outros e-mails: olivia.monteiro44@hotmail.com</t>
  </si>
  <si>
    <t>Sem e-mail | Telefone sem DDD</t>
  </si>
  <si>
    <t>Cadastro unificado (2 linhas: 650, 844) | Outros e-mails: carolina.rocha59@yahoo.com.br</t>
  </si>
  <si>
    <t>aniversario em maio | Cadastro unificado (2 linhas: 664, 1248) | Outros e-mails: leticia.tavares83@bol.com.br</t>
  </si>
  <si>
    <t>trocou de cpf? | Cadastro unificado (2 linhas: 694, 1338) | Outros e-mails: isabela.ferreira92@gmial.com</t>
  </si>
  <si>
    <t>Pontos aproximados (ex.: 2,7k) | Sem e-mail</t>
  </si>
  <si>
    <t>trocou de cpf? | Cadastro unificado (2 linhas: 709, 872) | Outros e-mails: joao.teixeira99@gmail.com</t>
  </si>
  <si>
    <t>Cadastro unificado (2 linhas: 749, 1013) | Outros e-mails: emanuelly.correia25@gmail.com</t>
  </si>
  <si>
    <t>não ligar | Cadastro unificado (2 linhas: 775, 920) | Outros e-mails: breno.alves26@hotmail.com</t>
  </si>
  <si>
    <t>Cadastro unificado (2 linhas: 760, 1075) | Outros e-mails: manuela.silva18@gmail.com</t>
  </si>
  <si>
    <t>Cadastro unificado (2 linhas: 784, 1636) | Outros e-mails: yuri.rocha58@yahoo.com.br</t>
  </si>
  <si>
    <t>Pontos de recadastro pós-2025 zerados</t>
  </si>
  <si>
    <t>trocou de cpf? | Cadastro unificado (2 linhas: 810, 895) | Outros e-mails: bianca.campos55@gmail.com</t>
  </si>
  <si>
    <t>Cadastro unificado (2 linhas: 813, 1503) | Outros e-mails: joao.vieira14@gmail.com</t>
  </si>
  <si>
    <t>Cadastro unificado (2 linhas: 871, 1020) | Outros e-mails: rebeca.nunes99@gmail.com</t>
  </si>
  <si>
    <t>Cadastro unificado (2 linhas: 896, 1516) | Outros e-mails: beatriz.santana71@bol.com.br</t>
  </si>
  <si>
    <t>Cadastro unificado (2 linhas: 918, 1064) | Outros e-mails: eduardo.vieira41@yahoo.com.br</t>
  </si>
  <si>
    <t>cliente reclamou | Cadastro unificado (2 linhas: 977, 1623) | Outros e-mails: murilo.freitas67@icloud.com</t>
  </si>
  <si>
    <t>Cadastro unificado (2 linhas: 978, 1687) | Outros e-mails: samuel.costa98@outlook.com</t>
  </si>
  <si>
    <t>cliente reclamou | Cadastro unificado (2 linhas: 983, 1533) | Outros e-mails: marina.marques88@bol.com.br</t>
  </si>
  <si>
    <t>aniversario em maio | Cadastro unificado (2 linhas: 1018, 1268) | Outros e-mails: larissa.oliveira76@outlook.com</t>
  </si>
  <si>
    <t>Cadastro unificado (2 linhas: 1060, 1744) | Outros e-mails: otavio.barros87@yahoo.com.br</t>
  </si>
  <si>
    <t>Cadastro unificado (2 linhas: 1079, 1732) | Outros e-mails: rodrigo.dias62@hotmail.com</t>
  </si>
  <si>
    <t>Cadastro unificado (2 linhas: 1110, 1884) | Outros e-mails: ana.farias19@outlook.com</t>
  </si>
  <si>
    <t>Cadastro unificado (2 linhas: 1135, 1435) | Outros e-mails: alice.correia10@hotmail.com</t>
  </si>
  <si>
    <t>ver com gerente | Cadastro unificado (2 linhas: 1133, 1429) | Outros e-mails: paula.moura83@gmail.com</t>
  </si>
  <si>
    <t>Cadastro unificado (2 linhas: 1149, 1917) | Outros e-mails: fernanda.pinto30@outlook.com</t>
  </si>
  <si>
    <t>Cadastro unificado (2 linhas: 1191, 1751) | Outros e-mails: lorena.lima89@gmail.com</t>
  </si>
  <si>
    <t>cadastro refeito | Cadastro unificado (2 linhas: 1204, 1790) | Outros e-mails: cecilia.monteiro50@gmail.com</t>
  </si>
  <si>
    <t>Cadastro unificado (2 linhas: 1211, 1808) | Outros e-mails: livia.campos1@gmail.com</t>
  </si>
  <si>
    <t>VIP | Cadastro unificado (2 linhas: 1215, 1840) | Outros e-mails: bianca.machado26@gmail.com</t>
  </si>
  <si>
    <t>trocou de cpf? | Cadastro unificado (2 linhas: 1269, 1734) | Outros e-mails: sofia.nogueira55@hotmail.com</t>
  </si>
  <si>
    <t>Pontos de recadastro pós-2025 zerados | Telefone sem DDD</t>
  </si>
  <si>
    <t>ver com gerente | Cadastro unificado (3 linhas: 1286, 1830, 1914) | Outros e-mails: luan.farias39@hotmail.com; luan.farias392@hotmail.com</t>
  </si>
  <si>
    <t>cliente reclamou | Cadastro unificado (2 linhas: 1292, 2100) | Outros e-mails: ana.goncalves96@hotmail.com</t>
  </si>
  <si>
    <t>cliente reclamou | Cadastro unificado (2 linhas: 1348, 1758) | Outros e-mails: rebeca.santos86@hotmail.com</t>
  </si>
  <si>
    <t>Pontos de recadastro pós-2025 zerados | Data aproximada (só mês/ano)</t>
  </si>
  <si>
    <t>não ligar | Cadastro unificado (2 linhas: 1327, 1742) | Outros e-mails: daniela.almeida82@icloud.com</t>
  </si>
  <si>
    <t>Cadastro unificado (2 linhas: 1333, 1666) | Outros e-mails: thais.teixeira66@gmail.com</t>
  </si>
  <si>
    <t>Pontos de recadastro pós-2025 zerados | Pontos aproximados (ex.: 2,7k)</t>
  </si>
  <si>
    <t>não ligar | Cadastro unificado (2 linhas: 1391, 2095) | Outros e-mails: igor.martins20@gmail.com</t>
  </si>
  <si>
    <t>cadastro refeito | Cadastro unificado (2 linhas: 1403, 1581) | Outros e-mails: breno.lopes47@gmail.com</t>
  </si>
  <si>
    <t>aniversario em maio | Cadastro unificado (2 linhas: 1404, 2269) | Outros e-mails: leonardo.moura65@icloud.com</t>
  </si>
  <si>
    <t>Cadastro unificado (2 linhas: 1410, 1500) | Outros e-mails: eduarda.rezende49@yahoo.com.br</t>
  </si>
  <si>
    <t>ver com gerente | cadastro refeito | Cadastro unificado (2 linhas: 1424, 2194) | Outros e-mails: gabriela.martins44@gmail.com</t>
  </si>
  <si>
    <t>não ligar | aniversario em maio | Cadastro unificado (2 linhas: 1458, 2086) | Outros e-mails: thais.ferreira94@gmail.com</t>
  </si>
  <si>
    <t>Cadastro unificado (2 linhas: 1460, 2427) | Outros e-mails: alexandre.cardoso32@gmial.com</t>
  </si>
  <si>
    <t>VIP | não ligar | Cadastro unificado (2 linhas: 1471, 2404) | Outros e-mails: murilo.moura84@outlook.com</t>
  </si>
  <si>
    <t>cliente reclamou | Cadastro unificado (2 linhas: 1508, 2218) | Outros e-mails: larissa.rocha85@icloud.com</t>
  </si>
  <si>
    <t>trocou de cpf? | Cadastro unificado (2 linhas: 1511, 2301) | Outros e-mails: lorenzo.nunes55@hotmail.com</t>
  </si>
  <si>
    <t>Cadastro unificado (2 linhas: 1529, 2509) | Outros e-mails: renata.santana56@gmail.com</t>
  </si>
  <si>
    <t>não ligar | VIP | Cadastro unificado (2 linhas: 1527, 2497) | Outros e-mails: gustavo.carvalho6@gmail.com</t>
  </si>
  <si>
    <t>Cadastro unificado (2 linhas: 1531, 2068) | Outros e-mails: marcelo.alves23@hotmail.com</t>
  </si>
  <si>
    <t>ver com gerente | Cadastro unificado (2 linhas: 1538, 1959) | Outros e-mails: kamila.ramos37@gmail.com</t>
  </si>
  <si>
    <t>aniversario em maio | Cadastro unificado (2 linhas: 1550, 1818) | Outros e-mails: julia.nascimento62@gmail.com</t>
  </si>
  <si>
    <t>Pontos no sistema (cadastro após 01/01/2025)</t>
  </si>
  <si>
    <t>Pontos no sistema (cadastro após 01/01/2025) | Data aproximada (só mês/ano)</t>
  </si>
  <si>
    <t>cadastro refeito | Cadastro unificado (2 linhas: 1562, 1904) | Outros e-mails: renan.nascimento65@bol.com.br</t>
  </si>
  <si>
    <t>Pontos no sistema (cadastro após 01/01/2025) | Telefone sem DDD</t>
  </si>
  <si>
    <t>Cadastro unificado (2 linhas: 1610, 2187) | Outros e-mails: emanuel.lima73@icloud.com</t>
  </si>
  <si>
    <t>Cadastro unificado (2 linhas: 1617, 2029) | Outros e-mails: thais.ferreira49@gmail.com</t>
  </si>
  <si>
    <t>Cadastro unificado (2 linhas: 1620, 2146) | Outros e-mails: renan.santos29@gmail.com</t>
  </si>
  <si>
    <t>não ligar | cliente reclamou | Cadastro unificado (3 linhas: 1625, 2185, 2391) | Outros e-mails: heitor.lima29@hotmail.com; heitor.lima292@hotmail.com</t>
  </si>
  <si>
    <t>Pontos no sistema (cadastro após 01/01/2025) | Data aproximada (só mês/ano) | Telefone sem DDD</t>
  </si>
  <si>
    <t>Cadastro unificado (3 linhas: 1675, 2327, 2416) | Outros e-mails: vitoria.farias72@gmail.com; vitoria.farias723@gmail.com</t>
  </si>
  <si>
    <t>cadastro refeito | Cadastro unificado (2 linhas: 1698, 2056) | Outros e-mails: aline.costa27@hotmail.com</t>
  </si>
  <si>
    <t>Cadastro unificado (2 linhas: 1703, 2179) | Outros e-mails: vanessa.teixeira70@gmail.com</t>
  </si>
  <si>
    <t>Pontos no sistema (cadastro após 01/01/2025) | Data aproximada (só mês/ano) | Sem e-mail</t>
  </si>
  <si>
    <t>Cadastro unificado (2 linhas: 1759, 2109) | Outros e-mails: paula.cardoso59@gmail.com</t>
  </si>
  <si>
    <t>Cadastro unificado (2 linhas: 1817, 2530) | Outros e-mails: julia.ferreira16@outlook.com</t>
  </si>
  <si>
    <t>cadastro refeito | Cadastro unificado (2 linhas: 1786, 2062) | Outros e-mails: marina.rezende30@hotmail.com</t>
  </si>
  <si>
    <t>cadastro refeito | Cadastro unificado (2 linhas: 1827, 1920) | Outros e-mails: priscila.araujo22@gmail.com</t>
  </si>
  <si>
    <t>trocou de cpf? | cadastro refeito | Cadastro unificado (2 linhas: 1855, 2066) | Outros e-mails: juliana.araujo85@outlook.com</t>
  </si>
  <si>
    <t>Cadastro unificado (2 linhas: 1858, 2450) | Outros e-mails: giovanna.ferreira68@icloud.com</t>
  </si>
  <si>
    <t>Pontos no sistema (cadastro após 01/01/2025) | Sem e-mail | Telefone sem DDD</t>
  </si>
  <si>
    <t>Cadastro unificado (2 linhas: 1899, 2520) | Outros e-mails: valentina.rocha62@bol.com.br</t>
  </si>
  <si>
    <t>Cadastro unificado (2 linhas: 1907, 2073) | Outros e-mails: clara.santana35@icloud.com</t>
  </si>
  <si>
    <t>Cadastro unificado (2 linhas: 1909, 2002) | Outros e-mails: vitor.moreira16@uol.com.br</t>
  </si>
  <si>
    <t>Cadastro unificado (2 linhas: 1926, 2507) | Outros e-mails: vitoria.ramos23@gmail.com</t>
  </si>
  <si>
    <t>Cadastro unificado (2 linhas: 1928, 2518) | Outros e-mails: giovanna.rezende55@outlook.com</t>
  </si>
  <si>
    <t>Cadastro unificado (3 linhas: 2006, 2409, 2532) | Outros e-mails: jaqueline.almeida96@bol.com.br; jaqueline.almeida964@bol.com.br</t>
  </si>
  <si>
    <t>Cadastro unificado (2 linhas: 1982, 2243) | Outros e-mails: yasmin.batista63@uol.com.br</t>
  </si>
  <si>
    <t>ver com gerente | Cadastro unificado (3 linhas: 1990, 2290, 2521) | Outros e-mails: jaqueline.mendes33@yahoo.com.br; jaqueline.mendes337@yahoo.com.br</t>
  </si>
  <si>
    <t>ver com gerente | cadastro refeito | Cadastro unificado (2 linhas: 1997, 2510) | Outros e-mails: aline.costa34@hotmail.com</t>
  </si>
  <si>
    <t>Cadastro unificado (2 linhas: 2016, 2524) | Outros e-mails: eduardo.lopes93@hotmail.com</t>
  </si>
  <si>
    <t>aniversario em maio | Cadastro unificado (2 linhas: 2063, 2259) | Outros e-mails: leticia.pinto84@gmail.com</t>
  </si>
  <si>
    <t>Cadastro unificado (2 linhas: 2064, 2535) | Outros e-mails: priscila.teixeira89@hotmail.com</t>
  </si>
  <si>
    <t>Cadastro unificado (2 linhas: 2108, 2515) | Outros e-mails: ricardo.santos28@gmail.com</t>
  </si>
  <si>
    <t>Cadastro unificado (2 linhas: 2113, 2512) | Outros e-mails: gabriela.campos13@gmail.com</t>
  </si>
  <si>
    <t>Cadastro unificado (2 linhas: 2116, 2529) | Outros e-mails: kamila.ferreira49@hotmail.com</t>
  </si>
  <si>
    <t>Cadastro unificado (3 linhas: 2167, 2504, 2505) | Outros e-mails: melissa.pinto10@yahoo.com.br; melissa.pinto106@yahoo.com.br</t>
  </si>
  <si>
    <t>não ligar | Cadastro unificado (2 linhas: 2168, 2417) | Outros e-mails: marina.silva51@gmail.com</t>
  </si>
  <si>
    <t>Cadastro unificado (2 linhas: 2171, 2534) | Outros e-mails: daniel.ramos33@gmail.com</t>
  </si>
  <si>
    <t>não ligar | Cadastro unificado (2 linhas: 2191, 2526) | Outros e-mails: cecilia.teixeira78@outlook.com</t>
  </si>
  <si>
    <t>não ligar | Cadastro unificado (2 linhas: 2197, 2513) | Outros e-mails: emanuel.barbosa36@bol.com.br</t>
  </si>
  <si>
    <t>Cadastro unificado (2 linhas: 2245, 2527) | Outros e-mails: gabriel.gomes66@outlook.com</t>
  </si>
  <si>
    <t>aniversario em maio | Cadastro unificado (2 linhas: 2235, 2506) | Outros e-mails: sofia.gomes78@gmail.com</t>
  </si>
  <si>
    <t>Cadastro unificado (2 linhas: 2236, 2517) | Outros e-mails: otavio.martins62@hotmail.com</t>
  </si>
  <si>
    <t>Cadastro unificado (2 linhas: 2240, 2508) | Outros e-mails: larissa.machado23@uol.com.br</t>
  </si>
  <si>
    <t>cliente reclamou | Cadastro unificado (2 linhas: 2249, 2519) | Outros e-mails: giovanna.tavares54@uol.com.br</t>
  </si>
  <si>
    <t>Cadastro unificado (2 linhas: 2272, 2502) | Outros e-mails: bruna.batista5@hotmail.com</t>
  </si>
  <si>
    <t>Cadastro unificado (2 linhas: 2339, 2531) | Outros e-mails: mariana.goncalves48@uol.com.br</t>
  </si>
  <si>
    <t>Cadastro unificado (2 linhas: 2341, 2523) | Outros e-mails: natalia.pereira57@hotmail.com</t>
  </si>
  <si>
    <t>cliente reclamou | Cadastro unificado (2 linhas: 2344, 2528) | Outros e-mails: gustavo.santana59@outlook.com</t>
  </si>
  <si>
    <t>trocou de cpf? | cadastro refeito | Cadastro unificado (2 linhas: 2346, 2511) | Outros e-mails: daniela.alves72@icloud.com</t>
  </si>
  <si>
    <t>Pontos no sistema (cadastro após 01/01/2025) | Sem e-mail</t>
  </si>
  <si>
    <t>Cadastro unificado (2 linhas: 2381, 2503) | Outros e-mails: cecilia.souza83@icloud.com</t>
  </si>
  <si>
    <t>Cadastro unificado (2 linhas: 2389, 2525) | Outros e-mails: olivia.alves67@hotmail.con</t>
  </si>
  <si>
    <t>Cadastro unificado (2 linhas: 2394, 2522) | Outros e-mails: nicolas.ferreira60@gmail.com</t>
  </si>
  <si>
    <t>Cadastro unificado (2 linhas: 2403, 2536) | Outros e-mails: marcelo.goncalves72@hotmail.com</t>
  </si>
  <si>
    <t>Cadastro unificado (2 linhas: 2405, 2533) | Outros e-mails: marina.peixoto67@uol.com.br</t>
  </si>
  <si>
    <t>aniversario em maio | Cadastro unificado (2 linhas: 2440, 2501) | Outros e-mails: bruno.costa46@icloud.com</t>
  </si>
  <si>
    <t>Cadastro unificado (2 linhas: 2516, 2475) | Outros e-mails: cecilia.pinto502@outlook.com</t>
  </si>
  <si>
    <t>Data</t>
  </si>
  <si>
    <t>Nome do cliente</t>
  </si>
  <si>
    <t>Pontos usados</t>
  </si>
  <si>
    <t>Desconto lançado (R$)</t>
  </si>
  <si>
    <t>Desconto pela regra (R$)</t>
  </si>
  <si>
    <t>Diferença (R$)</t>
  </si>
  <si>
    <t>Loja</t>
  </si>
  <si>
    <t>Atendente</t>
  </si>
  <si>
    <t>Cliente (como anotado)</t>
  </si>
  <si>
    <t/>
  </si>
  <si>
    <t>092.742.848-29</t>
  </si>
  <si>
    <t>906.184.934-92</t>
  </si>
  <si>
    <t>632.253.859-48</t>
  </si>
  <si>
    <t>012.976.285-78</t>
  </si>
  <si>
    <t>843.000.790-30</t>
  </si>
  <si>
    <t>63876578817</t>
  </si>
  <si>
    <t>43474197835</t>
  </si>
  <si>
    <t>CPF localizado pelo nome</t>
  </si>
  <si>
    <t>82656215404</t>
  </si>
  <si>
    <t>CPF localizado pelo nome | Data aproximada (só mês/ano)</t>
  </si>
  <si>
    <t>40941576388</t>
  </si>
  <si>
    <t>33933868165</t>
  </si>
  <si>
    <t>93696647934</t>
  </si>
  <si>
    <t>10671016911</t>
  </si>
  <si>
    <t>9274284829</t>
  </si>
  <si>
    <t>CPF não está no cadastro</t>
  </si>
  <si>
    <t>9738304334</t>
  </si>
  <si>
    <t>Após 01/01/2025: conferir lançamento no sistema</t>
  </si>
  <si>
    <t>CPF localizado pelo nome | Após 01/01/2025: conferir lançamento no sistema</t>
  </si>
  <si>
    <t>Patrícia</t>
  </si>
  <si>
    <t>Beatriz</t>
  </si>
  <si>
    <t>Rafael</t>
  </si>
  <si>
    <t>Bianca</t>
  </si>
  <si>
    <t>Larissa</t>
  </si>
  <si>
    <t>Rafaela</t>
  </si>
  <si>
    <t>Eduarda Nunes</t>
  </si>
  <si>
    <t>366.019.093-43</t>
  </si>
  <si>
    <t>Valentina Correia</t>
  </si>
  <si>
    <t>231.639.906-14</t>
  </si>
  <si>
    <t>Manuela Monteiro</t>
  </si>
  <si>
    <t>169.217.378-29</t>
  </si>
  <si>
    <t>Breno Ferreira</t>
  </si>
  <si>
    <t>Rafaela Soares Barros</t>
  </si>
  <si>
    <t>Davi Alves</t>
  </si>
  <si>
    <t>983.293.371-46</t>
  </si>
  <si>
    <t>Giovanna Almeida Pinto</t>
  </si>
  <si>
    <t>Rebeca Soares</t>
  </si>
  <si>
    <t>507.766.382-38</t>
  </si>
  <si>
    <t>799.921.299-72</t>
  </si>
  <si>
    <t>Renata Soares</t>
  </si>
  <si>
    <t>731.675.299-89</t>
  </si>
  <si>
    <t>Camila Nogueira</t>
  </si>
  <si>
    <t>890.646.714-19</t>
  </si>
  <si>
    <t>Rebeca Fernandes Moura</t>
  </si>
  <si>
    <t>610.429.147-37</t>
  </si>
  <si>
    <t>Priscila Barbosa</t>
  </si>
  <si>
    <t>Vitória Mendes</t>
  </si>
  <si>
    <t>921.341.835-35</t>
  </si>
  <si>
    <t>Davi Vieira</t>
  </si>
  <si>
    <t>Priscila Vieira</t>
  </si>
  <si>
    <t>696.583.178-20</t>
  </si>
  <si>
    <t>Priscila Correia Almeida</t>
  </si>
  <si>
    <t>Yasmin Barros Marques</t>
  </si>
  <si>
    <t>Larissa Araújo</t>
  </si>
  <si>
    <t>141.638.864-86</t>
  </si>
  <si>
    <t>Eduarda Silva</t>
  </si>
  <si>
    <t>733.569.983-58</t>
  </si>
  <si>
    <t>Manuela Alves</t>
  </si>
  <si>
    <t>765.801.135-53</t>
  </si>
  <si>
    <t>Eduardo Nunes</t>
  </si>
  <si>
    <t>548.079.520-13</t>
  </si>
  <si>
    <t>Rebeca Campos Marques</t>
  </si>
  <si>
    <t>456.182.168-68</t>
  </si>
  <si>
    <t>Wesley Vieira Dias</t>
  </si>
  <si>
    <t>Tainá Vieira</t>
  </si>
  <si>
    <t>927.677.348-76</t>
  </si>
  <si>
    <t>Luana Nogueira</t>
  </si>
  <si>
    <t>079.844.488-68</t>
  </si>
  <si>
    <t>Miguel Moreira</t>
  </si>
  <si>
    <t>287.389.015-01</t>
  </si>
  <si>
    <t>Murilo Santana</t>
  </si>
  <si>
    <t>054.483.028-82</t>
  </si>
  <si>
    <t>Como resolver: descubra o CPF (com a loja/atendente ou pela venda do dia) e digite na coluna CPF da aba Resgates, na linha indicada. O caso sai desta lista automaticamente.</t>
  </si>
  <si>
    <t>Casos pendentes</t>
  </si>
  <si>
    <t>Desconto dado (R$)</t>
  </si>
  <si>
    <t>Linha na aba Resgates</t>
  </si>
  <si>
    <t>Motivo</t>
  </si>
  <si>
    <t>Estava BLOQUEADO no programa antigo</t>
  </si>
  <si>
    <t>cliente reclamou | Estava BLOQUEADO no programa antigo</t>
  </si>
  <si>
    <t>trocou de cpf? | Estava BLOQUEADO no programa antigo</t>
  </si>
  <si>
    <t>aniversario em maio | Estava BLOQUEADO no programa antigo</t>
  </si>
  <si>
    <t>ver com gerente | Estava BLOQUEADO no programa antigo</t>
  </si>
  <si>
    <t>PENDÊNCIAS PARA CONFERIR</t>
  </si>
  <si>
    <t>1) Resgates sem cliente identificado</t>
  </si>
  <si>
    <t>Clientes</t>
  </si>
  <si>
    <t>Pontos em 2023</t>
  </si>
  <si>
    <t>Pontos 2023</t>
  </si>
  <si>
    <t>Última compra</t>
  </si>
  <si>
    <t>REGRAS DO PROGRAMA VULTO+</t>
  </si>
  <si>
    <t>- Cada R$ 1 em loja física = 1 ponto. Compras no site/app valem pontos em dobro.</t>
  </si>
  <si>
    <t>- Clientes Ouro ganham 50% a mais (em cima de tudo).</t>
  </si>
  <si>
    <t>- Resgate: 100 pontos = R$ 5,00 (era R$ 10,00 até fev/2025). Mínimo 100 pontos, só múltiplos de 100.</t>
  </si>
  <si>
    <t>- Os pontos vencem em 12 meses. Ouro: 18 meses (combinado com o Diego, ainda não está no sistema).</t>
  </si>
  <si>
    <t>- O saldo NÃO pode ficar negativo (o sistema deixa, cuidado).</t>
  </si>
  <si>
    <t>- Pontos só com CPF. Telefone/e-mail não vale (a loja pode lançar depois na tela de fidelidade).</t>
  </si>
  <si>
    <t>- Categoria: calculada pelos pontos, com as faixas da tabela ao lado.</t>
  </si>
  <si>
    <t>- Aceita Msg = Não ou Não informado: NÃO enviar mensagem (LGPD).</t>
  </si>
  <si>
    <t>SOBRE ESTA PLANILHA</t>
  </si>
  <si>
    <t>- A coluna de pontos da aba Clientes foi congelada em 01/01/2025. Depois disso os pontos ficam no sistema (vulto.db); quem se cadastrou depois dessa data tem 0 aqui.</t>
  </si>
  <si>
    <t>- Cada CPF aparece uma vez só (os cadastros duplicados foram juntados e os pontos somados; as linhas de origem estão em Obs).</t>
  </si>
  <si>
    <t>- Use o filtro da coluna Pendências (Clientes e Resgates) para ver o que precisa conferir.</t>
  </si>
  <si>
    <t>- Na aba Resgates: vermelho = desconto acima da regra; amarelo = cliente não identificado.</t>
  </si>
  <si>
    <t>- A aba Pendências se atualiza sozinha quando o CPF é preenchido na aba Resgates.</t>
  </si>
  <si>
    <t>- Limpeza feita em 19/10/2026. O programa antigo e as versões originais foram apagados; o que ainda importava foi levado para Clientes (Obs) e Pendências.</t>
  </si>
  <si>
    <t>CPF corrigido em 19/10/2026 (era 906.184.904-92, inválido; o correto veio dos resgates)</t>
  </si>
  <si>
    <t>CPF corrigido em 19/10/2026 (era 139.416.512-64, inválido; o correto veio dos resgates)</t>
  </si>
  <si>
    <t>CPF corrigido em 19/10/2026 (era 843.000.790-40, inválido; o correto veio dos resgates)</t>
  </si>
  <si>
    <t>cliente reclamou | CPF corrigido em 19/10/2026 (era 632.253.819-48, inválido; o correto veio dos resgates)</t>
  </si>
  <si>
    <t>CPF corrigido em 19/10/2026 (era 212.976.285-78, inválido; o correto veio dos resgates)</t>
  </si>
  <si>
    <t>CPF atribuído pela análise (nome repetido: só esta cliente já era cadastrada na data). Confiança alta.</t>
  </si>
  <si>
    <t>CPF atribuído pela análise (1º nome: mesma loja, já resgatou lá e DDD). Confiança alta.</t>
  </si>
  <si>
    <t>CPF atribuído pela análise (nome repetido: mesma loja e já resgatou lá). Confiança alta.</t>
  </si>
  <si>
    <t>CPF atribuído pela análise (nome repetido: DDD 41 e já resgatou no Batel). Confiança alta.</t>
  </si>
  <si>
    <t>CPF atribuído pela análise (nome repetido: cadastro em Pinheiros e mesmo CPF de outro resgate). Confiança alta.</t>
  </si>
  <si>
    <t>CPF estava certo; o erro era no cadastro (corrigido).</t>
  </si>
  <si>
    <t>Sugestão / clientes possíveis</t>
  </si>
  <si>
    <t>Situação</t>
  </si>
  <si>
    <t>Encerrado: pontos de 2023 já teriam vencido (regra de 12 meses)</t>
  </si>
  <si>
    <t>Provavelmente migrou com outro CPF: 934.365.449-90</t>
  </si>
  <si>
    <t>Provavelmente migrou com outro CPF: 170.196.150-40 ou 545.192.880-02</t>
  </si>
  <si>
    <t>Provavelmente migrou com outro CPF: 476.728.859-26</t>
  </si>
  <si>
    <t>Provavelmente migrou com outro CPF: 085.153.849-57</t>
  </si>
  <si>
    <t>2) Clientes ATIVOS do programa antigo fora da aba Clientes – apenas registro (nada a devolver)</t>
  </si>
  <si>
    <t>CPF atribuído pela análise (atendimento WhatsApp/Insta de 17/04/2026: mesmo telefone do cadastro, cliente diz que comprou em Pinheiros). Confiança alta. | Após 01/01/2025: conferir lançamento no sistema</t>
  </si>
  <si>
    <t>3) Descontos dados ACIMA da regra (taxa antiga de R$10 usada depois de mar/2025)</t>
  </si>
  <si>
    <t>Resgates com erro</t>
  </si>
  <si>
    <t>Desconto a mais (R$)</t>
  </si>
  <si>
    <t>Resgates desde mar/25</t>
  </si>
  <si>
    <t>Com erro</t>
  </si>
  <si>
    <t>% com erro</t>
  </si>
  <si>
    <t>(atendente não anotado)</t>
  </si>
  <si>
    <t>Padrão: TODOS os 420 erros são resgates sem atendente anotado, e todos têm exatamente o dobro do valor. Nenhum resgate com atendente anotado está errado. Provável origem: lançamento automático ou em lote (o Site está 100% errado), ainda calculado com a taxa antiga. Conferir no sistema se o desconto foi realmente dado em dobro ou se só o registro está errado.</t>
  </si>
  <si>
    <t>(31) 94346-1194</t>
  </si>
  <si>
    <t>(41) 95926-9268</t>
  </si>
  <si>
    <t>(41) 97316-0676</t>
  </si>
  <si>
    <t>(61) 91467-4855</t>
  </si>
  <si>
    <t>(11) 90674-2939</t>
  </si>
  <si>
    <t>(61) 99473-9427</t>
  </si>
  <si>
    <t>(11) 99865-4482</t>
  </si>
  <si>
    <t>(11) 97758-7199</t>
  </si>
  <si>
    <t>(11) 97805-0637</t>
  </si>
  <si>
    <t>(11) 98007-6782</t>
  </si>
  <si>
    <t>(11) 91530-5278</t>
  </si>
  <si>
    <t>(11) 96533-1886</t>
  </si>
  <si>
    <t>(61) 95120-1070</t>
  </si>
  <si>
    <t>(11) 92289-9637</t>
  </si>
  <si>
    <t>(31) 92785-9820</t>
  </si>
  <si>
    <t>(31) 97276-9571</t>
  </si>
  <si>
    <t>(61) 96374-9388</t>
  </si>
  <si>
    <t>(11) 94548-1304</t>
  </si>
  <si>
    <t>(41) 96480-8743</t>
  </si>
  <si>
    <t>(31) 91152-2569</t>
  </si>
  <si>
    <t>(11) 91377-7911</t>
  </si>
  <si>
    <t>(41) 96752-9756</t>
  </si>
  <si>
    <t>(11) 91699-8390</t>
  </si>
  <si>
    <t>(31) 92752-5171</t>
  </si>
  <si>
    <t>(31) 96807-8605</t>
  </si>
  <si>
    <t>(71) 90874-1753</t>
  </si>
  <si>
    <t>(11) 94638-6313</t>
  </si>
  <si>
    <t>(47) 98864-5862</t>
  </si>
  <si>
    <t>(11) 94505-5784</t>
  </si>
  <si>
    <t>(48) 99916-0576</t>
  </si>
  <si>
    <t>(11) 91548-3895</t>
  </si>
  <si>
    <t>(11) 94885-4328</t>
  </si>
  <si>
    <t>(11) 92070-1824</t>
  </si>
  <si>
    <t>(11) 96532-6140</t>
  </si>
  <si>
    <t>(11) 96732-2235</t>
  </si>
  <si>
    <t>(21) 94034-1768</t>
  </si>
  <si>
    <t>(41) 96285-8885</t>
  </si>
  <si>
    <t>(41) 91481-0083</t>
  </si>
  <si>
    <t>(11) 90927-9251</t>
  </si>
  <si>
    <t>(11) 93212-5263</t>
  </si>
  <si>
    <t>(11) 95789-9788</t>
  </si>
  <si>
    <t>(11) 97566-5675</t>
  </si>
  <si>
    <t>(31) 98868-7529</t>
  </si>
  <si>
    <t>(31) 96627-1585</t>
  </si>
  <si>
    <t>(62) 95628-9905</t>
  </si>
  <si>
    <t>(31) 99264-2762</t>
  </si>
  <si>
    <t>(31) 95115-9016</t>
  </si>
  <si>
    <t>(11) 93968-6950</t>
  </si>
  <si>
    <t>(11) 90898-5655</t>
  </si>
  <si>
    <t>(61) 92047-2946</t>
  </si>
  <si>
    <t>(48) 94958-9128</t>
  </si>
  <si>
    <t>(11) 97107-3484</t>
  </si>
  <si>
    <t>(31) 97060-9147</t>
  </si>
  <si>
    <t>(11) 97206-3929</t>
  </si>
  <si>
    <t>(11) 93198-9803</t>
  </si>
  <si>
    <t>(31) 95162-0605</t>
  </si>
  <si>
    <t>(11) 93639-6111</t>
  </si>
  <si>
    <t>(11) 90700-6407</t>
  </si>
  <si>
    <t>(61) 96178-6214</t>
  </si>
  <si>
    <t>(11) 93272-3036</t>
  </si>
  <si>
    <t>(31) 96133-9992</t>
  </si>
  <si>
    <t>(11) 96990-2826</t>
  </si>
  <si>
    <t>(11) 97280-6853</t>
  </si>
  <si>
    <t>(11) 92131-4542</t>
  </si>
  <si>
    <t>(31) 93437-8838</t>
  </si>
  <si>
    <t>(11) 94391-1871</t>
  </si>
  <si>
    <t>DDD vindo do atendimento (só telefone bateu)</t>
  </si>
  <si>
    <t>Pontos no sistema (cadastro após 01/01/2025) | Data aproximada (só mês/ano) | DDD vindo do atendimento (só telefone bateu)</t>
  </si>
  <si>
    <t>Data aproximada (só mês/ano) | DDD vindo do atendimento (só telefone bateu)</t>
  </si>
  <si>
    <t>Pontos no sistema (cadastro após 01/01/2025) | DDD vindo do atendimento (só telefone bateu)</t>
  </si>
  <si>
    <t>Pontos no sistema (cadastro após 01/01/2025) | Data aproximada (só mês/ano) | Sem e-mail (sugestão: rafaela.rodrigues65@hotmail.com, achado só pelo nome nos atendimentos; há 2 clientes com esse nome, confirmar qual)</t>
  </si>
  <si>
    <t>RELATÓRIO DE MUDANÇAS: PLANILHA DE FIDELIDADE VULTO+</t>
  </si>
  <si>
    <t>Limpeza feita em 19/10/2026. Arquivo original: clientes_fidelidade_FINAL_v3. Base de comparação: clientes atualizado.xlsx (enviado pelo usuário).</t>
  </si>
  <si>
    <t>1. RESUMO</t>
  </si>
  <si>
    <t>Antes</t>
  </si>
  <si>
    <t>5 abas (Clientes, clientes antigos (NAO APAGAR), Resgates, LEIA ISSO, Plan1), com 2.535 linhas de clientes, formatos misturados, duplicados e contagens desatualizadas.</t>
  </si>
  <si>
    <t>Depois</t>
  </si>
  <si>
    <t>6 abas com função clara: Clientes (cadastro), Resgates (movimentação), Pendências (o que falta resolver), Regras e Parâmetros (regras e faixas), Faltam no outro arquivo (correções para o clientes atualizado) e este relatório.</t>
  </si>
  <si>
    <t>2.535 linhas → 2.395 clientes únicos (1 linha por CPF).</t>
  </si>
  <si>
    <t>Resgates sem cliente</t>
  </si>
  <si>
    <t>45 casos (R$ 2.350) → 21 casos (R$ 980), todos listados na aba Pendências.</t>
  </si>
  <si>
    <t>Desconto acima da regra</t>
  </si>
  <si>
    <t>420 resgates, R$ 17.795 a mais (identificados, não alterados).</t>
  </si>
  <si>
    <t>2. ABA CLIENTES</t>
  </si>
  <si>
    <t>Colunas</t>
  </si>
  <si>
    <t>Padronizadas e renomeadas: Nome, CPF, CPF válido, E-mail, Telefone, Data Cadastro, Loja Cadastro, Pontos (até 01/01/2025), Categoria, Aceita Msg, Obs, Pendências.</t>
  </si>
  <si>
    <t>Todos no formato 000.000.000-00, guardados como texto. Os CPFs que tinham perdido o zero da frente (9 ou 10 dígitos) foram completados com zeros. Nova coluna 'CPF válido' confere os dígitos verificadores (23 continuam inválidos e estão marcados).</t>
  </si>
  <si>
    <t>Duplicados</t>
  </si>
  <si>
    <t>131 CPFs apareciam em 2 ou 3 linhas (271 linhas). DECISÃO DO USUÁRIO: juntar em 1 linha, SOMANDO os pontos, mantendo a data de cadastro mais antiga e o contato mais recente. As linhas de origem ficaram anotadas na coluna Obs.</t>
  </si>
  <si>
    <t>Nomes e e-mails</t>
  </si>
  <si>
    <t>Espaços sobrando removidos, nomes com inicial maiúscula, e-mails em minúsculas. E-mails vazios, '-' ou 'nao tem' viraram vazio e foram marcados 'Sem e-mail' (18).</t>
  </si>
  <si>
    <t>Padronizado como (DD) 99999-9999 (o +55 foi tirado). 66 DDDs foram completados com a planilha de atendimentos (WhatsApp/Insta), só quando os 9 dígitos finais eram idênticos; 10 deles ficaram marcados para conferir porque só o telefone bateu. 319 continuam sem DDD (não completei pela loja, porque seria um chute).</t>
  </si>
  <si>
    <t>Convertida para data (dd/mm/aaaa). As datas vinham em vários formatos (dd/mm/aaaa, aaaa-mm-dd, número de série, 'jun/21'). As que só tinham mês e ano (198) ficaram no dia 1 do mês e foram marcadas 'Data aproximada'.</t>
  </si>
  <si>
    <t>Nomes unificados: Site (site, ecommerce), App, Pinheiros, Eldorado (eldorado shop), Savassi (bh), Batel (CWB).</t>
  </si>
  <si>
    <t>Pontos pós-2025</t>
  </si>
  <si>
    <t>DECISÃO DO USUÁRIO: a coluna de pontos foi congelada em 01/01/2025 (regra do LEIA ISSO). Quem se cadastrou depois tem 0 pontos aqui e está marcado 'Pontos no sistema' (894), porque o saldo real está no vulto.db. 26 recadastros pós-2025 também tiveram os pontos zerados.</t>
  </si>
  <si>
    <t>8 formas diferentes (sim, S, 1, x, nao, N, 0, vazio) viraram Sim / Não / Não informado. Não informado deve ser tratado como NÃO (LGPD).</t>
  </si>
  <si>
    <t>Nova coluna que lista o que precisa conferir em cada cliente. Use o filtro dela.</t>
  </si>
  <si>
    <t>3. ABA RESGATES</t>
  </si>
  <si>
    <t>Data, CPF, Nome do cliente (fórmula que busca pelo CPF), Pontos usados, Desconto lançado, Desconto pela regra (fórmula), Diferença, Loja, Atendente, Cliente (como anotado), Pendências.</t>
  </si>
  <si>
    <t>Datas e valores</t>
  </si>
  <si>
    <t>Datas em 5 formatos foram convertidas para data. Pontos ('1.000') e descontos ('R$ 50,0') que estavam como texto viraram número.</t>
  </si>
  <si>
    <t>Cliente</t>
  </si>
  <si>
    <t>Antes a coluna misturava CPF e nome (às vezes só o primeiro nome). Agora tem uma coluna CPF (padronizada) e a anotação original foi mantida em 'Cliente (como anotado)', para ninguém perder a informação.</t>
  </si>
  <si>
    <t>Identificação</t>
  </si>
  <si>
    <t>Dos 45 resgates sem cliente identificado, 24 foram resolvidos: nome completo único no cadastro, CPF com erro de digitação corrigido e cruzamento com a planilha de atendimentos (ex.: Luan, linha 413, pelo telefone).</t>
  </si>
  <si>
    <t>Sem cliente</t>
  </si>
  <si>
    <t>DECISÃO: os 21 restantes NÃO foram apagados. O desconto foi dado de verdade, e apagar só esconderia o problema (e o saldo de algum cliente pode estar errado). Ficam em amarelo, e 12 deles têm sugestão de cliente para a loja confirmar.</t>
  </si>
  <si>
    <t>Atendentes</t>
  </si>
  <si>
    <t>Nomes unificados (ex.: Thiago/tiago/THIAGO → Thiago; carlos.savassi → Carlos; jess.eldorado/jessica → Jéssica).</t>
  </si>
  <si>
    <t>Taxa de resgate</t>
  </si>
  <si>
    <t>Nova coluna 'Desconto pela regra' calcula pela taxa da data: R$ 10 por 100 pontos até fev/2025 e R$ 5 desde mar/2025. A coluna Diferença fica em VERMELHO quando o desconto lançado é maior que o da regra.</t>
  </si>
  <si>
    <t>4. ACHADO IMPORTANTE: DESCONTO EM DOBRO</t>
  </si>
  <si>
    <t>O quê</t>
  </si>
  <si>
    <t>420 resgates feitos desde mar/2025 foram calculados com a taxa antiga (R$ 10 em vez de R$ 5): R$ 17.795 de desconto a mais.</t>
  </si>
  <si>
    <t>Padrão</t>
  </si>
  <si>
    <t>TODOS os 420 são resgates sem atendente anotado, e todos com exatamente o dobro do valor. Nenhum resgate com atendente está errado. No Site, 100% estão errados; nas lojas, de 62% a 75%. O erro acontece todo mês até hoje.</t>
  </si>
  <si>
    <t>Conclusão</t>
  </si>
  <si>
    <t>Provável lançamento automático ou em lote (Site/integração) com a taxa antiga configurada. Não é erro das atendentes.</t>
  </si>
  <si>
    <t>DECISÃO</t>
  </si>
  <si>
    <t>Os valores NÃO foram alterados (o desconto já saiu). Fica para a empresa conferir no sistema e corrigir a configuração. O resumo por loja e por atendente está na aba Pendências (coluna Q em diante).</t>
  </si>
  <si>
    <t>5. ABAS APAGADAS OU JUNTADAS (com autorização do usuário)</t>
  </si>
  <si>
    <t>Plan1</t>
  </si>
  <si>
    <t>Apagada. Tinha contagens de categoria digitadas e desatualizadas (Bronze 300, Prata 140...). Foi substituída pelo resumo automático na aba Regras e Parâmetros.</t>
  </si>
  <si>
    <t>LEIA ISSO</t>
  </si>
  <si>
    <t>O texto foi levado para a aba Regras e Parâmetros (coluna E) e atualizado com as novas regras (taxa, categoria, LGPD, como usar a planilha).</t>
  </si>
  <si>
    <t>clientes antigos</t>
  </si>
  <si>
    <t>Apagada (programa de 2023, já migrado em jan/24). Antes, aproveitei o que importava: 31 clientes 'Ativo' que não foram migrados estão na aba Pendências (coluna K), e 29 clientes atuais que estavam 'Bloqueado' no programa antigo ganharam esse aviso na coluna Obs.</t>
  </si>
  <si>
    <t>Backups</t>
  </si>
  <si>
    <t>As cópias de segurança criadas durante a limpeza foram apagadas no fim. ⚠ Não dá para desfazer pela planilha: guarde o arquivo original se precisar consultar.</t>
  </si>
  <si>
    <t>6. ABAS NOVAS</t>
  </si>
  <si>
    <t>Lista automática dos resgates sem cliente (sai da lista quando o CPF é preenchido), os clientes antigos não migrados e o resumo dos descontos acima da regra.</t>
  </si>
  <si>
    <t>Regras e Parâmetros</t>
  </si>
  <si>
    <t>Tabela de faixas de categoria, taxa de resgate por data, resumo de clientes por categoria (por fórmula) e as regras do programa.</t>
  </si>
  <si>
    <t>Faltam no outro arquivo</t>
  </si>
  <si>
    <t>81 clientes: 80 que faltam no 'clientes atualizado' e 1 CPF errado lá (Alice Nogueira: 212.976.285-78 → 012.976.285-78).</t>
  </si>
  <si>
    <t>7. COMPARAÇÃO COM 'clientes atualizado' (2.315 × 2.395)</t>
  </si>
  <si>
    <t>Resultado</t>
  </si>
  <si>
    <t>Todos os 2.315 clientes de lá estão aqui. Os 80 a mais aqui são clientes reais, todos com CPF começando com 0, que o outro arquivo perdeu (provavelmente porque o zero da frente sumiu e o CPF ficou com menos de 11 dígitos). 2.395 é o número correto.</t>
  </si>
  <si>
    <t>Também</t>
  </si>
  <si>
    <t>O outro arquivo marca 'Dados válidos = Sim' para todos, mas 28 CPFs de lá são inválidos.</t>
  </si>
  <si>
    <t>8. O QUE AINDA DEPENDE DE ALGUÉM (não dá para resolver só com os dados)</t>
  </si>
  <si>
    <t>Resgates</t>
  </si>
  <si>
    <t>Desconto em dobro</t>
  </si>
  <si>
    <t>R$ 17.795: conferir no sistema e corrigir a taxa do Site/integração.</t>
  </si>
  <si>
    <t>Cadastro</t>
  </si>
  <si>
    <t>319 telefones sem DDD, 18 sem e-mail, 23 CPFs inválidos, 198 datas aproximadas, 96 pontos aproximados: completar direto com o cliente.</t>
  </si>
  <si>
    <t>Saldos pós-2025</t>
  </si>
  <si>
    <t>894 clientes têm o saldo só no sistema (vulto.db).</t>
  </si>
  <si>
    <t>Regra Ouro 18 meses</t>
  </si>
  <si>
    <t>Combinada (segundo o LEIA ISSO) mas ainda não está no sistema.</t>
  </si>
  <si>
    <t>Outro arquivo</t>
  </si>
  <si>
    <t>Incluir os 80 clientes e corrigir o CPF da Alice no 'clientes atualizado', usando a aba Faltam no outro arquivo.</t>
  </si>
  <si>
    <t>Convertidos para número ('2.203', '1389 pts', '15000 pts'). Valores como '2,7k' viraram 2700 e foram marcados 'Pontos aproximados' (96).</t>
  </si>
  <si>
    <t>DECISÃO DO USUÁRIO: usar a regra do arquivo 'clientes atualizado' (Bronze 1–1500, Prata 1501–5000, Ouro 5001–9999, Vip 10000+, vazio para 0 pontos), em vez da regra antiga do LEIA ISSO. Virou uma FÓRMULA ligada à tabela de faixas (muda sozinha se a faixa mudar). Antes era digitada à mão (bronze, BRONZE, brz, Silver, Gold, ouro ★, vip?...).</t>
  </si>
  <si>
    <t>Não identificável: nome igual a 2 clientes com CPFs diferentes (830.908.872-82 / 444.089.668-51) – resgate fica sem cliente e fora das pendências</t>
  </si>
  <si>
    <t>Não identificável: nome igual a 2 clientes com CPFs diferentes (589.386.957-51 / 815.973.832-36) – resgate fica sem cliente e fora das pendências</t>
  </si>
  <si>
    <t>CPF inválido – no próximo login o cliente precisa atualizar os dados para continuar usando os benefícios do programa</t>
  </si>
  <si>
    <t>CPF inválido – no próximo login o cliente precisa atualizar os dados para continuar usando os benefícios do programa | Pontos no sistema (cadastro após 01/01/2025) | Data aproximada (só mês/ano)</t>
  </si>
  <si>
    <t>CPF inválido – no próximo login o cliente precisa atualizar os dados para continuar usando os benefícios do programa | Pontos no sistema (cadastro após 01/01/2025)</t>
  </si>
  <si>
    <t>CPF inválido – no próximo login o cliente precisa atualizar os dados para continuar usando os benefícios do programa | Pontos aproximados (ex.: 2,7k)</t>
  </si>
  <si>
    <t>CPF inválido – no próximo login o cliente precisa atualizar os dados para continuar usando os benefícios do programa | Telefone sem DDD</t>
  </si>
  <si>
    <t>Próximo passo (varredura automática)</t>
  </si>
  <si>
    <t>VARREDURA AUTOMÁTICA – RESGATES ANOTADOS SÓ COM O PRIMEIRO NOME</t>
  </si>
  <si>
    <t>Esta aba é um roteiro para quem for rodar a varredura (ex.: Claude Code). Os passos abaixo não foram feitos aqui. Esta planilha só não tem acesso às vendas completas de todas as lojas.</t>
  </si>
  <si>
    <t>OBJETIVO</t>
  </si>
  <si>
    <t>Descobrir o CPF de cada resgate anotado só com o primeiro nome. A ideia é cruzar o nome com quem comprou NA MESMA LOJA e NO MESMO DIA do resgate. Isso reduz muito a lista de candidatos (hoje são de 13 a 39 clientes por nome).</t>
  </si>
  <si>
    <t>ENTRADA</t>
  </si>
  <si>
    <t>- Casos: aba Pendências, linhas em que o Motivo (col. H) = "Só o primeiro nome". A coluna A traz a linha da aba Resgates; as colunas B, C e F trazem data, nome e loja.</t>
  </si>
  <si>
    <t>- Cadastro: aba Clientes (Nome, CPF, Telefone, Loja Cadastro).</t>
  </si>
  <si>
    <t>- Fontes externas para cruzar: arquivos de vendas de cada loja (ex.: vendas_batel_MANUAL_marco.xlsx, que só cobre o Batel em março), exportação de atendimentos (atendimentos_export_whatsapp_insta.xlsx) e o sistema vulto.db (pontos e resgates depois de 01/01/2025).</t>
  </si>
  <si>
    <t>PASSO A PASSO</t>
  </si>
  <si>
    <t>1. Para cada caso, pegue: primeiro nome, loja e data do resgate.</t>
  </si>
  <si>
    <t>2. Nas vendas, filtre: mesma loja + mesma data (aceitar até 1 dia de diferença, caso o lançamento tenha sido feito no dia seguinte) + nome do comprador começando com o primeiro nome (ignorar maiúsculas e acentos).</t>
  </si>
  <si>
    <t>3. Para cada venda encontrada, ache o CPF dela: pelo próprio CPF da venda, ou pelo telefone ou e-mail batendo com a aba Clientes.</t>
  </si>
  <si>
    <t>4. Conte quantos CPFs distintos sobraram:</t>
  </si>
  <si>
    <t xml:space="preserve">   • 1 CPF: confiança alta. Preencha o CPF na coluna B da aba Resgates, na linha indicada, e anote a fonte na coluna K.</t>
  </si>
  <si>
    <t xml:space="preserve">   • 2 ou mais: confiança média. Anote os candidatos na coluna K começando com "Sugestão:" (aparece em Pendências). Para desempatar, use quem tinha saldo suficiente para os pontos usados, quem tem a loja de cadastro igual e quem aparece nos atendimentos perto da data.</t>
  </si>
  <si>
    <t xml:space="preserve">   • 0: deixe pendente para a loja confirmar.</t>
  </si>
  <si>
    <t>5. Confirme se o saldo do cliente cobria os pontos do resgate. O saldo não pode ficar negativo.</t>
  </si>
  <si>
    <t>6. Registre o resultado: quantos casos foram resolvidos, quantos ficaram com sugestão e quantos sem candidato, e qual fonte resolveu cada um.</t>
  </si>
  <si>
    <t>REGRAS QUE NÃO PODEM SER QUEBRADAS</t>
  </si>
  <si>
    <t>- Só junte cadastros com o MESMO CPF. Nome igual com CPF diferente são pessoas diferentes e continuam separadas no cadastro.</t>
  </si>
  <si>
    <t>- Nunca preencha CPF com confiança média ou baixa. Nesses casos, só a Sugestão.</t>
  </si>
  <si>
    <t>- Não envie mensagem a clientes com Aceita Msg = Não ou Não informado (LGPD).</t>
  </si>
  <si>
    <t>CASOS FORA DESTA VARREDURA</t>
  </si>
  <si>
    <t>- Resgates das linhas 14 (Nicole Campos Barbosa) e 44 (Paulo Teixeira) da aba Resgates: o nome é igual ao de 2 clientes com CPFs diferentes. Foram marcados como "Não identificável" e saíram das pendências por decisão do responsável.</t>
  </si>
  <si>
    <t>- Clientes com CPF inválido: no próximo login, precisam atualizar os dados para continuar usando os benefícios (ver aba Clientes, coluna Pendências).</t>
  </si>
  <si>
    <t>- CPF inválido: no próximo login o cliente é obrigado a atualizar os dados (CPF) para continuar usando os benefícios. Até lá, os pontos ficam guardados.</t>
  </si>
  <si>
    <t>Cliente não identificado (só primeiro nome) | Varredura 19/10/2026: sem vendas antes de 2025 no vulto.db para cruzar</t>
  </si>
  <si>
    <t>Sugestão: Luan Oliveira Gomes 740.762.313-92 (único da loja com DDD; confiança média) | Varredura 19/10/2026: sem vendas antes de 2025 no vulto.db para cruzar</t>
  </si>
  <si>
    <t>Cliente não identificado (só primeiro nome) | Data aproximada (só mês/ano) | Varredura 19/10/2026: sem vendas antes de 2025 no vulto.db para cruzar</t>
  </si>
  <si>
    <t>Sugestão: Mariana Marques 142.255.830-40 (única da loja com DDD; confiança média) | Varredura 19/10/2026: sem vendas antes de 2025 no vulto.db para cruzar</t>
  </si>
  <si>
    <t>CPF pela varredura de 19/10/2026: venda 1852 de 19/03/2025, mesma loja, mesmo desconto (R$ 75,00); confiança alta</t>
  </si>
  <si>
    <t>CPF pela varredura de 19/10/2026: venda 3884 de 04/06/2025, mesma loja, mesmo desconto (R$ 25,00); confiança alta</t>
  </si>
  <si>
    <t>CPF pela varredura de 19/10/2026: venda 4467 de 24/06/2025, mesma loja, mesmo desconto (R$ 100,00); confiança alta</t>
  </si>
  <si>
    <t>CPF pela varredura de 19/10/2026: venda 7693 de 26/10/2025, mesma loja, mesmo desconto (R$ 15,00); confiança alta</t>
  </si>
  <si>
    <t>CPF pela varredura de 19/10/2026: venda 7705 de 26/10/2025, mesma loja, mesmo desconto (R$ 15,00); confiança alta</t>
  </si>
  <si>
    <t>CPF pela varredura de 19/10/2026: venda 8330 de 14/11/2025, mesma loja, mesmo desconto (R$ 50,00); confiança alta</t>
  </si>
  <si>
    <t>CPF pela varredura de 19/10/2026: venda 10851 de 09/01/2026, mesma loja, mesmo desconto (R$ 50,00); confiança alta</t>
  </si>
  <si>
    <t>CPF pela varredura de 19/10/2026: venda 12807 de 23/03/2026, mesma loja, mesmo desconto (R$ 50,00); confiança alta</t>
  </si>
  <si>
    <t>CPF pela varredura de 19/10/2026: venda 14295 de 15/05/2026, mesma loja, mesmo desconto (R$ 75,00); confiança alta</t>
  </si>
  <si>
    <t>CPF pela varredura de 19/10/2026: venda 16347 de 12/07/2026, mesma loja, mesmo desconto (R$ 25,00); confiança alta</t>
  </si>
  <si>
    <t>Sugestão: Julia Fernandes 558.971.099-58 (única venda do dia na loja com esse nome, venda 17215, mas o desconto foi R$ 33,00 e o resgate anotado é R$ 25,00) ou Júlia Peixoto Ferreira 123.214.834-23 (cadastro na Savassi + atendimento de 16/08/2026 com o mesmo nome; confiança média-alta); confirmar com a loja</t>
  </si>
  <si>
    <t>Sugestão: João Pereira Mendes 249.952.721-86 (único da loja; confiança média) | Varredura 19/10/2026: nenhuma venda de cliente com esse nome na loja de 15 a 17/09/2026</t>
  </si>
  <si>
    <t>11 sem cliente (R$ 500): 9 na aba Pendências + 2 não identificáveis. 4 têm sugestão.</t>
  </si>
  <si>
    <t>9. VARREDURA DOS RESGATES SÓ COM O PRIMEIRO NOME (feita em 19/10/2026)</t>
  </si>
  <si>
    <t>Como</t>
  </si>
  <si>
    <t>Script migracao/varredura_resgates.py (repo copy.vulto-legado-back), seguindo a aba Varredura: venda da mesma loja no dia do resgate (±1 dia) de cliente cujo nome começa com o anotado. O CPF só foi preenchido quando sobrou 1 cliente E o desconto da venda era igual ao desconto do resgate.</t>
  </si>
  <si>
    <t>Resolvidos</t>
  </si>
  <si>
    <t>10 resgates (linhas 104, 144, 159, 249, 251, 265, 324, 394, 442 e 523 da aba Resgates): CPF na coluna B e a venda que comprova na coluna Pendências.</t>
  </si>
  <si>
    <t>Sugestões antigas</t>
  </si>
  <si>
    <t>3 se confirmaram (Melissa 144, Carolina 251, Ícaro 324). 3 não: a venda do dia é de outro cliente (João 159 = João Oliveira Cardoso; Hugo 249 = Hugo Peixoto; Giovanna 265 = Giovanna Oliveira).</t>
  </si>
  <si>
    <t>Sugestão</t>
  </si>
  <si>
    <t>Linha 554 (Júlia, Savassi): a única venda do dia é da Julia Fernandes, mas com desconto de R$ 33,00 (o resgate é de R$ 25,00). Fica como sugestão, junto com a anterior (Júlia Peixoto Ferreira).</t>
  </si>
  <si>
    <t>Sem candidato</t>
  </si>
  <si>
    <t>Linha 582 (João, Eldorado, 16/09/2026): nenhuma venda de cliente com esse nome de 15 a 17/09.</t>
  </si>
  <si>
    <t>Sem fonte</t>
  </si>
  <si>
    <t>6 resgates de 2023 e 2024 (linhas 15, 17, 53, 56, 58 e 59): o vulto.db só tem vendas a partir de 01/01/2025. Continuam para a loja confirmar.</t>
  </si>
  <si>
    <t>Pendências: de 19 para 9 casos (13.800 → 4.200 pontos; R$ 850 → R$ 370). No passivo de pontos, só 2 deles (1.000 pontos, de 2025 em diante) ainda podem mexer.</t>
  </si>
  <si>
    <t>FEITO EM 19/10/2026: ver a seção 9 da aba Relatório de Mudanças (10 resolvidos, 1 sugestão, 1 sem candidato, 6 sem vendas para cruzar).</t>
  </si>
  <si>
    <t>- Login (decidido em 19/10/2026): o cliente entra com CPF ou e-mail. E-mail usado por mais de um cliente não serve para entrar (entra pelo CPF). Com CPF inválido, entra pelo e-mail e atualiza o CPF; sem e-mail próprio, a loja ou o atendimento corrige.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</si>
</sst>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;[Red]\-&quot;R$&quot;\ #,##0.00;\-"/>
    <numFmt numFmtId="165" formatCode="&quot;R$&quot;\ #,##0.00"/>
    <numFmt numFmtId="166" formatCode="0.0%"/>
    <numFmt numFmtId="167" formatCode="&quot;R$&quot;\ #,##0.00;\-&quot;R$&quot;\ #,##0.00;\-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4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49" fontId="0" fillId="0" borderId="0" xfId="0" applyNumberFormat="1"/>
    <xf numFmtId="0" fontId="4" fillId="2" borderId="0" xfId="0" applyFont="1" applyFill="1" applyAlignment="1">
      <alignment wrapText="1"/>
    </xf>
    <xf numFmtId="164" fontId="0" fillId="0" borderId="0" xfId="0" applyNumberFormat="1"/>
    <xf numFmtId="0" fontId="8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166" fontId="0" fillId="0" borderId="0" xfId="0" applyNumberFormat="1"/>
    <xf numFmtId="166" fontId="3" fillId="0" borderId="0" xfId="0" applyNumberFormat="1" applyFont="1"/>
    <xf numFmtId="166" fontId="4" fillId="2" borderId="0" xfId="0" applyNumberFormat="1" applyFont="1" applyFill="1" applyAlignment="1">
      <alignment wrapText="1"/>
    </xf>
    <xf numFmtId="167" fontId="0" fillId="0" borderId="0" xfId="0" applyNumberFormat="1"/>
    <xf numFmtId="167" fontId="3" fillId="0" borderId="0" xfId="0" applyNumberFormat="1" applyFont="1"/>
    <xf numFmtId="167" fontId="4" fillId="2" borderId="0" xfId="0" applyNumberFormat="1" applyFont="1" applyFill="1" applyAlignment="1">
      <alignment wrapText="1"/>
    </xf>
    <xf numFmtId="165" fontId="5" fillId="0" borderId="0" xfId="0" applyNumberFormat="1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1" fontId="0" fillId="0" borderId="0" xfId="0" applyNumberFormat="1"/>
    <xf numFmtId="1" fontId="5" fillId="0" borderId="0" xfId="0" applyNumberFormat="1" applyFont="1"/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5CD675-D27C-FB4C-A398-8215843B6AA7}">
  <we:reference id="wa200010725" version="1.0.0.1" store="pt-BR" storeType="OMEX"/>
  <we:alternateReferences>
    <we:reference id="wa200010725" version="1.0.0.1" store="pt-BR" storeType="OMEX"/>
  </we:alternateReferences>
  <we:properties>
    <we:property name="claude.fileId" value="&quot;d1fe42ad-e405-4e49-9ebb-4834b91ca881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FCAB-6F2B-BC45-850A-227D560DE1B7}">
  <dimension ref="A1:B70"/>
  <sheetViews>
    <sheetView showGridLines="0" tabSelected="1" workbookViewId="0">
      <selection sqref="A1:B1"/>
    </sheetView>
  </sheetViews>
  <sheetFormatPr defaultColWidth="11.5546875" defaultRowHeight="14.4" x14ac:dyDescent="0.3"/>
  <cols>
    <col min="1" max="1" width="25" customWidth="1"/>
    <col min="2" max="2" width="108.33203125" customWidth="1"/>
  </cols>
  <sheetData>
    <row r="1" spans="1:2" ht="24" customHeight="1" x14ac:dyDescent="0.3">
      <c r="A1" s="31" t="s">
        <v>10154</v>
      </c>
      <c r="B1" s="32"/>
    </row>
    <row r="2" spans="1:2" ht="30" customHeight="1" x14ac:dyDescent="0.3">
      <c r="A2" s="33" t="s">
        <v>10155</v>
      </c>
      <c r="B2" s="32"/>
    </row>
    <row r="3" spans="1:2" x14ac:dyDescent="0.3">
      <c r="A3" s="20"/>
      <c r="B3" s="20"/>
    </row>
    <row r="4" spans="1:2" x14ac:dyDescent="0.3">
      <c r="A4" s="30" t="s">
        <v>10156</v>
      </c>
      <c r="B4" s="30"/>
    </row>
    <row r="5" spans="1:2" ht="28.8" x14ac:dyDescent="0.3">
      <c r="A5" s="21" t="s">
        <v>10157</v>
      </c>
      <c r="B5" s="20" t="s">
        <v>10158</v>
      </c>
    </row>
    <row r="6" spans="1:2" ht="28.8" x14ac:dyDescent="0.3">
      <c r="A6" s="21" t="s">
        <v>10159</v>
      </c>
      <c r="B6" s="20" t="s">
        <v>10160</v>
      </c>
    </row>
    <row r="7" spans="1:2" x14ac:dyDescent="0.3">
      <c r="A7" s="21" t="s">
        <v>10035</v>
      </c>
      <c r="B7" s="20" t="s">
        <v>10161</v>
      </c>
    </row>
    <row r="8" spans="1:2" x14ac:dyDescent="0.3">
      <c r="A8" s="21" t="s">
        <v>10162</v>
      </c>
      <c r="B8" s="20" t="s">
        <v>10163</v>
      </c>
    </row>
    <row r="9" spans="1:2" x14ac:dyDescent="0.3">
      <c r="A9" s="21" t="s">
        <v>10164</v>
      </c>
      <c r="B9" s="20" t="s">
        <v>10165</v>
      </c>
    </row>
    <row r="10" spans="1:2" x14ac:dyDescent="0.3">
      <c r="A10" s="20"/>
      <c r="B10" s="20"/>
    </row>
    <row r="11" spans="1:2" x14ac:dyDescent="0.3">
      <c r="A11" s="30" t="s">
        <v>10166</v>
      </c>
      <c r="B11" s="30"/>
    </row>
    <row r="12" spans="1:2" ht="28.8" x14ac:dyDescent="0.3">
      <c r="A12" s="21" t="s">
        <v>10167</v>
      </c>
      <c r="B12" s="20" t="s">
        <v>10168</v>
      </c>
    </row>
    <row r="13" spans="1:2" ht="28.8" x14ac:dyDescent="0.3">
      <c r="A13" s="21" t="s">
        <v>6448</v>
      </c>
      <c r="B13" s="20" t="s">
        <v>10169</v>
      </c>
    </row>
    <row r="14" spans="1:2" ht="28.8" x14ac:dyDescent="0.3">
      <c r="A14" s="22" t="s">
        <v>10170</v>
      </c>
      <c r="B14" s="23" t="s">
        <v>10171</v>
      </c>
    </row>
    <row r="15" spans="1:2" ht="28.8" x14ac:dyDescent="0.3">
      <c r="A15" s="21" t="s">
        <v>10172</v>
      </c>
      <c r="B15" s="20" t="s">
        <v>10173</v>
      </c>
    </row>
    <row r="16" spans="1:2" ht="43.2" x14ac:dyDescent="0.3">
      <c r="A16" s="21" t="s">
        <v>6450</v>
      </c>
      <c r="B16" s="20" t="s">
        <v>10174</v>
      </c>
    </row>
    <row r="17" spans="1:2" ht="28.8" x14ac:dyDescent="0.3">
      <c r="A17" s="21" t="s">
        <v>2</v>
      </c>
      <c r="B17" s="20" t="s">
        <v>10175</v>
      </c>
    </row>
    <row r="18" spans="1:2" x14ac:dyDescent="0.3">
      <c r="A18" s="21" t="s">
        <v>6451</v>
      </c>
      <c r="B18" s="20" t="s">
        <v>10176</v>
      </c>
    </row>
    <row r="19" spans="1:2" ht="28.8" x14ac:dyDescent="0.3">
      <c r="A19" s="21" t="s">
        <v>3</v>
      </c>
      <c r="B19" s="20" t="s">
        <v>10236</v>
      </c>
    </row>
    <row r="20" spans="1:2" ht="43.2" x14ac:dyDescent="0.3">
      <c r="A20" s="22" t="s">
        <v>10177</v>
      </c>
      <c r="B20" s="23" t="s">
        <v>10178</v>
      </c>
    </row>
    <row r="21" spans="1:2" ht="43.2" x14ac:dyDescent="0.3">
      <c r="A21" s="22" t="s">
        <v>6437</v>
      </c>
      <c r="B21" s="23" t="s">
        <v>10237</v>
      </c>
    </row>
    <row r="22" spans="1:2" ht="28.8" x14ac:dyDescent="0.3">
      <c r="A22" s="21" t="s">
        <v>6453</v>
      </c>
      <c r="B22" s="20" t="s">
        <v>10179</v>
      </c>
    </row>
    <row r="23" spans="1:2" x14ac:dyDescent="0.3">
      <c r="A23" s="21" t="s">
        <v>6454</v>
      </c>
      <c r="B23" s="20" t="s">
        <v>10180</v>
      </c>
    </row>
    <row r="24" spans="1:2" x14ac:dyDescent="0.3">
      <c r="A24" s="20"/>
      <c r="B24" s="20"/>
    </row>
    <row r="25" spans="1:2" x14ac:dyDescent="0.3">
      <c r="A25" s="30" t="s">
        <v>10181</v>
      </c>
      <c r="B25" s="30"/>
    </row>
    <row r="26" spans="1:2" ht="28.8" x14ac:dyDescent="0.3">
      <c r="A26" s="21" t="s">
        <v>10167</v>
      </c>
      <c r="B26" s="20" t="s">
        <v>10182</v>
      </c>
    </row>
    <row r="27" spans="1:2" ht="28.8" x14ac:dyDescent="0.3">
      <c r="A27" s="21" t="s">
        <v>10183</v>
      </c>
      <c r="B27" s="20" t="s">
        <v>10184</v>
      </c>
    </row>
    <row r="28" spans="1:2" ht="28.8" x14ac:dyDescent="0.3">
      <c r="A28" s="21" t="s">
        <v>10185</v>
      </c>
      <c r="B28" s="20" t="s">
        <v>10186</v>
      </c>
    </row>
    <row r="29" spans="1:2" ht="28.8" x14ac:dyDescent="0.3">
      <c r="A29" s="21" t="s">
        <v>10187</v>
      </c>
      <c r="B29" s="20" t="s">
        <v>10188</v>
      </c>
    </row>
    <row r="30" spans="1:2" ht="28.8" x14ac:dyDescent="0.3">
      <c r="A30" s="22" t="s">
        <v>10189</v>
      </c>
      <c r="B30" s="23" t="s">
        <v>10190</v>
      </c>
    </row>
    <row r="31" spans="1:2" x14ac:dyDescent="0.3">
      <c r="A31" s="21" t="s">
        <v>10191</v>
      </c>
      <c r="B31" s="20" t="s">
        <v>10192</v>
      </c>
    </row>
    <row r="32" spans="1:2" ht="28.8" x14ac:dyDescent="0.3">
      <c r="A32" s="21" t="s">
        <v>10193</v>
      </c>
      <c r="B32" s="20" t="s">
        <v>10194</v>
      </c>
    </row>
    <row r="33" spans="1:2" x14ac:dyDescent="0.3">
      <c r="A33" s="20"/>
      <c r="B33" s="20"/>
    </row>
    <row r="34" spans="1:2" x14ac:dyDescent="0.3">
      <c r="A34" s="30" t="s">
        <v>10195</v>
      </c>
      <c r="B34" s="30"/>
    </row>
    <row r="35" spans="1:2" x14ac:dyDescent="0.3">
      <c r="A35" s="21" t="s">
        <v>10196</v>
      </c>
      <c r="B35" s="20" t="s">
        <v>10197</v>
      </c>
    </row>
    <row r="36" spans="1:2" ht="28.8" x14ac:dyDescent="0.3">
      <c r="A36" s="21" t="s">
        <v>10198</v>
      </c>
      <c r="B36" s="20" t="s">
        <v>10199</v>
      </c>
    </row>
    <row r="37" spans="1:2" x14ac:dyDescent="0.3">
      <c r="A37" s="21" t="s">
        <v>10200</v>
      </c>
      <c r="B37" s="20" t="s">
        <v>10201</v>
      </c>
    </row>
    <row r="38" spans="1:2" ht="28.8" x14ac:dyDescent="0.3">
      <c r="A38" s="22" t="s">
        <v>10202</v>
      </c>
      <c r="B38" s="23" t="s">
        <v>10203</v>
      </c>
    </row>
    <row r="39" spans="1:2" x14ac:dyDescent="0.3">
      <c r="A39" s="20"/>
      <c r="B39" s="20"/>
    </row>
    <row r="40" spans="1:2" x14ac:dyDescent="0.3">
      <c r="A40" s="30" t="s">
        <v>10204</v>
      </c>
      <c r="B40" s="30"/>
    </row>
    <row r="41" spans="1:2" ht="28.8" x14ac:dyDescent="0.3">
      <c r="A41" s="21" t="s">
        <v>10205</v>
      </c>
      <c r="B41" s="20" t="s">
        <v>10206</v>
      </c>
    </row>
    <row r="42" spans="1:2" ht="28.8" x14ac:dyDescent="0.3">
      <c r="A42" s="21" t="s">
        <v>10207</v>
      </c>
      <c r="B42" s="20" t="s">
        <v>10208</v>
      </c>
    </row>
    <row r="43" spans="1:2" ht="43.2" x14ac:dyDescent="0.3">
      <c r="A43" s="21" t="s">
        <v>10209</v>
      </c>
      <c r="B43" s="20" t="s">
        <v>10210</v>
      </c>
    </row>
    <row r="44" spans="1:2" ht="28.8" x14ac:dyDescent="0.3">
      <c r="A44" s="21" t="s">
        <v>10211</v>
      </c>
      <c r="B44" s="20" t="s">
        <v>10212</v>
      </c>
    </row>
    <row r="45" spans="1:2" x14ac:dyDescent="0.3">
      <c r="A45" s="20"/>
      <c r="B45" s="20"/>
    </row>
    <row r="46" spans="1:2" x14ac:dyDescent="0.3">
      <c r="A46" s="30" t="s">
        <v>10213</v>
      </c>
      <c r="B46" s="30"/>
    </row>
    <row r="47" spans="1:2" ht="28.8" x14ac:dyDescent="0.3">
      <c r="A47" s="21" t="s">
        <v>6454</v>
      </c>
      <c r="B47" s="20" t="s">
        <v>10214</v>
      </c>
    </row>
    <row r="48" spans="1:2" x14ac:dyDescent="0.3">
      <c r="A48" s="21" t="s">
        <v>10215</v>
      </c>
      <c r="B48" s="20" t="s">
        <v>10216</v>
      </c>
    </row>
    <row r="49" spans="1:2" x14ac:dyDescent="0.3">
      <c r="A49" s="21" t="s">
        <v>10217</v>
      </c>
      <c r="B49" s="20" t="s">
        <v>10218</v>
      </c>
    </row>
    <row r="50" spans="1:2" x14ac:dyDescent="0.3">
      <c r="A50" s="20"/>
      <c r="B50" s="20"/>
    </row>
    <row r="51" spans="1:2" x14ac:dyDescent="0.3">
      <c r="A51" s="30" t="s">
        <v>10219</v>
      </c>
      <c r="B51" s="30"/>
    </row>
    <row r="52" spans="1:2" ht="43.2" x14ac:dyDescent="0.3">
      <c r="A52" s="21" t="s">
        <v>10220</v>
      </c>
      <c r="B52" s="20" t="s">
        <v>10221</v>
      </c>
    </row>
    <row r="53" spans="1:2" x14ac:dyDescent="0.3">
      <c r="A53" s="21" t="s">
        <v>10222</v>
      </c>
      <c r="B53" s="20" t="s">
        <v>10223</v>
      </c>
    </row>
    <row r="54" spans="1:2" x14ac:dyDescent="0.3">
      <c r="A54" s="20"/>
      <c r="B54" s="20"/>
    </row>
    <row r="55" spans="1:2" x14ac:dyDescent="0.3">
      <c r="A55" s="30" t="s">
        <v>10224</v>
      </c>
      <c r="B55" s="30"/>
    </row>
    <row r="56" spans="1:2" x14ac:dyDescent="0.3">
      <c r="A56" s="21" t="s">
        <v>10225</v>
      </c>
      <c r="B56" s="20" t="s">
        <v>10288</v>
      </c>
    </row>
    <row r="57" spans="1:2" x14ac:dyDescent="0.3">
      <c r="A57" s="21" t="s">
        <v>10226</v>
      </c>
      <c r="B57" s="20" t="s">
        <v>10227</v>
      </c>
    </row>
    <row r="58" spans="1:2" ht="28.8" x14ac:dyDescent="0.3">
      <c r="A58" s="21" t="s">
        <v>10228</v>
      </c>
      <c r="B58" s="20" t="s">
        <v>10229</v>
      </c>
    </row>
    <row r="59" spans="1:2" x14ac:dyDescent="0.3">
      <c r="A59" s="21" t="s">
        <v>10230</v>
      </c>
      <c r="B59" s="20" t="s">
        <v>10231</v>
      </c>
    </row>
    <row r="60" spans="1:2" x14ac:dyDescent="0.3">
      <c r="A60" s="21" t="s">
        <v>10232</v>
      </c>
      <c r="B60" s="20" t="s">
        <v>10233</v>
      </c>
    </row>
    <row r="61" spans="1:2" x14ac:dyDescent="0.3">
      <c r="A61" s="21" t="s">
        <v>10234</v>
      </c>
      <c r="B61" s="20" t="s">
        <v>10235</v>
      </c>
    </row>
    <row r="63" spans="1:2" ht="57.6" x14ac:dyDescent="0.3">
      <c r="A63" s="29" t="s">
        <v>10289</v>
      </c>
    </row>
    <row r="64" spans="1:2" ht="43.2" x14ac:dyDescent="0.3">
      <c r="A64" s="21" t="s">
        <v>10290</v>
      </c>
      <c r="B64" s="20" t="s">
        <v>10291</v>
      </c>
    </row>
    <row r="65" spans="1:2" ht="28.8" x14ac:dyDescent="0.3">
      <c r="A65" s="21" t="s">
        <v>10292</v>
      </c>
      <c r="B65" s="20" t="s">
        <v>10293</v>
      </c>
    </row>
    <row r="66" spans="1:2" ht="28.8" x14ac:dyDescent="0.3">
      <c r="A66" s="21" t="s">
        <v>10294</v>
      </c>
      <c r="B66" s="20" t="s">
        <v>10295</v>
      </c>
    </row>
    <row r="67" spans="1:2" ht="28.8" x14ac:dyDescent="0.3">
      <c r="A67" s="21" t="s">
        <v>10296</v>
      </c>
      <c r="B67" s="20" t="s">
        <v>10297</v>
      </c>
    </row>
    <row r="68" spans="1:2" x14ac:dyDescent="0.3">
      <c r="A68" s="21" t="s">
        <v>10298</v>
      </c>
      <c r="B68" s="20" t="s">
        <v>10299</v>
      </c>
    </row>
    <row r="69" spans="1:2" ht="28.8" x14ac:dyDescent="0.3">
      <c r="A69" s="21" t="s">
        <v>10300</v>
      </c>
      <c r="B69" s="20" t="s">
        <v>10301</v>
      </c>
    </row>
    <row r="70" spans="1:2" ht="28.8" x14ac:dyDescent="0.3">
      <c r="A70" s="21" t="s">
        <v>10220</v>
      </c>
      <c r="B70" s="20" t="s">
        <v>10302</v>
      </c>
    </row>
  </sheetData>
  <mergeCells count="10">
    <mergeCell ref="A40:B40"/>
    <mergeCell ref="A46:B46"/>
    <mergeCell ref="A51:B51"/>
    <mergeCell ref="A55:B55"/>
    <mergeCell ref="A1:B1"/>
    <mergeCell ref="A2:B2"/>
    <mergeCell ref="A4:B4"/>
    <mergeCell ref="A11:B11"/>
    <mergeCell ref="A25:B25"/>
    <mergeCell ref="A34:B3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96"/>
  <sheetViews>
    <sheetView workbookViewId="0">
      <pane ySplit="1" topLeftCell="A2349" activePane="bottomLeft" state="frozen"/>
      <selection pane="bottomLeft" activeCell="C894" sqref="C894"/>
    </sheetView>
  </sheetViews>
  <sheetFormatPr defaultColWidth="8.77734375" defaultRowHeight="14.4" x14ac:dyDescent="0.3"/>
  <cols>
    <col min="1" max="1" width="31.6640625" customWidth="1"/>
    <col min="2" max="2" width="15.77734375" customWidth="1"/>
    <col min="3" max="3" width="10" customWidth="1"/>
    <col min="4" max="4" width="35" customWidth="1"/>
    <col min="5" max="5" width="16.6640625" customWidth="1"/>
    <col min="6" max="10" width="14.109375" customWidth="1"/>
    <col min="11" max="11" width="36.6640625" customWidth="1"/>
    <col min="12" max="12" width="50" customWidth="1"/>
  </cols>
  <sheetData>
    <row r="1" spans="1:12" ht="28.8" x14ac:dyDescent="0.3">
      <c r="A1" s="6" t="s">
        <v>0</v>
      </c>
      <c r="B1" s="6" t="s">
        <v>6448</v>
      </c>
      <c r="C1" s="6" t="s">
        <v>6449</v>
      </c>
      <c r="D1" s="6" t="s">
        <v>1</v>
      </c>
      <c r="E1" s="6" t="s">
        <v>6450</v>
      </c>
      <c r="F1" s="6" t="s">
        <v>2</v>
      </c>
      <c r="G1" s="6" t="s">
        <v>6451</v>
      </c>
      <c r="H1" s="6" t="s">
        <v>6452</v>
      </c>
      <c r="I1" s="6" t="s">
        <v>6437</v>
      </c>
      <c r="J1" s="6" t="s">
        <v>6453</v>
      </c>
      <c r="K1" s="6" t="s">
        <v>4</v>
      </c>
      <c r="L1" s="6" t="s">
        <v>6454</v>
      </c>
    </row>
    <row r="2" spans="1:12" x14ac:dyDescent="0.3">
      <c r="A2" t="s">
        <v>696</v>
      </c>
      <c r="B2" s="5" t="s">
        <v>6831</v>
      </c>
      <c r="C2" t="s">
        <v>6456</v>
      </c>
      <c r="D2" t="s">
        <v>697</v>
      </c>
      <c r="E2" t="s">
        <v>698</v>
      </c>
      <c r="F2" s="1">
        <v>44590</v>
      </c>
      <c r="G2" t="s">
        <v>51</v>
      </c>
      <c r="H2" s="24">
        <v>3638</v>
      </c>
      <c r="I2" t="str">
        <f>IF(H2&lt;=0,"",LOOKUP(H2,'Regras e Parâmetros'!$B$4:$B$7,'Regras e Parâmetros'!$A$4:$A$7))</f>
        <v>Prata</v>
      </c>
      <c r="J2" t="s">
        <v>9790</v>
      </c>
      <c r="K2" t="s">
        <v>10028</v>
      </c>
      <c r="L2" t="s">
        <v>9792</v>
      </c>
    </row>
    <row r="3" spans="1:12" x14ac:dyDescent="0.3">
      <c r="A3" t="s">
        <v>7456</v>
      </c>
      <c r="B3" s="5" t="s">
        <v>7457</v>
      </c>
      <c r="C3" t="s">
        <v>6456</v>
      </c>
      <c r="D3" t="s">
        <v>1787</v>
      </c>
      <c r="E3" t="s">
        <v>1788</v>
      </c>
      <c r="F3" s="1">
        <v>44967</v>
      </c>
      <c r="G3" t="s">
        <v>100</v>
      </c>
      <c r="H3" s="24">
        <v>3321</v>
      </c>
      <c r="I3" t="str">
        <f>IF(H3&lt;=0,"",LOOKUP(H3,'Regras e Parâmetros'!$B$4:$B$7,'Regras e Parâmetros'!$A$4:$A$7))</f>
        <v>Prata</v>
      </c>
      <c r="J3" t="s">
        <v>9790</v>
      </c>
    </row>
    <row r="4" spans="1:12" x14ac:dyDescent="0.3">
      <c r="A4" t="s">
        <v>3624</v>
      </c>
      <c r="B4" s="5" t="s">
        <v>8434</v>
      </c>
      <c r="C4" t="s">
        <v>6456</v>
      </c>
      <c r="D4" t="s">
        <v>3625</v>
      </c>
      <c r="E4" t="s">
        <v>3626</v>
      </c>
      <c r="F4" s="1">
        <v>45601</v>
      </c>
      <c r="G4" t="s">
        <v>110</v>
      </c>
      <c r="H4" s="24">
        <v>75</v>
      </c>
      <c r="I4" t="str">
        <f>IF(H4&lt;=0,"",LOOKUP(H4,'Regras e Parâmetros'!$B$4:$B$7,'Regras e Parâmetros'!$A$4:$A$7))</f>
        <v>Bronze</v>
      </c>
      <c r="J4" t="s">
        <v>6747</v>
      </c>
      <c r="L4" t="s">
        <v>9792</v>
      </c>
    </row>
    <row r="5" spans="1:12" x14ac:dyDescent="0.3">
      <c r="A5" t="s">
        <v>3566</v>
      </c>
      <c r="B5" s="5" t="s">
        <v>8390</v>
      </c>
      <c r="C5" t="s">
        <v>6456</v>
      </c>
      <c r="D5" t="s">
        <v>5795</v>
      </c>
      <c r="E5" t="s">
        <v>8391</v>
      </c>
      <c r="F5" s="1">
        <v>45585</v>
      </c>
      <c r="G5" t="s">
        <v>100</v>
      </c>
      <c r="H5" s="24">
        <v>294</v>
      </c>
      <c r="I5" t="str">
        <f>IF(H5&lt;=0,"",LOOKUP(H5,'Regras e Parâmetros'!$B$4:$B$7,'Regras e Parâmetros'!$A$4:$A$7))</f>
        <v>Bronze</v>
      </c>
      <c r="J5" t="s">
        <v>9790</v>
      </c>
      <c r="K5" t="s">
        <v>9874</v>
      </c>
      <c r="L5" t="s">
        <v>9839</v>
      </c>
    </row>
    <row r="6" spans="1:12" x14ac:dyDescent="0.3">
      <c r="A6" t="s">
        <v>8575</v>
      </c>
      <c r="B6" s="5" t="s">
        <v>8576</v>
      </c>
      <c r="C6" t="s">
        <v>6456</v>
      </c>
      <c r="D6" t="s">
        <v>3853</v>
      </c>
      <c r="E6" t="s">
        <v>8577</v>
      </c>
      <c r="F6" s="1">
        <v>45682</v>
      </c>
      <c r="G6" t="s">
        <v>45</v>
      </c>
      <c r="H6" s="24">
        <v>0</v>
      </c>
      <c r="I6" t="str">
        <f>IF(H6&lt;=0,"",LOOKUP(H6,'Regras e Parâmetros'!$B$4:$B$7,'Regras e Parâmetros'!$A$4:$A$7))</f>
        <v/>
      </c>
      <c r="J6" t="s">
        <v>6456</v>
      </c>
      <c r="K6" t="s">
        <v>8</v>
      </c>
      <c r="L6" t="s">
        <v>9883</v>
      </c>
    </row>
    <row r="7" spans="1:12" x14ac:dyDescent="0.3">
      <c r="A7" t="s">
        <v>5162</v>
      </c>
      <c r="B7" s="5" t="s">
        <v>5163</v>
      </c>
      <c r="C7" t="s">
        <v>6456</v>
      </c>
      <c r="D7" t="s">
        <v>5164</v>
      </c>
      <c r="E7" t="s">
        <v>9337</v>
      </c>
      <c r="F7" s="1">
        <v>46059</v>
      </c>
      <c r="G7" t="s">
        <v>110</v>
      </c>
      <c r="H7" s="24">
        <v>0</v>
      </c>
      <c r="I7" t="str">
        <f>IF(H7&lt;=0,"",LOOKUP(H7,'Regras e Parâmetros'!$B$4:$B$7,'Regras e Parâmetros'!$A$4:$A$7))</f>
        <v/>
      </c>
      <c r="J7" t="s">
        <v>6456</v>
      </c>
      <c r="K7" t="s">
        <v>177</v>
      </c>
      <c r="L7" t="s">
        <v>9883</v>
      </c>
    </row>
    <row r="8" spans="1:12" x14ac:dyDescent="0.3">
      <c r="A8" t="s">
        <v>3470</v>
      </c>
      <c r="B8" s="5" t="s">
        <v>3471</v>
      </c>
      <c r="C8" t="s">
        <v>6456</v>
      </c>
      <c r="D8" t="s">
        <v>3472</v>
      </c>
      <c r="E8" t="s">
        <v>8348</v>
      </c>
      <c r="F8" s="1">
        <v>45558</v>
      </c>
      <c r="G8" t="s">
        <v>18</v>
      </c>
      <c r="H8" s="24">
        <v>785</v>
      </c>
      <c r="I8" t="str">
        <f>IF(H8&lt;=0,"",LOOKUP(H8,'Regras e Parâmetros'!$B$4:$B$7,'Regras e Parâmetros'!$A$4:$A$7))</f>
        <v>Bronze</v>
      </c>
      <c r="J8" t="s">
        <v>6456</v>
      </c>
    </row>
    <row r="9" spans="1:12" x14ac:dyDescent="0.3">
      <c r="A9" t="s">
        <v>474</v>
      </c>
      <c r="B9" s="5" t="s">
        <v>475</v>
      </c>
      <c r="C9" t="s">
        <v>6456</v>
      </c>
      <c r="D9" t="s">
        <v>476</v>
      </c>
      <c r="E9" t="s">
        <v>6713</v>
      </c>
      <c r="F9" s="1">
        <v>44510</v>
      </c>
      <c r="G9" t="s">
        <v>100</v>
      </c>
      <c r="H9" s="24">
        <v>508</v>
      </c>
      <c r="I9" t="str">
        <f>IF(H9&lt;=0,"",LOOKUP(H9,'Regras e Parâmetros'!$B$4:$B$7,'Regras e Parâmetros'!$A$4:$A$7))</f>
        <v>Bronze</v>
      </c>
      <c r="J9" t="s">
        <v>9790</v>
      </c>
      <c r="K9" t="s">
        <v>187</v>
      </c>
    </row>
    <row r="10" spans="1:12" x14ac:dyDescent="0.3">
      <c r="A10" t="s">
        <v>2950</v>
      </c>
      <c r="B10" s="5" t="s">
        <v>2951</v>
      </c>
      <c r="C10" t="s">
        <v>6456</v>
      </c>
      <c r="D10" t="s">
        <v>2952</v>
      </c>
      <c r="E10" t="s">
        <v>8094</v>
      </c>
      <c r="F10" s="1">
        <v>45379</v>
      </c>
      <c r="G10" t="s">
        <v>110</v>
      </c>
      <c r="H10" s="24">
        <v>305</v>
      </c>
      <c r="I10" t="str">
        <f>IF(H10&lt;=0,"",LOOKUP(H10,'Regras e Parâmetros'!$B$4:$B$7,'Regras e Parâmetros'!$A$4:$A$7))</f>
        <v>Bronze</v>
      </c>
      <c r="J10" t="s">
        <v>6456</v>
      </c>
    </row>
    <row r="11" spans="1:12" x14ac:dyDescent="0.3">
      <c r="A11" t="s">
        <v>4128</v>
      </c>
      <c r="B11" s="5" t="s">
        <v>8737</v>
      </c>
      <c r="C11" t="s">
        <v>6456</v>
      </c>
      <c r="D11" t="s">
        <v>4129</v>
      </c>
      <c r="E11" t="s">
        <v>8738</v>
      </c>
      <c r="F11" s="1">
        <v>45752</v>
      </c>
      <c r="G11" t="s">
        <v>110</v>
      </c>
      <c r="H11" s="24">
        <v>0</v>
      </c>
      <c r="I11" t="str">
        <f>IF(H11&lt;=0,"",LOOKUP(H11,'Regras e Parâmetros'!$B$4:$B$7,'Regras e Parâmetros'!$A$4:$A$7))</f>
        <v/>
      </c>
      <c r="J11" t="s">
        <v>6747</v>
      </c>
      <c r="L11" t="s">
        <v>9883</v>
      </c>
    </row>
    <row r="12" spans="1:12" x14ac:dyDescent="0.3">
      <c r="A12" t="s">
        <v>7401</v>
      </c>
      <c r="B12" s="5" t="s">
        <v>1681</v>
      </c>
      <c r="C12" t="s">
        <v>6456</v>
      </c>
      <c r="D12" t="s">
        <v>7402</v>
      </c>
      <c r="E12" t="s">
        <v>1682</v>
      </c>
      <c r="F12" s="1">
        <v>44937</v>
      </c>
      <c r="G12" t="s">
        <v>45</v>
      </c>
      <c r="H12" s="24">
        <v>3042</v>
      </c>
      <c r="I12" t="str">
        <f>IF(H12&lt;=0,"",LOOKUP(H12,'Regras e Parâmetros'!$B$4:$B$7,'Regras e Parâmetros'!$A$4:$A$7))</f>
        <v>Prata</v>
      </c>
      <c r="J12" t="s">
        <v>9790</v>
      </c>
      <c r="L12" t="s">
        <v>9792</v>
      </c>
    </row>
    <row r="13" spans="1:12" x14ac:dyDescent="0.3">
      <c r="A13" t="s">
        <v>784</v>
      </c>
      <c r="B13" s="5" t="s">
        <v>785</v>
      </c>
      <c r="C13" t="s">
        <v>6456</v>
      </c>
      <c r="D13" t="s">
        <v>786</v>
      </c>
      <c r="E13" t="s">
        <v>787</v>
      </c>
      <c r="F13" s="1">
        <v>44624</v>
      </c>
      <c r="G13" t="s">
        <v>51</v>
      </c>
      <c r="H13" s="24">
        <v>884</v>
      </c>
      <c r="I13" t="str">
        <f>IF(H13&lt;=0,"",LOOKUP(H13,'Regras e Parâmetros'!$B$4:$B$7,'Regras e Parâmetros'!$A$4:$A$7))</f>
        <v>Bronze</v>
      </c>
      <c r="J13" t="s">
        <v>9790</v>
      </c>
    </row>
    <row r="14" spans="1:12" x14ac:dyDescent="0.3">
      <c r="A14" t="s">
        <v>9309</v>
      </c>
      <c r="B14" s="5" t="s">
        <v>9310</v>
      </c>
      <c r="C14" t="s">
        <v>6456</v>
      </c>
      <c r="D14" t="s">
        <v>5124</v>
      </c>
      <c r="E14" t="s">
        <v>5125</v>
      </c>
      <c r="F14" s="1">
        <v>46051</v>
      </c>
      <c r="G14" t="s">
        <v>45</v>
      </c>
      <c r="H14" s="24">
        <v>0</v>
      </c>
      <c r="I14" t="str">
        <f>IF(H14&lt;=0,"",LOOKUP(H14,'Regras e Parâmetros'!$B$4:$B$7,'Regras e Parâmetros'!$A$4:$A$7))</f>
        <v/>
      </c>
      <c r="J14" t="s">
        <v>9790</v>
      </c>
      <c r="L14" t="s">
        <v>9883</v>
      </c>
    </row>
    <row r="15" spans="1:12" x14ac:dyDescent="0.3">
      <c r="A15" t="s">
        <v>8455</v>
      </c>
      <c r="B15" s="5" t="s">
        <v>8456</v>
      </c>
      <c r="C15" t="s">
        <v>6456</v>
      </c>
      <c r="D15" t="s">
        <v>3672</v>
      </c>
      <c r="E15" t="s">
        <v>8457</v>
      </c>
      <c r="F15" s="1">
        <v>45614</v>
      </c>
      <c r="G15" t="s">
        <v>18</v>
      </c>
      <c r="H15" s="24">
        <v>135</v>
      </c>
      <c r="I15" t="str">
        <f>IF(H15&lt;=0,"",LOOKUP(H15,'Regras e Parâmetros'!$B$4:$B$7,'Regras e Parâmetros'!$A$4:$A$7))</f>
        <v>Bronze</v>
      </c>
      <c r="J15" t="s">
        <v>9790</v>
      </c>
      <c r="K15" t="s">
        <v>187</v>
      </c>
    </row>
    <row r="16" spans="1:12" x14ac:dyDescent="0.3">
      <c r="A16" t="s">
        <v>3137</v>
      </c>
      <c r="B16" s="5" t="s">
        <v>8176</v>
      </c>
      <c r="C16" t="s">
        <v>6456</v>
      </c>
      <c r="E16" t="s">
        <v>3138</v>
      </c>
      <c r="F16" s="1">
        <v>45444</v>
      </c>
      <c r="G16" t="s">
        <v>18</v>
      </c>
      <c r="H16" s="24">
        <v>0</v>
      </c>
      <c r="I16" t="str">
        <f>IF(H16&lt;=0,"",LOOKUP(H16,'Regras e Parâmetros'!$B$4:$B$7,'Regras e Parâmetros'!$A$4:$A$7))</f>
        <v/>
      </c>
      <c r="J16" t="s">
        <v>9790</v>
      </c>
      <c r="L16" t="s">
        <v>9804</v>
      </c>
    </row>
    <row r="17" spans="1:12" x14ac:dyDescent="0.3">
      <c r="A17" t="s">
        <v>997</v>
      </c>
      <c r="B17" s="5" t="s">
        <v>7070</v>
      </c>
      <c r="C17" t="s">
        <v>6456</v>
      </c>
      <c r="D17" t="s">
        <v>998</v>
      </c>
      <c r="E17" t="s">
        <v>999</v>
      </c>
      <c r="F17" s="1">
        <v>44746</v>
      </c>
      <c r="G17" t="s">
        <v>22</v>
      </c>
      <c r="H17" s="24">
        <v>1423</v>
      </c>
      <c r="I17" t="str">
        <f>IF(H17&lt;=0,"",LOOKUP(H17,'Regras e Parâmetros'!$B$4:$B$7,'Regras e Parâmetros'!$A$4:$A$7))</f>
        <v>Bronze</v>
      </c>
      <c r="J17" t="s">
        <v>9790</v>
      </c>
      <c r="K17" t="s">
        <v>8</v>
      </c>
    </row>
    <row r="18" spans="1:12" x14ac:dyDescent="0.3">
      <c r="A18" t="s">
        <v>7713</v>
      </c>
      <c r="B18" s="5" t="s">
        <v>7714</v>
      </c>
      <c r="C18" t="s">
        <v>6456</v>
      </c>
      <c r="D18" t="s">
        <v>2237</v>
      </c>
      <c r="E18" t="s">
        <v>7715</v>
      </c>
      <c r="F18" s="1">
        <v>45121</v>
      </c>
      <c r="G18" t="s">
        <v>18</v>
      </c>
      <c r="H18" s="24">
        <v>1000</v>
      </c>
      <c r="I18" t="str">
        <f>IF(H18&lt;=0,"",LOOKUP(H18,'Regras e Parâmetros'!$B$4:$B$7,'Regras e Parâmetros'!$A$4:$A$7))</f>
        <v>Bronze</v>
      </c>
      <c r="J18" t="s">
        <v>6747</v>
      </c>
      <c r="L18" t="s">
        <v>9793</v>
      </c>
    </row>
    <row r="19" spans="1:12" x14ac:dyDescent="0.3">
      <c r="A19" t="s">
        <v>3093</v>
      </c>
      <c r="B19" s="5" t="s">
        <v>8156</v>
      </c>
      <c r="C19" t="s">
        <v>6456</v>
      </c>
      <c r="D19" t="s">
        <v>3094</v>
      </c>
      <c r="E19" t="s">
        <v>3095</v>
      </c>
      <c r="F19" s="1">
        <v>45425</v>
      </c>
      <c r="G19" t="s">
        <v>45</v>
      </c>
      <c r="H19" s="24">
        <v>972</v>
      </c>
      <c r="I19" t="str">
        <f>IF(H19&lt;=0,"",LOOKUP(H19,'Regras e Parâmetros'!$B$4:$B$7,'Regras e Parâmetros'!$A$4:$A$7))</f>
        <v>Bronze</v>
      </c>
      <c r="J19" t="s">
        <v>9790</v>
      </c>
      <c r="K19" t="s">
        <v>177</v>
      </c>
    </row>
    <row r="20" spans="1:12" x14ac:dyDescent="0.3">
      <c r="A20" t="s">
        <v>3105</v>
      </c>
      <c r="B20" s="5" t="s">
        <v>8164</v>
      </c>
      <c r="C20" t="s">
        <v>6456</v>
      </c>
      <c r="D20" t="s">
        <v>3106</v>
      </c>
      <c r="E20" t="s">
        <v>3107</v>
      </c>
      <c r="F20" s="1">
        <v>45428</v>
      </c>
      <c r="G20" t="s">
        <v>45</v>
      </c>
      <c r="H20" s="24">
        <v>0</v>
      </c>
      <c r="I20" t="str">
        <f>IF(H20&lt;=0,"",LOOKUP(H20,'Regras e Parâmetros'!$B$4:$B$7,'Regras e Parâmetros'!$A$4:$A$7))</f>
        <v/>
      </c>
      <c r="J20" t="s">
        <v>6456</v>
      </c>
      <c r="L20" t="s">
        <v>9792</v>
      </c>
    </row>
    <row r="21" spans="1:12" x14ac:dyDescent="0.3">
      <c r="A21" t="s">
        <v>8875</v>
      </c>
      <c r="B21" s="5" t="s">
        <v>4392</v>
      </c>
      <c r="C21" t="s">
        <v>6456</v>
      </c>
      <c r="D21" t="s">
        <v>4393</v>
      </c>
      <c r="E21" t="s">
        <v>8876</v>
      </c>
      <c r="F21" s="1">
        <v>45834</v>
      </c>
      <c r="G21" t="s">
        <v>18</v>
      </c>
      <c r="H21" s="24">
        <v>0</v>
      </c>
      <c r="I21" t="str">
        <f>IF(H21&lt;=0,"",LOOKUP(H21,'Regras e Parâmetros'!$B$4:$B$7,'Regras e Parâmetros'!$A$4:$A$7))</f>
        <v/>
      </c>
      <c r="J21" t="s">
        <v>6747</v>
      </c>
      <c r="L21" t="s">
        <v>9883</v>
      </c>
    </row>
    <row r="22" spans="1:12" x14ac:dyDescent="0.3">
      <c r="A22" t="s">
        <v>8873</v>
      </c>
      <c r="B22" s="5" t="s">
        <v>4390</v>
      </c>
      <c r="C22" t="s">
        <v>6456</v>
      </c>
      <c r="D22" t="s">
        <v>4391</v>
      </c>
      <c r="E22" t="s">
        <v>8874</v>
      </c>
      <c r="F22" s="1">
        <v>45834</v>
      </c>
      <c r="G22" t="s">
        <v>45</v>
      </c>
      <c r="H22" s="24">
        <v>0</v>
      </c>
      <c r="I22" t="str">
        <f>IF(H22&lt;=0,"",LOOKUP(H22,'Regras e Parâmetros'!$B$4:$B$7,'Regras e Parâmetros'!$A$4:$A$7))</f>
        <v/>
      </c>
      <c r="J22" t="s">
        <v>9790</v>
      </c>
      <c r="K22" t="s">
        <v>177</v>
      </c>
      <c r="L22" t="s">
        <v>9883</v>
      </c>
    </row>
    <row r="23" spans="1:12" x14ac:dyDescent="0.3">
      <c r="A23" t="s">
        <v>3440</v>
      </c>
      <c r="B23" s="5" t="s">
        <v>8335</v>
      </c>
      <c r="C23" t="s">
        <v>6456</v>
      </c>
      <c r="D23" t="s">
        <v>3441</v>
      </c>
      <c r="E23" t="s">
        <v>8336</v>
      </c>
      <c r="F23" s="1">
        <v>45548</v>
      </c>
      <c r="G23" t="s">
        <v>45</v>
      </c>
      <c r="H23" s="24">
        <v>88</v>
      </c>
      <c r="I23" t="str">
        <f>IF(H23&lt;=0,"",LOOKUP(H23,'Regras e Parâmetros'!$B$4:$B$7,'Regras e Parâmetros'!$A$4:$A$7))</f>
        <v>Bronze</v>
      </c>
      <c r="J23" t="s">
        <v>6747</v>
      </c>
      <c r="K23" t="s">
        <v>72</v>
      </c>
    </row>
    <row r="24" spans="1:12" x14ac:dyDescent="0.3">
      <c r="A24" t="s">
        <v>3091</v>
      </c>
      <c r="B24" s="5" t="s">
        <v>8142</v>
      </c>
      <c r="C24" t="s">
        <v>6456</v>
      </c>
      <c r="D24" t="s">
        <v>3092</v>
      </c>
      <c r="E24" t="s">
        <v>8143</v>
      </c>
      <c r="F24" s="1">
        <v>45413</v>
      </c>
      <c r="G24" t="s">
        <v>100</v>
      </c>
      <c r="H24" s="24">
        <v>200</v>
      </c>
      <c r="I24" t="str">
        <f>IF(H24&lt;=0,"",LOOKUP(H24,'Regras e Parâmetros'!$B$4:$B$7,'Regras e Parâmetros'!$A$4:$A$7))</f>
        <v>Bronze</v>
      </c>
      <c r="J24" t="s">
        <v>9790</v>
      </c>
      <c r="L24" t="s">
        <v>9791</v>
      </c>
    </row>
    <row r="25" spans="1:12" x14ac:dyDescent="0.3">
      <c r="A25" t="s">
        <v>7844</v>
      </c>
      <c r="B25" s="5" t="s">
        <v>7845</v>
      </c>
      <c r="C25" t="s">
        <v>6456</v>
      </c>
      <c r="D25" t="s">
        <v>2475</v>
      </c>
      <c r="E25" t="s">
        <v>7846</v>
      </c>
      <c r="F25" s="1">
        <v>45191</v>
      </c>
      <c r="G25" t="s">
        <v>51</v>
      </c>
      <c r="H25" s="24">
        <v>97</v>
      </c>
      <c r="I25" t="str">
        <f>IF(H25&lt;=0,"",LOOKUP(H25,'Regras e Parâmetros'!$B$4:$B$7,'Regras e Parâmetros'!$A$4:$A$7))</f>
        <v>Bronze</v>
      </c>
      <c r="J25" t="s">
        <v>6456</v>
      </c>
    </row>
    <row r="26" spans="1:12" x14ac:dyDescent="0.3">
      <c r="A26" t="s">
        <v>2747</v>
      </c>
      <c r="B26" s="5" t="s">
        <v>1645</v>
      </c>
      <c r="C26" t="s">
        <v>6456</v>
      </c>
      <c r="D26" t="s">
        <v>1646</v>
      </c>
      <c r="E26" t="s">
        <v>1647</v>
      </c>
      <c r="F26" s="1">
        <v>44926</v>
      </c>
      <c r="G26" t="s">
        <v>51</v>
      </c>
      <c r="H26" s="24">
        <v>1823</v>
      </c>
      <c r="I26" t="str">
        <f>IF(H26&lt;=0,"",LOOKUP(H26,'Regras e Parâmetros'!$B$4:$B$7,'Regras e Parâmetros'!$A$4:$A$7))</f>
        <v>Prata</v>
      </c>
      <c r="J26" t="s">
        <v>6747</v>
      </c>
    </row>
    <row r="27" spans="1:12" x14ac:dyDescent="0.3">
      <c r="A27" t="s">
        <v>2747</v>
      </c>
      <c r="B27" s="5" t="s">
        <v>2748</v>
      </c>
      <c r="C27" t="s">
        <v>6456</v>
      </c>
      <c r="D27" t="s">
        <v>3499</v>
      </c>
      <c r="E27" t="s">
        <v>7972</v>
      </c>
      <c r="F27" s="1">
        <v>45261</v>
      </c>
      <c r="G27" t="s">
        <v>22</v>
      </c>
      <c r="H27" s="24">
        <v>1414</v>
      </c>
      <c r="I27" t="str">
        <f>IF(H27&lt;=0,"",LOOKUP(H27,'Regras e Parâmetros'!$B$4:$B$7,'Regras e Parâmetros'!$A$4:$A$7))</f>
        <v>Bronze</v>
      </c>
      <c r="J27" t="s">
        <v>6456</v>
      </c>
      <c r="K27" t="s">
        <v>9852</v>
      </c>
      <c r="L27" t="s">
        <v>9791</v>
      </c>
    </row>
    <row r="28" spans="1:12" x14ac:dyDescent="0.3">
      <c r="A28" t="s">
        <v>1000</v>
      </c>
      <c r="B28" s="5" t="s">
        <v>7133</v>
      </c>
      <c r="C28" t="s">
        <v>6456</v>
      </c>
      <c r="D28" t="s">
        <v>1001</v>
      </c>
      <c r="E28" t="s">
        <v>7134</v>
      </c>
      <c r="F28" s="1">
        <v>44800</v>
      </c>
      <c r="G28" t="s">
        <v>22</v>
      </c>
      <c r="H28" s="24">
        <v>5717</v>
      </c>
      <c r="I28" t="str">
        <f>IF(H28&lt;=0,"",LOOKUP(H28,'Regras e Parâmetros'!$B$4:$B$7,'Regras e Parâmetros'!$A$4:$A$7))</f>
        <v>Ouro</v>
      </c>
      <c r="J28" t="s">
        <v>9790</v>
      </c>
    </row>
    <row r="29" spans="1:12" x14ac:dyDescent="0.3">
      <c r="A29" t="s">
        <v>4502</v>
      </c>
      <c r="B29" s="5" t="s">
        <v>8945</v>
      </c>
      <c r="C29" t="s">
        <v>6456</v>
      </c>
      <c r="D29" t="s">
        <v>4503</v>
      </c>
      <c r="E29" t="s">
        <v>4504</v>
      </c>
      <c r="F29" s="1">
        <v>45865</v>
      </c>
      <c r="G29" t="s">
        <v>51</v>
      </c>
      <c r="H29" s="24">
        <v>0</v>
      </c>
      <c r="I29" t="str">
        <f>IF(H29&lt;=0,"",LOOKUP(H29,'Regras e Parâmetros'!$B$4:$B$7,'Regras e Parâmetros'!$A$4:$A$7))</f>
        <v/>
      </c>
      <c r="J29" t="s">
        <v>6456</v>
      </c>
      <c r="L29" t="s">
        <v>9886</v>
      </c>
    </row>
    <row r="30" spans="1:12" x14ac:dyDescent="0.3">
      <c r="A30" t="s">
        <v>3139</v>
      </c>
      <c r="B30" s="5" t="s">
        <v>8177</v>
      </c>
      <c r="C30" t="s">
        <v>6456</v>
      </c>
      <c r="D30" t="s">
        <v>3140</v>
      </c>
      <c r="E30" t="s">
        <v>3141</v>
      </c>
      <c r="F30" s="1">
        <v>45444</v>
      </c>
      <c r="G30" t="s">
        <v>51</v>
      </c>
      <c r="H30" s="24">
        <v>5596</v>
      </c>
      <c r="I30" t="str">
        <f>IF(H30&lt;=0,"",LOOKUP(H30,'Regras e Parâmetros'!$B$4:$B$7,'Regras e Parâmetros'!$A$4:$A$7))</f>
        <v>Ouro</v>
      </c>
      <c r="J30" t="s">
        <v>6747</v>
      </c>
    </row>
    <row r="31" spans="1:12" x14ac:dyDescent="0.3">
      <c r="A31" t="s">
        <v>7205</v>
      </c>
      <c r="B31" s="5" t="s">
        <v>7206</v>
      </c>
      <c r="C31" t="s">
        <v>6456</v>
      </c>
      <c r="D31" t="s">
        <v>1358</v>
      </c>
      <c r="E31" t="s">
        <v>7207</v>
      </c>
      <c r="F31" s="1">
        <v>44845</v>
      </c>
      <c r="G31" t="s">
        <v>45</v>
      </c>
      <c r="H31" s="24">
        <v>1123</v>
      </c>
      <c r="I31" t="str">
        <f>IF(H31&lt;=0,"",LOOKUP(H31,'Regras e Parâmetros'!$B$4:$B$7,'Regras e Parâmetros'!$A$4:$A$7))</f>
        <v>Bronze</v>
      </c>
      <c r="J31" t="s">
        <v>6456</v>
      </c>
      <c r="K31" t="s">
        <v>72</v>
      </c>
    </row>
    <row r="32" spans="1:12" x14ac:dyDescent="0.3">
      <c r="A32" t="s">
        <v>2971</v>
      </c>
      <c r="B32" s="5" t="s">
        <v>8101</v>
      </c>
      <c r="C32" t="s">
        <v>6456</v>
      </c>
      <c r="D32" t="s">
        <v>2972</v>
      </c>
      <c r="E32" t="s">
        <v>2973</v>
      </c>
      <c r="F32" s="1">
        <v>45382</v>
      </c>
      <c r="G32" t="s">
        <v>22</v>
      </c>
      <c r="H32" s="24">
        <v>2700</v>
      </c>
      <c r="I32" t="str">
        <f>IF(H32&lt;=0,"",LOOKUP(H32,'Regras e Parâmetros'!$B$4:$B$7,'Regras e Parâmetros'!$A$4:$A$7))</f>
        <v>Prata</v>
      </c>
      <c r="J32" t="s">
        <v>6747</v>
      </c>
      <c r="K32" t="s">
        <v>8</v>
      </c>
      <c r="L32" t="s">
        <v>9793</v>
      </c>
    </row>
    <row r="33" spans="1:12" x14ac:dyDescent="0.3">
      <c r="A33" t="s">
        <v>3145</v>
      </c>
      <c r="B33" s="5" t="s">
        <v>8178</v>
      </c>
      <c r="C33" t="s">
        <v>6456</v>
      </c>
      <c r="D33" t="s">
        <v>3146</v>
      </c>
      <c r="E33" t="s">
        <v>8179</v>
      </c>
      <c r="F33" s="1">
        <v>45444</v>
      </c>
      <c r="G33" t="s">
        <v>110</v>
      </c>
      <c r="H33" s="24">
        <v>1298</v>
      </c>
      <c r="I33" t="str">
        <f>IF(H33&lt;=0,"",LOOKUP(H33,'Regras e Parâmetros'!$B$4:$B$7,'Regras e Parâmetros'!$A$4:$A$7))</f>
        <v>Bronze</v>
      </c>
      <c r="J33" t="s">
        <v>9790</v>
      </c>
      <c r="L33" t="s">
        <v>9791</v>
      </c>
    </row>
    <row r="34" spans="1:12" x14ac:dyDescent="0.3">
      <c r="A34" t="s">
        <v>67</v>
      </c>
      <c r="B34" s="5" t="s">
        <v>6488</v>
      </c>
      <c r="C34" t="s">
        <v>6456</v>
      </c>
      <c r="D34" t="s">
        <v>68</v>
      </c>
      <c r="E34" t="s">
        <v>69</v>
      </c>
      <c r="F34" s="1">
        <v>44367</v>
      </c>
      <c r="G34" t="s">
        <v>110</v>
      </c>
      <c r="H34" s="24">
        <v>2373</v>
      </c>
      <c r="I34" t="str">
        <f>IF(H34&lt;=0,"",LOOKUP(H34,'Regras e Parâmetros'!$B$4:$B$7,'Regras e Parâmetros'!$A$4:$A$7))</f>
        <v>Prata</v>
      </c>
      <c r="J34" t="s">
        <v>6456</v>
      </c>
    </row>
    <row r="35" spans="1:12" x14ac:dyDescent="0.3">
      <c r="A35" t="s">
        <v>806</v>
      </c>
      <c r="B35" s="5" t="s">
        <v>807</v>
      </c>
      <c r="C35" t="s">
        <v>6456</v>
      </c>
      <c r="D35" t="s">
        <v>808</v>
      </c>
      <c r="E35" t="s">
        <v>6901</v>
      </c>
      <c r="F35" s="1">
        <v>44632</v>
      </c>
      <c r="G35" t="s">
        <v>22</v>
      </c>
      <c r="H35" s="24">
        <v>3100</v>
      </c>
      <c r="I35" t="str">
        <f>IF(H35&lt;=0,"",LOOKUP(H35,'Regras e Parâmetros'!$B$4:$B$7,'Regras e Parâmetros'!$A$4:$A$7))</f>
        <v>Prata</v>
      </c>
      <c r="J35" t="s">
        <v>6456</v>
      </c>
      <c r="L35" t="s">
        <v>9793</v>
      </c>
    </row>
    <row r="36" spans="1:12" x14ac:dyDescent="0.3">
      <c r="A36" t="s">
        <v>6886</v>
      </c>
      <c r="B36" s="5" t="s">
        <v>6887</v>
      </c>
      <c r="C36" t="s">
        <v>6456</v>
      </c>
      <c r="D36" t="s">
        <v>778</v>
      </c>
      <c r="E36" t="s">
        <v>779</v>
      </c>
      <c r="F36" s="1">
        <v>44621</v>
      </c>
      <c r="G36" t="s">
        <v>18</v>
      </c>
      <c r="H36" s="24">
        <v>658</v>
      </c>
      <c r="I36" t="str">
        <f>IF(H36&lt;=0,"",LOOKUP(H36,'Regras e Parâmetros'!$B$4:$B$7,'Regras e Parâmetros'!$A$4:$A$7))</f>
        <v>Bronze</v>
      </c>
      <c r="J36" t="s">
        <v>6747</v>
      </c>
      <c r="L36" t="s">
        <v>9791</v>
      </c>
    </row>
    <row r="37" spans="1:12" x14ac:dyDescent="0.3">
      <c r="A37" t="s">
        <v>2561</v>
      </c>
      <c r="B37" s="5" t="s">
        <v>7896</v>
      </c>
      <c r="C37" t="s">
        <v>6456</v>
      </c>
      <c r="D37" t="s">
        <v>2562</v>
      </c>
      <c r="E37" t="s">
        <v>7897</v>
      </c>
      <c r="F37" s="1">
        <v>45217</v>
      </c>
      <c r="G37" t="s">
        <v>51</v>
      </c>
      <c r="H37" s="24">
        <v>771</v>
      </c>
      <c r="I37" t="str">
        <f>IF(H37&lt;=0,"",LOOKUP(H37,'Regras e Parâmetros'!$B$4:$B$7,'Regras e Parâmetros'!$A$4:$A$7))</f>
        <v>Bronze</v>
      </c>
      <c r="J37" t="s">
        <v>6747</v>
      </c>
    </row>
    <row r="38" spans="1:12" x14ac:dyDescent="0.3">
      <c r="A38" t="s">
        <v>4517</v>
      </c>
      <c r="B38" s="5" t="s">
        <v>8119</v>
      </c>
      <c r="C38" t="s">
        <v>6456</v>
      </c>
      <c r="D38" t="s">
        <v>3017</v>
      </c>
      <c r="E38" t="s">
        <v>3018</v>
      </c>
      <c r="F38" s="1">
        <v>45397</v>
      </c>
      <c r="G38" t="s">
        <v>51</v>
      </c>
      <c r="H38" s="24">
        <v>2712</v>
      </c>
      <c r="I38" t="str">
        <f>IF(H38&lt;=0,"",LOOKUP(H38,'Regras e Parâmetros'!$B$4:$B$7,'Regras e Parâmetros'!$A$4:$A$7))</f>
        <v>Prata</v>
      </c>
      <c r="J38" t="s">
        <v>6747</v>
      </c>
      <c r="L38" t="s">
        <v>9792</v>
      </c>
    </row>
    <row r="39" spans="1:12" x14ac:dyDescent="0.3">
      <c r="A39" t="s">
        <v>4517</v>
      </c>
      <c r="B39" s="5" t="s">
        <v>9954</v>
      </c>
      <c r="C39" t="s">
        <v>6456</v>
      </c>
      <c r="D39" t="s">
        <v>4518</v>
      </c>
      <c r="E39" t="s">
        <v>4519</v>
      </c>
      <c r="F39" s="1">
        <v>45872</v>
      </c>
      <c r="G39" t="s">
        <v>110</v>
      </c>
      <c r="H39" s="24">
        <v>0</v>
      </c>
      <c r="I39" t="str">
        <f>IF(H39&lt;=0,"",LOOKUP(H39,'Regras e Parâmetros'!$B$4:$B$7,'Regras e Parâmetros'!$A$4:$A$7))</f>
        <v/>
      </c>
      <c r="J39" t="s">
        <v>9790</v>
      </c>
      <c r="K39" t="s">
        <v>10059</v>
      </c>
      <c r="L39" t="s">
        <v>9886</v>
      </c>
    </row>
    <row r="40" spans="1:12" x14ac:dyDescent="0.3">
      <c r="A40" t="s">
        <v>1690</v>
      </c>
      <c r="B40" s="5" t="s">
        <v>1691</v>
      </c>
      <c r="C40" t="s">
        <v>6456</v>
      </c>
      <c r="D40" t="s">
        <v>1692</v>
      </c>
      <c r="E40" t="s">
        <v>7387</v>
      </c>
      <c r="F40" s="1">
        <v>44927</v>
      </c>
      <c r="G40" t="s">
        <v>18</v>
      </c>
      <c r="H40" s="24">
        <v>1105</v>
      </c>
      <c r="I40" t="str">
        <f>IF(H40&lt;=0,"",LOOKUP(H40,'Regras e Parâmetros'!$B$4:$B$7,'Regras e Parâmetros'!$A$4:$A$7))</f>
        <v>Bronze</v>
      </c>
      <c r="J40" t="s">
        <v>9790</v>
      </c>
      <c r="L40" t="s">
        <v>9791</v>
      </c>
    </row>
    <row r="41" spans="1:12" x14ac:dyDescent="0.3">
      <c r="A41" t="s">
        <v>319</v>
      </c>
      <c r="B41" s="5" t="s">
        <v>320</v>
      </c>
      <c r="C41" t="s">
        <v>6456</v>
      </c>
      <c r="D41" t="s">
        <v>321</v>
      </c>
      <c r="E41" t="s">
        <v>6622</v>
      </c>
      <c r="F41" s="1">
        <v>44452</v>
      </c>
      <c r="G41" t="s">
        <v>45</v>
      </c>
      <c r="H41" s="24">
        <v>3196</v>
      </c>
      <c r="I41" t="str">
        <f>IF(H41&lt;=0,"",LOOKUP(H41,'Regras e Parâmetros'!$B$4:$B$7,'Regras e Parâmetros'!$A$4:$A$7))</f>
        <v>Prata</v>
      </c>
      <c r="J41" t="s">
        <v>6456</v>
      </c>
    </row>
    <row r="42" spans="1:12" x14ac:dyDescent="0.3">
      <c r="A42" t="s">
        <v>398</v>
      </c>
      <c r="B42" s="5" t="s">
        <v>6667</v>
      </c>
      <c r="C42" t="s">
        <v>6456</v>
      </c>
      <c r="D42" t="s">
        <v>399</v>
      </c>
      <c r="E42" t="s">
        <v>400</v>
      </c>
      <c r="F42" s="1">
        <v>44484</v>
      </c>
      <c r="G42" t="s">
        <v>18</v>
      </c>
      <c r="H42" s="24">
        <v>692</v>
      </c>
      <c r="I42" t="str">
        <f>IF(H42&lt;=0,"",LOOKUP(H42,'Regras e Parâmetros'!$B$4:$B$7,'Regras e Parâmetros'!$A$4:$A$7))</f>
        <v>Bronze</v>
      </c>
      <c r="J42" t="s">
        <v>6456</v>
      </c>
      <c r="L42" t="s">
        <v>9792</v>
      </c>
    </row>
    <row r="43" spans="1:12" x14ac:dyDescent="0.3">
      <c r="A43" t="s">
        <v>5039</v>
      </c>
      <c r="B43" s="5" t="s">
        <v>9265</v>
      </c>
      <c r="C43" t="s">
        <v>6456</v>
      </c>
      <c r="D43" t="s">
        <v>5040</v>
      </c>
      <c r="E43" t="s">
        <v>9266</v>
      </c>
      <c r="F43" s="1">
        <v>46025</v>
      </c>
      <c r="G43" t="s">
        <v>45</v>
      </c>
      <c r="H43" s="24">
        <v>0</v>
      </c>
      <c r="I43" t="str">
        <f>IF(H43&lt;=0,"",LOOKUP(H43,'Regras e Parâmetros'!$B$4:$B$7,'Regras e Parâmetros'!$A$4:$A$7))</f>
        <v/>
      </c>
      <c r="J43" t="s">
        <v>9790</v>
      </c>
      <c r="L43" t="s">
        <v>9883</v>
      </c>
    </row>
    <row r="44" spans="1:12" x14ac:dyDescent="0.3">
      <c r="A44" t="s">
        <v>6766</v>
      </c>
      <c r="B44" s="5" t="s">
        <v>584</v>
      </c>
      <c r="C44" t="s">
        <v>6456</v>
      </c>
      <c r="D44" t="s">
        <v>585</v>
      </c>
      <c r="E44" t="s">
        <v>6767</v>
      </c>
      <c r="F44" s="1">
        <v>44547</v>
      </c>
      <c r="G44" t="s">
        <v>110</v>
      </c>
      <c r="H44" s="24">
        <v>0</v>
      </c>
      <c r="I44" t="str">
        <f>IF(H44&lt;=0,"",LOOKUP(H44,'Regras e Parâmetros'!$B$4:$B$7,'Regras e Parâmetros'!$A$4:$A$7))</f>
        <v/>
      </c>
      <c r="J44" t="s">
        <v>9790</v>
      </c>
      <c r="K44" t="s">
        <v>187</v>
      </c>
    </row>
    <row r="45" spans="1:12" x14ac:dyDescent="0.3">
      <c r="A45" t="s">
        <v>4458</v>
      </c>
      <c r="B45" s="5" t="s">
        <v>8915</v>
      </c>
      <c r="C45" t="s">
        <v>6456</v>
      </c>
      <c r="D45" t="s">
        <v>4459</v>
      </c>
      <c r="E45" t="s">
        <v>4460</v>
      </c>
      <c r="F45" s="1">
        <v>45856</v>
      </c>
      <c r="G45" t="s">
        <v>110</v>
      </c>
      <c r="H45" s="24">
        <v>0</v>
      </c>
      <c r="I45" t="str">
        <f>IF(H45&lt;=0,"",LOOKUP(H45,'Regras e Parâmetros'!$B$4:$B$7,'Regras e Parâmetros'!$A$4:$A$7))</f>
        <v/>
      </c>
      <c r="J45" t="s">
        <v>6747</v>
      </c>
      <c r="K45" t="s">
        <v>44</v>
      </c>
      <c r="L45" t="s">
        <v>9883</v>
      </c>
    </row>
    <row r="46" spans="1:12" x14ac:dyDescent="0.3">
      <c r="A46" t="s">
        <v>8540</v>
      </c>
      <c r="B46" s="5" t="s">
        <v>8541</v>
      </c>
      <c r="C46" t="s">
        <v>6456</v>
      </c>
      <c r="D46" t="s">
        <v>3807</v>
      </c>
      <c r="E46" t="s">
        <v>8542</v>
      </c>
      <c r="F46" s="1">
        <v>45665</v>
      </c>
      <c r="G46" t="s">
        <v>45</v>
      </c>
      <c r="H46" s="24">
        <v>0</v>
      </c>
      <c r="I46" t="str">
        <f>IF(H46&lt;=0,"",LOOKUP(H46,'Regras e Parâmetros'!$B$4:$B$7,'Regras e Parâmetros'!$A$4:$A$7))</f>
        <v/>
      </c>
      <c r="J46" t="s">
        <v>6747</v>
      </c>
      <c r="K46" t="s">
        <v>33</v>
      </c>
      <c r="L46" t="s">
        <v>9883</v>
      </c>
    </row>
    <row r="47" spans="1:12" x14ac:dyDescent="0.3">
      <c r="A47" t="s">
        <v>6902</v>
      </c>
      <c r="B47" s="5" t="s">
        <v>6903</v>
      </c>
      <c r="C47" t="s">
        <v>6456</v>
      </c>
      <c r="D47" t="s">
        <v>813</v>
      </c>
      <c r="E47" t="s">
        <v>814</v>
      </c>
      <c r="F47" s="1">
        <v>44634</v>
      </c>
      <c r="G47" t="s">
        <v>51</v>
      </c>
      <c r="H47" s="24">
        <v>290</v>
      </c>
      <c r="I47" t="str">
        <f>IF(H47&lt;=0,"",LOOKUP(H47,'Regras e Parâmetros'!$B$4:$B$7,'Regras e Parâmetros'!$A$4:$A$7))</f>
        <v>Bronze</v>
      </c>
      <c r="J47" t="s">
        <v>6456</v>
      </c>
    </row>
    <row r="48" spans="1:12" x14ac:dyDescent="0.3">
      <c r="A48" t="s">
        <v>6902</v>
      </c>
      <c r="B48" s="5" t="s">
        <v>8314</v>
      </c>
      <c r="C48" t="s">
        <v>6456</v>
      </c>
      <c r="D48" t="s">
        <v>3392</v>
      </c>
      <c r="E48" t="s">
        <v>8315</v>
      </c>
      <c r="F48" s="1">
        <v>45528</v>
      </c>
      <c r="G48" t="s">
        <v>18</v>
      </c>
      <c r="H48" s="24">
        <v>3041</v>
      </c>
      <c r="I48" t="str">
        <f>IF(H48&lt;=0,"",LOOKUP(H48,'Regras e Parâmetros'!$B$4:$B$7,'Regras e Parâmetros'!$A$4:$A$7))</f>
        <v>Prata</v>
      </c>
      <c r="J48" t="s">
        <v>9790</v>
      </c>
    </row>
    <row r="49" spans="1:12" x14ac:dyDescent="0.3">
      <c r="A49" t="s">
        <v>2320</v>
      </c>
      <c r="B49" s="5" t="s">
        <v>2321</v>
      </c>
      <c r="C49" t="s">
        <v>6747</v>
      </c>
      <c r="D49" t="s">
        <v>2322</v>
      </c>
      <c r="E49" t="s">
        <v>7766</v>
      </c>
      <c r="F49" s="1">
        <v>45142</v>
      </c>
      <c r="G49" t="s">
        <v>110</v>
      </c>
      <c r="H49" s="24">
        <v>1477</v>
      </c>
      <c r="I49" t="str">
        <f>IF(H49&lt;=0,"",LOOKUP(H49,'Regras e Parâmetros'!$B$4:$B$7,'Regras e Parâmetros'!$A$4:$A$7))</f>
        <v>Bronze</v>
      </c>
      <c r="J49" t="s">
        <v>9790</v>
      </c>
      <c r="K49" t="s">
        <v>33</v>
      </c>
      <c r="L49" t="s">
        <v>10240</v>
      </c>
    </row>
    <row r="50" spans="1:12" x14ac:dyDescent="0.3">
      <c r="A50" t="s">
        <v>2975</v>
      </c>
      <c r="B50" s="5" t="s">
        <v>2976</v>
      </c>
      <c r="C50" t="s">
        <v>6456</v>
      </c>
      <c r="D50" t="s">
        <v>2977</v>
      </c>
      <c r="E50" t="s">
        <v>8104</v>
      </c>
      <c r="F50" s="1">
        <v>45383</v>
      </c>
      <c r="G50" t="s">
        <v>51</v>
      </c>
      <c r="H50" s="24">
        <v>0</v>
      </c>
      <c r="I50" t="str">
        <f>IF(H50&lt;=0,"",LOOKUP(H50,'Regras e Parâmetros'!$B$4:$B$7,'Regras e Parâmetros'!$A$4:$A$7))</f>
        <v/>
      </c>
      <c r="J50" t="s">
        <v>9790</v>
      </c>
    </row>
    <row r="51" spans="1:12" x14ac:dyDescent="0.3">
      <c r="A51" t="s">
        <v>6461</v>
      </c>
      <c r="B51" s="5" t="s">
        <v>6462</v>
      </c>
      <c r="C51" t="s">
        <v>6456</v>
      </c>
      <c r="D51" t="s">
        <v>7</v>
      </c>
      <c r="E51" t="s">
        <v>6463</v>
      </c>
      <c r="F51" s="1">
        <v>44349</v>
      </c>
      <c r="G51" t="s">
        <v>45</v>
      </c>
      <c r="H51" s="24">
        <v>2203</v>
      </c>
      <c r="I51" t="str">
        <f>IF(H51&lt;=0,"",LOOKUP(H51,'Regras e Parâmetros'!$B$4:$B$7,'Regras e Parâmetros'!$A$4:$A$7))</f>
        <v>Prata</v>
      </c>
      <c r="J51" t="s">
        <v>9790</v>
      </c>
      <c r="K51" t="s">
        <v>8</v>
      </c>
    </row>
    <row r="52" spans="1:12" x14ac:dyDescent="0.3">
      <c r="A52" t="s">
        <v>5517</v>
      </c>
      <c r="B52" s="5" t="s">
        <v>5518</v>
      </c>
      <c r="C52" t="s">
        <v>6456</v>
      </c>
      <c r="D52" t="s">
        <v>5519</v>
      </c>
      <c r="E52" t="s">
        <v>9529</v>
      </c>
      <c r="F52" s="1">
        <v>46163</v>
      </c>
      <c r="G52" t="s">
        <v>51</v>
      </c>
      <c r="H52" s="24">
        <v>0</v>
      </c>
      <c r="I52" t="str">
        <f>IF(H52&lt;=0,"",LOOKUP(H52,'Regras e Parâmetros'!$B$4:$B$7,'Regras e Parâmetros'!$A$4:$A$7))</f>
        <v/>
      </c>
      <c r="J52" t="s">
        <v>6456</v>
      </c>
      <c r="L52" t="s">
        <v>9883</v>
      </c>
    </row>
    <row r="53" spans="1:12" x14ac:dyDescent="0.3">
      <c r="A53" t="s">
        <v>3644</v>
      </c>
      <c r="B53" s="5" t="s">
        <v>8448</v>
      </c>
      <c r="C53" t="s">
        <v>6456</v>
      </c>
      <c r="D53" t="s">
        <v>3645</v>
      </c>
      <c r="E53" t="s">
        <v>8449</v>
      </c>
      <c r="F53" s="1">
        <v>45608</v>
      </c>
      <c r="G53" t="s">
        <v>45</v>
      </c>
      <c r="H53" s="24">
        <v>519</v>
      </c>
      <c r="I53" t="str">
        <f>IF(H53&lt;=0,"",LOOKUP(H53,'Regras e Parâmetros'!$B$4:$B$7,'Regras e Parâmetros'!$A$4:$A$7))</f>
        <v>Bronze</v>
      </c>
      <c r="J53" t="s">
        <v>6747</v>
      </c>
    </row>
    <row r="54" spans="1:12" x14ac:dyDescent="0.3">
      <c r="A54" t="s">
        <v>8124</v>
      </c>
      <c r="B54" s="5" t="s">
        <v>3023</v>
      </c>
      <c r="C54" t="s">
        <v>6456</v>
      </c>
      <c r="D54" t="s">
        <v>3024</v>
      </c>
      <c r="E54" t="s">
        <v>3025</v>
      </c>
      <c r="F54" s="1">
        <v>45399</v>
      </c>
      <c r="G54" t="s">
        <v>18</v>
      </c>
      <c r="H54" s="24">
        <v>639</v>
      </c>
      <c r="I54" t="str">
        <f>IF(H54&lt;=0,"",LOOKUP(H54,'Regras e Parâmetros'!$B$4:$B$7,'Regras e Parâmetros'!$A$4:$A$7))</f>
        <v>Bronze</v>
      </c>
      <c r="J54" t="s">
        <v>9790</v>
      </c>
    </row>
    <row r="55" spans="1:12" x14ac:dyDescent="0.3">
      <c r="A55" t="s">
        <v>4803</v>
      </c>
      <c r="B55" s="5" t="s">
        <v>4804</v>
      </c>
      <c r="C55" t="s">
        <v>6456</v>
      </c>
      <c r="D55" t="s">
        <v>5987</v>
      </c>
      <c r="E55" t="s">
        <v>5988</v>
      </c>
      <c r="F55" s="1">
        <v>45954</v>
      </c>
      <c r="G55" t="s">
        <v>100</v>
      </c>
      <c r="H55" s="24">
        <v>0</v>
      </c>
      <c r="I55" t="str">
        <f>IF(H55&lt;=0,"",LOOKUP(H55,'Regras e Parâmetros'!$B$4:$B$7,'Regras e Parâmetros'!$A$4:$A$7))</f>
        <v/>
      </c>
      <c r="J55" t="s">
        <v>6747</v>
      </c>
      <c r="K55" t="s">
        <v>9911</v>
      </c>
      <c r="L55" t="s">
        <v>9883</v>
      </c>
    </row>
    <row r="56" spans="1:12" x14ac:dyDescent="0.3">
      <c r="A56" t="s">
        <v>1796</v>
      </c>
      <c r="B56" s="5" t="s">
        <v>7462</v>
      </c>
      <c r="C56" t="s">
        <v>6456</v>
      </c>
      <c r="D56" t="s">
        <v>1797</v>
      </c>
      <c r="E56" t="s">
        <v>7463</v>
      </c>
      <c r="F56" s="1">
        <v>44971</v>
      </c>
      <c r="G56" t="s">
        <v>18</v>
      </c>
      <c r="H56" s="24">
        <v>381</v>
      </c>
      <c r="I56" t="str">
        <f>IF(H56&lt;=0,"",LOOKUP(H56,'Regras e Parâmetros'!$B$4:$B$7,'Regras e Parâmetros'!$A$4:$A$7))</f>
        <v>Bronze</v>
      </c>
      <c r="J56" t="s">
        <v>9790</v>
      </c>
    </row>
    <row r="57" spans="1:12" x14ac:dyDescent="0.3">
      <c r="A57" t="s">
        <v>3721</v>
      </c>
      <c r="B57" s="5" t="s">
        <v>8483</v>
      </c>
      <c r="C57" t="s">
        <v>6456</v>
      </c>
      <c r="D57" t="s">
        <v>3722</v>
      </c>
      <c r="E57" t="s">
        <v>3723</v>
      </c>
      <c r="F57" s="1">
        <v>45633</v>
      </c>
      <c r="G57" t="s">
        <v>51</v>
      </c>
      <c r="H57" s="24">
        <v>6982</v>
      </c>
      <c r="I57" t="str">
        <f>IF(H57&lt;=0,"",LOOKUP(H57,'Regras e Parâmetros'!$B$4:$B$7,'Regras e Parâmetros'!$A$4:$A$7))</f>
        <v>Ouro</v>
      </c>
      <c r="J57" t="s">
        <v>9790</v>
      </c>
    </row>
    <row r="58" spans="1:12" x14ac:dyDescent="0.3">
      <c r="A58" t="s">
        <v>2135</v>
      </c>
      <c r="B58" s="5" t="s">
        <v>7663</v>
      </c>
      <c r="C58" t="s">
        <v>6456</v>
      </c>
      <c r="D58" t="s">
        <v>2136</v>
      </c>
      <c r="E58" t="s">
        <v>2137</v>
      </c>
      <c r="F58" s="1">
        <v>45091</v>
      </c>
      <c r="G58" t="s">
        <v>110</v>
      </c>
      <c r="H58" s="24">
        <v>3672</v>
      </c>
      <c r="I58" t="str">
        <f>IF(H58&lt;=0,"",LOOKUP(H58,'Regras e Parâmetros'!$B$4:$B$7,'Regras e Parâmetros'!$A$4:$A$7))</f>
        <v>Prata</v>
      </c>
      <c r="J58" t="s">
        <v>9790</v>
      </c>
    </row>
    <row r="59" spans="1:12" x14ac:dyDescent="0.3">
      <c r="A59" t="s">
        <v>4111</v>
      </c>
      <c r="B59" s="5" t="s">
        <v>8720</v>
      </c>
      <c r="C59" t="s">
        <v>6456</v>
      </c>
      <c r="D59" t="s">
        <v>4940</v>
      </c>
      <c r="E59" t="s">
        <v>4112</v>
      </c>
      <c r="F59" s="1">
        <v>45747</v>
      </c>
      <c r="G59" t="s">
        <v>51</v>
      </c>
      <c r="H59" s="24">
        <v>0</v>
      </c>
      <c r="I59" t="str">
        <f>IF(H59&lt;=0,"",LOOKUP(H59,'Regras e Parâmetros'!$B$4:$B$7,'Regras e Parâmetros'!$A$4:$A$7))</f>
        <v/>
      </c>
      <c r="J59" t="s">
        <v>6456</v>
      </c>
      <c r="K59" t="s">
        <v>9893</v>
      </c>
      <c r="L59" t="s">
        <v>9883</v>
      </c>
    </row>
    <row r="60" spans="1:12" x14ac:dyDescent="0.3">
      <c r="A60" t="s">
        <v>7702</v>
      </c>
      <c r="B60" s="5" t="s">
        <v>2211</v>
      </c>
      <c r="C60" t="s">
        <v>6456</v>
      </c>
      <c r="D60" t="s">
        <v>2212</v>
      </c>
      <c r="E60" t="s">
        <v>2213</v>
      </c>
      <c r="F60" s="1">
        <v>45113</v>
      </c>
      <c r="G60" t="s">
        <v>18</v>
      </c>
      <c r="H60" s="24">
        <v>1123</v>
      </c>
      <c r="I60" t="str">
        <f>IF(H60&lt;=0,"",LOOKUP(H60,'Regras e Parâmetros'!$B$4:$B$7,'Regras e Parâmetros'!$A$4:$A$7))</f>
        <v>Bronze</v>
      </c>
      <c r="J60" t="s">
        <v>6747</v>
      </c>
      <c r="K60" t="s">
        <v>44</v>
      </c>
    </row>
    <row r="61" spans="1:12" x14ac:dyDescent="0.3">
      <c r="A61" t="s">
        <v>119</v>
      </c>
      <c r="B61" s="5" t="s">
        <v>120</v>
      </c>
      <c r="C61" t="s">
        <v>6456</v>
      </c>
      <c r="D61" t="s">
        <v>121</v>
      </c>
      <c r="E61" t="s">
        <v>122</v>
      </c>
      <c r="F61" s="1">
        <v>44385</v>
      </c>
      <c r="G61" t="s">
        <v>45</v>
      </c>
      <c r="H61" s="24">
        <v>531</v>
      </c>
      <c r="I61" t="str">
        <f>IF(H61&lt;=0,"",LOOKUP(H61,'Regras e Parâmetros'!$B$4:$B$7,'Regras e Parâmetros'!$A$4:$A$7))</f>
        <v>Bronze</v>
      </c>
      <c r="J61" t="s">
        <v>9790</v>
      </c>
      <c r="K61" t="s">
        <v>8</v>
      </c>
    </row>
    <row r="62" spans="1:12" x14ac:dyDescent="0.3">
      <c r="A62" t="s">
        <v>8818</v>
      </c>
      <c r="B62" s="5" t="s">
        <v>4282</v>
      </c>
      <c r="C62" t="s">
        <v>6456</v>
      </c>
      <c r="D62" t="s">
        <v>4283</v>
      </c>
      <c r="E62" t="s">
        <v>4284</v>
      </c>
      <c r="F62" s="1">
        <v>45799</v>
      </c>
      <c r="G62" t="s">
        <v>18</v>
      </c>
      <c r="H62" s="24">
        <v>0</v>
      </c>
      <c r="I62" t="str">
        <f>IF(H62&lt;=0,"",LOOKUP(H62,'Regras e Parâmetros'!$B$4:$B$7,'Regras e Parâmetros'!$A$4:$A$7))</f>
        <v/>
      </c>
      <c r="J62" t="s">
        <v>6456</v>
      </c>
      <c r="K62" t="s">
        <v>708</v>
      </c>
      <c r="L62" t="s">
        <v>9886</v>
      </c>
    </row>
    <row r="63" spans="1:12" x14ac:dyDescent="0.3">
      <c r="A63" t="s">
        <v>3981</v>
      </c>
      <c r="B63" s="5" t="s">
        <v>8605</v>
      </c>
      <c r="C63" t="s">
        <v>6456</v>
      </c>
      <c r="D63" t="s">
        <v>3982</v>
      </c>
      <c r="E63" t="s">
        <v>8606</v>
      </c>
      <c r="F63" s="1">
        <v>45689</v>
      </c>
      <c r="G63" t="s">
        <v>18</v>
      </c>
      <c r="H63" s="24">
        <v>0</v>
      </c>
      <c r="I63" t="str">
        <f>IF(H63&lt;=0,"",LOOKUP(H63,'Regras e Parâmetros'!$B$4:$B$7,'Regras e Parâmetros'!$A$4:$A$7))</f>
        <v/>
      </c>
      <c r="J63" t="s">
        <v>6747</v>
      </c>
      <c r="L63" t="s">
        <v>9884</v>
      </c>
    </row>
    <row r="64" spans="1:12" x14ac:dyDescent="0.3">
      <c r="A64" t="s">
        <v>5490</v>
      </c>
      <c r="B64" s="5" t="s">
        <v>9516</v>
      </c>
      <c r="C64" t="s">
        <v>6456</v>
      </c>
      <c r="D64" t="s">
        <v>5491</v>
      </c>
      <c r="E64" t="s">
        <v>5492</v>
      </c>
      <c r="F64" s="1">
        <v>46155</v>
      </c>
      <c r="G64" t="s">
        <v>51</v>
      </c>
      <c r="H64" s="24">
        <v>0</v>
      </c>
      <c r="I64" t="str">
        <f>IF(H64&lt;=0,"",LOOKUP(H64,'Regras e Parâmetros'!$B$4:$B$7,'Regras e Parâmetros'!$A$4:$A$7))</f>
        <v/>
      </c>
      <c r="J64" t="s">
        <v>6747</v>
      </c>
      <c r="L64" t="s">
        <v>9883</v>
      </c>
    </row>
    <row r="65" spans="1:12" x14ac:dyDescent="0.3">
      <c r="A65" t="s">
        <v>3393</v>
      </c>
      <c r="B65" s="5" t="s">
        <v>3394</v>
      </c>
      <c r="C65" t="s">
        <v>6456</v>
      </c>
      <c r="D65" t="s">
        <v>3395</v>
      </c>
      <c r="E65" t="s">
        <v>3396</v>
      </c>
      <c r="F65" s="1">
        <v>45528</v>
      </c>
      <c r="G65" t="s">
        <v>100</v>
      </c>
      <c r="H65" s="24">
        <v>402</v>
      </c>
      <c r="I65" t="str">
        <f>IF(H65&lt;=0,"",LOOKUP(H65,'Regras e Parâmetros'!$B$4:$B$7,'Regras e Parâmetros'!$A$4:$A$7))</f>
        <v>Bronze</v>
      </c>
      <c r="J65" t="s">
        <v>6456</v>
      </c>
      <c r="K65" t="s">
        <v>187</v>
      </c>
    </row>
    <row r="66" spans="1:12" x14ac:dyDescent="0.3">
      <c r="A66" t="s">
        <v>6699</v>
      </c>
      <c r="B66" s="5" t="s">
        <v>448</v>
      </c>
      <c r="C66" t="s">
        <v>6456</v>
      </c>
      <c r="D66" t="s">
        <v>449</v>
      </c>
      <c r="E66" t="s">
        <v>450</v>
      </c>
      <c r="F66" s="1">
        <v>44502</v>
      </c>
      <c r="G66" t="s">
        <v>51</v>
      </c>
      <c r="H66" s="24">
        <v>9981</v>
      </c>
      <c r="I66" t="str">
        <f>IF(H66&lt;=0,"",LOOKUP(H66,'Regras e Parâmetros'!$B$4:$B$7,'Regras e Parâmetros'!$A$4:$A$7))</f>
        <v>Ouro</v>
      </c>
      <c r="J66" t="s">
        <v>6747</v>
      </c>
    </row>
    <row r="67" spans="1:12" x14ac:dyDescent="0.3">
      <c r="A67" t="s">
        <v>8281</v>
      </c>
      <c r="B67" s="5" t="s">
        <v>8282</v>
      </c>
      <c r="C67" t="s">
        <v>6456</v>
      </c>
      <c r="D67" t="s">
        <v>8283</v>
      </c>
      <c r="E67" t="s">
        <v>3339</v>
      </c>
      <c r="F67" s="1">
        <v>45510</v>
      </c>
      <c r="G67" t="s">
        <v>51</v>
      </c>
      <c r="H67" s="24">
        <v>769</v>
      </c>
      <c r="I67" t="str">
        <f>IF(H67&lt;=0,"",LOOKUP(H67,'Regras e Parâmetros'!$B$4:$B$7,'Regras e Parâmetros'!$A$4:$A$7))</f>
        <v>Bronze</v>
      </c>
      <c r="J67" t="s">
        <v>6456</v>
      </c>
    </row>
    <row r="68" spans="1:12" x14ac:dyDescent="0.3">
      <c r="A68" t="s">
        <v>73</v>
      </c>
      <c r="B68" s="5" t="s">
        <v>6489</v>
      </c>
      <c r="C68" t="s">
        <v>6456</v>
      </c>
      <c r="D68" t="s">
        <v>74</v>
      </c>
      <c r="E68" t="s">
        <v>75</v>
      </c>
      <c r="F68" s="1">
        <v>44371</v>
      </c>
      <c r="G68" t="s">
        <v>51</v>
      </c>
      <c r="H68" s="24">
        <v>0</v>
      </c>
      <c r="I68" t="str">
        <f>IF(H68&lt;=0,"",LOOKUP(H68,'Regras e Parâmetros'!$B$4:$B$7,'Regras e Parâmetros'!$A$4:$A$7))</f>
        <v/>
      </c>
      <c r="J68" t="s">
        <v>6456</v>
      </c>
      <c r="K68" t="s">
        <v>10028</v>
      </c>
    </row>
    <row r="69" spans="1:12" x14ac:dyDescent="0.3">
      <c r="A69" t="s">
        <v>4648</v>
      </c>
      <c r="B69" s="5" t="s">
        <v>9035</v>
      </c>
      <c r="C69" t="s">
        <v>6456</v>
      </c>
      <c r="D69" t="s">
        <v>4649</v>
      </c>
      <c r="E69" t="s">
        <v>9036</v>
      </c>
      <c r="F69" s="1">
        <v>45910</v>
      </c>
      <c r="G69" t="s">
        <v>45</v>
      </c>
      <c r="H69" s="24">
        <v>0</v>
      </c>
      <c r="I69" t="str">
        <f>IF(H69&lt;=0,"",LOOKUP(H69,'Regras e Parâmetros'!$B$4:$B$7,'Regras e Parâmetros'!$A$4:$A$7))</f>
        <v/>
      </c>
      <c r="J69" t="s">
        <v>9790</v>
      </c>
      <c r="L69" t="s">
        <v>9883</v>
      </c>
    </row>
    <row r="70" spans="1:12" x14ac:dyDescent="0.3">
      <c r="A70" t="s">
        <v>2340</v>
      </c>
      <c r="B70" s="5" t="s">
        <v>7761</v>
      </c>
      <c r="C70" t="s">
        <v>6456</v>
      </c>
      <c r="D70" t="s">
        <v>2341</v>
      </c>
      <c r="E70" t="s">
        <v>2342</v>
      </c>
      <c r="F70" s="1">
        <v>45139</v>
      </c>
      <c r="G70" t="s">
        <v>45</v>
      </c>
      <c r="H70" s="24">
        <v>218</v>
      </c>
      <c r="I70" t="str">
        <f>IF(H70&lt;=0,"",LOOKUP(H70,'Regras e Parâmetros'!$B$4:$B$7,'Regras e Parâmetros'!$A$4:$A$7))</f>
        <v>Bronze</v>
      </c>
      <c r="J70" t="s">
        <v>6456</v>
      </c>
      <c r="L70" t="s">
        <v>9791</v>
      </c>
    </row>
    <row r="71" spans="1:12" x14ac:dyDescent="0.3">
      <c r="A71" t="s">
        <v>103</v>
      </c>
      <c r="B71" s="5" t="s">
        <v>104</v>
      </c>
      <c r="C71" t="s">
        <v>6456</v>
      </c>
      <c r="D71" t="s">
        <v>105</v>
      </c>
      <c r="E71" t="s">
        <v>106</v>
      </c>
      <c r="F71" s="1">
        <v>44379</v>
      </c>
      <c r="G71" t="s">
        <v>22</v>
      </c>
      <c r="H71" s="24">
        <v>0</v>
      </c>
      <c r="I71" t="str">
        <f>IF(H71&lt;=0,"",LOOKUP(H71,'Regras e Parâmetros'!$B$4:$B$7,'Regras e Parâmetros'!$A$4:$A$7))</f>
        <v/>
      </c>
      <c r="J71" t="s">
        <v>6747</v>
      </c>
      <c r="L71" t="s">
        <v>9792</v>
      </c>
    </row>
    <row r="72" spans="1:12" x14ac:dyDescent="0.3">
      <c r="A72" t="s">
        <v>6786</v>
      </c>
      <c r="B72" s="5" t="s">
        <v>6787</v>
      </c>
      <c r="C72" t="s">
        <v>6456</v>
      </c>
      <c r="D72" t="s">
        <v>615</v>
      </c>
      <c r="E72" t="s">
        <v>6788</v>
      </c>
      <c r="F72" s="1">
        <v>44563</v>
      </c>
      <c r="G72" t="s">
        <v>18</v>
      </c>
      <c r="H72" s="24">
        <v>318</v>
      </c>
      <c r="I72" t="str">
        <f>IF(H72&lt;=0,"",LOOKUP(H72,'Regras e Parâmetros'!$B$4:$B$7,'Regras e Parâmetros'!$A$4:$A$7))</f>
        <v>Bronze</v>
      </c>
      <c r="J72" t="s">
        <v>6747</v>
      </c>
    </row>
    <row r="73" spans="1:12" x14ac:dyDescent="0.3">
      <c r="A73" t="s">
        <v>1002</v>
      </c>
      <c r="B73" s="5" t="s">
        <v>1003</v>
      </c>
      <c r="C73" t="s">
        <v>6456</v>
      </c>
      <c r="D73" t="s">
        <v>1004</v>
      </c>
      <c r="E73" t="s">
        <v>7082</v>
      </c>
      <c r="F73" s="1">
        <v>44755</v>
      </c>
      <c r="G73" t="s">
        <v>51</v>
      </c>
      <c r="H73" s="24">
        <v>0</v>
      </c>
      <c r="I73" t="str">
        <f>IF(H73&lt;=0,"",LOOKUP(H73,'Regras e Parâmetros'!$B$4:$B$7,'Regras e Parâmetros'!$A$4:$A$7))</f>
        <v/>
      </c>
      <c r="J73" t="s">
        <v>6747</v>
      </c>
    </row>
    <row r="74" spans="1:12" x14ac:dyDescent="0.3">
      <c r="A74" t="s">
        <v>4655</v>
      </c>
      <c r="B74" s="5" t="s">
        <v>4656</v>
      </c>
      <c r="C74" t="s">
        <v>6456</v>
      </c>
      <c r="D74" t="s">
        <v>4657</v>
      </c>
      <c r="E74" t="s">
        <v>9040</v>
      </c>
      <c r="F74" s="1">
        <v>45913</v>
      </c>
      <c r="G74" t="s">
        <v>110</v>
      </c>
      <c r="H74" s="24">
        <v>0</v>
      </c>
      <c r="I74" t="str">
        <f>IF(H74&lt;=0,"",LOOKUP(H74,'Regras e Parâmetros'!$B$4:$B$7,'Regras e Parâmetros'!$A$4:$A$7))</f>
        <v/>
      </c>
      <c r="J74" t="s">
        <v>9790</v>
      </c>
      <c r="L74" t="s">
        <v>9883</v>
      </c>
    </row>
    <row r="75" spans="1:12" x14ac:dyDescent="0.3">
      <c r="A75" t="s">
        <v>5944</v>
      </c>
      <c r="B75" s="5" t="s">
        <v>5945</v>
      </c>
      <c r="C75" t="s">
        <v>6456</v>
      </c>
      <c r="D75" t="s">
        <v>5946</v>
      </c>
      <c r="E75" t="s">
        <v>5947</v>
      </c>
      <c r="F75" s="1">
        <v>46274</v>
      </c>
      <c r="G75" t="s">
        <v>45</v>
      </c>
      <c r="H75" s="24">
        <v>0</v>
      </c>
      <c r="I75" t="str">
        <f>IF(H75&lt;=0,"",LOOKUP(H75,'Regras e Parâmetros'!$B$4:$B$7,'Regras e Parâmetros'!$A$4:$A$7))</f>
        <v/>
      </c>
      <c r="J75" t="s">
        <v>6747</v>
      </c>
      <c r="K75" t="s">
        <v>708</v>
      </c>
      <c r="L75" t="s">
        <v>9883</v>
      </c>
    </row>
    <row r="76" spans="1:12" x14ac:dyDescent="0.3">
      <c r="A76" t="s">
        <v>492</v>
      </c>
      <c r="B76" s="5" t="s">
        <v>6281</v>
      </c>
      <c r="C76" t="s">
        <v>6456</v>
      </c>
      <c r="D76" t="s">
        <v>493</v>
      </c>
      <c r="E76" t="s">
        <v>494</v>
      </c>
      <c r="F76" s="1">
        <v>44517</v>
      </c>
      <c r="G76" t="s">
        <v>51</v>
      </c>
      <c r="H76" s="24">
        <v>1485</v>
      </c>
      <c r="I76" t="str">
        <f>IF(H76&lt;=0,"",LOOKUP(H76,'Regras e Parâmetros'!$B$4:$B$7,'Regras e Parâmetros'!$A$4:$A$7))</f>
        <v>Bronze</v>
      </c>
      <c r="J76" t="s">
        <v>9790</v>
      </c>
    </row>
    <row r="77" spans="1:12" x14ac:dyDescent="0.3">
      <c r="A77" t="s">
        <v>3410</v>
      </c>
      <c r="B77" s="5" t="s">
        <v>8321</v>
      </c>
      <c r="C77" t="s">
        <v>6456</v>
      </c>
      <c r="D77" t="s">
        <v>3411</v>
      </c>
      <c r="E77" t="s">
        <v>8322</v>
      </c>
      <c r="F77" s="1">
        <v>45534</v>
      </c>
      <c r="G77" t="s">
        <v>51</v>
      </c>
      <c r="H77" s="24">
        <v>1582</v>
      </c>
      <c r="I77" t="str">
        <f>IF(H77&lt;=0,"",LOOKUP(H77,'Regras e Parâmetros'!$B$4:$B$7,'Regras e Parâmetros'!$A$4:$A$7))</f>
        <v>Prata</v>
      </c>
      <c r="J77" t="s">
        <v>6456</v>
      </c>
    </row>
    <row r="78" spans="1:12" x14ac:dyDescent="0.3">
      <c r="A78" t="s">
        <v>2686</v>
      </c>
      <c r="B78" s="5" t="s">
        <v>7005</v>
      </c>
      <c r="C78" t="s">
        <v>6456</v>
      </c>
      <c r="D78" t="s">
        <v>983</v>
      </c>
      <c r="E78" t="s">
        <v>984</v>
      </c>
      <c r="F78" s="1">
        <v>44704</v>
      </c>
      <c r="G78" t="s">
        <v>110</v>
      </c>
      <c r="H78" s="24">
        <v>11667</v>
      </c>
      <c r="I78" t="str">
        <f>IF(H78&lt;=0,"",LOOKUP(H78,'Regras e Parâmetros'!$B$4:$B$7,'Regras e Parâmetros'!$A$4:$A$7))</f>
        <v>Vip</v>
      </c>
      <c r="J78" t="s">
        <v>9790</v>
      </c>
    </row>
    <row r="79" spans="1:12" x14ac:dyDescent="0.3">
      <c r="A79" t="s">
        <v>2686</v>
      </c>
      <c r="B79" s="5" t="s">
        <v>7962</v>
      </c>
      <c r="C79" t="s">
        <v>6456</v>
      </c>
      <c r="D79" t="s">
        <v>4538</v>
      </c>
      <c r="E79" t="s">
        <v>4539</v>
      </c>
      <c r="F79" s="1">
        <v>45255</v>
      </c>
      <c r="G79" t="s">
        <v>22</v>
      </c>
      <c r="H79" s="24">
        <v>0</v>
      </c>
      <c r="I79" t="str">
        <f>IF(H79&lt;=0,"",LOOKUP(H79,'Regras e Parâmetros'!$B$4:$B$7,'Regras e Parâmetros'!$A$4:$A$7))</f>
        <v/>
      </c>
      <c r="J79" t="s">
        <v>6456</v>
      </c>
      <c r="K79" t="s">
        <v>9851</v>
      </c>
    </row>
    <row r="80" spans="1:12" x14ac:dyDescent="0.3">
      <c r="A80" t="s">
        <v>8693</v>
      </c>
      <c r="B80" s="5" t="s">
        <v>4062</v>
      </c>
      <c r="C80" t="s">
        <v>6456</v>
      </c>
      <c r="D80" t="s">
        <v>4063</v>
      </c>
      <c r="E80" t="s">
        <v>4064</v>
      </c>
      <c r="F80" s="1">
        <v>45735</v>
      </c>
      <c r="G80" t="s">
        <v>18</v>
      </c>
      <c r="H80" s="24">
        <v>0</v>
      </c>
      <c r="I80" t="str">
        <f>IF(H80&lt;=0,"",LOOKUP(H80,'Regras e Parâmetros'!$B$4:$B$7,'Regras e Parâmetros'!$A$4:$A$7))</f>
        <v/>
      </c>
      <c r="J80" t="s">
        <v>6456</v>
      </c>
      <c r="K80" t="s">
        <v>72</v>
      </c>
      <c r="L80" t="s">
        <v>9883</v>
      </c>
    </row>
    <row r="81" spans="1:12" x14ac:dyDescent="0.3">
      <c r="A81" t="s">
        <v>2860</v>
      </c>
      <c r="B81" s="5" t="s">
        <v>8048</v>
      </c>
      <c r="C81" t="s">
        <v>6456</v>
      </c>
      <c r="D81" t="s">
        <v>8049</v>
      </c>
      <c r="E81" t="s">
        <v>8050</v>
      </c>
      <c r="F81" s="1">
        <v>45342</v>
      </c>
      <c r="G81" t="s">
        <v>18</v>
      </c>
      <c r="H81" s="24">
        <v>15000</v>
      </c>
      <c r="I81" t="str">
        <f>IF(H81&lt;=0,"",LOOKUP(H81,'Regras e Parâmetros'!$B$4:$B$7,'Regras e Parâmetros'!$A$4:$A$7))</f>
        <v>Vip</v>
      </c>
      <c r="J81" t="s">
        <v>6456</v>
      </c>
    </row>
    <row r="82" spans="1:12" x14ac:dyDescent="0.3">
      <c r="A82" t="s">
        <v>2860</v>
      </c>
      <c r="B82" s="5" t="s">
        <v>8414</v>
      </c>
      <c r="C82" t="s">
        <v>6456</v>
      </c>
      <c r="D82" t="s">
        <v>3603</v>
      </c>
      <c r="E82" t="s">
        <v>8415</v>
      </c>
      <c r="F82" s="1">
        <v>45596</v>
      </c>
      <c r="G82" t="s">
        <v>45</v>
      </c>
      <c r="H82" s="24">
        <v>404</v>
      </c>
      <c r="I82" t="str">
        <f>IF(H82&lt;=0,"",LOOKUP(H82,'Regras e Parâmetros'!$B$4:$B$7,'Regras e Parâmetros'!$A$4:$A$7))</f>
        <v>Bronze</v>
      </c>
      <c r="J82" t="s">
        <v>9790</v>
      </c>
    </row>
    <row r="83" spans="1:12" x14ac:dyDescent="0.3">
      <c r="A83" t="s">
        <v>5749</v>
      </c>
      <c r="B83" s="5" t="s">
        <v>5750</v>
      </c>
      <c r="C83" t="s">
        <v>6456</v>
      </c>
      <c r="D83" t="s">
        <v>5751</v>
      </c>
      <c r="E83" t="s">
        <v>5752</v>
      </c>
      <c r="F83" s="1">
        <v>46232</v>
      </c>
      <c r="G83" t="s">
        <v>110</v>
      </c>
      <c r="H83" s="24">
        <v>0</v>
      </c>
      <c r="I83" t="str">
        <f>IF(H83&lt;=0,"",LOOKUP(H83,'Regras e Parâmetros'!$B$4:$B$7,'Regras e Parâmetros'!$A$4:$A$7))</f>
        <v/>
      </c>
      <c r="J83" t="s">
        <v>9790</v>
      </c>
      <c r="L83" t="s">
        <v>9883</v>
      </c>
    </row>
    <row r="84" spans="1:12" x14ac:dyDescent="0.3">
      <c r="A84" t="s">
        <v>5749</v>
      </c>
      <c r="B84" s="5" t="s">
        <v>9739</v>
      </c>
      <c r="C84" t="s">
        <v>6456</v>
      </c>
      <c r="D84" t="s">
        <v>5861</v>
      </c>
      <c r="E84" t="s">
        <v>9740</v>
      </c>
      <c r="F84" s="1">
        <v>46260</v>
      </c>
      <c r="G84" t="s">
        <v>110</v>
      </c>
      <c r="H84" s="24">
        <v>0</v>
      </c>
      <c r="I84" t="str">
        <f>IF(H84&lt;=0,"",LOOKUP(H84,'Regras e Parâmetros'!$B$4:$B$7,'Regras e Parâmetros'!$A$4:$A$7))</f>
        <v/>
      </c>
      <c r="J84" t="s">
        <v>6747</v>
      </c>
      <c r="L84" t="s">
        <v>9883</v>
      </c>
    </row>
    <row r="85" spans="1:12" x14ac:dyDescent="0.3">
      <c r="A85" t="s">
        <v>1359</v>
      </c>
      <c r="B85" s="5" t="s">
        <v>7208</v>
      </c>
      <c r="C85" t="s">
        <v>6456</v>
      </c>
      <c r="D85" t="s">
        <v>1361</v>
      </c>
      <c r="E85" t="s">
        <v>7209</v>
      </c>
      <c r="F85" s="1">
        <v>44845</v>
      </c>
      <c r="G85" t="s">
        <v>110</v>
      </c>
      <c r="H85" s="24">
        <v>3928</v>
      </c>
      <c r="I85" t="str">
        <f>IF(H85&lt;=0,"",LOOKUP(H85,'Regras e Parâmetros'!$B$4:$B$7,'Regras e Parâmetros'!$A$4:$A$7))</f>
        <v>Prata</v>
      </c>
      <c r="J85" t="s">
        <v>6747</v>
      </c>
      <c r="K85" t="s">
        <v>8</v>
      </c>
    </row>
    <row r="86" spans="1:12" x14ac:dyDescent="0.3">
      <c r="A86" t="s">
        <v>3142</v>
      </c>
      <c r="B86" s="5" t="s">
        <v>3143</v>
      </c>
      <c r="C86" t="s">
        <v>6456</v>
      </c>
      <c r="D86" t="s">
        <v>5038</v>
      </c>
      <c r="E86" t="s">
        <v>8180</v>
      </c>
      <c r="F86" s="1">
        <v>45445</v>
      </c>
      <c r="G86" t="s">
        <v>22</v>
      </c>
      <c r="H86" s="24">
        <v>236</v>
      </c>
      <c r="I86" t="str">
        <f>IF(H86&lt;=0,"",LOOKUP(H86,'Regras e Parâmetros'!$B$4:$B$7,'Regras e Parâmetros'!$A$4:$A$7))</f>
        <v>Bronze</v>
      </c>
      <c r="J86" t="s">
        <v>9790</v>
      </c>
      <c r="K86" t="s">
        <v>9862</v>
      </c>
      <c r="L86" t="s">
        <v>9839</v>
      </c>
    </row>
    <row r="87" spans="1:12" x14ac:dyDescent="0.3">
      <c r="A87" t="s">
        <v>6737</v>
      </c>
      <c r="B87" s="5" t="s">
        <v>534</v>
      </c>
      <c r="C87" t="s">
        <v>6456</v>
      </c>
      <c r="D87" t="s">
        <v>535</v>
      </c>
      <c r="E87" t="s">
        <v>536</v>
      </c>
      <c r="F87" s="1">
        <v>44531</v>
      </c>
      <c r="G87" t="s">
        <v>45</v>
      </c>
      <c r="H87" s="24">
        <v>3370</v>
      </c>
      <c r="I87" t="str">
        <f>IF(H87&lt;=0,"",LOOKUP(H87,'Regras e Parâmetros'!$B$4:$B$7,'Regras e Parâmetros'!$A$4:$A$7))</f>
        <v>Prata</v>
      </c>
      <c r="J87" t="s">
        <v>6456</v>
      </c>
    </row>
    <row r="88" spans="1:12" x14ac:dyDescent="0.3">
      <c r="A88" t="s">
        <v>2610</v>
      </c>
      <c r="B88" s="5" t="s">
        <v>2611</v>
      </c>
      <c r="C88" t="s">
        <v>6456</v>
      </c>
      <c r="D88" t="s">
        <v>2612</v>
      </c>
      <c r="E88" t="s">
        <v>7925</v>
      </c>
      <c r="F88" s="1">
        <v>45238</v>
      </c>
      <c r="G88" t="s">
        <v>45</v>
      </c>
      <c r="H88" s="24">
        <v>5018</v>
      </c>
      <c r="I88" t="str">
        <f>IF(H88&lt;=0,"",LOOKUP(H88,'Regras e Parâmetros'!$B$4:$B$7,'Regras e Parâmetros'!$A$4:$A$7))</f>
        <v>Ouro</v>
      </c>
      <c r="J88" t="s">
        <v>6456</v>
      </c>
    </row>
    <row r="89" spans="1:12" x14ac:dyDescent="0.3">
      <c r="A89" t="s">
        <v>545</v>
      </c>
      <c r="B89" s="5" t="s">
        <v>6746</v>
      </c>
      <c r="C89" t="s">
        <v>6456</v>
      </c>
      <c r="D89" t="s">
        <v>546</v>
      </c>
      <c r="E89" t="s">
        <v>547</v>
      </c>
      <c r="F89" s="1">
        <v>44534</v>
      </c>
      <c r="G89" t="s">
        <v>22</v>
      </c>
      <c r="H89" s="24">
        <v>946</v>
      </c>
      <c r="I89" t="str">
        <f>IF(H89&lt;=0,"",LOOKUP(H89,'Regras e Parâmetros'!$B$4:$B$7,'Regras e Parâmetros'!$A$4:$A$7))</f>
        <v>Bronze</v>
      </c>
      <c r="J89" t="s">
        <v>6456</v>
      </c>
      <c r="K89" t="s">
        <v>33</v>
      </c>
      <c r="L89" t="s">
        <v>9792</v>
      </c>
    </row>
    <row r="90" spans="1:12" x14ac:dyDescent="0.3">
      <c r="A90" t="s">
        <v>9695</v>
      </c>
      <c r="B90" s="5" t="s">
        <v>5875</v>
      </c>
      <c r="C90" t="s">
        <v>6456</v>
      </c>
      <c r="D90" t="s">
        <v>5876</v>
      </c>
      <c r="E90" t="s">
        <v>5877</v>
      </c>
      <c r="F90" s="1">
        <v>46235</v>
      </c>
      <c r="G90" t="s">
        <v>45</v>
      </c>
      <c r="H90" s="24">
        <v>0</v>
      </c>
      <c r="I90" t="str">
        <f>IF(H90&lt;=0,"",LOOKUP(H90,'Regras e Parâmetros'!$B$4:$B$7,'Regras e Parâmetros'!$A$4:$A$7))</f>
        <v/>
      </c>
      <c r="J90" t="s">
        <v>9790</v>
      </c>
      <c r="L90" t="s">
        <v>9884</v>
      </c>
    </row>
    <row r="91" spans="1:12" x14ac:dyDescent="0.3">
      <c r="A91" t="s">
        <v>6931</v>
      </c>
      <c r="B91" s="5" t="s">
        <v>854</v>
      </c>
      <c r="C91" t="s">
        <v>6456</v>
      </c>
      <c r="D91" t="s">
        <v>855</v>
      </c>
      <c r="E91" t="s">
        <v>6932</v>
      </c>
      <c r="F91" s="1">
        <v>44649</v>
      </c>
      <c r="G91" t="s">
        <v>100</v>
      </c>
      <c r="H91" s="24">
        <v>906</v>
      </c>
      <c r="I91" t="str">
        <f>IF(H91&lt;=0,"",LOOKUP(H91,'Regras e Parâmetros'!$B$4:$B$7,'Regras e Parâmetros'!$A$4:$A$7))</f>
        <v>Bronze</v>
      </c>
      <c r="J91" t="s">
        <v>6747</v>
      </c>
    </row>
    <row r="92" spans="1:12" x14ac:dyDescent="0.3">
      <c r="A92" t="s">
        <v>1732</v>
      </c>
      <c r="B92" s="5" t="s">
        <v>7423</v>
      </c>
      <c r="C92" t="s">
        <v>6456</v>
      </c>
      <c r="D92" t="s">
        <v>7424</v>
      </c>
      <c r="E92" t="s">
        <v>1733</v>
      </c>
      <c r="F92" s="1">
        <v>44949</v>
      </c>
      <c r="G92" t="s">
        <v>45</v>
      </c>
      <c r="H92" s="24">
        <v>800</v>
      </c>
      <c r="I92" t="str">
        <f>IF(H92&lt;=0,"",LOOKUP(H92,'Regras e Parâmetros'!$B$4:$B$7,'Regras e Parâmetros'!$A$4:$A$7))</f>
        <v>Bronze</v>
      </c>
      <c r="J92" t="s">
        <v>6747</v>
      </c>
    </row>
    <row r="93" spans="1:12" x14ac:dyDescent="0.3">
      <c r="A93" t="s">
        <v>86</v>
      </c>
      <c r="B93" s="5" t="s">
        <v>6499</v>
      </c>
      <c r="C93" t="s">
        <v>6456</v>
      </c>
      <c r="D93" t="s">
        <v>87</v>
      </c>
      <c r="E93" t="s">
        <v>6500</v>
      </c>
      <c r="F93" s="1">
        <v>44376</v>
      </c>
      <c r="G93" t="s">
        <v>100</v>
      </c>
      <c r="H93" s="24">
        <v>1207</v>
      </c>
      <c r="I93" t="str">
        <f>IF(H93&lt;=0,"",LOOKUP(H93,'Regras e Parâmetros'!$B$4:$B$7,'Regras e Parâmetros'!$A$4:$A$7))</f>
        <v>Bronze</v>
      </c>
      <c r="J93" t="s">
        <v>6747</v>
      </c>
    </row>
    <row r="94" spans="1:12" x14ac:dyDescent="0.3">
      <c r="A94" t="s">
        <v>86</v>
      </c>
      <c r="B94" s="5" t="s">
        <v>6077</v>
      </c>
      <c r="C94" t="s">
        <v>6456</v>
      </c>
      <c r="D94" t="s">
        <v>267</v>
      </c>
      <c r="E94" t="s">
        <v>268</v>
      </c>
      <c r="F94" s="1">
        <v>44438</v>
      </c>
      <c r="G94" t="s">
        <v>51</v>
      </c>
      <c r="H94" s="24">
        <v>177</v>
      </c>
      <c r="I94" t="str">
        <f>IF(H94&lt;=0,"",LOOKUP(H94,'Regras e Parâmetros'!$B$4:$B$7,'Regras e Parâmetros'!$A$4:$A$7))</f>
        <v>Bronze</v>
      </c>
      <c r="J94" t="s">
        <v>6456</v>
      </c>
      <c r="L94" t="s">
        <v>9792</v>
      </c>
    </row>
    <row r="95" spans="1:12" x14ac:dyDescent="0.3">
      <c r="A95" t="s">
        <v>618</v>
      </c>
      <c r="B95" s="5" t="s">
        <v>6791</v>
      </c>
      <c r="C95" t="s">
        <v>6456</v>
      </c>
      <c r="D95" t="s">
        <v>619</v>
      </c>
      <c r="E95" t="s">
        <v>620</v>
      </c>
      <c r="F95" s="1">
        <v>44565</v>
      </c>
      <c r="G95" t="s">
        <v>51</v>
      </c>
      <c r="H95" s="24">
        <v>5232</v>
      </c>
      <c r="I95" t="str">
        <f>IF(H95&lt;=0,"",LOOKUP(H95,'Regras e Parâmetros'!$B$4:$B$7,'Regras e Parâmetros'!$A$4:$A$7))</f>
        <v>Ouro</v>
      </c>
      <c r="J95" t="s">
        <v>9790</v>
      </c>
      <c r="L95" t="s">
        <v>9792</v>
      </c>
    </row>
    <row r="96" spans="1:12" x14ac:dyDescent="0.3">
      <c r="A96" t="s">
        <v>6512</v>
      </c>
      <c r="B96" s="5" t="s">
        <v>1390</v>
      </c>
      <c r="C96" t="s">
        <v>6456</v>
      </c>
      <c r="D96" t="s">
        <v>1391</v>
      </c>
      <c r="E96" t="s">
        <v>138</v>
      </c>
      <c r="F96" s="1">
        <v>44378</v>
      </c>
      <c r="G96" t="s">
        <v>22</v>
      </c>
      <c r="H96" s="24">
        <v>13019</v>
      </c>
      <c r="I96" t="str">
        <f>IF(H96&lt;=0,"",LOOKUP(H96,'Regras e Parâmetros'!$B$4:$B$7,'Regras e Parâmetros'!$A$4:$A$7))</f>
        <v>Vip</v>
      </c>
      <c r="J96" t="s">
        <v>6456</v>
      </c>
      <c r="K96" t="s">
        <v>9794</v>
      </c>
      <c r="L96" t="s">
        <v>9791</v>
      </c>
    </row>
    <row r="97" spans="1:12" x14ac:dyDescent="0.3">
      <c r="A97" t="s">
        <v>5443</v>
      </c>
      <c r="B97" s="5" t="s">
        <v>9498</v>
      </c>
      <c r="C97" t="s">
        <v>6456</v>
      </c>
      <c r="D97" t="s">
        <v>5444</v>
      </c>
      <c r="E97" t="s">
        <v>5445</v>
      </c>
      <c r="F97" s="1">
        <v>46145</v>
      </c>
      <c r="G97" t="s">
        <v>100</v>
      </c>
      <c r="H97" s="24">
        <v>0</v>
      </c>
      <c r="I97" t="str">
        <f>IF(H97&lt;=0,"",LOOKUP(H97,'Regras e Parâmetros'!$B$4:$B$7,'Regras e Parâmetros'!$A$4:$A$7))</f>
        <v/>
      </c>
      <c r="J97" t="s">
        <v>6456</v>
      </c>
      <c r="L97" t="s">
        <v>9883</v>
      </c>
    </row>
    <row r="98" spans="1:12" x14ac:dyDescent="0.3">
      <c r="A98" t="s">
        <v>1775</v>
      </c>
      <c r="B98" s="5" t="s">
        <v>1776</v>
      </c>
      <c r="C98" t="s">
        <v>6456</v>
      </c>
      <c r="D98" t="s">
        <v>1777</v>
      </c>
      <c r="E98" t="s">
        <v>1778</v>
      </c>
      <c r="F98" s="1">
        <v>44962</v>
      </c>
      <c r="G98" t="s">
        <v>45</v>
      </c>
      <c r="H98" s="24">
        <v>1893</v>
      </c>
      <c r="I98" t="str">
        <f>IF(H98&lt;=0,"",LOOKUP(H98,'Regras e Parâmetros'!$B$4:$B$7,'Regras e Parâmetros'!$A$4:$A$7))</f>
        <v>Prata</v>
      </c>
      <c r="J98" t="s">
        <v>6456</v>
      </c>
    </row>
    <row r="99" spans="1:12" x14ac:dyDescent="0.3">
      <c r="A99" t="s">
        <v>2464</v>
      </c>
      <c r="B99" s="5" t="s">
        <v>7839</v>
      </c>
      <c r="C99" t="s">
        <v>6456</v>
      </c>
      <c r="D99" t="s">
        <v>2465</v>
      </c>
      <c r="E99" t="s">
        <v>2466</v>
      </c>
      <c r="F99" s="1">
        <v>45185</v>
      </c>
      <c r="G99" t="s">
        <v>51</v>
      </c>
      <c r="H99" s="24">
        <v>2330</v>
      </c>
      <c r="I99" t="str">
        <f>IF(H99&lt;=0,"",LOOKUP(H99,'Regras e Parâmetros'!$B$4:$B$7,'Regras e Parâmetros'!$A$4:$A$7))</f>
        <v>Prata</v>
      </c>
      <c r="J99" t="s">
        <v>9790</v>
      </c>
    </row>
    <row r="100" spans="1:12" x14ac:dyDescent="0.3">
      <c r="A100" t="s">
        <v>2464</v>
      </c>
      <c r="B100" s="5" t="s">
        <v>4959</v>
      </c>
      <c r="C100" t="s">
        <v>6456</v>
      </c>
      <c r="D100" t="s">
        <v>4960</v>
      </c>
      <c r="E100" t="s">
        <v>4961</v>
      </c>
      <c r="F100" s="1">
        <v>46001</v>
      </c>
      <c r="G100" t="s">
        <v>22</v>
      </c>
      <c r="H100" s="24">
        <v>0</v>
      </c>
      <c r="I100" t="str">
        <f>IF(H100&lt;=0,"",LOOKUP(H100,'Regras e Parâmetros'!$B$4:$B$7,'Regras e Parâmetros'!$A$4:$A$7))</f>
        <v/>
      </c>
      <c r="J100" t="s">
        <v>9790</v>
      </c>
      <c r="L100" t="s">
        <v>9883</v>
      </c>
    </row>
    <row r="101" spans="1:12" x14ac:dyDescent="0.3">
      <c r="A101" t="s">
        <v>2459</v>
      </c>
      <c r="B101" s="5" t="s">
        <v>7836</v>
      </c>
      <c r="C101" t="s">
        <v>6456</v>
      </c>
      <c r="D101" t="s">
        <v>2460</v>
      </c>
      <c r="E101" t="s">
        <v>7837</v>
      </c>
      <c r="F101" s="1">
        <v>45184</v>
      </c>
      <c r="G101" t="s">
        <v>51</v>
      </c>
      <c r="H101" s="24">
        <v>9622</v>
      </c>
      <c r="I101" t="str">
        <f>IF(H101&lt;=0,"",LOOKUP(H101,'Regras e Parâmetros'!$B$4:$B$7,'Regras e Parâmetros'!$A$4:$A$7))</f>
        <v>Ouro</v>
      </c>
      <c r="J101" t="s">
        <v>6456</v>
      </c>
    </row>
    <row r="102" spans="1:12" x14ac:dyDescent="0.3">
      <c r="A102" t="s">
        <v>3280</v>
      </c>
      <c r="B102" s="5" t="s">
        <v>8253</v>
      </c>
      <c r="C102" t="s">
        <v>6456</v>
      </c>
      <c r="D102" t="s">
        <v>3281</v>
      </c>
      <c r="E102" t="s">
        <v>3282</v>
      </c>
      <c r="F102" s="1">
        <v>45492</v>
      </c>
      <c r="G102" t="s">
        <v>22</v>
      </c>
      <c r="H102" s="24">
        <v>1200</v>
      </c>
      <c r="I102" t="str">
        <f>IF(H102&lt;=0,"",LOOKUP(H102,'Regras e Parâmetros'!$B$4:$B$7,'Regras e Parâmetros'!$A$4:$A$7))</f>
        <v>Bronze</v>
      </c>
      <c r="J102" t="s">
        <v>6747</v>
      </c>
      <c r="L102" t="s">
        <v>9793</v>
      </c>
    </row>
    <row r="103" spans="1:12" x14ac:dyDescent="0.3">
      <c r="A103" t="s">
        <v>7576</v>
      </c>
      <c r="B103" s="5" t="s">
        <v>7577</v>
      </c>
      <c r="C103" t="s">
        <v>6456</v>
      </c>
      <c r="D103" t="s">
        <v>2015</v>
      </c>
      <c r="E103" t="s">
        <v>7578</v>
      </c>
      <c r="F103" s="1">
        <v>45048</v>
      </c>
      <c r="G103" t="s">
        <v>51</v>
      </c>
      <c r="H103" s="24">
        <v>226</v>
      </c>
      <c r="I103" t="str">
        <f>IF(H103&lt;=0,"",LOOKUP(H103,'Regras e Parâmetros'!$B$4:$B$7,'Regras e Parâmetros'!$A$4:$A$7))</f>
        <v>Bronze</v>
      </c>
      <c r="J103" t="s">
        <v>9790</v>
      </c>
      <c r="K103" t="s">
        <v>44</v>
      </c>
    </row>
    <row r="104" spans="1:12" x14ac:dyDescent="0.3">
      <c r="A104" t="s">
        <v>2086</v>
      </c>
      <c r="B104" s="5" t="s">
        <v>6494</v>
      </c>
      <c r="C104" t="s">
        <v>6456</v>
      </c>
      <c r="D104" t="s">
        <v>80</v>
      </c>
      <c r="E104" t="s">
        <v>81</v>
      </c>
      <c r="F104" s="1">
        <v>44372</v>
      </c>
      <c r="G104" t="s">
        <v>18</v>
      </c>
      <c r="H104" s="24">
        <v>2642</v>
      </c>
      <c r="I104" t="str">
        <f>IF(H104&lt;=0,"",LOOKUP(H104,'Regras e Parâmetros'!$B$4:$B$7,'Regras e Parâmetros'!$A$4:$A$7))</f>
        <v>Prata</v>
      </c>
      <c r="J104" t="s">
        <v>6747</v>
      </c>
    </row>
    <row r="105" spans="1:12" x14ac:dyDescent="0.3">
      <c r="A105" t="s">
        <v>2086</v>
      </c>
      <c r="B105" s="5" t="s">
        <v>7618</v>
      </c>
      <c r="C105" t="s">
        <v>6456</v>
      </c>
      <c r="D105" t="s">
        <v>2087</v>
      </c>
      <c r="E105" t="s">
        <v>7619</v>
      </c>
      <c r="F105" s="1">
        <v>45074</v>
      </c>
      <c r="G105" t="s">
        <v>18</v>
      </c>
      <c r="H105" s="24">
        <v>1430</v>
      </c>
      <c r="I105" t="str">
        <f>IF(H105&lt;=0,"",LOOKUP(H105,'Regras e Parâmetros'!$B$4:$B$7,'Regras e Parâmetros'!$A$4:$A$7))</f>
        <v>Bronze</v>
      </c>
      <c r="J105" t="s">
        <v>9790</v>
      </c>
      <c r="K105" t="s">
        <v>187</v>
      </c>
    </row>
    <row r="106" spans="1:12" x14ac:dyDescent="0.3">
      <c r="A106" t="s">
        <v>6102</v>
      </c>
      <c r="B106" s="5" t="s">
        <v>7755</v>
      </c>
      <c r="C106" t="s">
        <v>6456</v>
      </c>
      <c r="D106" t="s">
        <v>2306</v>
      </c>
      <c r="E106" t="s">
        <v>2307</v>
      </c>
      <c r="F106" s="1">
        <v>45137</v>
      </c>
      <c r="G106" t="s">
        <v>45</v>
      </c>
      <c r="H106" s="24">
        <v>256</v>
      </c>
      <c r="I106" t="str">
        <f>IF(H106&lt;=0,"",LOOKUP(H106,'Regras e Parâmetros'!$B$4:$B$7,'Regras e Parâmetros'!$A$4:$A$7))</f>
        <v>Bronze</v>
      </c>
      <c r="J106" t="s">
        <v>9790</v>
      </c>
    </row>
    <row r="107" spans="1:12" x14ac:dyDescent="0.3">
      <c r="A107" t="s">
        <v>5061</v>
      </c>
      <c r="B107" s="5" t="s">
        <v>9281</v>
      </c>
      <c r="C107" t="s">
        <v>6456</v>
      </c>
      <c r="D107" t="s">
        <v>5062</v>
      </c>
      <c r="E107" t="s">
        <v>5063</v>
      </c>
      <c r="F107" s="1">
        <v>46035</v>
      </c>
      <c r="G107" t="s">
        <v>51</v>
      </c>
      <c r="H107" s="24">
        <v>0</v>
      </c>
      <c r="I107" t="str">
        <f>IF(H107&lt;=0,"",LOOKUP(H107,'Regras e Parâmetros'!$B$4:$B$7,'Regras e Parâmetros'!$A$4:$A$7))</f>
        <v/>
      </c>
      <c r="J107" t="s">
        <v>6747</v>
      </c>
      <c r="K107" t="s">
        <v>44</v>
      </c>
      <c r="L107" t="s">
        <v>9883</v>
      </c>
    </row>
    <row r="108" spans="1:12" x14ac:dyDescent="0.3">
      <c r="A108" t="s">
        <v>4769</v>
      </c>
      <c r="B108" s="5" t="s">
        <v>9115</v>
      </c>
      <c r="C108" t="s">
        <v>6456</v>
      </c>
      <c r="D108" t="s">
        <v>4770</v>
      </c>
      <c r="E108" t="s">
        <v>9116</v>
      </c>
      <c r="F108" s="1">
        <v>45946</v>
      </c>
      <c r="G108" t="s">
        <v>45</v>
      </c>
      <c r="H108" s="24">
        <v>0</v>
      </c>
      <c r="I108" t="str">
        <f>IF(H108&lt;=0,"",LOOKUP(H108,'Regras e Parâmetros'!$B$4:$B$7,'Regras e Parâmetros'!$A$4:$A$7))</f>
        <v/>
      </c>
      <c r="J108" t="s">
        <v>6456</v>
      </c>
      <c r="L108" t="s">
        <v>9883</v>
      </c>
    </row>
    <row r="109" spans="1:12" x14ac:dyDescent="0.3">
      <c r="A109" t="s">
        <v>3811</v>
      </c>
      <c r="B109" s="5" t="s">
        <v>3812</v>
      </c>
      <c r="C109" t="s">
        <v>6456</v>
      </c>
      <c r="D109" t="s">
        <v>3813</v>
      </c>
      <c r="E109" t="s">
        <v>3814</v>
      </c>
      <c r="F109" s="1">
        <v>45668</v>
      </c>
      <c r="G109" t="s">
        <v>110</v>
      </c>
      <c r="H109" s="24">
        <v>0</v>
      </c>
      <c r="I109" t="str">
        <f>IF(H109&lt;=0,"",LOOKUP(H109,'Regras e Parâmetros'!$B$4:$B$7,'Regras e Parâmetros'!$A$4:$A$7))</f>
        <v/>
      </c>
      <c r="J109" t="s">
        <v>6747</v>
      </c>
      <c r="L109" t="s">
        <v>9883</v>
      </c>
    </row>
    <row r="110" spans="1:12" x14ac:dyDescent="0.3">
      <c r="A110" t="s">
        <v>800</v>
      </c>
      <c r="B110" s="5" t="s">
        <v>6900</v>
      </c>
      <c r="C110" t="s">
        <v>6456</v>
      </c>
      <c r="D110" t="s">
        <v>801</v>
      </c>
      <c r="E110" t="s">
        <v>10083</v>
      </c>
      <c r="F110" s="1">
        <v>44629</v>
      </c>
      <c r="G110" t="s">
        <v>22</v>
      </c>
      <c r="H110" s="24">
        <v>14376</v>
      </c>
      <c r="I110" t="str">
        <f>IF(H110&lt;=0,"",LOOKUP(H110,'Regras e Parâmetros'!$B$4:$B$7,'Regras e Parâmetros'!$A$4:$A$7))</f>
        <v>Vip</v>
      </c>
      <c r="J110" t="s">
        <v>9790</v>
      </c>
    </row>
    <row r="111" spans="1:12" x14ac:dyDescent="0.3">
      <c r="A111" t="s">
        <v>9175</v>
      </c>
      <c r="B111" s="5" t="s">
        <v>9176</v>
      </c>
      <c r="C111" t="s">
        <v>6456</v>
      </c>
      <c r="D111" t="s">
        <v>4880</v>
      </c>
      <c r="E111" t="s">
        <v>9177</v>
      </c>
      <c r="F111" s="1">
        <v>45977</v>
      </c>
      <c r="G111" t="s">
        <v>100</v>
      </c>
      <c r="H111" s="24">
        <v>0</v>
      </c>
      <c r="I111" t="str">
        <f>IF(H111&lt;=0,"",LOOKUP(H111,'Regras e Parâmetros'!$B$4:$B$7,'Regras e Parâmetros'!$A$4:$A$7))</f>
        <v/>
      </c>
      <c r="J111" t="s">
        <v>6456</v>
      </c>
      <c r="L111" t="s">
        <v>9883</v>
      </c>
    </row>
    <row r="112" spans="1:12" x14ac:dyDescent="0.3">
      <c r="A112" t="s">
        <v>441</v>
      </c>
      <c r="B112" s="5" t="s">
        <v>6650</v>
      </c>
      <c r="C112" t="s">
        <v>6456</v>
      </c>
      <c r="D112" t="s">
        <v>442</v>
      </c>
      <c r="E112" t="s">
        <v>6651</v>
      </c>
      <c r="F112" s="1">
        <v>44470</v>
      </c>
      <c r="G112" t="s">
        <v>18</v>
      </c>
      <c r="H112" s="24">
        <v>0</v>
      </c>
      <c r="I112" t="str">
        <f>IF(H112&lt;=0,"",LOOKUP(H112,'Regras e Parâmetros'!$B$4:$B$7,'Regras e Parâmetros'!$A$4:$A$7))</f>
        <v/>
      </c>
      <c r="J112" t="s">
        <v>6747</v>
      </c>
      <c r="L112" t="s">
        <v>9791</v>
      </c>
    </row>
    <row r="113" spans="1:12" x14ac:dyDescent="0.3">
      <c r="A113" t="s">
        <v>5786</v>
      </c>
      <c r="B113" s="5" t="s">
        <v>9699</v>
      </c>
      <c r="C113" t="s">
        <v>6456</v>
      </c>
      <c r="D113" t="s">
        <v>5787</v>
      </c>
      <c r="E113" t="s">
        <v>5788</v>
      </c>
      <c r="F113" s="1">
        <v>46237</v>
      </c>
      <c r="G113" t="s">
        <v>45</v>
      </c>
      <c r="H113" s="24">
        <v>0</v>
      </c>
      <c r="I113" t="str">
        <f>IF(H113&lt;=0,"",LOOKUP(H113,'Regras e Parâmetros'!$B$4:$B$7,'Regras e Parâmetros'!$A$4:$A$7))</f>
        <v/>
      </c>
      <c r="J113" t="s">
        <v>9790</v>
      </c>
      <c r="K113" t="s">
        <v>187</v>
      </c>
      <c r="L113" t="s">
        <v>9886</v>
      </c>
    </row>
    <row r="114" spans="1:12" x14ac:dyDescent="0.3">
      <c r="A114" t="s">
        <v>4914</v>
      </c>
      <c r="B114" s="5" t="s">
        <v>9191</v>
      </c>
      <c r="C114" t="s">
        <v>6456</v>
      </c>
      <c r="D114" t="s">
        <v>4915</v>
      </c>
      <c r="E114" t="s">
        <v>4916</v>
      </c>
      <c r="F114" s="1">
        <v>45984</v>
      </c>
      <c r="G114" t="s">
        <v>51</v>
      </c>
      <c r="H114" s="24">
        <v>0</v>
      </c>
      <c r="I114" t="str">
        <f>IF(H114&lt;=0,"",LOOKUP(H114,'Regras e Parâmetros'!$B$4:$B$7,'Regras e Parâmetros'!$A$4:$A$7))</f>
        <v/>
      </c>
      <c r="J114" t="s">
        <v>6747</v>
      </c>
      <c r="L114" t="s">
        <v>9883</v>
      </c>
    </row>
    <row r="115" spans="1:12" x14ac:dyDescent="0.3">
      <c r="A115" t="s">
        <v>4057</v>
      </c>
      <c r="B115" s="5" t="s">
        <v>8690</v>
      </c>
      <c r="C115" t="s">
        <v>6456</v>
      </c>
      <c r="D115" t="s">
        <v>4058</v>
      </c>
      <c r="E115" t="s">
        <v>4059</v>
      </c>
      <c r="F115" s="1">
        <v>45733</v>
      </c>
      <c r="G115" t="s">
        <v>100</v>
      </c>
      <c r="H115" s="24">
        <v>0</v>
      </c>
      <c r="I115" t="str">
        <f>IF(H115&lt;=0,"",LOOKUP(H115,'Regras e Parâmetros'!$B$4:$B$7,'Regras e Parâmetros'!$A$4:$A$7))</f>
        <v/>
      </c>
      <c r="J115" t="s">
        <v>9790</v>
      </c>
      <c r="K115" t="s">
        <v>72</v>
      </c>
      <c r="L115" t="s">
        <v>9883</v>
      </c>
    </row>
    <row r="116" spans="1:12" x14ac:dyDescent="0.3">
      <c r="A116" t="s">
        <v>5201</v>
      </c>
      <c r="B116" s="5" t="s">
        <v>8046</v>
      </c>
      <c r="C116" t="s">
        <v>6456</v>
      </c>
      <c r="D116" t="s">
        <v>2855</v>
      </c>
      <c r="E116" t="s">
        <v>8047</v>
      </c>
      <c r="F116" s="1">
        <v>45339</v>
      </c>
      <c r="G116" t="s">
        <v>45</v>
      </c>
      <c r="H116" s="24">
        <v>0</v>
      </c>
      <c r="I116" t="str">
        <f>IF(H116&lt;=0,"",LOOKUP(H116,'Regras e Parâmetros'!$B$4:$B$7,'Regras e Parâmetros'!$A$4:$A$7))</f>
        <v/>
      </c>
      <c r="J116" t="s">
        <v>6456</v>
      </c>
    </row>
    <row r="117" spans="1:12" x14ac:dyDescent="0.3">
      <c r="A117" t="s">
        <v>5201</v>
      </c>
      <c r="B117" s="5" t="s">
        <v>9361</v>
      </c>
      <c r="C117" t="s">
        <v>6456</v>
      </c>
      <c r="D117" t="s">
        <v>5202</v>
      </c>
      <c r="E117" t="s">
        <v>5203</v>
      </c>
      <c r="F117" s="1">
        <v>46073</v>
      </c>
      <c r="G117" t="s">
        <v>51</v>
      </c>
      <c r="H117" s="24">
        <v>0</v>
      </c>
      <c r="I117" t="str">
        <f>IF(H117&lt;=0,"",LOOKUP(H117,'Regras e Parâmetros'!$B$4:$B$7,'Regras e Parâmetros'!$A$4:$A$7))</f>
        <v/>
      </c>
      <c r="J117" t="s">
        <v>6747</v>
      </c>
      <c r="L117" t="s">
        <v>9886</v>
      </c>
    </row>
    <row r="118" spans="1:12" x14ac:dyDescent="0.3">
      <c r="A118" t="s">
        <v>927</v>
      </c>
      <c r="B118" s="5" t="s">
        <v>928</v>
      </c>
      <c r="C118" t="s">
        <v>6456</v>
      </c>
      <c r="D118" t="s">
        <v>929</v>
      </c>
      <c r="E118" t="s">
        <v>930</v>
      </c>
      <c r="F118" s="1">
        <v>44685</v>
      </c>
      <c r="G118" t="s">
        <v>45</v>
      </c>
      <c r="H118" s="24">
        <v>3343</v>
      </c>
      <c r="I118" t="str">
        <f>IF(H118&lt;=0,"",LOOKUP(H118,'Regras e Parâmetros'!$B$4:$B$7,'Regras e Parâmetros'!$A$4:$A$7))</f>
        <v>Prata</v>
      </c>
      <c r="J118" t="s">
        <v>9790</v>
      </c>
      <c r="K118" t="s">
        <v>8</v>
      </c>
    </row>
    <row r="119" spans="1:12" x14ac:dyDescent="0.3">
      <c r="A119" t="s">
        <v>6864</v>
      </c>
      <c r="B119" s="5" t="s">
        <v>6865</v>
      </c>
      <c r="C119" t="s">
        <v>6456</v>
      </c>
      <c r="D119" t="s">
        <v>750</v>
      </c>
      <c r="E119" t="s">
        <v>6866</v>
      </c>
      <c r="F119" s="1">
        <v>44610</v>
      </c>
      <c r="G119" t="s">
        <v>22</v>
      </c>
      <c r="H119" s="24">
        <v>252</v>
      </c>
      <c r="I119" t="str">
        <f>IF(H119&lt;=0,"",LOOKUP(H119,'Regras e Parâmetros'!$B$4:$B$7,'Regras e Parâmetros'!$A$4:$A$7))</f>
        <v>Bronze</v>
      </c>
      <c r="J119" t="s">
        <v>9790</v>
      </c>
      <c r="K119" t="s">
        <v>44</v>
      </c>
    </row>
    <row r="120" spans="1:12" x14ac:dyDescent="0.3">
      <c r="A120" t="s">
        <v>3773</v>
      </c>
      <c r="B120" s="5" t="s">
        <v>8511</v>
      </c>
      <c r="C120" t="s">
        <v>6456</v>
      </c>
      <c r="D120" t="s">
        <v>3774</v>
      </c>
      <c r="E120" t="s">
        <v>3775</v>
      </c>
      <c r="F120" s="1">
        <v>45654</v>
      </c>
      <c r="G120" t="s">
        <v>18</v>
      </c>
      <c r="H120" s="24">
        <v>672</v>
      </c>
      <c r="I120" t="str">
        <f>IF(H120&lt;=0,"",LOOKUP(H120,'Regras e Parâmetros'!$B$4:$B$7,'Regras e Parâmetros'!$A$4:$A$7))</f>
        <v>Bronze</v>
      </c>
      <c r="J120" t="s">
        <v>6747</v>
      </c>
      <c r="L120" t="s">
        <v>9792</v>
      </c>
    </row>
    <row r="121" spans="1:12" x14ac:dyDescent="0.3">
      <c r="A121" t="s">
        <v>3184</v>
      </c>
      <c r="B121" s="5" t="s">
        <v>8202</v>
      </c>
      <c r="C121" t="s">
        <v>6456</v>
      </c>
      <c r="D121" t="s">
        <v>3185</v>
      </c>
      <c r="E121" t="s">
        <v>3186</v>
      </c>
      <c r="F121" s="1">
        <v>45459</v>
      </c>
      <c r="G121" t="s">
        <v>51</v>
      </c>
      <c r="H121" s="24">
        <v>466</v>
      </c>
      <c r="I121" t="str">
        <f>IF(H121&lt;=0,"",LOOKUP(H121,'Regras e Parâmetros'!$B$4:$B$7,'Regras e Parâmetros'!$A$4:$A$7))</f>
        <v>Bronze</v>
      </c>
      <c r="J121" t="s">
        <v>6747</v>
      </c>
    </row>
    <row r="122" spans="1:12" x14ac:dyDescent="0.3">
      <c r="A122" t="s">
        <v>5822</v>
      </c>
      <c r="B122" s="5" t="s">
        <v>9713</v>
      </c>
      <c r="C122" t="s">
        <v>6456</v>
      </c>
      <c r="D122" t="s">
        <v>5823</v>
      </c>
      <c r="E122" t="s">
        <v>9714</v>
      </c>
      <c r="F122" s="1">
        <v>46246</v>
      </c>
      <c r="G122" t="s">
        <v>45</v>
      </c>
      <c r="H122" s="24">
        <v>0</v>
      </c>
      <c r="I122" t="str">
        <f>IF(H122&lt;=0,"",LOOKUP(H122,'Regras e Parâmetros'!$B$4:$B$7,'Regras e Parâmetros'!$A$4:$A$7))</f>
        <v/>
      </c>
      <c r="J122" t="s">
        <v>9790</v>
      </c>
      <c r="L122" t="s">
        <v>9883</v>
      </c>
    </row>
    <row r="123" spans="1:12" x14ac:dyDescent="0.3">
      <c r="A123" t="s">
        <v>4031</v>
      </c>
      <c r="B123" s="5" t="s">
        <v>4032</v>
      </c>
      <c r="C123" t="s">
        <v>6456</v>
      </c>
      <c r="D123" t="s">
        <v>4033</v>
      </c>
      <c r="E123" t="s">
        <v>4034</v>
      </c>
      <c r="F123" s="1">
        <v>45728</v>
      </c>
      <c r="G123" t="s">
        <v>18</v>
      </c>
      <c r="H123" s="24">
        <v>0</v>
      </c>
      <c r="I123" t="str">
        <f>IF(H123&lt;=0,"",LOOKUP(H123,'Regras e Parâmetros'!$B$4:$B$7,'Regras e Parâmetros'!$A$4:$A$7))</f>
        <v/>
      </c>
      <c r="J123" t="s">
        <v>6747</v>
      </c>
      <c r="K123" t="s">
        <v>72</v>
      </c>
      <c r="L123" t="s">
        <v>9886</v>
      </c>
    </row>
    <row r="124" spans="1:12" x14ac:dyDescent="0.3">
      <c r="A124" t="s">
        <v>4562</v>
      </c>
      <c r="B124" s="5" t="s">
        <v>8994</v>
      </c>
      <c r="C124" t="s">
        <v>6456</v>
      </c>
      <c r="D124" t="s">
        <v>4563</v>
      </c>
      <c r="E124" t="s">
        <v>8995</v>
      </c>
      <c r="F124" s="1">
        <v>45886</v>
      </c>
      <c r="G124" t="s">
        <v>110</v>
      </c>
      <c r="H124" s="24">
        <v>0</v>
      </c>
      <c r="I124" t="str">
        <f>IF(H124&lt;=0,"",LOOKUP(H124,'Regras e Parâmetros'!$B$4:$B$7,'Regras e Parâmetros'!$A$4:$A$7))</f>
        <v/>
      </c>
      <c r="J124" t="s">
        <v>9790</v>
      </c>
      <c r="L124" t="s">
        <v>9883</v>
      </c>
    </row>
    <row r="125" spans="1:12" x14ac:dyDescent="0.3">
      <c r="A125" t="s">
        <v>1005</v>
      </c>
      <c r="B125" s="5" t="s">
        <v>7049</v>
      </c>
      <c r="C125" t="s">
        <v>6456</v>
      </c>
      <c r="D125" t="s">
        <v>1006</v>
      </c>
      <c r="E125" t="s">
        <v>7050</v>
      </c>
      <c r="F125" s="1">
        <v>44732</v>
      </c>
      <c r="G125" t="s">
        <v>110</v>
      </c>
      <c r="H125" s="24">
        <v>1711</v>
      </c>
      <c r="I125" t="str">
        <f>IF(H125&lt;=0,"",LOOKUP(H125,'Regras e Parâmetros'!$B$4:$B$7,'Regras e Parâmetros'!$A$4:$A$7))</f>
        <v>Prata</v>
      </c>
      <c r="J125" t="s">
        <v>9790</v>
      </c>
    </row>
    <row r="126" spans="1:12" x14ac:dyDescent="0.3">
      <c r="A126" t="s">
        <v>682</v>
      </c>
      <c r="B126" s="5" t="s">
        <v>6824</v>
      </c>
      <c r="C126" t="s">
        <v>6456</v>
      </c>
      <c r="D126" t="s">
        <v>683</v>
      </c>
      <c r="E126" t="s">
        <v>684</v>
      </c>
      <c r="F126" s="1">
        <v>44585</v>
      </c>
      <c r="G126" t="s">
        <v>110</v>
      </c>
      <c r="H126" s="24">
        <v>665</v>
      </c>
      <c r="I126" t="str">
        <f>IF(H126&lt;=0,"",LOOKUP(H126,'Regras e Parâmetros'!$B$4:$B$7,'Regras e Parâmetros'!$A$4:$A$7))</f>
        <v>Bronze</v>
      </c>
      <c r="J126" t="s">
        <v>6456</v>
      </c>
      <c r="K126" t="s">
        <v>187</v>
      </c>
      <c r="L126" t="s">
        <v>9792</v>
      </c>
    </row>
    <row r="127" spans="1:12" x14ac:dyDescent="0.3">
      <c r="A127" t="s">
        <v>7890</v>
      </c>
      <c r="B127" s="5" t="s">
        <v>2555</v>
      </c>
      <c r="C127" t="s">
        <v>6456</v>
      </c>
      <c r="D127" t="s">
        <v>2556</v>
      </c>
      <c r="E127" t="s">
        <v>7891</v>
      </c>
      <c r="F127" s="1">
        <v>45215</v>
      </c>
      <c r="G127" t="s">
        <v>110</v>
      </c>
      <c r="H127" s="24">
        <v>512</v>
      </c>
      <c r="I127" t="str">
        <f>IF(H127&lt;=0,"",LOOKUP(H127,'Regras e Parâmetros'!$B$4:$B$7,'Regras e Parâmetros'!$A$4:$A$7))</f>
        <v>Bronze</v>
      </c>
      <c r="J127" t="s">
        <v>6456</v>
      </c>
    </row>
    <row r="128" spans="1:12" x14ac:dyDescent="0.3">
      <c r="A128" t="s">
        <v>4427</v>
      </c>
      <c r="B128" s="5" t="s">
        <v>4428</v>
      </c>
      <c r="C128" t="s">
        <v>6456</v>
      </c>
      <c r="D128" t="s">
        <v>4429</v>
      </c>
      <c r="E128" t="s">
        <v>4430</v>
      </c>
      <c r="F128" s="1">
        <v>45847</v>
      </c>
      <c r="G128" t="s">
        <v>51</v>
      </c>
      <c r="H128" s="24">
        <v>0</v>
      </c>
      <c r="I128" t="str">
        <f>IF(H128&lt;=0,"",LOOKUP(H128,'Regras e Parâmetros'!$B$4:$B$7,'Regras e Parâmetros'!$A$4:$A$7))</f>
        <v/>
      </c>
      <c r="J128" t="s">
        <v>6747</v>
      </c>
      <c r="L128" t="s">
        <v>9883</v>
      </c>
    </row>
    <row r="129" spans="1:12" x14ac:dyDescent="0.3">
      <c r="A129" t="s">
        <v>924</v>
      </c>
      <c r="B129" s="5" t="s">
        <v>6972</v>
      </c>
      <c r="C129" t="s">
        <v>6456</v>
      </c>
      <c r="D129" t="s">
        <v>925</v>
      </c>
      <c r="E129" t="s">
        <v>926</v>
      </c>
      <c r="F129" s="1">
        <v>44679</v>
      </c>
      <c r="G129" t="s">
        <v>100</v>
      </c>
      <c r="H129" s="24">
        <v>6053</v>
      </c>
      <c r="I129" t="str">
        <f>IF(H129&lt;=0,"",LOOKUP(H129,'Regras e Parâmetros'!$B$4:$B$7,'Regras e Parâmetros'!$A$4:$A$7))</f>
        <v>Ouro</v>
      </c>
      <c r="J129" t="s">
        <v>6456</v>
      </c>
    </row>
    <row r="130" spans="1:12" x14ac:dyDescent="0.3">
      <c r="A130" t="s">
        <v>8591</v>
      </c>
      <c r="B130" s="5" t="s">
        <v>8592</v>
      </c>
      <c r="C130" t="s">
        <v>6456</v>
      </c>
      <c r="D130" t="s">
        <v>3885</v>
      </c>
      <c r="E130" t="s">
        <v>3886</v>
      </c>
      <c r="F130" s="1">
        <v>45687</v>
      </c>
      <c r="G130" t="s">
        <v>45</v>
      </c>
      <c r="H130" s="24">
        <v>0</v>
      </c>
      <c r="I130" t="str">
        <f>IF(H130&lt;=0,"",LOOKUP(H130,'Regras e Parâmetros'!$B$4:$B$7,'Regras e Parâmetros'!$A$4:$A$7))</f>
        <v/>
      </c>
      <c r="J130" t="s">
        <v>6456</v>
      </c>
      <c r="L130" t="s">
        <v>9883</v>
      </c>
    </row>
    <row r="131" spans="1:12" x14ac:dyDescent="0.3">
      <c r="A131" t="s">
        <v>5284</v>
      </c>
      <c r="B131" s="5" t="s">
        <v>9419</v>
      </c>
      <c r="C131" t="s">
        <v>6456</v>
      </c>
      <c r="D131" t="s">
        <v>5285</v>
      </c>
      <c r="E131" t="s">
        <v>9420</v>
      </c>
      <c r="F131" s="1">
        <v>46104</v>
      </c>
      <c r="G131" t="s">
        <v>45</v>
      </c>
      <c r="H131" s="24">
        <v>0</v>
      </c>
      <c r="I131" t="str">
        <f>IF(H131&lt;=0,"",LOOKUP(H131,'Regras e Parâmetros'!$B$4:$B$7,'Regras e Parâmetros'!$A$4:$A$7))</f>
        <v/>
      </c>
      <c r="J131" t="s">
        <v>9790</v>
      </c>
      <c r="L131" t="s">
        <v>9883</v>
      </c>
    </row>
    <row r="132" spans="1:12" x14ac:dyDescent="0.3">
      <c r="A132" t="s">
        <v>5813</v>
      </c>
      <c r="B132" s="5" t="s">
        <v>9711</v>
      </c>
      <c r="C132" t="s">
        <v>6456</v>
      </c>
      <c r="D132" t="s">
        <v>5814</v>
      </c>
      <c r="E132" t="s">
        <v>5815</v>
      </c>
      <c r="F132" s="1">
        <v>46246</v>
      </c>
      <c r="G132" t="s">
        <v>45</v>
      </c>
      <c r="H132" s="24">
        <v>0</v>
      </c>
      <c r="I132" t="str">
        <f>IF(H132&lt;=0,"",LOOKUP(H132,'Regras e Parâmetros'!$B$4:$B$7,'Regras e Parâmetros'!$A$4:$A$7))</f>
        <v/>
      </c>
      <c r="J132" t="s">
        <v>6747</v>
      </c>
      <c r="K132" t="s">
        <v>708</v>
      </c>
      <c r="L132" t="s">
        <v>9883</v>
      </c>
    </row>
    <row r="133" spans="1:12" x14ac:dyDescent="0.3">
      <c r="A133" t="s">
        <v>3930</v>
      </c>
      <c r="B133" s="5" t="s">
        <v>3931</v>
      </c>
      <c r="C133" t="s">
        <v>6456</v>
      </c>
      <c r="D133" t="s">
        <v>3932</v>
      </c>
      <c r="E133" t="s">
        <v>8629</v>
      </c>
      <c r="F133" s="1">
        <v>45698</v>
      </c>
      <c r="G133" t="s">
        <v>100</v>
      </c>
      <c r="H133" s="24">
        <v>0</v>
      </c>
      <c r="I133" t="str">
        <f>IF(H133&lt;=0,"",LOOKUP(H133,'Regras e Parâmetros'!$B$4:$B$7,'Regras e Parâmetros'!$A$4:$A$7))</f>
        <v/>
      </c>
      <c r="J133" t="s">
        <v>9790</v>
      </c>
      <c r="L133" t="s">
        <v>9883</v>
      </c>
    </row>
    <row r="134" spans="1:12" x14ac:dyDescent="0.3">
      <c r="A134" t="s">
        <v>5258</v>
      </c>
      <c r="B134" s="5" t="s">
        <v>9399</v>
      </c>
      <c r="C134" t="s">
        <v>6456</v>
      </c>
      <c r="D134" t="s">
        <v>5259</v>
      </c>
      <c r="E134" t="s">
        <v>9400</v>
      </c>
      <c r="F134" s="1">
        <v>46093</v>
      </c>
      <c r="G134" t="s">
        <v>22</v>
      </c>
      <c r="H134" s="24">
        <v>0</v>
      </c>
      <c r="I134" t="str">
        <f>IF(H134&lt;=0,"",LOOKUP(H134,'Regras e Parâmetros'!$B$4:$B$7,'Regras e Parâmetros'!$A$4:$A$7))</f>
        <v/>
      </c>
      <c r="J134" t="s">
        <v>9790</v>
      </c>
      <c r="L134" t="s">
        <v>9883</v>
      </c>
    </row>
    <row r="135" spans="1:12" x14ac:dyDescent="0.3">
      <c r="A135" t="s">
        <v>1928</v>
      </c>
      <c r="B135" s="5" t="s">
        <v>7546</v>
      </c>
      <c r="C135" t="s">
        <v>6456</v>
      </c>
      <c r="D135" t="s">
        <v>1929</v>
      </c>
      <c r="E135" t="s">
        <v>7547</v>
      </c>
      <c r="F135" s="1">
        <v>45019</v>
      </c>
      <c r="G135" t="s">
        <v>22</v>
      </c>
      <c r="H135" s="24">
        <v>90</v>
      </c>
      <c r="I135" t="str">
        <f>IF(H135&lt;=0,"",LOOKUP(H135,'Regras e Parâmetros'!$B$4:$B$7,'Regras e Parâmetros'!$A$4:$A$7))</f>
        <v>Bronze</v>
      </c>
      <c r="J135" t="s">
        <v>9790</v>
      </c>
    </row>
    <row r="136" spans="1:12" x14ac:dyDescent="0.3">
      <c r="A136" t="s">
        <v>5434</v>
      </c>
      <c r="B136" s="5" t="s">
        <v>3272</v>
      </c>
      <c r="C136" t="s">
        <v>6456</v>
      </c>
      <c r="D136" t="s">
        <v>3273</v>
      </c>
      <c r="E136" t="s">
        <v>8249</v>
      </c>
      <c r="F136" s="1">
        <v>45489</v>
      </c>
      <c r="G136" t="s">
        <v>51</v>
      </c>
      <c r="H136" s="24">
        <v>1100</v>
      </c>
      <c r="I136" t="str">
        <f>IF(H136&lt;=0,"",LOOKUP(H136,'Regras e Parâmetros'!$B$4:$B$7,'Regras e Parâmetros'!$A$4:$A$7))</f>
        <v>Bronze</v>
      </c>
      <c r="J136" t="s">
        <v>6456</v>
      </c>
      <c r="L136" t="s">
        <v>9793</v>
      </c>
    </row>
    <row r="137" spans="1:12" x14ac:dyDescent="0.3">
      <c r="A137" t="s">
        <v>5434</v>
      </c>
      <c r="B137" s="5" t="s">
        <v>5435</v>
      </c>
      <c r="C137" t="s">
        <v>6456</v>
      </c>
      <c r="D137" t="s">
        <v>5436</v>
      </c>
      <c r="E137" t="s">
        <v>5437</v>
      </c>
      <c r="F137" s="1">
        <v>46141</v>
      </c>
      <c r="G137" t="s">
        <v>51</v>
      </c>
      <c r="H137" s="24">
        <v>0</v>
      </c>
      <c r="I137" t="str">
        <f>IF(H137&lt;=0,"",LOOKUP(H137,'Regras e Parâmetros'!$B$4:$B$7,'Regras e Parâmetros'!$A$4:$A$7))</f>
        <v/>
      </c>
      <c r="J137" t="s">
        <v>6747</v>
      </c>
      <c r="L137" t="s">
        <v>9886</v>
      </c>
    </row>
    <row r="138" spans="1:12" x14ac:dyDescent="0.3">
      <c r="A138" t="s">
        <v>2964</v>
      </c>
      <c r="B138" s="5" t="s">
        <v>2965</v>
      </c>
      <c r="C138" t="s">
        <v>6456</v>
      </c>
      <c r="D138" t="s">
        <v>2966</v>
      </c>
      <c r="E138" t="s">
        <v>2967</v>
      </c>
      <c r="F138" s="1">
        <v>45382</v>
      </c>
      <c r="G138" t="s">
        <v>45</v>
      </c>
      <c r="H138" s="24">
        <v>1000</v>
      </c>
      <c r="I138" t="str">
        <f>IF(H138&lt;=0,"",LOOKUP(H138,'Regras e Parâmetros'!$B$4:$B$7,'Regras e Parâmetros'!$A$4:$A$7))</f>
        <v>Bronze</v>
      </c>
      <c r="J138" t="s">
        <v>9790</v>
      </c>
      <c r="L138" t="s">
        <v>9793</v>
      </c>
    </row>
    <row r="139" spans="1:12" x14ac:dyDescent="0.3">
      <c r="A139" t="s">
        <v>4125</v>
      </c>
      <c r="B139" s="5" t="s">
        <v>8733</v>
      </c>
      <c r="C139" t="s">
        <v>6456</v>
      </c>
      <c r="D139" t="s">
        <v>4126</v>
      </c>
      <c r="E139" t="s">
        <v>8734</v>
      </c>
      <c r="F139" s="1">
        <v>45750</v>
      </c>
      <c r="G139" t="s">
        <v>22</v>
      </c>
      <c r="H139" s="24">
        <v>0</v>
      </c>
      <c r="I139" t="str">
        <f>IF(H139&lt;=0,"",LOOKUP(H139,'Regras e Parâmetros'!$B$4:$B$7,'Regras e Parâmetros'!$A$4:$A$7))</f>
        <v/>
      </c>
      <c r="J139" t="s">
        <v>9790</v>
      </c>
      <c r="K139" t="s">
        <v>44</v>
      </c>
      <c r="L139" t="s">
        <v>9883</v>
      </c>
    </row>
    <row r="140" spans="1:12" x14ac:dyDescent="0.3">
      <c r="A140" t="s">
        <v>1865</v>
      </c>
      <c r="B140" s="5" t="s">
        <v>7507</v>
      </c>
      <c r="C140" t="s">
        <v>6456</v>
      </c>
      <c r="D140" t="s">
        <v>1866</v>
      </c>
      <c r="E140" t="s">
        <v>10084</v>
      </c>
      <c r="F140" s="1">
        <v>44996</v>
      </c>
      <c r="G140" t="s">
        <v>100</v>
      </c>
      <c r="H140" s="24">
        <v>497</v>
      </c>
      <c r="I140" t="str">
        <f>IF(H140&lt;=0,"",LOOKUP(H140,'Regras e Parâmetros'!$B$4:$B$7,'Regras e Parâmetros'!$A$4:$A$7))</f>
        <v>Bronze</v>
      </c>
      <c r="J140" t="s">
        <v>6747</v>
      </c>
    </row>
    <row r="141" spans="1:12" x14ac:dyDescent="0.3">
      <c r="A141" t="s">
        <v>1865</v>
      </c>
      <c r="B141" s="5" t="s">
        <v>8672</v>
      </c>
      <c r="C141" t="s">
        <v>6456</v>
      </c>
      <c r="D141" t="s">
        <v>4023</v>
      </c>
      <c r="E141" t="s">
        <v>4024</v>
      </c>
      <c r="F141" s="1">
        <v>45724</v>
      </c>
      <c r="G141" t="s">
        <v>110</v>
      </c>
      <c r="H141" s="24">
        <v>0</v>
      </c>
      <c r="I141" t="str">
        <f>IF(H141&lt;=0,"",LOOKUP(H141,'Regras e Parâmetros'!$B$4:$B$7,'Regras e Parâmetros'!$A$4:$A$7))</f>
        <v/>
      </c>
      <c r="J141" t="s">
        <v>9790</v>
      </c>
      <c r="L141" t="s">
        <v>9883</v>
      </c>
    </row>
    <row r="142" spans="1:12" x14ac:dyDescent="0.3">
      <c r="A142" t="s">
        <v>1007</v>
      </c>
      <c r="B142" s="5" t="s">
        <v>7166</v>
      </c>
      <c r="C142" t="s">
        <v>6456</v>
      </c>
      <c r="D142" t="s">
        <v>2304</v>
      </c>
      <c r="E142" t="s">
        <v>2305</v>
      </c>
      <c r="F142" s="1">
        <v>44824</v>
      </c>
      <c r="G142" t="s">
        <v>22</v>
      </c>
      <c r="H142" s="24">
        <v>10498</v>
      </c>
      <c r="I142" t="str">
        <f>IF(H142&lt;=0,"",LOOKUP(H142,'Regras e Parâmetros'!$B$4:$B$7,'Regras e Parâmetros'!$A$4:$A$7))</f>
        <v>Vip</v>
      </c>
      <c r="J142" t="s">
        <v>6456</v>
      </c>
      <c r="K142" t="s">
        <v>9827</v>
      </c>
    </row>
    <row r="143" spans="1:12" x14ac:dyDescent="0.3">
      <c r="A143" t="s">
        <v>510</v>
      </c>
      <c r="B143" s="5" t="s">
        <v>511</v>
      </c>
      <c r="C143" t="s">
        <v>6456</v>
      </c>
      <c r="D143" t="s">
        <v>512</v>
      </c>
      <c r="E143" t="s">
        <v>513</v>
      </c>
      <c r="F143" s="1">
        <v>44522</v>
      </c>
      <c r="G143" t="s">
        <v>45</v>
      </c>
      <c r="H143" s="24">
        <v>0</v>
      </c>
      <c r="I143" t="str">
        <f>IF(H143&lt;=0,"",LOOKUP(H143,'Regras e Parâmetros'!$B$4:$B$7,'Regras e Parâmetros'!$A$4:$A$7))</f>
        <v/>
      </c>
      <c r="J143" t="s">
        <v>6747</v>
      </c>
      <c r="K143" t="s">
        <v>72</v>
      </c>
    </row>
    <row r="144" spans="1:12" x14ac:dyDescent="0.3">
      <c r="A144" t="s">
        <v>6828</v>
      </c>
      <c r="B144" s="5" t="s">
        <v>6829</v>
      </c>
      <c r="C144" t="s">
        <v>6456</v>
      </c>
      <c r="D144" t="s">
        <v>2284</v>
      </c>
      <c r="E144" t="s">
        <v>2285</v>
      </c>
      <c r="F144" s="1">
        <v>44588</v>
      </c>
      <c r="G144" t="s">
        <v>110</v>
      </c>
      <c r="H144" s="24">
        <v>391</v>
      </c>
      <c r="I144" t="str">
        <f>IF(H144&lt;=0,"",LOOKUP(H144,'Regras e Parâmetros'!$B$4:$B$7,'Regras e Parâmetros'!$A$4:$A$7))</f>
        <v>Bronze</v>
      </c>
      <c r="J144" t="s">
        <v>9790</v>
      </c>
      <c r="K144" t="s">
        <v>9805</v>
      </c>
    </row>
    <row r="145" spans="1:12" x14ac:dyDescent="0.3">
      <c r="A145" t="s">
        <v>4383</v>
      </c>
      <c r="B145" s="5" t="s">
        <v>4384</v>
      </c>
      <c r="C145" t="s">
        <v>6456</v>
      </c>
      <c r="D145" t="s">
        <v>4385</v>
      </c>
      <c r="E145" t="s">
        <v>4386</v>
      </c>
      <c r="F145" s="1">
        <v>45832</v>
      </c>
      <c r="G145" t="s">
        <v>100</v>
      </c>
      <c r="H145" s="24">
        <v>0</v>
      </c>
      <c r="I145" t="str">
        <f>IF(H145&lt;=0,"",LOOKUP(H145,'Regras e Parâmetros'!$B$4:$B$7,'Regras e Parâmetros'!$A$4:$A$7))</f>
        <v/>
      </c>
      <c r="J145" t="s">
        <v>9790</v>
      </c>
      <c r="L145" t="s">
        <v>9883</v>
      </c>
    </row>
    <row r="146" spans="1:12" x14ac:dyDescent="0.3">
      <c r="A146" t="s">
        <v>8250</v>
      </c>
      <c r="B146" s="5" t="s">
        <v>8251</v>
      </c>
      <c r="C146" t="s">
        <v>6456</v>
      </c>
      <c r="D146" t="s">
        <v>3274</v>
      </c>
      <c r="E146" t="s">
        <v>3275</v>
      </c>
      <c r="F146" s="1">
        <v>45489</v>
      </c>
      <c r="G146" t="s">
        <v>110</v>
      </c>
      <c r="H146" s="24">
        <v>868</v>
      </c>
      <c r="I146" t="str">
        <f>IF(H146&lt;=0,"",LOOKUP(H146,'Regras e Parâmetros'!$B$4:$B$7,'Regras e Parâmetros'!$A$4:$A$7))</f>
        <v>Bronze</v>
      </c>
      <c r="J146" t="s">
        <v>9790</v>
      </c>
    </row>
    <row r="147" spans="1:12" x14ac:dyDescent="0.3">
      <c r="A147" t="s">
        <v>569</v>
      </c>
      <c r="B147" s="5" t="s">
        <v>570</v>
      </c>
      <c r="C147" t="s">
        <v>6456</v>
      </c>
      <c r="D147" t="s">
        <v>571</v>
      </c>
      <c r="E147" t="s">
        <v>572</v>
      </c>
      <c r="F147" s="1">
        <v>44544</v>
      </c>
      <c r="G147" t="s">
        <v>22</v>
      </c>
      <c r="H147" s="24">
        <v>470</v>
      </c>
      <c r="I147" t="str">
        <f>IF(H147&lt;=0,"",LOOKUP(H147,'Regras e Parâmetros'!$B$4:$B$7,'Regras e Parâmetros'!$A$4:$A$7))</f>
        <v>Bronze</v>
      </c>
      <c r="J147" t="s">
        <v>9790</v>
      </c>
    </row>
    <row r="148" spans="1:12" x14ac:dyDescent="0.3">
      <c r="A148" t="s">
        <v>4674</v>
      </c>
      <c r="B148" s="5" t="s">
        <v>9048</v>
      </c>
      <c r="C148" t="s">
        <v>6456</v>
      </c>
      <c r="D148" t="s">
        <v>4675</v>
      </c>
      <c r="E148" t="s">
        <v>9049</v>
      </c>
      <c r="F148" s="1">
        <v>45920</v>
      </c>
      <c r="G148" t="s">
        <v>110</v>
      </c>
      <c r="H148" s="24">
        <v>0</v>
      </c>
      <c r="I148" t="str">
        <f>IF(H148&lt;=0,"",LOOKUP(H148,'Regras e Parâmetros'!$B$4:$B$7,'Regras e Parâmetros'!$A$4:$A$7))</f>
        <v/>
      </c>
      <c r="J148" t="s">
        <v>6456</v>
      </c>
      <c r="K148" t="s">
        <v>8</v>
      </c>
      <c r="L148" t="s">
        <v>9883</v>
      </c>
    </row>
    <row r="149" spans="1:12" x14ac:dyDescent="0.3">
      <c r="A149" t="s">
        <v>1379</v>
      </c>
      <c r="B149" s="5" t="s">
        <v>7220</v>
      </c>
      <c r="C149" t="s">
        <v>6456</v>
      </c>
      <c r="D149" t="s">
        <v>1380</v>
      </c>
      <c r="E149" t="s">
        <v>7221</v>
      </c>
      <c r="F149" s="1">
        <v>44850</v>
      </c>
      <c r="G149" t="s">
        <v>51</v>
      </c>
      <c r="H149" s="24">
        <v>1703</v>
      </c>
      <c r="I149" t="str">
        <f>IF(H149&lt;=0,"",LOOKUP(H149,'Regras e Parâmetros'!$B$4:$B$7,'Regras e Parâmetros'!$A$4:$A$7))</f>
        <v>Prata</v>
      </c>
      <c r="J149" t="s">
        <v>6747</v>
      </c>
    </row>
    <row r="150" spans="1:12" x14ac:dyDescent="0.3">
      <c r="A150" t="s">
        <v>9453</v>
      </c>
      <c r="B150" s="5" t="s">
        <v>5417</v>
      </c>
      <c r="C150" t="s">
        <v>6456</v>
      </c>
      <c r="D150" t="s">
        <v>5418</v>
      </c>
      <c r="E150" t="s">
        <v>9454</v>
      </c>
      <c r="F150" s="1">
        <v>46113</v>
      </c>
      <c r="G150" t="s">
        <v>110</v>
      </c>
      <c r="H150" s="24">
        <v>0</v>
      </c>
      <c r="I150" t="str">
        <f>IF(H150&lt;=0,"",LOOKUP(H150,'Regras e Parâmetros'!$B$4:$B$7,'Regras e Parâmetros'!$A$4:$A$7))</f>
        <v/>
      </c>
      <c r="J150" t="s">
        <v>6747</v>
      </c>
      <c r="K150" t="s">
        <v>72</v>
      </c>
      <c r="L150" t="s">
        <v>9884</v>
      </c>
    </row>
    <row r="151" spans="1:12" x14ac:dyDescent="0.3">
      <c r="A151" t="s">
        <v>5404</v>
      </c>
      <c r="B151" s="5" t="s">
        <v>9478</v>
      </c>
      <c r="C151" t="s">
        <v>6456</v>
      </c>
      <c r="D151" t="s">
        <v>5405</v>
      </c>
      <c r="E151" t="s">
        <v>5406</v>
      </c>
      <c r="F151" s="1">
        <v>46131</v>
      </c>
      <c r="G151" t="s">
        <v>110</v>
      </c>
      <c r="H151" s="24">
        <v>0</v>
      </c>
      <c r="I151" t="str">
        <f>IF(H151&lt;=0,"",LOOKUP(H151,'Regras e Parâmetros'!$B$4:$B$7,'Regras e Parâmetros'!$A$4:$A$7))</f>
        <v/>
      </c>
      <c r="J151" t="s">
        <v>6456</v>
      </c>
      <c r="L151" t="s">
        <v>9883</v>
      </c>
    </row>
    <row r="152" spans="1:12" x14ac:dyDescent="0.3">
      <c r="A152" t="s">
        <v>8560</v>
      </c>
      <c r="B152" s="5" t="s">
        <v>8561</v>
      </c>
      <c r="C152" t="s">
        <v>6456</v>
      </c>
      <c r="D152" t="s">
        <v>3844</v>
      </c>
      <c r="E152" t="s">
        <v>8562</v>
      </c>
      <c r="F152" s="1">
        <v>45677</v>
      </c>
      <c r="G152" t="s">
        <v>45</v>
      </c>
      <c r="H152" s="24">
        <v>0</v>
      </c>
      <c r="I152" t="str">
        <f>IF(H152&lt;=0,"",LOOKUP(H152,'Regras e Parâmetros'!$B$4:$B$7,'Regras e Parâmetros'!$A$4:$A$7))</f>
        <v/>
      </c>
      <c r="J152" t="s">
        <v>6747</v>
      </c>
      <c r="K152" t="s">
        <v>187</v>
      </c>
      <c r="L152" t="s">
        <v>9883</v>
      </c>
    </row>
    <row r="153" spans="1:12" x14ac:dyDescent="0.3">
      <c r="A153" t="s">
        <v>8983</v>
      </c>
      <c r="B153" s="5" t="s">
        <v>4548</v>
      </c>
      <c r="C153" t="s">
        <v>6456</v>
      </c>
      <c r="D153" t="s">
        <v>4549</v>
      </c>
      <c r="E153" t="s">
        <v>4550</v>
      </c>
      <c r="F153" s="1">
        <v>45883</v>
      </c>
      <c r="G153" t="s">
        <v>22</v>
      </c>
      <c r="H153" s="24">
        <v>0</v>
      </c>
      <c r="I153" t="str">
        <f>IF(H153&lt;=0,"",LOOKUP(H153,'Regras e Parâmetros'!$B$4:$B$7,'Regras e Parâmetros'!$A$4:$A$7))</f>
        <v/>
      </c>
      <c r="J153" t="s">
        <v>6456</v>
      </c>
      <c r="L153" t="s">
        <v>9883</v>
      </c>
    </row>
    <row r="154" spans="1:12" x14ac:dyDescent="0.3">
      <c r="A154" t="s">
        <v>4935</v>
      </c>
      <c r="B154" s="5" t="s">
        <v>9205</v>
      </c>
      <c r="C154" t="s">
        <v>6456</v>
      </c>
      <c r="D154" t="s">
        <v>4936</v>
      </c>
      <c r="E154" t="s">
        <v>4937</v>
      </c>
      <c r="F154" s="1">
        <v>45992</v>
      </c>
      <c r="G154" t="s">
        <v>18</v>
      </c>
      <c r="H154" s="24">
        <v>0</v>
      </c>
      <c r="I154" t="str">
        <f>IF(H154&lt;=0,"",LOOKUP(H154,'Regras e Parâmetros'!$B$4:$B$7,'Regras e Parâmetros'!$A$4:$A$7))</f>
        <v/>
      </c>
      <c r="J154" t="s">
        <v>6456</v>
      </c>
      <c r="L154" t="s">
        <v>9883</v>
      </c>
    </row>
    <row r="155" spans="1:12" x14ac:dyDescent="0.3">
      <c r="A155" t="s">
        <v>7536</v>
      </c>
      <c r="B155" s="5" t="s">
        <v>1992</v>
      </c>
      <c r="C155" t="s">
        <v>6456</v>
      </c>
      <c r="D155" t="s">
        <v>1993</v>
      </c>
      <c r="E155" t="s">
        <v>1994</v>
      </c>
      <c r="F155" s="1">
        <v>45017</v>
      </c>
      <c r="G155" t="s">
        <v>22</v>
      </c>
      <c r="H155" s="24">
        <v>7552</v>
      </c>
      <c r="I155" t="str">
        <f>IF(H155&lt;=0,"",LOOKUP(H155,'Regras e Parâmetros'!$B$4:$B$7,'Regras e Parâmetros'!$A$4:$A$7))</f>
        <v>Ouro</v>
      </c>
      <c r="J155" t="s">
        <v>6456</v>
      </c>
      <c r="K155" t="s">
        <v>8</v>
      </c>
      <c r="L155" t="s">
        <v>9789</v>
      </c>
    </row>
    <row r="156" spans="1:12" x14ac:dyDescent="0.3">
      <c r="A156" t="s">
        <v>3135</v>
      </c>
      <c r="B156" s="5" t="s">
        <v>8144</v>
      </c>
      <c r="C156" t="s">
        <v>6456</v>
      </c>
      <c r="D156" t="s">
        <v>3136</v>
      </c>
      <c r="E156" t="s">
        <v>8145</v>
      </c>
      <c r="F156" s="1">
        <v>45413</v>
      </c>
      <c r="G156" t="s">
        <v>45</v>
      </c>
      <c r="H156" s="24">
        <v>403</v>
      </c>
      <c r="I156" t="str">
        <f>IF(H156&lt;=0,"",LOOKUP(H156,'Regras e Parâmetros'!$B$4:$B$7,'Regras e Parâmetros'!$A$4:$A$7))</f>
        <v>Bronze</v>
      </c>
      <c r="J156" t="s">
        <v>6747</v>
      </c>
      <c r="L156" t="s">
        <v>9791</v>
      </c>
    </row>
    <row r="157" spans="1:12" x14ac:dyDescent="0.3">
      <c r="A157" t="s">
        <v>4160</v>
      </c>
      <c r="B157" s="5" t="s">
        <v>8756</v>
      </c>
      <c r="C157" t="s">
        <v>6456</v>
      </c>
      <c r="D157" t="s">
        <v>4161</v>
      </c>
      <c r="E157" t="s">
        <v>4162</v>
      </c>
      <c r="F157" s="1">
        <v>45762</v>
      </c>
      <c r="G157" t="s">
        <v>45</v>
      </c>
      <c r="H157" s="24">
        <v>0</v>
      </c>
      <c r="I157" t="str">
        <f>IF(H157&lt;=0,"",LOOKUP(H157,'Regras e Parâmetros'!$B$4:$B$7,'Regras e Parâmetros'!$A$4:$A$7))</f>
        <v/>
      </c>
      <c r="J157" t="s">
        <v>9790</v>
      </c>
      <c r="K157" t="s">
        <v>33</v>
      </c>
      <c r="L157" t="s">
        <v>9883</v>
      </c>
    </row>
    <row r="158" spans="1:12" x14ac:dyDescent="0.3">
      <c r="A158" t="s">
        <v>1674</v>
      </c>
      <c r="B158" s="5" t="s">
        <v>7396</v>
      </c>
      <c r="C158" t="s">
        <v>6456</v>
      </c>
      <c r="D158" t="s">
        <v>1675</v>
      </c>
      <c r="E158" t="s">
        <v>7397</v>
      </c>
      <c r="F158" s="1">
        <v>44935</v>
      </c>
      <c r="G158" t="s">
        <v>110</v>
      </c>
      <c r="H158" s="24">
        <v>181</v>
      </c>
      <c r="I158" t="str">
        <f>IF(H158&lt;=0,"",LOOKUP(H158,'Regras e Parâmetros'!$B$4:$B$7,'Regras e Parâmetros'!$A$4:$A$7))</f>
        <v>Bronze</v>
      </c>
      <c r="J158" t="s">
        <v>9790</v>
      </c>
      <c r="K158" t="s">
        <v>44</v>
      </c>
    </row>
    <row r="159" spans="1:12" x14ac:dyDescent="0.3">
      <c r="A159" t="s">
        <v>1706</v>
      </c>
      <c r="B159" s="5" t="s">
        <v>1707</v>
      </c>
      <c r="C159" t="s">
        <v>6456</v>
      </c>
      <c r="D159" t="s">
        <v>1708</v>
      </c>
      <c r="E159" t="s">
        <v>1709</v>
      </c>
      <c r="F159" s="1">
        <v>44945</v>
      </c>
      <c r="G159" t="s">
        <v>100</v>
      </c>
      <c r="H159" s="24">
        <v>1058</v>
      </c>
      <c r="I159" t="str">
        <f>IF(H159&lt;=0,"",LOOKUP(H159,'Regras e Parâmetros'!$B$4:$B$7,'Regras e Parâmetros'!$A$4:$A$7))</f>
        <v>Bronze</v>
      </c>
      <c r="J159" t="s">
        <v>9790</v>
      </c>
    </row>
    <row r="160" spans="1:12" x14ac:dyDescent="0.3">
      <c r="A160" t="s">
        <v>1706</v>
      </c>
      <c r="B160" s="5" t="s">
        <v>6034</v>
      </c>
      <c r="C160" t="s">
        <v>6456</v>
      </c>
      <c r="D160" t="s">
        <v>1712</v>
      </c>
      <c r="E160" t="s">
        <v>7417</v>
      </c>
      <c r="F160" s="1">
        <v>44947</v>
      </c>
      <c r="G160" t="s">
        <v>51</v>
      </c>
      <c r="H160" s="24">
        <v>4084</v>
      </c>
      <c r="I160" t="str">
        <f>IF(H160&lt;=0,"",LOOKUP(H160,'Regras e Parâmetros'!$B$4:$B$7,'Regras e Parâmetros'!$A$4:$A$7))</f>
        <v>Prata</v>
      </c>
      <c r="J160" t="s">
        <v>6747</v>
      </c>
      <c r="K160" t="s">
        <v>10031</v>
      </c>
    </row>
    <row r="161" spans="1:12" x14ac:dyDescent="0.3">
      <c r="A161" t="s">
        <v>3580</v>
      </c>
      <c r="B161" s="5" t="s">
        <v>8358</v>
      </c>
      <c r="C161" t="s">
        <v>6456</v>
      </c>
      <c r="D161" t="s">
        <v>3581</v>
      </c>
      <c r="E161" t="s">
        <v>8359</v>
      </c>
      <c r="F161" s="1">
        <v>45566</v>
      </c>
      <c r="G161" t="s">
        <v>45</v>
      </c>
      <c r="H161" s="24">
        <v>311</v>
      </c>
      <c r="I161" t="str">
        <f>IF(H161&lt;=0,"",LOOKUP(H161,'Regras e Parâmetros'!$B$4:$B$7,'Regras e Parâmetros'!$A$4:$A$7))</f>
        <v>Bronze</v>
      </c>
      <c r="J161" t="s">
        <v>9790</v>
      </c>
      <c r="L161" t="s">
        <v>9791</v>
      </c>
    </row>
    <row r="162" spans="1:12" x14ac:dyDescent="0.3">
      <c r="A162" t="s">
        <v>1008</v>
      </c>
      <c r="B162" s="5" t="s">
        <v>7017</v>
      </c>
      <c r="C162" t="s">
        <v>6456</v>
      </c>
      <c r="D162" t="s">
        <v>1009</v>
      </c>
      <c r="E162" t="s">
        <v>7018</v>
      </c>
      <c r="F162" s="1">
        <v>44712</v>
      </c>
      <c r="G162" t="s">
        <v>100</v>
      </c>
      <c r="H162" s="24">
        <v>12179</v>
      </c>
      <c r="I162" t="str">
        <f>IF(H162&lt;=0,"",LOOKUP(H162,'Regras e Parâmetros'!$B$4:$B$7,'Regras e Parâmetros'!$A$4:$A$7))</f>
        <v>Vip</v>
      </c>
      <c r="J162" t="s">
        <v>9790</v>
      </c>
      <c r="K162" t="s">
        <v>44</v>
      </c>
    </row>
    <row r="163" spans="1:12" x14ac:dyDescent="0.3">
      <c r="A163" t="s">
        <v>1008</v>
      </c>
      <c r="B163" s="5" t="s">
        <v>9315</v>
      </c>
      <c r="C163" t="s">
        <v>6456</v>
      </c>
      <c r="D163" t="s">
        <v>5137</v>
      </c>
      <c r="E163" t="s">
        <v>5138</v>
      </c>
      <c r="F163" s="1">
        <v>46054</v>
      </c>
      <c r="G163" t="s">
        <v>22</v>
      </c>
      <c r="H163" s="24">
        <v>0</v>
      </c>
      <c r="I163" t="str">
        <f>IF(H163&lt;=0,"",LOOKUP(H163,'Regras e Parâmetros'!$B$4:$B$7,'Regras e Parâmetros'!$A$4:$A$7))</f>
        <v/>
      </c>
      <c r="J163" t="s">
        <v>9790</v>
      </c>
      <c r="L163" t="s">
        <v>9883</v>
      </c>
    </row>
    <row r="164" spans="1:12" x14ac:dyDescent="0.3">
      <c r="A164" t="s">
        <v>3776</v>
      </c>
      <c r="B164" s="5" t="s">
        <v>8447</v>
      </c>
      <c r="C164" t="s">
        <v>6456</v>
      </c>
      <c r="D164" t="s">
        <v>3642</v>
      </c>
      <c r="E164" t="s">
        <v>3643</v>
      </c>
      <c r="F164" s="1">
        <v>45607</v>
      </c>
      <c r="G164" t="s">
        <v>110</v>
      </c>
      <c r="H164" s="24">
        <v>196</v>
      </c>
      <c r="I164" t="str">
        <f>IF(H164&lt;=0,"",LOOKUP(H164,'Regras e Parâmetros'!$B$4:$B$7,'Regras e Parâmetros'!$A$4:$A$7))</f>
        <v>Bronze</v>
      </c>
      <c r="J164" t="s">
        <v>6747</v>
      </c>
    </row>
    <row r="165" spans="1:12" x14ac:dyDescent="0.3">
      <c r="A165" t="s">
        <v>3776</v>
      </c>
      <c r="B165" s="5" t="s">
        <v>8512</v>
      </c>
      <c r="C165" t="s">
        <v>6456</v>
      </c>
      <c r="D165" t="s">
        <v>3777</v>
      </c>
      <c r="E165" t="s">
        <v>3778</v>
      </c>
      <c r="F165" s="1">
        <v>45657</v>
      </c>
      <c r="G165" t="s">
        <v>22</v>
      </c>
      <c r="H165" s="24">
        <v>250</v>
      </c>
      <c r="I165" t="str">
        <f>IF(H165&lt;=0,"",LOOKUP(H165,'Regras e Parâmetros'!$B$4:$B$7,'Regras e Parâmetros'!$A$4:$A$7))</f>
        <v>Bronze</v>
      </c>
      <c r="J165" t="s">
        <v>9790</v>
      </c>
    </row>
    <row r="166" spans="1:12" x14ac:dyDescent="0.3">
      <c r="A166" t="s">
        <v>2179</v>
      </c>
      <c r="B166" s="5" t="s">
        <v>7683</v>
      </c>
      <c r="C166" t="s">
        <v>6456</v>
      </c>
      <c r="D166" t="s">
        <v>3694</v>
      </c>
      <c r="E166" t="s">
        <v>2180</v>
      </c>
      <c r="F166" s="1">
        <v>45105</v>
      </c>
      <c r="G166" t="s">
        <v>100</v>
      </c>
      <c r="H166" s="24">
        <v>10357</v>
      </c>
      <c r="I166" t="str">
        <f>IF(H166&lt;=0,"",LOOKUP(H166,'Regras e Parâmetros'!$B$4:$B$7,'Regras e Parâmetros'!$A$4:$A$7))</f>
        <v>Vip</v>
      </c>
      <c r="J166" t="s">
        <v>6456</v>
      </c>
      <c r="K166" t="s">
        <v>9843</v>
      </c>
    </row>
    <row r="167" spans="1:12" x14ac:dyDescent="0.3">
      <c r="A167" t="s">
        <v>1302</v>
      </c>
      <c r="B167" s="5" t="s">
        <v>1303</v>
      </c>
      <c r="C167" t="s">
        <v>6456</v>
      </c>
      <c r="D167" t="s">
        <v>1304</v>
      </c>
      <c r="E167" t="s">
        <v>1305</v>
      </c>
      <c r="F167" s="1">
        <v>44827</v>
      </c>
      <c r="G167" t="s">
        <v>51</v>
      </c>
      <c r="H167" s="24">
        <v>145</v>
      </c>
      <c r="I167" t="str">
        <f>IF(H167&lt;=0,"",LOOKUP(H167,'Regras e Parâmetros'!$B$4:$B$7,'Regras e Parâmetros'!$A$4:$A$7))</f>
        <v>Bronze</v>
      </c>
      <c r="J167" t="s">
        <v>9790</v>
      </c>
    </row>
    <row r="168" spans="1:12" x14ac:dyDescent="0.3">
      <c r="A168" t="s">
        <v>7170</v>
      </c>
      <c r="B168" s="5" t="s">
        <v>6042</v>
      </c>
      <c r="C168" t="s">
        <v>6456</v>
      </c>
      <c r="D168" t="s">
        <v>1306</v>
      </c>
      <c r="E168" t="s">
        <v>1307</v>
      </c>
      <c r="F168" s="1">
        <v>44829</v>
      </c>
      <c r="G168" t="s">
        <v>51</v>
      </c>
      <c r="H168" s="24">
        <v>737</v>
      </c>
      <c r="I168" t="str">
        <f>IF(H168&lt;=0,"",LOOKUP(H168,'Regras e Parâmetros'!$B$4:$B$7,'Regras e Parâmetros'!$A$4:$A$7))</f>
        <v>Bronze</v>
      </c>
      <c r="J168" t="s">
        <v>6456</v>
      </c>
      <c r="K168" t="s">
        <v>8</v>
      </c>
      <c r="L168" t="s">
        <v>9792</v>
      </c>
    </row>
    <row r="169" spans="1:12" x14ac:dyDescent="0.3">
      <c r="A169" t="s">
        <v>7599</v>
      </c>
      <c r="B169" s="5" t="s">
        <v>2052</v>
      </c>
      <c r="C169" t="s">
        <v>6456</v>
      </c>
      <c r="D169" t="s">
        <v>2053</v>
      </c>
      <c r="E169" t="s">
        <v>2054</v>
      </c>
      <c r="F169" s="1">
        <v>45060</v>
      </c>
      <c r="G169" t="s">
        <v>51</v>
      </c>
      <c r="H169" s="24">
        <v>1644</v>
      </c>
      <c r="I169" t="str">
        <f>IF(H169&lt;=0,"",LOOKUP(H169,'Regras e Parâmetros'!$B$4:$B$7,'Regras e Parâmetros'!$A$4:$A$7))</f>
        <v>Prata</v>
      </c>
      <c r="J169" t="s">
        <v>9790</v>
      </c>
      <c r="L169" t="s">
        <v>9792</v>
      </c>
    </row>
    <row r="170" spans="1:12" x14ac:dyDescent="0.3">
      <c r="A170" t="s">
        <v>3237</v>
      </c>
      <c r="B170" s="5" t="s">
        <v>3238</v>
      </c>
      <c r="C170" t="s">
        <v>6456</v>
      </c>
      <c r="D170" t="s">
        <v>3239</v>
      </c>
      <c r="E170" t="s">
        <v>8228</v>
      </c>
      <c r="F170" s="1">
        <v>45477</v>
      </c>
      <c r="G170" t="s">
        <v>18</v>
      </c>
      <c r="H170" s="24">
        <v>0</v>
      </c>
      <c r="I170" t="str">
        <f>IF(H170&lt;=0,"",LOOKUP(H170,'Regras e Parâmetros'!$B$4:$B$7,'Regras e Parâmetros'!$A$4:$A$7))</f>
        <v/>
      </c>
      <c r="J170" t="s">
        <v>9790</v>
      </c>
      <c r="K170" t="s">
        <v>708</v>
      </c>
    </row>
    <row r="171" spans="1:12" x14ac:dyDescent="0.3">
      <c r="A171" t="s">
        <v>3237</v>
      </c>
      <c r="B171" s="5" t="s">
        <v>9260</v>
      </c>
      <c r="C171" t="s">
        <v>6456</v>
      </c>
      <c r="D171" t="s">
        <v>5036</v>
      </c>
      <c r="E171" t="s">
        <v>9261</v>
      </c>
      <c r="F171" s="1">
        <v>46024</v>
      </c>
      <c r="G171" t="s">
        <v>18</v>
      </c>
      <c r="H171" s="24">
        <v>0</v>
      </c>
      <c r="I171" t="str">
        <f>IF(H171&lt;=0,"",LOOKUP(H171,'Regras e Parâmetros'!$B$4:$B$7,'Regras e Parâmetros'!$A$4:$A$7))</f>
        <v/>
      </c>
      <c r="J171" t="s">
        <v>6456</v>
      </c>
      <c r="L171" t="s">
        <v>9883</v>
      </c>
    </row>
    <row r="172" spans="1:12" x14ac:dyDescent="0.3">
      <c r="A172" t="s">
        <v>3262</v>
      </c>
      <c r="B172" s="5" t="s">
        <v>8244</v>
      </c>
      <c r="C172" t="s">
        <v>6456</v>
      </c>
      <c r="D172" t="s">
        <v>3263</v>
      </c>
      <c r="E172" t="s">
        <v>10085</v>
      </c>
      <c r="F172" s="1">
        <v>45484</v>
      </c>
      <c r="G172" t="s">
        <v>100</v>
      </c>
      <c r="H172" s="24">
        <v>1768</v>
      </c>
      <c r="I172" t="str">
        <f>IF(H172&lt;=0,"",LOOKUP(H172,'Regras e Parâmetros'!$B$4:$B$7,'Regras e Parâmetros'!$A$4:$A$7))</f>
        <v>Prata</v>
      </c>
      <c r="J172" t="s">
        <v>6456</v>
      </c>
      <c r="L172" t="s">
        <v>10149</v>
      </c>
    </row>
    <row r="173" spans="1:12" x14ac:dyDescent="0.3">
      <c r="A173" t="s">
        <v>2472</v>
      </c>
      <c r="B173" s="5" t="s">
        <v>7842</v>
      </c>
      <c r="C173" t="s">
        <v>6456</v>
      </c>
      <c r="D173" t="s">
        <v>2473</v>
      </c>
      <c r="E173" t="s">
        <v>7843</v>
      </c>
      <c r="F173" s="1">
        <v>45188</v>
      </c>
      <c r="G173" t="s">
        <v>22</v>
      </c>
      <c r="H173" s="24">
        <v>723</v>
      </c>
      <c r="I173" t="str">
        <f>IF(H173&lt;=0,"",LOOKUP(H173,'Regras e Parâmetros'!$B$4:$B$7,'Regras e Parâmetros'!$A$4:$A$7))</f>
        <v>Bronze</v>
      </c>
      <c r="J173" t="s">
        <v>9790</v>
      </c>
      <c r="K173" t="s">
        <v>177</v>
      </c>
    </row>
    <row r="174" spans="1:12" x14ac:dyDescent="0.3">
      <c r="A174" t="s">
        <v>325</v>
      </c>
      <c r="B174" s="5" t="s">
        <v>326</v>
      </c>
      <c r="C174" t="s">
        <v>6456</v>
      </c>
      <c r="D174" t="s">
        <v>327</v>
      </c>
      <c r="E174" t="s">
        <v>328</v>
      </c>
      <c r="F174" s="1">
        <v>44454</v>
      </c>
      <c r="G174" t="s">
        <v>100</v>
      </c>
      <c r="H174" s="24">
        <v>2782</v>
      </c>
      <c r="I174" t="str">
        <f>IF(H174&lt;=0,"",LOOKUP(H174,'Regras e Parâmetros'!$B$4:$B$7,'Regras e Parâmetros'!$A$4:$A$7))</f>
        <v>Prata</v>
      </c>
      <c r="J174" t="s">
        <v>9790</v>
      </c>
      <c r="L174" t="s">
        <v>9792</v>
      </c>
    </row>
    <row r="175" spans="1:12" x14ac:dyDescent="0.3">
      <c r="A175" t="s">
        <v>4357</v>
      </c>
      <c r="B175" s="5" t="s">
        <v>4358</v>
      </c>
      <c r="C175" t="s">
        <v>6456</v>
      </c>
      <c r="D175" t="s">
        <v>4359</v>
      </c>
      <c r="E175" t="s">
        <v>4360</v>
      </c>
      <c r="F175" s="1">
        <v>45827</v>
      </c>
      <c r="G175" t="s">
        <v>22</v>
      </c>
      <c r="H175" s="24">
        <v>0</v>
      </c>
      <c r="I175" t="str">
        <f>IF(H175&lt;=0,"",LOOKUP(H175,'Regras e Parâmetros'!$B$4:$B$7,'Regras e Parâmetros'!$A$4:$A$7))</f>
        <v/>
      </c>
      <c r="J175" t="s">
        <v>6456</v>
      </c>
      <c r="L175" t="s">
        <v>9883</v>
      </c>
    </row>
    <row r="176" spans="1:12" x14ac:dyDescent="0.3">
      <c r="A176" t="s">
        <v>3792</v>
      </c>
      <c r="B176" s="5" t="s">
        <v>8533</v>
      </c>
      <c r="C176" t="s">
        <v>6456</v>
      </c>
      <c r="D176" t="s">
        <v>3793</v>
      </c>
      <c r="E176" t="s">
        <v>3794</v>
      </c>
      <c r="F176" s="1">
        <v>45661</v>
      </c>
      <c r="G176" t="s">
        <v>45</v>
      </c>
      <c r="H176" s="24">
        <v>0</v>
      </c>
      <c r="I176" t="str">
        <f>IF(H176&lt;=0,"",LOOKUP(H176,'Regras e Parâmetros'!$B$4:$B$7,'Regras e Parâmetros'!$A$4:$A$7))</f>
        <v/>
      </c>
      <c r="J176" t="s">
        <v>9790</v>
      </c>
      <c r="K176" t="s">
        <v>187</v>
      </c>
      <c r="L176" t="s">
        <v>9883</v>
      </c>
    </row>
    <row r="177" spans="1:12" x14ac:dyDescent="0.3">
      <c r="A177" t="s">
        <v>1745</v>
      </c>
      <c r="B177" s="5" t="s">
        <v>7433</v>
      </c>
      <c r="C177" t="s">
        <v>6456</v>
      </c>
      <c r="D177" t="s">
        <v>1746</v>
      </c>
      <c r="E177" t="s">
        <v>1747</v>
      </c>
      <c r="F177" s="1">
        <v>44955</v>
      </c>
      <c r="G177" t="s">
        <v>51</v>
      </c>
      <c r="H177" s="24">
        <v>926</v>
      </c>
      <c r="I177" t="str">
        <f>IF(H177&lt;=0,"",LOOKUP(H177,'Regras e Parâmetros'!$B$4:$B$7,'Regras e Parâmetros'!$A$4:$A$7))</f>
        <v>Bronze</v>
      </c>
      <c r="J177" t="s">
        <v>9790</v>
      </c>
      <c r="K177" t="s">
        <v>708</v>
      </c>
      <c r="L177" t="s">
        <v>9792</v>
      </c>
    </row>
    <row r="178" spans="1:12" x14ac:dyDescent="0.3">
      <c r="A178" t="s">
        <v>8407</v>
      </c>
      <c r="B178" s="5" t="s">
        <v>3598</v>
      </c>
      <c r="C178" t="s">
        <v>6456</v>
      </c>
      <c r="D178" t="s">
        <v>3599</v>
      </c>
      <c r="E178" t="s">
        <v>8408</v>
      </c>
      <c r="F178" s="1">
        <v>45595</v>
      </c>
      <c r="G178" t="s">
        <v>22</v>
      </c>
      <c r="H178" s="24">
        <v>42</v>
      </c>
      <c r="I178" t="str">
        <f>IF(H178&lt;=0,"",LOOKUP(H178,'Regras e Parâmetros'!$B$4:$B$7,'Regras e Parâmetros'!$A$4:$A$7))</f>
        <v>Bronze</v>
      </c>
      <c r="J178" t="s">
        <v>6456</v>
      </c>
    </row>
    <row r="179" spans="1:12" x14ac:dyDescent="0.3">
      <c r="A179" t="s">
        <v>6818</v>
      </c>
      <c r="B179" s="5" t="s">
        <v>6819</v>
      </c>
      <c r="C179" t="s">
        <v>6456</v>
      </c>
      <c r="E179" t="s">
        <v>6820</v>
      </c>
      <c r="F179" s="1">
        <v>44583</v>
      </c>
      <c r="G179" t="s">
        <v>18</v>
      </c>
      <c r="H179" s="24">
        <v>2020</v>
      </c>
      <c r="I179" t="str">
        <f>IF(H179&lt;=0,"",LOOKUP(H179,'Regras e Parâmetros'!$B$4:$B$7,'Regras e Parâmetros'!$A$4:$A$7))</f>
        <v>Prata</v>
      </c>
      <c r="J179" t="s">
        <v>9790</v>
      </c>
      <c r="L179" t="s">
        <v>9804</v>
      </c>
    </row>
    <row r="180" spans="1:12" x14ac:dyDescent="0.3">
      <c r="A180" t="s">
        <v>7915</v>
      </c>
      <c r="B180" s="5" t="s">
        <v>7916</v>
      </c>
      <c r="C180" t="s">
        <v>6456</v>
      </c>
      <c r="D180" t="s">
        <v>2594</v>
      </c>
      <c r="E180" t="s">
        <v>2595</v>
      </c>
      <c r="F180" s="1">
        <v>45235</v>
      </c>
      <c r="G180" t="s">
        <v>100</v>
      </c>
      <c r="H180" s="24">
        <v>269</v>
      </c>
      <c r="I180" t="str">
        <f>IF(H180&lt;=0,"",LOOKUP(H180,'Regras e Parâmetros'!$B$4:$B$7,'Regras e Parâmetros'!$A$4:$A$7))</f>
        <v>Bronze</v>
      </c>
      <c r="J180" t="s">
        <v>6456</v>
      </c>
      <c r="K180" t="s">
        <v>72</v>
      </c>
    </row>
    <row r="181" spans="1:12" x14ac:dyDescent="0.3">
      <c r="A181" t="s">
        <v>3096</v>
      </c>
      <c r="B181" s="5" t="s">
        <v>8157</v>
      </c>
      <c r="C181" t="s">
        <v>6456</v>
      </c>
      <c r="D181" t="s">
        <v>3097</v>
      </c>
      <c r="E181" t="s">
        <v>8158</v>
      </c>
      <c r="F181" s="1">
        <v>45425</v>
      </c>
      <c r="G181" t="s">
        <v>22</v>
      </c>
      <c r="H181" s="24">
        <v>963</v>
      </c>
      <c r="I181" t="str">
        <f>IF(H181&lt;=0,"",LOOKUP(H181,'Regras e Parâmetros'!$B$4:$B$7,'Regras e Parâmetros'!$A$4:$A$7))</f>
        <v>Bronze</v>
      </c>
      <c r="J181" t="s">
        <v>6456</v>
      </c>
    </row>
    <row r="182" spans="1:12" x14ac:dyDescent="0.3">
      <c r="A182" t="s">
        <v>1932</v>
      </c>
      <c r="B182" s="5" t="s">
        <v>7550</v>
      </c>
      <c r="C182" t="s">
        <v>6456</v>
      </c>
      <c r="D182" t="s">
        <v>1933</v>
      </c>
      <c r="E182" t="s">
        <v>1934</v>
      </c>
      <c r="F182" s="1">
        <v>45021</v>
      </c>
      <c r="G182" t="s">
        <v>18</v>
      </c>
      <c r="H182" s="24">
        <v>1779</v>
      </c>
      <c r="I182" t="str">
        <f>IF(H182&lt;=0,"",LOOKUP(H182,'Regras e Parâmetros'!$B$4:$B$7,'Regras e Parâmetros'!$A$4:$A$7))</f>
        <v>Prata</v>
      </c>
      <c r="J182" t="s">
        <v>9790</v>
      </c>
    </row>
    <row r="183" spans="1:12" x14ac:dyDescent="0.3">
      <c r="A183" t="s">
        <v>1930</v>
      </c>
      <c r="B183" s="5" t="s">
        <v>7242</v>
      </c>
      <c r="C183" t="s">
        <v>6456</v>
      </c>
      <c r="D183" t="s">
        <v>1410</v>
      </c>
      <c r="E183" t="s">
        <v>1411</v>
      </c>
      <c r="F183" s="1">
        <v>44858</v>
      </c>
      <c r="G183" t="s">
        <v>110</v>
      </c>
      <c r="H183" s="24">
        <v>1377</v>
      </c>
      <c r="I183" t="str">
        <f>IF(H183&lt;=0,"",LOOKUP(H183,'Regras e Parâmetros'!$B$4:$B$7,'Regras e Parâmetros'!$A$4:$A$7))</f>
        <v>Bronze</v>
      </c>
      <c r="J183" t="s">
        <v>9790</v>
      </c>
    </row>
    <row r="184" spans="1:12" x14ac:dyDescent="0.3">
      <c r="A184" t="s">
        <v>1930</v>
      </c>
      <c r="B184" s="5" t="s">
        <v>7548</v>
      </c>
      <c r="C184" t="s">
        <v>6456</v>
      </c>
      <c r="D184" t="s">
        <v>1931</v>
      </c>
      <c r="E184" t="s">
        <v>7549</v>
      </c>
      <c r="F184" s="1">
        <v>45020</v>
      </c>
      <c r="G184" t="s">
        <v>18</v>
      </c>
      <c r="H184" s="24">
        <v>1093</v>
      </c>
      <c r="I184" t="str">
        <f>IF(H184&lt;=0,"",LOOKUP(H184,'Regras e Parâmetros'!$B$4:$B$7,'Regras e Parâmetros'!$A$4:$A$7))</f>
        <v>Bronze</v>
      </c>
      <c r="J184" t="s">
        <v>6456</v>
      </c>
    </row>
    <row r="185" spans="1:12" x14ac:dyDescent="0.3">
      <c r="A185" t="s">
        <v>7442</v>
      </c>
      <c r="B185" s="5" t="s">
        <v>7443</v>
      </c>
      <c r="C185" t="s">
        <v>6456</v>
      </c>
      <c r="D185" t="s">
        <v>1766</v>
      </c>
      <c r="E185" t="s">
        <v>1767</v>
      </c>
      <c r="F185" s="1">
        <v>44961</v>
      </c>
      <c r="G185" t="s">
        <v>110</v>
      </c>
      <c r="H185" s="24">
        <v>2819</v>
      </c>
      <c r="I185" t="str">
        <f>IF(H185&lt;=0,"",LOOKUP(H185,'Regras e Parâmetros'!$B$4:$B$7,'Regras e Parâmetros'!$A$4:$A$7))</f>
        <v>Prata</v>
      </c>
      <c r="J185" t="s">
        <v>9790</v>
      </c>
    </row>
    <row r="186" spans="1:12" x14ac:dyDescent="0.3">
      <c r="A186" t="s">
        <v>5541</v>
      </c>
      <c r="B186" s="5" t="s">
        <v>5542</v>
      </c>
      <c r="C186" t="s">
        <v>6456</v>
      </c>
      <c r="D186" t="s">
        <v>5543</v>
      </c>
      <c r="E186" t="s">
        <v>9537</v>
      </c>
      <c r="F186" s="1">
        <v>46167</v>
      </c>
      <c r="G186" t="s">
        <v>100</v>
      </c>
      <c r="H186" s="24">
        <v>0</v>
      </c>
      <c r="I186" t="str">
        <f>IF(H186&lt;=0,"",LOOKUP(H186,'Regras e Parâmetros'!$B$4:$B$7,'Regras e Parâmetros'!$A$4:$A$7))</f>
        <v/>
      </c>
      <c r="J186" t="s">
        <v>9790</v>
      </c>
      <c r="L186" t="s">
        <v>9883</v>
      </c>
    </row>
    <row r="187" spans="1:12" x14ac:dyDescent="0.3">
      <c r="A187" t="s">
        <v>1984</v>
      </c>
      <c r="B187" s="5" t="s">
        <v>7565</v>
      </c>
      <c r="C187" t="s">
        <v>6456</v>
      </c>
      <c r="D187" t="s">
        <v>2178</v>
      </c>
      <c r="E187" t="s">
        <v>1985</v>
      </c>
      <c r="F187" s="1">
        <v>45036</v>
      </c>
      <c r="G187" t="s">
        <v>51</v>
      </c>
      <c r="H187" s="24">
        <v>2513</v>
      </c>
      <c r="I187" t="str">
        <f>IF(H187&lt;=0,"",LOOKUP(H187,'Regras e Parâmetros'!$B$4:$B$7,'Regras e Parâmetros'!$A$4:$A$7))</f>
        <v>Prata</v>
      </c>
      <c r="J187" t="s">
        <v>6456</v>
      </c>
      <c r="K187" t="s">
        <v>9840</v>
      </c>
    </row>
    <row r="188" spans="1:12" x14ac:dyDescent="0.3">
      <c r="A188" t="s">
        <v>3657</v>
      </c>
      <c r="B188" s="5" t="s">
        <v>3658</v>
      </c>
      <c r="C188" t="s">
        <v>6456</v>
      </c>
      <c r="D188" t="s">
        <v>3659</v>
      </c>
      <c r="E188" t="s">
        <v>3660</v>
      </c>
      <c r="F188" s="1">
        <v>45612</v>
      </c>
      <c r="G188" t="s">
        <v>45</v>
      </c>
      <c r="H188" s="24">
        <v>76</v>
      </c>
      <c r="I188" t="str">
        <f>IF(H188&lt;=0,"",LOOKUP(H188,'Regras e Parâmetros'!$B$4:$B$7,'Regras e Parâmetros'!$A$4:$A$7))</f>
        <v>Bronze</v>
      </c>
      <c r="J188" t="s">
        <v>6456</v>
      </c>
    </row>
    <row r="189" spans="1:12" x14ac:dyDescent="0.3">
      <c r="A189" t="s">
        <v>835</v>
      </c>
      <c r="B189" s="5" t="s">
        <v>6919</v>
      </c>
      <c r="C189" t="s">
        <v>6456</v>
      </c>
      <c r="D189" t="s">
        <v>836</v>
      </c>
      <c r="E189" t="s">
        <v>6920</v>
      </c>
      <c r="F189" s="1">
        <v>44644</v>
      </c>
      <c r="G189" t="s">
        <v>100</v>
      </c>
      <c r="H189" s="24">
        <v>562</v>
      </c>
      <c r="I189" t="str">
        <f>IF(H189&lt;=0,"",LOOKUP(H189,'Regras e Parâmetros'!$B$4:$B$7,'Regras e Parâmetros'!$A$4:$A$7))</f>
        <v>Bronze</v>
      </c>
      <c r="J189" t="s">
        <v>6456</v>
      </c>
    </row>
    <row r="190" spans="1:12" x14ac:dyDescent="0.3">
      <c r="A190" t="s">
        <v>8836</v>
      </c>
      <c r="B190" s="5" t="s">
        <v>8837</v>
      </c>
      <c r="C190" t="s">
        <v>6456</v>
      </c>
      <c r="D190" t="s">
        <v>4311</v>
      </c>
      <c r="E190" t="s">
        <v>8838</v>
      </c>
      <c r="F190" s="1">
        <v>45813</v>
      </c>
      <c r="G190" t="s">
        <v>100</v>
      </c>
      <c r="H190" s="24">
        <v>0</v>
      </c>
      <c r="I190" t="str">
        <f>IF(H190&lt;=0,"",LOOKUP(H190,'Regras e Parâmetros'!$B$4:$B$7,'Regras e Parâmetros'!$A$4:$A$7))</f>
        <v/>
      </c>
      <c r="J190" t="s">
        <v>6456</v>
      </c>
      <c r="K190" t="s">
        <v>72</v>
      </c>
      <c r="L190" t="s">
        <v>9883</v>
      </c>
    </row>
    <row r="191" spans="1:12" x14ac:dyDescent="0.3">
      <c r="A191" t="s">
        <v>7302</v>
      </c>
      <c r="B191" s="5" t="s">
        <v>1517</v>
      </c>
      <c r="C191" t="s">
        <v>6456</v>
      </c>
      <c r="D191" t="s">
        <v>1518</v>
      </c>
      <c r="E191" t="s">
        <v>1519</v>
      </c>
      <c r="F191" s="1">
        <v>44884</v>
      </c>
      <c r="G191" t="s">
        <v>45</v>
      </c>
      <c r="H191" s="24">
        <v>217</v>
      </c>
      <c r="I191" t="str">
        <f>IF(H191&lt;=0,"",LOOKUP(H191,'Regras e Parâmetros'!$B$4:$B$7,'Regras e Parâmetros'!$A$4:$A$7))</f>
        <v>Bronze</v>
      </c>
      <c r="J191" t="s">
        <v>6456</v>
      </c>
      <c r="L191" t="s">
        <v>9792</v>
      </c>
    </row>
    <row r="192" spans="1:12" x14ac:dyDescent="0.3">
      <c r="A192" t="s">
        <v>9367</v>
      </c>
      <c r="B192" s="5" t="s">
        <v>9368</v>
      </c>
      <c r="C192" t="s">
        <v>6456</v>
      </c>
      <c r="D192" t="s">
        <v>5212</v>
      </c>
      <c r="E192" t="s">
        <v>9369</v>
      </c>
      <c r="F192" s="1">
        <v>46078</v>
      </c>
      <c r="G192" t="s">
        <v>18</v>
      </c>
      <c r="H192" s="24">
        <v>0</v>
      </c>
      <c r="I192" t="str">
        <f>IF(H192&lt;=0,"",LOOKUP(H192,'Regras e Parâmetros'!$B$4:$B$7,'Regras e Parâmetros'!$A$4:$A$7))</f>
        <v/>
      </c>
      <c r="J192" t="s">
        <v>6747</v>
      </c>
      <c r="K192" t="s">
        <v>708</v>
      </c>
      <c r="L192" t="s">
        <v>9883</v>
      </c>
    </row>
    <row r="193" spans="1:12" x14ac:dyDescent="0.3">
      <c r="A193" t="s">
        <v>5588</v>
      </c>
      <c r="B193" s="5" t="s">
        <v>9573</v>
      </c>
      <c r="C193" t="s">
        <v>6456</v>
      </c>
      <c r="D193" t="s">
        <v>5589</v>
      </c>
      <c r="E193" t="s">
        <v>9574</v>
      </c>
      <c r="F193" s="1">
        <v>46179</v>
      </c>
      <c r="G193" t="s">
        <v>110</v>
      </c>
      <c r="H193" s="24">
        <v>0</v>
      </c>
      <c r="I193" t="str">
        <f>IF(H193&lt;=0,"",LOOKUP(H193,'Regras e Parâmetros'!$B$4:$B$7,'Regras e Parâmetros'!$A$4:$A$7))</f>
        <v/>
      </c>
      <c r="J193" t="s">
        <v>6456</v>
      </c>
      <c r="L193" t="s">
        <v>9883</v>
      </c>
    </row>
    <row r="194" spans="1:12" x14ac:dyDescent="0.3">
      <c r="A194" t="s">
        <v>2948</v>
      </c>
      <c r="B194" s="5" t="s">
        <v>7284</v>
      </c>
      <c r="C194" t="s">
        <v>6456</v>
      </c>
      <c r="D194" t="s">
        <v>1484</v>
      </c>
      <c r="E194" t="s">
        <v>1485</v>
      </c>
      <c r="F194" s="1">
        <v>44880</v>
      </c>
      <c r="G194" t="s">
        <v>18</v>
      </c>
      <c r="H194" s="24">
        <v>6428</v>
      </c>
      <c r="I194" t="str">
        <f>IF(H194&lt;=0,"",LOOKUP(H194,'Regras e Parâmetros'!$B$4:$B$7,'Regras e Parâmetros'!$A$4:$A$7))</f>
        <v>Ouro</v>
      </c>
      <c r="J194" t="s">
        <v>6747</v>
      </c>
      <c r="K194" t="s">
        <v>44</v>
      </c>
      <c r="L194" t="s">
        <v>9792</v>
      </c>
    </row>
    <row r="195" spans="1:12" x14ac:dyDescent="0.3">
      <c r="A195" t="s">
        <v>2948</v>
      </c>
      <c r="B195" s="5" t="s">
        <v>8093</v>
      </c>
      <c r="C195" t="s">
        <v>6456</v>
      </c>
      <c r="D195" t="s">
        <v>4441</v>
      </c>
      <c r="E195" t="s">
        <v>2949</v>
      </c>
      <c r="F195" s="1">
        <v>45378</v>
      </c>
      <c r="G195" t="s">
        <v>45</v>
      </c>
      <c r="H195" s="24">
        <v>379</v>
      </c>
      <c r="I195" t="str">
        <f>IF(H195&lt;=0,"",LOOKUP(H195,'Regras e Parâmetros'!$B$4:$B$7,'Regras e Parâmetros'!$A$4:$A$7))</f>
        <v>Bronze</v>
      </c>
      <c r="J195" t="s">
        <v>6456</v>
      </c>
      <c r="K195" t="s">
        <v>9858</v>
      </c>
      <c r="L195" t="s">
        <v>9839</v>
      </c>
    </row>
    <row r="196" spans="1:12" x14ac:dyDescent="0.3">
      <c r="A196" t="s">
        <v>3520</v>
      </c>
      <c r="B196" s="5" t="s">
        <v>8370</v>
      </c>
      <c r="C196" t="s">
        <v>6456</v>
      </c>
      <c r="D196" t="s">
        <v>3522</v>
      </c>
      <c r="E196" t="s">
        <v>8371</v>
      </c>
      <c r="F196" s="1">
        <v>45574</v>
      </c>
      <c r="G196" t="s">
        <v>110</v>
      </c>
      <c r="H196" s="24">
        <v>37</v>
      </c>
      <c r="I196" t="str">
        <f>IF(H196&lt;=0,"",LOOKUP(H196,'Regras e Parâmetros'!$B$4:$B$7,'Regras e Parâmetros'!$A$4:$A$7))</f>
        <v>Bronze</v>
      </c>
      <c r="J196" t="s">
        <v>9790</v>
      </c>
      <c r="K196" t="s">
        <v>708</v>
      </c>
    </row>
    <row r="197" spans="1:12" x14ac:dyDescent="0.3">
      <c r="A197" t="s">
        <v>4452</v>
      </c>
      <c r="B197" s="5" t="s">
        <v>4453</v>
      </c>
      <c r="C197" t="s">
        <v>6456</v>
      </c>
      <c r="D197" t="s">
        <v>4454</v>
      </c>
      <c r="E197" t="s">
        <v>8913</v>
      </c>
      <c r="F197" s="1">
        <v>45855</v>
      </c>
      <c r="G197" t="s">
        <v>22</v>
      </c>
      <c r="H197" s="24">
        <v>0</v>
      </c>
      <c r="I197" t="str">
        <f>IF(H197&lt;=0,"",LOOKUP(H197,'Regras e Parâmetros'!$B$4:$B$7,'Regras e Parâmetros'!$A$4:$A$7))</f>
        <v/>
      </c>
      <c r="J197" t="s">
        <v>6456</v>
      </c>
      <c r="L197" t="s">
        <v>9883</v>
      </c>
    </row>
    <row r="198" spans="1:12" x14ac:dyDescent="0.3">
      <c r="A198" t="s">
        <v>2801</v>
      </c>
      <c r="B198" s="5" t="s">
        <v>8019</v>
      </c>
      <c r="C198" t="s">
        <v>6456</v>
      </c>
      <c r="D198" t="s">
        <v>2802</v>
      </c>
      <c r="E198" t="s">
        <v>8020</v>
      </c>
      <c r="F198" s="1">
        <v>45309</v>
      </c>
      <c r="G198" t="s">
        <v>18</v>
      </c>
      <c r="H198" s="24">
        <v>3268</v>
      </c>
      <c r="I198" t="str">
        <f>IF(H198&lt;=0,"",LOOKUP(H198,'Regras e Parâmetros'!$B$4:$B$7,'Regras e Parâmetros'!$A$4:$A$7))</f>
        <v>Prata</v>
      </c>
      <c r="J198" t="s">
        <v>6747</v>
      </c>
      <c r="K198" t="s">
        <v>177</v>
      </c>
    </row>
    <row r="199" spans="1:12" x14ac:dyDescent="0.3">
      <c r="A199" t="s">
        <v>5529</v>
      </c>
      <c r="B199" s="5" t="s">
        <v>9533</v>
      </c>
      <c r="C199" t="s">
        <v>6456</v>
      </c>
      <c r="D199" t="s">
        <v>5530</v>
      </c>
      <c r="E199" t="s">
        <v>5531</v>
      </c>
      <c r="F199" s="1">
        <v>46165</v>
      </c>
      <c r="G199" t="s">
        <v>45</v>
      </c>
      <c r="H199" s="24">
        <v>0</v>
      </c>
      <c r="I199" t="str">
        <f>IF(H199&lt;=0,"",LOOKUP(H199,'Regras e Parâmetros'!$B$4:$B$7,'Regras e Parâmetros'!$A$4:$A$7))</f>
        <v/>
      </c>
      <c r="J199" t="s">
        <v>9790</v>
      </c>
      <c r="K199" t="s">
        <v>44</v>
      </c>
      <c r="L199" t="s">
        <v>9883</v>
      </c>
    </row>
    <row r="200" spans="1:12" x14ac:dyDescent="0.3">
      <c r="A200" t="s">
        <v>1853</v>
      </c>
      <c r="B200" s="5" t="s">
        <v>1854</v>
      </c>
      <c r="C200" t="s">
        <v>6456</v>
      </c>
      <c r="D200" t="s">
        <v>1855</v>
      </c>
      <c r="E200" t="s">
        <v>1856</v>
      </c>
      <c r="F200" s="1">
        <v>44993</v>
      </c>
      <c r="G200" t="s">
        <v>45</v>
      </c>
      <c r="H200" s="24">
        <v>2000</v>
      </c>
      <c r="I200" t="str">
        <f>IF(H200&lt;=0,"",LOOKUP(H200,'Regras e Parâmetros'!$B$4:$B$7,'Regras e Parâmetros'!$A$4:$A$7))</f>
        <v>Prata</v>
      </c>
      <c r="J200" t="s">
        <v>6747</v>
      </c>
      <c r="K200" t="s">
        <v>33</v>
      </c>
      <c r="L200" t="s">
        <v>9793</v>
      </c>
    </row>
    <row r="201" spans="1:12" x14ac:dyDescent="0.3">
      <c r="A201" t="s">
        <v>5099</v>
      </c>
      <c r="B201" s="5" t="s">
        <v>5100</v>
      </c>
      <c r="C201" t="s">
        <v>6456</v>
      </c>
      <c r="D201" t="s">
        <v>5101</v>
      </c>
      <c r="E201" t="s">
        <v>9299</v>
      </c>
      <c r="F201" s="1">
        <v>46044</v>
      </c>
      <c r="G201" t="s">
        <v>45</v>
      </c>
      <c r="H201" s="24">
        <v>0</v>
      </c>
      <c r="I201" t="str">
        <f>IF(H201&lt;=0,"",LOOKUP(H201,'Regras e Parâmetros'!$B$4:$B$7,'Regras e Parâmetros'!$A$4:$A$7))</f>
        <v/>
      </c>
      <c r="J201" t="s">
        <v>9790</v>
      </c>
      <c r="L201" t="s">
        <v>9883</v>
      </c>
    </row>
    <row r="202" spans="1:12" x14ac:dyDescent="0.3">
      <c r="A202" t="s">
        <v>4416</v>
      </c>
      <c r="B202" s="5" t="s">
        <v>8891</v>
      </c>
      <c r="C202" t="s">
        <v>6456</v>
      </c>
      <c r="D202" t="s">
        <v>4417</v>
      </c>
      <c r="E202" t="s">
        <v>8892</v>
      </c>
      <c r="F202" s="1">
        <v>45841</v>
      </c>
      <c r="G202" t="s">
        <v>100</v>
      </c>
      <c r="H202" s="24">
        <v>0</v>
      </c>
      <c r="I202" t="str">
        <f>IF(H202&lt;=0,"",LOOKUP(H202,'Regras e Parâmetros'!$B$4:$B$7,'Regras e Parâmetros'!$A$4:$A$7))</f>
        <v/>
      </c>
      <c r="J202" t="s">
        <v>9790</v>
      </c>
      <c r="L202" t="s">
        <v>9883</v>
      </c>
    </row>
    <row r="203" spans="1:12" x14ac:dyDescent="0.3">
      <c r="A203" t="s">
        <v>3635</v>
      </c>
      <c r="B203" s="5" t="s">
        <v>8438</v>
      </c>
      <c r="C203" t="s">
        <v>6456</v>
      </c>
      <c r="D203" t="s">
        <v>3636</v>
      </c>
      <c r="E203" t="s">
        <v>8439</v>
      </c>
      <c r="F203" s="1">
        <v>45605</v>
      </c>
      <c r="G203" t="s">
        <v>45</v>
      </c>
      <c r="H203" s="24">
        <v>289</v>
      </c>
      <c r="I203" t="str">
        <f>IF(H203&lt;=0,"",LOOKUP(H203,'Regras e Parâmetros'!$B$4:$B$7,'Regras e Parâmetros'!$A$4:$A$7))</f>
        <v>Bronze</v>
      </c>
      <c r="J203" t="s">
        <v>6747</v>
      </c>
    </row>
    <row r="204" spans="1:12" x14ac:dyDescent="0.3">
      <c r="A204" t="s">
        <v>2898</v>
      </c>
      <c r="B204" s="5" t="s">
        <v>8070</v>
      </c>
      <c r="C204" t="s">
        <v>6456</v>
      </c>
      <c r="D204" t="s">
        <v>2899</v>
      </c>
      <c r="E204" t="s">
        <v>2900</v>
      </c>
      <c r="F204" s="1">
        <v>45359</v>
      </c>
      <c r="G204" t="s">
        <v>110</v>
      </c>
      <c r="H204" s="24">
        <v>208</v>
      </c>
      <c r="I204" t="str">
        <f>IF(H204&lt;=0,"",LOOKUP(H204,'Regras e Parâmetros'!$B$4:$B$7,'Regras e Parâmetros'!$A$4:$A$7))</f>
        <v>Bronze</v>
      </c>
      <c r="J204" t="s">
        <v>9790</v>
      </c>
    </row>
    <row r="205" spans="1:12" x14ac:dyDescent="0.3">
      <c r="A205" t="s">
        <v>8840</v>
      </c>
      <c r="B205" s="5" t="s">
        <v>4315</v>
      </c>
      <c r="C205" t="s">
        <v>6456</v>
      </c>
      <c r="D205" t="s">
        <v>4316</v>
      </c>
      <c r="E205" t="s">
        <v>4317</v>
      </c>
      <c r="F205" s="1">
        <v>45815</v>
      </c>
      <c r="G205" t="s">
        <v>18</v>
      </c>
      <c r="H205" s="24">
        <v>0</v>
      </c>
      <c r="I205" t="str">
        <f>IF(H205&lt;=0,"",LOOKUP(H205,'Regras e Parâmetros'!$B$4:$B$7,'Regras e Parâmetros'!$A$4:$A$7))</f>
        <v/>
      </c>
      <c r="J205" t="s">
        <v>6456</v>
      </c>
      <c r="L205" t="s">
        <v>9886</v>
      </c>
    </row>
    <row r="206" spans="1:12" x14ac:dyDescent="0.3">
      <c r="A206" t="s">
        <v>4147</v>
      </c>
      <c r="B206" s="5" t="s">
        <v>4148</v>
      </c>
      <c r="C206" t="s">
        <v>6456</v>
      </c>
      <c r="D206" t="s">
        <v>4149</v>
      </c>
      <c r="E206" t="s">
        <v>8749</v>
      </c>
      <c r="F206" s="1">
        <v>45758</v>
      </c>
      <c r="G206" t="s">
        <v>110</v>
      </c>
      <c r="H206" s="24">
        <v>0</v>
      </c>
      <c r="I206" t="str">
        <f>IF(H206&lt;=0,"",LOOKUP(H206,'Regras e Parâmetros'!$B$4:$B$7,'Regras e Parâmetros'!$A$4:$A$7))</f>
        <v/>
      </c>
      <c r="J206" t="s">
        <v>9790</v>
      </c>
      <c r="L206" t="s">
        <v>9883</v>
      </c>
    </row>
    <row r="207" spans="1:12" x14ac:dyDescent="0.3">
      <c r="A207" t="s">
        <v>5792</v>
      </c>
      <c r="B207" s="5" t="s">
        <v>9701</v>
      </c>
      <c r="C207" t="s">
        <v>6456</v>
      </c>
      <c r="D207" t="s">
        <v>5793</v>
      </c>
      <c r="E207" t="s">
        <v>5794</v>
      </c>
      <c r="F207" s="1">
        <v>46238</v>
      </c>
      <c r="G207" t="s">
        <v>51</v>
      </c>
      <c r="H207" s="24">
        <v>0</v>
      </c>
      <c r="I207" t="str">
        <f>IF(H207&lt;=0,"",LOOKUP(H207,'Regras e Parâmetros'!$B$4:$B$7,'Regras e Parâmetros'!$A$4:$A$7))</f>
        <v/>
      </c>
      <c r="J207" t="s">
        <v>9790</v>
      </c>
      <c r="L207" t="s">
        <v>9886</v>
      </c>
    </row>
    <row r="208" spans="1:12" x14ac:dyDescent="0.3">
      <c r="A208" t="s">
        <v>1577</v>
      </c>
      <c r="B208" s="5" t="s">
        <v>7326</v>
      </c>
      <c r="C208" t="s">
        <v>6456</v>
      </c>
      <c r="D208" t="s">
        <v>1578</v>
      </c>
      <c r="E208" t="s">
        <v>1579</v>
      </c>
      <c r="F208" s="1">
        <v>44896</v>
      </c>
      <c r="G208" t="s">
        <v>18</v>
      </c>
      <c r="H208" s="24">
        <v>187</v>
      </c>
      <c r="I208" t="str">
        <f>IF(H208&lt;=0,"",LOOKUP(H208,'Regras e Parâmetros'!$B$4:$B$7,'Regras e Parâmetros'!$A$4:$A$7))</f>
        <v>Bronze</v>
      </c>
      <c r="J208" t="s">
        <v>6747</v>
      </c>
      <c r="L208" t="s">
        <v>9791</v>
      </c>
    </row>
    <row r="209" spans="1:12" x14ac:dyDescent="0.3">
      <c r="A209" t="s">
        <v>5126</v>
      </c>
      <c r="B209" s="5" t="s">
        <v>9311</v>
      </c>
      <c r="C209" t="s">
        <v>6456</v>
      </c>
      <c r="D209" t="s">
        <v>5127</v>
      </c>
      <c r="E209" t="s">
        <v>9312</v>
      </c>
      <c r="F209" s="1">
        <v>46053</v>
      </c>
      <c r="G209" t="s">
        <v>100</v>
      </c>
      <c r="H209" s="24">
        <v>0</v>
      </c>
      <c r="I209" t="str">
        <f>IF(H209&lt;=0,"",LOOKUP(H209,'Regras e Parâmetros'!$B$4:$B$7,'Regras e Parâmetros'!$A$4:$A$7))</f>
        <v/>
      </c>
      <c r="J209" t="s">
        <v>6747</v>
      </c>
      <c r="L209" t="s">
        <v>9883</v>
      </c>
    </row>
    <row r="210" spans="1:12" x14ac:dyDescent="0.3">
      <c r="A210" t="s">
        <v>1010</v>
      </c>
      <c r="B210" s="5" t="s">
        <v>7162</v>
      </c>
      <c r="C210" t="s">
        <v>6456</v>
      </c>
      <c r="D210" t="s">
        <v>1011</v>
      </c>
      <c r="E210" t="s">
        <v>1012</v>
      </c>
      <c r="F210" s="1">
        <v>44818</v>
      </c>
      <c r="G210" t="s">
        <v>45</v>
      </c>
      <c r="H210" s="24">
        <v>5000</v>
      </c>
      <c r="I210" t="str">
        <f>IF(H210&lt;=0,"",LOOKUP(H210,'Regras e Parâmetros'!$B$4:$B$7,'Regras e Parâmetros'!$A$4:$A$7))</f>
        <v>Prata</v>
      </c>
      <c r="J210" t="s">
        <v>9790</v>
      </c>
      <c r="L210" t="s">
        <v>9793</v>
      </c>
    </row>
    <row r="211" spans="1:12" x14ac:dyDescent="0.3">
      <c r="A211" t="s">
        <v>7222</v>
      </c>
      <c r="B211" s="5" t="s">
        <v>7223</v>
      </c>
      <c r="C211" t="s">
        <v>6456</v>
      </c>
      <c r="D211" t="s">
        <v>1381</v>
      </c>
      <c r="E211" t="s">
        <v>1382</v>
      </c>
      <c r="F211" s="1">
        <v>44851</v>
      </c>
      <c r="G211" t="s">
        <v>45</v>
      </c>
      <c r="H211" s="24">
        <v>3616</v>
      </c>
      <c r="I211" t="str">
        <f>IF(H211&lt;=0,"",LOOKUP(H211,'Regras e Parâmetros'!$B$4:$B$7,'Regras e Parâmetros'!$A$4:$A$7))</f>
        <v>Prata</v>
      </c>
      <c r="J211" t="s">
        <v>6456</v>
      </c>
    </row>
    <row r="212" spans="1:12" x14ac:dyDescent="0.3">
      <c r="A212" t="s">
        <v>8503</v>
      </c>
      <c r="B212" s="5" t="s">
        <v>3766</v>
      </c>
      <c r="C212" t="s">
        <v>6456</v>
      </c>
      <c r="D212" t="s">
        <v>3767</v>
      </c>
      <c r="E212" t="s">
        <v>8504</v>
      </c>
      <c r="F212" s="1">
        <v>45651</v>
      </c>
      <c r="G212" t="s">
        <v>110</v>
      </c>
      <c r="H212" s="24">
        <v>183</v>
      </c>
      <c r="I212" t="str">
        <f>IF(H212&lt;=0,"",LOOKUP(H212,'Regras e Parâmetros'!$B$4:$B$7,'Regras e Parâmetros'!$A$4:$A$7))</f>
        <v>Bronze</v>
      </c>
      <c r="J212" t="s">
        <v>6456</v>
      </c>
    </row>
    <row r="213" spans="1:12" x14ac:dyDescent="0.3">
      <c r="A213" t="s">
        <v>8148</v>
      </c>
      <c r="B213" s="5" t="s">
        <v>8149</v>
      </c>
      <c r="C213" t="s">
        <v>6456</v>
      </c>
      <c r="D213" t="s">
        <v>8150</v>
      </c>
      <c r="E213" t="s">
        <v>3081</v>
      </c>
      <c r="F213" s="1">
        <v>45420</v>
      </c>
      <c r="G213" t="s">
        <v>110</v>
      </c>
      <c r="H213" s="24">
        <v>2647</v>
      </c>
      <c r="I213" t="str">
        <f>IF(H213&lt;=0,"",LOOKUP(H213,'Regras e Parâmetros'!$B$4:$B$7,'Regras e Parâmetros'!$A$4:$A$7))</f>
        <v>Prata</v>
      </c>
      <c r="J213" t="s">
        <v>9790</v>
      </c>
      <c r="K213" t="s">
        <v>33</v>
      </c>
    </row>
    <row r="214" spans="1:12" x14ac:dyDescent="0.3">
      <c r="A214" t="s">
        <v>6904</v>
      </c>
      <c r="B214" s="5" t="s">
        <v>6905</v>
      </c>
      <c r="C214" t="s">
        <v>6456</v>
      </c>
      <c r="D214" t="s">
        <v>818</v>
      </c>
      <c r="E214" t="s">
        <v>6906</v>
      </c>
      <c r="F214" s="1">
        <v>44637</v>
      </c>
      <c r="G214" t="s">
        <v>110</v>
      </c>
      <c r="H214" s="24">
        <v>1169</v>
      </c>
      <c r="I214" t="str">
        <f>IF(H214&lt;=0,"",LOOKUP(H214,'Regras e Parâmetros'!$B$4:$B$7,'Regras e Parâmetros'!$A$4:$A$7))</f>
        <v>Bronze</v>
      </c>
      <c r="J214" t="s">
        <v>9790</v>
      </c>
    </row>
    <row r="215" spans="1:12" x14ac:dyDescent="0.3">
      <c r="A215" t="s">
        <v>3529</v>
      </c>
      <c r="B215" s="5" t="s">
        <v>3530</v>
      </c>
      <c r="C215" t="s">
        <v>6456</v>
      </c>
      <c r="D215" t="s">
        <v>3531</v>
      </c>
      <c r="E215" t="s">
        <v>3532</v>
      </c>
      <c r="F215" s="1">
        <v>45566</v>
      </c>
      <c r="G215" t="s">
        <v>100</v>
      </c>
      <c r="H215" s="24">
        <v>25</v>
      </c>
      <c r="I215" t="str">
        <f>IF(H215&lt;=0,"",LOOKUP(H215,'Regras e Parâmetros'!$B$4:$B$7,'Regras e Parâmetros'!$A$4:$A$7))</f>
        <v>Bronze</v>
      </c>
      <c r="J215" t="s">
        <v>6747</v>
      </c>
      <c r="L215" t="s">
        <v>9791</v>
      </c>
    </row>
    <row r="216" spans="1:12" x14ac:dyDescent="0.3">
      <c r="A216" t="s">
        <v>3415</v>
      </c>
      <c r="B216" s="5" t="s">
        <v>3837</v>
      </c>
      <c r="C216" t="s">
        <v>6456</v>
      </c>
      <c r="D216" t="s">
        <v>3838</v>
      </c>
      <c r="E216" t="s">
        <v>3839</v>
      </c>
      <c r="F216" s="1">
        <v>45538</v>
      </c>
      <c r="G216" t="s">
        <v>45</v>
      </c>
      <c r="H216" s="24">
        <v>484</v>
      </c>
      <c r="I216" t="str">
        <f>IF(H216&lt;=0,"",LOOKUP(H216,'Regras e Parâmetros'!$B$4:$B$7,'Regras e Parâmetros'!$A$4:$A$7))</f>
        <v>Bronze</v>
      </c>
      <c r="J216" t="s">
        <v>6456</v>
      </c>
      <c r="K216" t="s">
        <v>9869</v>
      </c>
      <c r="L216" t="s">
        <v>9839</v>
      </c>
    </row>
    <row r="217" spans="1:12" x14ac:dyDescent="0.3">
      <c r="A217" t="s">
        <v>157</v>
      </c>
      <c r="B217" s="5" t="s">
        <v>6542</v>
      </c>
      <c r="C217" t="s">
        <v>6456</v>
      </c>
      <c r="D217" t="s">
        <v>158</v>
      </c>
      <c r="E217" t="s">
        <v>6543</v>
      </c>
      <c r="F217" s="1">
        <v>44397</v>
      </c>
      <c r="G217" t="s">
        <v>22</v>
      </c>
      <c r="H217" s="24">
        <v>4632</v>
      </c>
      <c r="I217" t="str">
        <f>IF(H217&lt;=0,"",LOOKUP(H217,'Regras e Parâmetros'!$B$4:$B$7,'Regras e Parâmetros'!$A$4:$A$7))</f>
        <v>Prata</v>
      </c>
      <c r="J217" t="s">
        <v>6456</v>
      </c>
    </row>
    <row r="218" spans="1:12" x14ac:dyDescent="0.3">
      <c r="A218" t="s">
        <v>1314</v>
      </c>
      <c r="B218" s="5" t="s">
        <v>1315</v>
      </c>
      <c r="C218" t="s">
        <v>6456</v>
      </c>
      <c r="D218" t="s">
        <v>1316</v>
      </c>
      <c r="E218" t="s">
        <v>1317</v>
      </c>
      <c r="F218" s="1">
        <v>44831</v>
      </c>
      <c r="G218" t="s">
        <v>22</v>
      </c>
      <c r="H218" s="24">
        <v>1136</v>
      </c>
      <c r="I218" t="str">
        <f>IF(H218&lt;=0,"",LOOKUP(H218,'Regras e Parâmetros'!$B$4:$B$7,'Regras e Parâmetros'!$A$4:$A$7))</f>
        <v>Bronze</v>
      </c>
      <c r="J218" t="s">
        <v>6747</v>
      </c>
      <c r="K218" t="s">
        <v>44</v>
      </c>
      <c r="L218" t="s">
        <v>9792</v>
      </c>
    </row>
    <row r="219" spans="1:12" x14ac:dyDescent="0.3">
      <c r="A219" t="s">
        <v>430</v>
      </c>
      <c r="B219" s="5" t="s">
        <v>431</v>
      </c>
      <c r="C219" t="s">
        <v>6456</v>
      </c>
      <c r="D219" t="s">
        <v>432</v>
      </c>
      <c r="E219" t="s">
        <v>6687</v>
      </c>
      <c r="F219" s="1">
        <v>44497</v>
      </c>
      <c r="G219" t="s">
        <v>100</v>
      </c>
      <c r="H219" s="24">
        <v>1677</v>
      </c>
      <c r="I219" t="str">
        <f>IF(H219&lt;=0,"",LOOKUP(H219,'Regras e Parâmetros'!$B$4:$B$7,'Regras e Parâmetros'!$A$4:$A$7))</f>
        <v>Prata</v>
      </c>
      <c r="J219" t="s">
        <v>6747</v>
      </c>
    </row>
    <row r="220" spans="1:12" x14ac:dyDescent="0.3">
      <c r="A220" t="s">
        <v>5565</v>
      </c>
      <c r="B220" s="5" t="s">
        <v>9559</v>
      </c>
      <c r="C220" t="s">
        <v>6456</v>
      </c>
      <c r="D220" t="s">
        <v>5566</v>
      </c>
      <c r="E220" t="s">
        <v>5567</v>
      </c>
      <c r="F220" s="1">
        <v>46174</v>
      </c>
      <c r="G220" t="s">
        <v>22</v>
      </c>
      <c r="H220" s="24">
        <v>0</v>
      </c>
      <c r="I220" t="str">
        <f>IF(H220&lt;=0,"",LOOKUP(H220,'Regras e Parâmetros'!$B$4:$B$7,'Regras e Parâmetros'!$A$4:$A$7))</f>
        <v/>
      </c>
      <c r="J220" t="s">
        <v>6747</v>
      </c>
      <c r="L220" t="s">
        <v>9883</v>
      </c>
    </row>
    <row r="221" spans="1:12" x14ac:dyDescent="0.3">
      <c r="A221" t="s">
        <v>8569</v>
      </c>
      <c r="B221" s="5" t="s">
        <v>8570</v>
      </c>
      <c r="C221" t="s">
        <v>6456</v>
      </c>
      <c r="D221" t="s">
        <v>3851</v>
      </c>
      <c r="E221" t="s">
        <v>8571</v>
      </c>
      <c r="F221" s="1">
        <v>45680</v>
      </c>
      <c r="G221" t="s">
        <v>18</v>
      </c>
      <c r="H221" s="24">
        <v>0</v>
      </c>
      <c r="I221" t="str">
        <f>IF(H221&lt;=0,"",LOOKUP(H221,'Regras e Parâmetros'!$B$4:$B$7,'Regras e Parâmetros'!$A$4:$A$7))</f>
        <v/>
      </c>
      <c r="J221" t="s">
        <v>6747</v>
      </c>
      <c r="K221" t="s">
        <v>177</v>
      </c>
      <c r="L221" t="s">
        <v>9883</v>
      </c>
    </row>
    <row r="222" spans="1:12" x14ac:dyDescent="0.3">
      <c r="A222" t="s">
        <v>5898</v>
      </c>
      <c r="B222" s="5" t="s">
        <v>9759</v>
      </c>
      <c r="C222" t="s">
        <v>6456</v>
      </c>
      <c r="D222" t="s">
        <v>5899</v>
      </c>
      <c r="E222" t="s">
        <v>9760</v>
      </c>
      <c r="F222" s="1">
        <v>46267</v>
      </c>
      <c r="G222" t="s">
        <v>45</v>
      </c>
      <c r="H222" s="24">
        <v>0</v>
      </c>
      <c r="I222" t="str">
        <f>IF(H222&lt;=0,"",LOOKUP(H222,'Regras e Parâmetros'!$B$4:$B$7,'Regras e Parâmetros'!$A$4:$A$7))</f>
        <v/>
      </c>
      <c r="J222" t="s">
        <v>6747</v>
      </c>
      <c r="L222" t="s">
        <v>9883</v>
      </c>
    </row>
    <row r="223" spans="1:12" x14ac:dyDescent="0.3">
      <c r="A223" t="s">
        <v>3871</v>
      </c>
      <c r="B223" s="5" t="s">
        <v>3872</v>
      </c>
      <c r="C223" t="s">
        <v>6456</v>
      </c>
      <c r="D223" t="s">
        <v>3873</v>
      </c>
      <c r="E223" t="s">
        <v>3874</v>
      </c>
      <c r="F223" s="1">
        <v>45685</v>
      </c>
      <c r="G223" t="s">
        <v>51</v>
      </c>
      <c r="H223" s="24">
        <v>0</v>
      </c>
      <c r="I223" t="str">
        <f>IF(H223&lt;=0,"",LOOKUP(H223,'Regras e Parâmetros'!$B$4:$B$7,'Regras e Parâmetros'!$A$4:$A$7))</f>
        <v/>
      </c>
      <c r="J223" t="s">
        <v>9790</v>
      </c>
      <c r="K223" t="s">
        <v>187</v>
      </c>
      <c r="L223" t="s">
        <v>9883</v>
      </c>
    </row>
    <row r="224" spans="1:12" x14ac:dyDescent="0.3">
      <c r="A224" t="s">
        <v>1896</v>
      </c>
      <c r="B224" s="5" t="s">
        <v>6065</v>
      </c>
      <c r="C224" t="s">
        <v>6456</v>
      </c>
      <c r="D224" t="s">
        <v>2238</v>
      </c>
      <c r="E224" t="s">
        <v>1897</v>
      </c>
      <c r="F224" s="1">
        <v>44986</v>
      </c>
      <c r="G224" t="s">
        <v>45</v>
      </c>
      <c r="H224" s="24">
        <v>1411</v>
      </c>
      <c r="I224" t="str">
        <f>IF(H224&lt;=0,"",LOOKUP(H224,'Regras e Parâmetros'!$B$4:$B$7,'Regras e Parâmetros'!$A$4:$A$7))</f>
        <v>Bronze</v>
      </c>
      <c r="J224" t="s">
        <v>6456</v>
      </c>
      <c r="K224" t="s">
        <v>9836</v>
      </c>
      <c r="L224" t="s">
        <v>9791</v>
      </c>
    </row>
    <row r="225" spans="1:12" x14ac:dyDescent="0.3">
      <c r="A225" t="s">
        <v>6353</v>
      </c>
      <c r="B225" s="5" t="s">
        <v>7652</v>
      </c>
      <c r="C225" t="s">
        <v>6456</v>
      </c>
      <c r="D225" t="s">
        <v>2118</v>
      </c>
      <c r="E225" t="s">
        <v>2119</v>
      </c>
      <c r="F225" s="1">
        <v>45084</v>
      </c>
      <c r="G225" t="s">
        <v>51</v>
      </c>
      <c r="H225" s="24">
        <v>161</v>
      </c>
      <c r="I225" t="str">
        <f>IF(H225&lt;=0,"",LOOKUP(H225,'Regras e Parâmetros'!$B$4:$B$7,'Regras e Parâmetros'!$A$4:$A$7))</f>
        <v>Bronze</v>
      </c>
      <c r="J225" t="s">
        <v>6747</v>
      </c>
      <c r="L225" t="s">
        <v>9792</v>
      </c>
    </row>
    <row r="226" spans="1:12" x14ac:dyDescent="0.3">
      <c r="A226" t="s">
        <v>3035</v>
      </c>
      <c r="B226" s="5" t="s">
        <v>8127</v>
      </c>
      <c r="C226" t="s">
        <v>6456</v>
      </c>
      <c r="D226" t="s">
        <v>3037</v>
      </c>
      <c r="E226" t="s">
        <v>8128</v>
      </c>
      <c r="F226" s="1">
        <v>45404</v>
      </c>
      <c r="G226" t="s">
        <v>45</v>
      </c>
      <c r="H226" s="24">
        <v>112</v>
      </c>
      <c r="I226" t="str">
        <f>IF(H226&lt;=0,"",LOOKUP(H226,'Regras e Parâmetros'!$B$4:$B$7,'Regras e Parâmetros'!$A$4:$A$7))</f>
        <v>Bronze</v>
      </c>
      <c r="J226" t="s">
        <v>6747</v>
      </c>
      <c r="K226" t="s">
        <v>8</v>
      </c>
    </row>
    <row r="227" spans="1:12" x14ac:dyDescent="0.3">
      <c r="A227" t="s">
        <v>6994</v>
      </c>
      <c r="B227" s="5" t="s">
        <v>962</v>
      </c>
      <c r="C227" t="s">
        <v>6456</v>
      </c>
      <c r="D227" t="s">
        <v>6995</v>
      </c>
      <c r="E227" t="s">
        <v>6996</v>
      </c>
      <c r="F227" s="1">
        <v>44691</v>
      </c>
      <c r="G227" t="s">
        <v>45</v>
      </c>
      <c r="H227" s="24">
        <v>3132</v>
      </c>
      <c r="I227" t="str">
        <f>IF(H227&lt;=0,"",LOOKUP(H227,'Regras e Parâmetros'!$B$4:$B$7,'Regras e Parâmetros'!$A$4:$A$7))</f>
        <v>Prata</v>
      </c>
      <c r="J227" t="s">
        <v>6456</v>
      </c>
      <c r="K227" t="s">
        <v>44</v>
      </c>
    </row>
    <row r="228" spans="1:12" x14ac:dyDescent="0.3">
      <c r="A228" t="s">
        <v>798</v>
      </c>
      <c r="B228" s="5" t="s">
        <v>6898</v>
      </c>
      <c r="C228" t="s">
        <v>6456</v>
      </c>
      <c r="D228" t="s">
        <v>799</v>
      </c>
      <c r="E228" t="s">
        <v>6899</v>
      </c>
      <c r="F228" s="1">
        <v>44627</v>
      </c>
      <c r="G228" t="s">
        <v>45</v>
      </c>
      <c r="H228" s="24">
        <v>326</v>
      </c>
      <c r="I228" t="str">
        <f>IF(H228&lt;=0,"",LOOKUP(H228,'Regras e Parâmetros'!$B$4:$B$7,'Regras e Parâmetros'!$A$4:$A$7))</f>
        <v>Bronze</v>
      </c>
      <c r="J228" t="s">
        <v>9790</v>
      </c>
    </row>
    <row r="229" spans="1:12" x14ac:dyDescent="0.3">
      <c r="A229" t="s">
        <v>3997</v>
      </c>
      <c r="B229" s="5" t="s">
        <v>8659</v>
      </c>
      <c r="C229" t="s">
        <v>6456</v>
      </c>
      <c r="D229" t="s">
        <v>3998</v>
      </c>
      <c r="E229" t="s">
        <v>3999</v>
      </c>
      <c r="F229" s="1">
        <v>45717</v>
      </c>
      <c r="G229" t="s">
        <v>45</v>
      </c>
      <c r="H229" s="24">
        <v>0</v>
      </c>
      <c r="I229" t="str">
        <f>IF(H229&lt;=0,"",LOOKUP(H229,'Regras e Parâmetros'!$B$4:$B$7,'Regras e Parâmetros'!$A$4:$A$7))</f>
        <v/>
      </c>
      <c r="J229" t="s">
        <v>9790</v>
      </c>
      <c r="L229" t="s">
        <v>9883</v>
      </c>
    </row>
    <row r="230" spans="1:12" x14ac:dyDescent="0.3">
      <c r="A230" t="s">
        <v>5646</v>
      </c>
      <c r="B230" s="5" t="s">
        <v>9605</v>
      </c>
      <c r="C230" t="s">
        <v>6456</v>
      </c>
      <c r="D230" t="s">
        <v>5647</v>
      </c>
      <c r="E230" t="s">
        <v>9606</v>
      </c>
      <c r="F230" s="1">
        <v>46202</v>
      </c>
      <c r="G230" t="s">
        <v>51</v>
      </c>
      <c r="H230" s="24">
        <v>0</v>
      </c>
      <c r="I230" t="str">
        <f>IF(H230&lt;=0,"",LOOKUP(H230,'Regras e Parâmetros'!$B$4:$B$7,'Regras e Parâmetros'!$A$4:$A$7))</f>
        <v/>
      </c>
      <c r="J230" t="s">
        <v>9790</v>
      </c>
      <c r="L230" t="s">
        <v>9883</v>
      </c>
    </row>
    <row r="231" spans="1:12" x14ac:dyDescent="0.3">
      <c r="A231" t="s">
        <v>9659</v>
      </c>
      <c r="B231" s="5" t="s">
        <v>9660</v>
      </c>
      <c r="C231" t="s">
        <v>6456</v>
      </c>
      <c r="D231" t="s">
        <v>5732</v>
      </c>
      <c r="E231" t="s">
        <v>9661</v>
      </c>
      <c r="F231" s="1">
        <v>46228</v>
      </c>
      <c r="G231" t="s">
        <v>110</v>
      </c>
      <c r="H231" s="24">
        <v>0</v>
      </c>
      <c r="I231" t="str">
        <f>IF(H231&lt;=0,"",LOOKUP(H231,'Regras e Parâmetros'!$B$4:$B$7,'Regras e Parâmetros'!$A$4:$A$7))</f>
        <v/>
      </c>
      <c r="J231" t="s">
        <v>6747</v>
      </c>
      <c r="L231" t="s">
        <v>9883</v>
      </c>
    </row>
    <row r="232" spans="1:12" x14ac:dyDescent="0.3">
      <c r="A232" t="s">
        <v>1013</v>
      </c>
      <c r="B232" s="5" t="s">
        <v>7084</v>
      </c>
      <c r="C232" t="s">
        <v>6456</v>
      </c>
      <c r="D232" t="s">
        <v>1014</v>
      </c>
      <c r="E232" t="s">
        <v>1015</v>
      </c>
      <c r="F232" s="1">
        <v>44759</v>
      </c>
      <c r="G232" t="s">
        <v>45</v>
      </c>
      <c r="H232" s="24">
        <v>1300</v>
      </c>
      <c r="I232" t="str">
        <f>IF(H232&lt;=0,"",LOOKUP(H232,'Regras e Parâmetros'!$B$4:$B$7,'Regras e Parâmetros'!$A$4:$A$7))</f>
        <v>Bronze</v>
      </c>
      <c r="J232" t="s">
        <v>9790</v>
      </c>
      <c r="K232" t="s">
        <v>708</v>
      </c>
      <c r="L232" t="s">
        <v>9793</v>
      </c>
    </row>
    <row r="233" spans="1:12" x14ac:dyDescent="0.3">
      <c r="A233" t="s">
        <v>995</v>
      </c>
      <c r="B233" s="5" t="s">
        <v>7010</v>
      </c>
      <c r="C233" t="s">
        <v>6456</v>
      </c>
      <c r="D233" t="s">
        <v>996</v>
      </c>
      <c r="E233" t="s">
        <v>7011</v>
      </c>
      <c r="F233" s="1">
        <v>44708</v>
      </c>
      <c r="G233" t="s">
        <v>45</v>
      </c>
      <c r="H233" s="24">
        <v>10949</v>
      </c>
      <c r="I233" t="str">
        <f>IF(H233&lt;=0,"",LOOKUP(H233,'Regras e Parâmetros'!$B$4:$B$7,'Regras e Parâmetros'!$A$4:$A$7))</f>
        <v>Vip</v>
      </c>
      <c r="J233" t="s">
        <v>9790</v>
      </c>
      <c r="K233" t="s">
        <v>33</v>
      </c>
    </row>
    <row r="234" spans="1:12" x14ac:dyDescent="0.3">
      <c r="A234" t="s">
        <v>4789</v>
      </c>
      <c r="B234" s="5" t="s">
        <v>4790</v>
      </c>
      <c r="C234" t="s">
        <v>6456</v>
      </c>
      <c r="D234" t="s">
        <v>4791</v>
      </c>
      <c r="E234" t="s">
        <v>4792</v>
      </c>
      <c r="F234" s="1">
        <v>45950</v>
      </c>
      <c r="G234" t="s">
        <v>110</v>
      </c>
      <c r="H234" s="24">
        <v>0</v>
      </c>
      <c r="I234" t="str">
        <f>IF(H234&lt;=0,"",LOOKUP(H234,'Regras e Parâmetros'!$B$4:$B$7,'Regras e Parâmetros'!$A$4:$A$7))</f>
        <v/>
      </c>
      <c r="J234" t="s">
        <v>6747</v>
      </c>
      <c r="L234" t="s">
        <v>9886</v>
      </c>
    </row>
    <row r="235" spans="1:12" x14ac:dyDescent="0.3">
      <c r="A235" t="s">
        <v>5429</v>
      </c>
      <c r="B235" s="5" t="s">
        <v>5976</v>
      </c>
      <c r="C235" t="s">
        <v>6456</v>
      </c>
      <c r="D235" t="s">
        <v>5977</v>
      </c>
      <c r="E235" t="s">
        <v>5430</v>
      </c>
      <c r="F235" s="1">
        <v>46140</v>
      </c>
      <c r="G235" t="s">
        <v>45</v>
      </c>
      <c r="H235" s="24">
        <v>0</v>
      </c>
      <c r="I235" t="str">
        <f>IF(H235&lt;=0,"",LOOKUP(H235,'Regras e Parâmetros'!$B$4:$B$7,'Regras e Parâmetros'!$A$4:$A$7))</f>
        <v/>
      </c>
      <c r="J235" t="s">
        <v>9790</v>
      </c>
      <c r="K235" t="s">
        <v>9928</v>
      </c>
      <c r="L235" t="s">
        <v>9883</v>
      </c>
    </row>
    <row r="236" spans="1:12" x14ac:dyDescent="0.3">
      <c r="A236" t="s">
        <v>220</v>
      </c>
      <c r="B236" s="5" t="s">
        <v>6572</v>
      </c>
      <c r="C236" t="s">
        <v>6456</v>
      </c>
      <c r="D236" t="s">
        <v>222</v>
      </c>
      <c r="E236" t="s">
        <v>6573</v>
      </c>
      <c r="F236" s="1">
        <v>44423</v>
      </c>
      <c r="G236" t="s">
        <v>18</v>
      </c>
      <c r="H236" s="24">
        <v>0</v>
      </c>
      <c r="I236" t="str">
        <f>IF(H236&lt;=0,"",LOOKUP(H236,'Regras e Parâmetros'!$B$4:$B$7,'Regras e Parâmetros'!$A$4:$A$7))</f>
        <v/>
      </c>
      <c r="J236" t="s">
        <v>6747</v>
      </c>
    </row>
    <row r="237" spans="1:12" x14ac:dyDescent="0.3">
      <c r="A237" t="s">
        <v>220</v>
      </c>
      <c r="B237" s="5" t="s">
        <v>3570</v>
      </c>
      <c r="C237" t="s">
        <v>6456</v>
      </c>
      <c r="D237" t="s">
        <v>3571</v>
      </c>
      <c r="E237" t="s">
        <v>3572</v>
      </c>
      <c r="F237" s="1">
        <v>45586</v>
      </c>
      <c r="G237" t="s">
        <v>22</v>
      </c>
      <c r="H237" s="24">
        <v>1501</v>
      </c>
      <c r="I237" t="str">
        <f>IF(H237&lt;=0,"",LOOKUP(H237,'Regras e Parâmetros'!$B$4:$B$7,'Regras e Parâmetros'!$A$4:$A$7))</f>
        <v>Prata</v>
      </c>
      <c r="J237" t="s">
        <v>6747</v>
      </c>
    </row>
    <row r="238" spans="1:12" x14ac:dyDescent="0.3">
      <c r="A238" t="s">
        <v>1016</v>
      </c>
      <c r="B238" s="5" t="s">
        <v>7100</v>
      </c>
      <c r="C238" t="s">
        <v>6456</v>
      </c>
      <c r="D238" t="s">
        <v>1017</v>
      </c>
      <c r="E238" t="s">
        <v>7101</v>
      </c>
      <c r="F238" s="1">
        <v>44774</v>
      </c>
      <c r="G238" t="s">
        <v>100</v>
      </c>
      <c r="H238" s="24">
        <v>98</v>
      </c>
      <c r="I238" t="str">
        <f>IF(H238&lt;=0,"",LOOKUP(H238,'Regras e Parâmetros'!$B$4:$B$7,'Regras e Parâmetros'!$A$4:$A$7))</f>
        <v>Bronze</v>
      </c>
      <c r="J238" t="s">
        <v>9790</v>
      </c>
      <c r="L238" t="s">
        <v>9791</v>
      </c>
    </row>
    <row r="239" spans="1:12" x14ac:dyDescent="0.3">
      <c r="A239" t="s">
        <v>3615</v>
      </c>
      <c r="B239" s="5" t="s">
        <v>8431</v>
      </c>
      <c r="C239" t="s">
        <v>6456</v>
      </c>
      <c r="D239" t="s">
        <v>3616</v>
      </c>
      <c r="E239" t="s">
        <v>8432</v>
      </c>
      <c r="F239" s="1">
        <v>45599</v>
      </c>
      <c r="G239" t="s">
        <v>100</v>
      </c>
      <c r="H239" s="24">
        <v>1687</v>
      </c>
      <c r="I239" t="str">
        <f>IF(H239&lt;=0,"",LOOKUP(H239,'Regras e Parâmetros'!$B$4:$B$7,'Regras e Parâmetros'!$A$4:$A$7))</f>
        <v>Prata</v>
      </c>
      <c r="J239" t="s">
        <v>6456</v>
      </c>
    </row>
    <row r="240" spans="1:12" x14ac:dyDescent="0.3">
      <c r="A240" t="s">
        <v>2990</v>
      </c>
      <c r="B240" s="5" t="s">
        <v>8105</v>
      </c>
      <c r="C240" t="s">
        <v>6456</v>
      </c>
      <c r="D240" t="s">
        <v>2991</v>
      </c>
      <c r="E240" t="s">
        <v>2992</v>
      </c>
      <c r="F240" s="1">
        <v>45383</v>
      </c>
      <c r="G240" t="s">
        <v>45</v>
      </c>
      <c r="H240" s="24">
        <v>407</v>
      </c>
      <c r="I240" t="str">
        <f>IF(H240&lt;=0,"",LOOKUP(H240,'Regras e Parâmetros'!$B$4:$B$7,'Regras e Parâmetros'!$A$4:$A$7))</f>
        <v>Bronze</v>
      </c>
      <c r="J240" t="s">
        <v>6747</v>
      </c>
      <c r="L240" t="s">
        <v>9791</v>
      </c>
    </row>
    <row r="241" spans="1:12" x14ac:dyDescent="0.3">
      <c r="A241" t="s">
        <v>1018</v>
      </c>
      <c r="B241" s="5" t="s">
        <v>7102</v>
      </c>
      <c r="C241" t="s">
        <v>6456</v>
      </c>
      <c r="D241" t="s">
        <v>1019</v>
      </c>
      <c r="E241" t="s">
        <v>7103</v>
      </c>
      <c r="F241" s="1">
        <v>44774</v>
      </c>
      <c r="G241" t="s">
        <v>110</v>
      </c>
      <c r="H241" s="24">
        <v>0</v>
      </c>
      <c r="I241" t="str">
        <f>IF(H241&lt;=0,"",LOOKUP(H241,'Regras e Parâmetros'!$B$4:$B$7,'Regras e Parâmetros'!$A$4:$A$7))</f>
        <v/>
      </c>
      <c r="J241" t="s">
        <v>9790</v>
      </c>
      <c r="K241" t="s">
        <v>33</v>
      </c>
      <c r="L241" t="s">
        <v>9791</v>
      </c>
    </row>
    <row r="242" spans="1:12" x14ac:dyDescent="0.3">
      <c r="A242" t="s">
        <v>3918</v>
      </c>
      <c r="B242" s="5" t="s">
        <v>3919</v>
      </c>
      <c r="C242" t="s">
        <v>6456</v>
      </c>
      <c r="D242" t="s">
        <v>3920</v>
      </c>
      <c r="E242" t="s">
        <v>8602</v>
      </c>
      <c r="F242" s="1">
        <v>45689</v>
      </c>
      <c r="G242" t="s">
        <v>110</v>
      </c>
      <c r="H242" s="24">
        <v>0</v>
      </c>
      <c r="I242" t="str">
        <f>IF(H242&lt;=0,"",LOOKUP(H242,'Regras e Parâmetros'!$B$4:$B$7,'Regras e Parâmetros'!$A$4:$A$7))</f>
        <v/>
      </c>
      <c r="J242" t="s">
        <v>9790</v>
      </c>
      <c r="L242" t="s">
        <v>9884</v>
      </c>
    </row>
    <row r="243" spans="1:12" x14ac:dyDescent="0.3">
      <c r="A243" t="s">
        <v>1874</v>
      </c>
      <c r="B243" s="5" t="s">
        <v>7513</v>
      </c>
      <c r="C243" t="s">
        <v>6456</v>
      </c>
      <c r="D243" t="s">
        <v>1875</v>
      </c>
      <c r="E243" t="s">
        <v>1876</v>
      </c>
      <c r="F243" s="1">
        <v>45003</v>
      </c>
      <c r="G243" t="s">
        <v>51</v>
      </c>
      <c r="H243" s="24">
        <v>8264</v>
      </c>
      <c r="I243" t="str">
        <f>IF(H243&lt;=0,"",LOOKUP(H243,'Regras e Parâmetros'!$B$4:$B$7,'Regras e Parâmetros'!$A$4:$A$7))</f>
        <v>Ouro</v>
      </c>
      <c r="J243" t="s">
        <v>6456</v>
      </c>
    </row>
    <row r="244" spans="1:12" x14ac:dyDescent="0.3">
      <c r="A244" t="s">
        <v>7135</v>
      </c>
      <c r="B244" s="5" t="s">
        <v>1020</v>
      </c>
      <c r="C244" t="s">
        <v>6456</v>
      </c>
      <c r="D244" t="s">
        <v>1021</v>
      </c>
      <c r="E244" t="s">
        <v>1022</v>
      </c>
      <c r="F244" s="1">
        <v>44800</v>
      </c>
      <c r="G244" t="s">
        <v>45</v>
      </c>
      <c r="H244" s="24">
        <v>293</v>
      </c>
      <c r="I244" t="str">
        <f>IF(H244&lt;=0,"",LOOKUP(H244,'Regras e Parâmetros'!$B$4:$B$7,'Regras e Parâmetros'!$A$4:$A$7))</f>
        <v>Bronze</v>
      </c>
      <c r="J244" t="s">
        <v>6747</v>
      </c>
    </row>
    <row r="245" spans="1:12" x14ac:dyDescent="0.3">
      <c r="A245" t="s">
        <v>2016</v>
      </c>
      <c r="B245" s="5" t="s">
        <v>7579</v>
      </c>
      <c r="C245" t="s">
        <v>6456</v>
      </c>
      <c r="D245" t="s">
        <v>7580</v>
      </c>
      <c r="E245" t="s">
        <v>7581</v>
      </c>
      <c r="F245" s="1">
        <v>45048</v>
      </c>
      <c r="G245" t="s">
        <v>51</v>
      </c>
      <c r="H245" s="24">
        <v>237</v>
      </c>
      <c r="I245" t="str">
        <f>IF(H245&lt;=0,"",LOOKUP(H245,'Regras e Parâmetros'!$B$4:$B$7,'Regras e Parâmetros'!$A$4:$A$7))</f>
        <v>Bronze</v>
      </c>
      <c r="J245" t="s">
        <v>9790</v>
      </c>
    </row>
    <row r="246" spans="1:12" x14ac:dyDescent="0.3">
      <c r="A246" t="s">
        <v>5676</v>
      </c>
      <c r="B246" s="5" t="s">
        <v>9610</v>
      </c>
      <c r="C246" t="s">
        <v>6456</v>
      </c>
      <c r="D246" t="s">
        <v>5677</v>
      </c>
      <c r="E246" t="s">
        <v>5678</v>
      </c>
      <c r="F246" s="1">
        <v>46204</v>
      </c>
      <c r="G246" t="s">
        <v>51</v>
      </c>
      <c r="H246" s="24">
        <v>0</v>
      </c>
      <c r="I246" t="str">
        <f>IF(H246&lt;=0,"",LOOKUP(H246,'Regras e Parâmetros'!$B$4:$B$7,'Regras e Parâmetros'!$A$4:$A$7))</f>
        <v/>
      </c>
      <c r="J246" t="s">
        <v>6456</v>
      </c>
      <c r="L246" t="s">
        <v>9884</v>
      </c>
    </row>
    <row r="247" spans="1:12" x14ac:dyDescent="0.3">
      <c r="A247" t="s">
        <v>7850</v>
      </c>
      <c r="B247" s="5" t="s">
        <v>7851</v>
      </c>
      <c r="C247" t="s">
        <v>6456</v>
      </c>
      <c r="D247" t="s">
        <v>2487</v>
      </c>
      <c r="E247" t="s">
        <v>2488</v>
      </c>
      <c r="F247" s="1">
        <v>45196</v>
      </c>
      <c r="G247" t="s">
        <v>45</v>
      </c>
      <c r="H247" s="24">
        <v>2700</v>
      </c>
      <c r="I247" t="str">
        <f>IF(H247&lt;=0,"",LOOKUP(H247,'Regras e Parâmetros'!$B$4:$B$7,'Regras e Parâmetros'!$A$4:$A$7))</f>
        <v>Prata</v>
      </c>
      <c r="J247" t="s">
        <v>9790</v>
      </c>
      <c r="L247" t="s">
        <v>9793</v>
      </c>
    </row>
    <row r="248" spans="1:12" x14ac:dyDescent="0.3">
      <c r="A248" t="s">
        <v>1023</v>
      </c>
      <c r="B248" s="5" t="s">
        <v>7104</v>
      </c>
      <c r="C248" t="s">
        <v>6456</v>
      </c>
      <c r="D248" t="s">
        <v>1938</v>
      </c>
      <c r="E248" t="s">
        <v>1024</v>
      </c>
      <c r="F248" s="1">
        <v>44774</v>
      </c>
      <c r="G248" t="s">
        <v>100</v>
      </c>
      <c r="H248" s="24">
        <v>657</v>
      </c>
      <c r="I248" t="str">
        <f>IF(H248&lt;=0,"",LOOKUP(H248,'Regras e Parâmetros'!$B$4:$B$7,'Regras e Parâmetros'!$A$4:$A$7))</f>
        <v>Bronze</v>
      </c>
      <c r="J248" t="s">
        <v>9790</v>
      </c>
      <c r="K248" t="s">
        <v>9821</v>
      </c>
      <c r="L248" t="s">
        <v>9791</v>
      </c>
    </row>
    <row r="249" spans="1:12" x14ac:dyDescent="0.3">
      <c r="A249" t="s">
        <v>1023</v>
      </c>
      <c r="B249" s="5" t="s">
        <v>8012</v>
      </c>
      <c r="C249" t="s">
        <v>6456</v>
      </c>
      <c r="D249" t="s">
        <v>2793</v>
      </c>
      <c r="E249" t="s">
        <v>2794</v>
      </c>
      <c r="F249" s="1">
        <v>45306</v>
      </c>
      <c r="G249" t="s">
        <v>45</v>
      </c>
      <c r="H249" s="24">
        <v>180</v>
      </c>
      <c r="I249" t="str">
        <f>IF(H249&lt;=0,"",LOOKUP(H249,'Regras e Parâmetros'!$B$4:$B$7,'Regras e Parâmetros'!$A$4:$A$7))</f>
        <v>Bronze</v>
      </c>
      <c r="J249" t="s">
        <v>9790</v>
      </c>
    </row>
    <row r="250" spans="1:12" x14ac:dyDescent="0.3">
      <c r="A250" t="s">
        <v>4592</v>
      </c>
      <c r="B250" s="5" t="s">
        <v>9005</v>
      </c>
      <c r="C250" t="s">
        <v>6456</v>
      </c>
      <c r="D250" t="s">
        <v>4593</v>
      </c>
      <c r="E250" t="s">
        <v>4594</v>
      </c>
      <c r="F250" s="1">
        <v>45892</v>
      </c>
      <c r="G250" t="s">
        <v>18</v>
      </c>
      <c r="H250" s="24">
        <v>0</v>
      </c>
      <c r="I250" t="str">
        <f>IF(H250&lt;=0,"",LOOKUP(H250,'Regras e Parâmetros'!$B$4:$B$7,'Regras e Parâmetros'!$A$4:$A$7))</f>
        <v/>
      </c>
      <c r="J250" t="s">
        <v>9790</v>
      </c>
      <c r="K250" t="s">
        <v>72</v>
      </c>
      <c r="L250" t="s">
        <v>9883</v>
      </c>
    </row>
    <row r="251" spans="1:12" x14ac:dyDescent="0.3">
      <c r="A251" t="s">
        <v>3420</v>
      </c>
      <c r="B251" s="5" t="s">
        <v>9953</v>
      </c>
      <c r="C251" t="s">
        <v>6456</v>
      </c>
      <c r="D251" t="s">
        <v>3421</v>
      </c>
      <c r="E251" t="s">
        <v>3422</v>
      </c>
      <c r="F251" s="1">
        <v>45540</v>
      </c>
      <c r="G251" t="s">
        <v>22</v>
      </c>
      <c r="H251" s="24">
        <v>5187</v>
      </c>
      <c r="I251" t="str">
        <f>IF(H251&lt;=0,"",LOOKUP(H251,'Regras e Parâmetros'!$B$4:$B$7,'Regras e Parâmetros'!$A$4:$A$7))</f>
        <v>Ouro</v>
      </c>
      <c r="J251" t="s">
        <v>9790</v>
      </c>
      <c r="K251" t="s">
        <v>10058</v>
      </c>
    </row>
    <row r="252" spans="1:12" x14ac:dyDescent="0.3">
      <c r="A252" t="s">
        <v>2886</v>
      </c>
      <c r="B252" s="5" t="s">
        <v>2887</v>
      </c>
      <c r="C252" t="s">
        <v>6456</v>
      </c>
      <c r="D252" t="s">
        <v>2888</v>
      </c>
      <c r="E252" t="s">
        <v>2889</v>
      </c>
      <c r="F252" s="1">
        <v>45354</v>
      </c>
      <c r="G252" t="s">
        <v>18</v>
      </c>
      <c r="H252" s="24">
        <v>1700</v>
      </c>
      <c r="I252" t="str">
        <f>IF(H252&lt;=0,"",LOOKUP(H252,'Regras e Parâmetros'!$B$4:$B$7,'Regras e Parâmetros'!$A$4:$A$7))</f>
        <v>Prata</v>
      </c>
      <c r="J252" t="s">
        <v>6747</v>
      </c>
      <c r="K252" t="s">
        <v>72</v>
      </c>
      <c r="L252" t="s">
        <v>9792</v>
      </c>
    </row>
    <row r="253" spans="1:12" x14ac:dyDescent="0.3">
      <c r="A253" t="s">
        <v>7105</v>
      </c>
      <c r="B253" s="5" t="s">
        <v>7106</v>
      </c>
      <c r="C253" t="s">
        <v>6456</v>
      </c>
      <c r="D253" t="s">
        <v>2491</v>
      </c>
      <c r="E253" t="s">
        <v>1025</v>
      </c>
      <c r="F253" s="1">
        <v>44774</v>
      </c>
      <c r="G253" t="s">
        <v>18</v>
      </c>
      <c r="H253" s="24">
        <v>552</v>
      </c>
      <c r="I253" t="str">
        <f>IF(H253&lt;=0,"",LOOKUP(H253,'Regras e Parâmetros'!$B$4:$B$7,'Regras e Parâmetros'!$A$4:$A$7))</f>
        <v>Bronze</v>
      </c>
      <c r="J253" t="s">
        <v>9790</v>
      </c>
      <c r="K253" t="s">
        <v>9822</v>
      </c>
      <c r="L253" t="s">
        <v>9791</v>
      </c>
    </row>
    <row r="254" spans="1:12" x14ac:dyDescent="0.3">
      <c r="A254" t="s">
        <v>9248</v>
      </c>
      <c r="B254" s="5" t="s">
        <v>5017</v>
      </c>
      <c r="C254" t="s">
        <v>6456</v>
      </c>
      <c r="D254" t="s">
        <v>9249</v>
      </c>
      <c r="E254" t="s">
        <v>9250</v>
      </c>
      <c r="F254" s="1">
        <v>46016</v>
      </c>
      <c r="G254" t="s">
        <v>45</v>
      </c>
      <c r="H254" s="24">
        <v>0</v>
      </c>
      <c r="I254" t="str">
        <f>IF(H254&lt;=0,"",LOOKUP(H254,'Regras e Parâmetros'!$B$4:$B$7,'Regras e Parâmetros'!$A$4:$A$7))</f>
        <v/>
      </c>
      <c r="J254" t="s">
        <v>9790</v>
      </c>
      <c r="L254" t="s">
        <v>9883</v>
      </c>
    </row>
    <row r="255" spans="1:12" x14ac:dyDescent="0.3">
      <c r="A255" t="s">
        <v>7886</v>
      </c>
      <c r="B255" s="5" t="s">
        <v>6024</v>
      </c>
      <c r="C255" t="s">
        <v>6456</v>
      </c>
      <c r="D255" t="s">
        <v>2549</v>
      </c>
      <c r="E255" t="s">
        <v>7887</v>
      </c>
      <c r="F255" s="1">
        <v>45212</v>
      </c>
      <c r="G255" t="s">
        <v>45</v>
      </c>
      <c r="H255" s="24">
        <v>4349</v>
      </c>
      <c r="I255" t="str">
        <f>IF(H255&lt;=0,"",LOOKUP(H255,'Regras e Parâmetros'!$B$4:$B$7,'Regras e Parâmetros'!$A$4:$A$7))</f>
        <v>Prata</v>
      </c>
      <c r="J255" t="s">
        <v>6747</v>
      </c>
    </row>
    <row r="256" spans="1:12" x14ac:dyDescent="0.3">
      <c r="A256" t="s">
        <v>5523</v>
      </c>
      <c r="B256" s="5" t="s">
        <v>9531</v>
      </c>
      <c r="C256" t="s">
        <v>6456</v>
      </c>
      <c r="D256" t="s">
        <v>5524</v>
      </c>
      <c r="E256" t="s">
        <v>5525</v>
      </c>
      <c r="F256" s="1">
        <v>46164</v>
      </c>
      <c r="G256" t="s">
        <v>45</v>
      </c>
      <c r="H256" s="24">
        <v>0</v>
      </c>
      <c r="I256" t="str">
        <f>IF(H256&lt;=0,"",LOOKUP(H256,'Regras e Parâmetros'!$B$4:$B$7,'Regras e Parâmetros'!$A$4:$A$7))</f>
        <v/>
      </c>
      <c r="J256" t="s">
        <v>9790</v>
      </c>
      <c r="K256" t="s">
        <v>33</v>
      </c>
      <c r="L256" t="s">
        <v>9883</v>
      </c>
    </row>
    <row r="257" spans="1:12" x14ac:dyDescent="0.3">
      <c r="A257" t="s">
        <v>3235</v>
      </c>
      <c r="B257" s="5" t="s">
        <v>8226</v>
      </c>
      <c r="C257" t="s">
        <v>6456</v>
      </c>
      <c r="D257" t="s">
        <v>3236</v>
      </c>
      <c r="E257" t="s">
        <v>8227</v>
      </c>
      <c r="F257" s="1">
        <v>45476</v>
      </c>
      <c r="G257" t="s">
        <v>22</v>
      </c>
      <c r="H257" s="24">
        <v>360</v>
      </c>
      <c r="I257" t="str">
        <f>IF(H257&lt;=0,"",LOOKUP(H257,'Regras e Parâmetros'!$B$4:$B$7,'Regras e Parâmetros'!$A$4:$A$7))</f>
        <v>Bronze</v>
      </c>
      <c r="J257" t="s">
        <v>6456</v>
      </c>
    </row>
    <row r="258" spans="1:12" x14ac:dyDescent="0.3">
      <c r="A258" t="s">
        <v>8554</v>
      </c>
      <c r="B258" s="5" t="s">
        <v>8555</v>
      </c>
      <c r="C258" t="s">
        <v>6456</v>
      </c>
      <c r="D258" t="s">
        <v>3828</v>
      </c>
      <c r="E258" t="s">
        <v>3829</v>
      </c>
      <c r="F258" s="1">
        <v>45670</v>
      </c>
      <c r="G258" t="s">
        <v>110</v>
      </c>
      <c r="H258" s="24">
        <v>0</v>
      </c>
      <c r="I258" t="str">
        <f>IF(H258&lt;=0,"",LOOKUP(H258,'Regras e Parâmetros'!$B$4:$B$7,'Regras e Parâmetros'!$A$4:$A$7))</f>
        <v/>
      </c>
      <c r="J258" t="s">
        <v>6747</v>
      </c>
      <c r="L258" t="s">
        <v>9883</v>
      </c>
    </row>
    <row r="259" spans="1:12" x14ac:dyDescent="0.3">
      <c r="A259" t="s">
        <v>5598</v>
      </c>
      <c r="B259" s="5" t="s">
        <v>9581</v>
      </c>
      <c r="C259" t="s">
        <v>6456</v>
      </c>
      <c r="D259" t="s">
        <v>5599</v>
      </c>
      <c r="E259" t="s">
        <v>9582</v>
      </c>
      <c r="F259" s="1">
        <v>46182</v>
      </c>
      <c r="G259" t="s">
        <v>110</v>
      </c>
      <c r="H259" s="24">
        <v>0</v>
      </c>
      <c r="I259" t="str">
        <f>IF(H259&lt;=0,"",LOOKUP(H259,'Regras e Parâmetros'!$B$4:$B$7,'Regras e Parâmetros'!$A$4:$A$7))</f>
        <v/>
      </c>
      <c r="J259" t="s">
        <v>6747</v>
      </c>
      <c r="L259" t="s">
        <v>9883</v>
      </c>
    </row>
    <row r="260" spans="1:12" x14ac:dyDescent="0.3">
      <c r="A260" t="s">
        <v>2133</v>
      </c>
      <c r="B260" s="5" t="s">
        <v>7661</v>
      </c>
      <c r="C260" t="s">
        <v>6456</v>
      </c>
      <c r="D260" t="s">
        <v>2134</v>
      </c>
      <c r="E260" t="s">
        <v>7662</v>
      </c>
      <c r="F260" s="1">
        <v>45089</v>
      </c>
      <c r="G260" t="s">
        <v>51</v>
      </c>
      <c r="H260" s="24">
        <v>0</v>
      </c>
      <c r="I260" t="str">
        <f>IF(H260&lt;=0,"",LOOKUP(H260,'Regras e Parâmetros'!$B$4:$B$7,'Regras e Parâmetros'!$A$4:$A$7))</f>
        <v/>
      </c>
      <c r="J260" t="s">
        <v>6747</v>
      </c>
    </row>
    <row r="261" spans="1:12" x14ac:dyDescent="0.3">
      <c r="A261" t="s">
        <v>1886</v>
      </c>
      <c r="B261" s="5" t="s">
        <v>7488</v>
      </c>
      <c r="C261" t="s">
        <v>6456</v>
      </c>
      <c r="D261" t="s">
        <v>1887</v>
      </c>
      <c r="E261" t="s">
        <v>7489</v>
      </c>
      <c r="F261" s="1">
        <v>44986</v>
      </c>
      <c r="G261" t="s">
        <v>22</v>
      </c>
      <c r="H261" s="24">
        <v>5896</v>
      </c>
      <c r="I261" t="str">
        <f>IF(H261&lt;=0,"",LOOKUP(H261,'Regras e Parâmetros'!$B$4:$B$7,'Regras e Parâmetros'!$A$4:$A$7))</f>
        <v>Ouro</v>
      </c>
      <c r="J261" t="s">
        <v>6747</v>
      </c>
      <c r="L261" t="s">
        <v>9791</v>
      </c>
    </row>
    <row r="262" spans="1:12" x14ac:dyDescent="0.3">
      <c r="A262" t="s">
        <v>1886</v>
      </c>
      <c r="B262" s="5" t="s">
        <v>8589</v>
      </c>
      <c r="C262" t="s">
        <v>6456</v>
      </c>
      <c r="D262" t="s">
        <v>3881</v>
      </c>
      <c r="E262" t="s">
        <v>8590</v>
      </c>
      <c r="F262" s="1">
        <v>45685</v>
      </c>
      <c r="G262" t="s">
        <v>45</v>
      </c>
      <c r="H262" s="24">
        <v>0</v>
      </c>
      <c r="I262" t="str">
        <f>IF(H262&lt;=0,"",LOOKUP(H262,'Regras e Parâmetros'!$B$4:$B$7,'Regras e Parâmetros'!$A$4:$A$7))</f>
        <v/>
      </c>
      <c r="J262" t="s">
        <v>6456</v>
      </c>
      <c r="K262" t="s">
        <v>177</v>
      </c>
      <c r="L262" t="s">
        <v>9883</v>
      </c>
    </row>
    <row r="263" spans="1:12" x14ac:dyDescent="0.3">
      <c r="A263" t="s">
        <v>6639</v>
      </c>
      <c r="B263" s="5" t="s">
        <v>6640</v>
      </c>
      <c r="C263" t="s">
        <v>6456</v>
      </c>
      <c r="D263" t="s">
        <v>353</v>
      </c>
      <c r="E263" t="s">
        <v>6641</v>
      </c>
      <c r="F263" s="1">
        <v>44464</v>
      </c>
      <c r="G263" t="s">
        <v>45</v>
      </c>
      <c r="H263" s="24">
        <v>5103</v>
      </c>
      <c r="I263" t="str">
        <f>IF(H263&lt;=0,"",LOOKUP(H263,'Regras e Parâmetros'!$B$4:$B$7,'Regras e Parâmetros'!$A$4:$A$7))</f>
        <v>Ouro</v>
      </c>
      <c r="J263" t="s">
        <v>9790</v>
      </c>
    </row>
    <row r="264" spans="1:12" x14ac:dyDescent="0.3">
      <c r="A264" t="s">
        <v>9693</v>
      </c>
      <c r="B264" s="5" t="s">
        <v>9694</v>
      </c>
      <c r="C264" t="s">
        <v>6456</v>
      </c>
      <c r="D264" t="s">
        <v>5856</v>
      </c>
      <c r="E264" t="s">
        <v>10086</v>
      </c>
      <c r="F264" s="1">
        <v>46235</v>
      </c>
      <c r="G264" t="s">
        <v>51</v>
      </c>
      <c r="H264" s="24">
        <v>0</v>
      </c>
      <c r="I264" t="str">
        <f>IF(H264&lt;=0,"",LOOKUP(H264,'Regras e Parâmetros'!$B$4:$B$7,'Regras e Parâmetros'!$A$4:$A$7))</f>
        <v/>
      </c>
      <c r="J264" t="s">
        <v>6747</v>
      </c>
      <c r="L264" t="s">
        <v>10150</v>
      </c>
    </row>
    <row r="265" spans="1:12" x14ac:dyDescent="0.3">
      <c r="A265" t="s">
        <v>5551</v>
      </c>
      <c r="B265" s="5" t="s">
        <v>9497</v>
      </c>
      <c r="C265" t="s">
        <v>6456</v>
      </c>
      <c r="D265" t="s">
        <v>5552</v>
      </c>
      <c r="E265" t="s">
        <v>10087</v>
      </c>
      <c r="F265" s="1">
        <v>46143</v>
      </c>
      <c r="G265" t="s">
        <v>110</v>
      </c>
      <c r="H265" s="24">
        <v>0</v>
      </c>
      <c r="I265" t="str">
        <f>IF(H265&lt;=0,"",LOOKUP(H265,'Regras e Parâmetros'!$B$4:$B$7,'Regras e Parâmetros'!$A$4:$A$7))</f>
        <v/>
      </c>
      <c r="J265" t="s">
        <v>6456</v>
      </c>
      <c r="K265" t="s">
        <v>187</v>
      </c>
      <c r="L265" t="s">
        <v>9884</v>
      </c>
    </row>
    <row r="266" spans="1:12" x14ac:dyDescent="0.3">
      <c r="A266" t="s">
        <v>3604</v>
      </c>
      <c r="B266" s="5" t="s">
        <v>8416</v>
      </c>
      <c r="C266" t="s">
        <v>6456</v>
      </c>
      <c r="D266" t="s">
        <v>3605</v>
      </c>
      <c r="E266" t="s">
        <v>8417</v>
      </c>
      <c r="F266" s="1">
        <v>45597</v>
      </c>
      <c r="G266" t="s">
        <v>45</v>
      </c>
      <c r="H266" s="24">
        <v>484</v>
      </c>
      <c r="I266" t="str">
        <f>IF(H266&lt;=0,"",LOOKUP(H266,'Regras e Parâmetros'!$B$4:$B$7,'Regras e Parâmetros'!$A$4:$A$7))</f>
        <v>Bronze</v>
      </c>
      <c r="J266" t="s">
        <v>6747</v>
      </c>
    </row>
    <row r="267" spans="1:12" x14ac:dyDescent="0.3">
      <c r="A267" t="s">
        <v>1493</v>
      </c>
      <c r="B267" s="5" t="s">
        <v>7288</v>
      </c>
      <c r="C267" t="s">
        <v>6456</v>
      </c>
      <c r="D267" t="s">
        <v>1494</v>
      </c>
      <c r="E267" t="s">
        <v>1495</v>
      </c>
      <c r="F267" s="1">
        <v>44881</v>
      </c>
      <c r="G267" t="s">
        <v>110</v>
      </c>
      <c r="H267" s="24">
        <v>590</v>
      </c>
      <c r="I267" t="str">
        <f>IF(H267&lt;=0,"",LOOKUP(H267,'Regras e Parâmetros'!$B$4:$B$7,'Regras e Parâmetros'!$A$4:$A$7))</f>
        <v>Bronze</v>
      </c>
      <c r="J267" t="s">
        <v>6747</v>
      </c>
    </row>
    <row r="268" spans="1:12" x14ac:dyDescent="0.3">
      <c r="A268" t="s">
        <v>4729</v>
      </c>
      <c r="B268" s="5" t="s">
        <v>4730</v>
      </c>
      <c r="C268" t="s">
        <v>6456</v>
      </c>
      <c r="D268" t="s">
        <v>4731</v>
      </c>
      <c r="E268" t="s">
        <v>9099</v>
      </c>
      <c r="F268" s="1">
        <v>45936</v>
      </c>
      <c r="G268" t="s">
        <v>100</v>
      </c>
      <c r="H268" s="24">
        <v>0</v>
      </c>
      <c r="I268" t="str">
        <f>IF(H268&lt;=0,"",LOOKUP(H268,'Regras e Parâmetros'!$B$4:$B$7,'Regras e Parâmetros'!$A$4:$A$7))</f>
        <v/>
      </c>
      <c r="J268" t="s">
        <v>6456</v>
      </c>
      <c r="L268" t="s">
        <v>9883</v>
      </c>
    </row>
    <row r="269" spans="1:12" x14ac:dyDescent="0.3">
      <c r="A269" t="s">
        <v>2165</v>
      </c>
      <c r="B269" s="5" t="s">
        <v>2166</v>
      </c>
      <c r="C269" t="s">
        <v>6456</v>
      </c>
      <c r="D269" t="s">
        <v>2167</v>
      </c>
      <c r="E269" t="s">
        <v>2168</v>
      </c>
      <c r="F269" s="1">
        <v>45102</v>
      </c>
      <c r="G269" t="s">
        <v>22</v>
      </c>
      <c r="H269" s="24">
        <v>0</v>
      </c>
      <c r="I269" t="str">
        <f>IF(H269&lt;=0,"",LOOKUP(H269,'Regras e Parâmetros'!$B$4:$B$7,'Regras e Parâmetros'!$A$4:$A$7))</f>
        <v/>
      </c>
      <c r="J269" t="s">
        <v>6747</v>
      </c>
      <c r="K269" t="s">
        <v>187</v>
      </c>
      <c r="L269" t="s">
        <v>9792</v>
      </c>
    </row>
    <row r="270" spans="1:12" x14ac:dyDescent="0.3">
      <c r="A270" t="s">
        <v>2165</v>
      </c>
      <c r="B270" s="5" t="s">
        <v>9715</v>
      </c>
      <c r="C270" t="s">
        <v>6456</v>
      </c>
      <c r="D270" t="s">
        <v>5975</v>
      </c>
      <c r="E270" t="s">
        <v>9716</v>
      </c>
      <c r="F270" s="1">
        <v>46247</v>
      </c>
      <c r="G270" t="s">
        <v>22</v>
      </c>
      <c r="H270" s="24">
        <v>0</v>
      </c>
      <c r="I270" t="str">
        <f>IF(H270&lt;=0,"",LOOKUP(H270,'Regras e Parâmetros'!$B$4:$B$7,'Regras e Parâmetros'!$A$4:$A$7))</f>
        <v/>
      </c>
      <c r="J270" t="s">
        <v>6747</v>
      </c>
      <c r="K270" t="s">
        <v>9939</v>
      </c>
      <c r="L270" t="s">
        <v>9883</v>
      </c>
    </row>
    <row r="271" spans="1:12" x14ac:dyDescent="0.3">
      <c r="A271" t="s">
        <v>1336</v>
      </c>
      <c r="B271" s="5" t="s">
        <v>7189</v>
      </c>
      <c r="C271" t="s">
        <v>6456</v>
      </c>
      <c r="D271" t="s">
        <v>1338</v>
      </c>
      <c r="E271" t="s">
        <v>1339</v>
      </c>
      <c r="F271" s="1">
        <v>44839</v>
      </c>
      <c r="G271" t="s">
        <v>100</v>
      </c>
      <c r="H271" s="24">
        <v>14963</v>
      </c>
      <c r="I271" t="str">
        <f>IF(H271&lt;=0,"",LOOKUP(H271,'Regras e Parâmetros'!$B$4:$B$7,'Regras e Parâmetros'!$A$4:$A$7))</f>
        <v>Vip</v>
      </c>
      <c r="J271" t="s">
        <v>6747</v>
      </c>
    </row>
    <row r="272" spans="1:12" x14ac:dyDescent="0.3">
      <c r="A272" t="s">
        <v>3714</v>
      </c>
      <c r="B272" s="5" t="s">
        <v>8477</v>
      </c>
      <c r="C272" t="s">
        <v>6456</v>
      </c>
      <c r="D272" t="s">
        <v>3715</v>
      </c>
      <c r="E272" t="s">
        <v>3716</v>
      </c>
      <c r="F272" s="1">
        <v>45630</v>
      </c>
      <c r="G272" t="s">
        <v>45</v>
      </c>
      <c r="H272" s="24">
        <v>384</v>
      </c>
      <c r="I272" t="str">
        <f>IF(H272&lt;=0,"",LOOKUP(H272,'Regras e Parâmetros'!$B$4:$B$7,'Regras e Parâmetros'!$A$4:$A$7))</f>
        <v>Bronze</v>
      </c>
      <c r="J272" t="s">
        <v>6456</v>
      </c>
      <c r="K272" t="s">
        <v>33</v>
      </c>
      <c r="L272" t="s">
        <v>9792</v>
      </c>
    </row>
    <row r="273" spans="1:12" x14ac:dyDescent="0.3">
      <c r="A273" t="s">
        <v>2851</v>
      </c>
      <c r="B273" s="5" t="s">
        <v>2852</v>
      </c>
      <c r="C273" t="s">
        <v>6456</v>
      </c>
      <c r="D273" t="s">
        <v>2853</v>
      </c>
      <c r="E273" t="s">
        <v>2854</v>
      </c>
      <c r="F273" s="1">
        <v>45337</v>
      </c>
      <c r="G273" t="s">
        <v>45</v>
      </c>
      <c r="H273" s="24">
        <v>0</v>
      </c>
      <c r="I273" t="str">
        <f>IF(H273&lt;=0,"",LOOKUP(H273,'Regras e Parâmetros'!$B$4:$B$7,'Regras e Parâmetros'!$A$4:$A$7))</f>
        <v/>
      </c>
      <c r="J273" t="s">
        <v>9790</v>
      </c>
      <c r="K273" t="s">
        <v>177</v>
      </c>
    </row>
    <row r="274" spans="1:12" x14ac:dyDescent="0.3">
      <c r="A274" t="s">
        <v>5153</v>
      </c>
      <c r="B274" s="5" t="s">
        <v>9319</v>
      </c>
      <c r="C274" t="s">
        <v>6456</v>
      </c>
      <c r="D274" t="s">
        <v>5154</v>
      </c>
      <c r="E274" t="s">
        <v>9320</v>
      </c>
      <c r="F274" s="1">
        <v>46054</v>
      </c>
      <c r="G274" t="s">
        <v>18</v>
      </c>
      <c r="H274" s="24">
        <v>0</v>
      </c>
      <c r="I274" t="str">
        <f>IF(H274&lt;=0,"",LOOKUP(H274,'Regras e Parâmetros'!$B$4:$B$7,'Regras e Parâmetros'!$A$4:$A$7))</f>
        <v/>
      </c>
      <c r="J274" t="s">
        <v>6747</v>
      </c>
      <c r="L274" t="s">
        <v>9884</v>
      </c>
    </row>
    <row r="275" spans="1:12" x14ac:dyDescent="0.3">
      <c r="A275" t="s">
        <v>4376</v>
      </c>
      <c r="B275" s="5" t="s">
        <v>8868</v>
      </c>
      <c r="C275" t="s">
        <v>6456</v>
      </c>
      <c r="D275" t="s">
        <v>4377</v>
      </c>
      <c r="E275" t="s">
        <v>8869</v>
      </c>
      <c r="F275" s="1">
        <v>45831</v>
      </c>
      <c r="G275" t="s">
        <v>51</v>
      </c>
      <c r="H275" s="24">
        <v>0</v>
      </c>
      <c r="I275" t="str">
        <f>IF(H275&lt;=0,"",LOOKUP(H275,'Regras e Parâmetros'!$B$4:$B$7,'Regras e Parâmetros'!$A$4:$A$7))</f>
        <v/>
      </c>
      <c r="J275" t="s">
        <v>9790</v>
      </c>
      <c r="L275" t="s">
        <v>9883</v>
      </c>
    </row>
    <row r="276" spans="1:12" x14ac:dyDescent="0.3">
      <c r="A276" t="s">
        <v>5509</v>
      </c>
      <c r="B276" s="5" t="s">
        <v>5510</v>
      </c>
      <c r="C276" t="s">
        <v>6456</v>
      </c>
      <c r="D276" t="s">
        <v>5511</v>
      </c>
      <c r="E276" t="s">
        <v>9525</v>
      </c>
      <c r="F276" s="1">
        <v>46161</v>
      </c>
      <c r="G276" t="s">
        <v>18</v>
      </c>
      <c r="H276" s="24">
        <v>0</v>
      </c>
      <c r="I276" t="str">
        <f>IF(H276&lt;=0,"",LOOKUP(H276,'Regras e Parâmetros'!$B$4:$B$7,'Regras e Parâmetros'!$A$4:$A$7))</f>
        <v/>
      </c>
      <c r="J276" t="s">
        <v>6747</v>
      </c>
      <c r="L276" t="s">
        <v>9883</v>
      </c>
    </row>
    <row r="277" spans="1:12" x14ac:dyDescent="0.3">
      <c r="A277" t="s">
        <v>7460</v>
      </c>
      <c r="B277" s="5" t="s">
        <v>1794</v>
      </c>
      <c r="C277" t="s">
        <v>6456</v>
      </c>
      <c r="D277" t="s">
        <v>1795</v>
      </c>
      <c r="E277" t="s">
        <v>7461</v>
      </c>
      <c r="F277" s="1">
        <v>44970</v>
      </c>
      <c r="G277" t="s">
        <v>110</v>
      </c>
      <c r="H277" s="24">
        <v>1836</v>
      </c>
      <c r="I277" t="str">
        <f>IF(H277&lt;=0,"",LOOKUP(H277,'Regras e Parâmetros'!$B$4:$B$7,'Regras e Parâmetros'!$A$4:$A$7))</f>
        <v>Prata</v>
      </c>
      <c r="J277" t="s">
        <v>9790</v>
      </c>
    </row>
    <row r="278" spans="1:12" x14ac:dyDescent="0.3">
      <c r="A278" t="s">
        <v>4748</v>
      </c>
      <c r="B278" s="5" t="s">
        <v>4749</v>
      </c>
      <c r="C278" t="s">
        <v>6456</v>
      </c>
      <c r="D278" t="s">
        <v>4750</v>
      </c>
      <c r="E278" t="s">
        <v>4751</v>
      </c>
      <c r="F278" s="1">
        <v>45931</v>
      </c>
      <c r="G278" t="s">
        <v>22</v>
      </c>
      <c r="H278" s="24">
        <v>0</v>
      </c>
      <c r="I278" t="str">
        <f>IF(H278&lt;=0,"",LOOKUP(H278,'Regras e Parâmetros'!$B$4:$B$7,'Regras e Parâmetros'!$A$4:$A$7))</f>
        <v/>
      </c>
      <c r="J278" t="s">
        <v>9790</v>
      </c>
      <c r="K278" t="s">
        <v>44</v>
      </c>
      <c r="L278" t="s">
        <v>9884</v>
      </c>
    </row>
    <row r="279" spans="1:12" x14ac:dyDescent="0.3">
      <c r="A279" t="s">
        <v>8033</v>
      </c>
      <c r="B279" s="5" t="s">
        <v>8034</v>
      </c>
      <c r="C279" t="s">
        <v>6456</v>
      </c>
      <c r="D279" t="s">
        <v>2826</v>
      </c>
      <c r="E279" t="s">
        <v>2827</v>
      </c>
      <c r="F279" s="1">
        <v>45321</v>
      </c>
      <c r="G279" t="s">
        <v>51</v>
      </c>
      <c r="H279" s="24">
        <v>2251</v>
      </c>
      <c r="I279" t="str">
        <f>IF(H279&lt;=0,"",LOOKUP(H279,'Regras e Parâmetros'!$B$4:$B$7,'Regras e Parâmetros'!$A$4:$A$7))</f>
        <v>Prata</v>
      </c>
      <c r="J279" t="s">
        <v>6456</v>
      </c>
      <c r="L279" t="s">
        <v>9792</v>
      </c>
    </row>
    <row r="280" spans="1:12" x14ac:dyDescent="0.3">
      <c r="A280" t="s">
        <v>9122</v>
      </c>
      <c r="B280" s="5" t="s">
        <v>4782</v>
      </c>
      <c r="C280" t="s">
        <v>6456</v>
      </c>
      <c r="D280" t="s">
        <v>4783</v>
      </c>
      <c r="E280" t="s">
        <v>4784</v>
      </c>
      <c r="F280" s="1">
        <v>45949</v>
      </c>
      <c r="G280" t="s">
        <v>110</v>
      </c>
      <c r="H280" s="24">
        <v>0</v>
      </c>
      <c r="I280" t="str">
        <f>IF(H280&lt;=0,"",LOOKUP(H280,'Regras e Parâmetros'!$B$4:$B$7,'Regras e Parâmetros'!$A$4:$A$7))</f>
        <v/>
      </c>
      <c r="J280" t="s">
        <v>9790</v>
      </c>
      <c r="L280" t="s">
        <v>9883</v>
      </c>
    </row>
    <row r="281" spans="1:12" x14ac:dyDescent="0.3">
      <c r="A281" t="s">
        <v>7572</v>
      </c>
      <c r="B281" s="5" t="s">
        <v>7573</v>
      </c>
      <c r="C281" t="s">
        <v>6456</v>
      </c>
      <c r="D281" t="s">
        <v>2007</v>
      </c>
      <c r="E281" t="s">
        <v>2008</v>
      </c>
      <c r="F281" s="1">
        <v>45044</v>
      </c>
      <c r="G281" t="s">
        <v>110</v>
      </c>
      <c r="H281" s="24">
        <v>0</v>
      </c>
      <c r="I281" t="str">
        <f>IF(H281&lt;=0,"",LOOKUP(H281,'Regras e Parâmetros'!$B$4:$B$7,'Regras e Parâmetros'!$A$4:$A$7))</f>
        <v/>
      </c>
      <c r="J281" t="s">
        <v>9790</v>
      </c>
    </row>
    <row r="282" spans="1:12" x14ac:dyDescent="0.3">
      <c r="A282" t="s">
        <v>3172</v>
      </c>
      <c r="B282" s="5" t="s">
        <v>3173</v>
      </c>
      <c r="C282" t="s">
        <v>6456</v>
      </c>
      <c r="D282" t="s">
        <v>3174</v>
      </c>
      <c r="E282" t="s">
        <v>3175</v>
      </c>
      <c r="F282" s="1">
        <v>45457</v>
      </c>
      <c r="G282" t="s">
        <v>45</v>
      </c>
      <c r="H282" s="24">
        <v>293</v>
      </c>
      <c r="I282" t="str">
        <f>IF(H282&lt;=0,"",LOOKUP(H282,'Regras e Parâmetros'!$B$4:$B$7,'Regras e Parâmetros'!$A$4:$A$7))</f>
        <v>Bronze</v>
      </c>
      <c r="J282" t="s">
        <v>9790</v>
      </c>
    </row>
    <row r="283" spans="1:12" x14ac:dyDescent="0.3">
      <c r="A283" t="s">
        <v>2125</v>
      </c>
      <c r="B283" s="5" t="s">
        <v>7656</v>
      </c>
      <c r="C283" t="s">
        <v>6456</v>
      </c>
      <c r="D283" t="s">
        <v>2126</v>
      </c>
      <c r="E283" t="s">
        <v>7657</v>
      </c>
      <c r="F283" s="1">
        <v>45086</v>
      </c>
      <c r="G283" t="s">
        <v>51</v>
      </c>
      <c r="H283" s="24">
        <v>3684</v>
      </c>
      <c r="I283" t="str">
        <f>IF(H283&lt;=0,"",LOOKUP(H283,'Regras e Parâmetros'!$B$4:$B$7,'Regras e Parâmetros'!$A$4:$A$7))</f>
        <v>Prata</v>
      </c>
      <c r="J283" t="s">
        <v>9790</v>
      </c>
      <c r="K283" t="s">
        <v>177</v>
      </c>
    </row>
    <row r="284" spans="1:12" x14ac:dyDescent="0.3">
      <c r="A284" t="s">
        <v>5289</v>
      </c>
      <c r="B284" s="5" t="s">
        <v>5290</v>
      </c>
      <c r="C284" t="s">
        <v>6456</v>
      </c>
      <c r="D284" t="s">
        <v>5291</v>
      </c>
      <c r="E284" t="s">
        <v>9422</v>
      </c>
      <c r="F284" s="1">
        <v>46104</v>
      </c>
      <c r="G284" t="s">
        <v>110</v>
      </c>
      <c r="H284" s="24">
        <v>0</v>
      </c>
      <c r="I284" t="str">
        <f>IF(H284&lt;=0,"",LOOKUP(H284,'Regras e Parâmetros'!$B$4:$B$7,'Regras e Parâmetros'!$A$4:$A$7))</f>
        <v/>
      </c>
      <c r="J284" t="s">
        <v>9790</v>
      </c>
      <c r="L284" t="s">
        <v>9883</v>
      </c>
    </row>
    <row r="285" spans="1:12" x14ac:dyDescent="0.3">
      <c r="A285" t="s">
        <v>2222</v>
      </c>
      <c r="B285" s="5" t="s">
        <v>7704</v>
      </c>
      <c r="C285" t="s">
        <v>6456</v>
      </c>
      <c r="D285" t="s">
        <v>2223</v>
      </c>
      <c r="E285" t="s">
        <v>2224</v>
      </c>
      <c r="F285" s="1">
        <v>45118</v>
      </c>
      <c r="G285" t="s">
        <v>51</v>
      </c>
      <c r="H285" s="24">
        <v>6351</v>
      </c>
      <c r="I285" t="str">
        <f>IF(H285&lt;=0,"",LOOKUP(H285,'Regras e Parâmetros'!$B$4:$B$7,'Regras e Parâmetros'!$A$4:$A$7))</f>
        <v>Ouro</v>
      </c>
      <c r="J285" t="s">
        <v>6456</v>
      </c>
    </row>
    <row r="286" spans="1:12" x14ac:dyDescent="0.3">
      <c r="A286" t="s">
        <v>2835</v>
      </c>
      <c r="B286" s="5" t="s">
        <v>8038</v>
      </c>
      <c r="C286" t="s">
        <v>6456</v>
      </c>
      <c r="D286" t="s">
        <v>2836</v>
      </c>
      <c r="E286" t="s">
        <v>2837</v>
      </c>
      <c r="F286" s="1">
        <v>45323</v>
      </c>
      <c r="G286" t="s">
        <v>51</v>
      </c>
      <c r="H286" s="24">
        <v>516</v>
      </c>
      <c r="I286" t="str">
        <f>IF(H286&lt;=0,"",LOOKUP(H286,'Regras e Parâmetros'!$B$4:$B$7,'Regras e Parâmetros'!$A$4:$A$7))</f>
        <v>Bronze</v>
      </c>
      <c r="J286" t="s">
        <v>6456</v>
      </c>
      <c r="L286" t="s">
        <v>9791</v>
      </c>
    </row>
    <row r="287" spans="1:12" x14ac:dyDescent="0.3">
      <c r="A287" t="s">
        <v>3479</v>
      </c>
      <c r="B287" s="5" t="s">
        <v>3480</v>
      </c>
      <c r="C287" t="s">
        <v>6456</v>
      </c>
      <c r="D287" t="s">
        <v>3481</v>
      </c>
      <c r="E287" t="s">
        <v>3482</v>
      </c>
      <c r="F287" s="1">
        <v>45563</v>
      </c>
      <c r="G287" t="s">
        <v>110</v>
      </c>
      <c r="H287" s="24">
        <v>746</v>
      </c>
      <c r="I287" t="str">
        <f>IF(H287&lt;=0,"",LOOKUP(H287,'Regras e Parâmetros'!$B$4:$B$7,'Regras e Parâmetros'!$A$4:$A$7))</f>
        <v>Bronze</v>
      </c>
      <c r="J287" t="s">
        <v>6456</v>
      </c>
    </row>
    <row r="288" spans="1:12" x14ac:dyDescent="0.3">
      <c r="A288" t="s">
        <v>8355</v>
      </c>
      <c r="B288" s="5" t="s">
        <v>3494</v>
      </c>
      <c r="C288" t="s">
        <v>6456</v>
      </c>
      <c r="D288" t="s">
        <v>3495</v>
      </c>
      <c r="E288" t="s">
        <v>10088</v>
      </c>
      <c r="F288" s="1">
        <v>45566</v>
      </c>
      <c r="G288" t="s">
        <v>45</v>
      </c>
      <c r="H288" s="24">
        <v>1396</v>
      </c>
      <c r="I288" t="str">
        <f>IF(H288&lt;=0,"",LOOKUP(H288,'Regras e Parâmetros'!$B$4:$B$7,'Regras e Parâmetros'!$A$4:$A$7))</f>
        <v>Bronze</v>
      </c>
      <c r="J288" t="s">
        <v>9790</v>
      </c>
    </row>
    <row r="289" spans="1:12" x14ac:dyDescent="0.3">
      <c r="A289" t="s">
        <v>1026</v>
      </c>
      <c r="B289" s="5" t="s">
        <v>1027</v>
      </c>
      <c r="C289" t="s">
        <v>6456</v>
      </c>
      <c r="D289" t="s">
        <v>1028</v>
      </c>
      <c r="E289" t="s">
        <v>7127</v>
      </c>
      <c r="F289" s="1">
        <v>44793</v>
      </c>
      <c r="G289" t="s">
        <v>110</v>
      </c>
      <c r="H289" s="24">
        <v>287</v>
      </c>
      <c r="I289" t="str">
        <f>IF(H289&lt;=0,"",LOOKUP(H289,'Regras e Parâmetros'!$B$4:$B$7,'Regras e Parâmetros'!$A$4:$A$7))</f>
        <v>Bronze</v>
      </c>
      <c r="J289" t="s">
        <v>6456</v>
      </c>
    </row>
    <row r="290" spans="1:12" x14ac:dyDescent="0.3">
      <c r="A290" t="s">
        <v>2324</v>
      </c>
      <c r="B290" s="5" t="s">
        <v>7770</v>
      </c>
      <c r="C290" t="s">
        <v>6456</v>
      </c>
      <c r="D290" t="s">
        <v>2325</v>
      </c>
      <c r="E290" t="s">
        <v>7771</v>
      </c>
      <c r="F290" s="1">
        <v>45145</v>
      </c>
      <c r="G290" t="s">
        <v>45</v>
      </c>
      <c r="H290" s="24">
        <v>0</v>
      </c>
      <c r="I290" t="str">
        <f>IF(H290&lt;=0,"",LOOKUP(H290,'Regras e Parâmetros'!$B$4:$B$7,'Regras e Parâmetros'!$A$4:$A$7))</f>
        <v/>
      </c>
      <c r="J290" t="s">
        <v>9790</v>
      </c>
      <c r="K290" t="s">
        <v>187</v>
      </c>
    </row>
    <row r="291" spans="1:12" x14ac:dyDescent="0.3">
      <c r="A291" t="s">
        <v>9541</v>
      </c>
      <c r="B291" s="5" t="s">
        <v>9542</v>
      </c>
      <c r="C291" t="s">
        <v>6456</v>
      </c>
      <c r="D291" t="s">
        <v>5545</v>
      </c>
      <c r="E291" t="s">
        <v>9543</v>
      </c>
      <c r="F291" s="1">
        <v>46168</v>
      </c>
      <c r="G291" t="s">
        <v>18</v>
      </c>
      <c r="H291" s="24">
        <v>0</v>
      </c>
      <c r="I291" t="str">
        <f>IF(H291&lt;=0,"",LOOKUP(H291,'Regras e Parâmetros'!$B$4:$B$7,'Regras e Parâmetros'!$A$4:$A$7))</f>
        <v/>
      </c>
      <c r="J291" t="s">
        <v>6747</v>
      </c>
      <c r="L291" t="s">
        <v>9883</v>
      </c>
    </row>
    <row r="292" spans="1:12" x14ac:dyDescent="0.3">
      <c r="A292" t="s">
        <v>306</v>
      </c>
      <c r="B292" s="5" t="s">
        <v>6595</v>
      </c>
      <c r="C292" t="s">
        <v>6456</v>
      </c>
      <c r="D292" t="s">
        <v>307</v>
      </c>
      <c r="E292" t="s">
        <v>308</v>
      </c>
      <c r="F292" s="1">
        <v>44440</v>
      </c>
      <c r="G292" t="s">
        <v>18</v>
      </c>
      <c r="H292" s="24">
        <v>15000</v>
      </c>
      <c r="I292" t="str">
        <f>IF(H292&lt;=0,"",LOOKUP(H292,'Regras e Parâmetros'!$B$4:$B$7,'Regras e Parâmetros'!$A$4:$A$7))</f>
        <v>Vip</v>
      </c>
      <c r="J292" t="s">
        <v>9790</v>
      </c>
      <c r="K292" t="s">
        <v>72</v>
      </c>
      <c r="L292" t="s">
        <v>9791</v>
      </c>
    </row>
    <row r="293" spans="1:12" x14ac:dyDescent="0.3">
      <c r="A293" t="s">
        <v>9064</v>
      </c>
      <c r="B293" s="5" t="s">
        <v>9065</v>
      </c>
      <c r="C293" t="s">
        <v>6456</v>
      </c>
      <c r="D293" t="s">
        <v>4694</v>
      </c>
      <c r="E293" t="s">
        <v>4695</v>
      </c>
      <c r="F293" s="1">
        <v>45928</v>
      </c>
      <c r="G293" t="s">
        <v>45</v>
      </c>
      <c r="H293" s="24">
        <v>0</v>
      </c>
      <c r="I293" t="str">
        <f>IF(H293&lt;=0,"",LOOKUP(H293,'Regras e Parâmetros'!$B$4:$B$7,'Regras e Parâmetros'!$A$4:$A$7))</f>
        <v/>
      </c>
      <c r="J293" t="s">
        <v>9790</v>
      </c>
      <c r="L293" t="s">
        <v>9883</v>
      </c>
    </row>
    <row r="294" spans="1:12" x14ac:dyDescent="0.3">
      <c r="A294" t="s">
        <v>4814</v>
      </c>
      <c r="B294" s="5" t="s">
        <v>9084</v>
      </c>
      <c r="C294" t="s">
        <v>6456</v>
      </c>
      <c r="D294" t="s">
        <v>9085</v>
      </c>
      <c r="E294" t="s">
        <v>4815</v>
      </c>
      <c r="F294" s="1">
        <v>45931</v>
      </c>
      <c r="G294" t="s">
        <v>110</v>
      </c>
      <c r="H294" s="24">
        <v>0</v>
      </c>
      <c r="I294" t="str">
        <f>IF(H294&lt;=0,"",LOOKUP(H294,'Regras e Parâmetros'!$B$4:$B$7,'Regras e Parâmetros'!$A$4:$A$7))</f>
        <v/>
      </c>
      <c r="J294" t="s">
        <v>6456</v>
      </c>
      <c r="L294" t="s">
        <v>9884</v>
      </c>
    </row>
    <row r="295" spans="1:12" x14ac:dyDescent="0.3">
      <c r="A295" t="s">
        <v>4513</v>
      </c>
      <c r="B295" s="5" t="s">
        <v>3377</v>
      </c>
      <c r="C295" t="s">
        <v>6456</v>
      </c>
      <c r="D295" t="s">
        <v>3378</v>
      </c>
      <c r="E295" t="s">
        <v>3379</v>
      </c>
      <c r="F295" s="1">
        <v>45519</v>
      </c>
      <c r="G295" t="s">
        <v>51</v>
      </c>
      <c r="H295" s="24">
        <v>0</v>
      </c>
      <c r="I295" t="str">
        <f>IF(H295&lt;=0,"",LOOKUP(H295,'Regras e Parâmetros'!$B$4:$B$7,'Regras e Parâmetros'!$A$4:$A$7))</f>
        <v/>
      </c>
      <c r="J295" t="s">
        <v>6456</v>
      </c>
    </row>
    <row r="296" spans="1:12" x14ac:dyDescent="0.3">
      <c r="A296" t="s">
        <v>4513</v>
      </c>
      <c r="B296" s="5" t="s">
        <v>4514</v>
      </c>
      <c r="C296" t="s">
        <v>6456</v>
      </c>
      <c r="D296" t="s">
        <v>4515</v>
      </c>
      <c r="E296" t="s">
        <v>4516</v>
      </c>
      <c r="F296" s="1">
        <v>45872</v>
      </c>
      <c r="G296" t="s">
        <v>110</v>
      </c>
      <c r="H296" s="24">
        <v>0</v>
      </c>
      <c r="I296" t="str">
        <f>IF(H296&lt;=0,"",LOOKUP(H296,'Regras e Parâmetros'!$B$4:$B$7,'Regras e Parâmetros'!$A$4:$A$7))</f>
        <v/>
      </c>
      <c r="J296" t="s">
        <v>6747</v>
      </c>
      <c r="K296" t="s">
        <v>8</v>
      </c>
      <c r="L296" t="s">
        <v>9883</v>
      </c>
    </row>
    <row r="297" spans="1:12" x14ac:dyDescent="0.3">
      <c r="A297" t="s">
        <v>3941</v>
      </c>
      <c r="B297" s="5" t="s">
        <v>3942</v>
      </c>
      <c r="C297" t="s">
        <v>6456</v>
      </c>
      <c r="D297" t="s">
        <v>3943</v>
      </c>
      <c r="E297" t="s">
        <v>8603</v>
      </c>
      <c r="F297" s="1">
        <v>45689</v>
      </c>
      <c r="G297" t="s">
        <v>45</v>
      </c>
      <c r="H297" s="24">
        <v>0</v>
      </c>
      <c r="I297" t="str">
        <f>IF(H297&lt;=0,"",LOOKUP(H297,'Regras e Parâmetros'!$B$4:$B$7,'Regras e Parâmetros'!$A$4:$A$7))</f>
        <v/>
      </c>
      <c r="J297" t="s">
        <v>9790</v>
      </c>
      <c r="L297" t="s">
        <v>9884</v>
      </c>
    </row>
    <row r="298" spans="1:12" x14ac:dyDescent="0.3">
      <c r="A298" t="s">
        <v>5625</v>
      </c>
      <c r="B298" s="5" t="s">
        <v>9596</v>
      </c>
      <c r="C298" t="s">
        <v>6456</v>
      </c>
      <c r="D298" t="s">
        <v>5626</v>
      </c>
      <c r="E298" t="s">
        <v>5627</v>
      </c>
      <c r="F298" s="1">
        <v>46199</v>
      </c>
      <c r="G298" t="s">
        <v>110</v>
      </c>
      <c r="H298" s="24">
        <v>0</v>
      </c>
      <c r="I298" t="str">
        <f>IF(H298&lt;=0,"",LOOKUP(H298,'Regras e Parâmetros'!$B$4:$B$7,'Regras e Parâmetros'!$A$4:$A$7))</f>
        <v/>
      </c>
      <c r="J298" t="s">
        <v>6456</v>
      </c>
      <c r="L298" t="s">
        <v>9886</v>
      </c>
    </row>
    <row r="299" spans="1:12" x14ac:dyDescent="0.3">
      <c r="A299" t="s">
        <v>4330</v>
      </c>
      <c r="B299" s="5" t="s">
        <v>4331</v>
      </c>
      <c r="C299" t="s">
        <v>6456</v>
      </c>
      <c r="D299" t="s">
        <v>4332</v>
      </c>
      <c r="E299" t="s">
        <v>4333</v>
      </c>
      <c r="F299" s="1">
        <v>45819</v>
      </c>
      <c r="G299" t="s">
        <v>100</v>
      </c>
      <c r="H299" s="24">
        <v>0</v>
      </c>
      <c r="I299" t="str">
        <f>IF(H299&lt;=0,"",LOOKUP(H299,'Regras e Parâmetros'!$B$4:$B$7,'Regras e Parâmetros'!$A$4:$A$7))</f>
        <v/>
      </c>
      <c r="J299" t="s">
        <v>6747</v>
      </c>
      <c r="L299" t="s">
        <v>9883</v>
      </c>
    </row>
    <row r="300" spans="1:12" x14ac:dyDescent="0.3">
      <c r="A300" t="s">
        <v>2441</v>
      </c>
      <c r="B300" s="5" t="s">
        <v>2442</v>
      </c>
      <c r="C300" t="s">
        <v>6456</v>
      </c>
      <c r="D300" t="s">
        <v>2443</v>
      </c>
      <c r="E300" t="s">
        <v>7828</v>
      </c>
      <c r="F300" s="1">
        <v>45180</v>
      </c>
      <c r="G300" t="s">
        <v>51</v>
      </c>
      <c r="H300" s="24">
        <v>1429</v>
      </c>
      <c r="I300" t="str">
        <f>IF(H300&lt;=0,"",LOOKUP(H300,'Regras e Parâmetros'!$B$4:$B$7,'Regras e Parâmetros'!$A$4:$A$7))</f>
        <v>Bronze</v>
      </c>
      <c r="J300" t="s">
        <v>9790</v>
      </c>
    </row>
    <row r="301" spans="1:12" x14ac:dyDescent="0.3">
      <c r="A301" t="s">
        <v>1755</v>
      </c>
      <c r="B301" s="5" t="s">
        <v>1756</v>
      </c>
      <c r="C301" t="s">
        <v>6456</v>
      </c>
      <c r="D301" t="s">
        <v>1757</v>
      </c>
      <c r="E301" t="s">
        <v>7436</v>
      </c>
      <c r="F301" s="1">
        <v>44956</v>
      </c>
      <c r="G301" t="s">
        <v>45</v>
      </c>
      <c r="H301" s="24">
        <v>614</v>
      </c>
      <c r="I301" t="str">
        <f>IF(H301&lt;=0,"",LOOKUP(H301,'Regras e Parâmetros'!$B$4:$B$7,'Regras e Parâmetros'!$A$4:$A$7))</f>
        <v>Bronze</v>
      </c>
      <c r="J301" t="s">
        <v>6747</v>
      </c>
    </row>
    <row r="302" spans="1:12" x14ac:dyDescent="0.3">
      <c r="A302" t="s">
        <v>1029</v>
      </c>
      <c r="B302" s="5" t="s">
        <v>1030</v>
      </c>
      <c r="C302" t="s">
        <v>6456</v>
      </c>
      <c r="D302" t="s">
        <v>1031</v>
      </c>
      <c r="E302" t="s">
        <v>10089</v>
      </c>
      <c r="F302" s="1">
        <v>44723</v>
      </c>
      <c r="G302" t="s">
        <v>45</v>
      </c>
      <c r="H302" s="24">
        <v>4570</v>
      </c>
      <c r="I302" t="str">
        <f>IF(H302&lt;=0,"",LOOKUP(H302,'Regras e Parâmetros'!$B$4:$B$7,'Regras e Parâmetros'!$A$4:$A$7))</f>
        <v>Prata</v>
      </c>
      <c r="J302" t="s">
        <v>6456</v>
      </c>
      <c r="K302" t="s">
        <v>10028</v>
      </c>
    </row>
    <row r="303" spans="1:12" x14ac:dyDescent="0.3">
      <c r="A303" t="s">
        <v>7767</v>
      </c>
      <c r="B303" s="5" t="s">
        <v>7768</v>
      </c>
      <c r="C303" t="s">
        <v>6456</v>
      </c>
      <c r="D303" t="s">
        <v>2323</v>
      </c>
      <c r="E303" t="s">
        <v>7769</v>
      </c>
      <c r="F303" s="1">
        <v>45143</v>
      </c>
      <c r="G303" t="s">
        <v>110</v>
      </c>
      <c r="H303" s="24">
        <v>350</v>
      </c>
      <c r="I303" t="str">
        <f>IF(H303&lt;=0,"",LOOKUP(H303,'Regras e Parâmetros'!$B$4:$B$7,'Regras e Parâmetros'!$A$4:$A$7))</f>
        <v>Bronze</v>
      </c>
      <c r="J303" t="s">
        <v>6747</v>
      </c>
      <c r="K303" t="s">
        <v>44</v>
      </c>
    </row>
    <row r="304" spans="1:12" x14ac:dyDescent="0.3">
      <c r="A304" t="s">
        <v>3212</v>
      </c>
      <c r="B304" s="5" t="s">
        <v>3213</v>
      </c>
      <c r="C304" t="s">
        <v>6456</v>
      </c>
      <c r="D304" t="s">
        <v>3214</v>
      </c>
      <c r="E304" t="s">
        <v>3215</v>
      </c>
      <c r="F304" s="1">
        <v>45466</v>
      </c>
      <c r="G304" t="s">
        <v>110</v>
      </c>
      <c r="H304" s="24">
        <v>420</v>
      </c>
      <c r="I304" t="str">
        <f>IF(H304&lt;=0,"",LOOKUP(H304,'Regras e Parâmetros'!$B$4:$B$7,'Regras e Parâmetros'!$A$4:$A$7))</f>
        <v>Bronze</v>
      </c>
      <c r="J304" t="s">
        <v>9790</v>
      </c>
      <c r="L304" t="s">
        <v>9792</v>
      </c>
    </row>
    <row r="305" spans="1:12" x14ac:dyDescent="0.3">
      <c r="A305" t="s">
        <v>7498</v>
      </c>
      <c r="B305" s="5" t="s">
        <v>7499</v>
      </c>
      <c r="C305" t="s">
        <v>6456</v>
      </c>
      <c r="D305" t="s">
        <v>1852</v>
      </c>
      <c r="E305" t="s">
        <v>7500</v>
      </c>
      <c r="F305" s="1">
        <v>44992</v>
      </c>
      <c r="G305" t="s">
        <v>18</v>
      </c>
      <c r="H305" s="24">
        <v>2681</v>
      </c>
      <c r="I305" t="str">
        <f>IF(H305&lt;=0,"",LOOKUP(H305,'Regras e Parâmetros'!$B$4:$B$7,'Regras e Parâmetros'!$A$4:$A$7))</f>
        <v>Prata</v>
      </c>
      <c r="J305" t="s">
        <v>9790</v>
      </c>
    </row>
    <row r="306" spans="1:12" x14ac:dyDescent="0.3">
      <c r="A306" t="s">
        <v>2811</v>
      </c>
      <c r="B306" s="5" t="s">
        <v>8026</v>
      </c>
      <c r="C306" t="s">
        <v>6456</v>
      </c>
      <c r="D306" t="s">
        <v>2812</v>
      </c>
      <c r="E306" t="s">
        <v>2813</v>
      </c>
      <c r="F306" s="1">
        <v>45315</v>
      </c>
      <c r="G306" t="s">
        <v>51</v>
      </c>
      <c r="H306" s="24">
        <v>1361</v>
      </c>
      <c r="I306" t="str">
        <f>IF(H306&lt;=0,"",LOOKUP(H306,'Regras e Parâmetros'!$B$4:$B$7,'Regras e Parâmetros'!$A$4:$A$7))</f>
        <v>Bronze</v>
      </c>
      <c r="J306" t="s">
        <v>6456</v>
      </c>
      <c r="K306" t="s">
        <v>33</v>
      </c>
    </row>
    <row r="307" spans="1:12" x14ac:dyDescent="0.3">
      <c r="A307" t="s">
        <v>5954</v>
      </c>
      <c r="B307" s="5" t="s">
        <v>9784</v>
      </c>
      <c r="C307" t="s">
        <v>6456</v>
      </c>
      <c r="D307" t="s">
        <v>5955</v>
      </c>
      <c r="E307" t="s">
        <v>5956</v>
      </c>
      <c r="F307" s="1">
        <v>46276</v>
      </c>
      <c r="G307" t="s">
        <v>45</v>
      </c>
      <c r="H307" s="24">
        <v>0</v>
      </c>
      <c r="I307" t="str">
        <f>IF(H307&lt;=0,"",LOOKUP(H307,'Regras e Parâmetros'!$B$4:$B$7,'Regras e Parâmetros'!$A$4:$A$7))</f>
        <v/>
      </c>
      <c r="J307" t="s">
        <v>9790</v>
      </c>
      <c r="L307" t="s">
        <v>9886</v>
      </c>
    </row>
    <row r="308" spans="1:12" x14ac:dyDescent="0.3">
      <c r="A308" t="s">
        <v>9240</v>
      </c>
      <c r="B308" s="5" t="s">
        <v>9241</v>
      </c>
      <c r="C308" t="s">
        <v>6456</v>
      </c>
      <c r="D308" t="s">
        <v>5005</v>
      </c>
      <c r="E308" t="s">
        <v>9242</v>
      </c>
      <c r="F308" s="1">
        <v>46014</v>
      </c>
      <c r="G308" t="s">
        <v>18</v>
      </c>
      <c r="H308" s="24">
        <v>0</v>
      </c>
      <c r="I308" t="str">
        <f>IF(H308&lt;=0,"",LOOKUP(H308,'Regras e Parâmetros'!$B$4:$B$7,'Regras e Parâmetros'!$A$4:$A$7))</f>
        <v/>
      </c>
      <c r="J308" t="s">
        <v>6456</v>
      </c>
      <c r="L308" t="s">
        <v>9883</v>
      </c>
    </row>
    <row r="309" spans="1:12" x14ac:dyDescent="0.3">
      <c r="A309" t="s">
        <v>7739</v>
      </c>
      <c r="B309" s="5" t="s">
        <v>7740</v>
      </c>
      <c r="C309" t="s">
        <v>6456</v>
      </c>
      <c r="D309" t="s">
        <v>2283</v>
      </c>
      <c r="E309" t="s">
        <v>7741</v>
      </c>
      <c r="F309" s="1">
        <v>45133</v>
      </c>
      <c r="G309" t="s">
        <v>22</v>
      </c>
      <c r="H309" s="24">
        <v>462</v>
      </c>
      <c r="I309" t="str">
        <f>IF(H309&lt;=0,"",LOOKUP(H309,'Regras e Parâmetros'!$B$4:$B$7,'Regras e Parâmetros'!$A$4:$A$7))</f>
        <v>Bronze</v>
      </c>
      <c r="J309" t="s">
        <v>9790</v>
      </c>
    </row>
    <row r="310" spans="1:12" x14ac:dyDescent="0.3">
      <c r="A310" t="s">
        <v>3709</v>
      </c>
      <c r="B310" s="5" t="s">
        <v>8471</v>
      </c>
      <c r="C310" t="s">
        <v>6456</v>
      </c>
      <c r="D310" t="s">
        <v>3710</v>
      </c>
      <c r="E310" t="s">
        <v>8472</v>
      </c>
      <c r="F310" s="1">
        <v>45624</v>
      </c>
      <c r="G310" t="s">
        <v>51</v>
      </c>
      <c r="H310" s="24">
        <v>53</v>
      </c>
      <c r="I310" t="str">
        <f>IF(H310&lt;=0,"",LOOKUP(H310,'Regras e Parâmetros'!$B$4:$B$7,'Regras e Parâmetros'!$A$4:$A$7))</f>
        <v>Bronze</v>
      </c>
      <c r="J310" t="s">
        <v>6747</v>
      </c>
    </row>
    <row r="311" spans="1:12" x14ac:dyDescent="0.3">
      <c r="A311" t="s">
        <v>1514</v>
      </c>
      <c r="B311" s="5" t="s">
        <v>7301</v>
      </c>
      <c r="C311" t="s">
        <v>6456</v>
      </c>
      <c r="D311" t="s">
        <v>1515</v>
      </c>
      <c r="E311" t="s">
        <v>1516</v>
      </c>
      <c r="F311" s="1">
        <v>44884</v>
      </c>
      <c r="G311" t="s">
        <v>22</v>
      </c>
      <c r="H311" s="24">
        <v>2135</v>
      </c>
      <c r="I311" t="str">
        <f>IF(H311&lt;=0,"",LOOKUP(H311,'Regras e Parâmetros'!$B$4:$B$7,'Regras e Parâmetros'!$A$4:$A$7))</f>
        <v>Prata</v>
      </c>
      <c r="J311" t="s">
        <v>6747</v>
      </c>
    </row>
    <row r="312" spans="1:12" x14ac:dyDescent="0.3">
      <c r="A312" t="s">
        <v>5216</v>
      </c>
      <c r="B312" s="5" t="s">
        <v>5217</v>
      </c>
      <c r="C312" t="s">
        <v>6456</v>
      </c>
      <c r="D312" t="s">
        <v>5218</v>
      </c>
      <c r="E312" t="s">
        <v>10090</v>
      </c>
      <c r="F312" s="1">
        <v>46079</v>
      </c>
      <c r="G312" t="s">
        <v>110</v>
      </c>
      <c r="H312" s="24">
        <v>0</v>
      </c>
      <c r="I312" t="str">
        <f>IF(H312&lt;=0,"",LOOKUP(H312,'Regras e Parâmetros'!$B$4:$B$7,'Regras e Parâmetros'!$A$4:$A$7))</f>
        <v/>
      </c>
      <c r="J312" t="s">
        <v>9790</v>
      </c>
      <c r="L312" t="s">
        <v>9883</v>
      </c>
    </row>
    <row r="313" spans="1:12" x14ac:dyDescent="0.3">
      <c r="A313" t="s">
        <v>8132</v>
      </c>
      <c r="B313" s="5" t="s">
        <v>3046</v>
      </c>
      <c r="C313" t="s">
        <v>6456</v>
      </c>
      <c r="D313" t="s">
        <v>3047</v>
      </c>
      <c r="E313" t="s">
        <v>3048</v>
      </c>
      <c r="F313" s="1">
        <v>45407</v>
      </c>
      <c r="G313" t="s">
        <v>18</v>
      </c>
      <c r="H313" s="24">
        <v>1400</v>
      </c>
      <c r="I313" t="str">
        <f>IF(H313&lt;=0,"",LOOKUP(H313,'Regras e Parâmetros'!$B$4:$B$7,'Regras e Parâmetros'!$A$4:$A$7))</f>
        <v>Bronze</v>
      </c>
      <c r="J313" t="s">
        <v>6456</v>
      </c>
      <c r="L313" t="s">
        <v>9793</v>
      </c>
    </row>
    <row r="314" spans="1:12" x14ac:dyDescent="0.3">
      <c r="A314" t="s">
        <v>190</v>
      </c>
      <c r="B314" s="5" t="s">
        <v>6559</v>
      </c>
      <c r="C314" t="s">
        <v>6456</v>
      </c>
      <c r="D314" t="s">
        <v>191</v>
      </c>
      <c r="E314" t="s">
        <v>6560</v>
      </c>
      <c r="F314" s="1">
        <v>44411</v>
      </c>
      <c r="G314" t="s">
        <v>110</v>
      </c>
      <c r="H314" s="24">
        <v>5975</v>
      </c>
      <c r="I314" t="str">
        <f>IF(H314&lt;=0,"",LOOKUP(H314,'Regras e Parâmetros'!$B$4:$B$7,'Regras e Parâmetros'!$A$4:$A$7))</f>
        <v>Ouro</v>
      </c>
      <c r="J314" t="s">
        <v>6456</v>
      </c>
    </row>
    <row r="315" spans="1:12" x14ac:dyDescent="0.3">
      <c r="A315" t="s">
        <v>7484</v>
      </c>
      <c r="B315" s="5" t="s">
        <v>6101</v>
      </c>
      <c r="C315" t="s">
        <v>6456</v>
      </c>
      <c r="D315" t="s">
        <v>1838</v>
      </c>
      <c r="E315" t="s">
        <v>7485</v>
      </c>
      <c r="F315" s="1">
        <v>44986</v>
      </c>
      <c r="G315" t="s">
        <v>18</v>
      </c>
      <c r="H315" s="24">
        <v>1095</v>
      </c>
      <c r="I315" t="str">
        <f>IF(H315&lt;=0,"",LOOKUP(H315,'Regras e Parâmetros'!$B$4:$B$7,'Regras e Parâmetros'!$A$4:$A$7))</f>
        <v>Bronze</v>
      </c>
      <c r="J315" t="s">
        <v>9790</v>
      </c>
      <c r="L315" t="s">
        <v>9791</v>
      </c>
    </row>
    <row r="316" spans="1:12" x14ac:dyDescent="0.3">
      <c r="A316" t="s">
        <v>2040</v>
      </c>
      <c r="B316" s="5" t="s">
        <v>7592</v>
      </c>
      <c r="C316" t="s">
        <v>6456</v>
      </c>
      <c r="D316" t="s">
        <v>2041</v>
      </c>
      <c r="E316" t="s">
        <v>7593</v>
      </c>
      <c r="F316" s="1">
        <v>45054</v>
      </c>
      <c r="G316" t="s">
        <v>22</v>
      </c>
      <c r="H316" s="24">
        <v>1017</v>
      </c>
      <c r="I316" t="str">
        <f>IF(H316&lt;=0,"",LOOKUP(H316,'Regras e Parâmetros'!$B$4:$B$7,'Regras e Parâmetros'!$A$4:$A$7))</f>
        <v>Bronze</v>
      </c>
      <c r="J316" t="s">
        <v>9790</v>
      </c>
    </row>
    <row r="317" spans="1:12" x14ac:dyDescent="0.3">
      <c r="A317" t="s">
        <v>9495</v>
      </c>
      <c r="B317" s="5" t="s">
        <v>5441</v>
      </c>
      <c r="C317" t="s">
        <v>6456</v>
      </c>
      <c r="D317" t="s">
        <v>5442</v>
      </c>
      <c r="E317" t="s">
        <v>9496</v>
      </c>
      <c r="F317" s="1">
        <v>46143</v>
      </c>
      <c r="G317" t="s">
        <v>45</v>
      </c>
      <c r="H317" s="24">
        <v>0</v>
      </c>
      <c r="I317" t="str">
        <f>IF(H317&lt;=0,"",LOOKUP(H317,'Regras e Parâmetros'!$B$4:$B$7,'Regras e Parâmetros'!$A$4:$A$7))</f>
        <v/>
      </c>
      <c r="J317" t="s">
        <v>6456</v>
      </c>
      <c r="L317" t="s">
        <v>9883</v>
      </c>
    </row>
    <row r="318" spans="1:12" x14ac:dyDescent="0.3">
      <c r="A318" t="s">
        <v>3153</v>
      </c>
      <c r="B318" s="5" t="s">
        <v>2140</v>
      </c>
      <c r="C318" t="s">
        <v>6456</v>
      </c>
      <c r="D318" t="s">
        <v>2141</v>
      </c>
      <c r="E318" t="s">
        <v>7640</v>
      </c>
      <c r="F318" s="1">
        <v>45078</v>
      </c>
      <c r="G318" t="s">
        <v>110</v>
      </c>
      <c r="H318" s="24">
        <v>1435</v>
      </c>
      <c r="I318" t="str">
        <f>IF(H318&lt;=0,"",LOOKUP(H318,'Regras e Parâmetros'!$B$4:$B$7,'Regras e Parâmetros'!$A$4:$A$7))</f>
        <v>Bronze</v>
      </c>
      <c r="J318" t="s">
        <v>6747</v>
      </c>
      <c r="K318" t="s">
        <v>8</v>
      </c>
      <c r="L318" t="s">
        <v>9791</v>
      </c>
    </row>
    <row r="319" spans="1:12" x14ac:dyDescent="0.3">
      <c r="A319" t="s">
        <v>3153</v>
      </c>
      <c r="B319" s="5" t="s">
        <v>8187</v>
      </c>
      <c r="C319" t="s">
        <v>6456</v>
      </c>
      <c r="D319" t="s">
        <v>3154</v>
      </c>
      <c r="E319" t="s">
        <v>3155</v>
      </c>
      <c r="F319" s="1">
        <v>45451</v>
      </c>
      <c r="G319" t="s">
        <v>51</v>
      </c>
      <c r="H319" s="24">
        <v>228</v>
      </c>
      <c r="I319" t="str">
        <f>IF(H319&lt;=0,"",LOOKUP(H319,'Regras e Parâmetros'!$B$4:$B$7,'Regras e Parâmetros'!$A$4:$A$7))</f>
        <v>Bronze</v>
      </c>
      <c r="J319" t="s">
        <v>6747</v>
      </c>
    </row>
    <row r="320" spans="1:12" x14ac:dyDescent="0.3">
      <c r="A320" t="s">
        <v>944</v>
      </c>
      <c r="B320" s="5" t="s">
        <v>6984</v>
      </c>
      <c r="C320" t="s">
        <v>6456</v>
      </c>
      <c r="D320" t="s">
        <v>945</v>
      </c>
      <c r="E320" t="s">
        <v>946</v>
      </c>
      <c r="F320" s="1">
        <v>44687</v>
      </c>
      <c r="G320" t="s">
        <v>45</v>
      </c>
      <c r="H320" s="24">
        <v>3317</v>
      </c>
      <c r="I320" t="str">
        <f>IF(H320&lt;=0,"",LOOKUP(H320,'Regras e Parâmetros'!$B$4:$B$7,'Regras e Parâmetros'!$A$4:$A$7))</f>
        <v>Prata</v>
      </c>
      <c r="J320" t="s">
        <v>9790</v>
      </c>
      <c r="L320" t="s">
        <v>9792</v>
      </c>
    </row>
    <row r="321" spans="1:12" x14ac:dyDescent="0.3">
      <c r="A321" t="s">
        <v>3201</v>
      </c>
      <c r="B321" s="5" t="s">
        <v>8208</v>
      </c>
      <c r="C321" t="s">
        <v>6456</v>
      </c>
      <c r="D321" t="s">
        <v>3202</v>
      </c>
      <c r="E321" t="s">
        <v>3203</v>
      </c>
      <c r="F321" s="1">
        <v>45463</v>
      </c>
      <c r="G321" t="s">
        <v>110</v>
      </c>
      <c r="H321" s="24">
        <v>505</v>
      </c>
      <c r="I321" t="str">
        <f>IF(H321&lt;=0,"",LOOKUP(H321,'Regras e Parâmetros'!$B$4:$B$7,'Regras e Parâmetros'!$A$4:$A$7))</f>
        <v>Bronze</v>
      </c>
      <c r="J321" t="s">
        <v>9790</v>
      </c>
    </row>
    <row r="322" spans="1:12" x14ac:dyDescent="0.3">
      <c r="A322" t="s">
        <v>1716</v>
      </c>
      <c r="B322" s="5" t="s">
        <v>6272</v>
      </c>
      <c r="C322" t="s">
        <v>6456</v>
      </c>
      <c r="D322" t="s">
        <v>1718</v>
      </c>
      <c r="E322" t="s">
        <v>7419</v>
      </c>
      <c r="F322" s="1">
        <v>44947</v>
      </c>
      <c r="G322" t="s">
        <v>51</v>
      </c>
      <c r="H322" s="24">
        <v>1904</v>
      </c>
      <c r="I322" t="str">
        <f>IF(H322&lt;=0,"",LOOKUP(H322,'Regras e Parâmetros'!$B$4:$B$7,'Regras e Parâmetros'!$A$4:$A$7))</f>
        <v>Prata</v>
      </c>
      <c r="J322" t="s">
        <v>6456</v>
      </c>
      <c r="K322" t="s">
        <v>708</v>
      </c>
    </row>
    <row r="323" spans="1:12" x14ac:dyDescent="0.3">
      <c r="A323" t="s">
        <v>1716</v>
      </c>
      <c r="B323" s="5" t="s">
        <v>1918</v>
      </c>
      <c r="C323" t="s">
        <v>6456</v>
      </c>
      <c r="D323" t="s">
        <v>1919</v>
      </c>
      <c r="E323" t="s">
        <v>7531</v>
      </c>
      <c r="F323" s="1">
        <v>45017</v>
      </c>
      <c r="G323" t="s">
        <v>110</v>
      </c>
      <c r="H323" s="24">
        <v>4400</v>
      </c>
      <c r="I323" t="str">
        <f>IF(H323&lt;=0,"",LOOKUP(H323,'Regras e Parâmetros'!$B$4:$B$7,'Regras e Parâmetros'!$A$4:$A$7))</f>
        <v>Prata</v>
      </c>
      <c r="J323" t="s">
        <v>9790</v>
      </c>
      <c r="L323" t="s">
        <v>9793</v>
      </c>
    </row>
    <row r="324" spans="1:12" x14ac:dyDescent="0.3">
      <c r="A324" t="s">
        <v>1032</v>
      </c>
      <c r="B324" s="5" t="s">
        <v>7128</v>
      </c>
      <c r="C324" t="s">
        <v>6456</v>
      </c>
      <c r="D324" t="s">
        <v>1033</v>
      </c>
      <c r="E324" t="s">
        <v>1034</v>
      </c>
      <c r="F324" s="1">
        <v>44795</v>
      </c>
      <c r="G324" t="s">
        <v>18</v>
      </c>
      <c r="H324" s="24">
        <v>577</v>
      </c>
      <c r="I324" t="str">
        <f>IF(H324&lt;=0,"",LOOKUP(H324,'Regras e Parâmetros'!$B$4:$B$7,'Regras e Parâmetros'!$A$4:$A$7))</f>
        <v>Bronze</v>
      </c>
      <c r="J324" t="s">
        <v>9790</v>
      </c>
      <c r="K324" t="s">
        <v>187</v>
      </c>
    </row>
    <row r="325" spans="1:12" x14ac:dyDescent="0.3">
      <c r="A325" t="s">
        <v>1032</v>
      </c>
      <c r="B325" s="5" t="s">
        <v>6052</v>
      </c>
      <c r="C325" t="s">
        <v>6456</v>
      </c>
      <c r="D325" t="s">
        <v>2174</v>
      </c>
      <c r="E325" t="s">
        <v>7682</v>
      </c>
      <c r="F325" s="1">
        <v>45103</v>
      </c>
      <c r="G325" t="s">
        <v>45</v>
      </c>
      <c r="H325" s="24">
        <v>746</v>
      </c>
      <c r="I325" t="str">
        <f>IF(H325&lt;=0,"",LOOKUP(H325,'Regras e Parâmetros'!$B$4:$B$7,'Regras e Parâmetros'!$A$4:$A$7))</f>
        <v>Bronze</v>
      </c>
      <c r="J325" t="s">
        <v>6747</v>
      </c>
    </row>
    <row r="326" spans="1:12" x14ac:dyDescent="0.3">
      <c r="A326" t="s">
        <v>1032</v>
      </c>
      <c r="B326" s="5" t="s">
        <v>2833</v>
      </c>
      <c r="C326" t="s">
        <v>6456</v>
      </c>
      <c r="D326" t="s">
        <v>2834</v>
      </c>
      <c r="E326" t="s">
        <v>8039</v>
      </c>
      <c r="F326" s="1">
        <v>45324</v>
      </c>
      <c r="G326" t="s">
        <v>18</v>
      </c>
      <c r="H326" s="24">
        <v>435</v>
      </c>
      <c r="I326" t="str">
        <f>IF(H326&lt;=0,"",LOOKUP(H326,'Regras e Parâmetros'!$B$4:$B$7,'Regras e Parâmetros'!$A$4:$A$7))</f>
        <v>Bronze</v>
      </c>
      <c r="J326" t="s">
        <v>6747</v>
      </c>
    </row>
    <row r="327" spans="1:12" x14ac:dyDescent="0.3">
      <c r="A327" t="s">
        <v>1032</v>
      </c>
      <c r="B327" s="5" t="s">
        <v>8545</v>
      </c>
      <c r="C327" t="s">
        <v>6456</v>
      </c>
      <c r="D327" t="s">
        <v>3817</v>
      </c>
      <c r="E327" t="s">
        <v>8546</v>
      </c>
      <c r="F327" s="1">
        <v>45668</v>
      </c>
      <c r="G327" t="s">
        <v>18</v>
      </c>
      <c r="H327" s="24">
        <v>0</v>
      </c>
      <c r="I327" t="str">
        <f>IF(H327&lt;=0,"",LOOKUP(H327,'Regras e Parâmetros'!$B$4:$B$7,'Regras e Parâmetros'!$A$4:$A$7))</f>
        <v/>
      </c>
      <c r="J327" t="s">
        <v>6747</v>
      </c>
      <c r="L327" t="s">
        <v>9883</v>
      </c>
    </row>
    <row r="328" spans="1:12" x14ac:dyDescent="0.3">
      <c r="A328" t="s">
        <v>9493</v>
      </c>
      <c r="B328" s="5" t="s">
        <v>5426</v>
      </c>
      <c r="C328" t="s">
        <v>6456</v>
      </c>
      <c r="D328" t="s">
        <v>5427</v>
      </c>
      <c r="E328" t="s">
        <v>5428</v>
      </c>
      <c r="F328" s="1">
        <v>46136</v>
      </c>
      <c r="G328" t="s">
        <v>22</v>
      </c>
      <c r="H328" s="24">
        <v>0</v>
      </c>
      <c r="I328" t="str">
        <f>IF(H328&lt;=0,"",LOOKUP(H328,'Regras e Parâmetros'!$B$4:$B$7,'Regras e Parâmetros'!$A$4:$A$7))</f>
        <v/>
      </c>
      <c r="J328" t="s">
        <v>9790</v>
      </c>
      <c r="K328" t="s">
        <v>177</v>
      </c>
      <c r="L328" t="s">
        <v>9883</v>
      </c>
    </row>
    <row r="329" spans="1:12" x14ac:dyDescent="0.3">
      <c r="A329" t="s">
        <v>133</v>
      </c>
      <c r="B329" s="5" t="s">
        <v>134</v>
      </c>
      <c r="C329" t="s">
        <v>6456</v>
      </c>
      <c r="D329" t="s">
        <v>135</v>
      </c>
      <c r="E329" t="s">
        <v>6528</v>
      </c>
      <c r="F329" s="1">
        <v>44392</v>
      </c>
      <c r="G329" t="s">
        <v>45</v>
      </c>
      <c r="H329" s="24">
        <v>3052</v>
      </c>
      <c r="I329" t="str">
        <f>IF(H329&lt;=0,"",LOOKUP(H329,'Regras e Parâmetros'!$B$4:$B$7,'Regras e Parâmetros'!$A$4:$A$7))</f>
        <v>Prata</v>
      </c>
      <c r="J329" t="s">
        <v>6456</v>
      </c>
    </row>
    <row r="330" spans="1:12" x14ac:dyDescent="0.3">
      <c r="A330" t="s">
        <v>415</v>
      </c>
      <c r="B330" s="5" t="s">
        <v>6679</v>
      </c>
      <c r="C330" t="s">
        <v>6456</v>
      </c>
      <c r="D330" t="s">
        <v>416</v>
      </c>
      <c r="E330" t="s">
        <v>6680</v>
      </c>
      <c r="F330" s="1">
        <v>44493</v>
      </c>
      <c r="G330" t="s">
        <v>45</v>
      </c>
      <c r="H330" s="24">
        <v>5506</v>
      </c>
      <c r="I330" t="str">
        <f>IF(H330&lt;=0,"",LOOKUP(H330,'Regras e Parâmetros'!$B$4:$B$7,'Regras e Parâmetros'!$A$4:$A$7))</f>
        <v>Ouro</v>
      </c>
      <c r="J330" t="s">
        <v>9790</v>
      </c>
    </row>
    <row r="331" spans="1:12" x14ac:dyDescent="0.3">
      <c r="A331" t="s">
        <v>8986</v>
      </c>
      <c r="B331" s="5" t="s">
        <v>8987</v>
      </c>
      <c r="C331" t="s">
        <v>6456</v>
      </c>
      <c r="D331" t="s">
        <v>4553</v>
      </c>
      <c r="E331" t="s">
        <v>8988</v>
      </c>
      <c r="F331" s="1">
        <v>45883</v>
      </c>
      <c r="G331" t="s">
        <v>110</v>
      </c>
      <c r="H331" s="24">
        <v>0</v>
      </c>
      <c r="I331" t="str">
        <f>IF(H331&lt;=0,"",LOOKUP(H331,'Regras e Parâmetros'!$B$4:$B$7,'Regras e Parâmetros'!$A$4:$A$7))</f>
        <v/>
      </c>
      <c r="J331" t="s">
        <v>9790</v>
      </c>
      <c r="L331" t="s">
        <v>9883</v>
      </c>
    </row>
    <row r="332" spans="1:12" x14ac:dyDescent="0.3">
      <c r="A332" t="s">
        <v>1423</v>
      </c>
      <c r="B332" s="5" t="s">
        <v>7247</v>
      </c>
      <c r="C332" t="s">
        <v>6456</v>
      </c>
      <c r="D332" t="s">
        <v>1424</v>
      </c>
      <c r="E332" t="s">
        <v>7248</v>
      </c>
      <c r="F332" s="1">
        <v>44863</v>
      </c>
      <c r="G332" t="s">
        <v>51</v>
      </c>
      <c r="H332" s="24">
        <v>4168</v>
      </c>
      <c r="I332" t="str">
        <f>IF(H332&lt;=0,"",LOOKUP(H332,'Regras e Parâmetros'!$B$4:$B$7,'Regras e Parâmetros'!$A$4:$A$7))</f>
        <v>Prata</v>
      </c>
      <c r="J332" t="s">
        <v>6747</v>
      </c>
      <c r="K332" t="s">
        <v>708</v>
      </c>
    </row>
    <row r="333" spans="1:12" x14ac:dyDescent="0.3">
      <c r="A333" t="s">
        <v>1954</v>
      </c>
      <c r="B333" s="5" t="s">
        <v>7555</v>
      </c>
      <c r="C333" t="s">
        <v>6456</v>
      </c>
      <c r="D333" t="s">
        <v>1955</v>
      </c>
      <c r="E333" t="s">
        <v>7556</v>
      </c>
      <c r="F333" s="1">
        <v>45030</v>
      </c>
      <c r="G333" t="s">
        <v>51</v>
      </c>
      <c r="H333" s="24">
        <v>1204</v>
      </c>
      <c r="I333" t="str">
        <f>IF(H333&lt;=0,"",LOOKUP(H333,'Regras e Parâmetros'!$B$4:$B$7,'Regras e Parâmetros'!$A$4:$A$7))</f>
        <v>Bronze</v>
      </c>
      <c r="J333" t="s">
        <v>9790</v>
      </c>
    </row>
    <row r="334" spans="1:12" x14ac:dyDescent="0.3">
      <c r="A334" t="s">
        <v>4241</v>
      </c>
      <c r="B334" s="5" t="s">
        <v>8802</v>
      </c>
      <c r="C334" t="s">
        <v>6456</v>
      </c>
      <c r="D334" t="s">
        <v>4242</v>
      </c>
      <c r="E334" t="s">
        <v>4243</v>
      </c>
      <c r="F334" s="1">
        <v>45787</v>
      </c>
      <c r="G334" t="s">
        <v>18</v>
      </c>
      <c r="H334" s="24">
        <v>0</v>
      </c>
      <c r="I334" t="str">
        <f>IF(H334&lt;=0,"",LOOKUP(H334,'Regras e Parâmetros'!$B$4:$B$7,'Regras e Parâmetros'!$A$4:$A$7))</f>
        <v/>
      </c>
      <c r="J334" t="s">
        <v>9790</v>
      </c>
      <c r="K334" t="s">
        <v>708</v>
      </c>
      <c r="L334" t="s">
        <v>9883</v>
      </c>
    </row>
    <row r="335" spans="1:12" x14ac:dyDescent="0.3">
      <c r="A335" t="s">
        <v>2042</v>
      </c>
      <c r="B335" s="5" t="s">
        <v>2043</v>
      </c>
      <c r="C335" t="s">
        <v>6456</v>
      </c>
      <c r="D335" t="s">
        <v>2044</v>
      </c>
      <c r="E335" t="s">
        <v>2045</v>
      </c>
      <c r="F335" s="1">
        <v>45054</v>
      </c>
      <c r="G335" t="s">
        <v>51</v>
      </c>
      <c r="H335" s="24">
        <v>1804</v>
      </c>
      <c r="I335" t="str">
        <f>IF(H335&lt;=0,"",LOOKUP(H335,'Regras e Parâmetros'!$B$4:$B$7,'Regras e Parâmetros'!$A$4:$A$7))</f>
        <v>Prata</v>
      </c>
      <c r="J335" t="s">
        <v>9790</v>
      </c>
      <c r="L335" t="s">
        <v>9792</v>
      </c>
    </row>
    <row r="336" spans="1:12" x14ac:dyDescent="0.3">
      <c r="A336" t="s">
        <v>1416</v>
      </c>
      <c r="B336" s="5" t="s">
        <v>1417</v>
      </c>
      <c r="C336" t="s">
        <v>6456</v>
      </c>
      <c r="D336" t="s">
        <v>1418</v>
      </c>
      <c r="E336" t="s">
        <v>1419</v>
      </c>
      <c r="F336" s="1">
        <v>44862</v>
      </c>
      <c r="G336" t="s">
        <v>110</v>
      </c>
      <c r="H336" s="24">
        <v>797</v>
      </c>
      <c r="I336" t="str">
        <f>IF(H336&lt;=0,"",LOOKUP(H336,'Regras e Parâmetros'!$B$4:$B$7,'Regras e Parâmetros'!$A$4:$A$7))</f>
        <v>Bronze</v>
      </c>
      <c r="J336" t="s">
        <v>9790</v>
      </c>
    </row>
    <row r="337" spans="1:12" x14ac:dyDescent="0.3">
      <c r="A337" t="s">
        <v>1557</v>
      </c>
      <c r="B337" s="5" t="s">
        <v>6053</v>
      </c>
      <c r="C337" t="s">
        <v>6456</v>
      </c>
      <c r="D337" t="s">
        <v>1558</v>
      </c>
      <c r="E337" t="s">
        <v>7320</v>
      </c>
      <c r="F337" s="1">
        <v>44894</v>
      </c>
      <c r="G337" t="s">
        <v>110</v>
      </c>
      <c r="H337" s="24">
        <v>1680</v>
      </c>
      <c r="I337" t="str">
        <f>IF(H337&lt;=0,"",LOOKUP(H337,'Regras e Parâmetros'!$B$4:$B$7,'Regras e Parâmetros'!$A$4:$A$7))</f>
        <v>Prata</v>
      </c>
      <c r="J337" t="s">
        <v>6456</v>
      </c>
      <c r="K337" t="s">
        <v>177</v>
      </c>
    </row>
    <row r="338" spans="1:12" x14ac:dyDescent="0.3">
      <c r="A338" t="s">
        <v>1557</v>
      </c>
      <c r="B338" s="5" t="s">
        <v>7406</v>
      </c>
      <c r="C338" t="s">
        <v>6456</v>
      </c>
      <c r="D338" t="s">
        <v>1693</v>
      </c>
      <c r="E338" t="s">
        <v>1694</v>
      </c>
      <c r="F338" s="1">
        <v>44939</v>
      </c>
      <c r="G338" t="s">
        <v>22</v>
      </c>
      <c r="H338" s="24">
        <v>430</v>
      </c>
      <c r="I338" t="str">
        <f>IF(H338&lt;=0,"",LOOKUP(H338,'Regras e Parâmetros'!$B$4:$B$7,'Regras e Parâmetros'!$A$4:$A$7))</f>
        <v>Bronze</v>
      </c>
      <c r="J338" t="s">
        <v>9790</v>
      </c>
      <c r="L338" t="s">
        <v>9792</v>
      </c>
    </row>
    <row r="339" spans="1:12" x14ac:dyDescent="0.3">
      <c r="A339" t="s">
        <v>4387</v>
      </c>
      <c r="B339" s="5" t="s">
        <v>4388</v>
      </c>
      <c r="C339" t="s">
        <v>6747</v>
      </c>
      <c r="D339" t="s">
        <v>4389</v>
      </c>
      <c r="E339" t="s">
        <v>8832</v>
      </c>
      <c r="F339" s="1">
        <v>45809</v>
      </c>
      <c r="G339" t="s">
        <v>51</v>
      </c>
      <c r="H339" s="24">
        <v>0</v>
      </c>
      <c r="I339" t="str">
        <f>IF(H339&lt;=0,"",LOOKUP(H339,'Regras e Parâmetros'!$B$4:$B$7,'Regras e Parâmetros'!$A$4:$A$7))</f>
        <v/>
      </c>
      <c r="J339" t="s">
        <v>9790</v>
      </c>
      <c r="L339" t="s">
        <v>10241</v>
      </c>
    </row>
    <row r="340" spans="1:12" x14ac:dyDescent="0.3">
      <c r="A340" t="s">
        <v>9178</v>
      </c>
      <c r="B340" s="5" t="s">
        <v>4881</v>
      </c>
      <c r="C340" t="s">
        <v>6456</v>
      </c>
      <c r="D340" t="s">
        <v>4882</v>
      </c>
      <c r="E340" t="s">
        <v>4883</v>
      </c>
      <c r="F340" s="1">
        <v>45978</v>
      </c>
      <c r="G340" t="s">
        <v>22</v>
      </c>
      <c r="H340" s="24">
        <v>0</v>
      </c>
      <c r="I340" t="str">
        <f>IF(H340&lt;=0,"",LOOKUP(H340,'Regras e Parâmetros'!$B$4:$B$7,'Regras e Parâmetros'!$A$4:$A$7))</f>
        <v/>
      </c>
      <c r="J340" t="s">
        <v>6456</v>
      </c>
      <c r="L340" t="s">
        <v>9883</v>
      </c>
    </row>
    <row r="341" spans="1:12" x14ac:dyDescent="0.3">
      <c r="A341" t="s">
        <v>2361</v>
      </c>
      <c r="B341" s="5" t="s">
        <v>7781</v>
      </c>
      <c r="C341" t="s">
        <v>6456</v>
      </c>
      <c r="D341" t="s">
        <v>2362</v>
      </c>
      <c r="E341" t="s">
        <v>7782</v>
      </c>
      <c r="F341" s="1">
        <v>45153</v>
      </c>
      <c r="G341" t="s">
        <v>45</v>
      </c>
      <c r="H341" s="24">
        <v>163</v>
      </c>
      <c r="I341" t="str">
        <f>IF(H341&lt;=0,"",LOOKUP(H341,'Regras e Parâmetros'!$B$4:$B$7,'Regras e Parâmetros'!$A$4:$A$7))</f>
        <v>Bronze</v>
      </c>
      <c r="J341" t="s">
        <v>9790</v>
      </c>
    </row>
    <row r="342" spans="1:12" x14ac:dyDescent="0.3">
      <c r="A342" t="s">
        <v>2065</v>
      </c>
      <c r="B342" s="5" t="s">
        <v>7602</v>
      </c>
      <c r="C342" t="s">
        <v>6456</v>
      </c>
      <c r="D342" t="s">
        <v>2066</v>
      </c>
      <c r="E342" t="s">
        <v>2067</v>
      </c>
      <c r="F342" s="1">
        <v>45064</v>
      </c>
      <c r="G342" t="s">
        <v>45</v>
      </c>
      <c r="H342" s="24">
        <v>1941</v>
      </c>
      <c r="I342" t="str">
        <f>IF(H342&lt;=0,"",LOOKUP(H342,'Regras e Parâmetros'!$B$4:$B$7,'Regras e Parâmetros'!$A$4:$A$7))</f>
        <v>Prata</v>
      </c>
      <c r="J342" t="s">
        <v>6456</v>
      </c>
    </row>
    <row r="343" spans="1:12" x14ac:dyDescent="0.3">
      <c r="A343" t="s">
        <v>8063</v>
      </c>
      <c r="B343" s="5" t="s">
        <v>2918</v>
      </c>
      <c r="C343" t="s">
        <v>6456</v>
      </c>
      <c r="D343" t="s">
        <v>2919</v>
      </c>
      <c r="E343" t="s">
        <v>2920</v>
      </c>
      <c r="F343" s="1">
        <v>45352</v>
      </c>
      <c r="G343" t="s">
        <v>51</v>
      </c>
      <c r="H343" s="24">
        <v>341</v>
      </c>
      <c r="I343" t="str">
        <f>IF(H343&lt;=0,"",LOOKUP(H343,'Regras e Parâmetros'!$B$4:$B$7,'Regras e Parâmetros'!$A$4:$A$7))</f>
        <v>Bronze</v>
      </c>
      <c r="J343" t="s">
        <v>6747</v>
      </c>
      <c r="L343" t="s">
        <v>9791</v>
      </c>
    </row>
    <row r="344" spans="1:12" x14ac:dyDescent="0.3">
      <c r="A344" t="s">
        <v>4907</v>
      </c>
      <c r="B344" s="5" t="s">
        <v>4908</v>
      </c>
      <c r="C344" t="s">
        <v>6456</v>
      </c>
      <c r="D344" t="s">
        <v>4909</v>
      </c>
      <c r="E344" t="s">
        <v>9144</v>
      </c>
      <c r="F344" s="1">
        <v>45962</v>
      </c>
      <c r="G344" t="s">
        <v>100</v>
      </c>
      <c r="H344" s="24">
        <v>0</v>
      </c>
      <c r="I344" t="str">
        <f>IF(H344&lt;=0,"",LOOKUP(H344,'Regras e Parâmetros'!$B$4:$B$7,'Regras e Parâmetros'!$A$4:$A$7))</f>
        <v/>
      </c>
      <c r="J344" t="s">
        <v>9790</v>
      </c>
      <c r="L344" t="s">
        <v>9884</v>
      </c>
    </row>
    <row r="345" spans="1:12" x14ac:dyDescent="0.3">
      <c r="A345" t="s">
        <v>1737</v>
      </c>
      <c r="B345" s="5" t="s">
        <v>1738</v>
      </c>
      <c r="C345" t="s">
        <v>6456</v>
      </c>
      <c r="D345" t="s">
        <v>1739</v>
      </c>
      <c r="E345" t="s">
        <v>7426</v>
      </c>
      <c r="F345" s="1">
        <v>44950</v>
      </c>
      <c r="G345" t="s">
        <v>45</v>
      </c>
      <c r="H345" s="24">
        <v>612</v>
      </c>
      <c r="I345" t="str">
        <f>IF(H345&lt;=0,"",LOOKUP(H345,'Regras e Parâmetros'!$B$4:$B$7,'Regras e Parâmetros'!$A$4:$A$7))</f>
        <v>Bronze</v>
      </c>
      <c r="J345" t="s">
        <v>9790</v>
      </c>
    </row>
    <row r="346" spans="1:12" x14ac:dyDescent="0.3">
      <c r="A346" t="s">
        <v>7351</v>
      </c>
      <c r="B346" s="5" t="s">
        <v>1608</v>
      </c>
      <c r="C346" t="s">
        <v>6456</v>
      </c>
      <c r="D346" t="s">
        <v>1609</v>
      </c>
      <c r="E346" t="s">
        <v>7352</v>
      </c>
      <c r="F346" s="1">
        <v>44911</v>
      </c>
      <c r="G346" t="s">
        <v>22</v>
      </c>
      <c r="H346" s="24">
        <v>0</v>
      </c>
      <c r="I346" t="str">
        <f>IF(H346&lt;=0,"",LOOKUP(H346,'Regras e Parâmetros'!$B$4:$B$7,'Regras e Parâmetros'!$A$4:$A$7))</f>
        <v/>
      </c>
      <c r="J346" t="s">
        <v>9790</v>
      </c>
    </row>
    <row r="347" spans="1:12" x14ac:dyDescent="0.3">
      <c r="A347" t="s">
        <v>4930</v>
      </c>
      <c r="B347" s="5" t="s">
        <v>4931</v>
      </c>
      <c r="C347" t="s">
        <v>6456</v>
      </c>
      <c r="D347" t="s">
        <v>4932</v>
      </c>
      <c r="E347" t="s">
        <v>9202</v>
      </c>
      <c r="F347" s="1">
        <v>45990</v>
      </c>
      <c r="G347" t="s">
        <v>100</v>
      </c>
      <c r="H347" s="24">
        <v>0</v>
      </c>
      <c r="I347" t="str">
        <f>IF(H347&lt;=0,"",LOOKUP(H347,'Regras e Parâmetros'!$B$4:$B$7,'Regras e Parâmetros'!$A$4:$A$7))</f>
        <v/>
      </c>
      <c r="J347" t="s">
        <v>6747</v>
      </c>
      <c r="L347" t="s">
        <v>9883</v>
      </c>
    </row>
    <row r="348" spans="1:12" x14ac:dyDescent="0.3">
      <c r="A348" t="s">
        <v>5841</v>
      </c>
      <c r="B348" s="5" t="s">
        <v>9727</v>
      </c>
      <c r="C348" t="s">
        <v>6456</v>
      </c>
      <c r="D348" t="s">
        <v>5842</v>
      </c>
      <c r="E348" t="s">
        <v>5843</v>
      </c>
      <c r="F348" s="1">
        <v>46251</v>
      </c>
      <c r="G348" t="s">
        <v>110</v>
      </c>
      <c r="H348" s="24">
        <v>0</v>
      </c>
      <c r="I348" t="str">
        <f>IF(H348&lt;=0,"",LOOKUP(H348,'Regras e Parâmetros'!$B$4:$B$7,'Regras e Parâmetros'!$A$4:$A$7))</f>
        <v/>
      </c>
      <c r="J348" t="s">
        <v>6747</v>
      </c>
      <c r="L348" t="s">
        <v>9883</v>
      </c>
    </row>
    <row r="349" spans="1:12" x14ac:dyDescent="0.3">
      <c r="A349" t="s">
        <v>603</v>
      </c>
      <c r="B349" s="5" t="s">
        <v>1503</v>
      </c>
      <c r="C349" t="s">
        <v>6456</v>
      </c>
      <c r="D349" t="s">
        <v>1504</v>
      </c>
      <c r="E349" t="s">
        <v>604</v>
      </c>
      <c r="F349" s="1">
        <v>44531</v>
      </c>
      <c r="G349" t="s">
        <v>51</v>
      </c>
      <c r="H349" s="24">
        <v>453</v>
      </c>
      <c r="I349" t="str">
        <f>IF(H349&lt;=0,"",LOOKUP(H349,'Regras e Parâmetros'!$B$4:$B$7,'Regras e Parâmetros'!$A$4:$A$7))</f>
        <v>Bronze</v>
      </c>
      <c r="J349" t="s">
        <v>6456</v>
      </c>
      <c r="K349" t="s">
        <v>9801</v>
      </c>
      <c r="L349" t="s">
        <v>9791</v>
      </c>
    </row>
    <row r="350" spans="1:12" x14ac:dyDescent="0.3">
      <c r="A350" t="s">
        <v>603</v>
      </c>
      <c r="B350" s="5" t="s">
        <v>7411</v>
      </c>
      <c r="C350" t="s">
        <v>6456</v>
      </c>
      <c r="D350" t="s">
        <v>1699</v>
      </c>
      <c r="E350" t="s">
        <v>1700</v>
      </c>
      <c r="F350" s="1">
        <v>44941</v>
      </c>
      <c r="G350" t="s">
        <v>22</v>
      </c>
      <c r="H350" s="24">
        <v>1600</v>
      </c>
      <c r="I350" t="str">
        <f>IF(H350&lt;=0,"",LOOKUP(H350,'Regras e Parâmetros'!$B$4:$B$7,'Regras e Parâmetros'!$A$4:$A$7))</f>
        <v>Prata</v>
      </c>
      <c r="J350" t="s">
        <v>6456</v>
      </c>
      <c r="L350" t="s">
        <v>9795</v>
      </c>
    </row>
    <row r="351" spans="1:12" x14ac:dyDescent="0.3">
      <c r="A351" t="s">
        <v>603</v>
      </c>
      <c r="B351" s="5" t="s">
        <v>5094</v>
      </c>
      <c r="C351" t="s">
        <v>6456</v>
      </c>
      <c r="D351" t="s">
        <v>5095</v>
      </c>
      <c r="E351" t="s">
        <v>9258</v>
      </c>
      <c r="F351" s="1">
        <v>46023</v>
      </c>
      <c r="G351" t="s">
        <v>51</v>
      </c>
      <c r="H351" s="24">
        <v>0</v>
      </c>
      <c r="I351" t="str">
        <f>IF(H351&lt;=0,"",LOOKUP(H351,'Regras e Parâmetros'!$B$4:$B$7,'Regras e Parâmetros'!$A$4:$A$7))</f>
        <v/>
      </c>
      <c r="J351" t="s">
        <v>9790</v>
      </c>
      <c r="L351" t="s">
        <v>9884</v>
      </c>
    </row>
    <row r="352" spans="1:12" x14ac:dyDescent="0.3">
      <c r="A352" t="s">
        <v>2664</v>
      </c>
      <c r="B352" s="5" t="s">
        <v>2665</v>
      </c>
      <c r="C352" t="s">
        <v>6456</v>
      </c>
      <c r="D352" t="s">
        <v>2666</v>
      </c>
      <c r="E352" t="s">
        <v>7955</v>
      </c>
      <c r="F352" s="1">
        <v>45251</v>
      </c>
      <c r="G352" t="s">
        <v>18</v>
      </c>
      <c r="H352" s="24">
        <v>258</v>
      </c>
      <c r="I352" t="str">
        <f>IF(H352&lt;=0,"",LOOKUP(H352,'Regras e Parâmetros'!$B$4:$B$7,'Regras e Parâmetros'!$A$4:$A$7))</f>
        <v>Bronze</v>
      </c>
      <c r="J352" t="s">
        <v>9790</v>
      </c>
    </row>
    <row r="353" spans="1:12" x14ac:dyDescent="0.3">
      <c r="A353" t="s">
        <v>6987</v>
      </c>
      <c r="B353" s="5" t="s">
        <v>6988</v>
      </c>
      <c r="C353" t="s">
        <v>6456</v>
      </c>
      <c r="D353" t="s">
        <v>952</v>
      </c>
      <c r="E353" t="s">
        <v>953</v>
      </c>
      <c r="F353" s="1">
        <v>44688</v>
      </c>
      <c r="G353" t="s">
        <v>45</v>
      </c>
      <c r="H353" s="24">
        <v>706</v>
      </c>
      <c r="I353" t="str">
        <f>IF(H353&lt;=0,"",LOOKUP(H353,'Regras e Parâmetros'!$B$4:$B$7,'Regras e Parâmetros'!$A$4:$A$7))</f>
        <v>Bronze</v>
      </c>
      <c r="J353" t="s">
        <v>9790</v>
      </c>
    </row>
    <row r="354" spans="1:12" x14ac:dyDescent="0.3">
      <c r="A354" t="s">
        <v>5270</v>
      </c>
      <c r="B354" s="5" t="s">
        <v>9409</v>
      </c>
      <c r="C354" t="s">
        <v>6456</v>
      </c>
      <c r="D354" t="s">
        <v>5271</v>
      </c>
      <c r="E354" t="s">
        <v>9410</v>
      </c>
      <c r="F354" s="1">
        <v>46100</v>
      </c>
      <c r="G354" t="s">
        <v>22</v>
      </c>
      <c r="H354" s="24">
        <v>0</v>
      </c>
      <c r="I354" t="str">
        <f>IF(H354&lt;=0,"",LOOKUP(H354,'Regras e Parâmetros'!$B$4:$B$7,'Regras e Parâmetros'!$A$4:$A$7))</f>
        <v/>
      </c>
      <c r="J354" t="s">
        <v>6456</v>
      </c>
      <c r="L354" t="s">
        <v>9883</v>
      </c>
    </row>
    <row r="355" spans="1:12" x14ac:dyDescent="0.3">
      <c r="A355" t="s">
        <v>4312</v>
      </c>
      <c r="B355" s="5" t="s">
        <v>4313</v>
      </c>
      <c r="C355" t="s">
        <v>6456</v>
      </c>
      <c r="D355" t="s">
        <v>4314</v>
      </c>
      <c r="E355" t="s">
        <v>8839</v>
      </c>
      <c r="F355" s="1">
        <v>45813</v>
      </c>
      <c r="G355" t="s">
        <v>110</v>
      </c>
      <c r="H355" s="24">
        <v>0</v>
      </c>
      <c r="I355" t="str">
        <f>IF(H355&lt;=0,"",LOOKUP(H355,'Regras e Parâmetros'!$B$4:$B$7,'Regras e Parâmetros'!$A$4:$A$7))</f>
        <v/>
      </c>
      <c r="J355" t="s">
        <v>6747</v>
      </c>
      <c r="L355" t="s">
        <v>9883</v>
      </c>
    </row>
    <row r="356" spans="1:12" x14ac:dyDescent="0.3">
      <c r="A356" t="s">
        <v>2142</v>
      </c>
      <c r="B356" s="5" t="s">
        <v>7666</v>
      </c>
      <c r="C356" t="s">
        <v>6456</v>
      </c>
      <c r="D356" t="s">
        <v>2143</v>
      </c>
      <c r="E356" t="s">
        <v>2144</v>
      </c>
      <c r="F356" s="1">
        <v>45096</v>
      </c>
      <c r="G356" t="s">
        <v>110</v>
      </c>
      <c r="H356" s="24">
        <v>1892</v>
      </c>
      <c r="I356" t="str">
        <f>IF(H356&lt;=0,"",LOOKUP(H356,'Regras e Parâmetros'!$B$4:$B$7,'Regras e Parâmetros'!$A$4:$A$7))</f>
        <v>Prata</v>
      </c>
      <c r="J356" t="s">
        <v>9790</v>
      </c>
    </row>
    <row r="357" spans="1:12" x14ac:dyDescent="0.3">
      <c r="A357" t="s">
        <v>2068</v>
      </c>
      <c r="B357" s="5" t="s">
        <v>7350</v>
      </c>
      <c r="C357" t="s">
        <v>6456</v>
      </c>
      <c r="D357" t="s">
        <v>2069</v>
      </c>
      <c r="E357" t="s">
        <v>1607</v>
      </c>
      <c r="F357" s="1">
        <v>44911</v>
      </c>
      <c r="G357" t="s">
        <v>51</v>
      </c>
      <c r="H357" s="24">
        <v>349</v>
      </c>
      <c r="I357" t="str">
        <f>IF(H357&lt;=0,"",LOOKUP(H357,'Regras e Parâmetros'!$B$4:$B$7,'Regras e Parâmetros'!$A$4:$A$7))</f>
        <v>Bronze</v>
      </c>
      <c r="J357" t="s">
        <v>6456</v>
      </c>
      <c r="K357" t="s">
        <v>9830</v>
      </c>
    </row>
    <row r="358" spans="1:12" x14ac:dyDescent="0.3">
      <c r="A358" t="s">
        <v>9069</v>
      </c>
      <c r="B358" s="5" t="s">
        <v>9070</v>
      </c>
      <c r="C358" t="s">
        <v>6456</v>
      </c>
      <c r="D358" t="s">
        <v>4701</v>
      </c>
      <c r="E358" t="s">
        <v>9071</v>
      </c>
      <c r="F358" s="1">
        <v>45929</v>
      </c>
      <c r="G358" t="s">
        <v>51</v>
      </c>
      <c r="H358" s="24">
        <v>0</v>
      </c>
      <c r="I358" t="str">
        <f>IF(H358&lt;=0,"",LOOKUP(H358,'Regras e Parâmetros'!$B$4:$B$7,'Regras e Parâmetros'!$A$4:$A$7))</f>
        <v/>
      </c>
      <c r="J358" t="s">
        <v>6456</v>
      </c>
      <c r="L358" t="s">
        <v>9883</v>
      </c>
    </row>
    <row r="359" spans="1:12" x14ac:dyDescent="0.3">
      <c r="A359" t="s">
        <v>9166</v>
      </c>
      <c r="B359" s="5" t="s">
        <v>9167</v>
      </c>
      <c r="C359" t="s">
        <v>6456</v>
      </c>
      <c r="D359" t="s">
        <v>4871</v>
      </c>
      <c r="E359" t="s">
        <v>9168</v>
      </c>
      <c r="F359" s="1">
        <v>45972</v>
      </c>
      <c r="G359" t="s">
        <v>51</v>
      </c>
      <c r="H359" s="24">
        <v>0</v>
      </c>
      <c r="I359" t="str">
        <f>IF(H359&lt;=0,"",LOOKUP(H359,'Regras e Parâmetros'!$B$4:$B$7,'Regras e Parâmetros'!$A$4:$A$7))</f>
        <v/>
      </c>
      <c r="J359" t="s">
        <v>6747</v>
      </c>
      <c r="L359" t="s">
        <v>9883</v>
      </c>
    </row>
    <row r="360" spans="1:12" x14ac:dyDescent="0.3">
      <c r="A360" t="s">
        <v>2993</v>
      </c>
      <c r="B360" s="5" t="s">
        <v>1035</v>
      </c>
      <c r="C360" t="s">
        <v>6456</v>
      </c>
      <c r="D360" t="s">
        <v>2994</v>
      </c>
      <c r="E360" t="s">
        <v>1036</v>
      </c>
      <c r="F360" s="1">
        <v>44818</v>
      </c>
      <c r="G360" t="s">
        <v>18</v>
      </c>
      <c r="H360" s="24">
        <v>1706</v>
      </c>
      <c r="I360" t="str">
        <f>IF(H360&lt;=0,"",LOOKUP(H360,'Regras e Parâmetros'!$B$4:$B$7,'Regras e Parâmetros'!$A$4:$A$7))</f>
        <v>Prata</v>
      </c>
      <c r="J360" t="s">
        <v>9790</v>
      </c>
      <c r="K360" t="s">
        <v>9826</v>
      </c>
    </row>
    <row r="361" spans="1:12" x14ac:dyDescent="0.3">
      <c r="A361" t="s">
        <v>4689</v>
      </c>
      <c r="B361" s="5" t="s">
        <v>9061</v>
      </c>
      <c r="C361" t="s">
        <v>6456</v>
      </c>
      <c r="D361" t="s">
        <v>4690</v>
      </c>
      <c r="E361" t="s">
        <v>9062</v>
      </c>
      <c r="F361" s="1">
        <v>45926</v>
      </c>
      <c r="G361" t="s">
        <v>100</v>
      </c>
      <c r="H361" s="24">
        <v>0</v>
      </c>
      <c r="I361" t="str">
        <f>IF(H361&lt;=0,"",LOOKUP(H361,'Regras e Parâmetros'!$B$4:$B$7,'Regras e Parâmetros'!$A$4:$A$7))</f>
        <v/>
      </c>
      <c r="J361" t="s">
        <v>6456</v>
      </c>
      <c r="L361" t="s">
        <v>9883</v>
      </c>
    </row>
    <row r="362" spans="1:12" x14ac:dyDescent="0.3">
      <c r="A362" t="s">
        <v>2479</v>
      </c>
      <c r="B362" s="5" t="s">
        <v>7848</v>
      </c>
      <c r="C362" t="s">
        <v>6456</v>
      </c>
      <c r="D362" t="s">
        <v>2480</v>
      </c>
      <c r="E362" t="s">
        <v>7849</v>
      </c>
      <c r="F362" s="1">
        <v>45192</v>
      </c>
      <c r="G362" t="s">
        <v>110</v>
      </c>
      <c r="H362" s="24">
        <v>7804</v>
      </c>
      <c r="I362" t="str">
        <f>IF(H362&lt;=0,"",LOOKUP(H362,'Regras e Parâmetros'!$B$4:$B$7,'Regras e Parâmetros'!$A$4:$A$7))</f>
        <v>Ouro</v>
      </c>
      <c r="J362" t="s">
        <v>6456</v>
      </c>
    </row>
    <row r="363" spans="1:12" x14ac:dyDescent="0.3">
      <c r="A363" t="s">
        <v>1496</v>
      </c>
      <c r="B363" s="5" t="s">
        <v>1497</v>
      </c>
      <c r="C363" t="s">
        <v>6456</v>
      </c>
      <c r="D363" t="s">
        <v>1498</v>
      </c>
      <c r="E363" t="s">
        <v>7289</v>
      </c>
      <c r="F363" s="1">
        <v>44881</v>
      </c>
      <c r="G363" t="s">
        <v>22</v>
      </c>
      <c r="H363" s="24">
        <v>0</v>
      </c>
      <c r="I363" t="str">
        <f>IF(H363&lt;=0,"",LOOKUP(H363,'Regras e Parâmetros'!$B$4:$B$7,'Regras e Parâmetros'!$A$4:$A$7))</f>
        <v/>
      </c>
      <c r="J363" t="s">
        <v>6747</v>
      </c>
    </row>
    <row r="364" spans="1:12" x14ac:dyDescent="0.3">
      <c r="A364" t="s">
        <v>2781</v>
      </c>
      <c r="B364" s="5" t="s">
        <v>8008</v>
      </c>
      <c r="C364" t="s">
        <v>6456</v>
      </c>
      <c r="D364" t="s">
        <v>2782</v>
      </c>
      <c r="E364" t="s">
        <v>8009</v>
      </c>
      <c r="F364" s="1">
        <v>45301</v>
      </c>
      <c r="G364" t="s">
        <v>18</v>
      </c>
      <c r="H364" s="24">
        <v>404</v>
      </c>
      <c r="I364" t="str">
        <f>IF(H364&lt;=0,"",LOOKUP(H364,'Regras e Parâmetros'!$B$4:$B$7,'Regras e Parâmetros'!$A$4:$A$7))</f>
        <v>Bronze</v>
      </c>
      <c r="J364" t="s">
        <v>9790</v>
      </c>
      <c r="K364" t="s">
        <v>44</v>
      </c>
    </row>
    <row r="365" spans="1:12" x14ac:dyDescent="0.3">
      <c r="A365" t="s">
        <v>8616</v>
      </c>
      <c r="B365" s="5" t="s">
        <v>8617</v>
      </c>
      <c r="C365" t="s">
        <v>6456</v>
      </c>
      <c r="D365" t="s">
        <v>3906</v>
      </c>
      <c r="E365" t="s">
        <v>3907</v>
      </c>
      <c r="F365" s="1">
        <v>45692</v>
      </c>
      <c r="G365" t="s">
        <v>100</v>
      </c>
      <c r="H365" s="24">
        <v>0</v>
      </c>
      <c r="I365" t="str">
        <f>IF(H365&lt;=0,"",LOOKUP(H365,'Regras e Parâmetros'!$B$4:$B$7,'Regras e Parâmetros'!$A$4:$A$7))</f>
        <v/>
      </c>
      <c r="J365" t="s">
        <v>9790</v>
      </c>
      <c r="L365" t="s">
        <v>9883</v>
      </c>
    </row>
    <row r="366" spans="1:12" x14ac:dyDescent="0.3">
      <c r="A366" t="s">
        <v>3179</v>
      </c>
      <c r="B366" s="5" t="s">
        <v>3180</v>
      </c>
      <c r="C366" t="s">
        <v>6456</v>
      </c>
      <c r="D366" t="s">
        <v>3181</v>
      </c>
      <c r="E366" t="s">
        <v>8201</v>
      </c>
      <c r="F366" s="1">
        <v>45458</v>
      </c>
      <c r="G366" t="s">
        <v>100</v>
      </c>
      <c r="H366" s="24">
        <v>303</v>
      </c>
      <c r="I366" t="str">
        <f>IF(H366&lt;=0,"",LOOKUP(H366,'Regras e Parâmetros'!$B$4:$B$7,'Regras e Parâmetros'!$A$4:$A$7))</f>
        <v>Bronze</v>
      </c>
      <c r="J366" t="s">
        <v>6747</v>
      </c>
      <c r="K366" t="s">
        <v>187</v>
      </c>
    </row>
    <row r="367" spans="1:12" x14ac:dyDescent="0.3">
      <c r="A367" t="s">
        <v>1772</v>
      </c>
      <c r="B367" s="5" t="s">
        <v>7448</v>
      </c>
      <c r="C367" t="s">
        <v>6456</v>
      </c>
      <c r="D367" t="s">
        <v>1773</v>
      </c>
      <c r="E367" t="s">
        <v>1774</v>
      </c>
      <c r="F367" s="1">
        <v>44962</v>
      </c>
      <c r="G367" t="s">
        <v>110</v>
      </c>
      <c r="H367" s="24">
        <v>1352</v>
      </c>
      <c r="I367" t="str">
        <f>IF(H367&lt;=0,"",LOOKUP(H367,'Regras e Parâmetros'!$B$4:$B$7,'Regras e Parâmetros'!$A$4:$A$7))</f>
        <v>Bronze</v>
      </c>
      <c r="J367" t="s">
        <v>6747</v>
      </c>
    </row>
    <row r="368" spans="1:12" x14ac:dyDescent="0.3">
      <c r="A368" t="s">
        <v>5730</v>
      </c>
      <c r="B368" s="5" t="s">
        <v>9613</v>
      </c>
      <c r="C368" t="s">
        <v>6456</v>
      </c>
      <c r="D368" t="s">
        <v>5731</v>
      </c>
      <c r="E368" t="s">
        <v>9614</v>
      </c>
      <c r="F368" s="1">
        <v>46204</v>
      </c>
      <c r="G368" t="s">
        <v>45</v>
      </c>
      <c r="H368" s="24">
        <v>0</v>
      </c>
      <c r="I368" t="str">
        <f>IF(H368&lt;=0,"",LOOKUP(H368,'Regras e Parâmetros'!$B$4:$B$7,'Regras e Parâmetros'!$A$4:$A$7))</f>
        <v/>
      </c>
      <c r="J368" t="s">
        <v>9790</v>
      </c>
      <c r="L368" t="s">
        <v>9884</v>
      </c>
    </row>
    <row r="369" spans="1:12" x14ac:dyDescent="0.3">
      <c r="A369" t="s">
        <v>5775</v>
      </c>
      <c r="B369" s="5" t="s">
        <v>5776</v>
      </c>
      <c r="C369" t="s">
        <v>6456</v>
      </c>
      <c r="D369" t="s">
        <v>5777</v>
      </c>
      <c r="E369" t="s">
        <v>5778</v>
      </c>
      <c r="F369" s="1">
        <v>46235</v>
      </c>
      <c r="G369" t="s">
        <v>100</v>
      </c>
      <c r="H369" s="24">
        <v>0</v>
      </c>
      <c r="I369" t="str">
        <f>IF(H369&lt;=0,"",LOOKUP(H369,'Regras e Parâmetros'!$B$4:$B$7,'Regras e Parâmetros'!$A$4:$A$7))</f>
        <v/>
      </c>
      <c r="J369" t="s">
        <v>9790</v>
      </c>
      <c r="L369" t="s">
        <v>9883</v>
      </c>
    </row>
    <row r="370" spans="1:12" x14ac:dyDescent="0.3">
      <c r="A370" t="s">
        <v>3220</v>
      </c>
      <c r="B370" s="5" t="s">
        <v>8215</v>
      </c>
      <c r="C370" t="s">
        <v>6456</v>
      </c>
      <c r="D370" t="s">
        <v>3221</v>
      </c>
      <c r="E370" t="s">
        <v>3222</v>
      </c>
      <c r="F370" s="1">
        <v>45470</v>
      </c>
      <c r="G370" t="s">
        <v>45</v>
      </c>
      <c r="H370" s="24">
        <v>105</v>
      </c>
      <c r="I370" t="str">
        <f>IF(H370&lt;=0,"",LOOKUP(H370,'Regras e Parâmetros'!$B$4:$B$7,'Regras e Parâmetros'!$A$4:$A$7))</f>
        <v>Bronze</v>
      </c>
      <c r="J370" t="s">
        <v>6747</v>
      </c>
      <c r="K370" t="s">
        <v>187</v>
      </c>
    </row>
    <row r="371" spans="1:12" x14ac:dyDescent="0.3">
      <c r="A371" t="s">
        <v>4381</v>
      </c>
      <c r="B371" s="5" t="s">
        <v>8871</v>
      </c>
      <c r="C371" t="s">
        <v>6456</v>
      </c>
      <c r="D371" t="s">
        <v>4382</v>
      </c>
      <c r="E371" t="s">
        <v>8872</v>
      </c>
      <c r="F371" s="1">
        <v>45832</v>
      </c>
      <c r="G371" t="s">
        <v>45</v>
      </c>
      <c r="H371" s="24">
        <v>0</v>
      </c>
      <c r="I371" t="str">
        <f>IF(H371&lt;=0,"",LOOKUP(H371,'Regras e Parâmetros'!$B$4:$B$7,'Regras e Parâmetros'!$A$4:$A$7))</f>
        <v/>
      </c>
      <c r="J371" t="s">
        <v>6456</v>
      </c>
      <c r="L371" t="s">
        <v>9883</v>
      </c>
    </row>
    <row r="372" spans="1:12" x14ac:dyDescent="0.3">
      <c r="A372" t="s">
        <v>8379</v>
      </c>
      <c r="B372" s="5" t="s">
        <v>3548</v>
      </c>
      <c r="C372" t="s">
        <v>6456</v>
      </c>
      <c r="D372" t="s">
        <v>3549</v>
      </c>
      <c r="E372" t="s">
        <v>3550</v>
      </c>
      <c r="F372" s="1">
        <v>45582</v>
      </c>
      <c r="G372" t="s">
        <v>18</v>
      </c>
      <c r="H372" s="24">
        <v>1139</v>
      </c>
      <c r="I372" t="str">
        <f>IF(H372&lt;=0,"",LOOKUP(H372,'Regras e Parâmetros'!$B$4:$B$7,'Regras e Parâmetros'!$A$4:$A$7))</f>
        <v>Bronze</v>
      </c>
      <c r="J372" t="s">
        <v>9790</v>
      </c>
    </row>
    <row r="373" spans="1:12" x14ac:dyDescent="0.3">
      <c r="A373" t="s">
        <v>2184</v>
      </c>
      <c r="B373" s="5" t="s">
        <v>7684</v>
      </c>
      <c r="C373" t="s">
        <v>6456</v>
      </c>
      <c r="D373" t="s">
        <v>2185</v>
      </c>
      <c r="E373" t="s">
        <v>7685</v>
      </c>
      <c r="F373" s="1">
        <v>45107</v>
      </c>
      <c r="G373" t="s">
        <v>100</v>
      </c>
      <c r="H373" s="24">
        <v>1064</v>
      </c>
      <c r="I373" t="str">
        <f>IF(H373&lt;=0,"",LOOKUP(H373,'Regras e Parâmetros'!$B$4:$B$7,'Regras e Parâmetros'!$A$4:$A$7))</f>
        <v>Bronze</v>
      </c>
      <c r="J373" t="s">
        <v>9790</v>
      </c>
    </row>
    <row r="374" spans="1:12" x14ac:dyDescent="0.3">
      <c r="A374" t="s">
        <v>1037</v>
      </c>
      <c r="B374" s="5" t="s">
        <v>7157</v>
      </c>
      <c r="C374" t="s">
        <v>6456</v>
      </c>
      <c r="D374" t="s">
        <v>1039</v>
      </c>
      <c r="E374" t="s">
        <v>7158</v>
      </c>
      <c r="F374" s="1">
        <v>44817</v>
      </c>
      <c r="G374" t="s">
        <v>51</v>
      </c>
      <c r="H374" s="24">
        <v>6606</v>
      </c>
      <c r="I374" t="str">
        <f>IF(H374&lt;=0,"",LOOKUP(H374,'Regras e Parâmetros'!$B$4:$B$7,'Regras e Parâmetros'!$A$4:$A$7))</f>
        <v>Ouro</v>
      </c>
      <c r="J374" t="s">
        <v>9790</v>
      </c>
    </row>
    <row r="375" spans="1:12" x14ac:dyDescent="0.3">
      <c r="A375" t="s">
        <v>3158</v>
      </c>
      <c r="B375" s="5" t="s">
        <v>8190</v>
      </c>
      <c r="C375" t="s">
        <v>6456</v>
      </c>
      <c r="D375" t="s">
        <v>3160</v>
      </c>
      <c r="E375" t="s">
        <v>8191</v>
      </c>
      <c r="F375" s="1">
        <v>45453</v>
      </c>
      <c r="G375" t="s">
        <v>110</v>
      </c>
      <c r="H375" s="24">
        <v>2539</v>
      </c>
      <c r="I375" t="str">
        <f>IF(H375&lt;=0,"",LOOKUP(H375,'Regras e Parâmetros'!$B$4:$B$7,'Regras e Parâmetros'!$A$4:$A$7))</f>
        <v>Prata</v>
      </c>
      <c r="J375" t="s">
        <v>9790</v>
      </c>
      <c r="K375" t="s">
        <v>177</v>
      </c>
    </row>
    <row r="376" spans="1:12" x14ac:dyDescent="0.3">
      <c r="A376" t="s">
        <v>294</v>
      </c>
      <c r="B376" s="5" t="s">
        <v>295</v>
      </c>
      <c r="C376" t="s">
        <v>6456</v>
      </c>
      <c r="D376" t="s">
        <v>296</v>
      </c>
      <c r="E376" t="s">
        <v>6606</v>
      </c>
      <c r="F376" s="1">
        <v>44444</v>
      </c>
      <c r="G376" t="s">
        <v>51</v>
      </c>
      <c r="H376" s="24">
        <v>4027</v>
      </c>
      <c r="I376" t="str">
        <f>IF(H376&lt;=0,"",LOOKUP(H376,'Regras e Parâmetros'!$B$4:$B$7,'Regras e Parâmetros'!$A$4:$A$7))</f>
        <v>Prata</v>
      </c>
      <c r="J376" t="s">
        <v>6456</v>
      </c>
    </row>
    <row r="377" spans="1:12" x14ac:dyDescent="0.3">
      <c r="A377" t="s">
        <v>1457</v>
      </c>
      <c r="B377" s="5" t="s">
        <v>7274</v>
      </c>
      <c r="C377" t="s">
        <v>6456</v>
      </c>
      <c r="D377" t="s">
        <v>1458</v>
      </c>
      <c r="E377" t="s">
        <v>1459</v>
      </c>
      <c r="F377" s="1">
        <v>44871</v>
      </c>
      <c r="G377" t="s">
        <v>45</v>
      </c>
      <c r="H377" s="24">
        <v>711</v>
      </c>
      <c r="I377" t="str">
        <f>IF(H377&lt;=0,"",LOOKUP(H377,'Regras e Parâmetros'!$B$4:$B$7,'Regras e Parâmetros'!$A$4:$A$7))</f>
        <v>Bronze</v>
      </c>
      <c r="J377" t="s">
        <v>6456</v>
      </c>
      <c r="L377" t="s">
        <v>9792</v>
      </c>
    </row>
    <row r="378" spans="1:12" x14ac:dyDescent="0.3">
      <c r="A378" t="s">
        <v>8631</v>
      </c>
      <c r="B378" s="5" t="s">
        <v>8632</v>
      </c>
      <c r="C378" t="s">
        <v>6456</v>
      </c>
      <c r="D378" t="s">
        <v>3934</v>
      </c>
      <c r="E378" t="s">
        <v>3935</v>
      </c>
      <c r="F378" s="1">
        <v>45698</v>
      </c>
      <c r="G378" t="s">
        <v>100</v>
      </c>
      <c r="H378" s="24">
        <v>0</v>
      </c>
      <c r="I378" t="str">
        <f>IF(H378&lt;=0,"",LOOKUP(H378,'Regras e Parâmetros'!$B$4:$B$7,'Regras e Parâmetros'!$A$4:$A$7))</f>
        <v/>
      </c>
      <c r="J378" t="s">
        <v>9790</v>
      </c>
      <c r="L378" t="s">
        <v>9886</v>
      </c>
    </row>
    <row r="379" spans="1:12" x14ac:dyDescent="0.3">
      <c r="A379" t="s">
        <v>8360</v>
      </c>
      <c r="B379" s="5" t="s">
        <v>8361</v>
      </c>
      <c r="C379" t="s">
        <v>6456</v>
      </c>
      <c r="D379" t="s">
        <v>3597</v>
      </c>
      <c r="E379" t="s">
        <v>8362</v>
      </c>
      <c r="F379" s="1">
        <v>45566</v>
      </c>
      <c r="G379" t="s">
        <v>51</v>
      </c>
      <c r="H379" s="24">
        <v>369</v>
      </c>
      <c r="I379" t="str">
        <f>IF(H379&lt;=0,"",LOOKUP(H379,'Regras e Parâmetros'!$B$4:$B$7,'Regras e Parâmetros'!$A$4:$A$7))</f>
        <v>Bronze</v>
      </c>
      <c r="J379" t="s">
        <v>6456</v>
      </c>
      <c r="L379" t="s">
        <v>9791</v>
      </c>
    </row>
    <row r="380" spans="1:12" x14ac:dyDescent="0.3">
      <c r="A380" t="s">
        <v>2012</v>
      </c>
      <c r="B380" s="5" t="s">
        <v>7575</v>
      </c>
      <c r="C380" t="s">
        <v>6456</v>
      </c>
      <c r="D380" t="s">
        <v>2013</v>
      </c>
      <c r="E380" t="s">
        <v>2014</v>
      </c>
      <c r="F380" s="1">
        <v>45045</v>
      </c>
      <c r="G380" t="s">
        <v>18</v>
      </c>
      <c r="H380" s="24">
        <v>613</v>
      </c>
      <c r="I380" t="str">
        <f>IF(H380&lt;=0,"",LOOKUP(H380,'Regras e Parâmetros'!$B$4:$B$7,'Regras e Parâmetros'!$A$4:$A$7))</f>
        <v>Bronze</v>
      </c>
      <c r="J380" t="s">
        <v>6456</v>
      </c>
    </row>
    <row r="381" spans="1:12" x14ac:dyDescent="0.3">
      <c r="A381" t="s">
        <v>2003</v>
      </c>
      <c r="B381" s="5" t="s">
        <v>2004</v>
      </c>
      <c r="C381" t="s">
        <v>6456</v>
      </c>
      <c r="D381" t="s">
        <v>2005</v>
      </c>
      <c r="E381" t="s">
        <v>7571</v>
      </c>
      <c r="F381" s="1">
        <v>45044</v>
      </c>
      <c r="G381" t="s">
        <v>51</v>
      </c>
      <c r="H381" s="24">
        <v>1200</v>
      </c>
      <c r="I381" t="str">
        <f>IF(H381&lt;=0,"",LOOKUP(H381,'Regras e Parâmetros'!$B$4:$B$7,'Regras e Parâmetros'!$A$4:$A$7))</f>
        <v>Bronze</v>
      </c>
      <c r="J381" t="s">
        <v>6747</v>
      </c>
      <c r="L381" t="s">
        <v>9793</v>
      </c>
    </row>
    <row r="382" spans="1:12" x14ac:dyDescent="0.3">
      <c r="A382" t="s">
        <v>5107</v>
      </c>
      <c r="B382" s="5" t="s">
        <v>9302</v>
      </c>
      <c r="C382" t="s">
        <v>6456</v>
      </c>
      <c r="D382" t="s">
        <v>5108</v>
      </c>
      <c r="E382" t="s">
        <v>5109</v>
      </c>
      <c r="F382" s="1">
        <v>46048</v>
      </c>
      <c r="G382" t="s">
        <v>110</v>
      </c>
      <c r="H382" s="24">
        <v>0</v>
      </c>
      <c r="I382" t="str">
        <f>IF(H382&lt;=0,"",LOOKUP(H382,'Regras e Parâmetros'!$B$4:$B$7,'Regras e Parâmetros'!$A$4:$A$7))</f>
        <v/>
      </c>
      <c r="J382" t="s">
        <v>6747</v>
      </c>
      <c r="L382" t="s">
        <v>9883</v>
      </c>
    </row>
    <row r="383" spans="1:12" x14ac:dyDescent="0.3">
      <c r="A383" t="s">
        <v>1040</v>
      </c>
      <c r="B383" s="5" t="s">
        <v>1041</v>
      </c>
      <c r="C383" t="s">
        <v>6456</v>
      </c>
      <c r="D383" t="s">
        <v>1042</v>
      </c>
      <c r="E383" t="s">
        <v>7119</v>
      </c>
      <c r="F383" s="1">
        <v>44782</v>
      </c>
      <c r="G383" t="s">
        <v>51</v>
      </c>
      <c r="H383" s="24">
        <v>319</v>
      </c>
      <c r="I383" t="str">
        <f>IF(H383&lt;=0,"",LOOKUP(H383,'Regras e Parâmetros'!$B$4:$B$7,'Regras e Parâmetros'!$A$4:$A$7))</f>
        <v>Bronze</v>
      </c>
      <c r="J383" t="s">
        <v>6456</v>
      </c>
      <c r="K383" t="s">
        <v>10028</v>
      </c>
    </row>
    <row r="384" spans="1:12" x14ac:dyDescent="0.3">
      <c r="A384" t="s">
        <v>2149</v>
      </c>
      <c r="B384" s="5" t="s">
        <v>7667</v>
      </c>
      <c r="C384" t="s">
        <v>6456</v>
      </c>
      <c r="D384" t="s">
        <v>2150</v>
      </c>
      <c r="E384" t="s">
        <v>7668</v>
      </c>
      <c r="F384" s="1">
        <v>45097</v>
      </c>
      <c r="G384" t="s">
        <v>22</v>
      </c>
      <c r="H384" s="24">
        <v>1559</v>
      </c>
      <c r="I384" t="str">
        <f>IF(H384&lt;=0,"",LOOKUP(H384,'Regras e Parâmetros'!$B$4:$B$7,'Regras e Parâmetros'!$A$4:$A$7))</f>
        <v>Prata</v>
      </c>
      <c r="J384" t="s">
        <v>6747</v>
      </c>
    </row>
    <row r="385" spans="1:12" x14ac:dyDescent="0.3">
      <c r="A385" t="s">
        <v>4011</v>
      </c>
      <c r="B385" s="5" t="s">
        <v>4012</v>
      </c>
      <c r="C385" t="s">
        <v>6456</v>
      </c>
      <c r="D385" t="s">
        <v>4013</v>
      </c>
      <c r="E385" t="s">
        <v>8665</v>
      </c>
      <c r="F385" s="1">
        <v>45719</v>
      </c>
      <c r="G385" t="s">
        <v>51</v>
      </c>
      <c r="H385" s="24">
        <v>0</v>
      </c>
      <c r="I385" t="str">
        <f>IF(H385&lt;=0,"",LOOKUP(H385,'Regras e Parâmetros'!$B$4:$B$7,'Regras e Parâmetros'!$A$4:$A$7))</f>
        <v/>
      </c>
      <c r="J385" t="s">
        <v>9790</v>
      </c>
      <c r="L385" t="s">
        <v>9883</v>
      </c>
    </row>
    <row r="386" spans="1:12" x14ac:dyDescent="0.3">
      <c r="A386" t="s">
        <v>5537</v>
      </c>
      <c r="B386" s="5" t="s">
        <v>5538</v>
      </c>
      <c r="C386" t="s">
        <v>6456</v>
      </c>
      <c r="D386" t="s">
        <v>5539</v>
      </c>
      <c r="E386" t="s">
        <v>5540</v>
      </c>
      <c r="F386" s="1">
        <v>46165</v>
      </c>
      <c r="G386" t="s">
        <v>110</v>
      </c>
      <c r="H386" s="24">
        <v>0</v>
      </c>
      <c r="I386" t="str">
        <f>IF(H386&lt;=0,"",LOOKUP(H386,'Regras e Parâmetros'!$B$4:$B$7,'Regras e Parâmetros'!$A$4:$A$7))</f>
        <v/>
      </c>
      <c r="J386" t="s">
        <v>6747</v>
      </c>
      <c r="L386" t="s">
        <v>9886</v>
      </c>
    </row>
    <row r="387" spans="1:12" x14ac:dyDescent="0.3">
      <c r="A387" t="s">
        <v>3685</v>
      </c>
      <c r="B387" s="5" t="s">
        <v>3686</v>
      </c>
      <c r="C387" t="s">
        <v>6456</v>
      </c>
      <c r="D387" t="s">
        <v>3687</v>
      </c>
      <c r="E387" t="s">
        <v>3688</v>
      </c>
      <c r="F387" s="1">
        <v>45617</v>
      </c>
      <c r="G387" t="s">
        <v>110</v>
      </c>
      <c r="H387" s="24">
        <v>0</v>
      </c>
      <c r="I387" t="str">
        <f>IF(H387&lt;=0,"",LOOKUP(H387,'Regras e Parâmetros'!$B$4:$B$7,'Regras e Parâmetros'!$A$4:$A$7))</f>
        <v/>
      </c>
      <c r="J387" t="s">
        <v>6747</v>
      </c>
      <c r="L387" t="s">
        <v>9792</v>
      </c>
    </row>
    <row r="388" spans="1:12" x14ac:dyDescent="0.3">
      <c r="A388" t="s">
        <v>3685</v>
      </c>
      <c r="B388" s="5" t="s">
        <v>9662</v>
      </c>
      <c r="C388" t="s">
        <v>6456</v>
      </c>
      <c r="D388" t="s">
        <v>5733</v>
      </c>
      <c r="E388" t="s">
        <v>9663</v>
      </c>
      <c r="F388" s="1">
        <v>46228</v>
      </c>
      <c r="G388" t="s">
        <v>100</v>
      </c>
      <c r="H388" s="24">
        <v>0</v>
      </c>
      <c r="I388" t="str">
        <f>IF(H388&lt;=0,"",LOOKUP(H388,'Regras e Parâmetros'!$B$4:$B$7,'Regras e Parâmetros'!$A$4:$A$7))</f>
        <v/>
      </c>
      <c r="J388" t="s">
        <v>9790</v>
      </c>
      <c r="K388" t="s">
        <v>708</v>
      </c>
      <c r="L388" t="s">
        <v>9883</v>
      </c>
    </row>
    <row r="389" spans="1:12" x14ac:dyDescent="0.3">
      <c r="A389" t="s">
        <v>6873</v>
      </c>
      <c r="B389" s="5" t="s">
        <v>756</v>
      </c>
      <c r="C389" t="s">
        <v>6456</v>
      </c>
      <c r="D389" t="s">
        <v>757</v>
      </c>
      <c r="E389" t="s">
        <v>6874</v>
      </c>
      <c r="F389" s="1">
        <v>44612</v>
      </c>
      <c r="G389" t="s">
        <v>45</v>
      </c>
      <c r="H389" s="24">
        <v>2400</v>
      </c>
      <c r="I389" t="str">
        <f>IF(H389&lt;=0,"",LOOKUP(H389,'Regras e Parâmetros'!$B$4:$B$7,'Regras e Parâmetros'!$A$4:$A$7))</f>
        <v>Prata</v>
      </c>
      <c r="J389" t="s">
        <v>9790</v>
      </c>
      <c r="L389" t="s">
        <v>9793</v>
      </c>
    </row>
    <row r="390" spans="1:12" x14ac:dyDescent="0.3">
      <c r="A390" t="s">
        <v>5709</v>
      </c>
      <c r="B390" s="5" t="s">
        <v>9646</v>
      </c>
      <c r="C390" t="s">
        <v>6456</v>
      </c>
      <c r="D390" t="s">
        <v>5710</v>
      </c>
      <c r="E390" t="s">
        <v>5711</v>
      </c>
      <c r="F390" s="1">
        <v>46219</v>
      </c>
      <c r="G390" t="s">
        <v>22</v>
      </c>
      <c r="H390" s="24">
        <v>0</v>
      </c>
      <c r="I390" t="str">
        <f>IF(H390&lt;=0,"",LOOKUP(H390,'Regras e Parâmetros'!$B$4:$B$7,'Regras e Parâmetros'!$A$4:$A$7))</f>
        <v/>
      </c>
      <c r="J390" t="s">
        <v>6456</v>
      </c>
      <c r="L390" t="s">
        <v>9883</v>
      </c>
    </row>
    <row r="391" spans="1:12" x14ac:dyDescent="0.3">
      <c r="A391" t="s">
        <v>4491</v>
      </c>
      <c r="B391" s="5" t="s">
        <v>8934</v>
      </c>
      <c r="C391" t="s">
        <v>6456</v>
      </c>
      <c r="D391" t="s">
        <v>4492</v>
      </c>
      <c r="E391" t="s">
        <v>4493</v>
      </c>
      <c r="F391" s="1">
        <v>45861</v>
      </c>
      <c r="G391" t="s">
        <v>110</v>
      </c>
      <c r="H391" s="24">
        <v>0</v>
      </c>
      <c r="I391" t="str">
        <f>IF(H391&lt;=0,"",LOOKUP(H391,'Regras e Parâmetros'!$B$4:$B$7,'Regras e Parâmetros'!$A$4:$A$7))</f>
        <v/>
      </c>
      <c r="J391" t="s">
        <v>6747</v>
      </c>
      <c r="L391" t="s">
        <v>9883</v>
      </c>
    </row>
    <row r="392" spans="1:12" x14ac:dyDescent="0.3">
      <c r="A392" t="s">
        <v>3344</v>
      </c>
      <c r="B392" s="5" t="s">
        <v>8267</v>
      </c>
      <c r="C392" t="s">
        <v>6456</v>
      </c>
      <c r="D392" t="s">
        <v>3345</v>
      </c>
      <c r="E392" t="s">
        <v>3346</v>
      </c>
      <c r="F392" s="1">
        <v>45505</v>
      </c>
      <c r="G392" t="s">
        <v>45</v>
      </c>
      <c r="H392" s="24">
        <v>4985</v>
      </c>
      <c r="I392" t="str">
        <f>IF(H392&lt;=0,"",LOOKUP(H392,'Regras e Parâmetros'!$B$4:$B$7,'Regras e Parâmetros'!$A$4:$A$7))</f>
        <v>Prata</v>
      </c>
      <c r="J392" t="s">
        <v>9790</v>
      </c>
      <c r="L392" t="s">
        <v>9789</v>
      </c>
    </row>
    <row r="393" spans="1:12" x14ac:dyDescent="0.3">
      <c r="A393" t="s">
        <v>4472</v>
      </c>
      <c r="B393" s="5" t="s">
        <v>8924</v>
      </c>
      <c r="C393" t="s">
        <v>6456</v>
      </c>
      <c r="D393" t="s">
        <v>4473</v>
      </c>
      <c r="E393" t="s">
        <v>8925</v>
      </c>
      <c r="F393" s="1">
        <v>45859</v>
      </c>
      <c r="G393" t="s">
        <v>18</v>
      </c>
      <c r="H393" s="24">
        <v>0</v>
      </c>
      <c r="I393" t="str">
        <f>IF(H393&lt;=0,"",LOOKUP(H393,'Regras e Parâmetros'!$B$4:$B$7,'Regras e Parâmetros'!$A$4:$A$7))</f>
        <v/>
      </c>
      <c r="J393" t="s">
        <v>9790</v>
      </c>
      <c r="L393" t="s">
        <v>9883</v>
      </c>
    </row>
    <row r="394" spans="1:12" x14ac:dyDescent="0.3">
      <c r="A394" t="s">
        <v>2194</v>
      </c>
      <c r="B394" s="5" t="s">
        <v>2195</v>
      </c>
      <c r="C394" t="s">
        <v>6456</v>
      </c>
      <c r="D394" t="s">
        <v>2196</v>
      </c>
      <c r="E394" t="s">
        <v>7690</v>
      </c>
      <c r="F394" s="1">
        <v>45108</v>
      </c>
      <c r="G394" t="s">
        <v>100</v>
      </c>
      <c r="H394" s="24">
        <v>8601</v>
      </c>
      <c r="I394" t="str">
        <f>IF(H394&lt;=0,"",LOOKUP(H394,'Regras e Parâmetros'!$B$4:$B$7,'Regras e Parâmetros'!$A$4:$A$7))</f>
        <v>Ouro</v>
      </c>
      <c r="J394" t="s">
        <v>9790</v>
      </c>
    </row>
    <row r="395" spans="1:12" x14ac:dyDescent="0.3">
      <c r="A395" t="s">
        <v>5651</v>
      </c>
      <c r="B395" s="5" t="s">
        <v>5652</v>
      </c>
      <c r="C395" t="s">
        <v>6456</v>
      </c>
      <c r="D395" t="s">
        <v>5653</v>
      </c>
      <c r="E395" t="s">
        <v>5654</v>
      </c>
      <c r="F395" s="1">
        <v>46203</v>
      </c>
      <c r="G395" t="s">
        <v>18</v>
      </c>
      <c r="H395" s="24">
        <v>0</v>
      </c>
      <c r="I395" t="str">
        <f>IF(H395&lt;=0,"",LOOKUP(H395,'Regras e Parâmetros'!$B$4:$B$7,'Regras e Parâmetros'!$A$4:$A$7))</f>
        <v/>
      </c>
      <c r="J395" t="s">
        <v>9790</v>
      </c>
      <c r="L395" t="s">
        <v>9883</v>
      </c>
    </row>
    <row r="396" spans="1:12" x14ac:dyDescent="0.3">
      <c r="A396" t="s">
        <v>7641</v>
      </c>
      <c r="B396" s="5" t="s">
        <v>2181</v>
      </c>
      <c r="C396" t="s">
        <v>6456</v>
      </c>
      <c r="D396" t="s">
        <v>2182</v>
      </c>
      <c r="E396" t="s">
        <v>2183</v>
      </c>
      <c r="F396" s="1">
        <v>45078</v>
      </c>
      <c r="G396" t="s">
        <v>51</v>
      </c>
      <c r="H396" s="24">
        <v>6667</v>
      </c>
      <c r="I396" t="str">
        <f>IF(H396&lt;=0,"",LOOKUP(H396,'Regras e Parâmetros'!$B$4:$B$7,'Regras e Parâmetros'!$A$4:$A$7))</f>
        <v>Ouro</v>
      </c>
      <c r="J396" t="s">
        <v>6747</v>
      </c>
      <c r="L396" t="s">
        <v>9791</v>
      </c>
    </row>
    <row r="397" spans="1:12" x14ac:dyDescent="0.3">
      <c r="A397" t="s">
        <v>8271</v>
      </c>
      <c r="B397" s="5" t="s">
        <v>8272</v>
      </c>
      <c r="C397" t="s">
        <v>6456</v>
      </c>
      <c r="D397" t="s">
        <v>3317</v>
      </c>
      <c r="E397" t="s">
        <v>3318</v>
      </c>
      <c r="F397" s="1">
        <v>45506</v>
      </c>
      <c r="G397" t="s">
        <v>45</v>
      </c>
      <c r="H397" s="24">
        <v>448</v>
      </c>
      <c r="I397" t="str">
        <f>IF(H397&lt;=0,"",LOOKUP(H397,'Regras e Parâmetros'!$B$4:$B$7,'Regras e Parâmetros'!$A$4:$A$7))</f>
        <v>Bronze</v>
      </c>
      <c r="J397" t="s">
        <v>6456</v>
      </c>
    </row>
    <row r="398" spans="1:12" x14ac:dyDescent="0.3">
      <c r="A398" t="s">
        <v>7686</v>
      </c>
      <c r="B398" s="5" t="s">
        <v>7687</v>
      </c>
      <c r="C398" t="s">
        <v>6456</v>
      </c>
      <c r="D398" t="s">
        <v>2186</v>
      </c>
      <c r="E398" t="s">
        <v>2187</v>
      </c>
      <c r="F398" s="1">
        <v>45107</v>
      </c>
      <c r="G398" t="s">
        <v>18</v>
      </c>
      <c r="H398" s="24">
        <v>1206</v>
      </c>
      <c r="I398" t="str">
        <f>IF(H398&lt;=0,"",LOOKUP(H398,'Regras e Parâmetros'!$B$4:$B$7,'Regras e Parâmetros'!$A$4:$A$7))</f>
        <v>Bronze</v>
      </c>
      <c r="J398" t="s">
        <v>6747</v>
      </c>
    </row>
    <row r="399" spans="1:12" x14ac:dyDescent="0.3">
      <c r="A399" t="s">
        <v>1043</v>
      </c>
      <c r="B399" s="5" t="s">
        <v>7140</v>
      </c>
      <c r="C399" t="s">
        <v>6456</v>
      </c>
      <c r="D399" t="s">
        <v>1045</v>
      </c>
      <c r="E399" t="s">
        <v>7141</v>
      </c>
      <c r="F399" s="1">
        <v>44804</v>
      </c>
      <c r="G399" t="s">
        <v>22</v>
      </c>
      <c r="H399" s="24">
        <v>0</v>
      </c>
      <c r="I399" t="str">
        <f>IF(H399&lt;=0,"",LOOKUP(H399,'Regras e Parâmetros'!$B$4:$B$7,'Regras e Parâmetros'!$A$4:$A$7))</f>
        <v/>
      </c>
      <c r="J399" t="s">
        <v>9790</v>
      </c>
      <c r="K399" t="s">
        <v>33</v>
      </c>
    </row>
    <row r="400" spans="1:12" x14ac:dyDescent="0.3">
      <c r="A400" t="s">
        <v>3342</v>
      </c>
      <c r="B400" s="5" t="s">
        <v>8286</v>
      </c>
      <c r="C400" t="s">
        <v>6456</v>
      </c>
      <c r="D400" t="s">
        <v>3343</v>
      </c>
      <c r="E400" t="s">
        <v>8287</v>
      </c>
      <c r="F400" s="1">
        <v>45510</v>
      </c>
      <c r="G400" t="s">
        <v>45</v>
      </c>
      <c r="H400" s="24">
        <v>1333</v>
      </c>
      <c r="I400" t="str">
        <f>IF(H400&lt;=0,"",LOOKUP(H400,'Regras e Parâmetros'!$B$4:$B$7,'Regras e Parâmetros'!$A$4:$A$7))</f>
        <v>Bronze</v>
      </c>
      <c r="J400" t="s">
        <v>9790</v>
      </c>
    </row>
    <row r="401" spans="1:12" x14ac:dyDescent="0.3">
      <c r="A401" t="s">
        <v>6776</v>
      </c>
      <c r="B401" s="5" t="s">
        <v>594</v>
      </c>
      <c r="C401" t="s">
        <v>6456</v>
      </c>
      <c r="D401" t="s">
        <v>595</v>
      </c>
      <c r="E401" t="s">
        <v>596</v>
      </c>
      <c r="F401" s="1">
        <v>44557</v>
      </c>
      <c r="G401" t="s">
        <v>18</v>
      </c>
      <c r="H401" s="24">
        <v>371</v>
      </c>
      <c r="I401" t="str">
        <f>IF(H401&lt;=0,"",LOOKUP(H401,'Regras e Parâmetros'!$B$4:$B$7,'Regras e Parâmetros'!$A$4:$A$7))</f>
        <v>Bronze</v>
      </c>
      <c r="J401" t="s">
        <v>9790</v>
      </c>
    </row>
    <row r="402" spans="1:12" x14ac:dyDescent="0.3">
      <c r="A402" t="s">
        <v>5902</v>
      </c>
      <c r="B402" s="5" t="s">
        <v>5903</v>
      </c>
      <c r="C402" t="s">
        <v>6456</v>
      </c>
      <c r="D402" t="s">
        <v>5904</v>
      </c>
      <c r="E402" t="s">
        <v>9755</v>
      </c>
      <c r="F402" s="1">
        <v>46266</v>
      </c>
      <c r="G402" t="s">
        <v>18</v>
      </c>
      <c r="H402" s="24">
        <v>0</v>
      </c>
      <c r="I402" t="str">
        <f>IF(H402&lt;=0,"",LOOKUP(H402,'Regras e Parâmetros'!$B$4:$B$7,'Regras e Parâmetros'!$A$4:$A$7))</f>
        <v/>
      </c>
      <c r="J402" t="s">
        <v>6456</v>
      </c>
      <c r="K402" t="s">
        <v>9940</v>
      </c>
      <c r="L402" t="s">
        <v>9884</v>
      </c>
    </row>
    <row r="403" spans="1:12" x14ac:dyDescent="0.3">
      <c r="A403" t="s">
        <v>1046</v>
      </c>
      <c r="B403" s="5" t="s">
        <v>1047</v>
      </c>
      <c r="C403" t="s">
        <v>6456</v>
      </c>
      <c r="D403" t="s">
        <v>1048</v>
      </c>
      <c r="E403" t="s">
        <v>7144</v>
      </c>
      <c r="F403" s="1">
        <v>44812</v>
      </c>
      <c r="G403" t="s">
        <v>51</v>
      </c>
      <c r="H403" s="24">
        <v>2594</v>
      </c>
      <c r="I403" t="str">
        <f>IF(H403&lt;=0,"",LOOKUP(H403,'Regras e Parâmetros'!$B$4:$B$7,'Regras e Parâmetros'!$A$4:$A$7))</f>
        <v>Prata</v>
      </c>
      <c r="J403" t="s">
        <v>9790</v>
      </c>
    </row>
    <row r="404" spans="1:12" x14ac:dyDescent="0.3">
      <c r="A404" t="s">
        <v>5870</v>
      </c>
      <c r="B404" s="5" t="s">
        <v>9741</v>
      </c>
      <c r="C404" t="s">
        <v>6456</v>
      </c>
      <c r="D404" t="s">
        <v>5871</v>
      </c>
      <c r="E404" t="s">
        <v>5872</v>
      </c>
      <c r="F404" s="1">
        <v>46262</v>
      </c>
      <c r="G404" t="s">
        <v>51</v>
      </c>
      <c r="H404" s="24">
        <v>0</v>
      </c>
      <c r="I404" t="str">
        <f>IF(H404&lt;=0,"",LOOKUP(H404,'Regras e Parâmetros'!$B$4:$B$7,'Regras e Parâmetros'!$A$4:$A$7))</f>
        <v/>
      </c>
      <c r="J404" t="s">
        <v>6747</v>
      </c>
      <c r="K404" t="s">
        <v>72</v>
      </c>
      <c r="L404" t="s">
        <v>9886</v>
      </c>
    </row>
    <row r="405" spans="1:12" x14ac:dyDescent="0.3">
      <c r="A405" t="s">
        <v>3683</v>
      </c>
      <c r="B405" s="5" t="s">
        <v>3684</v>
      </c>
      <c r="C405" t="s">
        <v>6456</v>
      </c>
      <c r="D405" t="s">
        <v>8426</v>
      </c>
      <c r="E405" t="s">
        <v>8427</v>
      </c>
      <c r="F405" s="1">
        <v>45597</v>
      </c>
      <c r="G405" t="s">
        <v>45</v>
      </c>
      <c r="H405" s="24">
        <v>617</v>
      </c>
      <c r="I405" t="str">
        <f>IF(H405&lt;=0,"",LOOKUP(H405,'Regras e Parâmetros'!$B$4:$B$7,'Regras e Parâmetros'!$A$4:$A$7))</f>
        <v>Bronze</v>
      </c>
      <c r="J405" t="s">
        <v>6456</v>
      </c>
      <c r="L405" t="s">
        <v>9791</v>
      </c>
    </row>
    <row r="406" spans="1:12" x14ac:dyDescent="0.3">
      <c r="A406" t="s">
        <v>2092</v>
      </c>
      <c r="B406" s="5" t="s">
        <v>7624</v>
      </c>
      <c r="C406" t="s">
        <v>6456</v>
      </c>
      <c r="D406" t="s">
        <v>2093</v>
      </c>
      <c r="E406" t="s">
        <v>7625</v>
      </c>
      <c r="F406" s="1">
        <v>45075</v>
      </c>
      <c r="G406" t="s">
        <v>51</v>
      </c>
      <c r="H406" s="24">
        <v>1010</v>
      </c>
      <c r="I406" t="str">
        <f>IF(H406&lt;=0,"",LOOKUP(H406,'Regras e Parâmetros'!$B$4:$B$7,'Regras e Parâmetros'!$A$4:$A$7))</f>
        <v>Bronze</v>
      </c>
      <c r="J406" t="s">
        <v>6456</v>
      </c>
    </row>
    <row r="407" spans="1:12" x14ac:dyDescent="0.3">
      <c r="A407" t="s">
        <v>7125</v>
      </c>
      <c r="B407" s="5" t="s">
        <v>1049</v>
      </c>
      <c r="C407" t="s">
        <v>6456</v>
      </c>
      <c r="D407" t="s">
        <v>1050</v>
      </c>
      <c r="E407" t="s">
        <v>1051</v>
      </c>
      <c r="F407" s="1">
        <v>44791</v>
      </c>
      <c r="G407" t="s">
        <v>45</v>
      </c>
      <c r="H407" s="24">
        <v>550</v>
      </c>
      <c r="I407" t="str">
        <f>IF(H407&lt;=0,"",LOOKUP(H407,'Regras e Parâmetros'!$B$4:$B$7,'Regras e Parâmetros'!$A$4:$A$7))</f>
        <v>Bronze</v>
      </c>
      <c r="J407" t="s">
        <v>9790</v>
      </c>
      <c r="L407" t="s">
        <v>9792</v>
      </c>
    </row>
    <row r="408" spans="1:12" x14ac:dyDescent="0.3">
      <c r="A408" t="s">
        <v>5816</v>
      </c>
      <c r="B408" s="5" t="s">
        <v>9712</v>
      </c>
      <c r="C408" t="s">
        <v>6456</v>
      </c>
      <c r="D408" t="s">
        <v>5817</v>
      </c>
      <c r="E408" t="s">
        <v>5818</v>
      </c>
      <c r="F408" s="1">
        <v>46246</v>
      </c>
      <c r="G408" t="s">
        <v>22</v>
      </c>
      <c r="H408" s="24">
        <v>0</v>
      </c>
      <c r="I408" t="str">
        <f>IF(H408&lt;=0,"",LOOKUP(H408,'Regras e Parâmetros'!$B$4:$B$7,'Regras e Parâmetros'!$A$4:$A$7))</f>
        <v/>
      </c>
      <c r="J408" t="s">
        <v>9790</v>
      </c>
      <c r="L408" t="s">
        <v>9883</v>
      </c>
    </row>
    <row r="409" spans="1:12" x14ac:dyDescent="0.3">
      <c r="A409" t="s">
        <v>9386</v>
      </c>
      <c r="B409" s="5" t="s">
        <v>5245</v>
      </c>
      <c r="C409" t="s">
        <v>6456</v>
      </c>
      <c r="D409" t="s">
        <v>6009</v>
      </c>
      <c r="E409" t="s">
        <v>6010</v>
      </c>
      <c r="F409" s="1">
        <v>46086</v>
      </c>
      <c r="G409" t="s">
        <v>18</v>
      </c>
      <c r="H409" s="24">
        <v>0</v>
      </c>
      <c r="I409" t="str">
        <f>IF(H409&lt;=0,"",LOOKUP(H409,'Regras e Parâmetros'!$B$4:$B$7,'Regras e Parâmetros'!$A$4:$A$7))</f>
        <v/>
      </c>
      <c r="J409" t="s">
        <v>6456</v>
      </c>
      <c r="K409" t="s">
        <v>9921</v>
      </c>
      <c r="L409" t="s">
        <v>9883</v>
      </c>
    </row>
    <row r="410" spans="1:12" x14ac:dyDescent="0.3">
      <c r="A410" t="s">
        <v>2921</v>
      </c>
      <c r="B410" s="5" t="s">
        <v>2922</v>
      </c>
      <c r="C410" t="s">
        <v>6456</v>
      </c>
      <c r="D410" t="s">
        <v>4329</v>
      </c>
      <c r="E410" t="s">
        <v>2923</v>
      </c>
      <c r="F410" s="1">
        <v>45363</v>
      </c>
      <c r="G410" t="s">
        <v>51</v>
      </c>
      <c r="H410" s="24">
        <v>85</v>
      </c>
      <c r="I410" t="str">
        <f>IF(H410&lt;=0,"",LOOKUP(H410,'Regras e Parâmetros'!$B$4:$B$7,'Regras e Parâmetros'!$A$4:$A$7))</f>
        <v>Bronze</v>
      </c>
      <c r="J410" t="s">
        <v>6456</v>
      </c>
      <c r="K410" t="s">
        <v>9856</v>
      </c>
      <c r="L410" t="s">
        <v>9839</v>
      </c>
    </row>
    <row r="411" spans="1:12" x14ac:dyDescent="0.3">
      <c r="A411" t="s">
        <v>2591</v>
      </c>
      <c r="B411" s="5" t="s">
        <v>7914</v>
      </c>
      <c r="C411" t="s">
        <v>6456</v>
      </c>
      <c r="D411" t="s">
        <v>2592</v>
      </c>
      <c r="E411" t="s">
        <v>2593</v>
      </c>
      <c r="F411" s="1">
        <v>45235</v>
      </c>
      <c r="G411" t="s">
        <v>18</v>
      </c>
      <c r="H411" s="24">
        <v>272</v>
      </c>
      <c r="I411" t="str">
        <f>IF(H411&lt;=0,"",LOOKUP(H411,'Regras e Parâmetros'!$B$4:$B$7,'Regras e Parâmetros'!$A$4:$A$7))</f>
        <v>Bronze</v>
      </c>
      <c r="J411" t="s">
        <v>6747</v>
      </c>
      <c r="K411" t="s">
        <v>33</v>
      </c>
    </row>
    <row r="412" spans="1:12" x14ac:dyDescent="0.3">
      <c r="A412" t="s">
        <v>7733</v>
      </c>
      <c r="B412" s="5" t="s">
        <v>2269</v>
      </c>
      <c r="C412" t="s">
        <v>6456</v>
      </c>
      <c r="D412" t="s">
        <v>2270</v>
      </c>
      <c r="E412" t="s">
        <v>7734</v>
      </c>
      <c r="F412" s="1">
        <v>45129</v>
      </c>
      <c r="G412" t="s">
        <v>51</v>
      </c>
      <c r="H412" s="24">
        <v>0</v>
      </c>
      <c r="I412" t="str">
        <f>IF(H412&lt;=0,"",LOOKUP(H412,'Regras e Parâmetros'!$B$4:$B$7,'Regras e Parâmetros'!$A$4:$A$7))</f>
        <v/>
      </c>
      <c r="J412" t="s">
        <v>6747</v>
      </c>
    </row>
    <row r="413" spans="1:12" x14ac:dyDescent="0.3">
      <c r="A413" t="s">
        <v>7733</v>
      </c>
      <c r="B413" s="5" t="s">
        <v>8919</v>
      </c>
      <c r="C413" t="s">
        <v>6456</v>
      </c>
      <c r="D413" t="s">
        <v>4466</v>
      </c>
      <c r="E413" t="s">
        <v>8920</v>
      </c>
      <c r="F413" s="1">
        <v>45858</v>
      </c>
      <c r="G413" t="s">
        <v>45</v>
      </c>
      <c r="H413" s="24">
        <v>0</v>
      </c>
      <c r="I413" t="str">
        <f>IF(H413&lt;=0,"",LOOKUP(H413,'Regras e Parâmetros'!$B$4:$B$7,'Regras e Parâmetros'!$A$4:$A$7))</f>
        <v/>
      </c>
      <c r="J413" t="s">
        <v>6747</v>
      </c>
      <c r="L413" t="s">
        <v>9883</v>
      </c>
    </row>
    <row r="414" spans="1:12" x14ac:dyDescent="0.3">
      <c r="A414" t="s">
        <v>2329</v>
      </c>
      <c r="B414" s="5" t="s">
        <v>7772</v>
      </c>
      <c r="C414" t="s">
        <v>6456</v>
      </c>
      <c r="D414" t="s">
        <v>2330</v>
      </c>
      <c r="E414" t="s">
        <v>2331</v>
      </c>
      <c r="F414" s="1">
        <v>45146</v>
      </c>
      <c r="G414" t="s">
        <v>110</v>
      </c>
      <c r="H414" s="24">
        <v>523</v>
      </c>
      <c r="I414" t="str">
        <f>IF(H414&lt;=0,"",LOOKUP(H414,'Regras e Parâmetros'!$B$4:$B$7,'Regras e Parâmetros'!$A$4:$A$7))</f>
        <v>Bronze</v>
      </c>
      <c r="J414" t="s">
        <v>9790</v>
      </c>
    </row>
    <row r="415" spans="1:12" x14ac:dyDescent="0.3">
      <c r="A415" t="s">
        <v>218</v>
      </c>
      <c r="B415" s="5" t="s">
        <v>6551</v>
      </c>
      <c r="C415" t="s">
        <v>6456</v>
      </c>
      <c r="D415" t="s">
        <v>219</v>
      </c>
      <c r="E415" t="s">
        <v>6552</v>
      </c>
      <c r="F415" s="1">
        <v>44409</v>
      </c>
      <c r="G415" t="s">
        <v>45</v>
      </c>
      <c r="H415" s="24">
        <v>15000</v>
      </c>
      <c r="I415" t="str">
        <f>IF(H415&lt;=0,"",LOOKUP(H415,'Regras e Parâmetros'!$B$4:$B$7,'Regras e Parâmetros'!$A$4:$A$7))</f>
        <v>Vip</v>
      </c>
      <c r="J415" t="s">
        <v>6456</v>
      </c>
      <c r="L415" t="s">
        <v>9791</v>
      </c>
    </row>
    <row r="416" spans="1:12" x14ac:dyDescent="0.3">
      <c r="A416" t="s">
        <v>6561</v>
      </c>
      <c r="B416" s="5" t="s">
        <v>6562</v>
      </c>
      <c r="C416" t="s">
        <v>6456</v>
      </c>
      <c r="D416" t="s">
        <v>192</v>
      </c>
      <c r="E416" t="s">
        <v>6563</v>
      </c>
      <c r="F416" s="1">
        <v>44414</v>
      </c>
      <c r="G416" t="s">
        <v>45</v>
      </c>
      <c r="H416" s="24">
        <v>10726</v>
      </c>
      <c r="I416" t="str">
        <f>IF(H416&lt;=0,"",LOOKUP(H416,'Regras e Parâmetros'!$B$4:$B$7,'Regras e Parâmetros'!$A$4:$A$7))</f>
        <v>Vip</v>
      </c>
      <c r="J416" t="s">
        <v>9790</v>
      </c>
    </row>
    <row r="417" spans="1:12" x14ac:dyDescent="0.3">
      <c r="A417" t="s">
        <v>2354</v>
      </c>
      <c r="B417" s="5" t="s">
        <v>7780</v>
      </c>
      <c r="C417" t="s">
        <v>6456</v>
      </c>
      <c r="D417" t="s">
        <v>2355</v>
      </c>
      <c r="E417" t="s">
        <v>2356</v>
      </c>
      <c r="F417" s="1">
        <v>45152</v>
      </c>
      <c r="G417" t="s">
        <v>110</v>
      </c>
      <c r="H417" s="24">
        <v>6402</v>
      </c>
      <c r="I417" t="str">
        <f>IF(H417&lt;=0,"",LOOKUP(H417,'Regras e Parâmetros'!$B$4:$B$7,'Regras e Parâmetros'!$A$4:$A$7))</f>
        <v>Ouro</v>
      </c>
      <c r="J417" t="s">
        <v>9790</v>
      </c>
    </row>
    <row r="418" spans="1:12" x14ac:dyDescent="0.3">
      <c r="A418" t="s">
        <v>5631</v>
      </c>
      <c r="B418" s="5" t="s">
        <v>9564</v>
      </c>
      <c r="C418" t="s">
        <v>6456</v>
      </c>
      <c r="D418" t="s">
        <v>5632</v>
      </c>
      <c r="E418" t="s">
        <v>5633</v>
      </c>
      <c r="F418" s="1">
        <v>46174</v>
      </c>
      <c r="G418" t="s">
        <v>18</v>
      </c>
      <c r="H418" s="24">
        <v>0</v>
      </c>
      <c r="I418" t="str">
        <f>IF(H418&lt;=0,"",LOOKUP(H418,'Regras e Parâmetros'!$B$4:$B$7,'Regras e Parâmetros'!$A$4:$A$7))</f>
        <v/>
      </c>
      <c r="J418" t="s">
        <v>9790</v>
      </c>
      <c r="L418" t="s">
        <v>9884</v>
      </c>
    </row>
    <row r="419" spans="1:12" x14ac:dyDescent="0.3">
      <c r="A419" t="s">
        <v>4132</v>
      </c>
      <c r="B419" s="5" t="s">
        <v>8741</v>
      </c>
      <c r="C419" t="s">
        <v>6456</v>
      </c>
      <c r="D419" t="s">
        <v>4133</v>
      </c>
      <c r="E419" t="s">
        <v>8742</v>
      </c>
      <c r="F419" s="1">
        <v>45753</v>
      </c>
      <c r="G419" t="s">
        <v>51</v>
      </c>
      <c r="H419" s="24">
        <v>0</v>
      </c>
      <c r="I419" t="str">
        <f>IF(H419&lt;=0,"",LOOKUP(H419,'Regras e Parâmetros'!$B$4:$B$7,'Regras e Parâmetros'!$A$4:$A$7))</f>
        <v/>
      </c>
      <c r="J419" t="s">
        <v>6456</v>
      </c>
      <c r="K419" t="s">
        <v>44</v>
      </c>
      <c r="L419" t="s">
        <v>9883</v>
      </c>
    </row>
    <row r="420" spans="1:12" x14ac:dyDescent="0.3">
      <c r="A420" t="s">
        <v>4222</v>
      </c>
      <c r="B420" s="5" t="s">
        <v>4223</v>
      </c>
      <c r="C420" t="s">
        <v>6456</v>
      </c>
      <c r="D420" t="s">
        <v>4224</v>
      </c>
      <c r="E420" t="s">
        <v>4225</v>
      </c>
      <c r="F420" s="1">
        <v>45779</v>
      </c>
      <c r="G420" t="s">
        <v>51</v>
      </c>
      <c r="H420" s="24">
        <v>0</v>
      </c>
      <c r="I420" t="str">
        <f>IF(H420&lt;=0,"",LOOKUP(H420,'Regras e Parâmetros'!$B$4:$B$7,'Regras e Parâmetros'!$A$4:$A$7))</f>
        <v/>
      </c>
      <c r="J420" t="s">
        <v>9790</v>
      </c>
      <c r="L420" t="s">
        <v>9886</v>
      </c>
    </row>
    <row r="421" spans="1:12" x14ac:dyDescent="0.3">
      <c r="A421" t="s">
        <v>664</v>
      </c>
      <c r="B421" s="5" t="s">
        <v>6813</v>
      </c>
      <c r="C421" t="s">
        <v>6456</v>
      </c>
      <c r="D421" t="s">
        <v>665</v>
      </c>
      <c r="E421" t="s">
        <v>666</v>
      </c>
      <c r="F421" s="1">
        <v>44577</v>
      </c>
      <c r="G421" t="s">
        <v>110</v>
      </c>
      <c r="H421" s="24">
        <v>9082</v>
      </c>
      <c r="I421" t="str">
        <f>IF(H421&lt;=0,"",LOOKUP(H421,'Regras e Parâmetros'!$B$4:$B$7,'Regras e Parâmetros'!$A$4:$A$7))</f>
        <v>Ouro</v>
      </c>
      <c r="J421" t="s">
        <v>9790</v>
      </c>
      <c r="K421" t="s">
        <v>44</v>
      </c>
    </row>
    <row r="422" spans="1:12" x14ac:dyDescent="0.3">
      <c r="A422" t="s">
        <v>664</v>
      </c>
      <c r="B422" s="5" t="s">
        <v>9640</v>
      </c>
      <c r="C422" t="s">
        <v>6456</v>
      </c>
      <c r="D422" t="s">
        <v>5978</v>
      </c>
      <c r="E422" t="s">
        <v>5693</v>
      </c>
      <c r="F422" s="1">
        <v>46217</v>
      </c>
      <c r="G422" t="s">
        <v>45</v>
      </c>
      <c r="H422" s="24">
        <v>0</v>
      </c>
      <c r="I422" t="str">
        <f>IF(H422&lt;=0,"",LOOKUP(H422,'Regras e Parâmetros'!$B$4:$B$7,'Regras e Parâmetros'!$A$4:$A$7))</f>
        <v/>
      </c>
      <c r="J422" t="s">
        <v>6456</v>
      </c>
      <c r="K422" t="s">
        <v>9934</v>
      </c>
      <c r="L422" t="s">
        <v>9883</v>
      </c>
    </row>
    <row r="423" spans="1:12" x14ac:dyDescent="0.3">
      <c r="A423" t="s">
        <v>8859</v>
      </c>
      <c r="B423" s="5" t="s">
        <v>4354</v>
      </c>
      <c r="C423" t="s">
        <v>6456</v>
      </c>
      <c r="D423" t="s">
        <v>4355</v>
      </c>
      <c r="E423" t="s">
        <v>4356</v>
      </c>
      <c r="F423" s="1">
        <v>45824</v>
      </c>
      <c r="G423" t="s">
        <v>22</v>
      </c>
      <c r="H423" s="24">
        <v>0</v>
      </c>
      <c r="I423" t="str">
        <f>IF(H423&lt;=0,"",LOOKUP(H423,'Regras e Parâmetros'!$B$4:$B$7,'Regras e Parâmetros'!$A$4:$A$7))</f>
        <v/>
      </c>
      <c r="J423" t="s">
        <v>9790</v>
      </c>
      <c r="L423" t="s">
        <v>9883</v>
      </c>
    </row>
    <row r="424" spans="1:12" x14ac:dyDescent="0.3">
      <c r="A424" t="s">
        <v>258</v>
      </c>
      <c r="B424" s="5" t="s">
        <v>6588</v>
      </c>
      <c r="C424" t="s">
        <v>6456</v>
      </c>
      <c r="D424" t="s">
        <v>259</v>
      </c>
      <c r="E424" t="s">
        <v>260</v>
      </c>
      <c r="F424" s="1">
        <v>44437</v>
      </c>
      <c r="G424" t="s">
        <v>22</v>
      </c>
      <c r="H424" s="24">
        <v>795</v>
      </c>
      <c r="I424" t="str">
        <f>IF(H424&lt;=0,"",LOOKUP(H424,'Regras e Parâmetros'!$B$4:$B$7,'Regras e Parâmetros'!$A$4:$A$7))</f>
        <v>Bronze</v>
      </c>
      <c r="J424" t="s">
        <v>9790</v>
      </c>
      <c r="L424" t="s">
        <v>9792</v>
      </c>
    </row>
    <row r="425" spans="1:12" x14ac:dyDescent="0.3">
      <c r="A425" t="s">
        <v>6566</v>
      </c>
      <c r="B425" s="5" t="s">
        <v>203</v>
      </c>
      <c r="C425" t="s">
        <v>6456</v>
      </c>
      <c r="D425" t="s">
        <v>204</v>
      </c>
      <c r="E425" t="s">
        <v>6567</v>
      </c>
      <c r="F425" s="1">
        <v>44417</v>
      </c>
      <c r="G425" t="s">
        <v>45</v>
      </c>
      <c r="H425" s="24">
        <v>15000</v>
      </c>
      <c r="I425" t="str">
        <f>IF(H425&lt;=0,"",LOOKUP(H425,'Regras e Parâmetros'!$B$4:$B$7,'Regras e Parâmetros'!$A$4:$A$7))</f>
        <v>Vip</v>
      </c>
      <c r="J425" t="s">
        <v>9790</v>
      </c>
    </row>
    <row r="426" spans="1:12" x14ac:dyDescent="0.3">
      <c r="A426" t="s">
        <v>1769</v>
      </c>
      <c r="B426" s="5" t="s">
        <v>1770</v>
      </c>
      <c r="C426" t="s">
        <v>6456</v>
      </c>
      <c r="D426" t="s">
        <v>1771</v>
      </c>
      <c r="E426" t="s">
        <v>7447</v>
      </c>
      <c r="F426" s="1">
        <v>44962</v>
      </c>
      <c r="G426" t="s">
        <v>51</v>
      </c>
      <c r="H426" s="24">
        <v>1388</v>
      </c>
      <c r="I426" t="str">
        <f>IF(H426&lt;=0,"",LOOKUP(H426,'Regras e Parâmetros'!$B$4:$B$7,'Regras e Parâmetros'!$A$4:$A$7))</f>
        <v>Bronze</v>
      </c>
      <c r="J426" t="s">
        <v>6456</v>
      </c>
    </row>
    <row r="427" spans="1:12" x14ac:dyDescent="0.3">
      <c r="A427" t="s">
        <v>5913</v>
      </c>
      <c r="B427" s="5" t="s">
        <v>5914</v>
      </c>
      <c r="C427" t="s">
        <v>6456</v>
      </c>
      <c r="D427" t="s">
        <v>5915</v>
      </c>
      <c r="E427" t="s">
        <v>5916</v>
      </c>
      <c r="F427" s="1">
        <v>46270</v>
      </c>
      <c r="G427" t="s">
        <v>18</v>
      </c>
      <c r="H427" s="24">
        <v>0</v>
      </c>
      <c r="I427" t="str">
        <f>IF(H427&lt;=0,"",LOOKUP(H427,'Regras e Parâmetros'!$B$4:$B$7,'Regras e Parâmetros'!$A$4:$A$7))</f>
        <v/>
      </c>
      <c r="J427" t="s">
        <v>6456</v>
      </c>
      <c r="L427" t="s">
        <v>9883</v>
      </c>
    </row>
    <row r="428" spans="1:12" x14ac:dyDescent="0.3">
      <c r="A428" t="s">
        <v>6688</v>
      </c>
      <c r="B428" s="5" t="s">
        <v>6689</v>
      </c>
      <c r="C428" t="s">
        <v>6456</v>
      </c>
      <c r="D428" t="s">
        <v>433</v>
      </c>
      <c r="E428" t="s">
        <v>434</v>
      </c>
      <c r="F428" s="1">
        <v>44498</v>
      </c>
      <c r="G428" t="s">
        <v>100</v>
      </c>
      <c r="H428" s="24">
        <v>2742</v>
      </c>
      <c r="I428" t="str">
        <f>IF(H428&lt;=0,"",LOOKUP(H428,'Regras e Parâmetros'!$B$4:$B$7,'Regras e Parâmetros'!$A$4:$A$7))</f>
        <v>Prata</v>
      </c>
      <c r="J428" t="s">
        <v>9790</v>
      </c>
    </row>
    <row r="429" spans="1:12" x14ac:dyDescent="0.3">
      <c r="A429" t="s">
        <v>4625</v>
      </c>
      <c r="B429" s="5" t="s">
        <v>6431</v>
      </c>
      <c r="C429" t="s">
        <v>6456</v>
      </c>
      <c r="D429" t="s">
        <v>4626</v>
      </c>
      <c r="E429" t="s">
        <v>4627</v>
      </c>
      <c r="F429" s="1">
        <v>45903</v>
      </c>
      <c r="G429" t="s">
        <v>45</v>
      </c>
      <c r="H429" s="24">
        <v>0</v>
      </c>
      <c r="I429" t="str">
        <f>IF(H429&lt;=0,"",LOOKUP(H429,'Regras e Parâmetros'!$B$4:$B$7,'Regras e Parâmetros'!$A$4:$A$7))</f>
        <v/>
      </c>
      <c r="J429" t="s">
        <v>9790</v>
      </c>
      <c r="L429" t="s">
        <v>9886</v>
      </c>
    </row>
    <row r="430" spans="1:12" x14ac:dyDescent="0.3">
      <c r="A430" t="s">
        <v>4533</v>
      </c>
      <c r="B430" s="5" t="s">
        <v>8966</v>
      </c>
      <c r="C430" t="s">
        <v>6456</v>
      </c>
      <c r="D430" t="s">
        <v>4534</v>
      </c>
      <c r="E430" t="s">
        <v>8967</v>
      </c>
      <c r="F430" s="1">
        <v>45878</v>
      </c>
      <c r="G430" t="s">
        <v>45</v>
      </c>
      <c r="H430" s="24">
        <v>0</v>
      </c>
      <c r="I430" t="str">
        <f>IF(H430&lt;=0,"",LOOKUP(H430,'Regras e Parâmetros'!$B$4:$B$7,'Regras e Parâmetros'!$A$4:$A$7))</f>
        <v/>
      </c>
      <c r="J430" t="s">
        <v>6747</v>
      </c>
      <c r="L430" t="s">
        <v>9883</v>
      </c>
    </row>
    <row r="431" spans="1:12" x14ac:dyDescent="0.3">
      <c r="A431" t="s">
        <v>579</v>
      </c>
      <c r="B431" s="5" t="s">
        <v>6741</v>
      </c>
      <c r="C431" t="s">
        <v>6456</v>
      </c>
      <c r="D431" t="s">
        <v>580</v>
      </c>
      <c r="E431" t="s">
        <v>10091</v>
      </c>
      <c r="F431" s="1">
        <v>44531</v>
      </c>
      <c r="G431" t="s">
        <v>110</v>
      </c>
      <c r="H431" s="24">
        <v>637</v>
      </c>
      <c r="I431" t="str">
        <f>IF(H431&lt;=0,"",LOOKUP(H431,'Regras e Parâmetros'!$B$4:$B$7,'Regras e Parâmetros'!$A$4:$A$7))</f>
        <v>Bronze</v>
      </c>
      <c r="J431" t="s">
        <v>6456</v>
      </c>
      <c r="L431" t="s">
        <v>10151</v>
      </c>
    </row>
    <row r="432" spans="1:12" x14ac:dyDescent="0.3">
      <c r="A432" t="s">
        <v>2084</v>
      </c>
      <c r="B432" s="5" t="s">
        <v>7616</v>
      </c>
      <c r="C432" t="s">
        <v>6456</v>
      </c>
      <c r="D432" t="s">
        <v>2085</v>
      </c>
      <c r="E432" t="s">
        <v>7617</v>
      </c>
      <c r="F432" s="1">
        <v>45073</v>
      </c>
      <c r="G432" t="s">
        <v>51</v>
      </c>
      <c r="H432" s="24">
        <v>5647</v>
      </c>
      <c r="I432" t="str">
        <f>IF(H432&lt;=0,"",LOOKUP(H432,'Regras e Parâmetros'!$B$4:$B$7,'Regras e Parâmetros'!$A$4:$A$7))</f>
        <v>Ouro</v>
      </c>
      <c r="J432" t="s">
        <v>6747</v>
      </c>
    </row>
    <row r="433" spans="1:12" x14ac:dyDescent="0.3">
      <c r="A433" t="s">
        <v>7427</v>
      </c>
      <c r="B433" s="5" t="s">
        <v>7428</v>
      </c>
      <c r="C433" t="s">
        <v>6456</v>
      </c>
      <c r="D433" t="s">
        <v>1740</v>
      </c>
      <c r="E433" t="s">
        <v>7429</v>
      </c>
      <c r="F433" s="1">
        <v>44951</v>
      </c>
      <c r="G433" t="s">
        <v>45</v>
      </c>
      <c r="H433" s="24">
        <v>5600</v>
      </c>
      <c r="I433" t="str">
        <f>IF(H433&lt;=0,"",LOOKUP(H433,'Regras e Parâmetros'!$B$4:$B$7,'Regras e Parâmetros'!$A$4:$A$7))</f>
        <v>Ouro</v>
      </c>
      <c r="J433" t="s">
        <v>6456</v>
      </c>
      <c r="L433" t="s">
        <v>9793</v>
      </c>
    </row>
    <row r="434" spans="1:12" x14ac:dyDescent="0.3">
      <c r="A434" t="s">
        <v>1308</v>
      </c>
      <c r="B434" s="5" t="s">
        <v>1309</v>
      </c>
      <c r="C434" t="s">
        <v>6456</v>
      </c>
      <c r="D434" t="s">
        <v>1310</v>
      </c>
      <c r="E434" t="s">
        <v>7171</v>
      </c>
      <c r="F434" s="1">
        <v>44830</v>
      </c>
      <c r="G434" t="s">
        <v>18</v>
      </c>
      <c r="H434" s="24">
        <v>0</v>
      </c>
      <c r="I434" t="str">
        <f>IF(H434&lt;=0,"",LOOKUP(H434,'Regras e Parâmetros'!$B$4:$B$7,'Regras e Parâmetros'!$A$4:$A$7))</f>
        <v/>
      </c>
      <c r="J434" t="s">
        <v>6456</v>
      </c>
    </row>
    <row r="435" spans="1:12" x14ac:dyDescent="0.3">
      <c r="A435" t="s">
        <v>4068</v>
      </c>
      <c r="B435" s="5" t="s">
        <v>4069</v>
      </c>
      <c r="C435" t="s">
        <v>6456</v>
      </c>
      <c r="D435" t="s">
        <v>4070</v>
      </c>
      <c r="E435" t="s">
        <v>8695</v>
      </c>
      <c r="F435" s="1">
        <v>45735</v>
      </c>
      <c r="G435" t="s">
        <v>22</v>
      </c>
      <c r="H435" s="24">
        <v>0</v>
      </c>
      <c r="I435" t="str">
        <f>IF(H435&lt;=0,"",LOOKUP(H435,'Regras e Parâmetros'!$B$4:$B$7,'Regras e Parâmetros'!$A$4:$A$7))</f>
        <v/>
      </c>
      <c r="J435" t="s">
        <v>9790</v>
      </c>
      <c r="L435" t="s">
        <v>9883</v>
      </c>
    </row>
    <row r="436" spans="1:12" x14ac:dyDescent="0.3">
      <c r="A436" t="s">
        <v>6289</v>
      </c>
      <c r="B436" s="5" t="s">
        <v>1980</v>
      </c>
      <c r="C436" t="s">
        <v>6456</v>
      </c>
      <c r="D436" t="s">
        <v>1981</v>
      </c>
      <c r="E436" t="s">
        <v>10092</v>
      </c>
      <c r="F436" s="1">
        <v>45035</v>
      </c>
      <c r="G436" t="s">
        <v>110</v>
      </c>
      <c r="H436" s="24">
        <v>0</v>
      </c>
      <c r="I436" t="str">
        <f>IF(H436&lt;=0,"",LOOKUP(H436,'Regras e Parâmetros'!$B$4:$B$7,'Regras e Parâmetros'!$A$4:$A$7))</f>
        <v/>
      </c>
      <c r="J436" t="s">
        <v>9790</v>
      </c>
    </row>
    <row r="437" spans="1:12" x14ac:dyDescent="0.3">
      <c r="A437" t="s">
        <v>15</v>
      </c>
      <c r="B437" s="5" t="s">
        <v>6469</v>
      </c>
      <c r="C437" t="s">
        <v>6456</v>
      </c>
      <c r="D437" t="s">
        <v>16</v>
      </c>
      <c r="E437" t="s">
        <v>6470</v>
      </c>
      <c r="F437" s="1">
        <v>44354</v>
      </c>
      <c r="G437" t="s">
        <v>45</v>
      </c>
      <c r="H437" s="24">
        <v>0</v>
      </c>
      <c r="I437" t="str">
        <f>IF(H437&lt;=0,"",LOOKUP(H437,'Regras e Parâmetros'!$B$4:$B$7,'Regras e Parâmetros'!$A$4:$A$7))</f>
        <v/>
      </c>
      <c r="J437" t="s">
        <v>9790</v>
      </c>
    </row>
    <row r="438" spans="1:12" x14ac:dyDescent="0.3">
      <c r="A438" t="s">
        <v>4599</v>
      </c>
      <c r="B438" s="5" t="s">
        <v>4600</v>
      </c>
      <c r="C438" t="s">
        <v>6456</v>
      </c>
      <c r="D438" t="s">
        <v>4601</v>
      </c>
      <c r="E438" t="s">
        <v>9009</v>
      </c>
      <c r="F438" s="1">
        <v>45894</v>
      </c>
      <c r="G438" t="s">
        <v>45</v>
      </c>
      <c r="H438" s="24">
        <v>0</v>
      </c>
      <c r="I438" t="str">
        <f>IF(H438&lt;=0,"",LOOKUP(H438,'Regras e Parâmetros'!$B$4:$B$7,'Regras e Parâmetros'!$A$4:$A$7))</f>
        <v/>
      </c>
      <c r="J438" t="s">
        <v>9790</v>
      </c>
      <c r="K438" t="s">
        <v>72</v>
      </c>
      <c r="L438" t="s">
        <v>9883</v>
      </c>
    </row>
    <row r="439" spans="1:12" x14ac:dyDescent="0.3">
      <c r="A439" t="s">
        <v>1332</v>
      </c>
      <c r="B439" s="5" t="s">
        <v>7185</v>
      </c>
      <c r="C439" t="s">
        <v>6456</v>
      </c>
      <c r="D439" t="s">
        <v>1333</v>
      </c>
      <c r="E439" t="s">
        <v>7186</v>
      </c>
      <c r="F439" s="1">
        <v>44839</v>
      </c>
      <c r="G439" t="s">
        <v>110</v>
      </c>
      <c r="H439" s="24">
        <v>0</v>
      </c>
      <c r="I439" t="str">
        <f>IF(H439&lt;=0,"",LOOKUP(H439,'Regras e Parâmetros'!$B$4:$B$7,'Regras e Parâmetros'!$A$4:$A$7))</f>
        <v/>
      </c>
      <c r="J439" t="s">
        <v>6747</v>
      </c>
    </row>
    <row r="440" spans="1:12" x14ac:dyDescent="0.3">
      <c r="A440" t="s">
        <v>869</v>
      </c>
      <c r="B440" s="5" t="s">
        <v>6947</v>
      </c>
      <c r="C440" t="s">
        <v>6456</v>
      </c>
      <c r="D440" t="s">
        <v>871</v>
      </c>
      <c r="E440" t="s">
        <v>872</v>
      </c>
      <c r="F440" s="1">
        <v>44653</v>
      </c>
      <c r="G440" t="s">
        <v>18</v>
      </c>
      <c r="H440" s="24">
        <v>4996</v>
      </c>
      <c r="I440" t="str">
        <f>IF(H440&lt;=0,"",LOOKUP(H440,'Regras e Parâmetros'!$B$4:$B$7,'Regras e Parâmetros'!$A$4:$A$7))</f>
        <v>Prata</v>
      </c>
      <c r="J440" t="s">
        <v>9790</v>
      </c>
      <c r="K440" t="s">
        <v>177</v>
      </c>
    </row>
    <row r="441" spans="1:12" x14ac:dyDescent="0.3">
      <c r="A441" t="s">
        <v>9429</v>
      </c>
      <c r="B441" s="5" t="s">
        <v>5307</v>
      </c>
      <c r="C441" t="s">
        <v>6747</v>
      </c>
      <c r="D441" t="s">
        <v>5308</v>
      </c>
      <c r="E441" t="s">
        <v>5309</v>
      </c>
      <c r="F441" s="1">
        <v>46109</v>
      </c>
      <c r="G441" t="s">
        <v>45</v>
      </c>
      <c r="H441" s="24">
        <v>0</v>
      </c>
      <c r="I441" t="str">
        <f>IF(H441&lt;=0,"",LOOKUP(H441,'Regras e Parâmetros'!$B$4:$B$7,'Regras e Parâmetros'!$A$4:$A$7))</f>
        <v/>
      </c>
      <c r="J441" t="s">
        <v>9790</v>
      </c>
      <c r="L441" t="s">
        <v>10242</v>
      </c>
    </row>
    <row r="442" spans="1:12" x14ac:dyDescent="0.3">
      <c r="A442" t="s">
        <v>7808</v>
      </c>
      <c r="B442" s="5" t="s">
        <v>2414</v>
      </c>
      <c r="C442" t="s">
        <v>6456</v>
      </c>
      <c r="D442" t="s">
        <v>2415</v>
      </c>
      <c r="E442" t="s">
        <v>7809</v>
      </c>
      <c r="F442" s="1">
        <v>45166</v>
      </c>
      <c r="G442" t="s">
        <v>51</v>
      </c>
      <c r="H442" s="24">
        <v>0</v>
      </c>
      <c r="I442" t="str">
        <f>IF(H442&lt;=0,"",LOOKUP(H442,'Regras e Parâmetros'!$B$4:$B$7,'Regras e Parâmetros'!$A$4:$A$7))</f>
        <v/>
      </c>
      <c r="J442" t="s">
        <v>9790</v>
      </c>
    </row>
    <row r="443" spans="1:12" x14ac:dyDescent="0.3">
      <c r="A443" t="s">
        <v>7900</v>
      </c>
      <c r="B443" s="5" t="s">
        <v>2569</v>
      </c>
      <c r="C443" t="s">
        <v>6456</v>
      </c>
      <c r="D443" t="s">
        <v>2570</v>
      </c>
      <c r="E443" t="s">
        <v>2571</v>
      </c>
      <c r="F443" s="1">
        <v>45223</v>
      </c>
      <c r="G443" t="s">
        <v>45</v>
      </c>
      <c r="H443" s="24">
        <v>636</v>
      </c>
      <c r="I443" t="str">
        <f>IF(H443&lt;=0,"",LOOKUP(H443,'Regras e Parâmetros'!$B$4:$B$7,'Regras e Parâmetros'!$A$4:$A$7))</f>
        <v>Bronze</v>
      </c>
      <c r="J443" t="s">
        <v>9790</v>
      </c>
      <c r="L443" t="s">
        <v>9792</v>
      </c>
    </row>
    <row r="444" spans="1:12" x14ac:dyDescent="0.3">
      <c r="A444" t="s">
        <v>5740</v>
      </c>
      <c r="B444" s="5" t="s">
        <v>9665</v>
      </c>
      <c r="C444" t="s">
        <v>6456</v>
      </c>
      <c r="D444" t="s">
        <v>5741</v>
      </c>
      <c r="E444" t="s">
        <v>5742</v>
      </c>
      <c r="F444" s="1">
        <v>46229</v>
      </c>
      <c r="G444" t="s">
        <v>22</v>
      </c>
      <c r="H444" s="24">
        <v>0</v>
      </c>
      <c r="I444" t="str">
        <f>IF(H444&lt;=0,"",LOOKUP(H444,'Regras e Parâmetros'!$B$4:$B$7,'Regras e Parâmetros'!$A$4:$A$7))</f>
        <v/>
      </c>
      <c r="J444" t="s">
        <v>6456</v>
      </c>
      <c r="L444" t="s">
        <v>9883</v>
      </c>
    </row>
    <row r="445" spans="1:12" x14ac:dyDescent="0.3">
      <c r="A445" t="s">
        <v>4589</v>
      </c>
      <c r="B445" s="5" t="s">
        <v>4590</v>
      </c>
      <c r="C445" t="s">
        <v>6456</v>
      </c>
      <c r="D445" t="s">
        <v>4980</v>
      </c>
      <c r="E445" t="s">
        <v>4591</v>
      </c>
      <c r="F445" s="1">
        <v>45892</v>
      </c>
      <c r="G445" t="s">
        <v>110</v>
      </c>
      <c r="H445" s="24">
        <v>0</v>
      </c>
      <c r="I445" t="str">
        <f>IF(H445&lt;=0,"",LOOKUP(H445,'Regras e Parâmetros'!$B$4:$B$7,'Regras e Parâmetros'!$A$4:$A$7))</f>
        <v/>
      </c>
      <c r="J445" t="s">
        <v>6456</v>
      </c>
      <c r="K445" t="s">
        <v>9904</v>
      </c>
      <c r="L445" t="s">
        <v>9883</v>
      </c>
    </row>
    <row r="446" spans="1:12" x14ac:dyDescent="0.3">
      <c r="A446" t="s">
        <v>3151</v>
      </c>
      <c r="B446" s="5" t="s">
        <v>8185</v>
      </c>
      <c r="C446" t="s">
        <v>6456</v>
      </c>
      <c r="D446" t="s">
        <v>3152</v>
      </c>
      <c r="E446" t="s">
        <v>8186</v>
      </c>
      <c r="F446" s="1">
        <v>45449</v>
      </c>
      <c r="G446" t="s">
        <v>110</v>
      </c>
      <c r="H446" s="24">
        <v>324</v>
      </c>
      <c r="I446" t="str">
        <f>IF(H446&lt;=0,"",LOOKUP(H446,'Regras e Parâmetros'!$B$4:$B$7,'Regras e Parâmetros'!$A$4:$A$7))</f>
        <v>Bronze</v>
      </c>
      <c r="J446" t="s">
        <v>9790</v>
      </c>
      <c r="K446" t="s">
        <v>44</v>
      </c>
    </row>
    <row r="447" spans="1:12" x14ac:dyDescent="0.3">
      <c r="A447" t="s">
        <v>5689</v>
      </c>
      <c r="B447" s="5" t="s">
        <v>5690</v>
      </c>
      <c r="C447" t="s">
        <v>6456</v>
      </c>
      <c r="D447" t="s">
        <v>5691</v>
      </c>
      <c r="E447" t="s">
        <v>9639</v>
      </c>
      <c r="F447" s="1">
        <v>46216</v>
      </c>
      <c r="G447" t="s">
        <v>100</v>
      </c>
      <c r="H447" s="24">
        <v>0</v>
      </c>
      <c r="I447" t="str">
        <f>IF(H447&lt;=0,"",LOOKUP(H447,'Regras e Parâmetros'!$B$4:$B$7,'Regras e Parâmetros'!$A$4:$A$7))</f>
        <v/>
      </c>
      <c r="J447" t="s">
        <v>6456</v>
      </c>
      <c r="K447" t="s">
        <v>187</v>
      </c>
      <c r="L447" t="s">
        <v>9883</v>
      </c>
    </row>
    <row r="448" spans="1:12" x14ac:dyDescent="0.3">
      <c r="A448" t="s">
        <v>7764</v>
      </c>
      <c r="B448" s="5" t="s">
        <v>6135</v>
      </c>
      <c r="C448" t="s">
        <v>6456</v>
      </c>
      <c r="D448" t="s">
        <v>2315</v>
      </c>
      <c r="E448" t="s">
        <v>7765</v>
      </c>
      <c r="F448" s="1">
        <v>45140</v>
      </c>
      <c r="G448" t="s">
        <v>18</v>
      </c>
      <c r="H448" s="24">
        <v>15000</v>
      </c>
      <c r="I448" t="str">
        <f>IF(H448&lt;=0,"",LOOKUP(H448,'Regras e Parâmetros'!$B$4:$B$7,'Regras e Parâmetros'!$A$4:$A$7))</f>
        <v>Vip</v>
      </c>
      <c r="J448" t="s">
        <v>6747</v>
      </c>
    </row>
    <row r="449" spans="1:12" x14ac:dyDescent="0.3">
      <c r="A449" t="s">
        <v>7001</v>
      </c>
      <c r="B449" s="5" t="s">
        <v>967</v>
      </c>
      <c r="C449" t="s">
        <v>6456</v>
      </c>
      <c r="D449" t="s">
        <v>968</v>
      </c>
      <c r="E449" t="s">
        <v>7002</v>
      </c>
      <c r="F449" s="1">
        <v>44698</v>
      </c>
      <c r="G449" t="s">
        <v>18</v>
      </c>
      <c r="H449" s="24">
        <v>1130</v>
      </c>
      <c r="I449" t="str">
        <f>IF(H449&lt;=0,"",LOOKUP(H449,'Regras e Parâmetros'!$B$4:$B$7,'Regras e Parâmetros'!$A$4:$A$7))</f>
        <v>Bronze</v>
      </c>
      <c r="J449" t="s">
        <v>6456</v>
      </c>
    </row>
    <row r="450" spans="1:12" x14ac:dyDescent="0.3">
      <c r="A450" t="s">
        <v>7001</v>
      </c>
      <c r="B450" s="5" t="s">
        <v>8181</v>
      </c>
      <c r="C450" t="s">
        <v>6456</v>
      </c>
      <c r="D450" t="s">
        <v>3144</v>
      </c>
      <c r="E450" t="s">
        <v>8182</v>
      </c>
      <c r="F450" s="1">
        <v>45447</v>
      </c>
      <c r="G450" t="s">
        <v>110</v>
      </c>
      <c r="H450" s="24">
        <v>1200</v>
      </c>
      <c r="I450" t="str">
        <f>IF(H450&lt;=0,"",LOOKUP(H450,'Regras e Parâmetros'!$B$4:$B$7,'Regras e Parâmetros'!$A$4:$A$7))</f>
        <v>Bronze</v>
      </c>
      <c r="J450" t="s">
        <v>6747</v>
      </c>
      <c r="K450" t="s">
        <v>72</v>
      </c>
      <c r="L450" t="s">
        <v>9793</v>
      </c>
    </row>
    <row r="451" spans="1:12" x14ac:dyDescent="0.3">
      <c r="A451" t="s">
        <v>4965</v>
      </c>
      <c r="B451" s="5" t="s">
        <v>4966</v>
      </c>
      <c r="C451" t="s">
        <v>6456</v>
      </c>
      <c r="D451" t="s">
        <v>4967</v>
      </c>
      <c r="E451" t="s">
        <v>9208</v>
      </c>
      <c r="F451" s="1">
        <v>45992</v>
      </c>
      <c r="G451" t="s">
        <v>51</v>
      </c>
      <c r="H451" s="24">
        <v>0</v>
      </c>
      <c r="I451" t="str">
        <f>IF(H451&lt;=0,"",LOOKUP(H451,'Regras e Parâmetros'!$B$4:$B$7,'Regras e Parâmetros'!$A$4:$A$7))</f>
        <v/>
      </c>
      <c r="J451" t="s">
        <v>9790</v>
      </c>
      <c r="L451" t="s">
        <v>9884</v>
      </c>
    </row>
    <row r="452" spans="1:12" x14ac:dyDescent="0.3">
      <c r="A452" t="s">
        <v>5833</v>
      </c>
      <c r="B452" s="5" t="s">
        <v>9723</v>
      </c>
      <c r="C452" t="s">
        <v>6456</v>
      </c>
      <c r="D452" t="s">
        <v>5834</v>
      </c>
      <c r="E452" t="s">
        <v>5835</v>
      </c>
      <c r="F452" s="1">
        <v>46249</v>
      </c>
      <c r="G452" t="s">
        <v>51</v>
      </c>
      <c r="H452" s="24">
        <v>0</v>
      </c>
      <c r="I452" t="str">
        <f>IF(H452&lt;=0,"",LOOKUP(H452,'Regras e Parâmetros'!$B$4:$B$7,'Regras e Parâmetros'!$A$4:$A$7))</f>
        <v/>
      </c>
      <c r="J452" t="s">
        <v>9790</v>
      </c>
      <c r="L452" t="s">
        <v>9886</v>
      </c>
    </row>
    <row r="453" spans="1:12" x14ac:dyDescent="0.3">
      <c r="A453" t="s">
        <v>3285</v>
      </c>
      <c r="B453" s="5" t="s">
        <v>8256</v>
      </c>
      <c r="C453" t="s">
        <v>6456</v>
      </c>
      <c r="D453" t="s">
        <v>3286</v>
      </c>
      <c r="E453" t="s">
        <v>8257</v>
      </c>
      <c r="F453" s="1">
        <v>45493</v>
      </c>
      <c r="G453" t="s">
        <v>100</v>
      </c>
      <c r="H453" s="24">
        <v>360</v>
      </c>
      <c r="I453" t="str">
        <f>IF(H453&lt;=0,"",LOOKUP(H453,'Regras e Parâmetros'!$B$4:$B$7,'Regras e Parâmetros'!$A$4:$A$7))</f>
        <v>Bronze</v>
      </c>
      <c r="J453" t="s">
        <v>6456</v>
      </c>
      <c r="K453" t="s">
        <v>187</v>
      </c>
    </row>
    <row r="454" spans="1:12" x14ac:dyDescent="0.3">
      <c r="A454" t="s">
        <v>5204</v>
      </c>
      <c r="B454" s="5" t="s">
        <v>9362</v>
      </c>
      <c r="C454" t="s">
        <v>6456</v>
      </c>
      <c r="D454" t="s">
        <v>6020</v>
      </c>
      <c r="E454" t="s">
        <v>5205</v>
      </c>
      <c r="F454" s="1">
        <v>46073</v>
      </c>
      <c r="G454" t="s">
        <v>100</v>
      </c>
      <c r="H454" s="24">
        <v>0</v>
      </c>
      <c r="I454" t="str">
        <f>IF(H454&lt;=0,"",LOOKUP(H454,'Regras e Parâmetros'!$B$4:$B$7,'Regras e Parâmetros'!$A$4:$A$7))</f>
        <v/>
      </c>
      <c r="J454" t="s">
        <v>6456</v>
      </c>
      <c r="K454" t="s">
        <v>9920</v>
      </c>
      <c r="L454" t="s">
        <v>9883</v>
      </c>
    </row>
    <row r="455" spans="1:12" x14ac:dyDescent="0.3">
      <c r="A455" t="s">
        <v>3526</v>
      </c>
      <c r="B455" s="5" t="s">
        <v>3527</v>
      </c>
      <c r="C455" t="s">
        <v>6456</v>
      </c>
      <c r="D455" t="s">
        <v>3528</v>
      </c>
      <c r="E455" t="s">
        <v>8373</v>
      </c>
      <c r="F455" s="1">
        <v>45577</v>
      </c>
      <c r="G455" t="s">
        <v>100</v>
      </c>
      <c r="H455" s="24">
        <v>248</v>
      </c>
      <c r="I455" t="str">
        <f>IF(H455&lt;=0,"",LOOKUP(H455,'Regras e Parâmetros'!$B$4:$B$7,'Regras e Parâmetros'!$A$4:$A$7))</f>
        <v>Bronze</v>
      </c>
      <c r="J455" t="s">
        <v>6747</v>
      </c>
    </row>
    <row r="456" spans="1:12" x14ac:dyDescent="0.3">
      <c r="A456" t="s">
        <v>8765</v>
      </c>
      <c r="B456" s="5" t="s">
        <v>8766</v>
      </c>
      <c r="C456" t="s">
        <v>6456</v>
      </c>
      <c r="D456" t="s">
        <v>4179</v>
      </c>
      <c r="E456" t="s">
        <v>8767</v>
      </c>
      <c r="F456" s="1">
        <v>45770</v>
      </c>
      <c r="G456" t="s">
        <v>51</v>
      </c>
      <c r="H456" s="24">
        <v>0</v>
      </c>
      <c r="I456" t="str">
        <f>IF(H456&lt;=0,"",LOOKUP(H456,'Regras e Parâmetros'!$B$4:$B$7,'Regras e Parâmetros'!$A$4:$A$7))</f>
        <v/>
      </c>
      <c r="J456" t="s">
        <v>6456</v>
      </c>
      <c r="K456" t="s">
        <v>8</v>
      </c>
      <c r="L456" t="s">
        <v>9883</v>
      </c>
    </row>
    <row r="457" spans="1:12" x14ac:dyDescent="0.3">
      <c r="A457" t="s">
        <v>5278</v>
      </c>
      <c r="B457" s="5" t="s">
        <v>9378</v>
      </c>
      <c r="C457" t="s">
        <v>6456</v>
      </c>
      <c r="D457" t="s">
        <v>5279</v>
      </c>
      <c r="E457" t="s">
        <v>9379</v>
      </c>
      <c r="F457" s="1">
        <v>46082</v>
      </c>
      <c r="G457" t="s">
        <v>18</v>
      </c>
      <c r="H457" s="24">
        <v>0</v>
      </c>
      <c r="I457" t="str">
        <f>IF(H457&lt;=0,"",LOOKUP(H457,'Regras e Parâmetros'!$B$4:$B$7,'Regras e Parâmetros'!$A$4:$A$7))</f>
        <v/>
      </c>
      <c r="J457" t="s">
        <v>6747</v>
      </c>
      <c r="L457" t="s">
        <v>9884</v>
      </c>
    </row>
    <row r="458" spans="1:12" x14ac:dyDescent="0.3">
      <c r="A458" t="s">
        <v>4686</v>
      </c>
      <c r="B458" s="5" t="s">
        <v>9060</v>
      </c>
      <c r="C458" t="s">
        <v>6456</v>
      </c>
      <c r="D458" t="s">
        <v>4687</v>
      </c>
      <c r="E458" t="s">
        <v>4688</v>
      </c>
      <c r="F458" s="1">
        <v>45926</v>
      </c>
      <c r="G458" t="s">
        <v>110</v>
      </c>
      <c r="H458" s="24">
        <v>0</v>
      </c>
      <c r="I458" t="str">
        <f>IF(H458&lt;=0,"",LOOKUP(H458,'Regras e Parâmetros'!$B$4:$B$7,'Regras e Parâmetros'!$A$4:$A$7))</f>
        <v/>
      </c>
      <c r="J458" t="s">
        <v>6456</v>
      </c>
      <c r="K458" t="s">
        <v>44</v>
      </c>
      <c r="L458" t="s">
        <v>9883</v>
      </c>
    </row>
    <row r="459" spans="1:12" x14ac:dyDescent="0.3">
      <c r="A459" t="s">
        <v>3232</v>
      </c>
      <c r="B459" s="5" t="s">
        <v>4213</v>
      </c>
      <c r="C459" t="s">
        <v>6456</v>
      </c>
      <c r="D459" t="s">
        <v>4214</v>
      </c>
      <c r="E459" t="s">
        <v>8223</v>
      </c>
      <c r="F459" s="1">
        <v>45475</v>
      </c>
      <c r="G459" t="s">
        <v>110</v>
      </c>
      <c r="H459" s="24">
        <v>406</v>
      </c>
      <c r="I459" t="str">
        <f>IF(H459&lt;=0,"",LOOKUP(H459,'Regras e Parâmetros'!$B$4:$B$7,'Regras e Parâmetros'!$A$4:$A$7))</f>
        <v>Bronze</v>
      </c>
      <c r="J459" t="s">
        <v>6456</v>
      </c>
      <c r="K459" t="s">
        <v>9865</v>
      </c>
      <c r="L459" t="s">
        <v>9839</v>
      </c>
    </row>
    <row r="460" spans="1:12" x14ac:dyDescent="0.3">
      <c r="A460" t="s">
        <v>9588</v>
      </c>
      <c r="B460" s="5" t="s">
        <v>9589</v>
      </c>
      <c r="C460" t="s">
        <v>6456</v>
      </c>
      <c r="D460" t="s">
        <v>5989</v>
      </c>
      <c r="E460" t="s">
        <v>5610</v>
      </c>
      <c r="F460" s="1">
        <v>46189</v>
      </c>
      <c r="G460" t="s">
        <v>22</v>
      </c>
      <c r="H460" s="24">
        <v>0</v>
      </c>
      <c r="I460" t="str">
        <f>IF(H460&lt;=0,"",LOOKUP(H460,'Regras e Parâmetros'!$B$4:$B$7,'Regras e Parâmetros'!$A$4:$A$7))</f>
        <v/>
      </c>
      <c r="J460" t="s">
        <v>6747</v>
      </c>
      <c r="K460" t="s">
        <v>9932</v>
      </c>
      <c r="L460" t="s">
        <v>9883</v>
      </c>
    </row>
    <row r="461" spans="1:12" x14ac:dyDescent="0.3">
      <c r="A461" t="s">
        <v>3058</v>
      </c>
      <c r="B461" s="5" t="s">
        <v>8138</v>
      </c>
      <c r="C461" t="s">
        <v>6456</v>
      </c>
      <c r="D461" t="s">
        <v>3059</v>
      </c>
      <c r="E461" t="s">
        <v>8139</v>
      </c>
      <c r="F461" s="1">
        <v>45413</v>
      </c>
      <c r="G461" t="s">
        <v>100</v>
      </c>
      <c r="H461" s="24">
        <v>213</v>
      </c>
      <c r="I461" t="str">
        <f>IF(H461&lt;=0,"",LOOKUP(H461,'Regras e Parâmetros'!$B$4:$B$7,'Regras e Parâmetros'!$A$4:$A$7))</f>
        <v>Bronze</v>
      </c>
      <c r="J461" t="s">
        <v>9790</v>
      </c>
    </row>
    <row r="462" spans="1:12" x14ac:dyDescent="0.3">
      <c r="A462" t="s">
        <v>4342</v>
      </c>
      <c r="B462" s="5" t="s">
        <v>8852</v>
      </c>
      <c r="C462" t="s">
        <v>6456</v>
      </c>
      <c r="D462" t="s">
        <v>4343</v>
      </c>
      <c r="E462" t="s">
        <v>8853</v>
      </c>
      <c r="F462" s="1">
        <v>45820</v>
      </c>
      <c r="G462" t="s">
        <v>51</v>
      </c>
      <c r="H462" s="24">
        <v>0</v>
      </c>
      <c r="I462" t="str">
        <f>IF(H462&lt;=0,"",LOOKUP(H462,'Regras e Parâmetros'!$B$4:$B$7,'Regras e Parâmetros'!$A$4:$A$7))</f>
        <v/>
      </c>
      <c r="J462" t="s">
        <v>6456</v>
      </c>
      <c r="K462" t="s">
        <v>44</v>
      </c>
      <c r="L462" t="s">
        <v>9883</v>
      </c>
    </row>
    <row r="463" spans="1:12" x14ac:dyDescent="0.3">
      <c r="A463" t="s">
        <v>3546</v>
      </c>
      <c r="B463" s="5" t="s">
        <v>8377</v>
      </c>
      <c r="C463" t="s">
        <v>6456</v>
      </c>
      <c r="D463" t="s">
        <v>3547</v>
      </c>
      <c r="E463" t="s">
        <v>8378</v>
      </c>
      <c r="F463" s="1">
        <v>45582</v>
      </c>
      <c r="G463" t="s">
        <v>100</v>
      </c>
      <c r="H463" s="24">
        <v>225</v>
      </c>
      <c r="I463" t="str">
        <f>IF(H463&lt;=0,"",LOOKUP(H463,'Regras e Parâmetros'!$B$4:$B$7,'Regras e Parâmetros'!$A$4:$A$7))</f>
        <v>Bronze</v>
      </c>
      <c r="J463" t="s">
        <v>9790</v>
      </c>
      <c r="K463" t="s">
        <v>177</v>
      </c>
    </row>
    <row r="464" spans="1:12" x14ac:dyDescent="0.3">
      <c r="A464" t="s">
        <v>394</v>
      </c>
      <c r="B464" s="5" t="s">
        <v>1052</v>
      </c>
      <c r="C464" t="s">
        <v>6456</v>
      </c>
      <c r="D464" t="s">
        <v>1053</v>
      </c>
      <c r="E464" t="s">
        <v>6665</v>
      </c>
      <c r="F464" s="1">
        <v>44483</v>
      </c>
      <c r="G464" t="s">
        <v>110</v>
      </c>
      <c r="H464" s="24">
        <v>801</v>
      </c>
      <c r="I464" t="str">
        <f>IF(H464&lt;=0,"",LOOKUP(H464,'Regras e Parâmetros'!$B$4:$B$7,'Regras e Parâmetros'!$A$4:$A$7))</f>
        <v>Bronze</v>
      </c>
      <c r="J464" t="s">
        <v>6456</v>
      </c>
      <c r="K464" t="s">
        <v>9798</v>
      </c>
    </row>
    <row r="465" spans="1:12" x14ac:dyDescent="0.3">
      <c r="A465" t="s">
        <v>394</v>
      </c>
      <c r="B465" s="5" t="s">
        <v>9652</v>
      </c>
      <c r="C465" t="s">
        <v>6456</v>
      </c>
      <c r="D465" t="s">
        <v>5719</v>
      </c>
      <c r="E465" t="s">
        <v>5720</v>
      </c>
      <c r="F465" s="1">
        <v>46225</v>
      </c>
      <c r="G465" t="s">
        <v>51</v>
      </c>
      <c r="H465" s="24">
        <v>0</v>
      </c>
      <c r="I465" t="str">
        <f>IF(H465&lt;=0,"",LOOKUP(H465,'Regras e Parâmetros'!$B$4:$B$7,'Regras e Parâmetros'!$A$4:$A$7))</f>
        <v/>
      </c>
      <c r="J465" t="s">
        <v>9790</v>
      </c>
      <c r="L465" t="s">
        <v>9883</v>
      </c>
    </row>
    <row r="466" spans="1:12" x14ac:dyDescent="0.3">
      <c r="A466" t="s">
        <v>9708</v>
      </c>
      <c r="B466" s="5" t="s">
        <v>9709</v>
      </c>
      <c r="C466" t="s">
        <v>6456</v>
      </c>
      <c r="D466" t="s">
        <v>5804</v>
      </c>
      <c r="E466" t="s">
        <v>5805</v>
      </c>
      <c r="F466" s="1">
        <v>46243</v>
      </c>
      <c r="G466" t="s">
        <v>100</v>
      </c>
      <c r="H466" s="24">
        <v>0</v>
      </c>
      <c r="I466" t="str">
        <f>IF(H466&lt;=0,"",LOOKUP(H466,'Regras e Parâmetros'!$B$4:$B$7,'Regras e Parâmetros'!$A$4:$A$7))</f>
        <v/>
      </c>
      <c r="J466" t="s">
        <v>6747</v>
      </c>
      <c r="L466" t="s">
        <v>9886</v>
      </c>
    </row>
    <row r="467" spans="1:12" x14ac:dyDescent="0.3">
      <c r="A467" t="s">
        <v>5862</v>
      </c>
      <c r="B467" s="5" t="s">
        <v>5863</v>
      </c>
      <c r="C467" t="s">
        <v>6456</v>
      </c>
      <c r="D467" t="s">
        <v>5864</v>
      </c>
      <c r="E467" t="s">
        <v>5865</v>
      </c>
      <c r="F467" s="1">
        <v>46260</v>
      </c>
      <c r="G467" t="s">
        <v>18</v>
      </c>
      <c r="H467" s="24">
        <v>0</v>
      </c>
      <c r="I467" t="str">
        <f>IF(H467&lt;=0,"",LOOKUP(H467,'Regras e Parâmetros'!$B$4:$B$7,'Regras e Parâmetros'!$A$4:$A$7))</f>
        <v/>
      </c>
      <c r="J467" t="s">
        <v>9790</v>
      </c>
      <c r="L467" t="s">
        <v>9886</v>
      </c>
    </row>
    <row r="468" spans="1:12" x14ac:dyDescent="0.3">
      <c r="A468" t="s">
        <v>9446</v>
      </c>
      <c r="B468" s="5" t="s">
        <v>9447</v>
      </c>
      <c r="C468" t="s">
        <v>6456</v>
      </c>
      <c r="D468" t="s">
        <v>5364</v>
      </c>
      <c r="E468" t="s">
        <v>10093</v>
      </c>
      <c r="F468" s="1">
        <v>46113</v>
      </c>
      <c r="G468" t="s">
        <v>45</v>
      </c>
      <c r="H468" s="24">
        <v>0</v>
      </c>
      <c r="I468" t="str">
        <f>IF(H468&lt;=0,"",LOOKUP(H468,'Regras e Parâmetros'!$B$4:$B$7,'Regras e Parâmetros'!$A$4:$A$7))</f>
        <v/>
      </c>
      <c r="J468" t="s">
        <v>6456</v>
      </c>
      <c r="L468" t="s">
        <v>9884</v>
      </c>
    </row>
    <row r="469" spans="1:12" x14ac:dyDescent="0.3">
      <c r="A469" t="s">
        <v>591</v>
      </c>
      <c r="B469" s="5" t="s">
        <v>6771</v>
      </c>
      <c r="C469" t="s">
        <v>6456</v>
      </c>
      <c r="D469" t="s">
        <v>592</v>
      </c>
      <c r="E469" t="s">
        <v>6772</v>
      </c>
      <c r="F469" s="1">
        <v>44553</v>
      </c>
      <c r="G469" t="s">
        <v>51</v>
      </c>
      <c r="H469" s="24">
        <v>3816</v>
      </c>
      <c r="I469" t="str">
        <f>IF(H469&lt;=0,"",LOOKUP(H469,'Regras e Parâmetros'!$B$4:$B$7,'Regras e Parâmetros'!$A$4:$A$7))</f>
        <v>Prata</v>
      </c>
      <c r="J469" t="s">
        <v>6747</v>
      </c>
      <c r="K469" t="s">
        <v>72</v>
      </c>
    </row>
    <row r="470" spans="1:12" x14ac:dyDescent="0.3">
      <c r="A470" t="s">
        <v>3337</v>
      </c>
      <c r="B470" s="5" t="s">
        <v>8279</v>
      </c>
      <c r="C470" t="s">
        <v>6456</v>
      </c>
      <c r="D470" t="s">
        <v>3338</v>
      </c>
      <c r="E470" t="s">
        <v>8280</v>
      </c>
      <c r="F470" s="1">
        <v>45509</v>
      </c>
      <c r="G470" t="s">
        <v>100</v>
      </c>
      <c r="H470" s="24">
        <v>1142</v>
      </c>
      <c r="I470" t="str">
        <f>IF(H470&lt;=0,"",LOOKUP(H470,'Regras e Parâmetros'!$B$4:$B$7,'Regras e Parâmetros'!$A$4:$A$7))</f>
        <v>Bronze</v>
      </c>
      <c r="J470" t="s">
        <v>6456</v>
      </c>
    </row>
    <row r="471" spans="1:12" x14ac:dyDescent="0.3">
      <c r="A471" t="s">
        <v>4433</v>
      </c>
      <c r="B471" s="5" t="s">
        <v>8903</v>
      </c>
      <c r="C471" t="s">
        <v>6456</v>
      </c>
      <c r="D471" t="s">
        <v>4434</v>
      </c>
      <c r="E471" t="s">
        <v>4435</v>
      </c>
      <c r="F471" s="1">
        <v>45850</v>
      </c>
      <c r="G471" t="s">
        <v>22</v>
      </c>
      <c r="H471" s="24">
        <v>0</v>
      </c>
      <c r="I471" t="str">
        <f>IF(H471&lt;=0,"",LOOKUP(H471,'Regras e Parâmetros'!$B$4:$B$7,'Regras e Parâmetros'!$A$4:$A$7))</f>
        <v/>
      </c>
      <c r="J471" t="s">
        <v>6456</v>
      </c>
      <c r="L471" t="s">
        <v>9883</v>
      </c>
    </row>
    <row r="472" spans="1:12" x14ac:dyDescent="0.3">
      <c r="A472" t="s">
        <v>4294</v>
      </c>
      <c r="B472" s="5" t="s">
        <v>8785</v>
      </c>
      <c r="C472" t="s">
        <v>6456</v>
      </c>
      <c r="D472" t="s">
        <v>4295</v>
      </c>
      <c r="E472" t="s">
        <v>4296</v>
      </c>
      <c r="F472" s="1">
        <v>45778</v>
      </c>
      <c r="G472" t="s">
        <v>110</v>
      </c>
      <c r="H472" s="24">
        <v>0</v>
      </c>
      <c r="I472" t="str">
        <f>IF(H472&lt;=0,"",LOOKUP(H472,'Regras e Parâmetros'!$B$4:$B$7,'Regras e Parâmetros'!$A$4:$A$7))</f>
        <v/>
      </c>
      <c r="J472" t="s">
        <v>9790</v>
      </c>
      <c r="K472" t="s">
        <v>44</v>
      </c>
      <c r="L472" t="s">
        <v>9891</v>
      </c>
    </row>
    <row r="473" spans="1:12" x14ac:dyDescent="0.3">
      <c r="A473" t="s">
        <v>8231</v>
      </c>
      <c r="B473" s="5" t="s">
        <v>8232</v>
      </c>
      <c r="C473" t="s">
        <v>6456</v>
      </c>
      <c r="D473" t="s">
        <v>3242</v>
      </c>
      <c r="E473" t="s">
        <v>8233</v>
      </c>
      <c r="F473" s="1">
        <v>45478</v>
      </c>
      <c r="G473" t="s">
        <v>110</v>
      </c>
      <c r="H473" s="24">
        <v>325</v>
      </c>
      <c r="I473" t="str">
        <f>IF(H473&lt;=0,"",LOOKUP(H473,'Regras e Parâmetros'!$B$4:$B$7,'Regras e Parâmetros'!$A$4:$A$7))</f>
        <v>Bronze</v>
      </c>
      <c r="J473" t="s">
        <v>6456</v>
      </c>
    </row>
    <row r="474" spans="1:12" x14ac:dyDescent="0.3">
      <c r="A474" t="s">
        <v>2840</v>
      </c>
      <c r="B474" s="5" t="s">
        <v>2841</v>
      </c>
      <c r="C474" t="s">
        <v>6456</v>
      </c>
      <c r="D474" t="s">
        <v>2842</v>
      </c>
      <c r="E474" t="s">
        <v>2843</v>
      </c>
      <c r="F474" s="1">
        <v>45331</v>
      </c>
      <c r="G474" t="s">
        <v>45</v>
      </c>
      <c r="H474" s="24">
        <v>335</v>
      </c>
      <c r="I474" t="str">
        <f>IF(H474&lt;=0,"",LOOKUP(H474,'Regras e Parâmetros'!$B$4:$B$7,'Regras e Parâmetros'!$A$4:$A$7))</f>
        <v>Bronze</v>
      </c>
      <c r="J474" t="s">
        <v>9790</v>
      </c>
      <c r="L474" t="s">
        <v>9792</v>
      </c>
    </row>
    <row r="475" spans="1:12" x14ac:dyDescent="0.3">
      <c r="A475" t="s">
        <v>3771</v>
      </c>
      <c r="B475" s="5" t="s">
        <v>8509</v>
      </c>
      <c r="C475" t="s">
        <v>6456</v>
      </c>
      <c r="D475" t="s">
        <v>3772</v>
      </c>
      <c r="E475" t="s">
        <v>8510</v>
      </c>
      <c r="F475" s="1">
        <v>45654</v>
      </c>
      <c r="G475" t="s">
        <v>45</v>
      </c>
      <c r="H475" s="24">
        <v>607</v>
      </c>
      <c r="I475" t="str">
        <f>IF(H475&lt;=0,"",LOOKUP(H475,'Regras e Parâmetros'!$B$4:$B$7,'Regras e Parâmetros'!$A$4:$A$7))</f>
        <v>Bronze</v>
      </c>
      <c r="J475" t="s">
        <v>6456</v>
      </c>
    </row>
    <row r="476" spans="1:12" x14ac:dyDescent="0.3">
      <c r="A476" t="s">
        <v>3385</v>
      </c>
      <c r="B476" s="5" t="s">
        <v>6412</v>
      </c>
      <c r="C476" t="s">
        <v>6456</v>
      </c>
      <c r="D476" t="s">
        <v>3386</v>
      </c>
      <c r="E476" t="s">
        <v>8310</v>
      </c>
      <c r="F476" s="1">
        <v>45521</v>
      </c>
      <c r="G476" t="s">
        <v>18</v>
      </c>
      <c r="H476" s="24">
        <v>0</v>
      </c>
      <c r="I476" t="str">
        <f>IF(H476&lt;=0,"",LOOKUP(H476,'Regras e Parâmetros'!$B$4:$B$7,'Regras e Parâmetros'!$A$4:$A$7))</f>
        <v/>
      </c>
      <c r="J476" t="s">
        <v>6747</v>
      </c>
    </row>
    <row r="477" spans="1:12" x14ac:dyDescent="0.3">
      <c r="A477" t="s">
        <v>2978</v>
      </c>
      <c r="B477" s="5" t="s">
        <v>8106</v>
      </c>
      <c r="C477" t="s">
        <v>6456</v>
      </c>
      <c r="D477" t="s">
        <v>2979</v>
      </c>
      <c r="E477" t="s">
        <v>2980</v>
      </c>
      <c r="F477" s="1">
        <v>45385</v>
      </c>
      <c r="G477" t="s">
        <v>45</v>
      </c>
      <c r="H477" s="24">
        <v>2585</v>
      </c>
      <c r="I477" t="str">
        <f>IF(H477&lt;=0,"",LOOKUP(H477,'Regras e Parâmetros'!$B$4:$B$7,'Regras e Parâmetros'!$A$4:$A$7))</f>
        <v>Prata</v>
      </c>
      <c r="J477" t="s">
        <v>6747</v>
      </c>
      <c r="L477" t="s">
        <v>9792</v>
      </c>
    </row>
    <row r="478" spans="1:12" x14ac:dyDescent="0.3">
      <c r="A478" t="s">
        <v>9597</v>
      </c>
      <c r="B478" s="5" t="s">
        <v>5628</v>
      </c>
      <c r="C478" t="s">
        <v>6456</v>
      </c>
      <c r="D478" t="s">
        <v>5629</v>
      </c>
      <c r="E478" t="s">
        <v>5630</v>
      </c>
      <c r="F478" s="1">
        <v>46200</v>
      </c>
      <c r="G478" t="s">
        <v>22</v>
      </c>
      <c r="H478" s="24">
        <v>0</v>
      </c>
      <c r="I478" t="str">
        <f>IF(H478&lt;=0,"",LOOKUP(H478,'Regras e Parâmetros'!$B$4:$B$7,'Regras e Parâmetros'!$A$4:$A$7))</f>
        <v/>
      </c>
      <c r="J478" t="s">
        <v>6456</v>
      </c>
      <c r="K478" t="s">
        <v>187</v>
      </c>
      <c r="L478" t="s">
        <v>9883</v>
      </c>
    </row>
    <row r="479" spans="1:12" x14ac:dyDescent="0.3">
      <c r="A479" t="s">
        <v>8318</v>
      </c>
      <c r="B479" s="5" t="s">
        <v>8319</v>
      </c>
      <c r="C479" t="s">
        <v>6456</v>
      </c>
      <c r="D479" t="s">
        <v>3405</v>
      </c>
      <c r="E479" t="s">
        <v>3406</v>
      </c>
      <c r="F479" s="1">
        <v>45533</v>
      </c>
      <c r="G479" t="s">
        <v>110</v>
      </c>
      <c r="H479" s="24">
        <v>942</v>
      </c>
      <c r="I479" t="str">
        <f>IF(H479&lt;=0,"",LOOKUP(H479,'Regras e Parâmetros'!$B$4:$B$7,'Regras e Parâmetros'!$A$4:$A$7))</f>
        <v>Bronze</v>
      </c>
      <c r="J479" t="s">
        <v>6747</v>
      </c>
    </row>
    <row r="480" spans="1:12" x14ac:dyDescent="0.3">
      <c r="A480" t="s">
        <v>4494</v>
      </c>
      <c r="B480" s="5" t="s">
        <v>8935</v>
      </c>
      <c r="C480" t="s">
        <v>6456</v>
      </c>
      <c r="D480" t="s">
        <v>4495</v>
      </c>
      <c r="E480" t="s">
        <v>8936</v>
      </c>
      <c r="F480" s="1">
        <v>45861</v>
      </c>
      <c r="G480" t="s">
        <v>51</v>
      </c>
      <c r="H480" s="24">
        <v>0</v>
      </c>
      <c r="I480" t="str">
        <f>IF(H480&lt;=0,"",LOOKUP(H480,'Regras e Parâmetros'!$B$4:$B$7,'Regras e Parâmetros'!$A$4:$A$7))</f>
        <v/>
      </c>
      <c r="J480" t="s">
        <v>9790</v>
      </c>
      <c r="K480" t="s">
        <v>708</v>
      </c>
      <c r="L480" t="s">
        <v>9883</v>
      </c>
    </row>
    <row r="481" spans="1:12" x14ac:dyDescent="0.3">
      <c r="A481" t="s">
        <v>7597</v>
      </c>
      <c r="B481" s="5" t="s">
        <v>2050</v>
      </c>
      <c r="C481" t="s">
        <v>6456</v>
      </c>
      <c r="D481" t="s">
        <v>2051</v>
      </c>
      <c r="E481" t="s">
        <v>7598</v>
      </c>
      <c r="F481" s="1">
        <v>45059</v>
      </c>
      <c r="G481" t="s">
        <v>100</v>
      </c>
      <c r="H481" s="24">
        <v>1743</v>
      </c>
      <c r="I481" t="str">
        <f>IF(H481&lt;=0,"",LOOKUP(H481,'Regras e Parâmetros'!$B$4:$B$7,'Regras e Parâmetros'!$A$4:$A$7))</f>
        <v>Prata</v>
      </c>
      <c r="J481" t="s">
        <v>6456</v>
      </c>
    </row>
    <row r="482" spans="1:12" x14ac:dyDescent="0.3">
      <c r="A482" t="s">
        <v>1054</v>
      </c>
      <c r="B482" s="5" t="s">
        <v>7029</v>
      </c>
      <c r="C482" t="s">
        <v>6456</v>
      </c>
      <c r="D482" t="s">
        <v>1055</v>
      </c>
      <c r="E482" t="s">
        <v>7030</v>
      </c>
      <c r="F482" s="1">
        <v>44722</v>
      </c>
      <c r="G482" t="s">
        <v>51</v>
      </c>
      <c r="H482" s="24">
        <v>1658</v>
      </c>
      <c r="I482" t="str">
        <f>IF(H482&lt;=0,"",LOOKUP(H482,'Regras e Parâmetros'!$B$4:$B$7,'Regras e Parâmetros'!$A$4:$A$7))</f>
        <v>Prata</v>
      </c>
      <c r="J482" t="s">
        <v>9790</v>
      </c>
    </row>
    <row r="483" spans="1:12" x14ac:dyDescent="0.3">
      <c r="A483" t="s">
        <v>4668</v>
      </c>
      <c r="B483" s="5" t="s">
        <v>9046</v>
      </c>
      <c r="C483" t="s">
        <v>6456</v>
      </c>
      <c r="D483" t="s">
        <v>4669</v>
      </c>
      <c r="E483" t="s">
        <v>4670</v>
      </c>
      <c r="F483" s="1">
        <v>45919</v>
      </c>
      <c r="G483" t="s">
        <v>100</v>
      </c>
      <c r="H483" s="24">
        <v>0</v>
      </c>
      <c r="I483" t="str">
        <f>IF(H483&lt;=0,"",LOOKUP(H483,'Regras e Parâmetros'!$B$4:$B$7,'Regras e Parâmetros'!$A$4:$A$7))</f>
        <v/>
      </c>
      <c r="J483" t="s">
        <v>9790</v>
      </c>
      <c r="L483" t="s">
        <v>9886</v>
      </c>
    </row>
    <row r="484" spans="1:12" x14ac:dyDescent="0.3">
      <c r="A484" t="s">
        <v>1056</v>
      </c>
      <c r="B484" s="5" t="s">
        <v>1685</v>
      </c>
      <c r="C484" t="s">
        <v>6456</v>
      </c>
      <c r="D484" t="s">
        <v>1686</v>
      </c>
      <c r="E484" t="s">
        <v>1057</v>
      </c>
      <c r="F484" s="1">
        <v>44724</v>
      </c>
      <c r="G484" t="s">
        <v>110</v>
      </c>
      <c r="H484" s="24">
        <v>10361</v>
      </c>
      <c r="I484" t="str">
        <f>IF(H484&lt;=0,"",LOOKUP(H484,'Regras e Parâmetros'!$B$4:$B$7,'Regras e Parâmetros'!$A$4:$A$7))</f>
        <v>Vip</v>
      </c>
      <c r="J484" t="s">
        <v>6456</v>
      </c>
      <c r="K484" t="s">
        <v>9817</v>
      </c>
    </row>
    <row r="485" spans="1:12" x14ac:dyDescent="0.3">
      <c r="A485" t="s">
        <v>3006</v>
      </c>
      <c r="B485" s="5" t="s">
        <v>3007</v>
      </c>
      <c r="C485" t="s">
        <v>6456</v>
      </c>
      <c r="D485" t="s">
        <v>3008</v>
      </c>
      <c r="E485" t="s">
        <v>8113</v>
      </c>
      <c r="F485" s="1">
        <v>45392</v>
      </c>
      <c r="G485" t="s">
        <v>51</v>
      </c>
      <c r="H485" s="24">
        <v>129</v>
      </c>
      <c r="I485" t="str">
        <f>IF(H485&lt;=0,"",LOOKUP(H485,'Regras e Parâmetros'!$B$4:$B$7,'Regras e Parâmetros'!$A$4:$A$7))</f>
        <v>Bronze</v>
      </c>
      <c r="J485" t="s">
        <v>9790</v>
      </c>
    </row>
    <row r="486" spans="1:12" x14ac:dyDescent="0.3">
      <c r="A486" t="s">
        <v>1490</v>
      </c>
      <c r="B486" s="5" t="s">
        <v>7287</v>
      </c>
      <c r="C486" t="s">
        <v>6456</v>
      </c>
      <c r="D486" t="s">
        <v>1491</v>
      </c>
      <c r="E486" t="s">
        <v>1492</v>
      </c>
      <c r="F486" s="1">
        <v>44880</v>
      </c>
      <c r="G486" t="s">
        <v>51</v>
      </c>
      <c r="H486" s="24">
        <v>1747</v>
      </c>
      <c r="I486" t="str">
        <f>IF(H486&lt;=0,"",LOOKUP(H486,'Regras e Parâmetros'!$B$4:$B$7,'Regras e Parâmetros'!$A$4:$A$7))</f>
        <v>Prata</v>
      </c>
      <c r="J486" t="s">
        <v>9790</v>
      </c>
    </row>
    <row r="487" spans="1:12" x14ac:dyDescent="0.3">
      <c r="A487" t="s">
        <v>7136</v>
      </c>
      <c r="B487" s="5" t="s">
        <v>1058</v>
      </c>
      <c r="C487" t="s">
        <v>6456</v>
      </c>
      <c r="D487" t="s">
        <v>1059</v>
      </c>
      <c r="E487" t="s">
        <v>1060</v>
      </c>
      <c r="F487" s="1">
        <v>44800</v>
      </c>
      <c r="G487" t="s">
        <v>45</v>
      </c>
      <c r="H487" s="24">
        <v>2800</v>
      </c>
      <c r="I487" t="str">
        <f>IF(H487&lt;=0,"",LOOKUP(H487,'Regras e Parâmetros'!$B$4:$B$7,'Regras e Parâmetros'!$A$4:$A$7))</f>
        <v>Prata</v>
      </c>
      <c r="J487" t="s">
        <v>9790</v>
      </c>
      <c r="K487" t="s">
        <v>177</v>
      </c>
      <c r="L487" t="s">
        <v>9795</v>
      </c>
    </row>
    <row r="488" spans="1:12" x14ac:dyDescent="0.3">
      <c r="A488" t="s">
        <v>4200</v>
      </c>
      <c r="B488" s="5" t="s">
        <v>8778</v>
      </c>
      <c r="C488" t="s">
        <v>6456</v>
      </c>
      <c r="D488" t="s">
        <v>4201</v>
      </c>
      <c r="E488" t="s">
        <v>4202</v>
      </c>
      <c r="F488" s="1">
        <v>45776</v>
      </c>
      <c r="G488" t="s">
        <v>100</v>
      </c>
      <c r="H488" s="24">
        <v>0</v>
      </c>
      <c r="I488" t="str">
        <f>IF(H488&lt;=0,"",LOOKUP(H488,'Regras e Parâmetros'!$B$4:$B$7,'Regras e Parâmetros'!$A$4:$A$7))</f>
        <v/>
      </c>
      <c r="J488" t="s">
        <v>6456</v>
      </c>
      <c r="L488" t="s">
        <v>9883</v>
      </c>
    </row>
    <row r="489" spans="1:12" x14ac:dyDescent="0.3">
      <c r="A489" t="s">
        <v>2799</v>
      </c>
      <c r="B489" s="5" t="s">
        <v>8017</v>
      </c>
      <c r="C489" t="s">
        <v>6456</v>
      </c>
      <c r="D489" t="s">
        <v>2800</v>
      </c>
      <c r="E489" t="s">
        <v>8018</v>
      </c>
      <c r="F489" s="1">
        <v>45309</v>
      </c>
      <c r="G489" t="s">
        <v>100</v>
      </c>
      <c r="H489" s="24">
        <v>2000</v>
      </c>
      <c r="I489" t="str">
        <f>IF(H489&lt;=0,"",LOOKUP(H489,'Regras e Parâmetros'!$B$4:$B$7,'Regras e Parâmetros'!$A$4:$A$7))</f>
        <v>Prata</v>
      </c>
      <c r="J489" t="s">
        <v>6456</v>
      </c>
      <c r="L489" t="s">
        <v>9793</v>
      </c>
    </row>
    <row r="490" spans="1:12" x14ac:dyDescent="0.3">
      <c r="A490" t="s">
        <v>232</v>
      </c>
      <c r="B490" s="5" t="s">
        <v>6040</v>
      </c>
      <c r="C490" t="s">
        <v>6456</v>
      </c>
      <c r="D490" t="s">
        <v>233</v>
      </c>
      <c r="E490" t="s">
        <v>234</v>
      </c>
      <c r="F490" s="1">
        <v>44428</v>
      </c>
      <c r="G490" t="s">
        <v>45</v>
      </c>
      <c r="H490" s="24">
        <v>1596</v>
      </c>
      <c r="I490" t="str">
        <f>IF(H490&lt;=0,"",LOOKUP(H490,'Regras e Parâmetros'!$B$4:$B$7,'Regras e Parâmetros'!$A$4:$A$7))</f>
        <v>Prata</v>
      </c>
      <c r="J490" t="s">
        <v>6456</v>
      </c>
      <c r="K490" t="s">
        <v>33</v>
      </c>
      <c r="L490" t="s">
        <v>9792</v>
      </c>
    </row>
    <row r="491" spans="1:12" x14ac:dyDescent="0.3">
      <c r="A491" t="s">
        <v>6653</v>
      </c>
      <c r="B491" s="5" t="s">
        <v>6654</v>
      </c>
      <c r="C491" t="s">
        <v>6456</v>
      </c>
      <c r="D491" t="s">
        <v>378</v>
      </c>
      <c r="E491" t="s">
        <v>379</v>
      </c>
      <c r="F491" s="1">
        <v>44476</v>
      </c>
      <c r="G491" t="s">
        <v>22</v>
      </c>
      <c r="H491" s="24">
        <v>12290</v>
      </c>
      <c r="I491" t="str">
        <f>IF(H491&lt;=0,"",LOOKUP(H491,'Regras e Parâmetros'!$B$4:$B$7,'Regras e Parâmetros'!$A$4:$A$7))</f>
        <v>Vip</v>
      </c>
      <c r="J491" t="s">
        <v>6747</v>
      </c>
    </row>
    <row r="492" spans="1:12" x14ac:dyDescent="0.3">
      <c r="A492" t="s">
        <v>553</v>
      </c>
      <c r="B492" s="5" t="s">
        <v>6750</v>
      </c>
      <c r="C492" t="s">
        <v>6456</v>
      </c>
      <c r="D492" t="s">
        <v>554</v>
      </c>
      <c r="E492" t="s">
        <v>555</v>
      </c>
      <c r="F492" s="1">
        <v>44535</v>
      </c>
      <c r="G492" t="s">
        <v>51</v>
      </c>
      <c r="H492" s="24">
        <v>931</v>
      </c>
      <c r="I492" t="str">
        <f>IF(H492&lt;=0,"",LOOKUP(H492,'Regras e Parâmetros'!$B$4:$B$7,'Regras e Parâmetros'!$A$4:$A$7))</f>
        <v>Bronze</v>
      </c>
      <c r="J492" t="s">
        <v>6456</v>
      </c>
    </row>
    <row r="493" spans="1:12" x14ac:dyDescent="0.3">
      <c r="A493" t="s">
        <v>2598</v>
      </c>
      <c r="B493" s="5" t="s">
        <v>2599</v>
      </c>
      <c r="C493" t="s">
        <v>6456</v>
      </c>
      <c r="D493" t="s">
        <v>2600</v>
      </c>
      <c r="E493" t="s">
        <v>10094</v>
      </c>
      <c r="F493" s="1">
        <v>45236</v>
      </c>
      <c r="G493" t="s">
        <v>18</v>
      </c>
      <c r="H493" s="24">
        <v>3000</v>
      </c>
      <c r="I493" t="str">
        <f>IF(H493&lt;=0,"",LOOKUP(H493,'Regras e Parâmetros'!$B$4:$B$7,'Regras e Parâmetros'!$A$4:$A$7))</f>
        <v>Prata</v>
      </c>
      <c r="J493" t="s">
        <v>9790</v>
      </c>
      <c r="L493" t="s">
        <v>9793</v>
      </c>
    </row>
    <row r="494" spans="1:12" x14ac:dyDescent="0.3">
      <c r="A494" t="s">
        <v>7389</v>
      </c>
      <c r="B494" s="5" t="s">
        <v>1662</v>
      </c>
      <c r="C494" t="s">
        <v>6456</v>
      </c>
      <c r="D494" t="s">
        <v>1663</v>
      </c>
      <c r="E494" t="s">
        <v>7390</v>
      </c>
      <c r="F494" s="1">
        <v>44929</v>
      </c>
      <c r="G494" t="s">
        <v>110</v>
      </c>
      <c r="H494" s="24">
        <v>600</v>
      </c>
      <c r="I494" t="str">
        <f>IF(H494&lt;=0,"",LOOKUP(H494,'Regras e Parâmetros'!$B$4:$B$7,'Regras e Parâmetros'!$A$4:$A$7))</f>
        <v>Bronze</v>
      </c>
      <c r="J494" t="s">
        <v>9790</v>
      </c>
    </row>
    <row r="495" spans="1:12" x14ac:dyDescent="0.3">
      <c r="A495" t="s">
        <v>162</v>
      </c>
      <c r="B495" s="5" t="s">
        <v>6545</v>
      </c>
      <c r="C495" t="s">
        <v>6456</v>
      </c>
      <c r="D495" t="s">
        <v>163</v>
      </c>
      <c r="E495" t="s">
        <v>164</v>
      </c>
      <c r="F495" s="1">
        <v>44400</v>
      </c>
      <c r="G495" t="s">
        <v>100</v>
      </c>
      <c r="H495" s="24">
        <v>2970</v>
      </c>
      <c r="I495" t="str">
        <f>IF(H495&lt;=0,"",LOOKUP(H495,'Regras e Parâmetros'!$B$4:$B$7,'Regras e Parâmetros'!$A$4:$A$7))</f>
        <v>Prata</v>
      </c>
      <c r="J495" t="s">
        <v>9790</v>
      </c>
    </row>
    <row r="496" spans="1:12" x14ac:dyDescent="0.3">
      <c r="A496" t="s">
        <v>6796</v>
      </c>
      <c r="B496" s="5" t="s">
        <v>625</v>
      </c>
      <c r="C496" t="s">
        <v>6456</v>
      </c>
      <c r="D496" t="s">
        <v>626</v>
      </c>
      <c r="E496" t="s">
        <v>10095</v>
      </c>
      <c r="F496" s="1">
        <v>44567</v>
      </c>
      <c r="G496" t="s">
        <v>51</v>
      </c>
      <c r="H496" s="24">
        <v>559</v>
      </c>
      <c r="I496" t="str">
        <f>IF(H496&lt;=0,"",LOOKUP(H496,'Regras e Parâmetros'!$B$4:$B$7,'Regras e Parâmetros'!$A$4:$A$7))</f>
        <v>Bronze</v>
      </c>
      <c r="J496" t="s">
        <v>9790</v>
      </c>
    </row>
    <row r="497" spans="1:12" x14ac:dyDescent="0.3">
      <c r="A497" t="s">
        <v>269</v>
      </c>
      <c r="B497" s="5" t="s">
        <v>6589</v>
      </c>
      <c r="C497" t="s">
        <v>6456</v>
      </c>
      <c r="D497" t="s">
        <v>270</v>
      </c>
      <c r="E497" t="s">
        <v>6590</v>
      </c>
      <c r="F497" s="1">
        <v>44438</v>
      </c>
      <c r="G497" t="s">
        <v>110</v>
      </c>
      <c r="H497" s="24">
        <v>0</v>
      </c>
      <c r="I497" t="str">
        <f>IF(H497&lt;=0,"",LOOKUP(H497,'Regras e Parâmetros'!$B$4:$B$7,'Regras e Parâmetros'!$A$4:$A$7))</f>
        <v/>
      </c>
      <c r="J497" t="s">
        <v>6747</v>
      </c>
    </row>
    <row r="498" spans="1:12" x14ac:dyDescent="0.3">
      <c r="A498" t="s">
        <v>8649</v>
      </c>
      <c r="B498" s="5" t="s">
        <v>3974</v>
      </c>
      <c r="C498" t="s">
        <v>6456</v>
      </c>
      <c r="D498" t="s">
        <v>3975</v>
      </c>
      <c r="E498" t="s">
        <v>3976</v>
      </c>
      <c r="F498" s="1">
        <v>45712</v>
      </c>
      <c r="G498" t="s">
        <v>110</v>
      </c>
      <c r="H498" s="24">
        <v>0</v>
      </c>
      <c r="I498" t="str">
        <f>IF(H498&lt;=0,"",LOOKUP(H498,'Regras e Parâmetros'!$B$4:$B$7,'Regras e Parâmetros'!$A$4:$A$7))</f>
        <v/>
      </c>
      <c r="J498" t="s">
        <v>9790</v>
      </c>
      <c r="L498" t="s">
        <v>9886</v>
      </c>
    </row>
    <row r="499" spans="1:12" x14ac:dyDescent="0.3">
      <c r="A499" t="s">
        <v>3730</v>
      </c>
      <c r="B499" s="5" t="s">
        <v>8484</v>
      </c>
      <c r="C499" t="s">
        <v>6456</v>
      </c>
      <c r="D499" t="s">
        <v>3731</v>
      </c>
      <c r="E499" t="s">
        <v>8485</v>
      </c>
      <c r="F499" s="1">
        <v>45638</v>
      </c>
      <c r="G499" t="s">
        <v>18</v>
      </c>
      <c r="H499" s="24">
        <v>196</v>
      </c>
      <c r="I499" t="str">
        <f>IF(H499&lt;=0,"",LOOKUP(H499,'Regras e Parâmetros'!$B$4:$B$7,'Regras e Parâmetros'!$A$4:$A$7))</f>
        <v>Bronze</v>
      </c>
      <c r="J499" t="s">
        <v>9790</v>
      </c>
    </row>
    <row r="500" spans="1:12" x14ac:dyDescent="0.3">
      <c r="A500" t="s">
        <v>359</v>
      </c>
      <c r="B500" s="5" t="s">
        <v>360</v>
      </c>
      <c r="C500" t="s">
        <v>6456</v>
      </c>
      <c r="D500" t="s">
        <v>361</v>
      </c>
      <c r="E500" t="s">
        <v>6645</v>
      </c>
      <c r="F500" s="1">
        <v>44468</v>
      </c>
      <c r="G500" t="s">
        <v>51</v>
      </c>
      <c r="H500" s="24">
        <v>5000</v>
      </c>
      <c r="I500" t="str">
        <f>IF(H500&lt;=0,"",LOOKUP(H500,'Regras e Parâmetros'!$B$4:$B$7,'Regras e Parâmetros'!$A$4:$A$7))</f>
        <v>Prata</v>
      </c>
      <c r="J500" t="s">
        <v>6747</v>
      </c>
      <c r="L500" t="s">
        <v>9793</v>
      </c>
    </row>
    <row r="501" spans="1:12" x14ac:dyDescent="0.3">
      <c r="A501" t="s">
        <v>1061</v>
      </c>
      <c r="B501" s="5" t="s">
        <v>7035</v>
      </c>
      <c r="C501" t="s">
        <v>6456</v>
      </c>
      <c r="D501" t="s">
        <v>1063</v>
      </c>
      <c r="E501" t="s">
        <v>7036</v>
      </c>
      <c r="F501" s="1">
        <v>44727</v>
      </c>
      <c r="G501" t="s">
        <v>22</v>
      </c>
      <c r="H501" s="24">
        <v>11400</v>
      </c>
      <c r="I501" t="str">
        <f>IF(H501&lt;=0,"",LOOKUP(H501,'Regras e Parâmetros'!$B$4:$B$7,'Regras e Parâmetros'!$A$4:$A$7))</f>
        <v>Vip</v>
      </c>
      <c r="J501" t="s">
        <v>9790</v>
      </c>
      <c r="L501" t="s">
        <v>9793</v>
      </c>
    </row>
    <row r="502" spans="1:12" x14ac:dyDescent="0.3">
      <c r="A502" t="s">
        <v>1061</v>
      </c>
      <c r="B502" s="5" t="s">
        <v>9380</v>
      </c>
      <c r="C502" t="s">
        <v>6456</v>
      </c>
      <c r="D502" t="s">
        <v>5234</v>
      </c>
      <c r="E502" t="s">
        <v>5235</v>
      </c>
      <c r="F502" s="1">
        <v>46083</v>
      </c>
      <c r="G502" t="s">
        <v>110</v>
      </c>
      <c r="H502" s="24">
        <v>0</v>
      </c>
      <c r="I502" t="str">
        <f>IF(H502&lt;=0,"",LOOKUP(H502,'Regras e Parâmetros'!$B$4:$B$7,'Regras e Parâmetros'!$A$4:$A$7))</f>
        <v/>
      </c>
      <c r="J502" t="s">
        <v>6747</v>
      </c>
      <c r="L502" t="s">
        <v>9883</v>
      </c>
    </row>
    <row r="503" spans="1:12" x14ac:dyDescent="0.3">
      <c r="A503" t="s">
        <v>6744</v>
      </c>
      <c r="B503" s="5" t="s">
        <v>6745</v>
      </c>
      <c r="C503" t="s">
        <v>6456</v>
      </c>
      <c r="D503" t="s">
        <v>543</v>
      </c>
      <c r="E503" t="s">
        <v>544</v>
      </c>
      <c r="F503" s="1">
        <v>44534</v>
      </c>
      <c r="G503" t="s">
        <v>45</v>
      </c>
      <c r="H503" s="24">
        <v>4500</v>
      </c>
      <c r="I503" t="str">
        <f>IF(H503&lt;=0,"",LOOKUP(H503,'Regras e Parâmetros'!$B$4:$B$7,'Regras e Parâmetros'!$A$4:$A$7))</f>
        <v>Prata</v>
      </c>
      <c r="J503" t="s">
        <v>6456</v>
      </c>
      <c r="L503" t="s">
        <v>9795</v>
      </c>
    </row>
    <row r="504" spans="1:12" x14ac:dyDescent="0.3">
      <c r="A504" t="s">
        <v>1450</v>
      </c>
      <c r="B504" s="5" t="s">
        <v>7270</v>
      </c>
      <c r="C504" t="s">
        <v>6456</v>
      </c>
      <c r="D504" t="s">
        <v>1451</v>
      </c>
      <c r="E504" t="s">
        <v>1452</v>
      </c>
      <c r="F504" s="1">
        <v>44869</v>
      </c>
      <c r="G504" t="s">
        <v>51</v>
      </c>
      <c r="H504" s="24">
        <v>4376</v>
      </c>
      <c r="I504" t="str">
        <f>IF(H504&lt;=0,"",LOOKUP(H504,'Regras e Parâmetros'!$B$4:$B$7,'Regras e Parâmetros'!$A$4:$A$7))</f>
        <v>Prata</v>
      </c>
      <c r="J504" t="s">
        <v>6456</v>
      </c>
    </row>
    <row r="505" spans="1:12" x14ac:dyDescent="0.3">
      <c r="A505" t="s">
        <v>7989</v>
      </c>
      <c r="B505" s="5" t="s">
        <v>7990</v>
      </c>
      <c r="C505" t="s">
        <v>6456</v>
      </c>
      <c r="D505" t="s">
        <v>2730</v>
      </c>
      <c r="E505" t="s">
        <v>7991</v>
      </c>
      <c r="F505" s="1">
        <v>45280</v>
      </c>
      <c r="G505" t="s">
        <v>110</v>
      </c>
      <c r="H505" s="24">
        <v>853</v>
      </c>
      <c r="I505" t="str">
        <f>IF(H505&lt;=0,"",LOOKUP(H505,'Regras e Parâmetros'!$B$4:$B$7,'Regras e Parâmetros'!$A$4:$A$7))</f>
        <v>Bronze</v>
      </c>
      <c r="J505" t="s">
        <v>6747</v>
      </c>
    </row>
    <row r="506" spans="1:12" x14ac:dyDescent="0.3">
      <c r="A506" t="s">
        <v>4367</v>
      </c>
      <c r="B506" s="5" t="s">
        <v>8862</v>
      </c>
      <c r="C506" t="s">
        <v>6456</v>
      </c>
      <c r="D506" t="s">
        <v>4368</v>
      </c>
      <c r="E506" t="s">
        <v>8863</v>
      </c>
      <c r="F506" s="1">
        <v>45829</v>
      </c>
      <c r="G506" t="s">
        <v>51</v>
      </c>
      <c r="H506" s="24">
        <v>0</v>
      </c>
      <c r="I506" t="str">
        <f>IF(H506&lt;=0,"",LOOKUP(H506,'Regras e Parâmetros'!$B$4:$B$7,'Regras e Parâmetros'!$A$4:$A$7))</f>
        <v/>
      </c>
      <c r="J506" t="s">
        <v>6456</v>
      </c>
      <c r="K506" t="s">
        <v>44</v>
      </c>
      <c r="L506" t="s">
        <v>9883</v>
      </c>
    </row>
    <row r="507" spans="1:12" x14ac:dyDescent="0.3">
      <c r="A507" t="s">
        <v>4564</v>
      </c>
      <c r="B507" s="5" t="s">
        <v>4565</v>
      </c>
      <c r="C507" t="s">
        <v>6456</v>
      </c>
      <c r="D507" t="s">
        <v>4566</v>
      </c>
      <c r="E507" t="s">
        <v>8996</v>
      </c>
      <c r="F507" s="1">
        <v>45886</v>
      </c>
      <c r="G507" t="s">
        <v>22</v>
      </c>
      <c r="H507" s="24">
        <v>0</v>
      </c>
      <c r="I507" t="str">
        <f>IF(H507&lt;=0,"",LOOKUP(H507,'Regras e Parâmetros'!$B$4:$B$7,'Regras e Parâmetros'!$A$4:$A$7))</f>
        <v/>
      </c>
      <c r="J507" t="s">
        <v>9790</v>
      </c>
      <c r="L507" t="s">
        <v>9883</v>
      </c>
    </row>
    <row r="508" spans="1:12" x14ac:dyDescent="0.3">
      <c r="A508" t="s">
        <v>4949</v>
      </c>
      <c r="B508" s="5" t="s">
        <v>4950</v>
      </c>
      <c r="C508" t="s">
        <v>6456</v>
      </c>
      <c r="D508" t="s">
        <v>4951</v>
      </c>
      <c r="E508" t="s">
        <v>4952</v>
      </c>
      <c r="F508" s="1">
        <v>46000</v>
      </c>
      <c r="G508" t="s">
        <v>45</v>
      </c>
      <c r="H508" s="24">
        <v>0</v>
      </c>
      <c r="I508" t="str">
        <f>IF(H508&lt;=0,"",LOOKUP(H508,'Regras e Parâmetros'!$B$4:$B$7,'Regras e Parâmetros'!$A$4:$A$7))</f>
        <v/>
      </c>
      <c r="J508" t="s">
        <v>9790</v>
      </c>
      <c r="L508" t="s">
        <v>9883</v>
      </c>
    </row>
    <row r="509" spans="1:12" x14ac:dyDescent="0.3">
      <c r="A509" t="s">
        <v>2892</v>
      </c>
      <c r="B509" s="5" t="s">
        <v>7272</v>
      </c>
      <c r="C509" t="s">
        <v>6456</v>
      </c>
      <c r="D509" t="s">
        <v>1456</v>
      </c>
      <c r="E509" t="s">
        <v>7273</v>
      </c>
      <c r="F509" s="1">
        <v>44870</v>
      </c>
      <c r="G509" t="s">
        <v>18</v>
      </c>
      <c r="H509" s="24">
        <v>1023</v>
      </c>
      <c r="I509" t="str">
        <f>IF(H509&lt;=0,"",LOOKUP(H509,'Regras e Parâmetros'!$B$4:$B$7,'Regras e Parâmetros'!$A$4:$A$7))</f>
        <v>Bronze</v>
      </c>
      <c r="J509" t="s">
        <v>6747</v>
      </c>
    </row>
    <row r="510" spans="1:12" x14ac:dyDescent="0.3">
      <c r="A510" t="s">
        <v>2892</v>
      </c>
      <c r="B510" s="5" t="s">
        <v>8068</v>
      </c>
      <c r="C510" t="s">
        <v>6456</v>
      </c>
      <c r="D510" t="s">
        <v>2893</v>
      </c>
      <c r="E510" t="s">
        <v>2894</v>
      </c>
      <c r="F510" s="1">
        <v>45357</v>
      </c>
      <c r="G510" t="s">
        <v>45</v>
      </c>
      <c r="H510" s="24">
        <v>826</v>
      </c>
      <c r="I510" t="str">
        <f>IF(H510&lt;=0,"",LOOKUP(H510,'Regras e Parâmetros'!$B$4:$B$7,'Regras e Parâmetros'!$A$4:$A$7))</f>
        <v>Bronze</v>
      </c>
      <c r="J510" t="s">
        <v>6747</v>
      </c>
      <c r="K510" t="s">
        <v>44</v>
      </c>
    </row>
    <row r="511" spans="1:12" x14ac:dyDescent="0.3">
      <c r="A511" t="s">
        <v>3078</v>
      </c>
      <c r="B511" s="5" t="s">
        <v>8147</v>
      </c>
      <c r="C511" t="s">
        <v>6456</v>
      </c>
      <c r="D511" t="s">
        <v>3079</v>
      </c>
      <c r="E511" t="s">
        <v>3080</v>
      </c>
      <c r="F511" s="1">
        <v>45420</v>
      </c>
      <c r="G511" t="s">
        <v>18</v>
      </c>
      <c r="H511" s="24">
        <v>850</v>
      </c>
      <c r="I511" t="str">
        <f>IF(H511&lt;=0,"",LOOKUP(H511,'Regras e Parâmetros'!$B$4:$B$7,'Regras e Parâmetros'!$A$4:$A$7))</f>
        <v>Bronze</v>
      </c>
      <c r="J511" t="s">
        <v>6747</v>
      </c>
      <c r="K511" t="s">
        <v>708</v>
      </c>
      <c r="L511" t="s">
        <v>9792</v>
      </c>
    </row>
    <row r="512" spans="1:12" x14ac:dyDescent="0.3">
      <c r="A512" t="s">
        <v>4584</v>
      </c>
      <c r="B512" s="5" t="s">
        <v>9002</v>
      </c>
      <c r="C512" t="s">
        <v>6456</v>
      </c>
      <c r="D512" t="s">
        <v>4585</v>
      </c>
      <c r="E512" t="s">
        <v>9003</v>
      </c>
      <c r="F512" s="1">
        <v>45891</v>
      </c>
      <c r="G512" t="s">
        <v>45</v>
      </c>
      <c r="H512" s="24">
        <v>0</v>
      </c>
      <c r="I512" t="str">
        <f>IF(H512&lt;=0,"",LOOKUP(H512,'Regras e Parâmetros'!$B$4:$B$7,'Regras e Parâmetros'!$A$4:$A$7))</f>
        <v/>
      </c>
      <c r="J512" t="s">
        <v>9790</v>
      </c>
      <c r="L512" t="s">
        <v>9883</v>
      </c>
    </row>
    <row r="513" spans="1:12" x14ac:dyDescent="0.3">
      <c r="A513" t="s">
        <v>2678</v>
      </c>
      <c r="B513" s="5" t="s">
        <v>6089</v>
      </c>
      <c r="C513" t="s">
        <v>6456</v>
      </c>
      <c r="D513" t="s">
        <v>2679</v>
      </c>
      <c r="E513" t="s">
        <v>2680</v>
      </c>
      <c r="F513" s="1">
        <v>45253</v>
      </c>
      <c r="G513" t="s">
        <v>22</v>
      </c>
      <c r="H513" s="24">
        <v>189</v>
      </c>
      <c r="I513" t="str">
        <f>IF(H513&lt;=0,"",LOOKUP(H513,'Regras e Parâmetros'!$B$4:$B$7,'Regras e Parâmetros'!$A$4:$A$7))</f>
        <v>Bronze</v>
      </c>
      <c r="J513" t="s">
        <v>9790</v>
      </c>
    </row>
    <row r="514" spans="1:12" x14ac:dyDescent="0.3">
      <c r="A514" t="s">
        <v>7973</v>
      </c>
      <c r="B514" s="5" t="s">
        <v>7974</v>
      </c>
      <c r="C514" t="s">
        <v>6456</v>
      </c>
      <c r="D514" t="s">
        <v>2698</v>
      </c>
      <c r="E514" t="s">
        <v>2699</v>
      </c>
      <c r="F514" s="1">
        <v>45264</v>
      </c>
      <c r="G514" t="s">
        <v>18</v>
      </c>
      <c r="H514" s="24">
        <v>0</v>
      </c>
      <c r="I514" t="str">
        <f>IF(H514&lt;=0,"",LOOKUP(H514,'Regras e Parâmetros'!$B$4:$B$7,'Regras e Parâmetros'!$A$4:$A$7))</f>
        <v/>
      </c>
      <c r="J514" t="s">
        <v>6456</v>
      </c>
    </row>
    <row r="515" spans="1:12" x14ac:dyDescent="0.3">
      <c r="A515" t="s">
        <v>3964</v>
      </c>
      <c r="B515" s="5" t="s">
        <v>8473</v>
      </c>
      <c r="C515" t="s">
        <v>6456</v>
      </c>
      <c r="D515" t="s">
        <v>3711</v>
      </c>
      <c r="E515" t="s">
        <v>8474</v>
      </c>
      <c r="F515" s="1">
        <v>45627</v>
      </c>
      <c r="G515" t="s">
        <v>100</v>
      </c>
      <c r="H515" s="24">
        <v>147</v>
      </c>
      <c r="I515" t="str">
        <f>IF(H515&lt;=0,"",LOOKUP(H515,'Regras e Parâmetros'!$B$4:$B$7,'Regras e Parâmetros'!$A$4:$A$7))</f>
        <v>Bronze</v>
      </c>
      <c r="J515" t="s">
        <v>6456</v>
      </c>
      <c r="K515" t="s">
        <v>8</v>
      </c>
    </row>
    <row r="516" spans="1:12" x14ac:dyDescent="0.3">
      <c r="A516" t="s">
        <v>3964</v>
      </c>
      <c r="B516" s="5" t="s">
        <v>8641</v>
      </c>
      <c r="C516" t="s">
        <v>6456</v>
      </c>
      <c r="D516" t="s">
        <v>3965</v>
      </c>
      <c r="E516" t="s">
        <v>3966</v>
      </c>
      <c r="F516" s="1">
        <v>45709</v>
      </c>
      <c r="G516" t="s">
        <v>45</v>
      </c>
      <c r="H516" s="24">
        <v>0</v>
      </c>
      <c r="I516" t="str">
        <f>IF(H516&lt;=0,"",LOOKUP(H516,'Regras e Parâmetros'!$B$4:$B$7,'Regras e Parâmetros'!$A$4:$A$7))</f>
        <v/>
      </c>
      <c r="J516" t="s">
        <v>9790</v>
      </c>
      <c r="L516" t="s">
        <v>9886</v>
      </c>
    </row>
    <row r="517" spans="1:12" x14ac:dyDescent="0.3">
      <c r="A517" t="s">
        <v>6974</v>
      </c>
      <c r="B517" s="5" t="s">
        <v>6975</v>
      </c>
      <c r="C517" t="s">
        <v>6456</v>
      </c>
      <c r="D517" t="s">
        <v>1064</v>
      </c>
      <c r="E517" t="s">
        <v>6976</v>
      </c>
      <c r="F517" s="1">
        <v>44682</v>
      </c>
      <c r="G517" t="s">
        <v>110</v>
      </c>
      <c r="H517" s="24">
        <v>0</v>
      </c>
      <c r="I517" t="str">
        <f>IF(H517&lt;=0,"",LOOKUP(H517,'Regras e Parâmetros'!$B$4:$B$7,'Regras e Parâmetros'!$A$4:$A$7))</f>
        <v/>
      </c>
      <c r="J517" t="s">
        <v>9790</v>
      </c>
      <c r="L517" t="s">
        <v>9791</v>
      </c>
    </row>
    <row r="518" spans="1:12" x14ac:dyDescent="0.3">
      <c r="A518" t="s">
        <v>8328</v>
      </c>
      <c r="B518" s="5" t="s">
        <v>8329</v>
      </c>
      <c r="C518" t="s">
        <v>6456</v>
      </c>
      <c r="D518" t="s">
        <v>3424</v>
      </c>
      <c r="E518" t="s">
        <v>3425</v>
      </c>
      <c r="F518" s="1">
        <v>45540</v>
      </c>
      <c r="G518" t="s">
        <v>110</v>
      </c>
      <c r="H518" s="24">
        <v>1138</v>
      </c>
      <c r="I518" t="str">
        <f>IF(H518&lt;=0,"",LOOKUP(H518,'Regras e Parâmetros'!$B$4:$B$7,'Regras e Parâmetros'!$A$4:$A$7))</f>
        <v>Bronze</v>
      </c>
      <c r="J518" t="s">
        <v>9790</v>
      </c>
    </row>
    <row r="519" spans="1:12" x14ac:dyDescent="0.3">
      <c r="A519" t="s">
        <v>3854</v>
      </c>
      <c r="B519" s="5" t="s">
        <v>8578</v>
      </c>
      <c r="C519" t="s">
        <v>6456</v>
      </c>
      <c r="D519" t="s">
        <v>3855</v>
      </c>
      <c r="E519" t="s">
        <v>3856</v>
      </c>
      <c r="F519" s="1">
        <v>45682</v>
      </c>
      <c r="G519" t="s">
        <v>22</v>
      </c>
      <c r="H519" s="24">
        <v>0</v>
      </c>
      <c r="I519" t="str">
        <f>IF(H519&lt;=0,"",LOOKUP(H519,'Regras e Parâmetros'!$B$4:$B$7,'Regras e Parâmetros'!$A$4:$A$7))</f>
        <v/>
      </c>
      <c r="J519" t="s">
        <v>6747</v>
      </c>
      <c r="K519" t="s">
        <v>72</v>
      </c>
      <c r="L519" t="s">
        <v>9883</v>
      </c>
    </row>
    <row r="520" spans="1:12" x14ac:dyDescent="0.3">
      <c r="A520" t="s">
        <v>4987</v>
      </c>
      <c r="B520" s="5" t="s">
        <v>4988</v>
      </c>
      <c r="C520" t="s">
        <v>6456</v>
      </c>
      <c r="D520" t="s">
        <v>4989</v>
      </c>
      <c r="E520" t="s">
        <v>9235</v>
      </c>
      <c r="F520" s="1">
        <v>46008</v>
      </c>
      <c r="G520" t="s">
        <v>51</v>
      </c>
      <c r="H520" s="24">
        <v>0</v>
      </c>
      <c r="I520" t="str">
        <f>IF(H520&lt;=0,"",LOOKUP(H520,'Regras e Parâmetros'!$B$4:$B$7,'Regras e Parâmetros'!$A$4:$A$7))</f>
        <v/>
      </c>
      <c r="J520" t="s">
        <v>6747</v>
      </c>
      <c r="L520" t="s">
        <v>9883</v>
      </c>
    </row>
    <row r="521" spans="1:12" x14ac:dyDescent="0.3">
      <c r="A521" t="s">
        <v>1618</v>
      </c>
      <c r="B521" s="5" t="s">
        <v>7360</v>
      </c>
      <c r="C521" t="s">
        <v>6456</v>
      </c>
      <c r="D521" t="s">
        <v>1619</v>
      </c>
      <c r="E521" t="s">
        <v>1620</v>
      </c>
      <c r="F521" s="1">
        <v>44915</v>
      </c>
      <c r="G521" t="s">
        <v>51</v>
      </c>
      <c r="H521" s="24">
        <v>125</v>
      </c>
      <c r="I521" t="str">
        <f>IF(H521&lt;=0,"",LOOKUP(H521,'Regras e Parâmetros'!$B$4:$B$7,'Regras e Parâmetros'!$A$4:$A$7))</f>
        <v>Bronze</v>
      </c>
      <c r="J521" t="s">
        <v>6747</v>
      </c>
    </row>
    <row r="522" spans="1:12" x14ac:dyDescent="0.3">
      <c r="A522" t="s">
        <v>5280</v>
      </c>
      <c r="B522" s="5" t="s">
        <v>9415</v>
      </c>
      <c r="C522" t="s">
        <v>6456</v>
      </c>
      <c r="D522" t="s">
        <v>5281</v>
      </c>
      <c r="E522" t="s">
        <v>9416</v>
      </c>
      <c r="F522" s="1">
        <v>46103</v>
      </c>
      <c r="G522" t="s">
        <v>45</v>
      </c>
      <c r="H522" s="24">
        <v>0</v>
      </c>
      <c r="I522" t="str">
        <f>IF(H522&lt;=0,"",LOOKUP(H522,'Regras e Parâmetros'!$B$4:$B$7,'Regras e Parâmetros'!$A$4:$A$7))</f>
        <v/>
      </c>
      <c r="J522" t="s">
        <v>6747</v>
      </c>
      <c r="L522" t="s">
        <v>9883</v>
      </c>
    </row>
    <row r="523" spans="1:12" x14ac:dyDescent="0.3">
      <c r="A523" t="s">
        <v>4842</v>
      </c>
      <c r="B523" s="5" t="s">
        <v>9145</v>
      </c>
      <c r="C523" t="s">
        <v>6456</v>
      </c>
      <c r="D523" t="s">
        <v>4843</v>
      </c>
      <c r="E523" t="s">
        <v>9146</v>
      </c>
      <c r="F523" s="1">
        <v>45963</v>
      </c>
      <c r="G523" t="s">
        <v>110</v>
      </c>
      <c r="H523" s="24">
        <v>0</v>
      </c>
      <c r="I523" t="str">
        <f>IF(H523&lt;=0,"",LOOKUP(H523,'Regras e Parâmetros'!$B$4:$B$7,'Regras e Parâmetros'!$A$4:$A$7))</f>
        <v/>
      </c>
      <c r="J523" t="s">
        <v>6747</v>
      </c>
      <c r="L523" t="s">
        <v>9883</v>
      </c>
    </row>
    <row r="524" spans="1:12" x14ac:dyDescent="0.3">
      <c r="A524" t="s">
        <v>7658</v>
      </c>
      <c r="B524" s="5" t="s">
        <v>7659</v>
      </c>
      <c r="C524" t="s">
        <v>6456</v>
      </c>
      <c r="D524" t="s">
        <v>2131</v>
      </c>
      <c r="E524" t="s">
        <v>7660</v>
      </c>
      <c r="F524" s="1">
        <v>45087</v>
      </c>
      <c r="G524" t="s">
        <v>45</v>
      </c>
      <c r="H524" s="24">
        <v>287</v>
      </c>
      <c r="I524" t="str">
        <f>IF(H524&lt;=0,"",LOOKUP(H524,'Regras e Parâmetros'!$B$4:$B$7,'Regras e Parâmetros'!$A$4:$A$7))</f>
        <v>Bronze</v>
      </c>
      <c r="J524" t="s">
        <v>9790</v>
      </c>
    </row>
    <row r="525" spans="1:12" x14ac:dyDescent="0.3">
      <c r="A525" t="s">
        <v>1065</v>
      </c>
      <c r="B525" s="5" t="s">
        <v>7151</v>
      </c>
      <c r="C525" t="s">
        <v>6456</v>
      </c>
      <c r="D525" t="s">
        <v>1066</v>
      </c>
      <c r="E525" t="s">
        <v>7152</v>
      </c>
      <c r="F525" s="1">
        <v>44815</v>
      </c>
      <c r="G525" t="s">
        <v>18</v>
      </c>
      <c r="H525" s="24">
        <v>0</v>
      </c>
      <c r="I525" t="str">
        <f>IF(H525&lt;=0,"",LOOKUP(H525,'Regras e Parâmetros'!$B$4:$B$7,'Regras e Parâmetros'!$A$4:$A$7))</f>
        <v/>
      </c>
      <c r="J525" t="s">
        <v>6456</v>
      </c>
      <c r="K525" t="s">
        <v>33</v>
      </c>
    </row>
    <row r="526" spans="1:12" x14ac:dyDescent="0.3">
      <c r="A526" t="s">
        <v>560</v>
      </c>
      <c r="B526" s="5" t="s">
        <v>561</v>
      </c>
      <c r="C526" t="s">
        <v>6456</v>
      </c>
      <c r="D526" t="s">
        <v>562</v>
      </c>
      <c r="E526" t="s">
        <v>6755</v>
      </c>
      <c r="F526" s="1">
        <v>44540</v>
      </c>
      <c r="G526" t="s">
        <v>51</v>
      </c>
      <c r="H526" s="24">
        <v>524</v>
      </c>
      <c r="I526" t="str">
        <f>IF(H526&lt;=0,"",LOOKUP(H526,'Regras e Parâmetros'!$B$4:$B$7,'Regras e Parâmetros'!$A$4:$A$7))</f>
        <v>Bronze</v>
      </c>
      <c r="J526" t="s">
        <v>6456</v>
      </c>
    </row>
    <row r="527" spans="1:12" x14ac:dyDescent="0.3">
      <c r="A527" t="s">
        <v>3190</v>
      </c>
      <c r="B527" s="5" t="s">
        <v>3191</v>
      </c>
      <c r="C527" t="s">
        <v>6456</v>
      </c>
      <c r="D527" t="s">
        <v>3192</v>
      </c>
      <c r="E527" t="s">
        <v>3193</v>
      </c>
      <c r="F527" s="1">
        <v>45462</v>
      </c>
      <c r="G527" t="s">
        <v>45</v>
      </c>
      <c r="H527" s="24">
        <v>5091</v>
      </c>
      <c r="I527" t="str">
        <f>IF(H527&lt;=0,"",LOOKUP(H527,'Regras e Parâmetros'!$B$4:$B$7,'Regras e Parâmetros'!$A$4:$A$7))</f>
        <v>Ouro</v>
      </c>
      <c r="J527" t="s">
        <v>6747</v>
      </c>
      <c r="K527" t="s">
        <v>44</v>
      </c>
    </row>
    <row r="528" spans="1:12" x14ac:dyDescent="0.3">
      <c r="A528" t="s">
        <v>3190</v>
      </c>
      <c r="B528" s="5" t="s">
        <v>5047</v>
      </c>
      <c r="C528" t="s">
        <v>6456</v>
      </c>
      <c r="D528" t="s">
        <v>5048</v>
      </c>
      <c r="E528" t="s">
        <v>9273</v>
      </c>
      <c r="F528" s="1">
        <v>46028</v>
      </c>
      <c r="G528" t="s">
        <v>51</v>
      </c>
      <c r="H528" s="24">
        <v>0</v>
      </c>
      <c r="I528" t="str">
        <f>IF(H528&lt;=0,"",LOOKUP(H528,'Regras e Parâmetros'!$B$4:$B$7,'Regras e Parâmetros'!$A$4:$A$7))</f>
        <v/>
      </c>
      <c r="J528" t="s">
        <v>6747</v>
      </c>
      <c r="L528" t="s">
        <v>9883</v>
      </c>
    </row>
    <row r="529" spans="1:12" x14ac:dyDescent="0.3">
      <c r="A529" t="s">
        <v>704</v>
      </c>
      <c r="B529" s="5" t="s">
        <v>6057</v>
      </c>
      <c r="C529" t="s">
        <v>6456</v>
      </c>
      <c r="D529" t="s">
        <v>705</v>
      </c>
      <c r="E529" t="s">
        <v>6845</v>
      </c>
      <c r="F529" s="1">
        <v>44594</v>
      </c>
      <c r="G529" t="s">
        <v>22</v>
      </c>
      <c r="H529" s="24">
        <v>2008</v>
      </c>
      <c r="I529" t="str">
        <f>IF(H529&lt;=0,"",LOOKUP(H529,'Regras e Parâmetros'!$B$4:$B$7,'Regras e Parâmetros'!$A$4:$A$7))</f>
        <v>Prata</v>
      </c>
      <c r="J529" t="s">
        <v>9790</v>
      </c>
      <c r="K529" t="s">
        <v>10028</v>
      </c>
    </row>
    <row r="530" spans="1:12" x14ac:dyDescent="0.3">
      <c r="A530" t="s">
        <v>9773</v>
      </c>
      <c r="B530" s="5" t="s">
        <v>5938</v>
      </c>
      <c r="C530" t="s">
        <v>6456</v>
      </c>
      <c r="E530" t="s">
        <v>5939</v>
      </c>
      <c r="F530" s="1">
        <v>46273</v>
      </c>
      <c r="G530" t="s">
        <v>100</v>
      </c>
      <c r="H530" s="24">
        <v>0</v>
      </c>
      <c r="I530" t="str">
        <f>IF(H530&lt;=0,"",LOOKUP(H530,'Regras e Parâmetros'!$B$4:$B$7,'Regras e Parâmetros'!$A$4:$A$7))</f>
        <v/>
      </c>
      <c r="J530" t="s">
        <v>6747</v>
      </c>
      <c r="K530" t="s">
        <v>708</v>
      </c>
      <c r="L530" t="s">
        <v>9902</v>
      </c>
    </row>
    <row r="531" spans="1:12" x14ac:dyDescent="0.3">
      <c r="A531" t="s">
        <v>3453</v>
      </c>
      <c r="B531" s="5" t="s">
        <v>8342</v>
      </c>
      <c r="C531" t="s">
        <v>6456</v>
      </c>
      <c r="D531" t="s">
        <v>3454</v>
      </c>
      <c r="E531" t="s">
        <v>3455</v>
      </c>
      <c r="F531" s="1">
        <v>45551</v>
      </c>
      <c r="G531" t="s">
        <v>100</v>
      </c>
      <c r="H531" s="24">
        <v>135</v>
      </c>
      <c r="I531" t="str">
        <f>IF(H531&lt;=0,"",LOOKUP(H531,'Regras e Parâmetros'!$B$4:$B$7,'Regras e Parâmetros'!$A$4:$A$7))</f>
        <v>Bronze</v>
      </c>
      <c r="J531" t="s">
        <v>9790</v>
      </c>
      <c r="K531" t="s">
        <v>72</v>
      </c>
      <c r="L531" t="s">
        <v>9792</v>
      </c>
    </row>
    <row r="532" spans="1:12" x14ac:dyDescent="0.3">
      <c r="A532" t="s">
        <v>354</v>
      </c>
      <c r="B532" s="5" t="s">
        <v>6642</v>
      </c>
      <c r="C532" t="s">
        <v>6456</v>
      </c>
      <c r="D532" t="s">
        <v>355</v>
      </c>
      <c r="E532" t="s">
        <v>356</v>
      </c>
      <c r="F532" s="1">
        <v>44465</v>
      </c>
      <c r="G532" t="s">
        <v>18</v>
      </c>
      <c r="H532" s="24">
        <v>2711</v>
      </c>
      <c r="I532" t="str">
        <f>IF(H532&lt;=0,"",LOOKUP(H532,'Regras e Parâmetros'!$B$4:$B$7,'Regras e Parâmetros'!$A$4:$A$7))</f>
        <v>Prata</v>
      </c>
      <c r="J532" t="s">
        <v>9790</v>
      </c>
      <c r="L532" t="s">
        <v>9792</v>
      </c>
    </row>
    <row r="533" spans="1:12" x14ac:dyDescent="0.3">
      <c r="A533" t="s">
        <v>354</v>
      </c>
      <c r="B533" s="5" t="s">
        <v>7901</v>
      </c>
      <c r="C533" t="s">
        <v>6456</v>
      </c>
      <c r="D533" t="s">
        <v>2572</v>
      </c>
      <c r="E533" t="s">
        <v>2573</v>
      </c>
      <c r="F533" s="1">
        <v>45224</v>
      </c>
      <c r="G533" t="s">
        <v>110</v>
      </c>
      <c r="H533" s="24">
        <v>1085</v>
      </c>
      <c r="I533" t="str">
        <f>IF(H533&lt;=0,"",LOOKUP(H533,'Regras e Parâmetros'!$B$4:$B$7,'Regras e Parâmetros'!$A$4:$A$7))</f>
        <v>Bronze</v>
      </c>
      <c r="J533" t="s">
        <v>6456</v>
      </c>
      <c r="L533" t="s">
        <v>9792</v>
      </c>
    </row>
    <row r="534" spans="1:12" x14ac:dyDescent="0.3">
      <c r="A534" t="s">
        <v>354</v>
      </c>
      <c r="B534" s="5" t="s">
        <v>9300</v>
      </c>
      <c r="C534" t="s">
        <v>6456</v>
      </c>
      <c r="D534" t="s">
        <v>5102</v>
      </c>
      <c r="E534" t="s">
        <v>5103</v>
      </c>
      <c r="F534" s="1">
        <v>46047</v>
      </c>
      <c r="G534" t="s">
        <v>100</v>
      </c>
      <c r="H534" s="24">
        <v>0</v>
      </c>
      <c r="I534" t="str">
        <f>IF(H534&lt;=0,"",LOOKUP(H534,'Regras e Parâmetros'!$B$4:$B$7,'Regras e Parâmetros'!$A$4:$A$7))</f>
        <v/>
      </c>
      <c r="J534" t="s">
        <v>9790</v>
      </c>
      <c r="K534" t="s">
        <v>187</v>
      </c>
      <c r="L534" t="s">
        <v>9883</v>
      </c>
    </row>
    <row r="535" spans="1:12" x14ac:dyDescent="0.3">
      <c r="A535" t="s">
        <v>3205</v>
      </c>
      <c r="B535" s="5" t="s">
        <v>8210</v>
      </c>
      <c r="C535" t="s">
        <v>6456</v>
      </c>
      <c r="D535" t="s">
        <v>3206</v>
      </c>
      <c r="E535" t="s">
        <v>8211</v>
      </c>
      <c r="F535" s="1">
        <v>45464</v>
      </c>
      <c r="G535" t="s">
        <v>51</v>
      </c>
      <c r="H535" s="24">
        <v>1747</v>
      </c>
      <c r="I535" t="str">
        <f>IF(H535&lt;=0,"",LOOKUP(H535,'Regras e Parâmetros'!$B$4:$B$7,'Regras e Parâmetros'!$A$4:$A$7))</f>
        <v>Prata</v>
      </c>
      <c r="J535" t="s">
        <v>9790</v>
      </c>
    </row>
    <row r="536" spans="1:12" x14ac:dyDescent="0.3">
      <c r="A536" t="s">
        <v>4638</v>
      </c>
      <c r="B536" s="5" t="s">
        <v>4639</v>
      </c>
      <c r="C536" t="s">
        <v>6456</v>
      </c>
      <c r="D536" t="s">
        <v>9029</v>
      </c>
      <c r="E536" t="s">
        <v>4640</v>
      </c>
      <c r="F536" s="1">
        <v>45905</v>
      </c>
      <c r="G536" t="s">
        <v>110</v>
      </c>
      <c r="H536" s="24">
        <v>0</v>
      </c>
      <c r="I536" t="str">
        <f>IF(H536&lt;=0,"",LOOKUP(H536,'Regras e Parâmetros'!$B$4:$B$7,'Regras e Parâmetros'!$A$4:$A$7))</f>
        <v/>
      </c>
      <c r="J536" t="s">
        <v>6456</v>
      </c>
      <c r="L536" t="s">
        <v>9886</v>
      </c>
    </row>
    <row r="537" spans="1:12" x14ac:dyDescent="0.3">
      <c r="A537" t="s">
        <v>6568</v>
      </c>
      <c r="B537" s="5" t="s">
        <v>205</v>
      </c>
      <c r="C537" t="s">
        <v>6456</v>
      </c>
      <c r="D537" t="s">
        <v>206</v>
      </c>
      <c r="E537" t="s">
        <v>207</v>
      </c>
      <c r="F537" s="1">
        <v>44417</v>
      </c>
      <c r="G537" t="s">
        <v>110</v>
      </c>
      <c r="H537" s="24">
        <v>15000</v>
      </c>
      <c r="I537" t="str">
        <f>IF(H537&lt;=0,"",LOOKUP(H537,'Regras e Parâmetros'!$B$4:$B$7,'Regras e Parâmetros'!$A$4:$A$7))</f>
        <v>Vip</v>
      </c>
      <c r="J537" t="s">
        <v>6456</v>
      </c>
      <c r="L537" t="s">
        <v>9792</v>
      </c>
    </row>
    <row r="538" spans="1:12" x14ac:dyDescent="0.3">
      <c r="A538" t="s">
        <v>1067</v>
      </c>
      <c r="B538" s="5" t="s">
        <v>1068</v>
      </c>
      <c r="C538" t="s">
        <v>6747</v>
      </c>
      <c r="D538" t="s">
        <v>1069</v>
      </c>
      <c r="E538" t="s">
        <v>1070</v>
      </c>
      <c r="F538" s="1">
        <v>44814</v>
      </c>
      <c r="G538" t="s">
        <v>22</v>
      </c>
      <c r="H538" s="24">
        <v>3506</v>
      </c>
      <c r="I538" t="str">
        <f>IF(H538&lt;=0,"",LOOKUP(H538,'Regras e Parâmetros'!$B$4:$B$7,'Regras e Parâmetros'!$A$4:$A$7))</f>
        <v>Prata</v>
      </c>
      <c r="J538" t="s">
        <v>9790</v>
      </c>
      <c r="L538" t="s">
        <v>10240</v>
      </c>
    </row>
    <row r="539" spans="1:12" x14ac:dyDescent="0.3">
      <c r="A539" t="s">
        <v>4134</v>
      </c>
      <c r="B539" s="5" t="s">
        <v>8743</v>
      </c>
      <c r="C539" t="s">
        <v>6456</v>
      </c>
      <c r="D539" t="s">
        <v>4135</v>
      </c>
      <c r="E539" t="s">
        <v>4136</v>
      </c>
      <c r="F539" s="1">
        <v>45753</v>
      </c>
      <c r="G539" t="s">
        <v>100</v>
      </c>
      <c r="H539" s="24">
        <v>0</v>
      </c>
      <c r="I539" t="str">
        <f>IF(H539&lt;=0,"",LOOKUP(H539,'Regras e Parâmetros'!$B$4:$B$7,'Regras e Parâmetros'!$A$4:$A$7))</f>
        <v/>
      </c>
      <c r="J539" t="s">
        <v>9790</v>
      </c>
      <c r="L539" t="s">
        <v>9883</v>
      </c>
    </row>
    <row r="540" spans="1:12" x14ac:dyDescent="0.3">
      <c r="A540" t="s">
        <v>5662</v>
      </c>
      <c r="B540" s="5" t="s">
        <v>5663</v>
      </c>
      <c r="C540" t="s">
        <v>6747</v>
      </c>
      <c r="D540" t="s">
        <v>5664</v>
      </c>
      <c r="E540" t="s">
        <v>9620</v>
      </c>
      <c r="F540" s="1">
        <v>46207</v>
      </c>
      <c r="G540" t="s">
        <v>51</v>
      </c>
      <c r="H540" s="24">
        <v>0</v>
      </c>
      <c r="I540" t="str">
        <f>IF(H540&lt;=0,"",LOOKUP(H540,'Regras e Parâmetros'!$B$4:$B$7,'Regras e Parâmetros'!$A$4:$A$7))</f>
        <v/>
      </c>
      <c r="J540" t="s">
        <v>6747</v>
      </c>
      <c r="L540" t="s">
        <v>10242</v>
      </c>
    </row>
    <row r="541" spans="1:12" x14ac:dyDescent="0.3">
      <c r="A541" t="s">
        <v>5641</v>
      </c>
      <c r="B541" s="5" t="s">
        <v>5642</v>
      </c>
      <c r="C541" t="s">
        <v>6456</v>
      </c>
      <c r="D541" t="s">
        <v>4347</v>
      </c>
      <c r="E541" t="s">
        <v>5643</v>
      </c>
      <c r="F541" s="1">
        <v>46202</v>
      </c>
      <c r="G541" t="s">
        <v>45</v>
      </c>
      <c r="H541" s="24">
        <v>0</v>
      </c>
      <c r="I541" t="str">
        <f>IF(H541&lt;=0,"",LOOKUP(H541,'Regras e Parâmetros'!$B$4:$B$7,'Regras e Parâmetros'!$A$4:$A$7))</f>
        <v/>
      </c>
      <c r="J541" t="s">
        <v>6747</v>
      </c>
      <c r="K541" t="s">
        <v>33</v>
      </c>
      <c r="L541" t="s">
        <v>9883</v>
      </c>
    </row>
    <row r="542" spans="1:12" x14ac:dyDescent="0.3">
      <c r="A542" t="s">
        <v>2634</v>
      </c>
      <c r="B542" s="5" t="s">
        <v>7939</v>
      </c>
      <c r="C542" t="s">
        <v>6456</v>
      </c>
      <c r="D542" t="s">
        <v>2635</v>
      </c>
      <c r="E542" t="s">
        <v>7940</v>
      </c>
      <c r="F542" s="1">
        <v>45246</v>
      </c>
      <c r="G542" t="s">
        <v>22</v>
      </c>
      <c r="H542" s="24">
        <v>1086</v>
      </c>
      <c r="I542" t="str">
        <f>IF(H542&lt;=0,"",LOOKUP(H542,'Regras e Parâmetros'!$B$4:$B$7,'Regras e Parâmetros'!$A$4:$A$7))</f>
        <v>Bronze</v>
      </c>
      <c r="J542" t="s">
        <v>6456</v>
      </c>
      <c r="K542" t="s">
        <v>8</v>
      </c>
    </row>
    <row r="543" spans="1:12" x14ac:dyDescent="0.3">
      <c r="A543" t="s">
        <v>2634</v>
      </c>
      <c r="B543" s="5" t="s">
        <v>9688</v>
      </c>
      <c r="C543" t="s">
        <v>6456</v>
      </c>
      <c r="D543" t="s">
        <v>5800</v>
      </c>
      <c r="E543" t="s">
        <v>9689</v>
      </c>
      <c r="F543" s="1">
        <v>46235</v>
      </c>
      <c r="G543" t="s">
        <v>100</v>
      </c>
      <c r="H543" s="24">
        <v>0</v>
      </c>
      <c r="I543" t="str">
        <f>IF(H543&lt;=0,"",LOOKUP(H543,'Regras e Parâmetros'!$B$4:$B$7,'Regras e Parâmetros'!$A$4:$A$7))</f>
        <v/>
      </c>
      <c r="J543" t="s">
        <v>6747</v>
      </c>
      <c r="L543" t="s">
        <v>9884</v>
      </c>
    </row>
    <row r="544" spans="1:12" x14ac:dyDescent="0.3">
      <c r="A544" t="s">
        <v>1562</v>
      </c>
      <c r="B544" s="5" t="s">
        <v>7324</v>
      </c>
      <c r="C544" t="s">
        <v>6456</v>
      </c>
      <c r="D544" t="s">
        <v>7325</v>
      </c>
      <c r="E544" t="s">
        <v>1563</v>
      </c>
      <c r="F544" s="1">
        <v>44895</v>
      </c>
      <c r="G544" t="s">
        <v>110</v>
      </c>
      <c r="H544" s="24">
        <v>15000</v>
      </c>
      <c r="I544" t="str">
        <f>IF(H544&lt;=0,"",LOOKUP(H544,'Regras e Parâmetros'!$B$4:$B$7,'Regras e Parâmetros'!$A$4:$A$7))</f>
        <v>Vip</v>
      </c>
      <c r="J544" t="s">
        <v>9790</v>
      </c>
    </row>
    <row r="545" spans="1:12" x14ac:dyDescent="0.3">
      <c r="A545" t="s">
        <v>26</v>
      </c>
      <c r="B545" s="5" t="s">
        <v>6477</v>
      </c>
      <c r="C545" t="s">
        <v>6456</v>
      </c>
      <c r="D545" t="s">
        <v>27</v>
      </c>
      <c r="E545" t="s">
        <v>28</v>
      </c>
      <c r="F545" s="1">
        <v>44355</v>
      </c>
      <c r="G545" t="s">
        <v>51</v>
      </c>
      <c r="H545" s="24">
        <v>449</v>
      </c>
      <c r="I545" t="str">
        <f>IF(H545&lt;=0,"",LOOKUP(H545,'Regras e Parâmetros'!$B$4:$B$7,'Regras e Parâmetros'!$A$4:$A$7))</f>
        <v>Bronze</v>
      </c>
      <c r="J545" t="s">
        <v>6456</v>
      </c>
    </row>
    <row r="546" spans="1:12" x14ac:dyDescent="0.3">
      <c r="A546" t="s">
        <v>9262</v>
      </c>
      <c r="B546" s="5" t="s">
        <v>9263</v>
      </c>
      <c r="C546" t="s">
        <v>6456</v>
      </c>
      <c r="D546" t="s">
        <v>5037</v>
      </c>
      <c r="E546" t="s">
        <v>9264</v>
      </c>
      <c r="F546" s="1">
        <v>46024</v>
      </c>
      <c r="G546" t="s">
        <v>22</v>
      </c>
      <c r="H546" s="24">
        <v>0</v>
      </c>
      <c r="I546" t="str">
        <f>IF(H546&lt;=0,"",LOOKUP(H546,'Regras e Parâmetros'!$B$4:$B$7,'Regras e Parâmetros'!$A$4:$A$7))</f>
        <v/>
      </c>
      <c r="J546" t="s">
        <v>9790</v>
      </c>
      <c r="L546" t="s">
        <v>9883</v>
      </c>
    </row>
    <row r="547" spans="1:12" x14ac:dyDescent="0.3">
      <c r="A547" t="s">
        <v>1334</v>
      </c>
      <c r="B547" s="5" t="s">
        <v>7187</v>
      </c>
      <c r="C547" t="s">
        <v>6456</v>
      </c>
      <c r="D547" t="s">
        <v>1335</v>
      </c>
      <c r="E547" t="s">
        <v>7188</v>
      </c>
      <c r="F547" s="1">
        <v>44839</v>
      </c>
      <c r="G547" t="s">
        <v>51</v>
      </c>
      <c r="H547" s="24">
        <v>2794</v>
      </c>
      <c r="I547" t="str">
        <f>IF(H547&lt;=0,"",LOOKUP(H547,'Regras e Parâmetros'!$B$4:$B$7,'Regras e Parâmetros'!$A$4:$A$7))</f>
        <v>Prata</v>
      </c>
      <c r="J547" t="s">
        <v>6456</v>
      </c>
    </row>
    <row r="548" spans="1:12" x14ac:dyDescent="0.3">
      <c r="A548" t="s">
        <v>3869</v>
      </c>
      <c r="B548" s="5" t="s">
        <v>8585</v>
      </c>
      <c r="C548" t="s">
        <v>6456</v>
      </c>
      <c r="D548" t="s">
        <v>3870</v>
      </c>
      <c r="E548" t="s">
        <v>8586</v>
      </c>
      <c r="F548" s="1">
        <v>45685</v>
      </c>
      <c r="G548" t="s">
        <v>100</v>
      </c>
      <c r="H548" s="24">
        <v>0</v>
      </c>
      <c r="I548" t="str">
        <f>IF(H548&lt;=0,"",LOOKUP(H548,'Regras e Parâmetros'!$B$4:$B$7,'Regras e Parâmetros'!$A$4:$A$7))</f>
        <v/>
      </c>
      <c r="J548" t="s">
        <v>6747</v>
      </c>
      <c r="L548" t="s">
        <v>9883</v>
      </c>
    </row>
    <row r="549" spans="1:12" x14ac:dyDescent="0.3">
      <c r="A549" t="s">
        <v>3633</v>
      </c>
      <c r="B549" s="5" t="s">
        <v>8437</v>
      </c>
      <c r="C549" t="s">
        <v>6456</v>
      </c>
      <c r="E549" t="s">
        <v>3634</v>
      </c>
      <c r="F549" s="1">
        <v>45604</v>
      </c>
      <c r="G549" t="s">
        <v>110</v>
      </c>
      <c r="H549" s="24">
        <v>435</v>
      </c>
      <c r="I549" t="str">
        <f>IF(H549&lt;=0,"",LOOKUP(H549,'Regras e Parâmetros'!$B$4:$B$7,'Regras e Parâmetros'!$A$4:$A$7))</f>
        <v>Bronze</v>
      </c>
      <c r="J549" t="s">
        <v>9790</v>
      </c>
      <c r="K549" t="s">
        <v>8</v>
      </c>
      <c r="L549" t="s">
        <v>9804</v>
      </c>
    </row>
    <row r="550" spans="1:12" x14ac:dyDescent="0.3">
      <c r="A550" t="s">
        <v>4904</v>
      </c>
      <c r="B550" s="5" t="s">
        <v>9187</v>
      </c>
      <c r="C550" t="s">
        <v>6456</v>
      </c>
      <c r="D550" t="s">
        <v>4905</v>
      </c>
      <c r="E550" t="s">
        <v>9188</v>
      </c>
      <c r="F550" s="1">
        <v>45984</v>
      </c>
      <c r="G550" t="s">
        <v>51</v>
      </c>
      <c r="H550" s="24">
        <v>0</v>
      </c>
      <c r="I550" t="str">
        <f>IF(H550&lt;=0,"",LOOKUP(H550,'Regras e Parâmetros'!$B$4:$B$7,'Regras e Parâmetros'!$A$4:$A$7))</f>
        <v/>
      </c>
      <c r="J550" t="s">
        <v>9790</v>
      </c>
      <c r="L550" t="s">
        <v>9883</v>
      </c>
    </row>
    <row r="551" spans="1:12" x14ac:dyDescent="0.3">
      <c r="A551" t="s">
        <v>130</v>
      </c>
      <c r="B551" s="5" t="s">
        <v>131</v>
      </c>
      <c r="C551" t="s">
        <v>6456</v>
      </c>
      <c r="D551" t="s">
        <v>132</v>
      </c>
      <c r="E551" t="s">
        <v>6511</v>
      </c>
      <c r="F551" s="1">
        <v>44378</v>
      </c>
      <c r="G551" t="s">
        <v>22</v>
      </c>
      <c r="H551" s="24">
        <v>996</v>
      </c>
      <c r="I551" t="str">
        <f>IF(H551&lt;=0,"",LOOKUP(H551,'Regras e Parâmetros'!$B$4:$B$7,'Regras e Parâmetros'!$A$4:$A$7))</f>
        <v>Bronze</v>
      </c>
      <c r="J551" t="s">
        <v>6747</v>
      </c>
      <c r="L551" t="s">
        <v>9791</v>
      </c>
    </row>
    <row r="552" spans="1:12" x14ac:dyDescent="0.3">
      <c r="A552" t="s">
        <v>298</v>
      </c>
      <c r="B552" s="5" t="s">
        <v>6610</v>
      </c>
      <c r="C552" t="s">
        <v>6456</v>
      </c>
      <c r="D552" t="s">
        <v>299</v>
      </c>
      <c r="E552" t="s">
        <v>6611</v>
      </c>
      <c r="F552" s="1">
        <v>44445</v>
      </c>
      <c r="G552" t="s">
        <v>18</v>
      </c>
      <c r="H552" s="24">
        <v>1741</v>
      </c>
      <c r="I552" t="str">
        <f>IF(H552&lt;=0,"",LOOKUP(H552,'Regras e Parâmetros'!$B$4:$B$7,'Regras e Parâmetros'!$A$4:$A$7))</f>
        <v>Prata</v>
      </c>
      <c r="J552" t="s">
        <v>9790</v>
      </c>
    </row>
    <row r="553" spans="1:12" x14ac:dyDescent="0.3">
      <c r="A553" t="s">
        <v>5165</v>
      </c>
      <c r="B553" s="5" t="s">
        <v>9338</v>
      </c>
      <c r="C553" t="s">
        <v>6456</v>
      </c>
      <c r="D553" t="s">
        <v>1117</v>
      </c>
      <c r="E553" t="s">
        <v>5166</v>
      </c>
      <c r="F553" s="1">
        <v>46060</v>
      </c>
      <c r="G553" t="s">
        <v>110</v>
      </c>
      <c r="H553" s="24">
        <v>0</v>
      </c>
      <c r="I553" t="str">
        <f>IF(H553&lt;=0,"",LOOKUP(H553,'Regras e Parâmetros'!$B$4:$B$7,'Regras e Parâmetros'!$A$4:$A$7))</f>
        <v/>
      </c>
      <c r="J553" t="s">
        <v>6747</v>
      </c>
      <c r="L553" t="s">
        <v>9883</v>
      </c>
    </row>
    <row r="554" spans="1:12" x14ac:dyDescent="0.3">
      <c r="A554" t="s">
        <v>4186</v>
      </c>
      <c r="B554" s="5" t="s">
        <v>8769</v>
      </c>
      <c r="C554" t="s">
        <v>6456</v>
      </c>
      <c r="D554" t="s">
        <v>4187</v>
      </c>
      <c r="E554" t="s">
        <v>8770</v>
      </c>
      <c r="F554" s="1">
        <v>45772</v>
      </c>
      <c r="G554" t="s">
        <v>45</v>
      </c>
      <c r="H554" s="24">
        <v>0</v>
      </c>
      <c r="I554" t="str">
        <f>IF(H554&lt;=0,"",LOOKUP(H554,'Regras e Parâmetros'!$B$4:$B$7,'Regras e Parâmetros'!$A$4:$A$7))</f>
        <v/>
      </c>
      <c r="J554" t="s">
        <v>6747</v>
      </c>
      <c r="L554" t="s">
        <v>9883</v>
      </c>
    </row>
    <row r="555" spans="1:12" x14ac:dyDescent="0.3">
      <c r="A555" t="s">
        <v>34</v>
      </c>
      <c r="B555" s="5" t="s">
        <v>6478</v>
      </c>
      <c r="C555" t="s">
        <v>6456</v>
      </c>
      <c r="D555" t="s">
        <v>35</v>
      </c>
      <c r="E555" t="s">
        <v>6479</v>
      </c>
      <c r="F555" s="1">
        <v>44358</v>
      </c>
      <c r="G555" t="s">
        <v>100</v>
      </c>
      <c r="H555" s="24">
        <v>2217</v>
      </c>
      <c r="I555" t="str">
        <f>IF(H555&lt;=0,"",LOOKUP(H555,'Regras e Parâmetros'!$B$4:$B$7,'Regras e Parâmetros'!$A$4:$A$7))</f>
        <v>Prata</v>
      </c>
      <c r="J555" t="s">
        <v>9790</v>
      </c>
    </row>
    <row r="556" spans="1:12" x14ac:dyDescent="0.3">
      <c r="A556" t="s">
        <v>5431</v>
      </c>
      <c r="B556" s="5" t="s">
        <v>5432</v>
      </c>
      <c r="C556" t="s">
        <v>6456</v>
      </c>
      <c r="D556" t="s">
        <v>5433</v>
      </c>
      <c r="E556" t="s">
        <v>10096</v>
      </c>
      <c r="F556" s="1">
        <v>46140</v>
      </c>
      <c r="G556" t="s">
        <v>18</v>
      </c>
      <c r="H556" s="24">
        <v>0</v>
      </c>
      <c r="I556" t="str">
        <f>IF(H556&lt;=0,"",LOOKUP(H556,'Regras e Parâmetros'!$B$4:$B$7,'Regras e Parâmetros'!$A$4:$A$7))</f>
        <v/>
      </c>
      <c r="J556" t="s">
        <v>6456</v>
      </c>
      <c r="L556" t="s">
        <v>9883</v>
      </c>
    </row>
    <row r="557" spans="1:12" x14ac:dyDescent="0.3">
      <c r="A557" t="s">
        <v>4478</v>
      </c>
      <c r="B557" s="5" t="s">
        <v>4479</v>
      </c>
      <c r="C557" t="s">
        <v>6456</v>
      </c>
      <c r="D557" t="s">
        <v>4480</v>
      </c>
      <c r="E557" t="s">
        <v>8930</v>
      </c>
      <c r="F557" s="1">
        <v>45860</v>
      </c>
      <c r="G557" t="s">
        <v>22</v>
      </c>
      <c r="H557" s="24">
        <v>0</v>
      </c>
      <c r="I557" t="str">
        <f>IF(H557&lt;=0,"",LOOKUP(H557,'Regras e Parâmetros'!$B$4:$B$7,'Regras e Parâmetros'!$A$4:$A$7))</f>
        <v/>
      </c>
      <c r="J557" t="s">
        <v>6747</v>
      </c>
      <c r="L557" t="s">
        <v>9883</v>
      </c>
    </row>
    <row r="558" spans="1:12" x14ac:dyDescent="0.3">
      <c r="A558" t="s">
        <v>5260</v>
      </c>
      <c r="B558" s="5" t="s">
        <v>9401</v>
      </c>
      <c r="C558" t="s">
        <v>6456</v>
      </c>
      <c r="D558" t="s">
        <v>5261</v>
      </c>
      <c r="E558" t="s">
        <v>9402</v>
      </c>
      <c r="F558" s="1">
        <v>46094</v>
      </c>
      <c r="G558" t="s">
        <v>51</v>
      </c>
      <c r="H558" s="24">
        <v>0</v>
      </c>
      <c r="I558" t="str">
        <f>IF(H558&lt;=0,"",LOOKUP(H558,'Regras e Parâmetros'!$B$4:$B$7,'Regras e Parâmetros'!$A$4:$A$7))</f>
        <v/>
      </c>
      <c r="J558" t="s">
        <v>9790</v>
      </c>
      <c r="L558" t="s">
        <v>9883</v>
      </c>
    </row>
    <row r="559" spans="1:12" x14ac:dyDescent="0.3">
      <c r="A559" t="s">
        <v>5455</v>
      </c>
      <c r="B559" s="5" t="s">
        <v>5456</v>
      </c>
      <c r="C559" t="s">
        <v>6456</v>
      </c>
      <c r="D559" t="s">
        <v>5457</v>
      </c>
      <c r="E559" t="s">
        <v>5458</v>
      </c>
      <c r="F559" s="1">
        <v>46148</v>
      </c>
      <c r="G559" t="s">
        <v>45</v>
      </c>
      <c r="H559" s="24">
        <v>0</v>
      </c>
      <c r="I559" t="str">
        <f>IF(H559&lt;=0,"",LOOKUP(H559,'Regras e Parâmetros'!$B$4:$B$7,'Regras e Parâmetros'!$A$4:$A$7))</f>
        <v/>
      </c>
      <c r="J559" t="s">
        <v>6747</v>
      </c>
      <c r="L559" t="s">
        <v>9886</v>
      </c>
    </row>
    <row r="560" spans="1:12" x14ac:dyDescent="0.3">
      <c r="A560" t="s">
        <v>3492</v>
      </c>
      <c r="B560" s="5" t="s">
        <v>8353</v>
      </c>
      <c r="C560" t="s">
        <v>6456</v>
      </c>
      <c r="D560" t="s">
        <v>3493</v>
      </c>
      <c r="E560" t="s">
        <v>8354</v>
      </c>
      <c r="F560" s="1">
        <v>45566</v>
      </c>
      <c r="G560" t="s">
        <v>110</v>
      </c>
      <c r="H560" s="24">
        <v>362</v>
      </c>
      <c r="I560" t="str">
        <f>IF(H560&lt;=0,"",LOOKUP(H560,'Regras e Parâmetros'!$B$4:$B$7,'Regras e Parâmetros'!$A$4:$A$7))</f>
        <v>Bronze</v>
      </c>
      <c r="J560" t="s">
        <v>6456</v>
      </c>
      <c r="L560" t="s">
        <v>9791</v>
      </c>
    </row>
    <row r="561" spans="1:12" x14ac:dyDescent="0.3">
      <c r="A561" t="s">
        <v>5377</v>
      </c>
      <c r="B561" s="5" t="s">
        <v>5378</v>
      </c>
      <c r="C561" t="s">
        <v>6456</v>
      </c>
      <c r="D561" t="s">
        <v>5379</v>
      </c>
      <c r="E561" t="s">
        <v>5380</v>
      </c>
      <c r="F561" s="1">
        <v>46124</v>
      </c>
      <c r="G561" t="s">
        <v>100</v>
      </c>
      <c r="H561" s="24">
        <v>0</v>
      </c>
      <c r="I561" t="str">
        <f>IF(H561&lt;=0,"",LOOKUP(H561,'Regras e Parâmetros'!$B$4:$B$7,'Regras e Parâmetros'!$A$4:$A$7))</f>
        <v/>
      </c>
      <c r="J561" t="s">
        <v>6456</v>
      </c>
      <c r="L561" t="s">
        <v>9886</v>
      </c>
    </row>
    <row r="562" spans="1:12" x14ac:dyDescent="0.3">
      <c r="A562" t="s">
        <v>5149</v>
      </c>
      <c r="B562" s="5" t="s">
        <v>9328</v>
      </c>
      <c r="C562" t="s">
        <v>6456</v>
      </c>
      <c r="D562" t="s">
        <v>5150</v>
      </c>
      <c r="E562" t="s">
        <v>9329</v>
      </c>
      <c r="F562" s="1">
        <v>46056</v>
      </c>
      <c r="G562" t="s">
        <v>45</v>
      </c>
      <c r="H562" s="24">
        <v>0</v>
      </c>
      <c r="I562" t="str">
        <f>IF(H562&lt;=0,"",LOOKUP(H562,'Regras e Parâmetros'!$B$4:$B$7,'Regras e Parâmetros'!$A$4:$A$7))</f>
        <v/>
      </c>
      <c r="J562" t="s">
        <v>9790</v>
      </c>
      <c r="K562" t="s">
        <v>708</v>
      </c>
      <c r="L562" t="s">
        <v>9883</v>
      </c>
    </row>
    <row r="563" spans="1:12" x14ac:dyDescent="0.3">
      <c r="A563" t="s">
        <v>4118</v>
      </c>
      <c r="B563" s="5" t="s">
        <v>4119</v>
      </c>
      <c r="C563" t="s">
        <v>6456</v>
      </c>
      <c r="D563" t="s">
        <v>4120</v>
      </c>
      <c r="E563" t="s">
        <v>8724</v>
      </c>
      <c r="F563" s="1">
        <v>45748</v>
      </c>
      <c r="G563" t="s">
        <v>100</v>
      </c>
      <c r="H563" s="24">
        <v>0</v>
      </c>
      <c r="I563" t="str">
        <f>IF(H563&lt;=0,"",LOOKUP(H563,'Regras e Parâmetros'!$B$4:$B$7,'Regras e Parâmetros'!$A$4:$A$7))</f>
        <v/>
      </c>
      <c r="J563" t="s">
        <v>6456</v>
      </c>
      <c r="L563" t="s">
        <v>9883</v>
      </c>
    </row>
    <row r="564" spans="1:12" x14ac:dyDescent="0.3">
      <c r="A564" t="s">
        <v>2402</v>
      </c>
      <c r="B564" s="5" t="s">
        <v>2403</v>
      </c>
      <c r="C564" t="s">
        <v>6456</v>
      </c>
      <c r="D564" t="s">
        <v>2404</v>
      </c>
      <c r="E564" t="s">
        <v>2405</v>
      </c>
      <c r="F564" s="1">
        <v>45161</v>
      </c>
      <c r="G564" t="s">
        <v>51</v>
      </c>
      <c r="H564" s="24">
        <v>12437</v>
      </c>
      <c r="I564" t="str">
        <f>IF(H564&lt;=0,"",LOOKUP(H564,'Regras e Parâmetros'!$B$4:$B$7,'Regras e Parâmetros'!$A$4:$A$7))</f>
        <v>Vip</v>
      </c>
      <c r="J564" t="s">
        <v>9790</v>
      </c>
    </row>
    <row r="565" spans="1:12" x14ac:dyDescent="0.3">
      <c r="A565" t="s">
        <v>8265</v>
      </c>
      <c r="B565" s="5" t="s">
        <v>8266</v>
      </c>
      <c r="C565" t="s">
        <v>6456</v>
      </c>
      <c r="D565" t="s">
        <v>3307</v>
      </c>
      <c r="E565" t="s">
        <v>3308</v>
      </c>
      <c r="F565" s="1">
        <v>45501</v>
      </c>
      <c r="G565" t="s">
        <v>45</v>
      </c>
      <c r="H565" s="24">
        <v>1826</v>
      </c>
      <c r="I565" t="str">
        <f>IF(H565&lt;=0,"",LOOKUP(H565,'Regras e Parâmetros'!$B$4:$B$7,'Regras e Parâmetros'!$A$4:$A$7))</f>
        <v>Prata</v>
      </c>
      <c r="J565" t="s">
        <v>6456</v>
      </c>
      <c r="L565" t="s">
        <v>9792</v>
      </c>
    </row>
    <row r="566" spans="1:12" x14ac:dyDescent="0.3">
      <c r="A566" t="s">
        <v>2935</v>
      </c>
      <c r="B566" s="5" t="s">
        <v>8087</v>
      </c>
      <c r="C566" t="s">
        <v>6456</v>
      </c>
      <c r="D566" t="s">
        <v>2936</v>
      </c>
      <c r="E566" t="s">
        <v>8088</v>
      </c>
      <c r="F566" s="1">
        <v>45372</v>
      </c>
      <c r="G566" t="s">
        <v>51</v>
      </c>
      <c r="H566" s="24">
        <v>1701</v>
      </c>
      <c r="I566" t="str">
        <f>IF(H566&lt;=0,"",LOOKUP(H566,'Regras e Parâmetros'!$B$4:$B$7,'Regras e Parâmetros'!$A$4:$A$7))</f>
        <v>Prata</v>
      </c>
      <c r="J566" t="s">
        <v>6456</v>
      </c>
    </row>
    <row r="567" spans="1:12" x14ac:dyDescent="0.3">
      <c r="A567" t="s">
        <v>6516</v>
      </c>
      <c r="B567" s="5" t="s">
        <v>6517</v>
      </c>
      <c r="C567" t="s">
        <v>6456</v>
      </c>
      <c r="D567" t="s">
        <v>114</v>
      </c>
      <c r="E567" t="s">
        <v>115</v>
      </c>
      <c r="F567" s="1">
        <v>44383</v>
      </c>
      <c r="G567" t="s">
        <v>100</v>
      </c>
      <c r="H567" s="24">
        <v>3099</v>
      </c>
      <c r="I567" t="str">
        <f>IF(H567&lt;=0,"",LOOKUP(H567,'Regras e Parâmetros'!$B$4:$B$7,'Regras e Parâmetros'!$A$4:$A$7))</f>
        <v>Prata</v>
      </c>
      <c r="J567" t="s">
        <v>6747</v>
      </c>
    </row>
    <row r="568" spans="1:12" x14ac:dyDescent="0.3">
      <c r="A568" t="s">
        <v>4206</v>
      </c>
      <c r="B568" s="5" t="s">
        <v>4207</v>
      </c>
      <c r="C568" t="s">
        <v>6456</v>
      </c>
      <c r="D568" t="s">
        <v>4208</v>
      </c>
      <c r="E568" t="s">
        <v>8780</v>
      </c>
      <c r="F568" s="1">
        <v>45776</v>
      </c>
      <c r="G568" t="s">
        <v>45</v>
      </c>
      <c r="H568" s="24">
        <v>0</v>
      </c>
      <c r="I568" t="str">
        <f>IF(H568&lt;=0,"",LOOKUP(H568,'Regras e Parâmetros'!$B$4:$B$7,'Regras e Parâmetros'!$A$4:$A$7))</f>
        <v/>
      </c>
      <c r="J568" t="s">
        <v>6747</v>
      </c>
      <c r="L568" t="s">
        <v>9883</v>
      </c>
    </row>
    <row r="569" spans="1:12" x14ac:dyDescent="0.3">
      <c r="A569" t="s">
        <v>3914</v>
      </c>
      <c r="B569" s="5" t="s">
        <v>3915</v>
      </c>
      <c r="C569" t="s">
        <v>6456</v>
      </c>
      <c r="D569" t="s">
        <v>3916</v>
      </c>
      <c r="E569" t="s">
        <v>3917</v>
      </c>
      <c r="F569" s="1">
        <v>45695</v>
      </c>
      <c r="G569" t="s">
        <v>51</v>
      </c>
      <c r="H569" s="24">
        <v>0</v>
      </c>
      <c r="I569" t="str">
        <f>IF(H569&lt;=0,"",LOOKUP(H569,'Regras e Parâmetros'!$B$4:$B$7,'Regras e Parâmetros'!$A$4:$A$7))</f>
        <v/>
      </c>
      <c r="J569" t="s">
        <v>9790</v>
      </c>
      <c r="L569" t="s">
        <v>9886</v>
      </c>
    </row>
    <row r="570" spans="1:12" x14ac:dyDescent="0.3">
      <c r="A570" t="s">
        <v>8520</v>
      </c>
      <c r="B570" s="5" t="s">
        <v>8521</v>
      </c>
      <c r="C570" t="s">
        <v>6456</v>
      </c>
      <c r="D570" t="s">
        <v>3784</v>
      </c>
      <c r="E570" t="s">
        <v>8522</v>
      </c>
      <c r="F570" s="1">
        <v>45658</v>
      </c>
      <c r="G570" t="s">
        <v>45</v>
      </c>
      <c r="H570" s="24">
        <v>0</v>
      </c>
      <c r="I570" t="str">
        <f>IF(H570&lt;=0,"",LOOKUP(H570,'Regras e Parâmetros'!$B$4:$B$7,'Regras e Parâmetros'!$A$4:$A$7))</f>
        <v/>
      </c>
      <c r="J570" t="s">
        <v>6747</v>
      </c>
      <c r="L570" t="s">
        <v>9884</v>
      </c>
    </row>
    <row r="571" spans="1:12" x14ac:dyDescent="0.3">
      <c r="A571" t="s">
        <v>6493</v>
      </c>
      <c r="B571" s="5" t="s">
        <v>77</v>
      </c>
      <c r="C571" t="s">
        <v>6456</v>
      </c>
      <c r="D571" t="s">
        <v>78</v>
      </c>
      <c r="E571" t="s">
        <v>79</v>
      </c>
      <c r="F571" s="1">
        <v>44371</v>
      </c>
      <c r="G571" t="s">
        <v>51</v>
      </c>
      <c r="H571" s="24">
        <v>689</v>
      </c>
      <c r="I571" t="str">
        <f>IF(H571&lt;=0,"",LOOKUP(H571,'Regras e Parâmetros'!$B$4:$B$7,'Regras e Parâmetros'!$A$4:$A$7))</f>
        <v>Bronze</v>
      </c>
      <c r="J571" t="s">
        <v>9790</v>
      </c>
      <c r="L571" t="s">
        <v>9792</v>
      </c>
    </row>
    <row r="572" spans="1:12" x14ac:dyDescent="0.3">
      <c r="A572" t="s">
        <v>3864</v>
      </c>
      <c r="B572" s="5" t="s">
        <v>8529</v>
      </c>
      <c r="C572" t="s">
        <v>6456</v>
      </c>
      <c r="D572" t="s">
        <v>3865</v>
      </c>
      <c r="E572" t="s">
        <v>8530</v>
      </c>
      <c r="F572" s="1">
        <v>45658</v>
      </c>
      <c r="G572" t="s">
        <v>110</v>
      </c>
      <c r="H572" s="24">
        <v>0</v>
      </c>
      <c r="I572" t="str">
        <f>IF(H572&lt;=0,"",LOOKUP(H572,'Regras e Parâmetros'!$B$4:$B$7,'Regras e Parâmetros'!$A$4:$A$7))</f>
        <v/>
      </c>
      <c r="J572" t="s">
        <v>6456</v>
      </c>
      <c r="K572" t="s">
        <v>177</v>
      </c>
      <c r="L572" t="s">
        <v>9884</v>
      </c>
    </row>
    <row r="573" spans="1:12" x14ac:dyDescent="0.3">
      <c r="A573" t="s">
        <v>2028</v>
      </c>
      <c r="B573" s="5" t="s">
        <v>6031</v>
      </c>
      <c r="C573" t="s">
        <v>6456</v>
      </c>
      <c r="D573" t="s">
        <v>2029</v>
      </c>
      <c r="E573" t="s">
        <v>2030</v>
      </c>
      <c r="F573" s="1">
        <v>45051</v>
      </c>
      <c r="G573" t="s">
        <v>45</v>
      </c>
      <c r="H573" s="24">
        <v>4126</v>
      </c>
      <c r="I573" t="str">
        <f>IF(H573&lt;=0,"",LOOKUP(H573,'Regras e Parâmetros'!$B$4:$B$7,'Regras e Parâmetros'!$A$4:$A$7))</f>
        <v>Prata</v>
      </c>
      <c r="J573" t="s">
        <v>6747</v>
      </c>
    </row>
    <row r="574" spans="1:12" x14ac:dyDescent="0.3">
      <c r="A574" t="s">
        <v>4378</v>
      </c>
      <c r="B574" s="5" t="s">
        <v>8870</v>
      </c>
      <c r="C574" t="s">
        <v>6456</v>
      </c>
      <c r="D574" t="s">
        <v>4379</v>
      </c>
      <c r="E574" t="s">
        <v>4380</v>
      </c>
      <c r="F574" s="1">
        <v>45832</v>
      </c>
      <c r="G574" t="s">
        <v>51</v>
      </c>
      <c r="H574" s="24">
        <v>0</v>
      </c>
      <c r="I574" t="str">
        <f>IF(H574&lt;=0,"",LOOKUP(H574,'Regras e Parâmetros'!$B$4:$B$7,'Regras e Parâmetros'!$A$4:$A$7))</f>
        <v/>
      </c>
      <c r="J574" t="s">
        <v>6456</v>
      </c>
      <c r="L574" t="s">
        <v>9883</v>
      </c>
    </row>
    <row r="575" spans="1:12" x14ac:dyDescent="0.3">
      <c r="A575" t="s">
        <v>9130</v>
      </c>
      <c r="B575" s="5" t="s">
        <v>9131</v>
      </c>
      <c r="C575" t="s">
        <v>6456</v>
      </c>
      <c r="D575" t="s">
        <v>4808</v>
      </c>
      <c r="E575" t="s">
        <v>4809</v>
      </c>
      <c r="F575" s="1">
        <v>45955</v>
      </c>
      <c r="G575" t="s">
        <v>18</v>
      </c>
      <c r="H575" s="24">
        <v>0</v>
      </c>
      <c r="I575" t="str">
        <f>IF(H575&lt;=0,"",LOOKUP(H575,'Regras e Parâmetros'!$B$4:$B$7,'Regras e Parâmetros'!$A$4:$A$7))</f>
        <v/>
      </c>
      <c r="J575" t="s">
        <v>9790</v>
      </c>
      <c r="L575" t="s">
        <v>9883</v>
      </c>
    </row>
    <row r="576" spans="1:12" x14ac:dyDescent="0.3">
      <c r="A576" t="s">
        <v>9237</v>
      </c>
      <c r="B576" s="5" t="s">
        <v>9238</v>
      </c>
      <c r="C576" t="s">
        <v>6456</v>
      </c>
      <c r="D576" t="s">
        <v>1098</v>
      </c>
      <c r="E576" t="s">
        <v>4997</v>
      </c>
      <c r="F576" s="1">
        <v>46010</v>
      </c>
      <c r="G576" t="s">
        <v>110</v>
      </c>
      <c r="H576" s="24">
        <v>0</v>
      </c>
      <c r="I576" t="str">
        <f>IF(H576&lt;=0,"",LOOKUP(H576,'Regras e Parâmetros'!$B$4:$B$7,'Regras e Parâmetros'!$A$4:$A$7))</f>
        <v/>
      </c>
      <c r="J576" t="s">
        <v>6456</v>
      </c>
      <c r="K576" t="s">
        <v>187</v>
      </c>
      <c r="L576" t="s">
        <v>9886</v>
      </c>
    </row>
    <row r="577" spans="1:12" x14ac:dyDescent="0.3">
      <c r="A577" t="s">
        <v>6839</v>
      </c>
      <c r="B577" s="5" t="s">
        <v>714</v>
      </c>
      <c r="C577" t="s">
        <v>6456</v>
      </c>
      <c r="D577" t="s">
        <v>715</v>
      </c>
      <c r="E577" t="s">
        <v>6840</v>
      </c>
      <c r="F577" s="1">
        <v>44593</v>
      </c>
      <c r="G577" t="s">
        <v>45</v>
      </c>
      <c r="H577" s="24">
        <v>0</v>
      </c>
      <c r="I577" t="str">
        <f>IF(H577&lt;=0,"",LOOKUP(H577,'Regras e Parâmetros'!$B$4:$B$7,'Regras e Parâmetros'!$A$4:$A$7))</f>
        <v/>
      </c>
      <c r="J577" t="s">
        <v>9790</v>
      </c>
      <c r="L577" t="s">
        <v>9791</v>
      </c>
    </row>
    <row r="578" spans="1:12" x14ac:dyDescent="0.3">
      <c r="A578" t="s">
        <v>4644</v>
      </c>
      <c r="B578" s="5" t="s">
        <v>4645</v>
      </c>
      <c r="C578" t="s">
        <v>6456</v>
      </c>
      <c r="D578" t="s">
        <v>4646</v>
      </c>
      <c r="E578" t="s">
        <v>9031</v>
      </c>
      <c r="F578" s="1">
        <v>45907</v>
      </c>
      <c r="G578" t="s">
        <v>51</v>
      </c>
      <c r="H578" s="24">
        <v>0</v>
      </c>
      <c r="I578" t="str">
        <f>IF(H578&lt;=0,"",LOOKUP(H578,'Regras e Parâmetros'!$B$4:$B$7,'Regras e Parâmetros'!$A$4:$A$7))</f>
        <v/>
      </c>
      <c r="J578" t="s">
        <v>9790</v>
      </c>
      <c r="L578" t="s">
        <v>9883</v>
      </c>
    </row>
    <row r="579" spans="1:12" x14ac:dyDescent="0.3">
      <c r="A579" t="s">
        <v>2018</v>
      </c>
      <c r="B579" s="5" t="s">
        <v>7585</v>
      </c>
      <c r="C579" t="s">
        <v>6456</v>
      </c>
      <c r="D579" t="s">
        <v>2019</v>
      </c>
      <c r="E579" t="s">
        <v>2020</v>
      </c>
      <c r="F579" s="1">
        <v>45049</v>
      </c>
      <c r="G579" t="s">
        <v>22</v>
      </c>
      <c r="H579" s="24">
        <v>2235</v>
      </c>
      <c r="I579" t="str">
        <f>IF(H579&lt;=0,"",LOOKUP(H579,'Regras e Parâmetros'!$B$4:$B$7,'Regras e Parâmetros'!$A$4:$A$7))</f>
        <v>Prata</v>
      </c>
      <c r="J579" t="s">
        <v>6747</v>
      </c>
      <c r="K579" t="s">
        <v>72</v>
      </c>
    </row>
    <row r="580" spans="1:12" x14ac:dyDescent="0.3">
      <c r="A580" t="s">
        <v>8194</v>
      </c>
      <c r="B580" s="5" t="s">
        <v>8195</v>
      </c>
      <c r="C580" t="s">
        <v>6456</v>
      </c>
      <c r="D580" t="s">
        <v>3166</v>
      </c>
      <c r="E580" t="s">
        <v>8196</v>
      </c>
      <c r="F580" s="1">
        <v>45455</v>
      </c>
      <c r="G580" t="s">
        <v>22</v>
      </c>
      <c r="H580" s="24">
        <v>288</v>
      </c>
      <c r="I580" t="str">
        <f>IF(H580&lt;=0,"",LOOKUP(H580,'Regras e Parâmetros'!$B$4:$B$7,'Regras e Parâmetros'!$A$4:$A$7))</f>
        <v>Bronze</v>
      </c>
      <c r="J580" t="s">
        <v>6747</v>
      </c>
    </row>
    <row r="581" spans="1:12" x14ac:dyDescent="0.3">
      <c r="A581" t="s">
        <v>8984</v>
      </c>
      <c r="B581" s="5" t="s">
        <v>8985</v>
      </c>
      <c r="C581" t="s">
        <v>6456</v>
      </c>
      <c r="D581" t="s">
        <v>4551</v>
      </c>
      <c r="E581" t="s">
        <v>4552</v>
      </c>
      <c r="F581" s="1">
        <v>45883</v>
      </c>
      <c r="G581" t="s">
        <v>18</v>
      </c>
      <c r="H581" s="24">
        <v>0</v>
      </c>
      <c r="I581" t="str">
        <f>IF(H581&lt;=0,"",LOOKUP(H581,'Regras e Parâmetros'!$B$4:$B$7,'Regras e Parâmetros'!$A$4:$A$7))</f>
        <v/>
      </c>
      <c r="J581" t="s">
        <v>6456</v>
      </c>
      <c r="L581" t="s">
        <v>9883</v>
      </c>
    </row>
    <row r="582" spans="1:12" x14ac:dyDescent="0.3">
      <c r="A582" t="s">
        <v>2021</v>
      </c>
      <c r="B582" s="5" t="s">
        <v>2022</v>
      </c>
      <c r="C582" t="s">
        <v>6456</v>
      </c>
      <c r="D582" t="s">
        <v>2023</v>
      </c>
      <c r="E582" t="s">
        <v>2024</v>
      </c>
      <c r="F582" s="1">
        <v>45050</v>
      </c>
      <c r="G582" t="s">
        <v>100</v>
      </c>
      <c r="H582" s="24">
        <v>1018</v>
      </c>
      <c r="I582" t="str">
        <f>IF(H582&lt;=0,"",LOOKUP(H582,'Regras e Parâmetros'!$B$4:$B$7,'Regras e Parâmetros'!$A$4:$A$7))</f>
        <v>Bronze</v>
      </c>
      <c r="J582" t="s">
        <v>6456</v>
      </c>
      <c r="K582" t="s">
        <v>8</v>
      </c>
      <c r="L582" t="s">
        <v>9792</v>
      </c>
    </row>
    <row r="583" spans="1:12" x14ac:dyDescent="0.3">
      <c r="A583" t="s">
        <v>5409</v>
      </c>
      <c r="B583" s="5" t="s">
        <v>9481</v>
      </c>
      <c r="C583" t="s">
        <v>6456</v>
      </c>
      <c r="D583" t="s">
        <v>5410</v>
      </c>
      <c r="E583" t="s">
        <v>5411</v>
      </c>
      <c r="F583" s="1">
        <v>46131</v>
      </c>
      <c r="G583" t="s">
        <v>18</v>
      </c>
      <c r="H583" s="24">
        <v>0</v>
      </c>
      <c r="I583" t="str">
        <f>IF(H583&lt;=0,"",LOOKUP(H583,'Regras e Parâmetros'!$B$4:$B$7,'Regras e Parâmetros'!$A$4:$A$7))</f>
        <v/>
      </c>
      <c r="J583" t="s">
        <v>6456</v>
      </c>
      <c r="L583" t="s">
        <v>9883</v>
      </c>
    </row>
    <row r="584" spans="1:12" x14ac:dyDescent="0.3">
      <c r="A584" t="s">
        <v>9436</v>
      </c>
      <c r="B584" s="5" t="s">
        <v>9437</v>
      </c>
      <c r="C584" t="s">
        <v>6456</v>
      </c>
      <c r="D584" t="s">
        <v>5316</v>
      </c>
      <c r="E584" t="s">
        <v>5317</v>
      </c>
      <c r="F584" s="1">
        <v>46110</v>
      </c>
      <c r="G584" t="s">
        <v>110</v>
      </c>
      <c r="H584" s="24">
        <v>0</v>
      </c>
      <c r="I584" t="str">
        <f>IF(H584&lt;=0,"",LOOKUP(H584,'Regras e Parâmetros'!$B$4:$B$7,'Regras e Parâmetros'!$A$4:$A$7))</f>
        <v/>
      </c>
      <c r="J584" t="s">
        <v>6747</v>
      </c>
      <c r="K584" t="s">
        <v>72</v>
      </c>
      <c r="L584" t="s">
        <v>9886</v>
      </c>
    </row>
    <row r="585" spans="1:12" x14ac:dyDescent="0.3">
      <c r="A585" t="s">
        <v>5810</v>
      </c>
      <c r="B585" s="5" t="s">
        <v>5811</v>
      </c>
      <c r="C585" t="s">
        <v>6456</v>
      </c>
      <c r="D585" t="s">
        <v>5812</v>
      </c>
      <c r="E585" t="s">
        <v>9710</v>
      </c>
      <c r="F585" s="1">
        <v>46246</v>
      </c>
      <c r="G585" t="s">
        <v>51</v>
      </c>
      <c r="H585" s="24">
        <v>0</v>
      </c>
      <c r="I585" t="str">
        <f>IF(H585&lt;=0,"",LOOKUP(H585,'Regras e Parâmetros'!$B$4:$B$7,'Regras e Parâmetros'!$A$4:$A$7))</f>
        <v/>
      </c>
      <c r="J585" t="s">
        <v>9790</v>
      </c>
      <c r="L585" t="s">
        <v>9883</v>
      </c>
    </row>
    <row r="586" spans="1:12" x14ac:dyDescent="0.3">
      <c r="A586" t="s">
        <v>2072</v>
      </c>
      <c r="B586" s="5" t="s">
        <v>7605</v>
      </c>
      <c r="C586" t="s">
        <v>6456</v>
      </c>
      <c r="D586" t="s">
        <v>2073</v>
      </c>
      <c r="E586" t="s">
        <v>7606</v>
      </c>
      <c r="F586" s="1">
        <v>45065</v>
      </c>
      <c r="G586" t="s">
        <v>110</v>
      </c>
      <c r="H586" s="24">
        <v>6417</v>
      </c>
      <c r="I586" t="str">
        <f>IF(H586&lt;=0,"",LOOKUP(H586,'Regras e Parâmetros'!$B$4:$B$7,'Regras e Parâmetros'!$A$4:$A$7))</f>
        <v>Ouro</v>
      </c>
      <c r="J586" t="s">
        <v>6747</v>
      </c>
      <c r="K586" t="s">
        <v>33</v>
      </c>
    </row>
    <row r="587" spans="1:12" x14ac:dyDescent="0.3">
      <c r="A587" t="s">
        <v>5866</v>
      </c>
      <c r="B587" s="5" t="s">
        <v>5867</v>
      </c>
      <c r="C587" t="s">
        <v>6456</v>
      </c>
      <c r="D587" t="s">
        <v>5868</v>
      </c>
      <c r="E587" t="s">
        <v>5869</v>
      </c>
      <c r="F587" s="1">
        <v>46261</v>
      </c>
      <c r="G587" t="s">
        <v>51</v>
      </c>
      <c r="H587" s="24">
        <v>0</v>
      </c>
      <c r="I587" t="str">
        <f>IF(H587&lt;=0,"",LOOKUP(H587,'Regras e Parâmetros'!$B$4:$B$7,'Regras e Parâmetros'!$A$4:$A$7))</f>
        <v/>
      </c>
      <c r="J587" t="s">
        <v>9790</v>
      </c>
      <c r="L587" t="s">
        <v>9883</v>
      </c>
    </row>
    <row r="588" spans="1:12" x14ac:dyDescent="0.3">
      <c r="A588" t="s">
        <v>4972</v>
      </c>
      <c r="B588" s="5" t="s">
        <v>4973</v>
      </c>
      <c r="C588" t="s">
        <v>6456</v>
      </c>
      <c r="D588" t="s">
        <v>4974</v>
      </c>
      <c r="E588" t="s">
        <v>9222</v>
      </c>
      <c r="F588" s="1">
        <v>46003</v>
      </c>
      <c r="G588" t="s">
        <v>18</v>
      </c>
      <c r="H588" s="24">
        <v>0</v>
      </c>
      <c r="I588" t="str">
        <f>IF(H588&lt;=0,"",LOOKUP(H588,'Regras e Parâmetros'!$B$4:$B$7,'Regras e Parâmetros'!$A$4:$A$7))</f>
        <v/>
      </c>
      <c r="J588" t="s">
        <v>6747</v>
      </c>
      <c r="L588" t="s">
        <v>9883</v>
      </c>
    </row>
    <row r="589" spans="1:12" x14ac:dyDescent="0.3">
      <c r="A589" t="s">
        <v>1697</v>
      </c>
      <c r="B589" s="5" t="s">
        <v>7409</v>
      </c>
      <c r="C589" t="s">
        <v>6456</v>
      </c>
      <c r="D589" t="s">
        <v>1698</v>
      </c>
      <c r="E589" t="s">
        <v>7410</v>
      </c>
      <c r="F589" s="1">
        <v>44940</v>
      </c>
      <c r="G589" t="s">
        <v>18</v>
      </c>
      <c r="H589" s="24">
        <v>1633</v>
      </c>
      <c r="I589" t="str">
        <f>IF(H589&lt;=0,"",LOOKUP(H589,'Regras e Parâmetros'!$B$4:$B$7,'Regras e Parâmetros'!$A$4:$A$7))</f>
        <v>Prata</v>
      </c>
      <c r="J589" t="s">
        <v>6456</v>
      </c>
    </row>
    <row r="590" spans="1:12" x14ac:dyDescent="0.3">
      <c r="A590" t="s">
        <v>6998</v>
      </c>
      <c r="B590" s="5" t="s">
        <v>6999</v>
      </c>
      <c r="C590" t="s">
        <v>6456</v>
      </c>
      <c r="D590" t="s">
        <v>966</v>
      </c>
      <c r="E590" t="s">
        <v>7000</v>
      </c>
      <c r="F590" s="1">
        <v>44694</v>
      </c>
      <c r="G590" t="s">
        <v>110</v>
      </c>
      <c r="H590" s="24">
        <v>612</v>
      </c>
      <c r="I590" t="str">
        <f>IF(H590&lt;=0,"",LOOKUP(H590,'Regras e Parâmetros'!$B$4:$B$7,'Regras e Parâmetros'!$A$4:$A$7))</f>
        <v>Bronze</v>
      </c>
      <c r="J590" t="s">
        <v>6456</v>
      </c>
      <c r="K590" t="s">
        <v>177</v>
      </c>
    </row>
    <row r="591" spans="1:12" x14ac:dyDescent="0.3">
      <c r="A591" t="s">
        <v>2190</v>
      </c>
      <c r="B591" s="5" t="s">
        <v>2191</v>
      </c>
      <c r="C591" t="s">
        <v>6456</v>
      </c>
      <c r="D591" t="s">
        <v>2192</v>
      </c>
      <c r="E591" t="s">
        <v>2193</v>
      </c>
      <c r="F591" s="1">
        <v>45108</v>
      </c>
      <c r="G591" t="s">
        <v>100</v>
      </c>
      <c r="H591" s="24">
        <v>0</v>
      </c>
      <c r="I591" t="str">
        <f>IF(H591&lt;=0,"",LOOKUP(H591,'Regras e Parâmetros'!$B$4:$B$7,'Regras e Parâmetros'!$A$4:$A$7))</f>
        <v/>
      </c>
      <c r="J591" t="s">
        <v>6747</v>
      </c>
    </row>
    <row r="592" spans="1:12" x14ac:dyDescent="0.3">
      <c r="A592" t="s">
        <v>2393</v>
      </c>
      <c r="B592" s="5" t="s">
        <v>2394</v>
      </c>
      <c r="C592" t="s">
        <v>6456</v>
      </c>
      <c r="D592" t="s">
        <v>2395</v>
      </c>
      <c r="E592" t="s">
        <v>2396</v>
      </c>
      <c r="F592" s="1">
        <v>45159</v>
      </c>
      <c r="G592" t="s">
        <v>22</v>
      </c>
      <c r="H592" s="24">
        <v>0</v>
      </c>
      <c r="I592" t="str">
        <f>IF(H592&lt;=0,"",LOOKUP(H592,'Regras e Parâmetros'!$B$4:$B$7,'Regras e Parâmetros'!$A$4:$A$7))</f>
        <v/>
      </c>
      <c r="J592" t="s">
        <v>9790</v>
      </c>
      <c r="K592" t="s">
        <v>708</v>
      </c>
    </row>
    <row r="593" spans="1:12" x14ac:dyDescent="0.3">
      <c r="A593" t="s">
        <v>2217</v>
      </c>
      <c r="B593" s="5" t="s">
        <v>7703</v>
      </c>
      <c r="C593" t="s">
        <v>6456</v>
      </c>
      <c r="D593" t="s">
        <v>2218</v>
      </c>
      <c r="E593" t="s">
        <v>2219</v>
      </c>
      <c r="F593" s="1">
        <v>45114</v>
      </c>
      <c r="G593" t="s">
        <v>45</v>
      </c>
      <c r="H593" s="24">
        <v>0</v>
      </c>
      <c r="I593" t="str">
        <f>IF(H593&lt;=0,"",LOOKUP(H593,'Regras e Parâmetros'!$B$4:$B$7,'Regras e Parâmetros'!$A$4:$A$7))</f>
        <v/>
      </c>
      <c r="J593" t="s">
        <v>6747</v>
      </c>
      <c r="K593" t="s">
        <v>33</v>
      </c>
    </row>
    <row r="594" spans="1:12" x14ac:dyDescent="0.3">
      <c r="A594" t="s">
        <v>3430</v>
      </c>
      <c r="B594" s="5" t="s">
        <v>3655</v>
      </c>
      <c r="C594" t="s">
        <v>6456</v>
      </c>
      <c r="D594" t="s">
        <v>3656</v>
      </c>
      <c r="E594" t="s">
        <v>3431</v>
      </c>
      <c r="F594" s="1">
        <v>45542</v>
      </c>
      <c r="G594" t="s">
        <v>18</v>
      </c>
      <c r="H594" s="24">
        <v>0</v>
      </c>
      <c r="I594" t="str">
        <f>IF(H594&lt;=0,"",LOOKUP(H594,'Regras e Parâmetros'!$B$4:$B$7,'Regras e Parâmetros'!$A$4:$A$7))</f>
        <v/>
      </c>
      <c r="J594" t="s">
        <v>6456</v>
      </c>
      <c r="K594" t="s">
        <v>9871</v>
      </c>
    </row>
    <row r="595" spans="1:12" x14ac:dyDescent="0.3">
      <c r="A595" t="s">
        <v>7355</v>
      </c>
      <c r="B595" s="5" t="s">
        <v>7356</v>
      </c>
      <c r="C595" t="s">
        <v>6456</v>
      </c>
      <c r="D595" t="s">
        <v>1611</v>
      </c>
      <c r="E595" t="s">
        <v>7357</v>
      </c>
      <c r="F595" s="1">
        <v>44911</v>
      </c>
      <c r="G595" t="s">
        <v>51</v>
      </c>
      <c r="H595" s="24">
        <v>6440</v>
      </c>
      <c r="I595" t="str">
        <f>IF(H595&lt;=0,"",LOOKUP(H595,'Regras e Parâmetros'!$B$4:$B$7,'Regras e Parâmetros'!$A$4:$A$7))</f>
        <v>Ouro</v>
      </c>
      <c r="J595" t="s">
        <v>9790</v>
      </c>
      <c r="K595" t="s">
        <v>177</v>
      </c>
    </row>
    <row r="596" spans="1:12" x14ac:dyDescent="0.3">
      <c r="A596" t="s">
        <v>8794</v>
      </c>
      <c r="B596" s="5" t="s">
        <v>8795</v>
      </c>
      <c r="C596" t="s">
        <v>6456</v>
      </c>
      <c r="D596" t="s">
        <v>4235</v>
      </c>
      <c r="E596" t="s">
        <v>10097</v>
      </c>
      <c r="F596" s="1">
        <v>45783</v>
      </c>
      <c r="G596" t="s">
        <v>22</v>
      </c>
      <c r="H596" s="24">
        <v>0</v>
      </c>
      <c r="I596" t="str">
        <f>IF(H596&lt;=0,"",LOOKUP(H596,'Regras e Parâmetros'!$B$4:$B$7,'Regras e Parâmetros'!$A$4:$A$7))</f>
        <v/>
      </c>
      <c r="J596" t="s">
        <v>6456</v>
      </c>
      <c r="L596" t="s">
        <v>9883</v>
      </c>
    </row>
    <row r="597" spans="1:12" x14ac:dyDescent="0.3">
      <c r="A597" t="s">
        <v>4349</v>
      </c>
      <c r="B597" s="5" t="s">
        <v>4350</v>
      </c>
      <c r="C597" t="s">
        <v>6456</v>
      </c>
      <c r="D597" t="s">
        <v>4351</v>
      </c>
      <c r="E597" t="s">
        <v>8856</v>
      </c>
      <c r="F597" s="1">
        <v>45823</v>
      </c>
      <c r="G597" t="s">
        <v>45</v>
      </c>
      <c r="H597" s="24">
        <v>0</v>
      </c>
      <c r="I597" t="str">
        <f>IF(H597&lt;=0,"",LOOKUP(H597,'Regras e Parâmetros'!$B$4:$B$7,'Regras e Parâmetros'!$A$4:$A$7))</f>
        <v/>
      </c>
      <c r="J597" t="s">
        <v>6456</v>
      </c>
      <c r="L597" t="s">
        <v>9883</v>
      </c>
    </row>
    <row r="598" spans="1:12" x14ac:dyDescent="0.3">
      <c r="A598" t="s">
        <v>5734</v>
      </c>
      <c r="B598" s="5" t="s">
        <v>5735</v>
      </c>
      <c r="C598" t="s">
        <v>6456</v>
      </c>
      <c r="D598" t="s">
        <v>5736</v>
      </c>
      <c r="E598" t="s">
        <v>9664</v>
      </c>
      <c r="F598" s="1">
        <v>46229</v>
      </c>
      <c r="G598" t="s">
        <v>18</v>
      </c>
      <c r="H598" s="24">
        <v>0</v>
      </c>
      <c r="I598" t="str">
        <f>IF(H598&lt;=0,"",LOOKUP(H598,'Regras e Parâmetros'!$B$4:$B$7,'Regras e Parâmetros'!$A$4:$A$7))</f>
        <v/>
      </c>
      <c r="J598" t="s">
        <v>6456</v>
      </c>
      <c r="K598" t="s">
        <v>177</v>
      </c>
      <c r="L598" t="s">
        <v>9883</v>
      </c>
    </row>
    <row r="599" spans="1:12" x14ac:dyDescent="0.3">
      <c r="A599" t="s">
        <v>4373</v>
      </c>
      <c r="B599" s="5" t="s">
        <v>4374</v>
      </c>
      <c r="C599" t="s">
        <v>6456</v>
      </c>
      <c r="D599" t="s">
        <v>4375</v>
      </c>
      <c r="E599" t="s">
        <v>8867</v>
      </c>
      <c r="F599" s="1">
        <v>45831</v>
      </c>
      <c r="G599" t="s">
        <v>51</v>
      </c>
      <c r="H599" s="24">
        <v>0</v>
      </c>
      <c r="I599" t="str">
        <f>IF(H599&lt;=0,"",LOOKUP(H599,'Regras e Parâmetros'!$B$4:$B$7,'Regras e Parâmetros'!$A$4:$A$7))</f>
        <v/>
      </c>
      <c r="J599" t="s">
        <v>6747</v>
      </c>
      <c r="K599" t="s">
        <v>33</v>
      </c>
      <c r="L599" t="s">
        <v>9883</v>
      </c>
    </row>
    <row r="600" spans="1:12" x14ac:dyDescent="0.3">
      <c r="A600" t="s">
        <v>1071</v>
      </c>
      <c r="B600" s="5" t="s">
        <v>1072</v>
      </c>
      <c r="C600" t="s">
        <v>6456</v>
      </c>
      <c r="D600" t="s">
        <v>1073</v>
      </c>
      <c r="E600" t="s">
        <v>1074</v>
      </c>
      <c r="F600" s="1">
        <v>44735</v>
      </c>
      <c r="G600" t="s">
        <v>51</v>
      </c>
      <c r="H600" s="24">
        <v>681</v>
      </c>
      <c r="I600" t="str">
        <f>IF(H600&lt;=0,"",LOOKUP(H600,'Regras e Parâmetros'!$B$4:$B$7,'Regras e Parâmetros'!$A$4:$A$7))</f>
        <v>Bronze</v>
      </c>
      <c r="J600" t="s">
        <v>6456</v>
      </c>
    </row>
    <row r="601" spans="1:12" x14ac:dyDescent="0.3">
      <c r="A601" t="s">
        <v>5824</v>
      </c>
      <c r="B601" s="5" t="s">
        <v>9717</v>
      </c>
      <c r="C601" t="s">
        <v>6456</v>
      </c>
      <c r="D601" t="s">
        <v>5825</v>
      </c>
      <c r="E601" t="s">
        <v>9718</v>
      </c>
      <c r="F601" s="1">
        <v>46247</v>
      </c>
      <c r="G601" t="s">
        <v>45</v>
      </c>
      <c r="H601" s="24">
        <v>0</v>
      </c>
      <c r="I601" t="str">
        <f>IF(H601&lt;=0,"",LOOKUP(H601,'Regras e Parâmetros'!$B$4:$B$7,'Regras e Parâmetros'!$A$4:$A$7))</f>
        <v/>
      </c>
      <c r="J601" t="s">
        <v>6747</v>
      </c>
      <c r="L601" t="s">
        <v>9883</v>
      </c>
    </row>
    <row r="602" spans="1:12" x14ac:dyDescent="0.3">
      <c r="A602" t="s">
        <v>761</v>
      </c>
      <c r="B602" s="5" t="s">
        <v>6844</v>
      </c>
      <c r="C602" t="s">
        <v>6456</v>
      </c>
      <c r="D602" t="s">
        <v>1614</v>
      </c>
      <c r="E602" t="s">
        <v>762</v>
      </c>
      <c r="F602" s="1">
        <v>44593</v>
      </c>
      <c r="G602" t="s">
        <v>51</v>
      </c>
      <c r="H602" s="24">
        <v>1210</v>
      </c>
      <c r="I602" t="str">
        <f>IF(H602&lt;=0,"",LOOKUP(H602,'Regras e Parâmetros'!$B$4:$B$7,'Regras e Parâmetros'!$A$4:$A$7))</f>
        <v>Bronze</v>
      </c>
      <c r="J602" t="s">
        <v>6747</v>
      </c>
      <c r="K602" t="s">
        <v>9807</v>
      </c>
      <c r="L602" t="s">
        <v>9791</v>
      </c>
    </row>
    <row r="603" spans="1:12" x14ac:dyDescent="0.3">
      <c r="A603" t="s">
        <v>5333</v>
      </c>
      <c r="B603" s="5" t="s">
        <v>9443</v>
      </c>
      <c r="C603" t="s">
        <v>6456</v>
      </c>
      <c r="D603" t="s">
        <v>5334</v>
      </c>
      <c r="E603" t="s">
        <v>5335</v>
      </c>
      <c r="F603" s="1">
        <v>46113</v>
      </c>
      <c r="G603" t="s">
        <v>45</v>
      </c>
      <c r="H603" s="24">
        <v>0</v>
      </c>
      <c r="I603" t="str">
        <f>IF(H603&lt;=0,"",LOOKUP(H603,'Regras e Parâmetros'!$B$4:$B$7,'Regras e Parâmetros'!$A$4:$A$7))</f>
        <v/>
      </c>
      <c r="J603" t="s">
        <v>6456</v>
      </c>
      <c r="K603" t="s">
        <v>708</v>
      </c>
      <c r="L603" t="s">
        <v>9886</v>
      </c>
    </row>
    <row r="604" spans="1:12" x14ac:dyDescent="0.3">
      <c r="A604" t="s">
        <v>8717</v>
      </c>
      <c r="B604" s="5" t="s">
        <v>8718</v>
      </c>
      <c r="C604" t="s">
        <v>6456</v>
      </c>
      <c r="D604" t="s">
        <v>4110</v>
      </c>
      <c r="E604" t="s">
        <v>8719</v>
      </c>
      <c r="F604" s="1">
        <v>45746</v>
      </c>
      <c r="G604" t="s">
        <v>51</v>
      </c>
      <c r="H604" s="24">
        <v>0</v>
      </c>
      <c r="I604" t="str">
        <f>IF(H604&lt;=0,"",LOOKUP(H604,'Regras e Parâmetros'!$B$4:$B$7,'Regras e Parâmetros'!$A$4:$A$7))</f>
        <v/>
      </c>
      <c r="J604" t="s">
        <v>9790</v>
      </c>
      <c r="L604" t="s">
        <v>9883</v>
      </c>
    </row>
    <row r="605" spans="1:12" x14ac:dyDescent="0.3">
      <c r="A605" t="s">
        <v>3878</v>
      </c>
      <c r="B605" s="5" t="s">
        <v>8588</v>
      </c>
      <c r="C605" t="s">
        <v>6456</v>
      </c>
      <c r="D605" t="s">
        <v>3879</v>
      </c>
      <c r="E605" t="s">
        <v>3880</v>
      </c>
      <c r="F605" s="1">
        <v>45685</v>
      </c>
      <c r="G605" t="s">
        <v>51</v>
      </c>
      <c r="H605" s="24">
        <v>0</v>
      </c>
      <c r="I605" t="str">
        <f>IF(H605&lt;=0,"",LOOKUP(H605,'Regras e Parâmetros'!$B$4:$B$7,'Regras e Parâmetros'!$A$4:$A$7))</f>
        <v/>
      </c>
      <c r="J605" t="s">
        <v>9790</v>
      </c>
      <c r="L605" t="s">
        <v>9883</v>
      </c>
    </row>
    <row r="606" spans="1:12" x14ac:dyDescent="0.3">
      <c r="A606" t="s">
        <v>3878</v>
      </c>
      <c r="B606" s="5" t="s">
        <v>9721</v>
      </c>
      <c r="C606" t="s">
        <v>6456</v>
      </c>
      <c r="D606" t="s">
        <v>5828</v>
      </c>
      <c r="E606" t="s">
        <v>5829</v>
      </c>
      <c r="F606" s="1">
        <v>46248</v>
      </c>
      <c r="G606" t="s">
        <v>51</v>
      </c>
      <c r="H606" s="24">
        <v>0</v>
      </c>
      <c r="I606" t="str">
        <f>IF(H606&lt;=0,"",LOOKUP(H606,'Regras e Parâmetros'!$B$4:$B$7,'Regras e Parâmetros'!$A$4:$A$7))</f>
        <v/>
      </c>
      <c r="J606" t="s">
        <v>6456</v>
      </c>
      <c r="L606" t="s">
        <v>9886</v>
      </c>
    </row>
    <row r="607" spans="1:12" x14ac:dyDescent="0.3">
      <c r="A607" t="s">
        <v>5577</v>
      </c>
      <c r="B607" s="5" t="s">
        <v>5578</v>
      </c>
      <c r="C607" t="s">
        <v>6456</v>
      </c>
      <c r="D607" t="s">
        <v>5579</v>
      </c>
      <c r="E607" t="s">
        <v>5580</v>
      </c>
      <c r="F607" s="1">
        <v>46178</v>
      </c>
      <c r="G607" t="s">
        <v>51</v>
      </c>
      <c r="H607" s="24">
        <v>0</v>
      </c>
      <c r="I607" t="str">
        <f>IF(H607&lt;=0,"",LOOKUP(H607,'Regras e Parâmetros'!$B$4:$B$7,'Regras e Parâmetros'!$A$4:$A$7))</f>
        <v/>
      </c>
      <c r="J607" t="s">
        <v>9790</v>
      </c>
      <c r="L607" t="s">
        <v>9883</v>
      </c>
    </row>
    <row r="608" spans="1:12" x14ac:dyDescent="0.3">
      <c r="A608" t="s">
        <v>4849</v>
      </c>
      <c r="B608" s="5" t="s">
        <v>9149</v>
      </c>
      <c r="C608" t="s">
        <v>6456</v>
      </c>
      <c r="D608" t="s">
        <v>6006</v>
      </c>
      <c r="E608" t="s">
        <v>6007</v>
      </c>
      <c r="F608" s="1">
        <v>45965</v>
      </c>
      <c r="G608" t="s">
        <v>110</v>
      </c>
      <c r="H608" s="24">
        <v>0</v>
      </c>
      <c r="I608" t="str">
        <f>IF(H608&lt;=0,"",LOOKUP(H608,'Regras e Parâmetros'!$B$4:$B$7,'Regras e Parâmetros'!$A$4:$A$7))</f>
        <v/>
      </c>
      <c r="J608" t="s">
        <v>9790</v>
      </c>
      <c r="K608" t="s">
        <v>9912</v>
      </c>
      <c r="L608" t="s">
        <v>9883</v>
      </c>
    </row>
    <row r="609" spans="1:12" x14ac:dyDescent="0.3">
      <c r="A609" t="s">
        <v>5318</v>
      </c>
      <c r="B609" s="5" t="s">
        <v>5319</v>
      </c>
      <c r="C609" t="s">
        <v>6456</v>
      </c>
      <c r="D609" t="s">
        <v>5320</v>
      </c>
      <c r="E609" t="s">
        <v>5321</v>
      </c>
      <c r="F609" s="1">
        <v>46111</v>
      </c>
      <c r="G609" t="s">
        <v>110</v>
      </c>
      <c r="H609" s="24">
        <v>0</v>
      </c>
      <c r="I609" t="str">
        <f>IF(H609&lt;=0,"",LOOKUP(H609,'Regras e Parâmetros'!$B$4:$B$7,'Regras e Parâmetros'!$A$4:$A$7))</f>
        <v/>
      </c>
      <c r="J609" t="s">
        <v>9790</v>
      </c>
      <c r="L609" t="s">
        <v>9883</v>
      </c>
    </row>
    <row r="610" spans="1:12" x14ac:dyDescent="0.3">
      <c r="A610" t="s">
        <v>6715</v>
      </c>
      <c r="B610" s="5" t="s">
        <v>480</v>
      </c>
      <c r="C610" t="s">
        <v>6456</v>
      </c>
      <c r="D610" t="s">
        <v>481</v>
      </c>
      <c r="E610" t="s">
        <v>6716</v>
      </c>
      <c r="F610" s="1">
        <v>44512</v>
      </c>
      <c r="G610" t="s">
        <v>18</v>
      </c>
      <c r="H610" s="24">
        <v>6800</v>
      </c>
      <c r="I610" t="str">
        <f>IF(H610&lt;=0,"",LOOKUP(H610,'Regras e Parâmetros'!$B$4:$B$7,'Regras e Parâmetros'!$A$4:$A$7))</f>
        <v>Ouro</v>
      </c>
      <c r="J610" t="s">
        <v>6456</v>
      </c>
      <c r="L610" t="s">
        <v>9793</v>
      </c>
    </row>
    <row r="611" spans="1:12" x14ac:dyDescent="0.3">
      <c r="A611" t="s">
        <v>1075</v>
      </c>
      <c r="B611" s="5" t="s">
        <v>7164</v>
      </c>
      <c r="C611" t="s">
        <v>6456</v>
      </c>
      <c r="D611" t="s">
        <v>1077</v>
      </c>
      <c r="E611" t="s">
        <v>1078</v>
      </c>
      <c r="F611" s="1">
        <v>44822</v>
      </c>
      <c r="G611" t="s">
        <v>51</v>
      </c>
      <c r="H611" s="24">
        <v>7695</v>
      </c>
      <c r="I611" t="str">
        <f>IF(H611&lt;=0,"",LOOKUP(H611,'Regras e Parâmetros'!$B$4:$B$7,'Regras e Parâmetros'!$A$4:$A$7))</f>
        <v>Ouro</v>
      </c>
      <c r="J611" t="s">
        <v>9790</v>
      </c>
    </row>
    <row r="612" spans="1:12" x14ac:dyDescent="0.3">
      <c r="A612" t="s">
        <v>3319</v>
      </c>
      <c r="B612" s="5" t="s">
        <v>3320</v>
      </c>
      <c r="C612" t="s">
        <v>6456</v>
      </c>
      <c r="D612" t="s">
        <v>3321</v>
      </c>
      <c r="E612" t="s">
        <v>8273</v>
      </c>
      <c r="F612" s="1">
        <v>45506</v>
      </c>
      <c r="G612" t="s">
        <v>45</v>
      </c>
      <c r="H612" s="24">
        <v>153</v>
      </c>
      <c r="I612" t="str">
        <f>IF(H612&lt;=0,"",LOOKUP(H612,'Regras e Parâmetros'!$B$4:$B$7,'Regras e Parâmetros'!$A$4:$A$7))</f>
        <v>Bronze</v>
      </c>
      <c r="J612" t="s">
        <v>9790</v>
      </c>
    </row>
    <row r="613" spans="1:12" x14ac:dyDescent="0.3">
      <c r="A613" t="s">
        <v>7710</v>
      </c>
      <c r="B613" s="5" t="s">
        <v>7711</v>
      </c>
      <c r="C613" t="s">
        <v>6456</v>
      </c>
      <c r="D613" t="s">
        <v>2576</v>
      </c>
      <c r="E613" t="s">
        <v>7712</v>
      </c>
      <c r="F613" s="1">
        <v>45120</v>
      </c>
      <c r="G613" t="s">
        <v>22</v>
      </c>
      <c r="H613" s="24">
        <v>1550</v>
      </c>
      <c r="I613" t="str">
        <f>IF(H613&lt;=0,"",LOOKUP(H613,'Regras e Parâmetros'!$B$4:$B$7,'Regras e Parâmetros'!$A$4:$A$7))</f>
        <v>Prata</v>
      </c>
      <c r="J613" t="s">
        <v>6456</v>
      </c>
      <c r="K613" t="s">
        <v>9844</v>
      </c>
    </row>
    <row r="614" spans="1:12" x14ac:dyDescent="0.3">
      <c r="A614" t="s">
        <v>2582</v>
      </c>
      <c r="B614" s="5" t="s">
        <v>7906</v>
      </c>
      <c r="C614" t="s">
        <v>6456</v>
      </c>
      <c r="D614" t="s">
        <v>2583</v>
      </c>
      <c r="E614" t="s">
        <v>7907</v>
      </c>
      <c r="F614" s="1">
        <v>45228</v>
      </c>
      <c r="G614" t="s">
        <v>110</v>
      </c>
      <c r="H614" s="24">
        <v>804</v>
      </c>
      <c r="I614" t="str">
        <f>IF(H614&lt;=0,"",LOOKUP(H614,'Regras e Parâmetros'!$B$4:$B$7,'Regras e Parâmetros'!$A$4:$A$7))</f>
        <v>Bronze</v>
      </c>
      <c r="J614" t="s">
        <v>6456</v>
      </c>
    </row>
    <row r="615" spans="1:12" x14ac:dyDescent="0.3">
      <c r="A615" t="s">
        <v>9396</v>
      </c>
      <c r="B615" s="5" t="s">
        <v>5991</v>
      </c>
      <c r="C615" t="s">
        <v>6456</v>
      </c>
      <c r="D615" t="s">
        <v>5992</v>
      </c>
      <c r="E615" t="s">
        <v>5255</v>
      </c>
      <c r="F615" s="1">
        <v>46092</v>
      </c>
      <c r="G615" t="s">
        <v>18</v>
      </c>
      <c r="H615" s="24">
        <v>0</v>
      </c>
      <c r="I615" t="str">
        <f>IF(H615&lt;=0,"",LOOKUP(H615,'Regras e Parâmetros'!$B$4:$B$7,'Regras e Parâmetros'!$A$4:$A$7))</f>
        <v/>
      </c>
      <c r="J615" t="s">
        <v>9790</v>
      </c>
      <c r="K615" t="s">
        <v>9922</v>
      </c>
      <c r="L615" t="s">
        <v>9883</v>
      </c>
    </row>
    <row r="616" spans="1:12" x14ac:dyDescent="0.3">
      <c r="A616" t="s">
        <v>9344</v>
      </c>
      <c r="B616" s="5" t="s">
        <v>5174</v>
      </c>
      <c r="C616" t="s">
        <v>6456</v>
      </c>
      <c r="D616" t="s">
        <v>5175</v>
      </c>
      <c r="E616" t="s">
        <v>5176</v>
      </c>
      <c r="F616" s="1">
        <v>46064</v>
      </c>
      <c r="G616" t="s">
        <v>100</v>
      </c>
      <c r="H616" s="24">
        <v>0</v>
      </c>
      <c r="I616" t="str">
        <f>IF(H616&lt;=0,"",LOOKUP(H616,'Regras e Parâmetros'!$B$4:$B$7,'Regras e Parâmetros'!$A$4:$A$7))</f>
        <v/>
      </c>
      <c r="J616" t="s">
        <v>6456</v>
      </c>
      <c r="L616" t="s">
        <v>9883</v>
      </c>
    </row>
    <row r="617" spans="1:12" x14ac:dyDescent="0.3">
      <c r="A617" t="s">
        <v>1961</v>
      </c>
      <c r="B617" s="5" t="s">
        <v>1962</v>
      </c>
      <c r="C617" t="s">
        <v>6456</v>
      </c>
      <c r="D617" t="s">
        <v>1963</v>
      </c>
      <c r="E617" t="s">
        <v>1964</v>
      </c>
      <c r="F617" s="1">
        <v>45030</v>
      </c>
      <c r="G617" t="s">
        <v>18</v>
      </c>
      <c r="H617" s="24">
        <v>3500</v>
      </c>
      <c r="I617" t="str">
        <f>IF(H617&lt;=0,"",LOOKUP(H617,'Regras e Parâmetros'!$B$4:$B$7,'Regras e Parâmetros'!$A$4:$A$7))</f>
        <v>Prata</v>
      </c>
      <c r="J617" t="s">
        <v>9790</v>
      </c>
      <c r="L617" t="s">
        <v>9793</v>
      </c>
    </row>
    <row r="618" spans="1:12" x14ac:dyDescent="0.3">
      <c r="A618" t="s">
        <v>2764</v>
      </c>
      <c r="B618" s="5" t="s">
        <v>8001</v>
      </c>
      <c r="C618" t="s">
        <v>6456</v>
      </c>
      <c r="D618" t="s">
        <v>2766</v>
      </c>
      <c r="E618" t="s">
        <v>2767</v>
      </c>
      <c r="F618" s="1">
        <v>45297</v>
      </c>
      <c r="G618" t="s">
        <v>51</v>
      </c>
      <c r="H618" s="24">
        <v>1674</v>
      </c>
      <c r="I618" t="str">
        <f>IF(H618&lt;=0,"",LOOKUP(H618,'Regras e Parâmetros'!$B$4:$B$7,'Regras e Parâmetros'!$A$4:$A$7))</f>
        <v>Prata</v>
      </c>
      <c r="J618" t="s">
        <v>6747</v>
      </c>
      <c r="L618" t="s">
        <v>9792</v>
      </c>
    </row>
    <row r="619" spans="1:12" x14ac:dyDescent="0.3">
      <c r="A619" t="s">
        <v>7412</v>
      </c>
      <c r="B619" s="5" t="s">
        <v>1701</v>
      </c>
      <c r="C619" t="s">
        <v>6456</v>
      </c>
      <c r="D619" t="s">
        <v>1702</v>
      </c>
      <c r="E619" t="s">
        <v>7413</v>
      </c>
      <c r="F619" s="1">
        <v>44941</v>
      </c>
      <c r="G619" t="s">
        <v>100</v>
      </c>
      <c r="H619" s="24">
        <v>15000</v>
      </c>
      <c r="I619" t="str">
        <f>IF(H619&lt;=0,"",LOOKUP(H619,'Regras e Parâmetros'!$B$4:$B$7,'Regras e Parâmetros'!$A$4:$A$7))</f>
        <v>Vip</v>
      </c>
      <c r="J619" t="s">
        <v>6456</v>
      </c>
      <c r="K619" t="s">
        <v>177</v>
      </c>
    </row>
    <row r="620" spans="1:12" x14ac:dyDescent="0.3">
      <c r="A620" t="s">
        <v>1729</v>
      </c>
      <c r="B620" s="5" t="s">
        <v>1730</v>
      </c>
      <c r="C620" t="s">
        <v>6456</v>
      </c>
      <c r="D620" t="s">
        <v>1731</v>
      </c>
      <c r="E620" t="s">
        <v>7422</v>
      </c>
      <c r="F620" s="1">
        <v>44949</v>
      </c>
      <c r="G620" t="s">
        <v>45</v>
      </c>
      <c r="H620" s="24">
        <v>0</v>
      </c>
      <c r="I620" t="str">
        <f>IF(H620&lt;=0,"",LOOKUP(H620,'Regras e Parâmetros'!$B$4:$B$7,'Regras e Parâmetros'!$A$4:$A$7))</f>
        <v/>
      </c>
      <c r="J620" t="s">
        <v>6747</v>
      </c>
    </row>
    <row r="621" spans="1:12" x14ac:dyDescent="0.3">
      <c r="A621" t="s">
        <v>3901</v>
      </c>
      <c r="B621" s="5" t="s">
        <v>5236</v>
      </c>
      <c r="C621" t="s">
        <v>6456</v>
      </c>
      <c r="D621" t="s">
        <v>5237</v>
      </c>
      <c r="E621" t="s">
        <v>8611</v>
      </c>
      <c r="F621" s="1">
        <v>45692</v>
      </c>
      <c r="G621" t="s">
        <v>51</v>
      </c>
      <c r="H621" s="24">
        <v>0</v>
      </c>
      <c r="I621" t="str">
        <f>IF(H621&lt;=0,"",LOOKUP(H621,'Regras e Parâmetros'!$B$4:$B$7,'Regras e Parâmetros'!$A$4:$A$7))</f>
        <v/>
      </c>
      <c r="J621" t="s">
        <v>6747</v>
      </c>
      <c r="K621" t="s">
        <v>9887</v>
      </c>
      <c r="L621" t="s">
        <v>9883</v>
      </c>
    </row>
    <row r="622" spans="1:12" x14ac:dyDescent="0.3">
      <c r="A622" t="s">
        <v>4019</v>
      </c>
      <c r="B622" s="5" t="s">
        <v>4020</v>
      </c>
      <c r="C622" t="s">
        <v>6456</v>
      </c>
      <c r="D622" t="s">
        <v>8668</v>
      </c>
      <c r="E622" t="s">
        <v>8669</v>
      </c>
      <c r="F622" s="1">
        <v>45722</v>
      </c>
      <c r="G622" t="s">
        <v>100</v>
      </c>
      <c r="H622" s="24">
        <v>0</v>
      </c>
      <c r="I622" t="str">
        <f>IF(H622&lt;=0,"",LOOKUP(H622,'Regras e Parâmetros'!$B$4:$B$7,'Regras e Parâmetros'!$A$4:$A$7))</f>
        <v/>
      </c>
      <c r="J622" t="s">
        <v>9790</v>
      </c>
      <c r="L622" t="s">
        <v>9883</v>
      </c>
    </row>
    <row r="623" spans="1:12" x14ac:dyDescent="0.3">
      <c r="A623" t="s">
        <v>9081</v>
      </c>
      <c r="B623" s="5" t="s">
        <v>4764</v>
      </c>
      <c r="C623" t="s">
        <v>6456</v>
      </c>
      <c r="D623" t="s">
        <v>4765</v>
      </c>
      <c r="E623" t="s">
        <v>4766</v>
      </c>
      <c r="F623" s="1">
        <v>45931</v>
      </c>
      <c r="G623" t="s">
        <v>110</v>
      </c>
      <c r="H623" s="24">
        <v>0</v>
      </c>
      <c r="I623" t="str">
        <f>IF(H623&lt;=0,"",LOOKUP(H623,'Regras e Parâmetros'!$B$4:$B$7,'Regras e Parâmetros'!$A$4:$A$7))</f>
        <v/>
      </c>
      <c r="J623" t="s">
        <v>6456</v>
      </c>
      <c r="L623" t="s">
        <v>9884</v>
      </c>
    </row>
    <row r="624" spans="1:12" x14ac:dyDescent="0.3">
      <c r="A624" t="s">
        <v>4679</v>
      </c>
      <c r="B624" s="5" t="s">
        <v>9055</v>
      </c>
      <c r="C624" t="s">
        <v>6456</v>
      </c>
      <c r="D624" t="s">
        <v>4680</v>
      </c>
      <c r="E624" t="s">
        <v>9056</v>
      </c>
      <c r="F624" s="1">
        <v>45921</v>
      </c>
      <c r="G624" t="s">
        <v>45</v>
      </c>
      <c r="H624" s="24">
        <v>0</v>
      </c>
      <c r="I624" t="str">
        <f>IF(H624&lt;=0,"",LOOKUP(H624,'Regras e Parâmetros'!$B$4:$B$7,'Regras e Parâmetros'!$A$4:$A$7))</f>
        <v/>
      </c>
      <c r="J624" t="s">
        <v>9790</v>
      </c>
      <c r="L624" t="s">
        <v>9883</v>
      </c>
    </row>
    <row r="625" spans="1:12" x14ac:dyDescent="0.3">
      <c r="A625" t="s">
        <v>3949</v>
      </c>
      <c r="B625" s="5" t="s">
        <v>8638</v>
      </c>
      <c r="C625" t="s">
        <v>6456</v>
      </c>
      <c r="D625" t="s">
        <v>3950</v>
      </c>
      <c r="E625" t="s">
        <v>3951</v>
      </c>
      <c r="F625" s="1">
        <v>45701</v>
      </c>
      <c r="G625" t="s">
        <v>51</v>
      </c>
      <c r="H625" s="24">
        <v>0</v>
      </c>
      <c r="I625" t="str">
        <f>IF(H625&lt;=0,"",LOOKUP(H625,'Regras e Parâmetros'!$B$4:$B$7,'Regras e Parâmetros'!$A$4:$A$7))</f>
        <v/>
      </c>
      <c r="J625" t="s">
        <v>6747</v>
      </c>
      <c r="K625" t="s">
        <v>8</v>
      </c>
      <c r="L625" t="s">
        <v>9886</v>
      </c>
    </row>
    <row r="626" spans="1:12" x14ac:dyDescent="0.3">
      <c r="A626" t="s">
        <v>8698</v>
      </c>
      <c r="B626" s="5" t="s">
        <v>8699</v>
      </c>
      <c r="C626" t="s">
        <v>6456</v>
      </c>
      <c r="D626" t="s">
        <v>4077</v>
      </c>
      <c r="E626" t="s">
        <v>8700</v>
      </c>
      <c r="F626" s="1">
        <v>45737</v>
      </c>
      <c r="G626" t="s">
        <v>45</v>
      </c>
      <c r="H626" s="24">
        <v>0</v>
      </c>
      <c r="I626" t="str">
        <f>IF(H626&lt;=0,"",LOOKUP(H626,'Regras e Parâmetros'!$B$4:$B$7,'Regras e Parâmetros'!$A$4:$A$7))</f>
        <v/>
      </c>
      <c r="J626" t="s">
        <v>9790</v>
      </c>
      <c r="L626" t="s">
        <v>9883</v>
      </c>
    </row>
    <row r="627" spans="1:12" x14ac:dyDescent="0.3">
      <c r="A627" t="s">
        <v>1079</v>
      </c>
      <c r="B627" s="5" t="s">
        <v>1080</v>
      </c>
      <c r="C627" t="s">
        <v>6456</v>
      </c>
      <c r="D627" t="s">
        <v>1081</v>
      </c>
      <c r="E627" t="s">
        <v>1082</v>
      </c>
      <c r="F627" s="1">
        <v>44805</v>
      </c>
      <c r="G627" t="s">
        <v>45</v>
      </c>
      <c r="H627" s="24">
        <v>2912</v>
      </c>
      <c r="I627" t="str">
        <f>IF(H627&lt;=0,"",LOOKUP(H627,'Regras e Parâmetros'!$B$4:$B$7,'Regras e Parâmetros'!$A$4:$A$7))</f>
        <v>Prata</v>
      </c>
      <c r="J627" t="s">
        <v>9790</v>
      </c>
      <c r="L627" t="s">
        <v>9791</v>
      </c>
    </row>
    <row r="628" spans="1:12" x14ac:dyDescent="0.3">
      <c r="A628" t="s">
        <v>5727</v>
      </c>
      <c r="B628" s="5" t="s">
        <v>5728</v>
      </c>
      <c r="C628" t="s">
        <v>6456</v>
      </c>
      <c r="D628" t="s">
        <v>5729</v>
      </c>
      <c r="E628" t="s">
        <v>9658</v>
      </c>
      <c r="F628" s="1">
        <v>46228</v>
      </c>
      <c r="G628" t="s">
        <v>18</v>
      </c>
      <c r="H628" s="24">
        <v>0</v>
      </c>
      <c r="I628" t="str">
        <f>IF(H628&lt;=0,"",LOOKUP(H628,'Regras e Parâmetros'!$B$4:$B$7,'Regras e Parâmetros'!$A$4:$A$7))</f>
        <v/>
      </c>
      <c r="J628" t="s">
        <v>9790</v>
      </c>
      <c r="K628" t="s">
        <v>177</v>
      </c>
      <c r="L628" t="s">
        <v>9883</v>
      </c>
    </row>
    <row r="629" spans="1:12" x14ac:dyDescent="0.3">
      <c r="A629" t="s">
        <v>9742</v>
      </c>
      <c r="B629" s="5" t="s">
        <v>5873</v>
      </c>
      <c r="C629" t="s">
        <v>6456</v>
      </c>
      <c r="D629" t="s">
        <v>5874</v>
      </c>
      <c r="E629" t="s">
        <v>10098</v>
      </c>
      <c r="F629" s="1">
        <v>46262</v>
      </c>
      <c r="G629" t="s">
        <v>22</v>
      </c>
      <c r="H629" s="24">
        <v>0</v>
      </c>
      <c r="I629" t="str">
        <f>IF(H629&lt;=0,"",LOOKUP(H629,'Regras e Parâmetros'!$B$4:$B$7,'Regras e Parâmetros'!$A$4:$A$7))</f>
        <v/>
      </c>
      <c r="J629" t="s">
        <v>9790</v>
      </c>
      <c r="L629" t="s">
        <v>9883</v>
      </c>
    </row>
    <row r="630" spans="1:12" x14ac:dyDescent="0.3">
      <c r="A630" t="s">
        <v>2942</v>
      </c>
      <c r="B630" s="5" t="s">
        <v>8091</v>
      </c>
      <c r="C630" t="s">
        <v>6456</v>
      </c>
      <c r="D630" t="s">
        <v>2944</v>
      </c>
      <c r="E630" t="s">
        <v>10099</v>
      </c>
      <c r="F630" s="1">
        <v>45377</v>
      </c>
      <c r="G630" t="s">
        <v>51</v>
      </c>
      <c r="H630" s="24">
        <v>1063</v>
      </c>
      <c r="I630" t="str">
        <f>IF(H630&lt;=0,"",LOOKUP(H630,'Regras e Parâmetros'!$B$4:$B$7,'Regras e Parâmetros'!$A$4:$A$7))</f>
        <v>Bronze</v>
      </c>
      <c r="J630" t="s">
        <v>6747</v>
      </c>
    </row>
    <row r="631" spans="1:12" x14ac:dyDescent="0.3">
      <c r="A631" t="s">
        <v>9181</v>
      </c>
      <c r="B631" s="5" t="s">
        <v>4893</v>
      </c>
      <c r="C631" t="s">
        <v>6456</v>
      </c>
      <c r="D631" t="s">
        <v>4894</v>
      </c>
      <c r="E631" t="s">
        <v>9182</v>
      </c>
      <c r="F631" s="1">
        <v>45981</v>
      </c>
      <c r="G631" t="s">
        <v>22</v>
      </c>
      <c r="H631" s="24">
        <v>0</v>
      </c>
      <c r="I631" t="str">
        <f>IF(H631&lt;=0,"",LOOKUP(H631,'Regras e Parâmetros'!$B$4:$B$7,'Regras e Parâmetros'!$A$4:$A$7))</f>
        <v/>
      </c>
      <c r="J631" t="s">
        <v>9790</v>
      </c>
      <c r="K631" t="s">
        <v>8</v>
      </c>
      <c r="L631" t="s">
        <v>9883</v>
      </c>
    </row>
    <row r="632" spans="1:12" x14ac:dyDescent="0.3">
      <c r="A632" t="s">
        <v>8382</v>
      </c>
      <c r="B632" s="5" t="s">
        <v>3553</v>
      </c>
      <c r="C632" t="s">
        <v>6747</v>
      </c>
      <c r="D632" t="s">
        <v>3554</v>
      </c>
      <c r="E632" t="s">
        <v>8383</v>
      </c>
      <c r="F632" s="1">
        <v>45583</v>
      </c>
      <c r="G632" t="s">
        <v>22</v>
      </c>
      <c r="H632" s="24">
        <v>793</v>
      </c>
      <c r="I632" t="str">
        <f>IF(H632&lt;=0,"",LOOKUP(H632,'Regras e Parâmetros'!$B$4:$B$7,'Regras e Parâmetros'!$A$4:$A$7))</f>
        <v>Bronze</v>
      </c>
      <c r="J632" t="s">
        <v>9790</v>
      </c>
      <c r="L632" t="s">
        <v>10240</v>
      </c>
    </row>
    <row r="633" spans="1:12" x14ac:dyDescent="0.3">
      <c r="A633" t="s">
        <v>5526</v>
      </c>
      <c r="B633" s="5" t="s">
        <v>5527</v>
      </c>
      <c r="C633" t="s">
        <v>6456</v>
      </c>
      <c r="D633" t="s">
        <v>5528</v>
      </c>
      <c r="E633" t="s">
        <v>9532</v>
      </c>
      <c r="F633" s="1">
        <v>46165</v>
      </c>
      <c r="G633" t="s">
        <v>45</v>
      </c>
      <c r="H633" s="24">
        <v>0</v>
      </c>
      <c r="I633" t="str">
        <f>IF(H633&lt;=0,"",LOOKUP(H633,'Regras e Parâmetros'!$B$4:$B$7,'Regras e Parâmetros'!$A$4:$A$7))</f>
        <v/>
      </c>
      <c r="J633" t="s">
        <v>9790</v>
      </c>
      <c r="L633" t="s">
        <v>9883</v>
      </c>
    </row>
    <row r="634" spans="1:12" x14ac:dyDescent="0.3">
      <c r="A634" t="s">
        <v>7332</v>
      </c>
      <c r="B634" s="5" t="s">
        <v>7333</v>
      </c>
      <c r="C634" t="s">
        <v>6456</v>
      </c>
      <c r="D634" t="s">
        <v>1569</v>
      </c>
      <c r="E634" t="s">
        <v>1570</v>
      </c>
      <c r="F634" s="1">
        <v>44898</v>
      </c>
      <c r="G634" t="s">
        <v>110</v>
      </c>
      <c r="H634" s="24">
        <v>1093</v>
      </c>
      <c r="I634" t="str">
        <f>IF(H634&lt;=0,"",LOOKUP(H634,'Regras e Parâmetros'!$B$4:$B$7,'Regras e Parâmetros'!$A$4:$A$7))</f>
        <v>Bronze</v>
      </c>
      <c r="J634" t="s">
        <v>6456</v>
      </c>
      <c r="K634" t="s">
        <v>187</v>
      </c>
      <c r="L634" t="s">
        <v>9792</v>
      </c>
    </row>
    <row r="635" spans="1:12" x14ac:dyDescent="0.3">
      <c r="A635" t="s">
        <v>2927</v>
      </c>
      <c r="B635" s="5" t="s">
        <v>2928</v>
      </c>
      <c r="C635" t="s">
        <v>6456</v>
      </c>
      <c r="D635" t="s">
        <v>2929</v>
      </c>
      <c r="E635" t="s">
        <v>8083</v>
      </c>
      <c r="F635" s="1">
        <v>45366</v>
      </c>
      <c r="G635" t="s">
        <v>45</v>
      </c>
      <c r="H635" s="24">
        <v>924</v>
      </c>
      <c r="I635" t="str">
        <f>IF(H635&lt;=0,"",LOOKUP(H635,'Regras e Parâmetros'!$B$4:$B$7,'Regras e Parâmetros'!$A$4:$A$7))</f>
        <v>Bronze</v>
      </c>
      <c r="J635" t="s">
        <v>6456</v>
      </c>
    </row>
    <row r="636" spans="1:12" x14ac:dyDescent="0.3">
      <c r="A636" t="s">
        <v>3661</v>
      </c>
      <c r="B636" s="5" t="s">
        <v>8452</v>
      </c>
      <c r="C636" t="s">
        <v>6456</v>
      </c>
      <c r="D636" t="s">
        <v>3662</v>
      </c>
      <c r="E636" t="s">
        <v>3663</v>
      </c>
      <c r="F636" s="1">
        <v>45612</v>
      </c>
      <c r="G636" t="s">
        <v>51</v>
      </c>
      <c r="H636" s="24">
        <v>74</v>
      </c>
      <c r="I636" t="str">
        <f>IF(H636&lt;=0,"",LOOKUP(H636,'Regras e Parâmetros'!$B$4:$B$7,'Regras e Parâmetros'!$A$4:$A$7))</f>
        <v>Bronze</v>
      </c>
      <c r="J636" t="s">
        <v>6747</v>
      </c>
      <c r="L636" t="s">
        <v>9792</v>
      </c>
    </row>
    <row r="637" spans="1:12" x14ac:dyDescent="0.3">
      <c r="A637" t="s">
        <v>2638</v>
      </c>
      <c r="B637" s="5" t="s">
        <v>2639</v>
      </c>
      <c r="C637" t="s">
        <v>6456</v>
      </c>
      <c r="D637" t="s">
        <v>2640</v>
      </c>
      <c r="E637" t="s">
        <v>2641</v>
      </c>
      <c r="F637" s="1">
        <v>45246</v>
      </c>
      <c r="G637" t="s">
        <v>51</v>
      </c>
      <c r="H637" s="24">
        <v>994</v>
      </c>
      <c r="I637" t="str">
        <f>IF(H637&lt;=0,"",LOOKUP(H637,'Regras e Parâmetros'!$B$4:$B$7,'Regras e Parâmetros'!$A$4:$A$7))</f>
        <v>Bronze</v>
      </c>
      <c r="J637" t="s">
        <v>6456</v>
      </c>
    </row>
    <row r="638" spans="1:12" x14ac:dyDescent="0.3">
      <c r="A638" t="s">
        <v>7792</v>
      </c>
      <c r="B638" s="5" t="s">
        <v>7793</v>
      </c>
      <c r="C638" t="s">
        <v>6456</v>
      </c>
      <c r="D638" t="s">
        <v>2381</v>
      </c>
      <c r="E638" t="s">
        <v>7794</v>
      </c>
      <c r="F638" s="1">
        <v>45156</v>
      </c>
      <c r="G638" t="s">
        <v>51</v>
      </c>
      <c r="H638" s="24">
        <v>2353</v>
      </c>
      <c r="I638" t="str">
        <f>IF(H638&lt;=0,"",LOOKUP(H638,'Regras e Parâmetros'!$B$4:$B$7,'Regras e Parâmetros'!$A$4:$A$7))</f>
        <v>Prata</v>
      </c>
      <c r="J638" t="s">
        <v>6747</v>
      </c>
    </row>
    <row r="639" spans="1:12" x14ac:dyDescent="0.3">
      <c r="A639" t="s">
        <v>7747</v>
      </c>
      <c r="B639" s="5" t="s">
        <v>7748</v>
      </c>
      <c r="C639" t="s">
        <v>6456</v>
      </c>
      <c r="D639" t="s">
        <v>2300</v>
      </c>
      <c r="E639" t="s">
        <v>7749</v>
      </c>
      <c r="F639" s="1">
        <v>45136</v>
      </c>
      <c r="G639" t="s">
        <v>110</v>
      </c>
      <c r="H639" s="24">
        <v>745</v>
      </c>
      <c r="I639" t="str">
        <f>IF(H639&lt;=0,"",LOOKUP(H639,'Regras e Parâmetros'!$B$4:$B$7,'Regras e Parâmetros'!$A$4:$A$7))</f>
        <v>Bronze</v>
      </c>
      <c r="J639" t="s">
        <v>9790</v>
      </c>
    </row>
    <row r="640" spans="1:12" x14ac:dyDescent="0.3">
      <c r="A640" t="s">
        <v>4628</v>
      </c>
      <c r="B640" s="5" t="s">
        <v>9021</v>
      </c>
      <c r="C640" t="s">
        <v>6456</v>
      </c>
      <c r="D640" t="s">
        <v>3239</v>
      </c>
      <c r="E640" t="s">
        <v>9022</v>
      </c>
      <c r="F640" s="1">
        <v>45903</v>
      </c>
      <c r="G640" t="s">
        <v>110</v>
      </c>
      <c r="H640" s="24">
        <v>0</v>
      </c>
      <c r="I640" t="str">
        <f>IF(H640&lt;=0,"",LOOKUP(H640,'Regras e Parâmetros'!$B$4:$B$7,'Regras e Parâmetros'!$A$4:$A$7))</f>
        <v/>
      </c>
      <c r="J640" t="s">
        <v>9790</v>
      </c>
      <c r="L640" t="s">
        <v>9883</v>
      </c>
    </row>
    <row r="641" spans="1:12" x14ac:dyDescent="0.3">
      <c r="A641" t="s">
        <v>890</v>
      </c>
      <c r="B641" s="5" t="s">
        <v>891</v>
      </c>
      <c r="C641" t="s">
        <v>6456</v>
      </c>
      <c r="D641" t="s">
        <v>892</v>
      </c>
      <c r="E641" t="s">
        <v>893</v>
      </c>
      <c r="F641" s="1">
        <v>44662</v>
      </c>
      <c r="G641" t="s">
        <v>22</v>
      </c>
      <c r="H641" s="24">
        <v>904</v>
      </c>
      <c r="I641" t="str">
        <f>IF(H641&lt;=0,"",LOOKUP(H641,'Regras e Parâmetros'!$B$4:$B$7,'Regras e Parâmetros'!$A$4:$A$7))</f>
        <v>Bronze</v>
      </c>
      <c r="J641" t="s">
        <v>6456</v>
      </c>
    </row>
    <row r="642" spans="1:12" x14ac:dyDescent="0.3">
      <c r="A642" t="s">
        <v>1839</v>
      </c>
      <c r="B642" s="5" t="s">
        <v>7492</v>
      </c>
      <c r="C642" t="s">
        <v>6456</v>
      </c>
      <c r="D642" t="s">
        <v>1840</v>
      </c>
      <c r="E642" t="s">
        <v>1841</v>
      </c>
      <c r="F642" s="1">
        <v>44988</v>
      </c>
      <c r="G642" t="s">
        <v>45</v>
      </c>
      <c r="H642" s="24">
        <v>3828</v>
      </c>
      <c r="I642" t="str">
        <f>IF(H642&lt;=0,"",LOOKUP(H642,'Regras e Parâmetros'!$B$4:$B$7,'Regras e Parâmetros'!$A$4:$A$7))</f>
        <v>Prata</v>
      </c>
      <c r="J642" t="s">
        <v>9790</v>
      </c>
    </row>
    <row r="643" spans="1:12" x14ac:dyDescent="0.3">
      <c r="A643" t="s">
        <v>9042</v>
      </c>
      <c r="B643" s="5" t="s">
        <v>9043</v>
      </c>
      <c r="C643" t="s">
        <v>6456</v>
      </c>
      <c r="D643" t="s">
        <v>1808</v>
      </c>
      <c r="E643" t="s">
        <v>4665</v>
      </c>
      <c r="F643" s="1">
        <v>45917</v>
      </c>
      <c r="G643" t="s">
        <v>22</v>
      </c>
      <c r="H643" s="24">
        <v>0</v>
      </c>
      <c r="I643" t="str">
        <f>IF(H643&lt;=0,"",LOOKUP(H643,'Regras e Parâmetros'!$B$4:$B$7,'Regras e Parâmetros'!$A$4:$A$7))</f>
        <v/>
      </c>
      <c r="J643" t="s">
        <v>9790</v>
      </c>
      <c r="L643" t="s">
        <v>9886</v>
      </c>
    </row>
    <row r="644" spans="1:12" x14ac:dyDescent="0.3">
      <c r="A644" t="s">
        <v>4523</v>
      </c>
      <c r="B644" s="5" t="s">
        <v>8960</v>
      </c>
      <c r="C644" t="s">
        <v>6456</v>
      </c>
      <c r="D644" t="s">
        <v>4524</v>
      </c>
      <c r="E644" t="s">
        <v>4525</v>
      </c>
      <c r="F644" s="1">
        <v>45876</v>
      </c>
      <c r="G644" t="s">
        <v>51</v>
      </c>
      <c r="H644" s="24">
        <v>0</v>
      </c>
      <c r="I644" t="str">
        <f>IF(H644&lt;=0,"",LOOKUP(H644,'Regras e Parâmetros'!$B$4:$B$7,'Regras e Parâmetros'!$A$4:$A$7))</f>
        <v/>
      </c>
      <c r="J644" t="s">
        <v>6747</v>
      </c>
      <c r="L644" t="s">
        <v>9883</v>
      </c>
    </row>
    <row r="645" spans="1:12" x14ac:dyDescent="0.3">
      <c r="A645" t="s">
        <v>5209</v>
      </c>
      <c r="B645" s="5" t="s">
        <v>9363</v>
      </c>
      <c r="C645" t="s">
        <v>6456</v>
      </c>
      <c r="D645" t="s">
        <v>5210</v>
      </c>
      <c r="E645" t="s">
        <v>9364</v>
      </c>
      <c r="F645" s="1">
        <v>46074</v>
      </c>
      <c r="G645" t="s">
        <v>45</v>
      </c>
      <c r="H645" s="24">
        <v>0</v>
      </c>
      <c r="I645" t="str">
        <f>IF(H645&lt;=0,"",LOOKUP(H645,'Regras e Parâmetros'!$B$4:$B$7,'Regras e Parâmetros'!$A$4:$A$7))</f>
        <v/>
      </c>
      <c r="J645" t="s">
        <v>6456</v>
      </c>
      <c r="L645" t="s">
        <v>9883</v>
      </c>
    </row>
    <row r="646" spans="1:12" x14ac:dyDescent="0.3">
      <c r="A646" t="s">
        <v>7374</v>
      </c>
      <c r="B646" s="5" t="s">
        <v>7375</v>
      </c>
      <c r="C646" t="s">
        <v>6456</v>
      </c>
      <c r="D646" t="s">
        <v>1633</v>
      </c>
      <c r="E646" t="s">
        <v>7376</v>
      </c>
      <c r="F646" s="1">
        <v>44923</v>
      </c>
      <c r="G646" t="s">
        <v>110</v>
      </c>
      <c r="H646" s="24">
        <v>1072</v>
      </c>
      <c r="I646" t="str">
        <f>IF(H646&lt;=0,"",LOOKUP(H646,'Regras e Parâmetros'!$B$4:$B$7,'Regras e Parâmetros'!$A$4:$A$7))</f>
        <v>Bronze</v>
      </c>
      <c r="J646" t="s">
        <v>6456</v>
      </c>
    </row>
    <row r="647" spans="1:12" x14ac:dyDescent="0.3">
      <c r="A647" t="s">
        <v>5590</v>
      </c>
      <c r="B647" s="5" t="s">
        <v>5591</v>
      </c>
      <c r="C647" t="s">
        <v>6456</v>
      </c>
      <c r="D647" t="s">
        <v>5592</v>
      </c>
      <c r="E647" t="s">
        <v>9563</v>
      </c>
      <c r="F647" s="1">
        <v>46174</v>
      </c>
      <c r="G647" t="s">
        <v>110</v>
      </c>
      <c r="H647" s="24">
        <v>0</v>
      </c>
      <c r="I647" t="str">
        <f>IF(H647&lt;=0,"",LOOKUP(H647,'Regras e Parâmetros'!$B$4:$B$7,'Regras e Parâmetros'!$A$4:$A$7))</f>
        <v/>
      </c>
      <c r="J647" t="s">
        <v>9790</v>
      </c>
      <c r="L647" t="s">
        <v>9884</v>
      </c>
    </row>
    <row r="648" spans="1:12" x14ac:dyDescent="0.3">
      <c r="A648" t="s">
        <v>4774</v>
      </c>
      <c r="B648" s="5" t="s">
        <v>4775</v>
      </c>
      <c r="C648" t="s">
        <v>6456</v>
      </c>
      <c r="D648" t="s">
        <v>4776</v>
      </c>
      <c r="E648" t="s">
        <v>9118</v>
      </c>
      <c r="F648" s="1">
        <v>45948</v>
      </c>
      <c r="G648" t="s">
        <v>110</v>
      </c>
      <c r="H648" s="24">
        <v>0</v>
      </c>
      <c r="I648" t="str">
        <f>IF(H648&lt;=0,"",LOOKUP(H648,'Regras e Parâmetros'!$B$4:$B$7,'Regras e Parâmetros'!$A$4:$A$7))</f>
        <v/>
      </c>
      <c r="J648" t="s">
        <v>6456</v>
      </c>
      <c r="K648" t="s">
        <v>33</v>
      </c>
      <c r="L648" t="s">
        <v>9883</v>
      </c>
    </row>
    <row r="649" spans="1:12" x14ac:dyDescent="0.3">
      <c r="A649" t="s">
        <v>4661</v>
      </c>
      <c r="B649" s="5" t="s">
        <v>4662</v>
      </c>
      <c r="C649" t="s">
        <v>6456</v>
      </c>
      <c r="D649" t="s">
        <v>4663</v>
      </c>
      <c r="E649" t="s">
        <v>4664</v>
      </c>
      <c r="F649" s="1">
        <v>45915</v>
      </c>
      <c r="G649" t="s">
        <v>18</v>
      </c>
      <c r="H649" s="24">
        <v>0</v>
      </c>
      <c r="I649" t="str">
        <f>IF(H649&lt;=0,"",LOOKUP(H649,'Regras e Parâmetros'!$B$4:$B$7,'Regras e Parâmetros'!$A$4:$A$7))</f>
        <v/>
      </c>
      <c r="J649" t="s">
        <v>9790</v>
      </c>
      <c r="L649" t="s">
        <v>9886</v>
      </c>
    </row>
    <row r="650" spans="1:12" x14ac:dyDescent="0.3">
      <c r="A650" t="s">
        <v>1083</v>
      </c>
      <c r="B650" s="5" t="s">
        <v>7155</v>
      </c>
      <c r="C650" t="s">
        <v>6456</v>
      </c>
      <c r="D650" t="s">
        <v>1084</v>
      </c>
      <c r="E650" t="s">
        <v>7156</v>
      </c>
      <c r="F650" s="1">
        <v>44816</v>
      </c>
      <c r="G650" t="s">
        <v>51</v>
      </c>
      <c r="H650" s="24">
        <v>3316</v>
      </c>
      <c r="I650" t="str">
        <f>IF(H650&lt;=0,"",LOOKUP(H650,'Regras e Parâmetros'!$B$4:$B$7,'Regras e Parâmetros'!$A$4:$A$7))</f>
        <v>Prata</v>
      </c>
      <c r="J650" t="s">
        <v>9790</v>
      </c>
      <c r="K650" t="s">
        <v>44</v>
      </c>
    </row>
    <row r="651" spans="1:12" x14ac:dyDescent="0.3">
      <c r="A651" t="s">
        <v>7483</v>
      </c>
      <c r="B651" s="5" t="s">
        <v>1836</v>
      </c>
      <c r="C651" t="s">
        <v>6456</v>
      </c>
      <c r="D651" t="s">
        <v>2458</v>
      </c>
      <c r="E651" t="s">
        <v>1837</v>
      </c>
      <c r="F651" s="1">
        <v>44986</v>
      </c>
      <c r="G651" t="s">
        <v>110</v>
      </c>
      <c r="H651" s="24">
        <v>4810</v>
      </c>
      <c r="I651" t="str">
        <f>IF(H651&lt;=0,"",LOOKUP(H651,'Regras e Parâmetros'!$B$4:$B$7,'Regras e Parâmetros'!$A$4:$A$7))</f>
        <v>Prata</v>
      </c>
      <c r="J651" t="s">
        <v>6747</v>
      </c>
      <c r="K651" t="s">
        <v>9835</v>
      </c>
      <c r="L651" t="s">
        <v>9791</v>
      </c>
    </row>
    <row r="652" spans="1:12" x14ac:dyDescent="0.3">
      <c r="A652" t="s">
        <v>575</v>
      </c>
      <c r="B652" s="5" t="s">
        <v>6762</v>
      </c>
      <c r="C652" t="s">
        <v>6456</v>
      </c>
      <c r="D652" t="s">
        <v>576</v>
      </c>
      <c r="E652" t="s">
        <v>6763</v>
      </c>
      <c r="F652" s="1">
        <v>44546</v>
      </c>
      <c r="G652" t="s">
        <v>51</v>
      </c>
      <c r="H652" s="24">
        <v>0</v>
      </c>
      <c r="I652" t="str">
        <f>IF(H652&lt;=0,"",LOOKUP(H652,'Regras e Parâmetros'!$B$4:$B$7,'Regras e Parâmetros'!$A$4:$A$7))</f>
        <v/>
      </c>
      <c r="J652" t="s">
        <v>6456</v>
      </c>
    </row>
    <row r="653" spans="1:12" x14ac:dyDescent="0.3">
      <c r="A653" t="s">
        <v>6875</v>
      </c>
      <c r="B653" s="5" t="s">
        <v>6876</v>
      </c>
      <c r="C653" t="s">
        <v>6456</v>
      </c>
      <c r="D653" t="s">
        <v>2444</v>
      </c>
      <c r="E653" t="s">
        <v>760</v>
      </c>
      <c r="F653" s="1">
        <v>44615</v>
      </c>
      <c r="G653" t="s">
        <v>18</v>
      </c>
      <c r="H653" s="24">
        <v>10464</v>
      </c>
      <c r="I653" t="str">
        <f>IF(H653&lt;=0,"",LOOKUP(H653,'Regras e Parâmetros'!$B$4:$B$7,'Regras e Parâmetros'!$A$4:$A$7))</f>
        <v>Vip</v>
      </c>
      <c r="J653" t="s">
        <v>6456</v>
      </c>
      <c r="K653" t="s">
        <v>9810</v>
      </c>
      <c r="L653" t="s">
        <v>9793</v>
      </c>
    </row>
    <row r="654" spans="1:12" x14ac:dyDescent="0.3">
      <c r="A654" t="s">
        <v>6875</v>
      </c>
      <c r="B654" s="5" t="s">
        <v>3434</v>
      </c>
      <c r="C654" t="s">
        <v>6456</v>
      </c>
      <c r="D654" t="s">
        <v>3435</v>
      </c>
      <c r="E654" t="s">
        <v>3436</v>
      </c>
      <c r="F654" s="1">
        <v>45547</v>
      </c>
      <c r="G654" t="s">
        <v>45</v>
      </c>
      <c r="H654" s="24">
        <v>81</v>
      </c>
      <c r="I654" t="str">
        <f>IF(H654&lt;=0,"",LOOKUP(H654,'Regras e Parâmetros'!$B$4:$B$7,'Regras e Parâmetros'!$A$4:$A$7))</f>
        <v>Bronze</v>
      </c>
      <c r="J654" t="s">
        <v>6456</v>
      </c>
    </row>
    <row r="655" spans="1:12" x14ac:dyDescent="0.3">
      <c r="A655" t="s">
        <v>881</v>
      </c>
      <c r="B655" s="5" t="s">
        <v>882</v>
      </c>
      <c r="C655" t="s">
        <v>6456</v>
      </c>
      <c r="D655" t="s">
        <v>883</v>
      </c>
      <c r="E655" t="s">
        <v>884</v>
      </c>
      <c r="F655" s="1">
        <v>44658</v>
      </c>
      <c r="G655" t="s">
        <v>110</v>
      </c>
      <c r="H655" s="24">
        <v>727</v>
      </c>
      <c r="I655" t="str">
        <f>IF(H655&lt;=0,"",LOOKUP(H655,'Regras e Parâmetros'!$B$4:$B$7,'Regras e Parâmetros'!$A$4:$A$7))</f>
        <v>Bronze</v>
      </c>
      <c r="J655" t="s">
        <v>6456</v>
      </c>
    </row>
    <row r="656" spans="1:12" x14ac:dyDescent="0.3">
      <c r="A656" t="s">
        <v>1822</v>
      </c>
      <c r="B656" s="5" t="s">
        <v>7477</v>
      </c>
      <c r="C656" t="s">
        <v>6456</v>
      </c>
      <c r="D656" t="s">
        <v>1823</v>
      </c>
      <c r="E656" t="s">
        <v>1824</v>
      </c>
      <c r="F656" s="1">
        <v>44981</v>
      </c>
      <c r="G656" t="s">
        <v>100</v>
      </c>
      <c r="H656" s="24">
        <v>1917</v>
      </c>
      <c r="I656" t="str">
        <f>IF(H656&lt;=0,"",LOOKUP(H656,'Regras e Parâmetros'!$B$4:$B$7,'Regras e Parâmetros'!$A$4:$A$7))</f>
        <v>Prata</v>
      </c>
      <c r="J656" t="s">
        <v>6747</v>
      </c>
      <c r="K656" t="s">
        <v>708</v>
      </c>
    </row>
    <row r="657" spans="1:12" x14ac:dyDescent="0.3">
      <c r="A657" t="s">
        <v>1403</v>
      </c>
      <c r="B657" s="5" t="s">
        <v>6402</v>
      </c>
      <c r="C657" t="s">
        <v>6456</v>
      </c>
      <c r="D657" t="s">
        <v>1404</v>
      </c>
      <c r="E657" t="s">
        <v>7238</v>
      </c>
      <c r="F657" s="1">
        <v>44856</v>
      </c>
      <c r="G657" t="s">
        <v>110</v>
      </c>
      <c r="H657" s="24">
        <v>1900</v>
      </c>
      <c r="I657" t="str">
        <f>IF(H657&lt;=0,"",LOOKUP(H657,'Regras e Parâmetros'!$B$4:$B$7,'Regras e Parâmetros'!$A$4:$A$7))</f>
        <v>Prata</v>
      </c>
      <c r="J657" t="s">
        <v>9790</v>
      </c>
      <c r="K657" t="s">
        <v>72</v>
      </c>
      <c r="L657" t="s">
        <v>9793</v>
      </c>
    </row>
    <row r="658" spans="1:12" x14ac:dyDescent="0.3">
      <c r="A658" t="s">
        <v>5010</v>
      </c>
      <c r="B658" s="5" t="s">
        <v>9209</v>
      </c>
      <c r="C658" t="s">
        <v>6456</v>
      </c>
      <c r="D658" t="s">
        <v>5011</v>
      </c>
      <c r="E658" t="s">
        <v>9210</v>
      </c>
      <c r="F658" s="1">
        <v>45992</v>
      </c>
      <c r="G658" t="s">
        <v>110</v>
      </c>
      <c r="H658" s="24">
        <v>0</v>
      </c>
      <c r="I658" t="str">
        <f>IF(H658&lt;=0,"",LOOKUP(H658,'Regras e Parâmetros'!$B$4:$B$7,'Regras e Parâmetros'!$A$4:$A$7))</f>
        <v/>
      </c>
      <c r="J658" t="s">
        <v>6456</v>
      </c>
      <c r="K658" t="s">
        <v>8</v>
      </c>
      <c r="L658" t="s">
        <v>9884</v>
      </c>
    </row>
    <row r="659" spans="1:12" x14ac:dyDescent="0.3">
      <c r="A659" t="s">
        <v>1440</v>
      </c>
      <c r="B659" s="5" t="s">
        <v>1441</v>
      </c>
      <c r="C659" t="s">
        <v>6456</v>
      </c>
      <c r="D659" t="s">
        <v>1442</v>
      </c>
      <c r="E659" t="s">
        <v>7257</v>
      </c>
      <c r="F659" s="1">
        <v>44866</v>
      </c>
      <c r="G659" t="s">
        <v>51</v>
      </c>
      <c r="H659" s="24">
        <v>0</v>
      </c>
      <c r="I659" t="str">
        <f>IF(H659&lt;=0,"",LOOKUP(H659,'Regras e Parâmetros'!$B$4:$B$7,'Regras e Parâmetros'!$A$4:$A$7))</f>
        <v/>
      </c>
      <c r="J659" t="s">
        <v>9790</v>
      </c>
    </row>
    <row r="660" spans="1:12" x14ac:dyDescent="0.3">
      <c r="A660" t="s">
        <v>2890</v>
      </c>
      <c r="B660" s="5" t="s">
        <v>6184</v>
      </c>
      <c r="C660" t="s">
        <v>6456</v>
      </c>
      <c r="D660" t="s">
        <v>4233</v>
      </c>
      <c r="E660" t="s">
        <v>4234</v>
      </c>
      <c r="F660" s="1">
        <v>45357</v>
      </c>
      <c r="G660" t="s">
        <v>100</v>
      </c>
      <c r="H660" s="24">
        <v>778</v>
      </c>
      <c r="I660" t="str">
        <f>IF(H660&lt;=0,"",LOOKUP(H660,'Regras e Parâmetros'!$B$4:$B$7,'Regras e Parâmetros'!$A$4:$A$7))</f>
        <v>Bronze</v>
      </c>
      <c r="J660" t="s">
        <v>6747</v>
      </c>
      <c r="K660" t="s">
        <v>9855</v>
      </c>
      <c r="L660" t="s">
        <v>9839</v>
      </c>
    </row>
    <row r="661" spans="1:12" x14ac:dyDescent="0.3">
      <c r="A661" t="s">
        <v>4194</v>
      </c>
      <c r="B661" s="5" t="s">
        <v>4195</v>
      </c>
      <c r="C661" t="s">
        <v>6456</v>
      </c>
      <c r="D661" t="s">
        <v>4196</v>
      </c>
      <c r="E661" t="s">
        <v>8775</v>
      </c>
      <c r="F661" s="1">
        <v>45774</v>
      </c>
      <c r="G661" t="s">
        <v>51</v>
      </c>
      <c r="H661" s="24">
        <v>0</v>
      </c>
      <c r="I661" t="str">
        <f>IF(H661&lt;=0,"",LOOKUP(H661,'Regras e Parâmetros'!$B$4:$B$7,'Regras e Parâmetros'!$A$4:$A$7))</f>
        <v/>
      </c>
      <c r="J661" t="s">
        <v>6747</v>
      </c>
      <c r="L661" t="s">
        <v>9883</v>
      </c>
    </row>
    <row r="662" spans="1:12" x14ac:dyDescent="0.3">
      <c r="A662" t="s">
        <v>40</v>
      </c>
      <c r="B662" s="5" t="s">
        <v>6480</v>
      </c>
      <c r="C662" t="s">
        <v>6456</v>
      </c>
      <c r="D662" t="s">
        <v>41</v>
      </c>
      <c r="E662" t="s">
        <v>42</v>
      </c>
      <c r="F662" s="1">
        <v>44362</v>
      </c>
      <c r="G662" t="s">
        <v>45</v>
      </c>
      <c r="H662" s="24">
        <v>3540</v>
      </c>
      <c r="I662" t="str">
        <f>IF(H662&lt;=0,"",LOOKUP(H662,'Regras e Parâmetros'!$B$4:$B$7,'Regras e Parâmetros'!$A$4:$A$7))</f>
        <v>Prata</v>
      </c>
      <c r="J662" t="s">
        <v>6747</v>
      </c>
      <c r="K662" t="s">
        <v>44</v>
      </c>
    </row>
    <row r="663" spans="1:12" x14ac:dyDescent="0.3">
      <c r="A663" t="s">
        <v>4900</v>
      </c>
      <c r="B663" s="5" t="s">
        <v>8884</v>
      </c>
      <c r="C663" t="s">
        <v>6456</v>
      </c>
      <c r="D663" t="s">
        <v>4409</v>
      </c>
      <c r="E663" t="s">
        <v>8885</v>
      </c>
      <c r="F663" s="1">
        <v>45839</v>
      </c>
      <c r="G663" t="s">
        <v>45</v>
      </c>
      <c r="H663" s="24">
        <v>0</v>
      </c>
      <c r="I663" t="str">
        <f>IF(H663&lt;=0,"",LOOKUP(H663,'Regras e Parâmetros'!$B$4:$B$7,'Regras e Parâmetros'!$A$4:$A$7))</f>
        <v/>
      </c>
      <c r="J663" t="s">
        <v>9790</v>
      </c>
      <c r="K663" t="s">
        <v>8</v>
      </c>
      <c r="L663" t="s">
        <v>9883</v>
      </c>
    </row>
    <row r="664" spans="1:12" x14ac:dyDescent="0.3">
      <c r="A664" t="s">
        <v>4900</v>
      </c>
      <c r="B664" s="5" t="s">
        <v>9185</v>
      </c>
      <c r="C664" t="s">
        <v>6456</v>
      </c>
      <c r="D664" t="s">
        <v>4901</v>
      </c>
      <c r="E664" t="s">
        <v>9186</v>
      </c>
      <c r="F664" s="1">
        <v>45983</v>
      </c>
      <c r="G664" t="s">
        <v>100</v>
      </c>
      <c r="H664" s="24">
        <v>0</v>
      </c>
      <c r="I664" t="str">
        <f>IF(H664&lt;=0,"",LOOKUP(H664,'Regras e Parâmetros'!$B$4:$B$7,'Regras e Parâmetros'!$A$4:$A$7))</f>
        <v/>
      </c>
      <c r="J664" t="s">
        <v>6456</v>
      </c>
      <c r="L664" t="s">
        <v>9883</v>
      </c>
    </row>
    <row r="665" spans="1:12" x14ac:dyDescent="0.3">
      <c r="A665" t="s">
        <v>5096</v>
      </c>
      <c r="B665" s="5" t="s">
        <v>9298</v>
      </c>
      <c r="C665" t="s">
        <v>6456</v>
      </c>
      <c r="D665" t="s">
        <v>5097</v>
      </c>
      <c r="E665" t="s">
        <v>5098</v>
      </c>
      <c r="F665" s="1">
        <v>46044</v>
      </c>
      <c r="G665" t="s">
        <v>110</v>
      </c>
      <c r="H665" s="24">
        <v>0</v>
      </c>
      <c r="I665" t="str">
        <f>IF(H665&lt;=0,"",LOOKUP(H665,'Regras e Parâmetros'!$B$4:$B$7,'Regras e Parâmetros'!$A$4:$A$7))</f>
        <v/>
      </c>
      <c r="J665" t="s">
        <v>9790</v>
      </c>
      <c r="L665" t="s">
        <v>9883</v>
      </c>
    </row>
    <row r="666" spans="1:12" x14ac:dyDescent="0.3">
      <c r="A666" t="s">
        <v>225</v>
      </c>
      <c r="B666" s="5" t="s">
        <v>6575</v>
      </c>
      <c r="C666" t="s">
        <v>6456</v>
      </c>
      <c r="D666" t="s">
        <v>226</v>
      </c>
      <c r="E666" t="s">
        <v>6576</v>
      </c>
      <c r="F666" s="1">
        <v>44425</v>
      </c>
      <c r="G666" t="s">
        <v>18</v>
      </c>
      <c r="H666" s="24">
        <v>809</v>
      </c>
      <c r="I666" t="str">
        <f>IF(H666&lt;=0,"",LOOKUP(H666,'Regras e Parâmetros'!$B$4:$B$7,'Regras e Parâmetros'!$A$4:$A$7))</f>
        <v>Bronze</v>
      </c>
      <c r="J666" t="s">
        <v>9790</v>
      </c>
    </row>
    <row r="667" spans="1:12" x14ac:dyDescent="0.3">
      <c r="A667" t="s">
        <v>201</v>
      </c>
      <c r="B667" s="5" t="s">
        <v>6564</v>
      </c>
      <c r="C667" t="s">
        <v>6456</v>
      </c>
      <c r="D667" t="s">
        <v>202</v>
      </c>
      <c r="E667" t="s">
        <v>6565</v>
      </c>
      <c r="F667" s="1">
        <v>44417</v>
      </c>
      <c r="G667" t="s">
        <v>18</v>
      </c>
      <c r="H667" s="24">
        <v>15000</v>
      </c>
      <c r="I667" t="str">
        <f>IF(H667&lt;=0,"",LOOKUP(H667,'Regras e Parâmetros'!$B$4:$B$7,'Regras e Parâmetros'!$A$4:$A$7))</f>
        <v>Vip</v>
      </c>
      <c r="J667" t="s">
        <v>6456</v>
      </c>
      <c r="K667" t="s">
        <v>72</v>
      </c>
    </row>
    <row r="668" spans="1:12" x14ac:dyDescent="0.3">
      <c r="A668" t="s">
        <v>635</v>
      </c>
      <c r="B668" s="5" t="s">
        <v>636</v>
      </c>
      <c r="C668" t="s">
        <v>6456</v>
      </c>
      <c r="D668" t="s">
        <v>637</v>
      </c>
      <c r="E668" t="s">
        <v>638</v>
      </c>
      <c r="F668" s="1">
        <v>44569</v>
      </c>
      <c r="G668" t="s">
        <v>51</v>
      </c>
      <c r="H668" s="24">
        <v>1961</v>
      </c>
      <c r="I668" t="str">
        <f>IF(H668&lt;=0,"",LOOKUP(H668,'Regras e Parâmetros'!$B$4:$B$7,'Regras e Parâmetros'!$A$4:$A$7))</f>
        <v>Prata</v>
      </c>
      <c r="J668" t="s">
        <v>6456</v>
      </c>
    </row>
    <row r="669" spans="1:12" x14ac:dyDescent="0.3">
      <c r="A669" t="s">
        <v>1085</v>
      </c>
      <c r="B669" s="5" t="s">
        <v>1086</v>
      </c>
      <c r="C669" t="s">
        <v>6456</v>
      </c>
      <c r="D669" t="s">
        <v>1087</v>
      </c>
      <c r="E669" t="s">
        <v>1088</v>
      </c>
      <c r="F669" s="1">
        <v>44742</v>
      </c>
      <c r="G669" t="s">
        <v>45</v>
      </c>
      <c r="H669" s="24">
        <v>0</v>
      </c>
      <c r="I669" t="str">
        <f>IF(H669&lt;=0,"",LOOKUP(H669,'Regras e Parâmetros'!$B$4:$B$7,'Regras e Parâmetros'!$A$4:$A$7))</f>
        <v/>
      </c>
      <c r="J669" t="s">
        <v>6456</v>
      </c>
      <c r="L669" t="s">
        <v>9792</v>
      </c>
    </row>
    <row r="670" spans="1:12" x14ac:dyDescent="0.3">
      <c r="A670" t="s">
        <v>8599</v>
      </c>
      <c r="B670" s="5" t="s">
        <v>8600</v>
      </c>
      <c r="C670" t="s">
        <v>6456</v>
      </c>
      <c r="D670" t="s">
        <v>8601</v>
      </c>
      <c r="E670" t="s">
        <v>3893</v>
      </c>
      <c r="F670" s="1">
        <v>45689</v>
      </c>
      <c r="G670" t="s">
        <v>45</v>
      </c>
      <c r="H670" s="24">
        <v>0</v>
      </c>
      <c r="I670" t="str">
        <f>IF(H670&lt;=0,"",LOOKUP(H670,'Regras e Parâmetros'!$B$4:$B$7,'Regras e Parâmetros'!$A$4:$A$7))</f>
        <v/>
      </c>
      <c r="J670" t="s">
        <v>6456</v>
      </c>
      <c r="L670" t="s">
        <v>9883</v>
      </c>
    </row>
    <row r="671" spans="1:12" x14ac:dyDescent="0.3">
      <c r="A671" t="s">
        <v>8599</v>
      </c>
      <c r="B671" s="5" t="s">
        <v>9484</v>
      </c>
      <c r="C671" t="s">
        <v>6456</v>
      </c>
      <c r="D671" t="s">
        <v>5414</v>
      </c>
      <c r="E671" t="s">
        <v>9485</v>
      </c>
      <c r="F671" s="1">
        <v>46131</v>
      </c>
      <c r="G671" t="s">
        <v>110</v>
      </c>
      <c r="H671" s="24">
        <v>0</v>
      </c>
      <c r="I671" t="str">
        <f>IF(H671&lt;=0,"",LOOKUP(H671,'Regras e Parâmetros'!$B$4:$B$7,'Regras e Parâmetros'!$A$4:$A$7))</f>
        <v/>
      </c>
      <c r="J671" t="s">
        <v>6456</v>
      </c>
      <c r="L671" t="s">
        <v>9883</v>
      </c>
    </row>
    <row r="672" spans="1:12" x14ac:dyDescent="0.3">
      <c r="A672" t="s">
        <v>3815</v>
      </c>
      <c r="B672" s="5" t="s">
        <v>8527</v>
      </c>
      <c r="C672" t="s">
        <v>6456</v>
      </c>
      <c r="D672" t="s">
        <v>3816</v>
      </c>
      <c r="E672" t="s">
        <v>8528</v>
      </c>
      <c r="F672" s="1">
        <v>45658</v>
      </c>
      <c r="G672" t="s">
        <v>100</v>
      </c>
      <c r="H672" s="24">
        <v>0</v>
      </c>
      <c r="I672" t="str">
        <f>IF(H672&lt;=0,"",LOOKUP(H672,'Regras e Parâmetros'!$B$4:$B$7,'Regras e Parâmetros'!$A$4:$A$7))</f>
        <v/>
      </c>
      <c r="J672" t="s">
        <v>6747</v>
      </c>
      <c r="L672" t="s">
        <v>9884</v>
      </c>
    </row>
    <row r="673" spans="1:12" x14ac:dyDescent="0.3">
      <c r="A673" t="s">
        <v>9417</v>
      </c>
      <c r="B673" s="5" t="s">
        <v>9418</v>
      </c>
      <c r="C673" t="s">
        <v>6456</v>
      </c>
      <c r="D673" t="s">
        <v>5282</v>
      </c>
      <c r="E673" t="s">
        <v>5283</v>
      </c>
      <c r="F673" s="1">
        <v>46104</v>
      </c>
      <c r="G673" t="s">
        <v>110</v>
      </c>
      <c r="H673" s="24">
        <v>0</v>
      </c>
      <c r="I673" t="str">
        <f>IF(H673&lt;=0,"",LOOKUP(H673,'Regras e Parâmetros'!$B$4:$B$7,'Regras e Parâmetros'!$A$4:$A$7))</f>
        <v/>
      </c>
      <c r="J673" t="s">
        <v>6456</v>
      </c>
      <c r="K673" t="s">
        <v>44</v>
      </c>
      <c r="L673" t="s">
        <v>9883</v>
      </c>
    </row>
    <row r="674" spans="1:12" x14ac:dyDescent="0.3">
      <c r="A674" t="s">
        <v>6731</v>
      </c>
      <c r="B674" s="5" t="s">
        <v>520</v>
      </c>
      <c r="C674" t="s">
        <v>6456</v>
      </c>
      <c r="D674" t="s">
        <v>521</v>
      </c>
      <c r="E674" t="s">
        <v>6732</v>
      </c>
      <c r="F674" s="1">
        <v>44525</v>
      </c>
      <c r="G674" t="s">
        <v>51</v>
      </c>
      <c r="H674" s="24">
        <v>1035</v>
      </c>
      <c r="I674" t="str">
        <f>IF(H674&lt;=0,"",LOOKUP(H674,'Regras e Parâmetros'!$B$4:$B$7,'Regras e Parâmetros'!$A$4:$A$7))</f>
        <v>Bronze</v>
      </c>
      <c r="J674" t="s">
        <v>6456</v>
      </c>
    </row>
    <row r="675" spans="1:12" x14ac:dyDescent="0.3">
      <c r="A675" t="s">
        <v>1968</v>
      </c>
      <c r="B675" s="5" t="s">
        <v>1969</v>
      </c>
      <c r="C675" t="s">
        <v>6456</v>
      </c>
      <c r="D675" t="s">
        <v>1970</v>
      </c>
      <c r="E675" t="s">
        <v>7559</v>
      </c>
      <c r="F675" s="1">
        <v>45031</v>
      </c>
      <c r="G675" t="s">
        <v>18</v>
      </c>
      <c r="H675" s="24">
        <v>832</v>
      </c>
      <c r="I675" t="str">
        <f>IF(H675&lt;=0,"",LOOKUP(H675,'Regras e Parâmetros'!$B$4:$B$7,'Regras e Parâmetros'!$A$4:$A$7))</f>
        <v>Bronze</v>
      </c>
      <c r="J675" t="s">
        <v>9790</v>
      </c>
      <c r="K675" t="s">
        <v>187</v>
      </c>
    </row>
    <row r="676" spans="1:12" x14ac:dyDescent="0.3">
      <c r="A676" t="s">
        <v>2188</v>
      </c>
      <c r="B676" s="5" t="s">
        <v>7688</v>
      </c>
      <c r="C676" t="s">
        <v>6456</v>
      </c>
      <c r="D676" t="s">
        <v>2189</v>
      </c>
      <c r="E676" t="s">
        <v>7689</v>
      </c>
      <c r="F676" s="1">
        <v>45107</v>
      </c>
      <c r="G676" t="s">
        <v>110</v>
      </c>
      <c r="H676" s="24">
        <v>1881</v>
      </c>
      <c r="I676" t="str">
        <f>IF(H676&lt;=0,"",LOOKUP(H676,'Regras e Parâmetros'!$B$4:$B$7,'Regras e Parâmetros'!$A$4:$A$7))</f>
        <v>Prata</v>
      </c>
      <c r="J676" t="s">
        <v>9790</v>
      </c>
      <c r="K676" t="s">
        <v>177</v>
      </c>
    </row>
    <row r="677" spans="1:12" x14ac:dyDescent="0.3">
      <c r="A677" t="s">
        <v>1582</v>
      </c>
      <c r="B677" s="5" t="s">
        <v>1583</v>
      </c>
      <c r="C677" t="s">
        <v>6456</v>
      </c>
      <c r="D677" t="s">
        <v>1584</v>
      </c>
      <c r="E677" t="s">
        <v>7338</v>
      </c>
      <c r="F677" s="1">
        <v>44900</v>
      </c>
      <c r="G677" t="s">
        <v>110</v>
      </c>
      <c r="H677" s="24">
        <v>3107</v>
      </c>
      <c r="I677" t="str">
        <f>IF(H677&lt;=0,"",LOOKUP(H677,'Regras e Parâmetros'!$B$4:$B$7,'Regras e Parâmetros'!$A$4:$A$7))</f>
        <v>Prata</v>
      </c>
      <c r="J677" t="s">
        <v>9790</v>
      </c>
      <c r="K677" t="s">
        <v>33</v>
      </c>
    </row>
    <row r="678" spans="1:12" x14ac:dyDescent="0.3">
      <c r="A678" t="s">
        <v>5361</v>
      </c>
      <c r="B678" s="5" t="s">
        <v>9460</v>
      </c>
      <c r="C678" t="s">
        <v>6456</v>
      </c>
      <c r="D678" t="s">
        <v>5362</v>
      </c>
      <c r="E678" t="s">
        <v>5363</v>
      </c>
      <c r="F678" s="1">
        <v>46120</v>
      </c>
      <c r="G678" t="s">
        <v>45</v>
      </c>
      <c r="H678" s="24">
        <v>0</v>
      </c>
      <c r="I678" t="str">
        <f>IF(H678&lt;=0,"",LOOKUP(H678,'Regras e Parâmetros'!$B$4:$B$7,'Regras e Parâmetros'!$A$4:$A$7))</f>
        <v/>
      </c>
      <c r="J678" t="s">
        <v>6456</v>
      </c>
      <c r="L678" t="s">
        <v>9883</v>
      </c>
    </row>
    <row r="679" spans="1:12" x14ac:dyDescent="0.3">
      <c r="A679" t="s">
        <v>5301</v>
      </c>
      <c r="B679" s="5" t="s">
        <v>5302</v>
      </c>
      <c r="C679" t="s">
        <v>6456</v>
      </c>
      <c r="D679" t="s">
        <v>5303</v>
      </c>
      <c r="E679" t="s">
        <v>9427</v>
      </c>
      <c r="F679" s="1">
        <v>46106</v>
      </c>
      <c r="G679" t="s">
        <v>45</v>
      </c>
      <c r="H679" s="24">
        <v>0</v>
      </c>
      <c r="I679" t="str">
        <f>IF(H679&lt;=0,"",LOOKUP(H679,'Regras e Parâmetros'!$B$4:$B$7,'Regras e Parâmetros'!$A$4:$A$7))</f>
        <v/>
      </c>
      <c r="J679" t="s">
        <v>9790</v>
      </c>
      <c r="K679" t="s">
        <v>44</v>
      </c>
      <c r="L679" t="s">
        <v>9883</v>
      </c>
    </row>
    <row r="680" spans="1:12" x14ac:dyDescent="0.3">
      <c r="A680" t="s">
        <v>5572</v>
      </c>
      <c r="B680" s="5" t="s">
        <v>9567</v>
      </c>
      <c r="C680" t="s">
        <v>6456</v>
      </c>
      <c r="D680" t="s">
        <v>5573</v>
      </c>
      <c r="E680" t="s">
        <v>9568</v>
      </c>
      <c r="F680" s="1">
        <v>46177</v>
      </c>
      <c r="G680" t="s">
        <v>45</v>
      </c>
      <c r="H680" s="24">
        <v>0</v>
      </c>
      <c r="I680" t="str">
        <f>IF(H680&lt;=0,"",LOOKUP(H680,'Regras e Parâmetros'!$B$4:$B$7,'Regras e Parâmetros'!$A$4:$A$7))</f>
        <v/>
      </c>
      <c r="J680" t="s">
        <v>6747</v>
      </c>
      <c r="L680" t="s">
        <v>9883</v>
      </c>
    </row>
    <row r="681" spans="1:12" x14ac:dyDescent="0.3">
      <c r="A681" t="s">
        <v>2873</v>
      </c>
      <c r="B681" s="5" t="s">
        <v>8054</v>
      </c>
      <c r="C681" t="s">
        <v>6456</v>
      </c>
      <c r="D681" t="s">
        <v>2874</v>
      </c>
      <c r="E681" t="s">
        <v>2875</v>
      </c>
      <c r="F681" s="1">
        <v>45350</v>
      </c>
      <c r="G681" t="s">
        <v>110</v>
      </c>
      <c r="H681" s="24">
        <v>228</v>
      </c>
      <c r="I681" t="str">
        <f>IF(H681&lt;=0,"",LOOKUP(H681,'Regras e Parâmetros'!$B$4:$B$7,'Regras e Parâmetros'!$A$4:$A$7))</f>
        <v>Bronze</v>
      </c>
      <c r="J681" t="s">
        <v>9790</v>
      </c>
      <c r="K681" t="s">
        <v>72</v>
      </c>
    </row>
    <row r="682" spans="1:12" x14ac:dyDescent="0.3">
      <c r="A682" t="s">
        <v>365</v>
      </c>
      <c r="B682" s="5" t="s">
        <v>6647</v>
      </c>
      <c r="C682" t="s">
        <v>6456</v>
      </c>
      <c r="D682" t="s">
        <v>366</v>
      </c>
      <c r="E682" t="s">
        <v>6648</v>
      </c>
      <c r="F682" s="1">
        <v>44470</v>
      </c>
      <c r="G682" t="s">
        <v>18</v>
      </c>
      <c r="H682" s="24">
        <v>5163</v>
      </c>
      <c r="I682" t="str">
        <f>IF(H682&lt;=0,"",LOOKUP(H682,'Regras e Parâmetros'!$B$4:$B$7,'Regras e Parâmetros'!$A$4:$A$7))</f>
        <v>Ouro</v>
      </c>
      <c r="J682" t="s">
        <v>9790</v>
      </c>
      <c r="L682" t="s">
        <v>9791</v>
      </c>
    </row>
    <row r="683" spans="1:12" x14ac:dyDescent="0.3">
      <c r="A683" t="s">
        <v>528</v>
      </c>
      <c r="B683" s="5" t="s">
        <v>529</v>
      </c>
      <c r="C683" t="s">
        <v>6456</v>
      </c>
      <c r="D683" t="s">
        <v>530</v>
      </c>
      <c r="E683" t="s">
        <v>531</v>
      </c>
      <c r="F683" s="1">
        <v>44529</v>
      </c>
      <c r="G683" t="s">
        <v>18</v>
      </c>
      <c r="H683" s="24">
        <v>6589</v>
      </c>
      <c r="I683" t="str">
        <f>IF(H683&lt;=0,"",LOOKUP(H683,'Regras e Parâmetros'!$B$4:$B$7,'Regras e Parâmetros'!$A$4:$A$7))</f>
        <v>Ouro</v>
      </c>
      <c r="J683" t="s">
        <v>9790</v>
      </c>
      <c r="K683" t="s">
        <v>44</v>
      </c>
    </row>
    <row r="684" spans="1:12" x14ac:dyDescent="0.3">
      <c r="A684" t="s">
        <v>4361</v>
      </c>
      <c r="B684" s="5" t="s">
        <v>8826</v>
      </c>
      <c r="C684" t="s">
        <v>6456</v>
      </c>
      <c r="D684" t="s">
        <v>4363</v>
      </c>
      <c r="E684" t="s">
        <v>8827</v>
      </c>
      <c r="F684" s="1">
        <v>45809</v>
      </c>
      <c r="G684" t="s">
        <v>51</v>
      </c>
      <c r="H684" s="24">
        <v>0</v>
      </c>
      <c r="I684" t="str">
        <f>IF(H684&lt;=0,"",LOOKUP(H684,'Regras e Parâmetros'!$B$4:$B$7,'Regras e Parâmetros'!$A$4:$A$7))</f>
        <v/>
      </c>
      <c r="J684" t="s">
        <v>6456</v>
      </c>
      <c r="L684" t="s">
        <v>9884</v>
      </c>
    </row>
    <row r="685" spans="1:12" x14ac:dyDescent="0.3">
      <c r="A685" t="s">
        <v>424</v>
      </c>
      <c r="B685" s="5" t="s">
        <v>6685</v>
      </c>
      <c r="C685" t="s">
        <v>6456</v>
      </c>
      <c r="D685" t="s">
        <v>425</v>
      </c>
      <c r="E685" t="s">
        <v>426</v>
      </c>
      <c r="F685" s="1">
        <v>44494</v>
      </c>
      <c r="G685" t="s">
        <v>22</v>
      </c>
      <c r="H685" s="24">
        <v>10867</v>
      </c>
      <c r="I685" t="str">
        <f>IF(H685&lt;=0,"",LOOKUP(H685,'Regras e Parâmetros'!$B$4:$B$7,'Regras e Parâmetros'!$A$4:$A$7))</f>
        <v>Vip</v>
      </c>
      <c r="J685" t="s">
        <v>9790</v>
      </c>
    </row>
    <row r="686" spans="1:12" x14ac:dyDescent="0.3">
      <c r="A686" t="s">
        <v>3244</v>
      </c>
      <c r="B686" s="5" t="s">
        <v>8236</v>
      </c>
      <c r="C686" t="s">
        <v>6456</v>
      </c>
      <c r="D686" t="s">
        <v>3245</v>
      </c>
      <c r="E686" t="s">
        <v>8237</v>
      </c>
      <c r="F686" s="1">
        <v>45479</v>
      </c>
      <c r="G686" t="s">
        <v>51</v>
      </c>
      <c r="H686" s="24">
        <v>258</v>
      </c>
      <c r="I686" t="str">
        <f>IF(H686&lt;=0,"",LOOKUP(H686,'Regras e Parâmetros'!$B$4:$B$7,'Regras e Parâmetros'!$A$4:$A$7))</f>
        <v>Bronze</v>
      </c>
      <c r="J686" t="s">
        <v>9790</v>
      </c>
    </row>
    <row r="687" spans="1:12" x14ac:dyDescent="0.3">
      <c r="A687" t="s">
        <v>5657</v>
      </c>
      <c r="B687" s="5" t="s">
        <v>5658</v>
      </c>
      <c r="C687" t="s">
        <v>6456</v>
      </c>
      <c r="D687" t="s">
        <v>5659</v>
      </c>
      <c r="E687" t="s">
        <v>9618</v>
      </c>
      <c r="F687" s="1">
        <v>46205</v>
      </c>
      <c r="G687" t="s">
        <v>100</v>
      </c>
      <c r="H687" s="24">
        <v>0</v>
      </c>
      <c r="I687" t="str">
        <f>IF(H687&lt;=0,"",LOOKUP(H687,'Regras e Parâmetros'!$B$4:$B$7,'Regras e Parâmetros'!$A$4:$A$7))</f>
        <v/>
      </c>
      <c r="J687" t="s">
        <v>6456</v>
      </c>
      <c r="L687" t="s">
        <v>9883</v>
      </c>
    </row>
    <row r="688" spans="1:12" x14ac:dyDescent="0.3">
      <c r="A688" t="s">
        <v>9052</v>
      </c>
      <c r="B688" s="5" t="s">
        <v>9053</v>
      </c>
      <c r="C688" t="s">
        <v>6456</v>
      </c>
      <c r="D688" t="s">
        <v>4678</v>
      </c>
      <c r="E688" t="s">
        <v>9054</v>
      </c>
      <c r="F688" s="1">
        <v>45921</v>
      </c>
      <c r="G688" t="s">
        <v>110</v>
      </c>
      <c r="H688" s="24">
        <v>0</v>
      </c>
      <c r="I688" t="str">
        <f>IF(H688&lt;=0,"",LOOKUP(H688,'Regras e Parâmetros'!$B$4:$B$7,'Regras e Parâmetros'!$A$4:$A$7))</f>
        <v/>
      </c>
      <c r="J688" t="s">
        <v>6747</v>
      </c>
      <c r="L688" t="s">
        <v>9883</v>
      </c>
    </row>
    <row r="689" spans="1:12" x14ac:dyDescent="0.3">
      <c r="A689" t="s">
        <v>623</v>
      </c>
      <c r="B689" s="5" t="s">
        <v>6794</v>
      </c>
      <c r="C689" t="s">
        <v>6456</v>
      </c>
      <c r="D689" t="s">
        <v>624</v>
      </c>
      <c r="E689" t="s">
        <v>6795</v>
      </c>
      <c r="F689" s="1">
        <v>44567</v>
      </c>
      <c r="G689" t="s">
        <v>100</v>
      </c>
      <c r="H689" s="24">
        <v>0</v>
      </c>
      <c r="I689" t="str">
        <f>IF(H689&lt;=0,"",LOOKUP(H689,'Regras e Parâmetros'!$B$4:$B$7,'Regras e Parâmetros'!$A$4:$A$7))</f>
        <v/>
      </c>
      <c r="J689" t="s">
        <v>9790</v>
      </c>
    </row>
    <row r="690" spans="1:12" x14ac:dyDescent="0.3">
      <c r="A690" t="s">
        <v>8587</v>
      </c>
      <c r="B690" s="5" t="s">
        <v>3875</v>
      </c>
      <c r="C690" t="s">
        <v>6456</v>
      </c>
      <c r="D690" t="s">
        <v>3876</v>
      </c>
      <c r="E690" t="s">
        <v>3877</v>
      </c>
      <c r="F690" s="1">
        <v>45685</v>
      </c>
      <c r="G690" t="s">
        <v>51</v>
      </c>
      <c r="H690" s="24">
        <v>0</v>
      </c>
      <c r="I690" t="str">
        <f>IF(H690&lt;=0,"",LOOKUP(H690,'Regras e Parâmetros'!$B$4:$B$7,'Regras e Parâmetros'!$A$4:$A$7))</f>
        <v/>
      </c>
      <c r="J690" t="s">
        <v>9790</v>
      </c>
      <c r="K690" t="s">
        <v>8</v>
      </c>
      <c r="L690" t="s">
        <v>9883</v>
      </c>
    </row>
    <row r="691" spans="1:12" x14ac:dyDescent="0.3">
      <c r="A691" t="s">
        <v>2294</v>
      </c>
      <c r="B691" s="5" t="s">
        <v>2295</v>
      </c>
      <c r="C691" t="s">
        <v>6456</v>
      </c>
      <c r="D691" t="s">
        <v>2296</v>
      </c>
      <c r="E691" t="s">
        <v>2297</v>
      </c>
      <c r="F691" s="1">
        <v>45135</v>
      </c>
      <c r="G691" t="s">
        <v>45</v>
      </c>
      <c r="H691" s="24">
        <v>1509</v>
      </c>
      <c r="I691" t="str">
        <f>IF(H691&lt;=0,"",LOOKUP(H691,'Regras e Parâmetros'!$B$4:$B$7,'Regras e Parâmetros'!$A$4:$A$7))</f>
        <v>Prata</v>
      </c>
      <c r="J691" t="s">
        <v>6456</v>
      </c>
      <c r="L691" t="s">
        <v>9792</v>
      </c>
    </row>
    <row r="692" spans="1:12" x14ac:dyDescent="0.3">
      <c r="A692" t="s">
        <v>253</v>
      </c>
      <c r="B692" s="5" t="s">
        <v>254</v>
      </c>
      <c r="C692" t="s">
        <v>6456</v>
      </c>
      <c r="D692" t="s">
        <v>255</v>
      </c>
      <c r="E692" t="s">
        <v>6585</v>
      </c>
      <c r="F692" s="1">
        <v>44435</v>
      </c>
      <c r="G692" t="s">
        <v>45</v>
      </c>
      <c r="H692" s="24">
        <v>13358</v>
      </c>
      <c r="I692" t="str">
        <f>IF(H692&lt;=0,"",LOOKUP(H692,'Regras e Parâmetros'!$B$4:$B$7,'Regras e Parâmetros'!$A$4:$A$7))</f>
        <v>Vip</v>
      </c>
      <c r="J692" t="s">
        <v>6747</v>
      </c>
    </row>
    <row r="693" spans="1:12" x14ac:dyDescent="0.3">
      <c r="A693" t="s">
        <v>5374</v>
      </c>
      <c r="B693" s="5" t="s">
        <v>5375</v>
      </c>
      <c r="C693" t="s">
        <v>6456</v>
      </c>
      <c r="D693" t="s">
        <v>5376</v>
      </c>
      <c r="E693" t="s">
        <v>9463</v>
      </c>
      <c r="F693" s="1">
        <v>46124</v>
      </c>
      <c r="G693" t="s">
        <v>45</v>
      </c>
      <c r="H693" s="24">
        <v>0</v>
      </c>
      <c r="I693" t="str">
        <f>IF(H693&lt;=0,"",LOOKUP(H693,'Regras e Parâmetros'!$B$4:$B$7,'Regras e Parâmetros'!$A$4:$A$7))</f>
        <v/>
      </c>
      <c r="J693" t="s">
        <v>9790</v>
      </c>
      <c r="L693" t="s">
        <v>9883</v>
      </c>
    </row>
    <row r="694" spans="1:12" x14ac:dyDescent="0.3">
      <c r="A694" t="s">
        <v>7878</v>
      </c>
      <c r="B694" s="5" t="s">
        <v>2523</v>
      </c>
      <c r="C694" t="s">
        <v>6456</v>
      </c>
      <c r="D694" t="s">
        <v>2524</v>
      </c>
      <c r="E694" t="s">
        <v>7879</v>
      </c>
      <c r="F694" s="1">
        <v>45209</v>
      </c>
      <c r="G694" t="s">
        <v>110</v>
      </c>
      <c r="H694" s="24">
        <v>0</v>
      </c>
      <c r="I694" t="str">
        <f>IF(H694&lt;=0,"",LOOKUP(H694,'Regras e Parâmetros'!$B$4:$B$7,'Regras e Parâmetros'!$A$4:$A$7))</f>
        <v/>
      </c>
      <c r="J694" t="s">
        <v>9790</v>
      </c>
    </row>
    <row r="695" spans="1:12" x14ac:dyDescent="0.3">
      <c r="A695" t="s">
        <v>4138</v>
      </c>
      <c r="B695" s="5" t="s">
        <v>4139</v>
      </c>
      <c r="C695" t="s">
        <v>6456</v>
      </c>
      <c r="D695" t="s">
        <v>4140</v>
      </c>
      <c r="E695" t="s">
        <v>8747</v>
      </c>
      <c r="F695" s="1">
        <v>45754</v>
      </c>
      <c r="G695" t="s">
        <v>45</v>
      </c>
      <c r="H695" s="24">
        <v>0</v>
      </c>
      <c r="I695" t="str">
        <f>IF(H695&lt;=0,"",LOOKUP(H695,'Regras e Parâmetros'!$B$4:$B$7,'Regras e Parâmetros'!$A$4:$A$7))</f>
        <v/>
      </c>
      <c r="J695" t="s">
        <v>9790</v>
      </c>
      <c r="L695" t="s">
        <v>9883</v>
      </c>
    </row>
    <row r="696" spans="1:12" x14ac:dyDescent="0.3">
      <c r="A696" t="s">
        <v>1844</v>
      </c>
      <c r="B696" s="5" t="s">
        <v>1845</v>
      </c>
      <c r="C696" t="s">
        <v>6456</v>
      </c>
      <c r="D696" t="s">
        <v>1846</v>
      </c>
      <c r="E696" t="s">
        <v>7495</v>
      </c>
      <c r="F696" s="1">
        <v>44990</v>
      </c>
      <c r="G696" t="s">
        <v>110</v>
      </c>
      <c r="H696" s="24">
        <v>1383</v>
      </c>
      <c r="I696" t="str">
        <f>IF(H696&lt;=0,"",LOOKUP(H696,'Regras e Parâmetros'!$B$4:$B$7,'Regras e Parâmetros'!$A$4:$A$7))</f>
        <v>Bronze</v>
      </c>
      <c r="J696" t="s">
        <v>9790</v>
      </c>
    </row>
    <row r="697" spans="1:12" x14ac:dyDescent="0.3">
      <c r="A697" t="s">
        <v>2932</v>
      </c>
      <c r="B697" s="5" t="s">
        <v>8086</v>
      </c>
      <c r="C697" t="s">
        <v>6456</v>
      </c>
      <c r="D697" t="s">
        <v>2933</v>
      </c>
      <c r="E697" t="s">
        <v>2934</v>
      </c>
      <c r="F697" s="1">
        <v>45372</v>
      </c>
      <c r="G697" t="s">
        <v>51</v>
      </c>
      <c r="H697" s="24">
        <v>0</v>
      </c>
      <c r="I697" t="str">
        <f>IF(H697&lt;=0,"",LOOKUP(H697,'Regras e Parâmetros'!$B$4:$B$7,'Regras e Parâmetros'!$A$4:$A$7))</f>
        <v/>
      </c>
      <c r="J697" t="s">
        <v>6747</v>
      </c>
      <c r="K697" t="s">
        <v>8</v>
      </c>
    </row>
    <row r="698" spans="1:12" x14ac:dyDescent="0.3">
      <c r="A698" t="s">
        <v>5568</v>
      </c>
      <c r="B698" s="5" t="s">
        <v>9560</v>
      </c>
      <c r="C698" t="s">
        <v>6456</v>
      </c>
      <c r="D698" t="s">
        <v>5569</v>
      </c>
      <c r="E698" t="s">
        <v>9561</v>
      </c>
      <c r="F698" s="1">
        <v>46174</v>
      </c>
      <c r="G698" t="s">
        <v>45</v>
      </c>
      <c r="H698" s="24">
        <v>0</v>
      </c>
      <c r="I698" t="str">
        <f>IF(H698&lt;=0,"",LOOKUP(H698,'Regras e Parâmetros'!$B$4:$B$7,'Regras e Parâmetros'!$A$4:$A$7))</f>
        <v/>
      </c>
      <c r="J698" t="s">
        <v>9790</v>
      </c>
      <c r="K698" t="s">
        <v>33</v>
      </c>
      <c r="L698" t="s">
        <v>9883</v>
      </c>
    </row>
    <row r="699" spans="1:12" x14ac:dyDescent="0.3">
      <c r="A699" t="s">
        <v>2577</v>
      </c>
      <c r="B699" s="5" t="s">
        <v>7903</v>
      </c>
      <c r="C699" t="s">
        <v>6456</v>
      </c>
      <c r="D699" t="s">
        <v>2578</v>
      </c>
      <c r="E699" t="s">
        <v>2579</v>
      </c>
      <c r="F699" s="1">
        <v>45227</v>
      </c>
      <c r="G699" t="s">
        <v>18</v>
      </c>
      <c r="H699" s="24">
        <v>772</v>
      </c>
      <c r="I699" t="str">
        <f>IF(H699&lt;=0,"",LOOKUP(H699,'Regras e Parâmetros'!$B$4:$B$7,'Regras e Parâmetros'!$A$4:$A$7))</f>
        <v>Bronze</v>
      </c>
      <c r="J699" t="s">
        <v>6456</v>
      </c>
      <c r="K699" t="s">
        <v>8</v>
      </c>
    </row>
    <row r="700" spans="1:12" x14ac:dyDescent="0.3">
      <c r="A700" t="s">
        <v>4396</v>
      </c>
      <c r="B700" s="5" t="s">
        <v>8877</v>
      </c>
      <c r="C700" t="s">
        <v>6456</v>
      </c>
      <c r="D700" t="s">
        <v>4397</v>
      </c>
      <c r="E700" t="s">
        <v>4398</v>
      </c>
      <c r="F700" s="1">
        <v>45835</v>
      </c>
      <c r="G700" t="s">
        <v>110</v>
      </c>
      <c r="H700" s="24">
        <v>0</v>
      </c>
      <c r="I700" t="str">
        <f>IF(H700&lt;=0,"",LOOKUP(H700,'Regras e Parâmetros'!$B$4:$B$7,'Regras e Parâmetros'!$A$4:$A$7))</f>
        <v/>
      </c>
      <c r="J700" t="s">
        <v>9790</v>
      </c>
      <c r="K700" t="s">
        <v>8</v>
      </c>
      <c r="L700" t="s">
        <v>9883</v>
      </c>
    </row>
    <row r="701" spans="1:12" x14ac:dyDescent="0.3">
      <c r="A701" t="s">
        <v>2326</v>
      </c>
      <c r="B701" s="5" t="s">
        <v>6048</v>
      </c>
      <c r="C701" t="s">
        <v>6456</v>
      </c>
      <c r="D701" t="s">
        <v>2327</v>
      </c>
      <c r="E701" t="s">
        <v>2328</v>
      </c>
      <c r="F701" s="1">
        <v>45145</v>
      </c>
      <c r="G701" t="s">
        <v>45</v>
      </c>
      <c r="H701" s="24">
        <v>1062</v>
      </c>
      <c r="I701" t="str">
        <f>IF(H701&lt;=0,"",LOOKUP(H701,'Regras e Parâmetros'!$B$4:$B$7,'Regras e Parâmetros'!$A$4:$A$7))</f>
        <v>Bronze</v>
      </c>
      <c r="J701" t="s">
        <v>9790</v>
      </c>
      <c r="K701" t="s">
        <v>33</v>
      </c>
    </row>
    <row r="702" spans="1:12" x14ac:dyDescent="0.3">
      <c r="A702" t="s">
        <v>2914</v>
      </c>
      <c r="B702" s="5" t="s">
        <v>8080</v>
      </c>
      <c r="C702" t="s">
        <v>6456</v>
      </c>
      <c r="D702" t="s">
        <v>2915</v>
      </c>
      <c r="E702" t="s">
        <v>8081</v>
      </c>
      <c r="F702" s="1">
        <v>45361</v>
      </c>
      <c r="G702" t="s">
        <v>51</v>
      </c>
      <c r="H702" s="24">
        <v>387</v>
      </c>
      <c r="I702" t="str">
        <f>IF(H702&lt;=0,"",LOOKUP(H702,'Regras e Parâmetros'!$B$4:$B$7,'Regras e Parâmetros'!$A$4:$A$7))</f>
        <v>Bronze</v>
      </c>
      <c r="J702" t="s">
        <v>6456</v>
      </c>
    </row>
    <row r="703" spans="1:12" x14ac:dyDescent="0.3">
      <c r="A703" t="s">
        <v>4796</v>
      </c>
      <c r="B703" s="5" t="s">
        <v>9125</v>
      </c>
      <c r="C703" t="s">
        <v>6456</v>
      </c>
      <c r="D703" t="s">
        <v>4797</v>
      </c>
      <c r="E703" t="s">
        <v>9126</v>
      </c>
      <c r="F703" s="1">
        <v>45950</v>
      </c>
      <c r="G703" t="s">
        <v>110</v>
      </c>
      <c r="H703" s="24">
        <v>0</v>
      </c>
      <c r="I703" t="str">
        <f>IF(H703&lt;=0,"",LOOKUP(H703,'Regras e Parâmetros'!$B$4:$B$7,'Regras e Parâmetros'!$A$4:$A$7))</f>
        <v/>
      </c>
      <c r="J703" t="s">
        <v>6747</v>
      </c>
      <c r="L703" t="s">
        <v>9883</v>
      </c>
    </row>
    <row r="704" spans="1:12" x14ac:dyDescent="0.3">
      <c r="A704" t="s">
        <v>2787</v>
      </c>
      <c r="B704" s="5" t="s">
        <v>2788</v>
      </c>
      <c r="C704" t="s">
        <v>6747</v>
      </c>
      <c r="D704" t="s">
        <v>2789</v>
      </c>
      <c r="E704" t="s">
        <v>2790</v>
      </c>
      <c r="F704" s="1">
        <v>45305</v>
      </c>
      <c r="G704" t="s">
        <v>22</v>
      </c>
      <c r="H704" s="24">
        <v>1000</v>
      </c>
      <c r="I704" t="str">
        <f>IF(H704&lt;=0,"",LOOKUP(H704,'Regras e Parâmetros'!$B$4:$B$7,'Regras e Parâmetros'!$A$4:$A$7))</f>
        <v>Bronze</v>
      </c>
      <c r="J704" t="s">
        <v>6456</v>
      </c>
      <c r="K704" t="s">
        <v>177</v>
      </c>
      <c r="L704" t="s">
        <v>10243</v>
      </c>
    </row>
    <row r="705" spans="1:12" x14ac:dyDescent="0.3">
      <c r="A705" t="s">
        <v>4520</v>
      </c>
      <c r="B705" s="5" t="s">
        <v>8959</v>
      </c>
      <c r="C705" t="s">
        <v>6456</v>
      </c>
      <c r="D705" t="s">
        <v>4521</v>
      </c>
      <c r="E705" t="s">
        <v>4522</v>
      </c>
      <c r="F705" s="1">
        <v>45874</v>
      </c>
      <c r="G705" t="s">
        <v>22</v>
      </c>
      <c r="H705" s="24">
        <v>0</v>
      </c>
      <c r="I705" t="str">
        <f>IF(H705&lt;=0,"",LOOKUP(H705,'Regras e Parâmetros'!$B$4:$B$7,'Regras e Parâmetros'!$A$4:$A$7))</f>
        <v/>
      </c>
      <c r="J705" t="s">
        <v>6456</v>
      </c>
      <c r="L705" t="s">
        <v>9883</v>
      </c>
    </row>
    <row r="706" spans="1:12" x14ac:dyDescent="0.3">
      <c r="A706" t="s">
        <v>4029</v>
      </c>
      <c r="B706" s="5" t="s">
        <v>8676</v>
      </c>
      <c r="C706" t="s">
        <v>6456</v>
      </c>
      <c r="D706" t="s">
        <v>4030</v>
      </c>
      <c r="E706" t="s">
        <v>8677</v>
      </c>
      <c r="F706" s="1">
        <v>45727</v>
      </c>
      <c r="G706" t="s">
        <v>45</v>
      </c>
      <c r="H706" s="24">
        <v>0</v>
      </c>
      <c r="I706" t="str">
        <f>IF(H706&lt;=0,"",LOOKUP(H706,'Regras e Parâmetros'!$B$4:$B$7,'Regras e Parâmetros'!$A$4:$A$7))</f>
        <v/>
      </c>
      <c r="J706" t="s">
        <v>9790</v>
      </c>
      <c r="L706" t="s">
        <v>9883</v>
      </c>
    </row>
    <row r="707" spans="1:12" x14ac:dyDescent="0.3">
      <c r="A707" t="s">
        <v>7745</v>
      </c>
      <c r="B707" s="5" t="s">
        <v>7746</v>
      </c>
      <c r="C707" t="s">
        <v>6456</v>
      </c>
      <c r="D707" t="s">
        <v>2298</v>
      </c>
      <c r="E707" t="s">
        <v>2299</v>
      </c>
      <c r="F707" s="1">
        <v>45135</v>
      </c>
      <c r="G707" t="s">
        <v>45</v>
      </c>
      <c r="H707" s="24">
        <v>591</v>
      </c>
      <c r="I707" t="str">
        <f>IF(H707&lt;=0,"",LOOKUP(H707,'Regras e Parâmetros'!$B$4:$B$7,'Regras e Parâmetros'!$A$4:$A$7))</f>
        <v>Bronze</v>
      </c>
      <c r="J707" t="s">
        <v>6456</v>
      </c>
    </row>
    <row r="708" spans="1:12" x14ac:dyDescent="0.3">
      <c r="A708" t="s">
        <v>116</v>
      </c>
      <c r="B708" s="5" t="s">
        <v>6518</v>
      </c>
      <c r="C708" t="s">
        <v>6456</v>
      </c>
      <c r="D708" t="s">
        <v>117</v>
      </c>
      <c r="E708" t="s">
        <v>118</v>
      </c>
      <c r="F708" s="1">
        <v>44384</v>
      </c>
      <c r="G708" t="s">
        <v>18</v>
      </c>
      <c r="H708" s="24">
        <v>810</v>
      </c>
      <c r="I708" t="str">
        <f>IF(H708&lt;=0,"",LOOKUP(H708,'Regras e Parâmetros'!$B$4:$B$7,'Regras e Parâmetros'!$A$4:$A$7))</f>
        <v>Bronze</v>
      </c>
      <c r="J708" t="s">
        <v>6456</v>
      </c>
    </row>
    <row r="709" spans="1:12" x14ac:dyDescent="0.3">
      <c r="A709" t="s">
        <v>9243</v>
      </c>
      <c r="B709" s="5" t="s">
        <v>5006</v>
      </c>
      <c r="C709" t="s">
        <v>6456</v>
      </c>
      <c r="D709" t="s">
        <v>5007</v>
      </c>
      <c r="E709" t="s">
        <v>9244</v>
      </c>
      <c r="F709" s="1">
        <v>46014</v>
      </c>
      <c r="G709" t="s">
        <v>18</v>
      </c>
      <c r="H709" s="24">
        <v>0</v>
      </c>
      <c r="I709" t="str">
        <f>IF(H709&lt;=0,"",LOOKUP(H709,'Regras e Parâmetros'!$B$4:$B$7,'Regras e Parâmetros'!$A$4:$A$7))</f>
        <v/>
      </c>
      <c r="J709" t="s">
        <v>6747</v>
      </c>
      <c r="K709" t="s">
        <v>44</v>
      </c>
      <c r="L709" t="s">
        <v>9883</v>
      </c>
    </row>
    <row r="710" spans="1:12" x14ac:dyDescent="0.3">
      <c r="A710" t="s">
        <v>182</v>
      </c>
      <c r="B710" s="5" t="s">
        <v>6043</v>
      </c>
      <c r="C710" t="s">
        <v>6456</v>
      </c>
      <c r="D710" t="s">
        <v>183</v>
      </c>
      <c r="E710" t="s">
        <v>184</v>
      </c>
      <c r="F710" s="1">
        <v>44405</v>
      </c>
      <c r="G710" t="s">
        <v>18</v>
      </c>
      <c r="H710" s="24">
        <v>3640</v>
      </c>
      <c r="I710" t="str">
        <f>IF(H710&lt;=0,"",LOOKUP(H710,'Regras e Parâmetros'!$B$4:$B$7,'Regras e Parâmetros'!$A$4:$A$7))</f>
        <v>Prata</v>
      </c>
      <c r="J710" t="s">
        <v>6747</v>
      </c>
      <c r="K710" t="s">
        <v>44</v>
      </c>
    </row>
    <row r="711" spans="1:12" x14ac:dyDescent="0.3">
      <c r="A711" t="s">
        <v>1806</v>
      </c>
      <c r="B711" s="5" t="s">
        <v>1807</v>
      </c>
      <c r="C711" t="s">
        <v>6456</v>
      </c>
      <c r="D711" t="s">
        <v>1808</v>
      </c>
      <c r="E711" t="s">
        <v>7466</v>
      </c>
      <c r="F711" s="1">
        <v>44973</v>
      </c>
      <c r="G711" t="s">
        <v>22</v>
      </c>
      <c r="H711" s="24">
        <v>13805</v>
      </c>
      <c r="I711" t="str">
        <f>IF(H711&lt;=0,"",LOOKUP(H711,'Regras e Parâmetros'!$B$4:$B$7,'Regras e Parâmetros'!$A$4:$A$7))</f>
        <v>Vip</v>
      </c>
      <c r="J711" t="s">
        <v>9790</v>
      </c>
    </row>
    <row r="712" spans="1:12" x14ac:dyDescent="0.3">
      <c r="A712" t="s">
        <v>2749</v>
      </c>
      <c r="B712" s="5" t="s">
        <v>2750</v>
      </c>
      <c r="C712" t="s">
        <v>6747</v>
      </c>
      <c r="D712" t="s">
        <v>2751</v>
      </c>
      <c r="E712" t="s">
        <v>7994</v>
      </c>
      <c r="F712" s="1">
        <v>45288</v>
      </c>
      <c r="G712" t="s">
        <v>22</v>
      </c>
      <c r="H712" s="24">
        <v>108</v>
      </c>
      <c r="I712" t="str">
        <f>IF(H712&lt;=0,"",LOOKUP(H712,'Regras e Parâmetros'!$B$4:$B$7,'Regras e Parâmetros'!$A$4:$A$7))</f>
        <v>Bronze</v>
      </c>
      <c r="J712" t="s">
        <v>9790</v>
      </c>
      <c r="L712" t="s">
        <v>10240</v>
      </c>
    </row>
    <row r="713" spans="1:12" x14ac:dyDescent="0.3">
      <c r="A713" t="s">
        <v>5390</v>
      </c>
      <c r="B713" s="5" t="s">
        <v>9469</v>
      </c>
      <c r="C713" t="s">
        <v>6456</v>
      </c>
      <c r="D713" t="s">
        <v>5391</v>
      </c>
      <c r="E713" t="s">
        <v>9470</v>
      </c>
      <c r="F713" s="1">
        <v>46127</v>
      </c>
      <c r="G713" t="s">
        <v>100</v>
      </c>
      <c r="H713" s="24">
        <v>0</v>
      </c>
      <c r="I713" t="str">
        <f>IF(H713&lt;=0,"",LOOKUP(H713,'Regras e Parâmetros'!$B$4:$B$7,'Regras e Parâmetros'!$A$4:$A$7))</f>
        <v/>
      </c>
      <c r="J713" t="s">
        <v>9790</v>
      </c>
      <c r="K713" t="s">
        <v>44</v>
      </c>
      <c r="L713" t="s">
        <v>9883</v>
      </c>
    </row>
    <row r="714" spans="1:12" x14ac:dyDescent="0.3">
      <c r="A714" t="s">
        <v>1089</v>
      </c>
      <c r="B714" s="5" t="s">
        <v>7071</v>
      </c>
      <c r="C714" t="s">
        <v>6456</v>
      </c>
      <c r="D714" t="s">
        <v>1090</v>
      </c>
      <c r="E714" t="s">
        <v>7072</v>
      </c>
      <c r="F714" s="1">
        <v>44747</v>
      </c>
      <c r="G714" t="s">
        <v>51</v>
      </c>
      <c r="H714" s="24">
        <v>0</v>
      </c>
      <c r="I714" t="str">
        <f>IF(H714&lt;=0,"",LOOKUP(H714,'Regras e Parâmetros'!$B$4:$B$7,'Regras e Parâmetros'!$A$4:$A$7))</f>
        <v/>
      </c>
      <c r="J714" t="s">
        <v>6456</v>
      </c>
      <c r="K714" t="s">
        <v>8</v>
      </c>
    </row>
    <row r="715" spans="1:12" x14ac:dyDescent="0.3">
      <c r="A715" t="s">
        <v>5546</v>
      </c>
      <c r="B715" s="5" t="s">
        <v>9544</v>
      </c>
      <c r="C715" t="s">
        <v>6456</v>
      </c>
      <c r="D715" t="s">
        <v>5547</v>
      </c>
      <c r="E715" t="s">
        <v>9545</v>
      </c>
      <c r="F715" s="1">
        <v>46169</v>
      </c>
      <c r="G715" t="s">
        <v>110</v>
      </c>
      <c r="H715" s="24">
        <v>0</v>
      </c>
      <c r="I715" t="str">
        <f>IF(H715&lt;=0,"",LOOKUP(H715,'Regras e Parâmetros'!$B$4:$B$7,'Regras e Parâmetros'!$A$4:$A$7))</f>
        <v/>
      </c>
      <c r="J715" t="s">
        <v>6456</v>
      </c>
      <c r="L715" t="s">
        <v>9883</v>
      </c>
    </row>
    <row r="716" spans="1:12" x14ac:dyDescent="0.3">
      <c r="A716" t="s">
        <v>197</v>
      </c>
      <c r="B716" s="5" t="s">
        <v>198</v>
      </c>
      <c r="C716" t="s">
        <v>6456</v>
      </c>
      <c r="D716" t="s">
        <v>199</v>
      </c>
      <c r="E716" t="s">
        <v>200</v>
      </c>
      <c r="F716" s="1">
        <v>44415</v>
      </c>
      <c r="G716" t="s">
        <v>45</v>
      </c>
      <c r="H716" s="24">
        <v>9832</v>
      </c>
      <c r="I716" t="str">
        <f>IF(H716&lt;=0,"",LOOKUP(H716,'Regras e Parâmetros'!$B$4:$B$7,'Regras e Parâmetros'!$A$4:$A$7))</f>
        <v>Ouro</v>
      </c>
      <c r="J716" t="s">
        <v>6747</v>
      </c>
      <c r="K716" t="s">
        <v>187</v>
      </c>
      <c r="L716" t="s">
        <v>9792</v>
      </c>
    </row>
    <row r="717" spans="1:12" x14ac:dyDescent="0.3">
      <c r="A717" t="s">
        <v>2397</v>
      </c>
      <c r="B717" s="5" t="s">
        <v>7801</v>
      </c>
      <c r="C717" t="s">
        <v>6456</v>
      </c>
      <c r="D717" t="s">
        <v>2398</v>
      </c>
      <c r="E717" t="s">
        <v>2399</v>
      </c>
      <c r="F717" s="1">
        <v>45160</v>
      </c>
      <c r="G717" t="s">
        <v>51</v>
      </c>
      <c r="H717" s="24">
        <v>2416</v>
      </c>
      <c r="I717" t="str">
        <f>IF(H717&lt;=0,"",LOOKUP(H717,'Regras e Parâmetros'!$B$4:$B$7,'Regras e Parâmetros'!$A$4:$A$7))</f>
        <v>Prata</v>
      </c>
      <c r="J717" t="s">
        <v>9790</v>
      </c>
      <c r="L717" t="s">
        <v>9792</v>
      </c>
    </row>
    <row r="718" spans="1:12" x14ac:dyDescent="0.3">
      <c r="A718" t="s">
        <v>9479</v>
      </c>
      <c r="B718" s="5" t="s">
        <v>9480</v>
      </c>
      <c r="C718" t="s">
        <v>6456</v>
      </c>
      <c r="D718" t="s">
        <v>5407</v>
      </c>
      <c r="E718" t="s">
        <v>5408</v>
      </c>
      <c r="F718" s="1">
        <v>46131</v>
      </c>
      <c r="G718" t="s">
        <v>45</v>
      </c>
      <c r="H718" s="24">
        <v>0</v>
      </c>
      <c r="I718" t="str">
        <f>IF(H718&lt;=0,"",LOOKUP(H718,'Regras e Parâmetros'!$B$4:$B$7,'Regras e Parâmetros'!$A$4:$A$7))</f>
        <v/>
      </c>
      <c r="J718" t="s">
        <v>9790</v>
      </c>
      <c r="L718" t="s">
        <v>9883</v>
      </c>
    </row>
    <row r="719" spans="1:12" x14ac:dyDescent="0.3">
      <c r="A719" t="s">
        <v>5475</v>
      </c>
      <c r="B719" s="5" t="s">
        <v>9509</v>
      </c>
      <c r="C719" t="s">
        <v>6456</v>
      </c>
      <c r="D719" t="s">
        <v>5476</v>
      </c>
      <c r="E719" t="s">
        <v>5477</v>
      </c>
      <c r="F719" s="1">
        <v>46151</v>
      </c>
      <c r="G719" t="s">
        <v>18</v>
      </c>
      <c r="H719" s="24">
        <v>0</v>
      </c>
      <c r="I719" t="str">
        <f>IF(H719&lt;=0,"",LOOKUP(H719,'Regras e Parâmetros'!$B$4:$B$7,'Regras e Parâmetros'!$A$4:$A$7))</f>
        <v/>
      </c>
      <c r="J719" t="s">
        <v>6456</v>
      </c>
      <c r="K719" t="s">
        <v>72</v>
      </c>
      <c r="L719" t="s">
        <v>9883</v>
      </c>
    </row>
    <row r="720" spans="1:12" x14ac:dyDescent="0.3">
      <c r="A720" t="s">
        <v>7607</v>
      </c>
      <c r="B720" s="5" t="s">
        <v>6206</v>
      </c>
      <c r="C720" t="s">
        <v>6456</v>
      </c>
      <c r="D720" t="s">
        <v>2074</v>
      </c>
      <c r="E720" t="s">
        <v>7608</v>
      </c>
      <c r="F720" s="1">
        <v>45068</v>
      </c>
      <c r="G720" t="s">
        <v>100</v>
      </c>
      <c r="H720" s="24">
        <v>2098</v>
      </c>
      <c r="I720" t="str">
        <f>IF(H720&lt;=0,"",LOOKUP(H720,'Regras e Parâmetros'!$B$4:$B$7,'Regras e Parâmetros'!$A$4:$A$7))</f>
        <v>Prata</v>
      </c>
      <c r="J720" t="s">
        <v>6456</v>
      </c>
    </row>
    <row r="721" spans="1:12" x14ac:dyDescent="0.3">
      <c r="A721" t="s">
        <v>2535</v>
      </c>
      <c r="B721" s="5" t="s">
        <v>7882</v>
      </c>
      <c r="C721" t="s">
        <v>6456</v>
      </c>
      <c r="D721" t="s">
        <v>2536</v>
      </c>
      <c r="E721" t="s">
        <v>7883</v>
      </c>
      <c r="F721" s="1">
        <v>45210</v>
      </c>
      <c r="G721" t="s">
        <v>45</v>
      </c>
      <c r="H721" s="24">
        <v>2498</v>
      </c>
      <c r="I721" t="str">
        <f>IF(H721&lt;=0,"",LOOKUP(H721,'Regras e Parâmetros'!$B$4:$B$7,'Regras e Parâmetros'!$A$4:$A$7))</f>
        <v>Prata</v>
      </c>
      <c r="J721" t="s">
        <v>9790</v>
      </c>
    </row>
    <row r="722" spans="1:12" x14ac:dyDescent="0.3">
      <c r="A722" t="s">
        <v>2525</v>
      </c>
      <c r="B722" s="5" t="s">
        <v>2526</v>
      </c>
      <c r="C722" t="s">
        <v>6456</v>
      </c>
      <c r="D722" t="s">
        <v>2527</v>
      </c>
      <c r="E722" t="s">
        <v>2528</v>
      </c>
      <c r="F722" s="1">
        <v>45210</v>
      </c>
      <c r="G722" t="s">
        <v>110</v>
      </c>
      <c r="H722" s="24">
        <v>351</v>
      </c>
      <c r="I722" t="str">
        <f>IF(H722&lt;=0,"",LOOKUP(H722,'Regras e Parâmetros'!$B$4:$B$7,'Regras e Parâmetros'!$A$4:$A$7))</f>
        <v>Bronze</v>
      </c>
      <c r="J722" t="s">
        <v>9790</v>
      </c>
      <c r="K722" t="s">
        <v>187</v>
      </c>
    </row>
    <row r="723" spans="1:12" x14ac:dyDescent="0.3">
      <c r="A723" t="s">
        <v>36</v>
      </c>
      <c r="B723" s="5" t="s">
        <v>37</v>
      </c>
      <c r="C723" t="s">
        <v>6456</v>
      </c>
      <c r="D723" t="s">
        <v>38</v>
      </c>
      <c r="E723" t="s">
        <v>39</v>
      </c>
      <c r="F723" s="1">
        <v>44362</v>
      </c>
      <c r="G723" t="s">
        <v>100</v>
      </c>
      <c r="H723" s="24">
        <v>2840</v>
      </c>
      <c r="I723" t="str">
        <f>IF(H723&lt;=0,"",LOOKUP(H723,'Regras e Parâmetros'!$B$4:$B$7,'Regras e Parâmetros'!$A$4:$A$7))</f>
        <v>Prata</v>
      </c>
      <c r="J723" t="s">
        <v>6747</v>
      </c>
      <c r="L723" t="s">
        <v>9792</v>
      </c>
    </row>
    <row r="724" spans="1:12" x14ac:dyDescent="0.3">
      <c r="A724" t="s">
        <v>3866</v>
      </c>
      <c r="B724" s="5" t="s">
        <v>8583</v>
      </c>
      <c r="C724" t="s">
        <v>6456</v>
      </c>
      <c r="D724" t="s">
        <v>3868</v>
      </c>
      <c r="E724" t="s">
        <v>8584</v>
      </c>
      <c r="F724" s="1">
        <v>45684</v>
      </c>
      <c r="G724" t="s">
        <v>22</v>
      </c>
      <c r="H724" s="24">
        <v>0</v>
      </c>
      <c r="I724" t="str">
        <f>IF(H724&lt;=0,"",LOOKUP(H724,'Regras e Parâmetros'!$B$4:$B$7,'Regras e Parâmetros'!$A$4:$A$7))</f>
        <v/>
      </c>
      <c r="J724" t="s">
        <v>6456</v>
      </c>
      <c r="L724" t="s">
        <v>9883</v>
      </c>
    </row>
    <row r="725" spans="1:12" x14ac:dyDescent="0.3">
      <c r="A725" t="s">
        <v>463</v>
      </c>
      <c r="B725" s="5" t="s">
        <v>6707</v>
      </c>
      <c r="C725" t="s">
        <v>6456</v>
      </c>
      <c r="D725" t="s">
        <v>464</v>
      </c>
      <c r="E725" t="s">
        <v>6708</v>
      </c>
      <c r="F725" s="1">
        <v>44508</v>
      </c>
      <c r="G725" t="s">
        <v>51</v>
      </c>
      <c r="H725" s="24">
        <v>2247</v>
      </c>
      <c r="I725" t="str">
        <f>IF(H725&lt;=0,"",LOOKUP(H725,'Regras e Parâmetros'!$B$4:$B$7,'Regras e Parâmetros'!$A$4:$A$7))</f>
        <v>Prata</v>
      </c>
      <c r="J725" t="s">
        <v>6456</v>
      </c>
      <c r="K725" t="s">
        <v>8</v>
      </c>
    </row>
    <row r="726" spans="1:12" x14ac:dyDescent="0.3">
      <c r="A726" t="s">
        <v>4865</v>
      </c>
      <c r="B726" s="5" t="s">
        <v>9164</v>
      </c>
      <c r="C726" t="s">
        <v>6456</v>
      </c>
      <c r="D726" t="s">
        <v>4866</v>
      </c>
      <c r="E726" t="s">
        <v>4867</v>
      </c>
      <c r="F726" s="1">
        <v>45971</v>
      </c>
      <c r="G726" t="s">
        <v>45</v>
      </c>
      <c r="H726" s="24">
        <v>0</v>
      </c>
      <c r="I726" t="str">
        <f>IF(H726&lt;=0,"",LOOKUP(H726,'Regras e Parâmetros'!$B$4:$B$7,'Regras e Parâmetros'!$A$4:$A$7))</f>
        <v/>
      </c>
      <c r="J726" t="s">
        <v>9790</v>
      </c>
      <c r="L726" t="s">
        <v>9883</v>
      </c>
    </row>
    <row r="727" spans="1:12" x14ac:dyDescent="0.3">
      <c r="A727" t="s">
        <v>3400</v>
      </c>
      <c r="B727" s="5" t="s">
        <v>8317</v>
      </c>
      <c r="C727" t="s">
        <v>6456</v>
      </c>
      <c r="D727" t="s">
        <v>3402</v>
      </c>
      <c r="E727" t="s">
        <v>3403</v>
      </c>
      <c r="F727" s="1">
        <v>45531</v>
      </c>
      <c r="G727" t="s">
        <v>110</v>
      </c>
      <c r="H727" s="24">
        <v>669</v>
      </c>
      <c r="I727" t="str">
        <f>IF(H727&lt;=0,"",LOOKUP(H727,'Regras e Parâmetros'!$B$4:$B$7,'Regras e Parâmetros'!$A$4:$A$7))</f>
        <v>Bronze</v>
      </c>
      <c r="J727" t="s">
        <v>6456</v>
      </c>
    </row>
    <row r="728" spans="1:12" x14ac:dyDescent="0.3">
      <c r="A728" t="s">
        <v>588</v>
      </c>
      <c r="B728" s="5" t="s">
        <v>6770</v>
      </c>
      <c r="C728" t="s">
        <v>6456</v>
      </c>
      <c r="D728" t="s">
        <v>589</v>
      </c>
      <c r="E728" t="s">
        <v>590</v>
      </c>
      <c r="F728" s="1">
        <v>44553</v>
      </c>
      <c r="G728" t="s">
        <v>22</v>
      </c>
      <c r="H728" s="24">
        <v>404</v>
      </c>
      <c r="I728" t="str">
        <f>IF(H728&lt;=0,"",LOOKUP(H728,'Regras e Parâmetros'!$B$4:$B$7,'Regras e Parâmetros'!$A$4:$A$7))</f>
        <v>Bronze</v>
      </c>
      <c r="J728" t="s">
        <v>9790</v>
      </c>
    </row>
    <row r="729" spans="1:12" x14ac:dyDescent="0.3">
      <c r="A729" t="s">
        <v>8006</v>
      </c>
      <c r="B729" s="5" t="s">
        <v>2776</v>
      </c>
      <c r="C729" t="s">
        <v>6456</v>
      </c>
      <c r="D729" t="s">
        <v>2777</v>
      </c>
      <c r="E729" t="s">
        <v>2778</v>
      </c>
      <c r="F729" s="1">
        <v>45300</v>
      </c>
      <c r="G729" t="s">
        <v>45</v>
      </c>
      <c r="H729" s="24">
        <v>413</v>
      </c>
      <c r="I729" t="str">
        <f>IF(H729&lt;=0,"",LOOKUP(H729,'Regras e Parâmetros'!$B$4:$B$7,'Regras e Parâmetros'!$A$4:$A$7))</f>
        <v>Bronze</v>
      </c>
      <c r="J729" t="s">
        <v>6747</v>
      </c>
      <c r="L729" t="s">
        <v>9792</v>
      </c>
    </row>
    <row r="730" spans="1:12" x14ac:dyDescent="0.3">
      <c r="A730" t="s">
        <v>9500</v>
      </c>
      <c r="B730" s="5" t="s">
        <v>5452</v>
      </c>
      <c r="C730" t="s">
        <v>6456</v>
      </c>
      <c r="D730" t="s">
        <v>5453</v>
      </c>
      <c r="E730" t="s">
        <v>9501</v>
      </c>
      <c r="F730" s="1">
        <v>46146</v>
      </c>
      <c r="G730" t="s">
        <v>45</v>
      </c>
      <c r="H730" s="24">
        <v>0</v>
      </c>
      <c r="I730" t="str">
        <f>IF(H730&lt;=0,"",LOOKUP(H730,'Regras e Parâmetros'!$B$4:$B$7,'Regras e Parâmetros'!$A$4:$A$7))</f>
        <v/>
      </c>
      <c r="J730" t="s">
        <v>6456</v>
      </c>
      <c r="L730" t="s">
        <v>9883</v>
      </c>
    </row>
    <row r="731" spans="1:12" x14ac:dyDescent="0.3">
      <c r="A731" t="s">
        <v>3496</v>
      </c>
      <c r="B731" s="5" t="s">
        <v>8356</v>
      </c>
      <c r="C731" t="s">
        <v>6456</v>
      </c>
      <c r="D731" t="s">
        <v>3497</v>
      </c>
      <c r="E731" t="s">
        <v>3498</v>
      </c>
      <c r="F731" s="1">
        <v>45566</v>
      </c>
      <c r="G731" t="s">
        <v>45</v>
      </c>
      <c r="H731" s="24">
        <v>491</v>
      </c>
      <c r="I731" t="str">
        <f>IF(H731&lt;=0,"",LOOKUP(H731,'Regras e Parâmetros'!$B$4:$B$7,'Regras e Parâmetros'!$A$4:$A$7))</f>
        <v>Bronze</v>
      </c>
      <c r="J731" t="s">
        <v>6456</v>
      </c>
      <c r="L731" t="s">
        <v>9791</v>
      </c>
    </row>
    <row r="732" spans="1:12" x14ac:dyDescent="0.3">
      <c r="A732" t="s">
        <v>1091</v>
      </c>
      <c r="B732" s="5" t="s">
        <v>7078</v>
      </c>
      <c r="C732" t="s">
        <v>6456</v>
      </c>
      <c r="D732" t="s">
        <v>1092</v>
      </c>
      <c r="E732" t="s">
        <v>7079</v>
      </c>
      <c r="F732" s="1">
        <v>44750</v>
      </c>
      <c r="G732" t="s">
        <v>51</v>
      </c>
      <c r="H732" s="24">
        <v>165</v>
      </c>
      <c r="I732" t="str">
        <f>IF(H732&lt;=0,"",LOOKUP(H732,'Regras e Parâmetros'!$B$4:$B$7,'Regras e Parâmetros'!$A$4:$A$7))</f>
        <v>Bronze</v>
      </c>
      <c r="J732" t="s">
        <v>6456</v>
      </c>
    </row>
    <row r="733" spans="1:12" x14ac:dyDescent="0.3">
      <c r="A733" t="s">
        <v>1093</v>
      </c>
      <c r="B733" s="5" t="s">
        <v>3060</v>
      </c>
      <c r="C733" t="s">
        <v>6456</v>
      </c>
      <c r="D733" t="s">
        <v>3061</v>
      </c>
      <c r="E733" t="s">
        <v>3062</v>
      </c>
      <c r="F733" s="1">
        <v>44729</v>
      </c>
      <c r="G733" t="s">
        <v>45</v>
      </c>
      <c r="H733" s="24">
        <v>1521</v>
      </c>
      <c r="I733" t="str">
        <f>IF(H733&lt;=0,"",LOOKUP(H733,'Regras e Parâmetros'!$B$4:$B$7,'Regras e Parâmetros'!$A$4:$A$7))</f>
        <v>Prata</v>
      </c>
      <c r="J733" t="s">
        <v>6747</v>
      </c>
      <c r="K733" t="s">
        <v>9818</v>
      </c>
    </row>
    <row r="734" spans="1:12" x14ac:dyDescent="0.3">
      <c r="A734" t="s">
        <v>8643</v>
      </c>
      <c r="B734" s="5" t="s">
        <v>8644</v>
      </c>
      <c r="C734" t="s">
        <v>6456</v>
      </c>
      <c r="D734" t="s">
        <v>3970</v>
      </c>
      <c r="E734" t="s">
        <v>3971</v>
      </c>
      <c r="F734" s="1">
        <v>45709</v>
      </c>
      <c r="G734" t="s">
        <v>100</v>
      </c>
      <c r="H734" s="24">
        <v>0</v>
      </c>
      <c r="I734" t="str">
        <f>IF(H734&lt;=0,"",LOOKUP(H734,'Regras e Parâmetros'!$B$4:$B$7,'Regras e Parâmetros'!$A$4:$A$7))</f>
        <v/>
      </c>
      <c r="J734" t="s">
        <v>6456</v>
      </c>
      <c r="L734" t="s">
        <v>9883</v>
      </c>
    </row>
    <row r="735" spans="1:12" x14ac:dyDescent="0.3">
      <c r="A735" t="s">
        <v>1094</v>
      </c>
      <c r="B735" s="5" t="s">
        <v>7121</v>
      </c>
      <c r="C735" t="s">
        <v>6456</v>
      </c>
      <c r="D735" t="s">
        <v>1095</v>
      </c>
      <c r="E735" t="s">
        <v>1096</v>
      </c>
      <c r="F735" s="1">
        <v>44789</v>
      </c>
      <c r="G735" t="s">
        <v>51</v>
      </c>
      <c r="H735" s="24">
        <v>1200</v>
      </c>
      <c r="I735" t="str">
        <f>IF(H735&lt;=0,"",LOOKUP(H735,'Regras e Parâmetros'!$B$4:$B$7,'Regras e Parâmetros'!$A$4:$A$7))</f>
        <v>Bronze</v>
      </c>
      <c r="J735" t="s">
        <v>9790</v>
      </c>
      <c r="K735" t="s">
        <v>8</v>
      </c>
      <c r="L735" t="s">
        <v>9793</v>
      </c>
    </row>
    <row r="736" spans="1:12" x14ac:dyDescent="0.3">
      <c r="A736" t="s">
        <v>8882</v>
      </c>
      <c r="B736" s="5" t="s">
        <v>8883</v>
      </c>
      <c r="C736" t="s">
        <v>6456</v>
      </c>
      <c r="D736" t="s">
        <v>4407</v>
      </c>
      <c r="E736" t="s">
        <v>4408</v>
      </c>
      <c r="F736" s="1">
        <v>45838</v>
      </c>
      <c r="G736" t="s">
        <v>22</v>
      </c>
      <c r="H736" s="24">
        <v>0</v>
      </c>
      <c r="I736" t="str">
        <f>IF(H736&lt;=0,"",LOOKUP(H736,'Regras e Parâmetros'!$B$4:$B$7,'Regras e Parâmetros'!$A$4:$A$7))</f>
        <v/>
      </c>
      <c r="J736" t="s">
        <v>6456</v>
      </c>
      <c r="L736" t="s">
        <v>9886</v>
      </c>
    </row>
    <row r="737" spans="1:12" x14ac:dyDescent="0.3">
      <c r="A737" t="s">
        <v>5438</v>
      </c>
      <c r="B737" s="5" t="s">
        <v>9494</v>
      </c>
      <c r="C737" t="s">
        <v>6456</v>
      </c>
      <c r="D737" t="s">
        <v>5439</v>
      </c>
      <c r="E737" t="s">
        <v>5440</v>
      </c>
      <c r="F737" s="1">
        <v>46142</v>
      </c>
      <c r="G737" t="s">
        <v>51</v>
      </c>
      <c r="H737" s="24">
        <v>0</v>
      </c>
      <c r="I737" t="str">
        <f>IF(H737&lt;=0,"",LOOKUP(H737,'Regras e Parâmetros'!$B$4:$B$7,'Regras e Parâmetros'!$A$4:$A$7))</f>
        <v/>
      </c>
      <c r="J737" t="s">
        <v>6456</v>
      </c>
      <c r="L737" t="s">
        <v>9883</v>
      </c>
    </row>
    <row r="738" spans="1:12" x14ac:dyDescent="0.3">
      <c r="A738" t="s">
        <v>7299</v>
      </c>
      <c r="B738" s="5" t="s">
        <v>7300</v>
      </c>
      <c r="C738" t="s">
        <v>6456</v>
      </c>
      <c r="D738" t="s">
        <v>1512</v>
      </c>
      <c r="E738" t="s">
        <v>1513</v>
      </c>
      <c r="F738" s="1">
        <v>44884</v>
      </c>
      <c r="G738" t="s">
        <v>45</v>
      </c>
      <c r="H738" s="24">
        <v>581</v>
      </c>
      <c r="I738" t="str">
        <f>IF(H738&lt;=0,"",LOOKUP(H738,'Regras e Parâmetros'!$B$4:$B$7,'Regras e Parâmetros'!$A$4:$A$7))</f>
        <v>Bronze</v>
      </c>
      <c r="J738" t="s">
        <v>9790</v>
      </c>
      <c r="L738" t="s">
        <v>9792</v>
      </c>
    </row>
    <row r="739" spans="1:12" x14ac:dyDescent="0.3">
      <c r="A739" t="s">
        <v>2550</v>
      </c>
      <c r="B739" s="5" t="s">
        <v>7888</v>
      </c>
      <c r="C739" t="s">
        <v>6456</v>
      </c>
      <c r="D739" t="s">
        <v>2551</v>
      </c>
      <c r="E739" t="s">
        <v>7889</v>
      </c>
      <c r="F739" s="1">
        <v>45213</v>
      </c>
      <c r="G739" t="s">
        <v>51</v>
      </c>
      <c r="H739" s="24">
        <v>7123</v>
      </c>
      <c r="I739" t="str">
        <f>IF(H739&lt;=0,"",LOOKUP(H739,'Regras e Parâmetros'!$B$4:$B$7,'Regras e Parâmetros'!$A$4:$A$7))</f>
        <v>Ouro</v>
      </c>
      <c r="J739" t="s">
        <v>6456</v>
      </c>
      <c r="K739" t="s">
        <v>33</v>
      </c>
    </row>
    <row r="740" spans="1:12" x14ac:dyDescent="0.3">
      <c r="A740" t="s">
        <v>1097</v>
      </c>
      <c r="B740" s="5" t="s">
        <v>7139</v>
      </c>
      <c r="C740" t="s">
        <v>6456</v>
      </c>
      <c r="D740" t="s">
        <v>1098</v>
      </c>
      <c r="E740" t="s">
        <v>1099</v>
      </c>
      <c r="F740" s="1">
        <v>44802</v>
      </c>
      <c r="G740" t="s">
        <v>51</v>
      </c>
      <c r="H740" s="24">
        <v>416</v>
      </c>
      <c r="I740" t="str">
        <f>IF(H740&lt;=0,"",LOOKUP(H740,'Regras e Parâmetros'!$B$4:$B$7,'Regras e Parâmetros'!$A$4:$A$7))</f>
        <v>Bronze</v>
      </c>
      <c r="J740" t="s">
        <v>6456</v>
      </c>
      <c r="K740" t="s">
        <v>187</v>
      </c>
    </row>
    <row r="741" spans="1:12" x14ac:dyDescent="0.3">
      <c r="A741" t="s">
        <v>4095</v>
      </c>
      <c r="B741" s="5" t="s">
        <v>4096</v>
      </c>
      <c r="C741" t="s">
        <v>6456</v>
      </c>
      <c r="D741" t="s">
        <v>4097</v>
      </c>
      <c r="E741" t="s">
        <v>10100</v>
      </c>
      <c r="F741" s="1">
        <v>45743</v>
      </c>
      <c r="G741" t="s">
        <v>110</v>
      </c>
      <c r="H741" s="24">
        <v>0</v>
      </c>
      <c r="I741" t="str">
        <f>IF(H741&lt;=0,"",LOOKUP(H741,'Regras e Parâmetros'!$B$4:$B$7,'Regras e Parâmetros'!$A$4:$A$7))</f>
        <v/>
      </c>
      <c r="J741" t="s">
        <v>6747</v>
      </c>
      <c r="L741" t="s">
        <v>9883</v>
      </c>
    </row>
    <row r="742" spans="1:12" x14ac:dyDescent="0.3">
      <c r="A742" t="s">
        <v>8003</v>
      </c>
      <c r="B742" s="5" t="s">
        <v>2771</v>
      </c>
      <c r="C742" t="s">
        <v>6456</v>
      </c>
      <c r="D742" t="s">
        <v>2772</v>
      </c>
      <c r="E742" t="s">
        <v>2773</v>
      </c>
      <c r="F742" s="1">
        <v>45298</v>
      </c>
      <c r="G742" t="s">
        <v>100</v>
      </c>
      <c r="H742" s="24">
        <v>268</v>
      </c>
      <c r="I742" t="str">
        <f>IF(H742&lt;=0,"",LOOKUP(H742,'Regras e Parâmetros'!$B$4:$B$7,'Regras e Parâmetros'!$A$4:$A$7))</f>
        <v>Bronze</v>
      </c>
      <c r="J742" t="s">
        <v>9790</v>
      </c>
    </row>
    <row r="743" spans="1:12" x14ac:dyDescent="0.3">
      <c r="A743" t="s">
        <v>6973</v>
      </c>
      <c r="B743" s="5" t="s">
        <v>947</v>
      </c>
      <c r="C743" t="s">
        <v>6456</v>
      </c>
      <c r="D743" t="s">
        <v>948</v>
      </c>
      <c r="E743" t="s">
        <v>949</v>
      </c>
      <c r="F743" s="1">
        <v>44682</v>
      </c>
      <c r="G743" t="s">
        <v>51</v>
      </c>
      <c r="H743" s="24">
        <v>2231</v>
      </c>
      <c r="I743" t="str">
        <f>IF(H743&lt;=0,"",LOOKUP(H743,'Regras e Parâmetros'!$B$4:$B$7,'Regras e Parâmetros'!$A$4:$A$7))</f>
        <v>Prata</v>
      </c>
      <c r="J743" t="s">
        <v>9790</v>
      </c>
      <c r="K743" t="s">
        <v>708</v>
      </c>
      <c r="L743" t="s">
        <v>9791</v>
      </c>
    </row>
    <row r="744" spans="1:12" x14ac:dyDescent="0.3">
      <c r="A744" t="s">
        <v>4336</v>
      </c>
      <c r="B744" s="5" t="s">
        <v>8850</v>
      </c>
      <c r="C744" t="s">
        <v>6456</v>
      </c>
      <c r="D744" t="s">
        <v>4337</v>
      </c>
      <c r="E744" t="s">
        <v>4338</v>
      </c>
      <c r="F744" s="1">
        <v>45819</v>
      </c>
      <c r="G744" t="s">
        <v>45</v>
      </c>
      <c r="H744" s="24">
        <v>0</v>
      </c>
      <c r="I744" t="str">
        <f>IF(H744&lt;=0,"",LOOKUP(H744,'Regras e Parâmetros'!$B$4:$B$7,'Regras e Parâmetros'!$A$4:$A$7))</f>
        <v/>
      </c>
      <c r="J744" t="s">
        <v>6747</v>
      </c>
      <c r="L744" t="s">
        <v>9883</v>
      </c>
    </row>
    <row r="745" spans="1:12" x14ac:dyDescent="0.3">
      <c r="A745" t="s">
        <v>5574</v>
      </c>
      <c r="B745" s="5" t="s">
        <v>5575</v>
      </c>
      <c r="C745" t="s">
        <v>6456</v>
      </c>
      <c r="D745" t="s">
        <v>5576</v>
      </c>
      <c r="E745" t="s">
        <v>9569</v>
      </c>
      <c r="F745" s="1">
        <v>46178</v>
      </c>
      <c r="G745" t="s">
        <v>45</v>
      </c>
      <c r="H745" s="24">
        <v>0</v>
      </c>
      <c r="I745" t="str">
        <f>IF(H745&lt;=0,"",LOOKUP(H745,'Regras e Parâmetros'!$B$4:$B$7,'Regras e Parâmetros'!$A$4:$A$7))</f>
        <v/>
      </c>
      <c r="J745" t="s">
        <v>6456</v>
      </c>
      <c r="L745" t="s">
        <v>9883</v>
      </c>
    </row>
    <row r="746" spans="1:12" x14ac:dyDescent="0.3">
      <c r="A746" t="s">
        <v>4152</v>
      </c>
      <c r="B746" s="5" t="s">
        <v>8752</v>
      </c>
      <c r="C746" t="s">
        <v>6456</v>
      </c>
      <c r="D746" t="s">
        <v>4153</v>
      </c>
      <c r="E746" t="s">
        <v>4154</v>
      </c>
      <c r="F746" s="1">
        <v>45759</v>
      </c>
      <c r="G746" t="s">
        <v>110</v>
      </c>
      <c r="H746" s="24">
        <v>0</v>
      </c>
      <c r="I746" t="str">
        <f>IF(H746&lt;=0,"",LOOKUP(H746,'Regras e Parâmetros'!$B$4:$B$7,'Regras e Parâmetros'!$A$4:$A$7))</f>
        <v/>
      </c>
      <c r="J746" t="s">
        <v>6456</v>
      </c>
      <c r="L746" t="s">
        <v>9886</v>
      </c>
    </row>
    <row r="747" spans="1:12" x14ac:dyDescent="0.3">
      <c r="A747" t="s">
        <v>5262</v>
      </c>
      <c r="B747" s="5" t="s">
        <v>5263</v>
      </c>
      <c r="C747" t="s">
        <v>6456</v>
      </c>
      <c r="D747" t="s">
        <v>5264</v>
      </c>
      <c r="E747" t="s">
        <v>9403</v>
      </c>
      <c r="F747" s="1">
        <v>46094</v>
      </c>
      <c r="G747" t="s">
        <v>18</v>
      </c>
      <c r="H747" s="24">
        <v>0</v>
      </c>
      <c r="I747" t="str">
        <f>IF(H747&lt;=0,"",LOOKUP(H747,'Regras e Parâmetros'!$B$4:$B$7,'Regras e Parâmetros'!$A$4:$A$7))</f>
        <v/>
      </c>
      <c r="J747" t="s">
        <v>9790</v>
      </c>
      <c r="K747" t="s">
        <v>33</v>
      </c>
      <c r="L747" t="s">
        <v>9883</v>
      </c>
    </row>
    <row r="748" spans="1:12" x14ac:dyDescent="0.3">
      <c r="A748" t="s">
        <v>1100</v>
      </c>
      <c r="B748" s="5" t="s">
        <v>2584</v>
      </c>
      <c r="C748" t="s">
        <v>6456</v>
      </c>
      <c r="D748" t="s">
        <v>2585</v>
      </c>
      <c r="E748" t="s">
        <v>1101</v>
      </c>
      <c r="F748" s="1">
        <v>44778</v>
      </c>
      <c r="G748" t="s">
        <v>51</v>
      </c>
      <c r="H748" s="24">
        <v>2320</v>
      </c>
      <c r="I748" t="str">
        <f>IF(H748&lt;=0,"",LOOKUP(H748,'Regras e Parâmetros'!$B$4:$B$7,'Regras e Parâmetros'!$A$4:$A$7))</f>
        <v>Prata</v>
      </c>
      <c r="J748" t="s">
        <v>6456</v>
      </c>
      <c r="K748" t="s">
        <v>9824</v>
      </c>
    </row>
    <row r="749" spans="1:12" x14ac:dyDescent="0.3">
      <c r="A749" t="s">
        <v>1430</v>
      </c>
      <c r="B749" s="5" t="s">
        <v>7253</v>
      </c>
      <c r="C749" t="s">
        <v>6456</v>
      </c>
      <c r="D749" t="s">
        <v>1431</v>
      </c>
      <c r="E749" t="s">
        <v>7254</v>
      </c>
      <c r="F749" s="1">
        <v>44864</v>
      </c>
      <c r="G749" t="s">
        <v>45</v>
      </c>
      <c r="H749" s="24">
        <v>824</v>
      </c>
      <c r="I749" t="str">
        <f>IF(H749&lt;=0,"",LOOKUP(H749,'Regras e Parâmetros'!$B$4:$B$7,'Regras e Parâmetros'!$A$4:$A$7))</f>
        <v>Bronze</v>
      </c>
      <c r="J749" t="s">
        <v>9790</v>
      </c>
      <c r="K749" t="s">
        <v>33</v>
      </c>
    </row>
    <row r="750" spans="1:12" x14ac:dyDescent="0.3">
      <c r="A750" t="s">
        <v>1430</v>
      </c>
      <c r="B750" s="5" t="s">
        <v>4346</v>
      </c>
      <c r="C750" t="s">
        <v>6456</v>
      </c>
      <c r="D750" t="s">
        <v>4347</v>
      </c>
      <c r="E750" t="s">
        <v>4348</v>
      </c>
      <c r="F750" s="1">
        <v>45822</v>
      </c>
      <c r="G750" t="s">
        <v>45</v>
      </c>
      <c r="H750" s="24">
        <v>0</v>
      </c>
      <c r="I750" t="str">
        <f>IF(H750&lt;=0,"",LOOKUP(H750,'Regras e Parâmetros'!$B$4:$B$7,'Regras e Parâmetros'!$A$4:$A$7))</f>
        <v/>
      </c>
      <c r="J750" t="s">
        <v>9790</v>
      </c>
      <c r="K750" t="s">
        <v>44</v>
      </c>
      <c r="L750" t="s">
        <v>9886</v>
      </c>
    </row>
    <row r="751" spans="1:12" x14ac:dyDescent="0.3">
      <c r="A751" t="s">
        <v>4615</v>
      </c>
      <c r="B751" s="5" t="s">
        <v>2785</v>
      </c>
      <c r="C751" t="s">
        <v>6456</v>
      </c>
      <c r="D751" t="s">
        <v>4616</v>
      </c>
      <c r="E751" t="s">
        <v>2786</v>
      </c>
      <c r="F751" s="1">
        <v>45303</v>
      </c>
      <c r="G751" t="s">
        <v>18</v>
      </c>
      <c r="H751" s="24">
        <v>257</v>
      </c>
      <c r="I751" t="str">
        <f>IF(H751&lt;=0,"",LOOKUP(H751,'Regras e Parâmetros'!$B$4:$B$7,'Regras e Parâmetros'!$A$4:$A$7))</f>
        <v>Bronze</v>
      </c>
      <c r="J751" t="s">
        <v>6747</v>
      </c>
      <c r="K751" t="s">
        <v>9854</v>
      </c>
      <c r="L751" t="s">
        <v>9839</v>
      </c>
    </row>
    <row r="752" spans="1:12" x14ac:dyDescent="0.3">
      <c r="A752" t="s">
        <v>4615</v>
      </c>
      <c r="B752" s="5" t="s">
        <v>9114</v>
      </c>
      <c r="C752" t="s">
        <v>6456</v>
      </c>
      <c r="D752" t="s">
        <v>4767</v>
      </c>
      <c r="E752" t="s">
        <v>4768</v>
      </c>
      <c r="F752" s="1">
        <v>45945</v>
      </c>
      <c r="G752" t="s">
        <v>45</v>
      </c>
      <c r="H752" s="24">
        <v>0</v>
      </c>
      <c r="I752" t="str">
        <f>IF(H752&lt;=0,"",LOOKUP(H752,'Regras e Parâmetros'!$B$4:$B$7,'Regras e Parâmetros'!$A$4:$A$7))</f>
        <v/>
      </c>
      <c r="J752" t="s">
        <v>6747</v>
      </c>
      <c r="L752" t="s">
        <v>9883</v>
      </c>
    </row>
    <row r="753" spans="1:12" x14ac:dyDescent="0.3">
      <c r="A753" t="s">
        <v>913</v>
      </c>
      <c r="B753" s="5" t="s">
        <v>6966</v>
      </c>
      <c r="C753" t="s">
        <v>6456</v>
      </c>
      <c r="D753" t="s">
        <v>914</v>
      </c>
      <c r="E753" t="s">
        <v>6967</v>
      </c>
      <c r="F753" s="1">
        <v>44675</v>
      </c>
      <c r="G753" t="s">
        <v>51</v>
      </c>
      <c r="H753" s="24">
        <v>542</v>
      </c>
      <c r="I753" t="str">
        <f>IF(H753&lt;=0,"",LOOKUP(H753,'Regras e Parâmetros'!$B$4:$B$7,'Regras e Parâmetros'!$A$4:$A$7))</f>
        <v>Bronze</v>
      </c>
      <c r="J753" t="s">
        <v>6456</v>
      </c>
    </row>
    <row r="754" spans="1:12" x14ac:dyDescent="0.3">
      <c r="A754" t="s">
        <v>913</v>
      </c>
      <c r="B754" s="5" t="s">
        <v>7992</v>
      </c>
      <c r="C754" t="s">
        <v>6456</v>
      </c>
      <c r="D754" t="s">
        <v>2731</v>
      </c>
      <c r="E754" t="s">
        <v>2732</v>
      </c>
      <c r="F754" s="1">
        <v>45284</v>
      </c>
      <c r="G754" t="s">
        <v>110</v>
      </c>
      <c r="H754" s="24">
        <v>0</v>
      </c>
      <c r="I754" t="str">
        <f>IF(H754&lt;=0,"",LOOKUP(H754,'Regras e Parâmetros'!$B$4:$B$7,'Regras e Parâmetros'!$A$4:$A$7))</f>
        <v/>
      </c>
      <c r="J754" t="s">
        <v>6456</v>
      </c>
    </row>
    <row r="755" spans="1:12" x14ac:dyDescent="0.3">
      <c r="A755" t="s">
        <v>8553</v>
      </c>
      <c r="B755" s="5" t="s">
        <v>3825</v>
      </c>
      <c r="C755" t="s">
        <v>6456</v>
      </c>
      <c r="D755" t="s">
        <v>3826</v>
      </c>
      <c r="E755" t="s">
        <v>3827</v>
      </c>
      <c r="F755" s="1">
        <v>45670</v>
      </c>
      <c r="G755" t="s">
        <v>18</v>
      </c>
      <c r="H755" s="24">
        <v>0</v>
      </c>
      <c r="I755" t="str">
        <f>IF(H755&lt;=0,"",LOOKUP(H755,'Regras e Parâmetros'!$B$4:$B$7,'Regras e Parâmetros'!$A$4:$A$7))</f>
        <v/>
      </c>
      <c r="J755" t="s">
        <v>9790</v>
      </c>
      <c r="L755" t="s">
        <v>9883</v>
      </c>
    </row>
    <row r="756" spans="1:12" x14ac:dyDescent="0.3">
      <c r="A756" t="s">
        <v>2120</v>
      </c>
      <c r="B756" s="5" t="s">
        <v>7653</v>
      </c>
      <c r="C756" t="s">
        <v>6456</v>
      </c>
      <c r="D756" t="s">
        <v>2121</v>
      </c>
      <c r="E756" t="s">
        <v>2122</v>
      </c>
      <c r="F756" s="1">
        <v>45084</v>
      </c>
      <c r="G756" t="s">
        <v>51</v>
      </c>
      <c r="H756" s="24">
        <v>799</v>
      </c>
      <c r="I756" t="str">
        <f>IF(H756&lt;=0,"",LOOKUP(H756,'Regras e Parâmetros'!$B$4:$B$7,'Regras e Parâmetros'!$A$4:$A$7))</f>
        <v>Bronze</v>
      </c>
      <c r="J756" t="s">
        <v>9790</v>
      </c>
    </row>
    <row r="757" spans="1:12" x14ac:dyDescent="0.3">
      <c r="A757" t="s">
        <v>2586</v>
      </c>
      <c r="B757" s="5" t="s">
        <v>7908</v>
      </c>
      <c r="C757" t="s">
        <v>6456</v>
      </c>
      <c r="D757" t="s">
        <v>2587</v>
      </c>
      <c r="E757" t="s">
        <v>2588</v>
      </c>
      <c r="F757" s="1">
        <v>45229</v>
      </c>
      <c r="G757" t="s">
        <v>45</v>
      </c>
      <c r="H757" s="24">
        <v>1328</v>
      </c>
      <c r="I757" t="str">
        <f>IF(H757&lt;=0,"",LOOKUP(H757,'Regras e Parâmetros'!$B$4:$B$7,'Regras e Parâmetros'!$A$4:$A$7))</f>
        <v>Bronze</v>
      </c>
      <c r="J757" t="s">
        <v>6747</v>
      </c>
      <c r="K757" t="s">
        <v>187</v>
      </c>
      <c r="L757" t="s">
        <v>9792</v>
      </c>
    </row>
    <row r="758" spans="1:12" x14ac:dyDescent="0.3">
      <c r="A758" t="s">
        <v>2586</v>
      </c>
      <c r="B758" s="5" t="s">
        <v>8308</v>
      </c>
      <c r="C758" t="s">
        <v>6456</v>
      </c>
      <c r="D758" t="s">
        <v>3383</v>
      </c>
      <c r="E758" t="s">
        <v>3384</v>
      </c>
      <c r="F758" s="1">
        <v>45519</v>
      </c>
      <c r="G758" t="s">
        <v>100</v>
      </c>
      <c r="H758" s="24">
        <v>2003</v>
      </c>
      <c r="I758" t="str">
        <f>IF(H758&lt;=0,"",LOOKUP(H758,'Regras e Parâmetros'!$B$4:$B$7,'Regras e Parâmetros'!$A$4:$A$7))</f>
        <v>Prata</v>
      </c>
      <c r="J758" t="s">
        <v>6747</v>
      </c>
    </row>
    <row r="759" spans="1:12" x14ac:dyDescent="0.3">
      <c r="A759" t="s">
        <v>2586</v>
      </c>
      <c r="B759" s="5" t="s">
        <v>9706</v>
      </c>
      <c r="C759" t="s">
        <v>6456</v>
      </c>
      <c r="D759" t="s">
        <v>5801</v>
      </c>
      <c r="E759" t="s">
        <v>9707</v>
      </c>
      <c r="F759" s="1">
        <v>46243</v>
      </c>
      <c r="G759" t="s">
        <v>45</v>
      </c>
      <c r="H759" s="24">
        <v>0</v>
      </c>
      <c r="I759" t="str">
        <f>IF(H759&lt;=0,"",LOOKUP(H759,'Regras e Parâmetros'!$B$4:$B$7,'Regras e Parâmetros'!$A$4:$A$7))</f>
        <v/>
      </c>
      <c r="J759" t="s">
        <v>6747</v>
      </c>
      <c r="L759" t="s">
        <v>9883</v>
      </c>
    </row>
    <row r="760" spans="1:12" x14ac:dyDescent="0.3">
      <c r="A760" t="s">
        <v>4038</v>
      </c>
      <c r="B760" s="5" t="s">
        <v>8680</v>
      </c>
      <c r="C760" t="s">
        <v>6456</v>
      </c>
      <c r="D760" t="s">
        <v>4039</v>
      </c>
      <c r="E760" t="s">
        <v>4040</v>
      </c>
      <c r="F760" s="1">
        <v>45728</v>
      </c>
      <c r="G760" t="s">
        <v>18</v>
      </c>
      <c r="H760" s="24">
        <v>0</v>
      </c>
      <c r="I760" t="str">
        <f>IF(H760&lt;=0,"",LOOKUP(H760,'Regras e Parâmetros'!$B$4:$B$7,'Regras e Parâmetros'!$A$4:$A$7))</f>
        <v/>
      </c>
      <c r="J760" t="s">
        <v>9790</v>
      </c>
      <c r="K760" t="s">
        <v>187</v>
      </c>
      <c r="L760" t="s">
        <v>9883</v>
      </c>
    </row>
    <row r="761" spans="1:12" x14ac:dyDescent="0.3">
      <c r="A761" t="s">
        <v>7582</v>
      </c>
      <c r="B761" s="5" t="s">
        <v>2017</v>
      </c>
      <c r="C761" t="s">
        <v>6456</v>
      </c>
      <c r="D761" t="s">
        <v>7583</v>
      </c>
      <c r="E761" t="s">
        <v>7584</v>
      </c>
      <c r="F761" s="1">
        <v>45049</v>
      </c>
      <c r="G761" t="s">
        <v>22</v>
      </c>
      <c r="H761" s="24">
        <v>1600</v>
      </c>
      <c r="I761" t="str">
        <f>IF(H761&lt;=0,"",LOOKUP(H761,'Regras e Parâmetros'!$B$4:$B$7,'Regras e Parâmetros'!$A$4:$A$7))</f>
        <v>Prata</v>
      </c>
      <c r="J761" t="s">
        <v>6747</v>
      </c>
      <c r="K761" t="s">
        <v>8</v>
      </c>
      <c r="L761" t="s">
        <v>9793</v>
      </c>
    </row>
    <row r="762" spans="1:12" x14ac:dyDescent="0.3">
      <c r="A762" t="s">
        <v>2755</v>
      </c>
      <c r="B762" s="5" t="s">
        <v>6066</v>
      </c>
      <c r="C762" t="s">
        <v>6456</v>
      </c>
      <c r="D762" t="s">
        <v>2756</v>
      </c>
      <c r="E762" t="s">
        <v>7997</v>
      </c>
      <c r="F762" s="1">
        <v>45291</v>
      </c>
      <c r="G762" t="s">
        <v>18</v>
      </c>
      <c r="H762" s="24">
        <v>3494</v>
      </c>
      <c r="I762" t="str">
        <f>IF(H762&lt;=0,"",LOOKUP(H762,'Regras e Parâmetros'!$B$4:$B$7,'Regras e Parâmetros'!$A$4:$A$7))</f>
        <v>Prata</v>
      </c>
      <c r="J762" t="s">
        <v>9790</v>
      </c>
    </row>
    <row r="763" spans="1:12" x14ac:dyDescent="0.3">
      <c r="A763" t="s">
        <v>8937</v>
      </c>
      <c r="B763" s="5" t="s">
        <v>8938</v>
      </c>
      <c r="C763" t="s">
        <v>6456</v>
      </c>
      <c r="D763" t="s">
        <v>8939</v>
      </c>
      <c r="E763" t="s">
        <v>8940</v>
      </c>
      <c r="F763" s="1">
        <v>45862</v>
      </c>
      <c r="G763" t="s">
        <v>110</v>
      </c>
      <c r="H763" s="24">
        <v>0</v>
      </c>
      <c r="I763" t="str">
        <f>IF(H763&lt;=0,"",LOOKUP(H763,'Regras e Parâmetros'!$B$4:$B$7,'Regras e Parâmetros'!$A$4:$A$7))</f>
        <v/>
      </c>
      <c r="J763" t="s">
        <v>6456</v>
      </c>
      <c r="K763" t="s">
        <v>8</v>
      </c>
      <c r="L763" t="s">
        <v>9883</v>
      </c>
    </row>
    <row r="764" spans="1:12" x14ac:dyDescent="0.3">
      <c r="A764" t="s">
        <v>2367</v>
      </c>
      <c r="B764" s="5" t="s">
        <v>2368</v>
      </c>
      <c r="C764" t="s">
        <v>6456</v>
      </c>
      <c r="D764" t="s">
        <v>2369</v>
      </c>
      <c r="E764" t="s">
        <v>7787</v>
      </c>
      <c r="F764" s="1">
        <v>45155</v>
      </c>
      <c r="G764" t="s">
        <v>110</v>
      </c>
      <c r="H764" s="24">
        <v>2846</v>
      </c>
      <c r="I764" t="str">
        <f>IF(H764&lt;=0,"",LOOKUP(H764,'Regras e Parâmetros'!$B$4:$B$7,'Regras e Parâmetros'!$A$4:$A$7))</f>
        <v>Prata</v>
      </c>
      <c r="J764" t="s">
        <v>9790</v>
      </c>
    </row>
    <row r="765" spans="1:12" x14ac:dyDescent="0.3">
      <c r="A765" t="s">
        <v>3509</v>
      </c>
      <c r="B765" s="5" t="s">
        <v>8365</v>
      </c>
      <c r="C765" t="s">
        <v>6456</v>
      </c>
      <c r="D765" t="s">
        <v>3510</v>
      </c>
      <c r="E765" t="s">
        <v>3511</v>
      </c>
      <c r="F765" s="1">
        <v>45569</v>
      </c>
      <c r="G765" t="s">
        <v>45</v>
      </c>
      <c r="H765" s="24">
        <v>1103</v>
      </c>
      <c r="I765" t="str">
        <f>IF(H765&lt;=0,"",LOOKUP(H765,'Regras e Parâmetros'!$B$4:$B$7,'Regras e Parâmetros'!$A$4:$A$7))</f>
        <v>Bronze</v>
      </c>
      <c r="J765" t="s">
        <v>9790</v>
      </c>
    </row>
    <row r="766" spans="1:12" x14ac:dyDescent="0.3">
      <c r="A766" t="s">
        <v>7201</v>
      </c>
      <c r="B766" s="5" t="s">
        <v>1350</v>
      </c>
      <c r="C766" t="s">
        <v>6456</v>
      </c>
      <c r="D766" t="s">
        <v>1351</v>
      </c>
      <c r="E766" t="s">
        <v>1352</v>
      </c>
      <c r="F766" s="1">
        <v>44842</v>
      </c>
      <c r="G766" t="s">
        <v>110</v>
      </c>
      <c r="H766" s="24">
        <v>298</v>
      </c>
      <c r="I766" t="str">
        <f>IF(H766&lt;=0,"",LOOKUP(H766,'Regras e Parâmetros'!$B$4:$B$7,'Regras e Parâmetros'!$A$4:$A$7))</f>
        <v>Bronze</v>
      </c>
      <c r="J766" t="s">
        <v>9790</v>
      </c>
      <c r="L766" t="s">
        <v>9792</v>
      </c>
    </row>
    <row r="767" spans="1:12" x14ac:dyDescent="0.3">
      <c r="A767" t="s">
        <v>4641</v>
      </c>
      <c r="B767" s="5" t="s">
        <v>4642</v>
      </c>
      <c r="C767" t="s">
        <v>6456</v>
      </c>
      <c r="D767" t="s">
        <v>4643</v>
      </c>
      <c r="E767" t="s">
        <v>9030</v>
      </c>
      <c r="F767" s="1">
        <v>45907</v>
      </c>
      <c r="G767" t="s">
        <v>51</v>
      </c>
      <c r="H767" s="24">
        <v>0</v>
      </c>
      <c r="I767" t="str">
        <f>IF(H767&lt;=0,"",LOOKUP(H767,'Regras e Parâmetros'!$B$4:$B$7,'Regras e Parâmetros'!$A$4:$A$7))</f>
        <v/>
      </c>
      <c r="J767" t="s">
        <v>6456</v>
      </c>
      <c r="K767" t="s">
        <v>177</v>
      </c>
      <c r="L767" t="s">
        <v>9883</v>
      </c>
    </row>
    <row r="768" spans="1:12" x14ac:dyDescent="0.3">
      <c r="A768" t="s">
        <v>7621</v>
      </c>
      <c r="B768" s="5" t="s">
        <v>7622</v>
      </c>
      <c r="C768" t="s">
        <v>6456</v>
      </c>
      <c r="D768" t="s">
        <v>2091</v>
      </c>
      <c r="E768" t="s">
        <v>7623</v>
      </c>
      <c r="F768" s="1">
        <v>45075</v>
      </c>
      <c r="G768" t="s">
        <v>110</v>
      </c>
      <c r="H768" s="24">
        <v>532</v>
      </c>
      <c r="I768" t="str">
        <f>IF(H768&lt;=0,"",LOOKUP(H768,'Regras e Parâmetros'!$B$4:$B$7,'Regras e Parâmetros'!$A$4:$A$7))</f>
        <v>Bronze</v>
      </c>
      <c r="J768" t="s">
        <v>6456</v>
      </c>
    </row>
    <row r="769" spans="1:12" x14ac:dyDescent="0.3">
      <c r="A769" t="s">
        <v>8095</v>
      </c>
      <c r="B769" s="5" t="s">
        <v>8096</v>
      </c>
      <c r="C769" t="s">
        <v>6456</v>
      </c>
      <c r="D769" t="s">
        <v>2953</v>
      </c>
      <c r="E769" t="s">
        <v>8097</v>
      </c>
      <c r="F769" s="1">
        <v>45379</v>
      </c>
      <c r="G769" t="s">
        <v>100</v>
      </c>
      <c r="H769" s="24">
        <v>1259</v>
      </c>
      <c r="I769" t="str">
        <f>IF(H769&lt;=0,"",LOOKUP(H769,'Regras e Parâmetros'!$B$4:$B$7,'Regras e Parâmetros'!$A$4:$A$7))</f>
        <v>Bronze</v>
      </c>
      <c r="J769" t="s">
        <v>6456</v>
      </c>
    </row>
    <row r="770" spans="1:12" x14ac:dyDescent="0.3">
      <c r="A770" t="s">
        <v>5371</v>
      </c>
      <c r="B770" s="5" t="s">
        <v>9448</v>
      </c>
      <c r="C770" t="s">
        <v>6456</v>
      </c>
      <c r="D770" t="s">
        <v>6011</v>
      </c>
      <c r="E770" t="s">
        <v>9449</v>
      </c>
      <c r="F770" s="1">
        <v>46113</v>
      </c>
      <c r="G770" t="s">
        <v>18</v>
      </c>
      <c r="H770" s="24">
        <v>0</v>
      </c>
      <c r="I770" t="str">
        <f>IF(H770&lt;=0,"",LOOKUP(H770,'Regras e Parâmetros'!$B$4:$B$7,'Regras e Parâmetros'!$A$4:$A$7))</f>
        <v/>
      </c>
      <c r="J770" t="s">
        <v>6456</v>
      </c>
      <c r="K770" t="s">
        <v>9923</v>
      </c>
      <c r="L770" t="s">
        <v>9884</v>
      </c>
    </row>
    <row r="771" spans="1:12" x14ac:dyDescent="0.3">
      <c r="A771" t="s">
        <v>7038</v>
      </c>
      <c r="B771" s="5" t="s">
        <v>1102</v>
      </c>
      <c r="C771" t="s">
        <v>6456</v>
      </c>
      <c r="D771" t="s">
        <v>1103</v>
      </c>
      <c r="E771" t="s">
        <v>7039</v>
      </c>
      <c r="F771" s="1">
        <v>44728</v>
      </c>
      <c r="G771" t="s">
        <v>45</v>
      </c>
      <c r="H771" s="24">
        <v>2265</v>
      </c>
      <c r="I771" t="str">
        <f>IF(H771&lt;=0,"",LOOKUP(H771,'Regras e Parâmetros'!$B$4:$B$7,'Regras e Parâmetros'!$A$4:$A$7))</f>
        <v>Prata</v>
      </c>
      <c r="J771" t="s">
        <v>6747</v>
      </c>
    </row>
    <row r="772" spans="1:12" x14ac:dyDescent="0.3">
      <c r="A772" t="s">
        <v>3637</v>
      </c>
      <c r="B772" s="5" t="s">
        <v>8440</v>
      </c>
      <c r="C772" t="s">
        <v>6456</v>
      </c>
      <c r="D772" t="s">
        <v>3638</v>
      </c>
      <c r="E772" t="s">
        <v>8441</v>
      </c>
      <c r="F772" s="1">
        <v>45605</v>
      </c>
      <c r="G772" t="s">
        <v>45</v>
      </c>
      <c r="H772" s="24">
        <v>153</v>
      </c>
      <c r="I772" t="str">
        <f>IF(H772&lt;=0,"",LOOKUP(H772,'Regras e Parâmetros'!$B$4:$B$7,'Regras e Parâmetros'!$A$4:$A$7))</f>
        <v>Bronze</v>
      </c>
      <c r="J772" t="s">
        <v>9790</v>
      </c>
    </row>
    <row r="773" spans="1:12" x14ac:dyDescent="0.3">
      <c r="A773" t="s">
        <v>847</v>
      </c>
      <c r="B773" s="5" t="s">
        <v>6927</v>
      </c>
      <c r="C773" t="s">
        <v>6456</v>
      </c>
      <c r="D773" t="s">
        <v>848</v>
      </c>
      <c r="E773" t="s">
        <v>849</v>
      </c>
      <c r="F773" s="1">
        <v>44647</v>
      </c>
      <c r="G773" t="s">
        <v>22</v>
      </c>
      <c r="H773" s="24">
        <v>0</v>
      </c>
      <c r="I773" t="str">
        <f>IF(H773&lt;=0,"",LOOKUP(H773,'Regras e Parâmetros'!$B$4:$B$7,'Regras e Parâmetros'!$A$4:$A$7))</f>
        <v/>
      </c>
      <c r="J773" t="s">
        <v>6456</v>
      </c>
    </row>
    <row r="774" spans="1:12" x14ac:dyDescent="0.3">
      <c r="A774" t="s">
        <v>395</v>
      </c>
      <c r="B774" s="5" t="s">
        <v>396</v>
      </c>
      <c r="C774" t="s">
        <v>6456</v>
      </c>
      <c r="D774" t="s">
        <v>397</v>
      </c>
      <c r="E774" t="s">
        <v>6666</v>
      </c>
      <c r="F774" s="1">
        <v>44484</v>
      </c>
      <c r="G774" t="s">
        <v>45</v>
      </c>
      <c r="H774" s="24">
        <v>3026</v>
      </c>
      <c r="I774" t="str">
        <f>IF(H774&lt;=0,"",LOOKUP(H774,'Regras e Parâmetros'!$B$4:$B$7,'Regras e Parâmetros'!$A$4:$A$7))</f>
        <v>Prata</v>
      </c>
      <c r="J774" t="s">
        <v>6747</v>
      </c>
    </row>
    <row r="775" spans="1:12" x14ac:dyDescent="0.3">
      <c r="A775" t="s">
        <v>1104</v>
      </c>
      <c r="B775" s="5" t="s">
        <v>7052</v>
      </c>
      <c r="C775" t="s">
        <v>6456</v>
      </c>
      <c r="D775" t="s">
        <v>1105</v>
      </c>
      <c r="E775" t="s">
        <v>1106</v>
      </c>
      <c r="F775" s="1">
        <v>44733</v>
      </c>
      <c r="G775" t="s">
        <v>18</v>
      </c>
      <c r="H775" s="24">
        <v>795</v>
      </c>
      <c r="I775" t="str">
        <f>IF(H775&lt;=0,"",LOOKUP(H775,'Regras e Parâmetros'!$B$4:$B$7,'Regras e Parâmetros'!$A$4:$A$7))</f>
        <v>Bronze</v>
      </c>
      <c r="J775" t="s">
        <v>6747</v>
      </c>
      <c r="K775" t="s">
        <v>177</v>
      </c>
      <c r="L775" t="s">
        <v>9792</v>
      </c>
    </row>
    <row r="776" spans="1:12" x14ac:dyDescent="0.3">
      <c r="A776" t="s">
        <v>29</v>
      </c>
      <c r="B776" s="5" t="s">
        <v>30</v>
      </c>
      <c r="C776" t="s">
        <v>6456</v>
      </c>
      <c r="D776" t="s">
        <v>31</v>
      </c>
      <c r="E776" t="s">
        <v>32</v>
      </c>
      <c r="F776" s="1">
        <v>44356</v>
      </c>
      <c r="G776" t="s">
        <v>18</v>
      </c>
      <c r="H776" s="24">
        <v>953</v>
      </c>
      <c r="I776" t="str">
        <f>IF(H776&lt;=0,"",LOOKUP(H776,'Regras e Parâmetros'!$B$4:$B$7,'Regras e Parâmetros'!$A$4:$A$7))</f>
        <v>Bronze</v>
      </c>
      <c r="J776" t="s">
        <v>6747</v>
      </c>
      <c r="K776" t="s">
        <v>33</v>
      </c>
    </row>
    <row r="777" spans="1:12" x14ac:dyDescent="0.3">
      <c r="A777" t="s">
        <v>6525</v>
      </c>
      <c r="B777" s="5" t="s">
        <v>6526</v>
      </c>
      <c r="C777" t="s">
        <v>6456</v>
      </c>
      <c r="D777" t="s">
        <v>129</v>
      </c>
      <c r="E777" t="s">
        <v>6527</v>
      </c>
      <c r="F777" s="1">
        <v>44390</v>
      </c>
      <c r="G777" t="s">
        <v>45</v>
      </c>
      <c r="H777" s="24">
        <v>12500</v>
      </c>
      <c r="I777" t="str">
        <f>IF(H777&lt;=0,"",LOOKUP(H777,'Regras e Parâmetros'!$B$4:$B$7,'Regras e Parâmetros'!$A$4:$A$7))</f>
        <v>Vip</v>
      </c>
      <c r="J777" t="s">
        <v>6456</v>
      </c>
      <c r="L777" t="s">
        <v>9793</v>
      </c>
    </row>
    <row r="778" spans="1:12" x14ac:dyDescent="0.3">
      <c r="A778" t="s">
        <v>3187</v>
      </c>
      <c r="B778" s="5" t="s">
        <v>8203</v>
      </c>
      <c r="C778" t="s">
        <v>6456</v>
      </c>
      <c r="D778" t="s">
        <v>3188</v>
      </c>
      <c r="E778" t="s">
        <v>3189</v>
      </c>
      <c r="F778" s="1">
        <v>45461</v>
      </c>
      <c r="G778" t="s">
        <v>22</v>
      </c>
      <c r="H778" s="24">
        <v>1383</v>
      </c>
      <c r="I778" t="str">
        <f>IF(H778&lt;=0,"",LOOKUP(H778,'Regras e Parâmetros'!$B$4:$B$7,'Regras e Parâmetros'!$A$4:$A$7))</f>
        <v>Bronze</v>
      </c>
      <c r="J778" t="s">
        <v>9790</v>
      </c>
      <c r="K778" t="s">
        <v>72</v>
      </c>
    </row>
    <row r="779" spans="1:12" x14ac:dyDescent="0.3">
      <c r="A779" t="s">
        <v>7088</v>
      </c>
      <c r="B779" s="5" t="s">
        <v>7089</v>
      </c>
      <c r="C779" t="s">
        <v>6456</v>
      </c>
      <c r="D779" t="s">
        <v>1107</v>
      </c>
      <c r="E779" t="s">
        <v>1108</v>
      </c>
      <c r="F779" s="1">
        <v>44765</v>
      </c>
      <c r="G779" t="s">
        <v>45</v>
      </c>
      <c r="H779" s="24">
        <v>1966</v>
      </c>
      <c r="I779" t="str">
        <f>IF(H779&lt;=0,"",LOOKUP(H779,'Regras e Parâmetros'!$B$4:$B$7,'Regras e Parâmetros'!$A$4:$A$7))</f>
        <v>Prata</v>
      </c>
      <c r="J779" t="s">
        <v>6456</v>
      </c>
      <c r="K779" t="s">
        <v>708</v>
      </c>
    </row>
    <row r="780" spans="1:12" x14ac:dyDescent="0.3">
      <c r="A780" t="s">
        <v>2070</v>
      </c>
      <c r="B780" s="5" t="s">
        <v>7603</v>
      </c>
      <c r="C780" t="s">
        <v>6456</v>
      </c>
      <c r="D780" t="s">
        <v>2071</v>
      </c>
      <c r="E780" t="s">
        <v>7604</v>
      </c>
      <c r="F780" s="1">
        <v>45065</v>
      </c>
      <c r="G780" t="s">
        <v>18</v>
      </c>
      <c r="H780" s="24">
        <v>8660</v>
      </c>
      <c r="I780" t="str">
        <f>IF(H780&lt;=0,"",LOOKUP(H780,'Regras e Parâmetros'!$B$4:$B$7,'Regras e Parâmetros'!$A$4:$A$7))</f>
        <v>Ouro</v>
      </c>
      <c r="J780" t="s">
        <v>6456</v>
      </c>
    </row>
    <row r="781" spans="1:12" x14ac:dyDescent="0.3">
      <c r="A781" t="s">
        <v>4144</v>
      </c>
      <c r="B781" s="5" t="s">
        <v>8726</v>
      </c>
      <c r="C781" t="s">
        <v>6456</v>
      </c>
      <c r="D781" t="s">
        <v>4145</v>
      </c>
      <c r="E781" t="s">
        <v>8727</v>
      </c>
      <c r="F781" s="1">
        <v>45748</v>
      </c>
      <c r="G781" t="s">
        <v>45</v>
      </c>
      <c r="H781" s="24">
        <v>0</v>
      </c>
      <c r="I781" t="str">
        <f>IF(H781&lt;=0,"",LOOKUP(H781,'Regras e Parâmetros'!$B$4:$B$7,'Regras e Parâmetros'!$A$4:$A$7))</f>
        <v/>
      </c>
      <c r="J781" t="s">
        <v>9790</v>
      </c>
      <c r="L781" t="s">
        <v>9884</v>
      </c>
    </row>
    <row r="782" spans="1:12" x14ac:dyDescent="0.3">
      <c r="A782" t="s">
        <v>5634</v>
      </c>
      <c r="B782" s="5" t="s">
        <v>9598</v>
      </c>
      <c r="C782" t="s">
        <v>6456</v>
      </c>
      <c r="D782" t="s">
        <v>5635</v>
      </c>
      <c r="E782" t="s">
        <v>9599</v>
      </c>
      <c r="F782" s="1">
        <v>46201</v>
      </c>
      <c r="G782" t="s">
        <v>110</v>
      </c>
      <c r="H782" s="24">
        <v>0</v>
      </c>
      <c r="I782" t="str">
        <f>IF(H782&lt;=0,"",LOOKUP(H782,'Regras e Parâmetros'!$B$4:$B$7,'Regras e Parâmetros'!$A$4:$A$7))</f>
        <v/>
      </c>
      <c r="J782" t="s">
        <v>6456</v>
      </c>
      <c r="L782" t="s">
        <v>9883</v>
      </c>
    </row>
    <row r="783" spans="1:12" x14ac:dyDescent="0.3">
      <c r="A783" t="s">
        <v>9274</v>
      </c>
      <c r="B783" s="5" t="s">
        <v>5049</v>
      </c>
      <c r="C783" t="s">
        <v>6456</v>
      </c>
      <c r="D783" t="s">
        <v>5050</v>
      </c>
      <c r="E783" t="s">
        <v>5051</v>
      </c>
      <c r="F783" s="1">
        <v>46028</v>
      </c>
      <c r="G783" t="s">
        <v>51</v>
      </c>
      <c r="H783" s="24">
        <v>0</v>
      </c>
      <c r="I783" t="str">
        <f>IF(H783&lt;=0,"",LOOKUP(H783,'Regras e Parâmetros'!$B$4:$B$7,'Regras e Parâmetros'!$A$4:$A$7))</f>
        <v/>
      </c>
      <c r="J783" t="s">
        <v>9790</v>
      </c>
      <c r="L783" t="s">
        <v>9883</v>
      </c>
    </row>
    <row r="784" spans="1:12" x14ac:dyDescent="0.3">
      <c r="A784" t="s">
        <v>2954</v>
      </c>
      <c r="B784" s="5" t="s">
        <v>2955</v>
      </c>
      <c r="C784" t="s">
        <v>6456</v>
      </c>
      <c r="D784" t="s">
        <v>2956</v>
      </c>
      <c r="E784" t="s">
        <v>2957</v>
      </c>
      <c r="F784" s="1">
        <v>45381</v>
      </c>
      <c r="G784" t="s">
        <v>110</v>
      </c>
      <c r="H784" s="24">
        <v>2900</v>
      </c>
      <c r="I784" t="str">
        <f>IF(H784&lt;=0,"",LOOKUP(H784,'Regras e Parâmetros'!$B$4:$B$7,'Regras e Parâmetros'!$A$4:$A$7))</f>
        <v>Prata</v>
      </c>
      <c r="J784" t="s">
        <v>6456</v>
      </c>
      <c r="K784" t="s">
        <v>187</v>
      </c>
      <c r="L784" t="s">
        <v>9793</v>
      </c>
    </row>
    <row r="785" spans="1:12" x14ac:dyDescent="0.3">
      <c r="A785" t="s">
        <v>8618</v>
      </c>
      <c r="B785" s="5" t="s">
        <v>8619</v>
      </c>
      <c r="C785" t="s">
        <v>6456</v>
      </c>
      <c r="D785" t="s">
        <v>3908</v>
      </c>
      <c r="E785" t="s">
        <v>8620</v>
      </c>
      <c r="F785" s="1">
        <v>45693</v>
      </c>
      <c r="G785" t="s">
        <v>45</v>
      </c>
      <c r="H785" s="24">
        <v>0</v>
      </c>
      <c r="I785" t="str">
        <f>IF(H785&lt;=0,"",LOOKUP(H785,'Regras e Parâmetros'!$B$4:$B$7,'Regras e Parâmetros'!$A$4:$A$7))</f>
        <v/>
      </c>
      <c r="J785" t="s">
        <v>9790</v>
      </c>
      <c r="L785" t="s">
        <v>9883</v>
      </c>
    </row>
    <row r="786" spans="1:12" x14ac:dyDescent="0.3">
      <c r="A786" t="s">
        <v>3309</v>
      </c>
      <c r="B786" s="5" t="s">
        <v>8221</v>
      </c>
      <c r="C786" t="s">
        <v>6456</v>
      </c>
      <c r="D786" t="s">
        <v>3310</v>
      </c>
      <c r="E786" t="s">
        <v>8222</v>
      </c>
      <c r="F786" s="1">
        <v>45474</v>
      </c>
      <c r="G786" t="s">
        <v>51</v>
      </c>
      <c r="H786" s="24">
        <v>40</v>
      </c>
      <c r="I786" t="str">
        <f>IF(H786&lt;=0,"",LOOKUP(H786,'Regras e Parâmetros'!$B$4:$B$7,'Regras e Parâmetros'!$A$4:$A$7))</f>
        <v>Bronze</v>
      </c>
      <c r="J786" t="s">
        <v>9790</v>
      </c>
      <c r="L786" t="s">
        <v>9791</v>
      </c>
    </row>
    <row r="787" spans="1:12" x14ac:dyDescent="0.3">
      <c r="A787" t="s">
        <v>9595</v>
      </c>
      <c r="B787" s="5" t="s">
        <v>5618</v>
      </c>
      <c r="C787" t="s">
        <v>6456</v>
      </c>
      <c r="D787" t="s">
        <v>5619</v>
      </c>
      <c r="E787" t="s">
        <v>5620</v>
      </c>
      <c r="F787" s="1">
        <v>46193</v>
      </c>
      <c r="G787" t="s">
        <v>18</v>
      </c>
      <c r="H787" s="24">
        <v>0</v>
      </c>
      <c r="I787" t="str">
        <f>IF(H787&lt;=0,"",LOOKUP(H787,'Regras e Parâmetros'!$B$4:$B$7,'Regras e Parâmetros'!$A$4:$A$7))</f>
        <v/>
      </c>
      <c r="J787" t="s">
        <v>9790</v>
      </c>
      <c r="L787" t="s">
        <v>9886</v>
      </c>
    </row>
    <row r="788" spans="1:12" x14ac:dyDescent="0.3">
      <c r="A788" t="s">
        <v>3757</v>
      </c>
      <c r="B788" s="5" t="s">
        <v>8500</v>
      </c>
      <c r="C788" t="s">
        <v>6456</v>
      </c>
      <c r="D788" t="s">
        <v>3758</v>
      </c>
      <c r="E788" t="s">
        <v>3759</v>
      </c>
      <c r="F788" s="1">
        <v>45646</v>
      </c>
      <c r="G788" t="s">
        <v>51</v>
      </c>
      <c r="H788" s="24">
        <v>501</v>
      </c>
      <c r="I788" t="str">
        <f>IF(H788&lt;=0,"",LOOKUP(H788,'Regras e Parâmetros'!$B$4:$B$7,'Regras e Parâmetros'!$A$4:$A$7))</f>
        <v>Bronze</v>
      </c>
      <c r="J788" t="s">
        <v>6456</v>
      </c>
      <c r="K788" t="s">
        <v>708</v>
      </c>
      <c r="L788" t="s">
        <v>9792</v>
      </c>
    </row>
    <row r="789" spans="1:12" x14ac:dyDescent="0.3">
      <c r="A789" t="s">
        <v>5256</v>
      </c>
      <c r="B789" s="5" t="s">
        <v>9397</v>
      </c>
      <c r="C789" t="s">
        <v>6456</v>
      </c>
      <c r="D789" t="s">
        <v>5257</v>
      </c>
      <c r="E789" t="s">
        <v>9398</v>
      </c>
      <c r="F789" s="1">
        <v>46092</v>
      </c>
      <c r="G789" t="s">
        <v>18</v>
      </c>
      <c r="H789" s="24">
        <v>0</v>
      </c>
      <c r="I789" t="str">
        <f>IF(H789&lt;=0,"",LOOKUP(H789,'Regras e Parâmetros'!$B$4:$B$7,'Regras e Parâmetros'!$A$4:$A$7))</f>
        <v/>
      </c>
      <c r="J789" t="s">
        <v>6456</v>
      </c>
      <c r="L789" t="s">
        <v>9883</v>
      </c>
    </row>
    <row r="790" spans="1:12" x14ac:dyDescent="0.3">
      <c r="A790" t="s">
        <v>9584</v>
      </c>
      <c r="B790" s="5" t="s">
        <v>9585</v>
      </c>
      <c r="C790" t="s">
        <v>6456</v>
      </c>
      <c r="D790" t="s">
        <v>5600</v>
      </c>
      <c r="E790" t="s">
        <v>5601</v>
      </c>
      <c r="F790" s="1">
        <v>46184</v>
      </c>
      <c r="G790" t="s">
        <v>18</v>
      </c>
      <c r="H790" s="24">
        <v>0</v>
      </c>
      <c r="I790" t="str">
        <f>IF(H790&lt;=0,"",LOOKUP(H790,'Regras e Parâmetros'!$B$4:$B$7,'Regras e Parâmetros'!$A$4:$A$7))</f>
        <v/>
      </c>
      <c r="J790" t="s">
        <v>6456</v>
      </c>
      <c r="L790" t="s">
        <v>9883</v>
      </c>
    </row>
    <row r="791" spans="1:12" x14ac:dyDescent="0.3">
      <c r="A791" t="s">
        <v>6773</v>
      </c>
      <c r="B791" s="5" t="s">
        <v>6774</v>
      </c>
      <c r="C791" t="s">
        <v>6456</v>
      </c>
      <c r="D791" t="s">
        <v>593</v>
      </c>
      <c r="E791" t="s">
        <v>6775</v>
      </c>
      <c r="F791" s="1">
        <v>44553</v>
      </c>
      <c r="G791" t="s">
        <v>18</v>
      </c>
      <c r="H791" s="24">
        <v>0</v>
      </c>
      <c r="I791" t="str">
        <f>IF(H791&lt;=0,"",LOOKUP(H791,'Regras e Parâmetros'!$B$4:$B$7,'Regras e Parâmetros'!$A$4:$A$7))</f>
        <v/>
      </c>
      <c r="J791" t="s">
        <v>6747</v>
      </c>
    </row>
    <row r="792" spans="1:12" x14ac:dyDescent="0.3">
      <c r="A792" t="s">
        <v>1109</v>
      </c>
      <c r="B792" s="5" t="s">
        <v>7112</v>
      </c>
      <c r="C792" t="s">
        <v>6456</v>
      </c>
      <c r="D792" t="s">
        <v>1110</v>
      </c>
      <c r="E792" t="s">
        <v>1111</v>
      </c>
      <c r="F792" s="1">
        <v>44780</v>
      </c>
      <c r="G792" t="s">
        <v>18</v>
      </c>
      <c r="H792" s="24">
        <v>1800</v>
      </c>
      <c r="I792" t="str">
        <f>IF(H792&lt;=0,"",LOOKUP(H792,'Regras e Parâmetros'!$B$4:$B$7,'Regras e Parâmetros'!$A$4:$A$7))</f>
        <v>Prata</v>
      </c>
      <c r="J792" t="s">
        <v>6456</v>
      </c>
      <c r="K792" t="s">
        <v>10028</v>
      </c>
      <c r="L792" t="s">
        <v>9792</v>
      </c>
    </row>
    <row r="793" spans="1:12" x14ac:dyDescent="0.3">
      <c r="A793" t="s">
        <v>3630</v>
      </c>
      <c r="B793" s="5" t="s">
        <v>8436</v>
      </c>
      <c r="C793" t="s">
        <v>6456</v>
      </c>
      <c r="D793" t="s">
        <v>3631</v>
      </c>
      <c r="E793" t="s">
        <v>3632</v>
      </c>
      <c r="F793" s="1">
        <v>45604</v>
      </c>
      <c r="G793" t="s">
        <v>45</v>
      </c>
      <c r="H793" s="24">
        <v>414</v>
      </c>
      <c r="I793" t="str">
        <f>IF(H793&lt;=0,"",LOOKUP(H793,'Regras e Parâmetros'!$B$4:$B$7,'Regras e Parâmetros'!$A$4:$A$7))</f>
        <v>Bronze</v>
      </c>
      <c r="J793" t="s">
        <v>6456</v>
      </c>
      <c r="K793" t="s">
        <v>177</v>
      </c>
    </row>
    <row r="794" spans="1:12" x14ac:dyDescent="0.3">
      <c r="A794" t="s">
        <v>7053</v>
      </c>
      <c r="B794" s="5" t="s">
        <v>6059</v>
      </c>
      <c r="C794" t="s">
        <v>6456</v>
      </c>
      <c r="E794" t="s">
        <v>7054</v>
      </c>
      <c r="F794" s="1">
        <v>44733</v>
      </c>
      <c r="G794" t="s">
        <v>18</v>
      </c>
      <c r="H794" s="24">
        <v>2517</v>
      </c>
      <c r="I794" t="str">
        <f>IF(H794&lt;=0,"",LOOKUP(H794,'Regras e Parâmetros'!$B$4:$B$7,'Regras e Parâmetros'!$A$4:$A$7))</f>
        <v>Prata</v>
      </c>
      <c r="J794" t="s">
        <v>6747</v>
      </c>
      <c r="K794" t="s">
        <v>10028</v>
      </c>
      <c r="L794" t="s">
        <v>9804</v>
      </c>
    </row>
    <row r="795" spans="1:12" x14ac:dyDescent="0.3">
      <c r="A795" t="s">
        <v>5064</v>
      </c>
      <c r="B795" s="5" t="s">
        <v>5065</v>
      </c>
      <c r="C795" t="s">
        <v>6456</v>
      </c>
      <c r="D795" t="s">
        <v>5990</v>
      </c>
      <c r="E795" t="s">
        <v>5066</v>
      </c>
      <c r="F795" s="1">
        <v>46035</v>
      </c>
      <c r="G795" t="s">
        <v>18</v>
      </c>
      <c r="H795" s="24">
        <v>0</v>
      </c>
      <c r="I795" t="str">
        <f>IF(H795&lt;=0,"",LOOKUP(H795,'Regras e Parâmetros'!$B$4:$B$7,'Regras e Parâmetros'!$A$4:$A$7))</f>
        <v/>
      </c>
      <c r="J795" t="s">
        <v>6747</v>
      </c>
      <c r="K795" t="s">
        <v>9916</v>
      </c>
      <c r="L795" t="s">
        <v>9883</v>
      </c>
    </row>
    <row r="796" spans="1:12" x14ac:dyDescent="0.3">
      <c r="A796" t="s">
        <v>2242</v>
      </c>
      <c r="B796" s="5" t="s">
        <v>7717</v>
      </c>
      <c r="C796" t="s">
        <v>6456</v>
      </c>
      <c r="D796" t="s">
        <v>2243</v>
      </c>
      <c r="E796" t="s">
        <v>2244</v>
      </c>
      <c r="F796" s="1">
        <v>45123</v>
      </c>
      <c r="G796" t="s">
        <v>51</v>
      </c>
      <c r="H796" s="24">
        <v>1279</v>
      </c>
      <c r="I796" t="str">
        <f>IF(H796&lt;=0,"",LOOKUP(H796,'Regras e Parâmetros'!$B$4:$B$7,'Regras e Parâmetros'!$A$4:$A$7))</f>
        <v>Bronze</v>
      </c>
      <c r="J796" t="s">
        <v>9790</v>
      </c>
      <c r="L796" t="s">
        <v>9792</v>
      </c>
    </row>
    <row r="797" spans="1:12" x14ac:dyDescent="0.3">
      <c r="A797" t="s">
        <v>3209</v>
      </c>
      <c r="B797" s="5" t="s">
        <v>3210</v>
      </c>
      <c r="C797" t="s">
        <v>6456</v>
      </c>
      <c r="D797" t="s">
        <v>3211</v>
      </c>
      <c r="E797" t="s">
        <v>8214</v>
      </c>
      <c r="F797" s="1">
        <v>45466</v>
      </c>
      <c r="G797" t="s">
        <v>45</v>
      </c>
      <c r="H797" s="24">
        <v>156</v>
      </c>
      <c r="I797" t="str">
        <f>IF(H797&lt;=0,"",LOOKUP(H797,'Regras e Parâmetros'!$B$4:$B$7,'Regras e Parâmetros'!$A$4:$A$7))</f>
        <v>Bronze</v>
      </c>
      <c r="J797" t="s">
        <v>9790</v>
      </c>
      <c r="K797" t="s">
        <v>187</v>
      </c>
    </row>
    <row r="798" spans="1:12" x14ac:dyDescent="0.3">
      <c r="A798" t="s">
        <v>9334</v>
      </c>
      <c r="B798" s="5" t="s">
        <v>9335</v>
      </c>
      <c r="C798" t="s">
        <v>6456</v>
      </c>
      <c r="D798" t="s">
        <v>5161</v>
      </c>
      <c r="E798" t="s">
        <v>9336</v>
      </c>
      <c r="F798" s="1">
        <v>46059</v>
      </c>
      <c r="G798" t="s">
        <v>22</v>
      </c>
      <c r="H798" s="24">
        <v>0</v>
      </c>
      <c r="I798" t="str">
        <f>IF(H798&lt;=0,"",LOOKUP(H798,'Regras e Parâmetros'!$B$4:$B$7,'Regras e Parâmetros'!$A$4:$A$7))</f>
        <v/>
      </c>
      <c r="J798" t="s">
        <v>6747</v>
      </c>
      <c r="L798" t="s">
        <v>9883</v>
      </c>
    </row>
    <row r="799" spans="1:12" x14ac:dyDescent="0.3">
      <c r="A799" t="s">
        <v>3350</v>
      </c>
      <c r="B799" s="5" t="s">
        <v>3351</v>
      </c>
      <c r="C799" t="s">
        <v>6456</v>
      </c>
      <c r="D799" t="s">
        <v>3352</v>
      </c>
      <c r="E799" t="s">
        <v>8289</v>
      </c>
      <c r="F799" s="1">
        <v>45513</v>
      </c>
      <c r="G799" t="s">
        <v>110</v>
      </c>
      <c r="H799" s="24">
        <v>1522</v>
      </c>
      <c r="I799" t="str">
        <f>IF(H799&lt;=0,"",LOOKUP(H799,'Regras e Parâmetros'!$B$4:$B$7,'Regras e Parâmetros'!$A$4:$A$7))</f>
        <v>Prata</v>
      </c>
      <c r="J799" t="s">
        <v>6456</v>
      </c>
    </row>
    <row r="800" spans="1:12" x14ac:dyDescent="0.3">
      <c r="A800" t="s">
        <v>6602</v>
      </c>
      <c r="B800" s="5" t="s">
        <v>290</v>
      </c>
      <c r="C800" t="s">
        <v>6456</v>
      </c>
      <c r="D800" t="s">
        <v>291</v>
      </c>
      <c r="E800" t="s">
        <v>292</v>
      </c>
      <c r="F800" s="1">
        <v>44443</v>
      </c>
      <c r="G800" t="s">
        <v>51</v>
      </c>
      <c r="H800" s="24">
        <v>4210</v>
      </c>
      <c r="I800" t="str">
        <f>IF(H800&lt;=0,"",LOOKUP(H800,'Regras e Parâmetros'!$B$4:$B$7,'Regras e Parâmetros'!$A$4:$A$7))</f>
        <v>Prata</v>
      </c>
      <c r="J800" t="s">
        <v>9790</v>
      </c>
      <c r="L800" t="s">
        <v>9792</v>
      </c>
    </row>
    <row r="801" spans="1:12" x14ac:dyDescent="0.3">
      <c r="A801" t="s">
        <v>4203</v>
      </c>
      <c r="B801" s="5" t="s">
        <v>4204</v>
      </c>
      <c r="C801" t="s">
        <v>6456</v>
      </c>
      <c r="D801" t="s">
        <v>4205</v>
      </c>
      <c r="E801" t="s">
        <v>8779</v>
      </c>
      <c r="F801" s="1">
        <v>45776</v>
      </c>
      <c r="G801" t="s">
        <v>110</v>
      </c>
      <c r="H801" s="24">
        <v>0</v>
      </c>
      <c r="I801" t="str">
        <f>IF(H801&lt;=0,"",LOOKUP(H801,'Regras e Parâmetros'!$B$4:$B$7,'Regras e Parâmetros'!$A$4:$A$7))</f>
        <v/>
      </c>
      <c r="J801" t="s">
        <v>6456</v>
      </c>
      <c r="L801" t="s">
        <v>9883</v>
      </c>
    </row>
    <row r="802" spans="1:12" x14ac:dyDescent="0.3">
      <c r="A802" t="s">
        <v>5502</v>
      </c>
      <c r="B802" s="5" t="s">
        <v>9522</v>
      </c>
      <c r="C802" t="s">
        <v>6456</v>
      </c>
      <c r="D802" t="s">
        <v>9523</v>
      </c>
      <c r="E802" t="s">
        <v>5503</v>
      </c>
      <c r="F802" s="1">
        <v>46158</v>
      </c>
      <c r="G802" t="s">
        <v>22</v>
      </c>
      <c r="H802" s="24">
        <v>0</v>
      </c>
      <c r="I802" t="str">
        <f>IF(H802&lt;=0,"",LOOKUP(H802,'Regras e Parâmetros'!$B$4:$B$7,'Regras e Parâmetros'!$A$4:$A$7))</f>
        <v/>
      </c>
      <c r="J802" t="s">
        <v>9790</v>
      </c>
      <c r="L802" t="s">
        <v>9883</v>
      </c>
    </row>
    <row r="803" spans="1:12" x14ac:dyDescent="0.3">
      <c r="A803" t="s">
        <v>5593</v>
      </c>
      <c r="B803" s="5" t="s">
        <v>9575</v>
      </c>
      <c r="C803" t="s">
        <v>6456</v>
      </c>
      <c r="D803" t="s">
        <v>5594</v>
      </c>
      <c r="E803" t="s">
        <v>9576</v>
      </c>
      <c r="F803" s="1">
        <v>46181</v>
      </c>
      <c r="G803" t="s">
        <v>110</v>
      </c>
      <c r="H803" s="24">
        <v>0</v>
      </c>
      <c r="I803" t="str">
        <f>IF(H803&lt;=0,"",LOOKUP(H803,'Regras e Parâmetros'!$B$4:$B$7,'Regras e Parâmetros'!$A$4:$A$7))</f>
        <v/>
      </c>
      <c r="J803" t="s">
        <v>9790</v>
      </c>
      <c r="K803" t="s">
        <v>708</v>
      </c>
      <c r="L803" t="s">
        <v>9883</v>
      </c>
    </row>
    <row r="804" spans="1:12" x14ac:dyDescent="0.3">
      <c r="A804" t="s">
        <v>3952</v>
      </c>
      <c r="B804" s="5" t="s">
        <v>3953</v>
      </c>
      <c r="C804" t="s">
        <v>6456</v>
      </c>
      <c r="D804" t="s">
        <v>3954</v>
      </c>
      <c r="E804" t="s">
        <v>3955</v>
      </c>
      <c r="F804" s="1">
        <v>45702</v>
      </c>
      <c r="G804" t="s">
        <v>18</v>
      </c>
      <c r="H804" s="24">
        <v>0</v>
      </c>
      <c r="I804" t="str">
        <f>IF(H804&lt;=0,"",LOOKUP(H804,'Regras e Parâmetros'!$B$4:$B$7,'Regras e Parâmetros'!$A$4:$A$7))</f>
        <v/>
      </c>
      <c r="J804" t="s">
        <v>6747</v>
      </c>
      <c r="L804" t="s">
        <v>9883</v>
      </c>
    </row>
    <row r="805" spans="1:12" x14ac:dyDescent="0.3">
      <c r="A805" t="s">
        <v>4141</v>
      </c>
      <c r="B805" s="5" t="s">
        <v>8748</v>
      </c>
      <c r="C805" t="s">
        <v>6456</v>
      </c>
      <c r="D805" t="s">
        <v>4142</v>
      </c>
      <c r="E805" t="s">
        <v>4143</v>
      </c>
      <c r="F805" s="1">
        <v>45755</v>
      </c>
      <c r="G805" t="s">
        <v>100</v>
      </c>
      <c r="H805" s="24">
        <v>0</v>
      </c>
      <c r="I805" t="str">
        <f>IF(H805&lt;=0,"",LOOKUP(H805,'Regras e Parâmetros'!$B$4:$B$7,'Regras e Parâmetros'!$A$4:$A$7))</f>
        <v/>
      </c>
      <c r="J805" t="s">
        <v>9790</v>
      </c>
      <c r="L805" t="s">
        <v>9886</v>
      </c>
    </row>
    <row r="806" spans="1:12" x14ac:dyDescent="0.3">
      <c r="A806" t="s">
        <v>9466</v>
      </c>
      <c r="B806" s="5" t="s">
        <v>9467</v>
      </c>
      <c r="C806" t="s">
        <v>6456</v>
      </c>
      <c r="D806" t="s">
        <v>5389</v>
      </c>
      <c r="E806" t="s">
        <v>9468</v>
      </c>
      <c r="F806" s="1">
        <v>46126</v>
      </c>
      <c r="G806" t="s">
        <v>51</v>
      </c>
      <c r="H806" s="24">
        <v>0</v>
      </c>
      <c r="I806" t="str">
        <f>IF(H806&lt;=0,"",LOOKUP(H806,'Regras e Parâmetros'!$B$4:$B$7,'Regras e Parâmetros'!$A$4:$A$7))</f>
        <v/>
      </c>
      <c r="J806" t="s">
        <v>6747</v>
      </c>
      <c r="K806" t="s">
        <v>44</v>
      </c>
      <c r="L806" t="s">
        <v>9883</v>
      </c>
    </row>
    <row r="807" spans="1:12" x14ac:dyDescent="0.3">
      <c r="A807" t="s">
        <v>3620</v>
      </c>
      <c r="B807" s="5" t="s">
        <v>3621</v>
      </c>
      <c r="C807" t="s">
        <v>6456</v>
      </c>
      <c r="D807" t="s">
        <v>3622</v>
      </c>
      <c r="E807" t="s">
        <v>3623</v>
      </c>
      <c r="F807" s="1">
        <v>45600</v>
      </c>
      <c r="G807" t="s">
        <v>51</v>
      </c>
      <c r="H807" s="24">
        <v>147</v>
      </c>
      <c r="I807" t="str">
        <f>IF(H807&lt;=0,"",LOOKUP(H807,'Regras e Parâmetros'!$B$4:$B$7,'Regras e Parâmetros'!$A$4:$A$7))</f>
        <v>Bronze</v>
      </c>
      <c r="J807" t="s">
        <v>6456</v>
      </c>
    </row>
    <row r="808" spans="1:12" x14ac:dyDescent="0.3">
      <c r="A808" t="s">
        <v>5145</v>
      </c>
      <c r="B808" s="5" t="s">
        <v>9327</v>
      </c>
      <c r="C808" t="s">
        <v>6456</v>
      </c>
      <c r="D808" t="s">
        <v>5146</v>
      </c>
      <c r="E808" t="s">
        <v>5147</v>
      </c>
      <c r="F808" s="1">
        <v>46055</v>
      </c>
      <c r="G808" t="s">
        <v>51</v>
      </c>
      <c r="H808" s="24">
        <v>0</v>
      </c>
      <c r="I808" t="str">
        <f>IF(H808&lt;=0,"",LOOKUP(H808,'Regras e Parâmetros'!$B$4:$B$7,'Regras e Parâmetros'!$A$4:$A$7))</f>
        <v/>
      </c>
      <c r="J808" t="s">
        <v>9790</v>
      </c>
      <c r="L808" t="s">
        <v>9883</v>
      </c>
    </row>
    <row r="809" spans="1:12" x14ac:dyDescent="0.3">
      <c r="A809" t="s">
        <v>5854</v>
      </c>
      <c r="B809" s="5" t="s">
        <v>9733</v>
      </c>
      <c r="C809" t="s">
        <v>6456</v>
      </c>
      <c r="D809" t="s">
        <v>5855</v>
      </c>
      <c r="E809" t="s">
        <v>9734</v>
      </c>
      <c r="F809" s="1">
        <v>46256</v>
      </c>
      <c r="G809" t="s">
        <v>110</v>
      </c>
      <c r="H809" s="24">
        <v>0</v>
      </c>
      <c r="I809" t="str">
        <f>IF(H809&lt;=0,"",LOOKUP(H809,'Regras e Parâmetros'!$B$4:$B$7,'Regras e Parâmetros'!$A$4:$A$7))</f>
        <v/>
      </c>
      <c r="J809" t="s">
        <v>6747</v>
      </c>
      <c r="L809" t="s">
        <v>9883</v>
      </c>
    </row>
    <row r="810" spans="1:12" x14ac:dyDescent="0.3">
      <c r="A810" t="s">
        <v>3468</v>
      </c>
      <c r="B810" s="5" t="s">
        <v>3469</v>
      </c>
      <c r="C810" t="s">
        <v>6456</v>
      </c>
      <c r="D810" t="s">
        <v>5249</v>
      </c>
      <c r="E810" t="s">
        <v>8347</v>
      </c>
      <c r="F810" s="1">
        <v>45556</v>
      </c>
      <c r="G810" t="s">
        <v>22</v>
      </c>
      <c r="H810" s="24">
        <v>27</v>
      </c>
      <c r="I810" t="str">
        <f>IF(H810&lt;=0,"",LOOKUP(H810,'Regras e Parâmetros'!$B$4:$B$7,'Regras e Parâmetros'!$A$4:$A$7))</f>
        <v>Bronze</v>
      </c>
      <c r="J810" t="s">
        <v>9790</v>
      </c>
      <c r="K810" t="s">
        <v>9872</v>
      </c>
      <c r="L810" t="s">
        <v>9839</v>
      </c>
    </row>
    <row r="811" spans="1:12" x14ac:dyDescent="0.3">
      <c r="A811" t="s">
        <v>3065</v>
      </c>
      <c r="B811" s="5" t="s">
        <v>3066</v>
      </c>
      <c r="C811" t="s">
        <v>6456</v>
      </c>
      <c r="D811" t="s">
        <v>3067</v>
      </c>
      <c r="E811" t="s">
        <v>8141</v>
      </c>
      <c r="F811" s="1">
        <v>45413</v>
      </c>
      <c r="G811" t="s">
        <v>45</v>
      </c>
      <c r="H811" s="24">
        <v>286</v>
      </c>
      <c r="I811" t="str">
        <f>IF(H811&lt;=0,"",LOOKUP(H811,'Regras e Parâmetros'!$B$4:$B$7,'Regras e Parâmetros'!$A$4:$A$7))</f>
        <v>Bronze</v>
      </c>
      <c r="J811" t="s">
        <v>9790</v>
      </c>
      <c r="K811" t="s">
        <v>708</v>
      </c>
    </row>
    <row r="812" spans="1:12" x14ac:dyDescent="0.3">
      <c r="A812" t="s">
        <v>5570</v>
      </c>
      <c r="B812" s="5" t="s">
        <v>9565</v>
      </c>
      <c r="C812" t="s">
        <v>6456</v>
      </c>
      <c r="D812" t="s">
        <v>5571</v>
      </c>
      <c r="E812" t="s">
        <v>9566</v>
      </c>
      <c r="F812" s="1">
        <v>46176</v>
      </c>
      <c r="G812" t="s">
        <v>18</v>
      </c>
      <c r="H812" s="24">
        <v>0</v>
      </c>
      <c r="I812" t="str">
        <f>IF(H812&lt;=0,"",LOOKUP(H812,'Regras e Parâmetros'!$B$4:$B$7,'Regras e Parâmetros'!$A$4:$A$7))</f>
        <v/>
      </c>
      <c r="J812" t="s">
        <v>6456</v>
      </c>
      <c r="L812" t="s">
        <v>9883</v>
      </c>
    </row>
    <row r="813" spans="1:12" x14ac:dyDescent="0.3">
      <c r="A813" t="s">
        <v>931</v>
      </c>
      <c r="B813" s="5" t="s">
        <v>6977</v>
      </c>
      <c r="C813" t="s">
        <v>6456</v>
      </c>
      <c r="D813" t="s">
        <v>932</v>
      </c>
      <c r="E813" t="s">
        <v>933</v>
      </c>
      <c r="F813" s="1">
        <v>44685</v>
      </c>
      <c r="G813" t="s">
        <v>45</v>
      </c>
      <c r="H813" s="24">
        <v>409</v>
      </c>
      <c r="I813" t="str">
        <f>IF(H813&lt;=0,"",LOOKUP(H813,'Regras e Parâmetros'!$B$4:$B$7,'Regras e Parâmetros'!$A$4:$A$7))</f>
        <v>Bronze</v>
      </c>
      <c r="J813" t="s">
        <v>9790</v>
      </c>
    </row>
    <row r="814" spans="1:12" x14ac:dyDescent="0.3">
      <c r="A814" t="s">
        <v>780</v>
      </c>
      <c r="B814" s="5" t="s">
        <v>781</v>
      </c>
      <c r="C814" t="s">
        <v>6456</v>
      </c>
      <c r="D814" t="s">
        <v>782</v>
      </c>
      <c r="E814" t="s">
        <v>783</v>
      </c>
      <c r="F814" s="1">
        <v>44624</v>
      </c>
      <c r="G814" t="s">
        <v>45</v>
      </c>
      <c r="H814" s="24">
        <v>0</v>
      </c>
      <c r="I814" t="str">
        <f>IF(H814&lt;=0,"",LOOKUP(H814,'Regras e Parâmetros'!$B$4:$B$7,'Regras e Parâmetros'!$A$4:$A$7))</f>
        <v/>
      </c>
      <c r="J814" t="s">
        <v>6747</v>
      </c>
      <c r="L814" t="s">
        <v>9792</v>
      </c>
    </row>
    <row r="815" spans="1:12" x14ac:dyDescent="0.3">
      <c r="A815" t="s">
        <v>5399</v>
      </c>
      <c r="B815" s="5" t="s">
        <v>9474</v>
      </c>
      <c r="C815" t="s">
        <v>6456</v>
      </c>
      <c r="D815" t="s">
        <v>5400</v>
      </c>
      <c r="E815" t="s">
        <v>9475</v>
      </c>
      <c r="F815" s="1">
        <v>46130</v>
      </c>
      <c r="G815" t="s">
        <v>110</v>
      </c>
      <c r="H815" s="24">
        <v>0</v>
      </c>
      <c r="I815" t="str">
        <f>IF(H815&lt;=0,"",LOOKUP(H815,'Regras e Parâmetros'!$B$4:$B$7,'Regras e Parâmetros'!$A$4:$A$7))</f>
        <v/>
      </c>
      <c r="J815" t="s">
        <v>6747</v>
      </c>
      <c r="K815" t="s">
        <v>187</v>
      </c>
      <c r="L815" t="s">
        <v>9883</v>
      </c>
    </row>
    <row r="816" spans="1:12" x14ac:dyDescent="0.3">
      <c r="A816" t="s">
        <v>1939</v>
      </c>
      <c r="B816" s="5" t="s">
        <v>1940</v>
      </c>
      <c r="C816" t="s">
        <v>6456</v>
      </c>
      <c r="D816" t="s">
        <v>1941</v>
      </c>
      <c r="E816" t="s">
        <v>7552</v>
      </c>
      <c r="F816" s="1">
        <v>45027</v>
      </c>
      <c r="G816" t="s">
        <v>110</v>
      </c>
      <c r="H816" s="24">
        <v>0</v>
      </c>
      <c r="I816" t="str">
        <f>IF(H816&lt;=0,"",LOOKUP(H816,'Regras e Parâmetros'!$B$4:$B$7,'Regras e Parâmetros'!$A$4:$A$7))</f>
        <v/>
      </c>
      <c r="J816" t="s">
        <v>6747</v>
      </c>
    </row>
    <row r="817" spans="1:12" x14ac:dyDescent="0.3">
      <c r="A817" t="s">
        <v>1939</v>
      </c>
      <c r="B817" s="5" t="s">
        <v>4481</v>
      </c>
      <c r="C817" t="s">
        <v>6456</v>
      </c>
      <c r="D817" t="s">
        <v>5845</v>
      </c>
      <c r="E817" t="s">
        <v>5846</v>
      </c>
      <c r="F817" s="1">
        <v>45860</v>
      </c>
      <c r="G817" t="s">
        <v>51</v>
      </c>
      <c r="H817" s="24">
        <v>0</v>
      </c>
      <c r="I817" t="str">
        <f>IF(H817&lt;=0,"",LOOKUP(H817,'Regras e Parâmetros'!$B$4:$B$7,'Regras e Parâmetros'!$A$4:$A$7))</f>
        <v/>
      </c>
      <c r="J817" t="s">
        <v>6747</v>
      </c>
      <c r="K817" t="s">
        <v>9901</v>
      </c>
      <c r="L817" t="s">
        <v>9883</v>
      </c>
    </row>
    <row r="818" spans="1:12" x14ac:dyDescent="0.3">
      <c r="A818" t="s">
        <v>934</v>
      </c>
      <c r="B818" s="5" t="s">
        <v>935</v>
      </c>
      <c r="C818" t="s">
        <v>6456</v>
      </c>
      <c r="D818" t="s">
        <v>936</v>
      </c>
      <c r="E818" t="s">
        <v>6978</v>
      </c>
      <c r="F818" s="1">
        <v>44685</v>
      </c>
      <c r="G818" t="s">
        <v>100</v>
      </c>
      <c r="H818" s="24">
        <v>1865</v>
      </c>
      <c r="I818" t="str">
        <f>IF(H818&lt;=0,"",LOOKUP(H818,'Regras e Parâmetros'!$B$4:$B$7,'Regras e Parâmetros'!$A$4:$A$7))</f>
        <v>Prata</v>
      </c>
      <c r="J818" t="s">
        <v>9790</v>
      </c>
      <c r="K818" t="s">
        <v>708</v>
      </c>
    </row>
    <row r="819" spans="1:12" x14ac:dyDescent="0.3">
      <c r="A819" t="s">
        <v>865</v>
      </c>
      <c r="B819" s="5" t="s">
        <v>6943</v>
      </c>
      <c r="C819" t="s">
        <v>6456</v>
      </c>
      <c r="D819" t="s">
        <v>866</v>
      </c>
      <c r="E819" t="s">
        <v>6944</v>
      </c>
      <c r="F819" s="1">
        <v>44653</v>
      </c>
      <c r="G819" t="s">
        <v>45</v>
      </c>
      <c r="H819" s="24">
        <v>0</v>
      </c>
      <c r="I819" t="str">
        <f>IF(H819&lt;=0,"",LOOKUP(H819,'Regras e Parâmetros'!$B$4:$B$7,'Regras e Parâmetros'!$A$4:$A$7))</f>
        <v/>
      </c>
      <c r="J819" t="s">
        <v>6456</v>
      </c>
    </row>
    <row r="820" spans="1:12" x14ac:dyDescent="0.3">
      <c r="A820" t="s">
        <v>865</v>
      </c>
      <c r="B820" s="5" t="s">
        <v>8579</v>
      </c>
      <c r="C820" t="s">
        <v>6456</v>
      </c>
      <c r="D820" t="s">
        <v>3857</v>
      </c>
      <c r="E820" t="s">
        <v>3858</v>
      </c>
      <c r="F820" s="1">
        <v>45682</v>
      </c>
      <c r="G820" t="s">
        <v>45</v>
      </c>
      <c r="H820" s="24">
        <v>0</v>
      </c>
      <c r="I820" t="str">
        <f>IF(H820&lt;=0,"",LOOKUP(H820,'Regras e Parâmetros'!$B$4:$B$7,'Regras e Parâmetros'!$A$4:$A$7))</f>
        <v/>
      </c>
      <c r="J820" t="s">
        <v>6747</v>
      </c>
      <c r="L820" t="s">
        <v>9883</v>
      </c>
    </row>
    <row r="821" spans="1:12" x14ac:dyDescent="0.3">
      <c r="A821" t="s">
        <v>2625</v>
      </c>
      <c r="B821" s="5" t="s">
        <v>7932</v>
      </c>
      <c r="C821" t="s">
        <v>6456</v>
      </c>
      <c r="D821" t="s">
        <v>2626</v>
      </c>
      <c r="E821" t="s">
        <v>7933</v>
      </c>
      <c r="F821" s="1">
        <v>45244</v>
      </c>
      <c r="G821" t="s">
        <v>18</v>
      </c>
      <c r="H821" s="24">
        <v>873</v>
      </c>
      <c r="I821" t="str">
        <f>IF(H821&lt;=0,"",LOOKUP(H821,'Regras e Parâmetros'!$B$4:$B$7,'Regras e Parâmetros'!$A$4:$A$7))</f>
        <v>Bronze</v>
      </c>
      <c r="J821" t="s">
        <v>6747</v>
      </c>
    </row>
    <row r="822" spans="1:12" x14ac:dyDescent="0.3">
      <c r="A822" t="s">
        <v>2650</v>
      </c>
      <c r="B822" s="5" t="s">
        <v>2651</v>
      </c>
      <c r="C822" t="s">
        <v>6456</v>
      </c>
      <c r="D822" t="s">
        <v>2652</v>
      </c>
      <c r="E822" t="s">
        <v>2653</v>
      </c>
      <c r="F822" s="1">
        <v>45248</v>
      </c>
      <c r="G822" t="s">
        <v>45</v>
      </c>
      <c r="H822" s="24">
        <v>318</v>
      </c>
      <c r="I822" t="str">
        <f>IF(H822&lt;=0,"",LOOKUP(H822,'Regras e Parâmetros'!$B$4:$B$7,'Regras e Parâmetros'!$A$4:$A$7))</f>
        <v>Bronze</v>
      </c>
      <c r="J822" t="s">
        <v>6747</v>
      </c>
      <c r="L822" t="s">
        <v>9792</v>
      </c>
    </row>
    <row r="823" spans="1:12" x14ac:dyDescent="0.3">
      <c r="A823" t="s">
        <v>885</v>
      </c>
      <c r="B823" s="5" t="s">
        <v>886</v>
      </c>
      <c r="C823" t="s">
        <v>6456</v>
      </c>
      <c r="D823" t="s">
        <v>887</v>
      </c>
      <c r="E823" t="s">
        <v>6941</v>
      </c>
      <c r="F823" s="1">
        <v>44652</v>
      </c>
      <c r="G823" t="s">
        <v>100</v>
      </c>
      <c r="H823" s="24">
        <v>1711</v>
      </c>
      <c r="I823" t="str">
        <f>IF(H823&lt;=0,"",LOOKUP(H823,'Regras e Parâmetros'!$B$4:$B$7,'Regras e Parâmetros'!$A$4:$A$7))</f>
        <v>Prata</v>
      </c>
      <c r="J823" t="s">
        <v>6747</v>
      </c>
      <c r="L823" t="s">
        <v>9791</v>
      </c>
    </row>
    <row r="824" spans="1:12" x14ac:dyDescent="0.3">
      <c r="A824" t="s">
        <v>1368</v>
      </c>
      <c r="B824" s="5" t="s">
        <v>7216</v>
      </c>
      <c r="C824" t="s">
        <v>6456</v>
      </c>
      <c r="D824" t="s">
        <v>1369</v>
      </c>
      <c r="E824" t="s">
        <v>7217</v>
      </c>
      <c r="F824" s="1">
        <v>44848</v>
      </c>
      <c r="G824" t="s">
        <v>51</v>
      </c>
      <c r="H824" s="24">
        <v>315</v>
      </c>
      <c r="I824" t="str">
        <f>IF(H824&lt;=0,"",LOOKUP(H824,'Regras e Parâmetros'!$B$4:$B$7,'Regras e Parâmetros'!$A$4:$A$7))</f>
        <v>Bronze</v>
      </c>
      <c r="J824" t="s">
        <v>9790</v>
      </c>
      <c r="K824" t="s">
        <v>177</v>
      </c>
    </row>
    <row r="825" spans="1:12" x14ac:dyDescent="0.3">
      <c r="A825" t="s">
        <v>3375</v>
      </c>
      <c r="B825" s="5" t="s">
        <v>8304</v>
      </c>
      <c r="C825" t="s">
        <v>6456</v>
      </c>
      <c r="D825" t="s">
        <v>3376</v>
      </c>
      <c r="E825" t="s">
        <v>8305</v>
      </c>
      <c r="F825" s="1">
        <v>45519</v>
      </c>
      <c r="G825" t="s">
        <v>100</v>
      </c>
      <c r="H825" s="24">
        <v>524</v>
      </c>
      <c r="I825" t="str">
        <f>IF(H825&lt;=0,"",LOOKUP(H825,'Regras e Parâmetros'!$B$4:$B$7,'Regras e Parâmetros'!$A$4:$A$7))</f>
        <v>Bronze</v>
      </c>
      <c r="J825" t="s">
        <v>6456</v>
      </c>
    </row>
    <row r="826" spans="1:12" x14ac:dyDescent="0.3">
      <c r="A826" t="s">
        <v>7414</v>
      </c>
      <c r="B826" s="5" t="s">
        <v>6056</v>
      </c>
      <c r="C826" t="s">
        <v>6456</v>
      </c>
      <c r="D826" t="s">
        <v>1705</v>
      </c>
      <c r="E826" t="s">
        <v>7415</v>
      </c>
      <c r="F826" s="1">
        <v>44945</v>
      </c>
      <c r="G826" t="s">
        <v>22</v>
      </c>
      <c r="H826" s="24">
        <v>2801</v>
      </c>
      <c r="I826" t="str">
        <f>IF(H826&lt;=0,"",LOOKUP(H826,'Regras e Parâmetros'!$B$4:$B$7,'Regras e Parâmetros'!$A$4:$A$7))</f>
        <v>Prata</v>
      </c>
      <c r="J826" t="s">
        <v>9790</v>
      </c>
    </row>
    <row r="827" spans="1:12" x14ac:dyDescent="0.3">
      <c r="A827" t="s">
        <v>6577</v>
      </c>
      <c r="B827" s="5" t="s">
        <v>6578</v>
      </c>
      <c r="C827" t="s">
        <v>6456</v>
      </c>
      <c r="D827" t="s">
        <v>227</v>
      </c>
      <c r="E827" t="s">
        <v>6579</v>
      </c>
      <c r="F827" s="1">
        <v>44426</v>
      </c>
      <c r="G827" t="s">
        <v>100</v>
      </c>
      <c r="H827" s="24">
        <v>7000</v>
      </c>
      <c r="I827" t="str">
        <f>IF(H827&lt;=0,"",LOOKUP(H827,'Regras e Parâmetros'!$B$4:$B$7,'Regras e Parâmetros'!$A$4:$A$7))</f>
        <v>Ouro</v>
      </c>
      <c r="J827" t="s">
        <v>9790</v>
      </c>
      <c r="L827" t="s">
        <v>9793</v>
      </c>
    </row>
    <row r="828" spans="1:12" x14ac:dyDescent="0.3">
      <c r="A828" t="s">
        <v>3805</v>
      </c>
      <c r="B828" s="5" t="s">
        <v>8538</v>
      </c>
      <c r="C828" t="s">
        <v>6456</v>
      </c>
      <c r="D828" t="s">
        <v>3806</v>
      </c>
      <c r="E828" t="s">
        <v>8539</v>
      </c>
      <c r="F828" s="1">
        <v>45664</v>
      </c>
      <c r="G828" t="s">
        <v>45</v>
      </c>
      <c r="H828" s="24">
        <v>0</v>
      </c>
      <c r="I828" t="str">
        <f>IF(H828&lt;=0,"",LOOKUP(H828,'Regras e Parâmetros'!$B$4:$B$7,'Regras e Parâmetros'!$A$4:$A$7))</f>
        <v/>
      </c>
      <c r="J828" t="s">
        <v>9790</v>
      </c>
      <c r="K828" t="s">
        <v>708</v>
      </c>
      <c r="L828" t="s">
        <v>9883</v>
      </c>
    </row>
    <row r="829" spans="1:12" x14ac:dyDescent="0.3">
      <c r="A829" t="s">
        <v>155</v>
      </c>
      <c r="B829" s="5" t="s">
        <v>6540</v>
      </c>
      <c r="C829" t="s">
        <v>6456</v>
      </c>
      <c r="D829" t="s">
        <v>156</v>
      </c>
      <c r="E829" t="s">
        <v>6541</v>
      </c>
      <c r="F829" s="1">
        <v>44396</v>
      </c>
      <c r="G829" t="s">
        <v>45</v>
      </c>
      <c r="H829" s="24">
        <v>0</v>
      </c>
      <c r="I829" t="str">
        <f>IF(H829&lt;=0,"",LOOKUP(H829,'Regras e Parâmetros'!$B$4:$B$7,'Regras e Parâmetros'!$A$4:$A$7))</f>
        <v/>
      </c>
      <c r="J829" t="s">
        <v>6456</v>
      </c>
      <c r="K829" t="s">
        <v>8</v>
      </c>
    </row>
    <row r="830" spans="1:12" x14ac:dyDescent="0.3">
      <c r="A830" t="s">
        <v>2503</v>
      </c>
      <c r="B830" s="5" t="s">
        <v>2504</v>
      </c>
      <c r="C830" t="s">
        <v>6456</v>
      </c>
      <c r="D830" t="s">
        <v>2505</v>
      </c>
      <c r="E830" t="s">
        <v>2506</v>
      </c>
      <c r="F830" s="1">
        <v>45204</v>
      </c>
      <c r="G830" t="s">
        <v>100</v>
      </c>
      <c r="H830" s="24">
        <v>4805</v>
      </c>
      <c r="I830" t="str">
        <f>IF(H830&lt;=0,"",LOOKUP(H830,'Regras e Parâmetros'!$B$4:$B$7,'Regras e Parâmetros'!$A$4:$A$7))</f>
        <v>Prata</v>
      </c>
      <c r="J830" t="s">
        <v>9790</v>
      </c>
      <c r="K830" t="s">
        <v>177</v>
      </c>
      <c r="L830" t="s">
        <v>9792</v>
      </c>
    </row>
    <row r="831" spans="1:12" x14ac:dyDescent="0.3">
      <c r="A831" t="s">
        <v>3327</v>
      </c>
      <c r="B831" s="5" t="s">
        <v>3328</v>
      </c>
      <c r="C831" t="s">
        <v>6456</v>
      </c>
      <c r="D831" t="s">
        <v>3329</v>
      </c>
      <c r="E831" t="s">
        <v>3330</v>
      </c>
      <c r="F831" s="1">
        <v>45507</v>
      </c>
      <c r="G831" t="s">
        <v>45</v>
      </c>
      <c r="H831" s="24">
        <v>430</v>
      </c>
      <c r="I831" t="str">
        <f>IF(H831&lt;=0,"",LOOKUP(H831,'Regras e Parâmetros'!$B$4:$B$7,'Regras e Parâmetros'!$A$4:$A$7))</f>
        <v>Bronze</v>
      </c>
      <c r="J831" t="s">
        <v>6456</v>
      </c>
      <c r="K831" t="s">
        <v>8</v>
      </c>
    </row>
    <row r="832" spans="1:12" x14ac:dyDescent="0.3">
      <c r="A832" t="s">
        <v>3327</v>
      </c>
      <c r="B832" s="5" t="s">
        <v>4636</v>
      </c>
      <c r="C832" t="s">
        <v>6456</v>
      </c>
      <c r="D832" t="s">
        <v>5998</v>
      </c>
      <c r="E832" t="s">
        <v>4637</v>
      </c>
      <c r="F832" s="1">
        <v>45905</v>
      </c>
      <c r="G832" t="s">
        <v>51</v>
      </c>
      <c r="H832" s="24">
        <v>0</v>
      </c>
      <c r="I832" t="str">
        <f>IF(H832&lt;=0,"",LOOKUP(H832,'Regras e Parâmetros'!$B$4:$B$7,'Regras e Parâmetros'!$A$4:$A$7))</f>
        <v/>
      </c>
      <c r="J832" t="s">
        <v>6456</v>
      </c>
      <c r="K832" t="s">
        <v>9907</v>
      </c>
      <c r="L832" t="s">
        <v>9883</v>
      </c>
    </row>
    <row r="833" spans="1:12" x14ac:dyDescent="0.3">
      <c r="A833" t="s">
        <v>4334</v>
      </c>
      <c r="B833" s="5" t="s">
        <v>8848</v>
      </c>
      <c r="C833" t="s">
        <v>6456</v>
      </c>
      <c r="D833" t="s">
        <v>4335</v>
      </c>
      <c r="E833" t="s">
        <v>8849</v>
      </c>
      <c r="F833" s="1">
        <v>45819</v>
      </c>
      <c r="G833" t="s">
        <v>51</v>
      </c>
      <c r="H833" s="24">
        <v>0</v>
      </c>
      <c r="I833" t="str">
        <f>IF(H833&lt;=0,"",LOOKUP(H833,'Regras e Parâmetros'!$B$4:$B$7,'Regras e Parâmetros'!$A$4:$A$7))</f>
        <v/>
      </c>
      <c r="J833" t="s">
        <v>9790</v>
      </c>
      <c r="L833" t="s">
        <v>9883</v>
      </c>
    </row>
    <row r="834" spans="1:12" x14ac:dyDescent="0.3">
      <c r="A834" t="s">
        <v>4334</v>
      </c>
      <c r="B834" s="5" t="s">
        <v>9194</v>
      </c>
      <c r="C834" t="s">
        <v>6456</v>
      </c>
      <c r="D834" t="s">
        <v>4919</v>
      </c>
      <c r="E834" t="s">
        <v>4920</v>
      </c>
      <c r="F834" s="1">
        <v>45986</v>
      </c>
      <c r="G834" t="s">
        <v>110</v>
      </c>
      <c r="H834" s="24">
        <v>0</v>
      </c>
      <c r="I834" t="str">
        <f>IF(H834&lt;=0,"",LOOKUP(H834,'Regras e Parâmetros'!$B$4:$B$7,'Regras e Parâmetros'!$A$4:$A$7))</f>
        <v/>
      </c>
      <c r="J834" t="s">
        <v>6456</v>
      </c>
      <c r="L834" t="s">
        <v>9886</v>
      </c>
    </row>
    <row r="835" spans="1:12" x14ac:dyDescent="0.3">
      <c r="A835" t="s">
        <v>5119</v>
      </c>
      <c r="B835" s="5" t="s">
        <v>9306</v>
      </c>
      <c r="C835" t="s">
        <v>6456</v>
      </c>
      <c r="D835" t="s">
        <v>5120</v>
      </c>
      <c r="E835" t="s">
        <v>5121</v>
      </c>
      <c r="F835" s="1">
        <v>46051</v>
      </c>
      <c r="G835" t="s">
        <v>18</v>
      </c>
      <c r="H835" s="24">
        <v>0</v>
      </c>
      <c r="I835" t="str">
        <f>IF(H835&lt;=0,"",LOOKUP(H835,'Regras e Parâmetros'!$B$4:$B$7,'Regras e Parâmetros'!$A$4:$A$7))</f>
        <v/>
      </c>
      <c r="J835" t="s">
        <v>6456</v>
      </c>
      <c r="L835" t="s">
        <v>9883</v>
      </c>
    </row>
    <row r="836" spans="1:12" x14ac:dyDescent="0.3">
      <c r="A836" t="s">
        <v>3407</v>
      </c>
      <c r="B836" s="5" t="s">
        <v>3408</v>
      </c>
      <c r="C836" t="s">
        <v>6456</v>
      </c>
      <c r="D836" t="s">
        <v>3409</v>
      </c>
      <c r="E836" t="s">
        <v>8320</v>
      </c>
      <c r="F836" s="1">
        <v>45533</v>
      </c>
      <c r="G836" t="s">
        <v>45</v>
      </c>
      <c r="H836" s="24">
        <v>557</v>
      </c>
      <c r="I836" t="str">
        <f>IF(H836&lt;=0,"",LOOKUP(H836,'Regras e Parâmetros'!$B$4:$B$7,'Regras e Parâmetros'!$A$4:$A$7))</f>
        <v>Bronze</v>
      </c>
      <c r="J836" t="s">
        <v>9790</v>
      </c>
    </row>
    <row r="837" spans="1:12" x14ac:dyDescent="0.3">
      <c r="A837" t="s">
        <v>2925</v>
      </c>
      <c r="B837" s="5" t="s">
        <v>8064</v>
      </c>
      <c r="C837" t="s">
        <v>6456</v>
      </c>
      <c r="D837" t="s">
        <v>2926</v>
      </c>
      <c r="E837" t="s">
        <v>8065</v>
      </c>
      <c r="F837" s="1">
        <v>45352</v>
      </c>
      <c r="G837" t="s">
        <v>18</v>
      </c>
      <c r="H837" s="24">
        <v>994</v>
      </c>
      <c r="I837" t="str">
        <f>IF(H837&lt;=0,"",LOOKUP(H837,'Regras e Parâmetros'!$B$4:$B$7,'Regras e Parâmetros'!$A$4:$A$7))</f>
        <v>Bronze</v>
      </c>
      <c r="J837" t="s">
        <v>6456</v>
      </c>
      <c r="L837" t="s">
        <v>9791</v>
      </c>
    </row>
    <row r="838" spans="1:12" x14ac:dyDescent="0.3">
      <c r="A838" t="s">
        <v>5381</v>
      </c>
      <c r="B838" s="5" t="s">
        <v>9464</v>
      </c>
      <c r="C838" t="s">
        <v>6456</v>
      </c>
      <c r="D838" t="s">
        <v>5999</v>
      </c>
      <c r="E838" t="s">
        <v>5382</v>
      </c>
      <c r="F838" s="1">
        <v>46125</v>
      </c>
      <c r="G838" t="s">
        <v>110</v>
      </c>
      <c r="H838" s="24">
        <v>0</v>
      </c>
      <c r="I838" t="str">
        <f>IF(H838&lt;=0,"",LOOKUP(H838,'Regras e Parâmetros'!$B$4:$B$7,'Regras e Parâmetros'!$A$4:$A$7))</f>
        <v/>
      </c>
      <c r="J838" t="s">
        <v>9790</v>
      </c>
      <c r="K838" t="s">
        <v>9927</v>
      </c>
      <c r="L838" t="s">
        <v>9883</v>
      </c>
    </row>
    <row r="839" spans="1:12" x14ac:dyDescent="0.3">
      <c r="A839" t="s">
        <v>586</v>
      </c>
      <c r="B839" s="5" t="s">
        <v>6768</v>
      </c>
      <c r="C839" t="s">
        <v>6456</v>
      </c>
      <c r="D839" t="s">
        <v>587</v>
      </c>
      <c r="E839" t="s">
        <v>6769</v>
      </c>
      <c r="F839" s="1">
        <v>44549</v>
      </c>
      <c r="G839" t="s">
        <v>110</v>
      </c>
      <c r="H839" s="24">
        <v>6500</v>
      </c>
      <c r="I839" t="str">
        <f>IF(H839&lt;=0,"",LOOKUP(H839,'Regras e Parâmetros'!$B$4:$B$7,'Regras e Parâmetros'!$A$4:$A$7))</f>
        <v>Ouro</v>
      </c>
      <c r="J839" t="s">
        <v>9790</v>
      </c>
      <c r="K839" t="s">
        <v>44</v>
      </c>
      <c r="L839" t="s">
        <v>9793</v>
      </c>
    </row>
    <row r="840" spans="1:12" x14ac:dyDescent="0.3">
      <c r="A840" t="s">
        <v>367</v>
      </c>
      <c r="B840" s="5" t="s">
        <v>368</v>
      </c>
      <c r="C840" t="s">
        <v>6456</v>
      </c>
      <c r="D840" t="s">
        <v>369</v>
      </c>
      <c r="E840" t="s">
        <v>370</v>
      </c>
      <c r="F840" s="1">
        <v>44471</v>
      </c>
      <c r="G840" t="s">
        <v>51</v>
      </c>
      <c r="H840" s="24">
        <v>766</v>
      </c>
      <c r="I840" t="str">
        <f>IF(H840&lt;=0,"",LOOKUP(H840,'Regras e Parâmetros'!$B$4:$B$7,'Regras e Parâmetros'!$A$4:$A$7))</f>
        <v>Bronze</v>
      </c>
      <c r="J840" t="s">
        <v>6747</v>
      </c>
      <c r="K840" t="s">
        <v>44</v>
      </c>
    </row>
    <row r="841" spans="1:12" x14ac:dyDescent="0.3">
      <c r="A841" t="s">
        <v>9351</v>
      </c>
      <c r="B841" s="5" t="s">
        <v>9352</v>
      </c>
      <c r="C841" t="s">
        <v>6456</v>
      </c>
      <c r="D841" t="s">
        <v>5183</v>
      </c>
      <c r="E841" t="s">
        <v>5184</v>
      </c>
      <c r="F841" s="1">
        <v>46067</v>
      </c>
      <c r="G841" t="s">
        <v>51</v>
      </c>
      <c r="H841" s="24">
        <v>0</v>
      </c>
      <c r="I841" t="str">
        <f>IF(H841&lt;=0,"",LOOKUP(H841,'Regras e Parâmetros'!$B$4:$B$7,'Regras e Parâmetros'!$A$4:$A$7))</f>
        <v/>
      </c>
      <c r="J841" t="s">
        <v>6456</v>
      </c>
      <c r="K841" t="s">
        <v>187</v>
      </c>
      <c r="L841" t="s">
        <v>9883</v>
      </c>
    </row>
    <row r="842" spans="1:12" x14ac:dyDescent="0.3">
      <c r="A842" t="s">
        <v>4710</v>
      </c>
      <c r="B842" s="5" t="s">
        <v>9077</v>
      </c>
      <c r="C842" t="s">
        <v>6456</v>
      </c>
      <c r="D842" t="s">
        <v>4711</v>
      </c>
      <c r="E842" t="s">
        <v>9078</v>
      </c>
      <c r="F842" s="1">
        <v>45931</v>
      </c>
      <c r="G842" t="s">
        <v>18</v>
      </c>
      <c r="H842" s="24">
        <v>0</v>
      </c>
      <c r="I842" t="str">
        <f>IF(H842&lt;=0,"",LOOKUP(H842,'Regras e Parâmetros'!$B$4:$B$7,'Regras e Parâmetros'!$A$4:$A$7))</f>
        <v/>
      </c>
      <c r="J842" t="s">
        <v>6456</v>
      </c>
      <c r="K842" t="s">
        <v>187</v>
      </c>
      <c r="L842" t="s">
        <v>9883</v>
      </c>
    </row>
    <row r="843" spans="1:12" x14ac:dyDescent="0.3">
      <c r="A843" t="s">
        <v>4771</v>
      </c>
      <c r="B843" s="5" t="s">
        <v>4772</v>
      </c>
      <c r="C843" t="s">
        <v>6456</v>
      </c>
      <c r="D843" t="s">
        <v>4773</v>
      </c>
      <c r="E843" t="s">
        <v>9117</v>
      </c>
      <c r="F843" s="1">
        <v>45947</v>
      </c>
      <c r="G843" t="s">
        <v>45</v>
      </c>
      <c r="H843" s="24">
        <v>0</v>
      </c>
      <c r="I843" t="str">
        <f>IF(H843&lt;=0,"",LOOKUP(H843,'Regras e Parâmetros'!$B$4:$B$7,'Regras e Parâmetros'!$A$4:$A$7))</f>
        <v/>
      </c>
      <c r="J843" t="s">
        <v>9790</v>
      </c>
      <c r="L843" t="s">
        <v>9883</v>
      </c>
    </row>
    <row r="844" spans="1:12" x14ac:dyDescent="0.3">
      <c r="A844" t="s">
        <v>5830</v>
      </c>
      <c r="B844" s="5" t="s">
        <v>9722</v>
      </c>
      <c r="C844" t="s">
        <v>6456</v>
      </c>
      <c r="D844" t="s">
        <v>5831</v>
      </c>
      <c r="E844" t="s">
        <v>5832</v>
      </c>
      <c r="F844" s="1">
        <v>46248</v>
      </c>
      <c r="G844" t="s">
        <v>51</v>
      </c>
      <c r="H844" s="24">
        <v>0</v>
      </c>
      <c r="I844" t="str">
        <f>IF(H844&lt;=0,"",LOOKUP(H844,'Regras e Parâmetros'!$B$4:$B$7,'Regras e Parâmetros'!$A$4:$A$7))</f>
        <v/>
      </c>
      <c r="J844" t="s">
        <v>9790</v>
      </c>
      <c r="L844" t="s">
        <v>9883</v>
      </c>
    </row>
    <row r="845" spans="1:12" x14ac:dyDescent="0.3">
      <c r="A845" t="s">
        <v>4438</v>
      </c>
      <c r="B845" s="5" t="s">
        <v>4439</v>
      </c>
      <c r="C845" t="s">
        <v>6456</v>
      </c>
      <c r="D845" t="s">
        <v>4440</v>
      </c>
      <c r="E845" t="s">
        <v>8906</v>
      </c>
      <c r="F845" s="1">
        <v>45851</v>
      </c>
      <c r="G845" t="s">
        <v>18</v>
      </c>
      <c r="H845" s="24">
        <v>0</v>
      </c>
      <c r="I845" t="str">
        <f>IF(H845&lt;=0,"",LOOKUP(H845,'Regras e Parâmetros'!$B$4:$B$7,'Regras e Parâmetros'!$A$4:$A$7))</f>
        <v/>
      </c>
      <c r="J845" t="s">
        <v>9790</v>
      </c>
      <c r="K845" t="s">
        <v>177</v>
      </c>
      <c r="L845" t="s">
        <v>9883</v>
      </c>
    </row>
    <row r="846" spans="1:12" x14ac:dyDescent="0.3">
      <c r="A846" t="s">
        <v>127</v>
      </c>
      <c r="B846" s="5" t="s">
        <v>128</v>
      </c>
      <c r="C846" t="s">
        <v>6456</v>
      </c>
      <c r="D846" t="s">
        <v>6523</v>
      </c>
      <c r="E846" t="s">
        <v>6524</v>
      </c>
      <c r="F846" s="1">
        <v>44390</v>
      </c>
      <c r="G846" t="s">
        <v>22</v>
      </c>
      <c r="H846" s="24">
        <v>1040</v>
      </c>
      <c r="I846" t="str">
        <f>IF(H846&lt;=0,"",LOOKUP(H846,'Regras e Parâmetros'!$B$4:$B$7,'Regras e Parâmetros'!$A$4:$A$7))</f>
        <v>Bronze</v>
      </c>
      <c r="J846" t="s">
        <v>6747</v>
      </c>
      <c r="K846" t="s">
        <v>44</v>
      </c>
    </row>
    <row r="847" spans="1:12" x14ac:dyDescent="0.3">
      <c r="A847" t="s">
        <v>4658</v>
      </c>
      <c r="B847" s="5" t="s">
        <v>4659</v>
      </c>
      <c r="C847" t="s">
        <v>6456</v>
      </c>
      <c r="D847" t="s">
        <v>4660</v>
      </c>
      <c r="E847" t="s">
        <v>9041</v>
      </c>
      <c r="F847" s="1">
        <v>45913</v>
      </c>
      <c r="G847" t="s">
        <v>22</v>
      </c>
      <c r="H847" s="24">
        <v>0</v>
      </c>
      <c r="I847" t="str">
        <f>IF(H847&lt;=0,"",LOOKUP(H847,'Regras e Parâmetros'!$B$4:$B$7,'Regras e Parâmetros'!$A$4:$A$7))</f>
        <v/>
      </c>
      <c r="J847" t="s">
        <v>9790</v>
      </c>
      <c r="L847" t="s">
        <v>9883</v>
      </c>
    </row>
    <row r="848" spans="1:12" x14ac:dyDescent="0.3">
      <c r="A848" t="s">
        <v>9296</v>
      </c>
      <c r="B848" s="5" t="s">
        <v>9297</v>
      </c>
      <c r="C848" t="s">
        <v>6456</v>
      </c>
      <c r="D848" t="s">
        <v>5092</v>
      </c>
      <c r="E848" t="s">
        <v>5093</v>
      </c>
      <c r="F848" s="1">
        <v>46043</v>
      </c>
      <c r="G848" t="s">
        <v>51</v>
      </c>
      <c r="H848" s="24">
        <v>0</v>
      </c>
      <c r="I848" t="str">
        <f>IF(H848&lt;=0,"",LOOKUP(H848,'Regras e Parâmetros'!$B$4:$B$7,'Regras e Parâmetros'!$A$4:$A$7))</f>
        <v/>
      </c>
      <c r="J848" t="s">
        <v>6456</v>
      </c>
      <c r="K848" t="s">
        <v>8</v>
      </c>
      <c r="L848" t="s">
        <v>9883</v>
      </c>
    </row>
    <row r="849" spans="1:12" x14ac:dyDescent="0.3">
      <c r="A849" t="s">
        <v>5948</v>
      </c>
      <c r="B849" s="5" t="s">
        <v>9778</v>
      </c>
      <c r="C849" t="s">
        <v>6456</v>
      </c>
      <c r="D849" t="s">
        <v>5949</v>
      </c>
      <c r="E849" t="s">
        <v>9779</v>
      </c>
      <c r="F849" s="1">
        <v>46275</v>
      </c>
      <c r="G849" t="s">
        <v>51</v>
      </c>
      <c r="H849" s="24">
        <v>0</v>
      </c>
      <c r="I849" t="str">
        <f>IF(H849&lt;=0,"",LOOKUP(H849,'Regras e Parâmetros'!$B$4:$B$7,'Regras e Parâmetros'!$A$4:$A$7))</f>
        <v/>
      </c>
      <c r="J849" t="s">
        <v>9790</v>
      </c>
      <c r="L849" t="s">
        <v>9883</v>
      </c>
    </row>
    <row r="850" spans="1:12" x14ac:dyDescent="0.3">
      <c r="A850" t="s">
        <v>1898</v>
      </c>
      <c r="B850" s="5" t="s">
        <v>7520</v>
      </c>
      <c r="C850" t="s">
        <v>6456</v>
      </c>
      <c r="D850" t="s">
        <v>1899</v>
      </c>
      <c r="E850" t="s">
        <v>1900</v>
      </c>
      <c r="F850" s="1">
        <v>45010</v>
      </c>
      <c r="G850" t="s">
        <v>51</v>
      </c>
      <c r="H850" s="24">
        <v>1020</v>
      </c>
      <c r="I850" t="str">
        <f>IF(H850&lt;=0,"",LOOKUP(H850,'Regras e Parâmetros'!$B$4:$B$7,'Regras e Parâmetros'!$A$4:$A$7))</f>
        <v>Bronze</v>
      </c>
      <c r="J850" t="s">
        <v>9790</v>
      </c>
    </row>
    <row r="851" spans="1:12" x14ac:dyDescent="0.3">
      <c r="A851" t="s">
        <v>4170</v>
      </c>
      <c r="B851" s="5" t="s">
        <v>8758</v>
      </c>
      <c r="C851" t="s">
        <v>6456</v>
      </c>
      <c r="D851" t="s">
        <v>4171</v>
      </c>
      <c r="E851" t="s">
        <v>8759</v>
      </c>
      <c r="F851" s="1">
        <v>45764</v>
      </c>
      <c r="G851" t="s">
        <v>110</v>
      </c>
      <c r="H851" s="24">
        <v>0</v>
      </c>
      <c r="I851" t="str">
        <f>IF(H851&lt;=0,"",LOOKUP(H851,'Regras e Parâmetros'!$B$4:$B$7,'Regras e Parâmetros'!$A$4:$A$7))</f>
        <v/>
      </c>
      <c r="J851" t="s">
        <v>9790</v>
      </c>
      <c r="L851" t="s">
        <v>9883</v>
      </c>
    </row>
    <row r="852" spans="1:12" x14ac:dyDescent="0.3">
      <c r="A852" t="s">
        <v>4926</v>
      </c>
      <c r="B852" s="5" t="s">
        <v>9198</v>
      </c>
      <c r="C852" t="s">
        <v>6456</v>
      </c>
      <c r="D852" t="s">
        <v>4927</v>
      </c>
      <c r="E852" t="s">
        <v>9199</v>
      </c>
      <c r="F852" s="1">
        <v>45990</v>
      </c>
      <c r="G852" t="s">
        <v>51</v>
      </c>
      <c r="H852" s="24">
        <v>0</v>
      </c>
      <c r="I852" t="str">
        <f>IF(H852&lt;=0,"",LOOKUP(H852,'Regras e Parâmetros'!$B$4:$B$7,'Regras e Parâmetros'!$A$4:$A$7))</f>
        <v/>
      </c>
      <c r="J852" t="s">
        <v>6456</v>
      </c>
      <c r="K852" t="s">
        <v>708</v>
      </c>
      <c r="L852" t="s">
        <v>9883</v>
      </c>
    </row>
    <row r="853" spans="1:12" x14ac:dyDescent="0.3">
      <c r="A853" t="s">
        <v>49</v>
      </c>
      <c r="B853" s="5" t="s">
        <v>6482</v>
      </c>
      <c r="C853" t="s">
        <v>6456</v>
      </c>
      <c r="D853" t="s">
        <v>50</v>
      </c>
      <c r="E853" t="s">
        <v>6483</v>
      </c>
      <c r="F853" s="1">
        <v>44363</v>
      </c>
      <c r="G853" t="s">
        <v>51</v>
      </c>
      <c r="H853" s="24">
        <v>3277</v>
      </c>
      <c r="I853" t="str">
        <f>IF(H853&lt;=0,"",LOOKUP(H853,'Regras e Parâmetros'!$B$4:$B$7,'Regras e Parâmetros'!$A$4:$A$7))</f>
        <v>Prata</v>
      </c>
      <c r="J853" t="s">
        <v>6747</v>
      </c>
    </row>
    <row r="854" spans="1:12" x14ac:dyDescent="0.3">
      <c r="A854" t="s">
        <v>2691</v>
      </c>
      <c r="B854" s="5" t="s">
        <v>2692</v>
      </c>
      <c r="C854" t="s">
        <v>6456</v>
      </c>
      <c r="D854" t="s">
        <v>2693</v>
      </c>
      <c r="E854" t="s">
        <v>7967</v>
      </c>
      <c r="F854" s="1">
        <v>45261</v>
      </c>
      <c r="G854" t="s">
        <v>51</v>
      </c>
      <c r="H854" s="24">
        <v>357</v>
      </c>
      <c r="I854" t="str">
        <f>IF(H854&lt;=0,"",LOOKUP(H854,'Regras e Parâmetros'!$B$4:$B$7,'Regras e Parâmetros'!$A$4:$A$7))</f>
        <v>Bronze</v>
      </c>
      <c r="J854" t="s">
        <v>9790</v>
      </c>
    </row>
    <row r="855" spans="1:12" x14ac:dyDescent="0.3">
      <c r="A855" t="s">
        <v>4306</v>
      </c>
      <c r="B855" s="5" t="s">
        <v>8835</v>
      </c>
      <c r="C855" t="s">
        <v>6456</v>
      </c>
      <c r="D855" t="s">
        <v>1135</v>
      </c>
      <c r="E855" t="s">
        <v>10101</v>
      </c>
      <c r="F855" s="1">
        <v>45810</v>
      </c>
      <c r="G855" t="s">
        <v>100</v>
      </c>
      <c r="H855" s="24">
        <v>0</v>
      </c>
      <c r="I855" t="str">
        <f>IF(H855&lt;=0,"",LOOKUP(H855,'Regras e Parâmetros'!$B$4:$B$7,'Regras e Parâmetros'!$A$4:$A$7))</f>
        <v/>
      </c>
      <c r="J855" t="s">
        <v>6747</v>
      </c>
      <c r="L855" t="s">
        <v>10152</v>
      </c>
    </row>
    <row r="856" spans="1:12" x14ac:dyDescent="0.3">
      <c r="A856" t="s">
        <v>3014</v>
      </c>
      <c r="B856" s="5" t="s">
        <v>8117</v>
      </c>
      <c r="C856" t="s">
        <v>6456</v>
      </c>
      <c r="D856" t="s">
        <v>3015</v>
      </c>
      <c r="E856" t="s">
        <v>8118</v>
      </c>
      <c r="F856" s="1">
        <v>45395</v>
      </c>
      <c r="G856" t="s">
        <v>110</v>
      </c>
      <c r="H856" s="24">
        <v>2894</v>
      </c>
      <c r="I856" t="str">
        <f>IF(H856&lt;=0,"",LOOKUP(H856,'Regras e Parâmetros'!$B$4:$B$7,'Regras e Parâmetros'!$A$4:$A$7))</f>
        <v>Prata</v>
      </c>
      <c r="J856" t="s">
        <v>6747</v>
      </c>
    </row>
    <row r="857" spans="1:12" x14ac:dyDescent="0.3">
      <c r="A857" t="s">
        <v>5669</v>
      </c>
      <c r="B857" s="5" t="s">
        <v>9624</v>
      </c>
      <c r="C857" t="s">
        <v>6456</v>
      </c>
      <c r="D857" t="s">
        <v>5670</v>
      </c>
      <c r="E857" t="s">
        <v>5671</v>
      </c>
      <c r="F857" s="1">
        <v>46209</v>
      </c>
      <c r="G857" t="s">
        <v>45</v>
      </c>
      <c r="H857" s="24">
        <v>0</v>
      </c>
      <c r="I857" t="str">
        <f>IF(H857&lt;=0,"",LOOKUP(H857,'Regras e Parâmetros'!$B$4:$B$7,'Regras e Parâmetros'!$A$4:$A$7))</f>
        <v/>
      </c>
      <c r="J857" t="s">
        <v>9790</v>
      </c>
      <c r="L857" t="s">
        <v>9883</v>
      </c>
    </row>
    <row r="858" spans="1:12" x14ac:dyDescent="0.3">
      <c r="A858" t="s">
        <v>6912</v>
      </c>
      <c r="B858" s="5" t="s">
        <v>826</v>
      </c>
      <c r="C858" t="s">
        <v>6456</v>
      </c>
      <c r="D858" t="s">
        <v>827</v>
      </c>
      <c r="E858" t="s">
        <v>828</v>
      </c>
      <c r="F858" s="1">
        <v>44640</v>
      </c>
      <c r="G858" t="s">
        <v>18</v>
      </c>
      <c r="H858" s="24">
        <v>15000</v>
      </c>
      <c r="I858" t="str">
        <f>IF(H858&lt;=0,"",LOOKUP(H858,'Regras e Parâmetros'!$B$4:$B$7,'Regras e Parâmetros'!$A$4:$A$7))</f>
        <v>Vip</v>
      </c>
      <c r="J858" t="s">
        <v>9790</v>
      </c>
      <c r="K858" t="s">
        <v>33</v>
      </c>
      <c r="L858" t="s">
        <v>9792</v>
      </c>
    </row>
    <row r="859" spans="1:12" x14ac:dyDescent="0.3">
      <c r="A859" t="s">
        <v>3223</v>
      </c>
      <c r="B859" s="5" t="s">
        <v>8216</v>
      </c>
      <c r="C859" t="s">
        <v>6456</v>
      </c>
      <c r="D859" t="s">
        <v>3224</v>
      </c>
      <c r="E859" t="s">
        <v>3225</v>
      </c>
      <c r="F859" s="1">
        <v>45470</v>
      </c>
      <c r="G859" t="s">
        <v>18</v>
      </c>
      <c r="H859" s="24">
        <v>1263</v>
      </c>
      <c r="I859" t="str">
        <f>IF(H859&lt;=0,"",LOOKUP(H859,'Regras e Parâmetros'!$B$4:$B$7,'Regras e Parâmetros'!$A$4:$A$7))</f>
        <v>Bronze</v>
      </c>
      <c r="J859" t="s">
        <v>6747</v>
      </c>
      <c r="K859" t="s">
        <v>8</v>
      </c>
    </row>
    <row r="860" spans="1:12" x14ac:dyDescent="0.3">
      <c r="A860" t="s">
        <v>8478</v>
      </c>
      <c r="B860" s="5" t="s">
        <v>8479</v>
      </c>
      <c r="C860" t="s">
        <v>6456</v>
      </c>
      <c r="D860" t="s">
        <v>5964</v>
      </c>
      <c r="E860" t="s">
        <v>8480</v>
      </c>
      <c r="F860" s="1">
        <v>45631</v>
      </c>
      <c r="G860" t="s">
        <v>18</v>
      </c>
      <c r="H860" s="24">
        <v>0</v>
      </c>
      <c r="I860" t="str">
        <f>IF(H860&lt;=0,"",LOOKUP(H860,'Regras e Parâmetros'!$B$4:$B$7,'Regras e Parâmetros'!$A$4:$A$7))</f>
        <v/>
      </c>
      <c r="J860" t="s">
        <v>9790</v>
      </c>
      <c r="K860" t="s">
        <v>9879</v>
      </c>
    </row>
    <row r="861" spans="1:12" x14ac:dyDescent="0.3">
      <c r="A861" t="s">
        <v>6756</v>
      </c>
      <c r="B861" s="5" t="s">
        <v>6757</v>
      </c>
      <c r="C861" t="s">
        <v>6456</v>
      </c>
      <c r="D861" t="s">
        <v>563</v>
      </c>
      <c r="E861" t="s">
        <v>6758</v>
      </c>
      <c r="F861" s="1">
        <v>44540</v>
      </c>
      <c r="G861" t="s">
        <v>51</v>
      </c>
      <c r="H861" s="24">
        <v>3546</v>
      </c>
      <c r="I861" t="str">
        <f>IF(H861&lt;=0,"",LOOKUP(H861,'Regras e Parâmetros'!$B$4:$B$7,'Regras e Parâmetros'!$A$4:$A$7))</f>
        <v>Prata</v>
      </c>
      <c r="J861" t="s">
        <v>6747</v>
      </c>
    </row>
    <row r="862" spans="1:12" x14ac:dyDescent="0.3">
      <c r="A862" t="s">
        <v>6858</v>
      </c>
      <c r="B862" s="5" t="s">
        <v>6859</v>
      </c>
      <c r="C862" t="s">
        <v>6456</v>
      </c>
      <c r="D862" t="s">
        <v>727</v>
      </c>
      <c r="E862" t="s">
        <v>728</v>
      </c>
      <c r="F862" s="1">
        <v>44602</v>
      </c>
      <c r="G862" t="s">
        <v>110</v>
      </c>
      <c r="H862" s="24">
        <v>1927</v>
      </c>
      <c r="I862" t="str">
        <f>IF(H862&lt;=0,"",LOOKUP(H862,'Regras e Parâmetros'!$B$4:$B$7,'Regras e Parâmetros'!$A$4:$A$7))</f>
        <v>Prata</v>
      </c>
      <c r="J862" t="s">
        <v>6456</v>
      </c>
      <c r="K862" t="s">
        <v>177</v>
      </c>
    </row>
    <row r="863" spans="1:12" x14ac:dyDescent="0.3">
      <c r="A863" t="s">
        <v>851</v>
      </c>
      <c r="B863" s="5" t="s">
        <v>6930</v>
      </c>
      <c r="C863" t="s">
        <v>6456</v>
      </c>
      <c r="D863" t="s">
        <v>852</v>
      </c>
      <c r="E863" t="s">
        <v>853</v>
      </c>
      <c r="F863" s="1">
        <v>44648</v>
      </c>
      <c r="G863" t="s">
        <v>51</v>
      </c>
      <c r="H863" s="24">
        <v>330</v>
      </c>
      <c r="I863" t="str">
        <f>IF(H863&lt;=0,"",LOOKUP(H863,'Regras e Parâmetros'!$B$4:$B$7,'Regras e Parâmetros'!$A$4:$A$7))</f>
        <v>Bronze</v>
      </c>
      <c r="J863" t="s">
        <v>9790</v>
      </c>
      <c r="K863" t="s">
        <v>708</v>
      </c>
    </row>
    <row r="864" spans="1:12" x14ac:dyDescent="0.3">
      <c r="A864" t="s">
        <v>7672</v>
      </c>
      <c r="B864" s="5" t="s">
        <v>6071</v>
      </c>
      <c r="C864" t="s">
        <v>6456</v>
      </c>
      <c r="D864" t="s">
        <v>2160</v>
      </c>
      <c r="E864" t="s">
        <v>7673</v>
      </c>
      <c r="F864" s="1">
        <v>45099</v>
      </c>
      <c r="G864" t="s">
        <v>22</v>
      </c>
      <c r="H864" s="24">
        <v>612</v>
      </c>
      <c r="I864" t="str">
        <f>IF(H864&lt;=0,"",LOOKUP(H864,'Regras e Parâmetros'!$B$4:$B$7,'Regras e Parâmetros'!$A$4:$A$7))</f>
        <v>Bronze</v>
      </c>
      <c r="J864" t="s">
        <v>6456</v>
      </c>
      <c r="K864" t="s">
        <v>187</v>
      </c>
    </row>
    <row r="865" spans="1:12" x14ac:dyDescent="0.3">
      <c r="A865" t="s">
        <v>7672</v>
      </c>
      <c r="B865" s="5" t="s">
        <v>3973</v>
      </c>
      <c r="C865" t="s">
        <v>6456</v>
      </c>
      <c r="D865" t="s">
        <v>451</v>
      </c>
      <c r="E865" t="s">
        <v>8648</v>
      </c>
      <c r="F865" s="1">
        <v>45710</v>
      </c>
      <c r="G865" t="s">
        <v>100</v>
      </c>
      <c r="H865" s="24">
        <v>0</v>
      </c>
      <c r="I865" t="str">
        <f>IF(H865&lt;=0,"",LOOKUP(H865,'Regras e Parâmetros'!$B$4:$B$7,'Regras e Parâmetros'!$A$4:$A$7))</f>
        <v/>
      </c>
      <c r="J865" t="s">
        <v>9790</v>
      </c>
      <c r="L865" t="s">
        <v>9883</v>
      </c>
    </row>
    <row r="866" spans="1:12" x14ac:dyDescent="0.3">
      <c r="A866" t="s">
        <v>149</v>
      </c>
      <c r="B866" s="5" t="s">
        <v>6538</v>
      </c>
      <c r="C866" t="s">
        <v>6456</v>
      </c>
      <c r="D866" t="s">
        <v>150</v>
      </c>
      <c r="E866" t="s">
        <v>151</v>
      </c>
      <c r="F866" s="1">
        <v>44395</v>
      </c>
      <c r="G866" t="s">
        <v>45</v>
      </c>
      <c r="H866" s="24">
        <v>416</v>
      </c>
      <c r="I866" t="str">
        <f>IF(H866&lt;=0,"",LOOKUP(H866,'Regras e Parâmetros'!$B$4:$B$7,'Regras e Parâmetros'!$A$4:$A$7))</f>
        <v>Bronze</v>
      </c>
      <c r="J866" t="s">
        <v>6747</v>
      </c>
    </row>
    <row r="867" spans="1:12" x14ac:dyDescent="0.3">
      <c r="A867" t="s">
        <v>5605</v>
      </c>
      <c r="B867" s="5" t="s">
        <v>9586</v>
      </c>
      <c r="C867" t="s">
        <v>6456</v>
      </c>
      <c r="D867" t="s">
        <v>6012</v>
      </c>
      <c r="E867" t="s">
        <v>9587</v>
      </c>
      <c r="F867" s="1">
        <v>46186</v>
      </c>
      <c r="G867" t="s">
        <v>51</v>
      </c>
      <c r="H867" s="24">
        <v>0</v>
      </c>
      <c r="I867" t="str">
        <f>IF(H867&lt;=0,"",LOOKUP(H867,'Regras e Parâmetros'!$B$4:$B$7,'Regras e Parâmetros'!$A$4:$A$7))</f>
        <v/>
      </c>
      <c r="J867" t="s">
        <v>6747</v>
      </c>
      <c r="K867" t="s">
        <v>9931</v>
      </c>
      <c r="L867" t="s">
        <v>9883</v>
      </c>
    </row>
    <row r="868" spans="1:12" x14ac:dyDescent="0.3">
      <c r="A868" t="s">
        <v>3781</v>
      </c>
      <c r="B868" s="5" t="s">
        <v>8515</v>
      </c>
      <c r="C868" t="s">
        <v>6456</v>
      </c>
      <c r="D868" t="s">
        <v>3782</v>
      </c>
      <c r="E868" t="s">
        <v>8516</v>
      </c>
      <c r="F868" s="1">
        <v>45658</v>
      </c>
      <c r="G868" t="s">
        <v>18</v>
      </c>
      <c r="H868" s="24">
        <v>0</v>
      </c>
      <c r="I868" t="str">
        <f>IF(H868&lt;=0,"",LOOKUP(H868,'Regras e Parâmetros'!$B$4:$B$7,'Regras e Parâmetros'!$A$4:$A$7))</f>
        <v/>
      </c>
      <c r="J868" t="s">
        <v>6747</v>
      </c>
      <c r="L868" t="s">
        <v>9883</v>
      </c>
    </row>
    <row r="869" spans="1:12" x14ac:dyDescent="0.3">
      <c r="A869" t="s">
        <v>9761</v>
      </c>
      <c r="B869" s="5" t="s">
        <v>5900</v>
      </c>
      <c r="C869" t="s">
        <v>6456</v>
      </c>
      <c r="D869" t="s">
        <v>5901</v>
      </c>
      <c r="E869" t="s">
        <v>9762</v>
      </c>
      <c r="F869" s="1">
        <v>46268</v>
      </c>
      <c r="G869" t="s">
        <v>110</v>
      </c>
      <c r="H869" s="24">
        <v>0</v>
      </c>
      <c r="I869" t="str">
        <f>IF(H869&lt;=0,"",LOOKUP(H869,'Regras e Parâmetros'!$B$4:$B$7,'Regras e Parâmetros'!$A$4:$A$7))</f>
        <v/>
      </c>
      <c r="J869" t="s">
        <v>9790</v>
      </c>
      <c r="L869" t="s">
        <v>9883</v>
      </c>
    </row>
    <row r="870" spans="1:12" x14ac:dyDescent="0.3">
      <c r="A870" t="s">
        <v>4239</v>
      </c>
      <c r="B870" s="5" t="s">
        <v>8800</v>
      </c>
      <c r="C870" t="s">
        <v>6456</v>
      </c>
      <c r="D870" t="s">
        <v>4240</v>
      </c>
      <c r="E870" t="s">
        <v>8801</v>
      </c>
      <c r="F870" s="1">
        <v>45785</v>
      </c>
      <c r="G870" t="s">
        <v>45</v>
      </c>
      <c r="H870" s="24">
        <v>0</v>
      </c>
      <c r="I870" t="str">
        <f>IF(H870&lt;=0,"",LOOKUP(H870,'Regras e Parâmetros'!$B$4:$B$7,'Regras e Parâmetros'!$A$4:$A$7))</f>
        <v/>
      </c>
      <c r="J870" t="s">
        <v>6456</v>
      </c>
      <c r="L870" t="s">
        <v>9883</v>
      </c>
    </row>
    <row r="871" spans="1:12" x14ac:dyDescent="0.3">
      <c r="A871" t="s">
        <v>3847</v>
      </c>
      <c r="B871" s="5" t="s">
        <v>8565</v>
      </c>
      <c r="C871" t="s">
        <v>6456</v>
      </c>
      <c r="D871" t="s">
        <v>3848</v>
      </c>
      <c r="E871" t="s">
        <v>8566</v>
      </c>
      <c r="F871" s="1">
        <v>45678</v>
      </c>
      <c r="G871" t="s">
        <v>51</v>
      </c>
      <c r="H871" s="24">
        <v>0</v>
      </c>
      <c r="I871" t="str">
        <f>IF(H871&lt;=0,"",LOOKUP(H871,'Regras e Parâmetros'!$B$4:$B$7,'Regras e Parâmetros'!$A$4:$A$7))</f>
        <v/>
      </c>
      <c r="J871" t="s">
        <v>6747</v>
      </c>
      <c r="K871" t="s">
        <v>33</v>
      </c>
      <c r="L871" t="s">
        <v>9883</v>
      </c>
    </row>
    <row r="872" spans="1:12" x14ac:dyDescent="0.3">
      <c r="A872" t="s">
        <v>8258</v>
      </c>
      <c r="B872" s="5" t="s">
        <v>8259</v>
      </c>
      <c r="C872" t="s">
        <v>6456</v>
      </c>
      <c r="D872" t="s">
        <v>3287</v>
      </c>
      <c r="E872" t="s">
        <v>10102</v>
      </c>
      <c r="F872" s="1">
        <v>45493</v>
      </c>
      <c r="G872" t="s">
        <v>22</v>
      </c>
      <c r="H872" s="24">
        <v>274</v>
      </c>
      <c r="I872" t="str">
        <f>IF(H872&lt;=0,"",LOOKUP(H872,'Regras e Parâmetros'!$B$4:$B$7,'Regras e Parâmetros'!$A$4:$A$7))</f>
        <v>Bronze</v>
      </c>
      <c r="J872" t="s">
        <v>6747</v>
      </c>
    </row>
    <row r="873" spans="1:12" x14ac:dyDescent="0.3">
      <c r="A873" t="s">
        <v>5386</v>
      </c>
      <c r="B873" s="5" t="s">
        <v>5387</v>
      </c>
      <c r="C873" t="s">
        <v>6456</v>
      </c>
      <c r="D873" t="s">
        <v>5388</v>
      </c>
      <c r="E873" t="s">
        <v>9450</v>
      </c>
      <c r="F873" s="1">
        <v>46113</v>
      </c>
      <c r="G873" t="s">
        <v>51</v>
      </c>
      <c r="H873" s="24">
        <v>0</v>
      </c>
      <c r="I873" t="str">
        <f>IF(H873&lt;=0,"",LOOKUP(H873,'Regras e Parâmetros'!$B$4:$B$7,'Regras e Parâmetros'!$A$4:$A$7))</f>
        <v/>
      </c>
      <c r="J873" t="s">
        <v>9790</v>
      </c>
      <c r="L873" t="s">
        <v>9884</v>
      </c>
    </row>
    <row r="874" spans="1:12" x14ac:dyDescent="0.3">
      <c r="A874" t="s">
        <v>3500</v>
      </c>
      <c r="B874" s="5" t="s">
        <v>8357</v>
      </c>
      <c r="C874" t="s">
        <v>6456</v>
      </c>
      <c r="D874" t="s">
        <v>3501</v>
      </c>
      <c r="E874" t="s">
        <v>3502</v>
      </c>
      <c r="F874" s="1">
        <v>45566</v>
      </c>
      <c r="G874" t="s">
        <v>100</v>
      </c>
      <c r="H874" s="24">
        <v>458</v>
      </c>
      <c r="I874" t="str">
        <f>IF(H874&lt;=0,"",LOOKUP(H874,'Regras e Parâmetros'!$B$4:$B$7,'Regras e Parâmetros'!$A$4:$A$7))</f>
        <v>Bronze</v>
      </c>
      <c r="J874" t="s">
        <v>9790</v>
      </c>
      <c r="L874" t="s">
        <v>9789</v>
      </c>
    </row>
    <row r="875" spans="1:12" x14ac:dyDescent="0.3">
      <c r="A875" t="s">
        <v>5459</v>
      </c>
      <c r="B875" s="5" t="s">
        <v>5460</v>
      </c>
      <c r="C875" t="s">
        <v>6456</v>
      </c>
      <c r="D875" t="s">
        <v>5461</v>
      </c>
      <c r="E875" t="s">
        <v>5462</v>
      </c>
      <c r="F875" s="1">
        <v>46148</v>
      </c>
      <c r="G875" t="s">
        <v>51</v>
      </c>
      <c r="H875" s="24">
        <v>0</v>
      </c>
      <c r="I875" t="str">
        <f>IF(H875&lt;=0,"",LOOKUP(H875,'Regras e Parâmetros'!$B$4:$B$7,'Regras e Parâmetros'!$A$4:$A$7))</f>
        <v/>
      </c>
      <c r="J875" t="s">
        <v>9790</v>
      </c>
      <c r="K875" t="s">
        <v>187</v>
      </c>
      <c r="L875" t="s">
        <v>9886</v>
      </c>
    </row>
    <row r="876" spans="1:12" x14ac:dyDescent="0.3">
      <c r="A876" t="s">
        <v>2096</v>
      </c>
      <c r="B876" s="5" t="s">
        <v>7628</v>
      </c>
      <c r="C876" t="s">
        <v>6456</v>
      </c>
      <c r="D876" t="s">
        <v>2097</v>
      </c>
      <c r="E876" t="s">
        <v>7629</v>
      </c>
      <c r="F876" s="1">
        <v>45076</v>
      </c>
      <c r="G876" t="s">
        <v>51</v>
      </c>
      <c r="H876" s="24">
        <v>364</v>
      </c>
      <c r="I876" t="str">
        <f>IF(H876&lt;=0,"",LOOKUP(H876,'Regras e Parâmetros'!$B$4:$B$7,'Regras e Parâmetros'!$A$4:$A$7))</f>
        <v>Bronze</v>
      </c>
      <c r="J876" t="s">
        <v>9790</v>
      </c>
    </row>
    <row r="877" spans="1:12" x14ac:dyDescent="0.3">
      <c r="A877" t="s">
        <v>5968</v>
      </c>
      <c r="B877" s="5" t="s">
        <v>5969</v>
      </c>
      <c r="C877" t="s">
        <v>6456</v>
      </c>
      <c r="D877" t="s">
        <v>5970</v>
      </c>
      <c r="E877" t="s">
        <v>5971</v>
      </c>
      <c r="F877" s="1">
        <v>46279</v>
      </c>
      <c r="G877" t="s">
        <v>45</v>
      </c>
      <c r="H877" s="24">
        <v>0</v>
      </c>
      <c r="I877" t="str">
        <f>IF(H877&lt;=0,"",LOOKUP(H877,'Regras e Parâmetros'!$B$4:$B$7,'Regras e Parâmetros'!$A$4:$A$7))</f>
        <v/>
      </c>
      <c r="J877" t="s">
        <v>6747</v>
      </c>
      <c r="L877" t="s">
        <v>9886</v>
      </c>
    </row>
    <row r="878" spans="1:12" x14ac:dyDescent="0.3">
      <c r="A878" t="s">
        <v>5753</v>
      </c>
      <c r="B878" s="5" t="s">
        <v>9669</v>
      </c>
      <c r="C878" t="s">
        <v>6456</v>
      </c>
      <c r="D878" t="s">
        <v>5754</v>
      </c>
      <c r="E878" t="s">
        <v>9670</v>
      </c>
      <c r="F878" s="1">
        <v>46233</v>
      </c>
      <c r="G878" t="s">
        <v>18</v>
      </c>
      <c r="H878" s="24">
        <v>0</v>
      </c>
      <c r="I878" t="str">
        <f>IF(H878&lt;=0,"",LOOKUP(H878,'Regras e Parâmetros'!$B$4:$B$7,'Regras e Parâmetros'!$A$4:$A$7))</f>
        <v/>
      </c>
      <c r="J878" t="s">
        <v>6456</v>
      </c>
      <c r="L878" t="s">
        <v>9883</v>
      </c>
    </row>
    <row r="879" spans="1:12" x14ac:dyDescent="0.3">
      <c r="A879" t="s">
        <v>2642</v>
      </c>
      <c r="B879" s="5" t="s">
        <v>2643</v>
      </c>
      <c r="C879" t="s">
        <v>6456</v>
      </c>
      <c r="D879" t="s">
        <v>2644</v>
      </c>
      <c r="E879" t="s">
        <v>7943</v>
      </c>
      <c r="F879" s="1">
        <v>45246</v>
      </c>
      <c r="G879" t="s">
        <v>22</v>
      </c>
      <c r="H879" s="24">
        <v>742</v>
      </c>
      <c r="I879" t="str">
        <f>IF(H879&lt;=0,"",LOOKUP(H879,'Regras e Parâmetros'!$B$4:$B$7,'Regras e Parâmetros'!$A$4:$A$7))</f>
        <v>Bronze</v>
      </c>
      <c r="J879" t="s">
        <v>6456</v>
      </c>
    </row>
    <row r="880" spans="1:12" x14ac:dyDescent="0.3">
      <c r="A880" t="s">
        <v>3296</v>
      </c>
      <c r="B880" s="5" t="s">
        <v>8264</v>
      </c>
      <c r="C880" t="s">
        <v>6456</v>
      </c>
      <c r="D880" t="s">
        <v>3297</v>
      </c>
      <c r="E880" t="s">
        <v>3298</v>
      </c>
      <c r="F880" s="1">
        <v>45498</v>
      </c>
      <c r="G880" t="s">
        <v>100</v>
      </c>
      <c r="H880" s="24">
        <v>1445</v>
      </c>
      <c r="I880" t="str">
        <f>IF(H880&lt;=0,"",LOOKUP(H880,'Regras e Parâmetros'!$B$4:$B$7,'Regras e Parâmetros'!$A$4:$A$7))</f>
        <v>Bronze</v>
      </c>
      <c r="J880" t="s">
        <v>6747</v>
      </c>
    </row>
    <row r="881" spans="1:12" x14ac:dyDescent="0.3">
      <c r="A881" t="s">
        <v>5076</v>
      </c>
      <c r="B881" s="5" t="s">
        <v>9284</v>
      </c>
      <c r="C881" t="s">
        <v>6456</v>
      </c>
      <c r="D881" t="s">
        <v>5077</v>
      </c>
      <c r="E881" t="s">
        <v>9285</v>
      </c>
      <c r="F881" s="1">
        <v>46039</v>
      </c>
      <c r="G881" t="s">
        <v>45</v>
      </c>
      <c r="H881" s="24">
        <v>0</v>
      </c>
      <c r="I881" t="str">
        <f>IF(H881&lt;=0,"",LOOKUP(H881,'Regras e Parâmetros'!$B$4:$B$7,'Regras e Parâmetros'!$A$4:$A$7))</f>
        <v/>
      </c>
      <c r="J881" t="s">
        <v>9790</v>
      </c>
      <c r="K881" t="s">
        <v>72</v>
      </c>
      <c r="L881" t="s">
        <v>9883</v>
      </c>
    </row>
    <row r="882" spans="1:12" x14ac:dyDescent="0.3">
      <c r="A882" t="s">
        <v>4485</v>
      </c>
      <c r="B882" s="5" t="s">
        <v>4486</v>
      </c>
      <c r="C882" t="s">
        <v>6456</v>
      </c>
      <c r="D882" t="s">
        <v>4487</v>
      </c>
      <c r="E882" t="s">
        <v>8932</v>
      </c>
      <c r="F882" s="1">
        <v>45860</v>
      </c>
      <c r="G882" t="s">
        <v>45</v>
      </c>
      <c r="H882" s="24">
        <v>0</v>
      </c>
      <c r="I882" t="str">
        <f>IF(H882&lt;=0,"",LOOKUP(H882,'Regras e Parâmetros'!$B$4:$B$7,'Regras e Parâmetros'!$A$4:$A$7))</f>
        <v/>
      </c>
      <c r="J882" t="s">
        <v>6747</v>
      </c>
      <c r="L882" t="s">
        <v>9883</v>
      </c>
    </row>
    <row r="883" spans="1:12" x14ac:dyDescent="0.3">
      <c r="A883" t="s">
        <v>3533</v>
      </c>
      <c r="B883" s="5" t="s">
        <v>8374</v>
      </c>
      <c r="C883" t="s">
        <v>6456</v>
      </c>
      <c r="D883" t="s">
        <v>3534</v>
      </c>
      <c r="E883" t="s">
        <v>8375</v>
      </c>
      <c r="F883" s="1">
        <v>45579</v>
      </c>
      <c r="G883" t="s">
        <v>100</v>
      </c>
      <c r="H883" s="24">
        <v>275</v>
      </c>
      <c r="I883" t="str">
        <f>IF(H883&lt;=0,"",LOOKUP(H883,'Regras e Parâmetros'!$B$4:$B$7,'Regras e Parâmetros'!$A$4:$A$7))</f>
        <v>Bronze</v>
      </c>
      <c r="J883" t="s">
        <v>9790</v>
      </c>
      <c r="K883" t="s">
        <v>708</v>
      </c>
    </row>
    <row r="884" spans="1:12" x14ac:dyDescent="0.3">
      <c r="A884" t="s">
        <v>7893</v>
      </c>
      <c r="B884" s="5" t="s">
        <v>7894</v>
      </c>
      <c r="C884" t="s">
        <v>6456</v>
      </c>
      <c r="D884" t="s">
        <v>2560</v>
      </c>
      <c r="E884" t="s">
        <v>7895</v>
      </c>
      <c r="F884" s="1">
        <v>45217</v>
      </c>
      <c r="G884" t="s">
        <v>100</v>
      </c>
      <c r="H884" s="24">
        <v>10046</v>
      </c>
      <c r="I884" t="str">
        <f>IF(H884&lt;=0,"",LOOKUP(H884,'Regras e Parâmetros'!$B$4:$B$7,'Regras e Parâmetros'!$A$4:$A$7))</f>
        <v>Vip</v>
      </c>
      <c r="J884" t="s">
        <v>9790</v>
      </c>
    </row>
    <row r="885" spans="1:12" x14ac:dyDescent="0.3">
      <c r="A885" t="s">
        <v>8630</v>
      </c>
      <c r="B885" s="5" t="s">
        <v>3933</v>
      </c>
      <c r="C885" t="s">
        <v>6456</v>
      </c>
      <c r="D885" t="s">
        <v>5718</v>
      </c>
      <c r="E885" t="s">
        <v>5233</v>
      </c>
      <c r="F885" s="1">
        <v>45698</v>
      </c>
      <c r="G885" t="s">
        <v>18</v>
      </c>
      <c r="H885" s="24">
        <v>0</v>
      </c>
      <c r="I885" t="str">
        <f>IF(H885&lt;=0,"",LOOKUP(H885,'Regras e Parâmetros'!$B$4:$B$7,'Regras e Parâmetros'!$A$4:$A$7))</f>
        <v/>
      </c>
      <c r="J885" t="s">
        <v>6456</v>
      </c>
      <c r="K885" t="s">
        <v>9890</v>
      </c>
      <c r="L885" t="s">
        <v>9883</v>
      </c>
    </row>
    <row r="886" spans="1:12" x14ac:dyDescent="0.3">
      <c r="A886" t="s">
        <v>719</v>
      </c>
      <c r="B886" s="5" t="s">
        <v>6854</v>
      </c>
      <c r="C886" t="s">
        <v>6456</v>
      </c>
      <c r="D886" t="s">
        <v>720</v>
      </c>
      <c r="E886" t="s">
        <v>721</v>
      </c>
      <c r="F886" s="1">
        <v>44599</v>
      </c>
      <c r="G886" t="s">
        <v>110</v>
      </c>
      <c r="H886" s="24">
        <v>993</v>
      </c>
      <c r="I886" t="str">
        <f>IF(H886&lt;=0,"",LOOKUP(H886,'Regras e Parâmetros'!$B$4:$B$7,'Regras e Parâmetros'!$A$4:$A$7))</f>
        <v>Bronze</v>
      </c>
      <c r="J886" t="s">
        <v>6747</v>
      </c>
    </row>
    <row r="887" spans="1:12" x14ac:dyDescent="0.3">
      <c r="A887" t="s">
        <v>7336</v>
      </c>
      <c r="B887" s="5" t="s">
        <v>7337</v>
      </c>
      <c r="C887" t="s">
        <v>6456</v>
      </c>
      <c r="D887" t="s">
        <v>1580</v>
      </c>
      <c r="E887" t="s">
        <v>1581</v>
      </c>
      <c r="F887" s="1">
        <v>44900</v>
      </c>
      <c r="G887" t="s">
        <v>110</v>
      </c>
      <c r="H887" s="24">
        <v>652</v>
      </c>
      <c r="I887" t="str">
        <f>IF(H887&lt;=0,"",LOOKUP(H887,'Regras e Parâmetros'!$B$4:$B$7,'Regras e Parâmetros'!$A$4:$A$7))</f>
        <v>Bronze</v>
      </c>
      <c r="J887" t="s">
        <v>9790</v>
      </c>
    </row>
    <row r="888" spans="1:12" x14ac:dyDescent="0.3">
      <c r="A888" t="s">
        <v>3367</v>
      </c>
      <c r="B888" s="5" t="s">
        <v>3368</v>
      </c>
      <c r="C888" t="s">
        <v>6456</v>
      </c>
      <c r="D888" t="s">
        <v>3369</v>
      </c>
      <c r="E888" t="s">
        <v>8301</v>
      </c>
      <c r="F888" s="1">
        <v>45516</v>
      </c>
      <c r="G888" t="s">
        <v>22</v>
      </c>
      <c r="H888" s="24">
        <v>386</v>
      </c>
      <c r="I888" t="str">
        <f>IF(H888&lt;=0,"",LOOKUP(H888,'Regras e Parâmetros'!$B$4:$B$7,'Regras e Parâmetros'!$A$4:$A$7))</f>
        <v>Bronze</v>
      </c>
      <c r="J888" t="s">
        <v>9790</v>
      </c>
    </row>
    <row r="889" spans="1:12" x14ac:dyDescent="0.3">
      <c r="A889" t="s">
        <v>7198</v>
      </c>
      <c r="B889" s="5" t="s">
        <v>7199</v>
      </c>
      <c r="C889" t="s">
        <v>6456</v>
      </c>
      <c r="D889" t="s">
        <v>1349</v>
      </c>
      <c r="E889" t="s">
        <v>7200</v>
      </c>
      <c r="F889" s="1">
        <v>44841</v>
      </c>
      <c r="G889" t="s">
        <v>45</v>
      </c>
      <c r="H889" s="24">
        <v>0</v>
      </c>
      <c r="I889" t="str">
        <f>IF(H889&lt;=0,"",LOOKUP(H889,'Regras e Parâmetros'!$B$4:$B$7,'Regras e Parâmetros'!$A$4:$A$7))</f>
        <v/>
      </c>
      <c r="J889" t="s">
        <v>9790</v>
      </c>
    </row>
    <row r="890" spans="1:12" x14ac:dyDescent="0.3">
      <c r="A890" t="s">
        <v>385</v>
      </c>
      <c r="B890" s="5" t="s">
        <v>6662</v>
      </c>
      <c r="C890" t="s">
        <v>6456</v>
      </c>
      <c r="D890" t="s">
        <v>386</v>
      </c>
      <c r="E890" t="s">
        <v>387</v>
      </c>
      <c r="F890" s="1">
        <v>44480</v>
      </c>
      <c r="G890" t="s">
        <v>22</v>
      </c>
      <c r="H890" s="24">
        <v>4161</v>
      </c>
      <c r="I890" t="str">
        <f>IF(H890&lt;=0,"",LOOKUP(H890,'Regras e Parâmetros'!$B$4:$B$7,'Regras e Parâmetros'!$A$4:$A$7))</f>
        <v>Prata</v>
      </c>
      <c r="J890" t="s">
        <v>9790</v>
      </c>
    </row>
    <row r="891" spans="1:12" x14ac:dyDescent="0.3">
      <c r="A891" t="s">
        <v>514</v>
      </c>
      <c r="B891" s="5" t="s">
        <v>6729</v>
      </c>
      <c r="C891" t="s">
        <v>6456</v>
      </c>
      <c r="D891" t="s">
        <v>515</v>
      </c>
      <c r="E891" t="s">
        <v>6730</v>
      </c>
      <c r="F891" s="1">
        <v>44524</v>
      </c>
      <c r="G891" t="s">
        <v>110</v>
      </c>
      <c r="H891" s="24">
        <v>2113</v>
      </c>
      <c r="I891" t="str">
        <f>IF(H891&lt;=0,"",LOOKUP(H891,'Regras e Parâmetros'!$B$4:$B$7,'Regras e Parâmetros'!$A$4:$A$7))</f>
        <v>Prata</v>
      </c>
      <c r="J891" t="s">
        <v>6747</v>
      </c>
    </row>
    <row r="892" spans="1:12" x14ac:dyDescent="0.3">
      <c r="A892" t="s">
        <v>3437</v>
      </c>
      <c r="B892" s="5" t="s">
        <v>8296</v>
      </c>
      <c r="C892" t="s">
        <v>6456</v>
      </c>
      <c r="D892" t="s">
        <v>3362</v>
      </c>
      <c r="E892" t="s">
        <v>3363</v>
      </c>
      <c r="F892" s="1">
        <v>45514</v>
      </c>
      <c r="G892" t="s">
        <v>45</v>
      </c>
      <c r="H892" s="24">
        <v>0</v>
      </c>
      <c r="I892" t="str">
        <f>IF(H892&lt;=0,"",LOOKUP(H892,'Regras e Parâmetros'!$B$4:$B$7,'Regras e Parâmetros'!$A$4:$A$7))</f>
        <v/>
      </c>
      <c r="J892" t="s">
        <v>9790</v>
      </c>
    </row>
    <row r="893" spans="1:12" x14ac:dyDescent="0.3">
      <c r="A893" t="s">
        <v>3437</v>
      </c>
      <c r="B893" s="5" t="s">
        <v>3438</v>
      </c>
      <c r="C893" t="s">
        <v>6456</v>
      </c>
      <c r="D893" t="s">
        <v>3439</v>
      </c>
      <c r="E893" t="s">
        <v>8334</v>
      </c>
      <c r="F893" s="1">
        <v>45547</v>
      </c>
      <c r="G893" t="s">
        <v>45</v>
      </c>
      <c r="H893" s="24">
        <v>623</v>
      </c>
      <c r="I893" t="str">
        <f>IF(H893&lt;=0,"",LOOKUP(H893,'Regras e Parâmetros'!$B$4:$B$7,'Regras e Parâmetros'!$A$4:$A$7))</f>
        <v>Bronze</v>
      </c>
      <c r="J893" t="s">
        <v>6747</v>
      </c>
    </row>
    <row r="894" spans="1:12" x14ac:dyDescent="0.3">
      <c r="A894" t="s">
        <v>4197</v>
      </c>
      <c r="B894" s="5" t="s">
        <v>8731</v>
      </c>
      <c r="C894" t="s">
        <v>6456</v>
      </c>
      <c r="D894" t="s">
        <v>4198</v>
      </c>
      <c r="E894" t="s">
        <v>8732</v>
      </c>
      <c r="F894" s="1">
        <v>45748</v>
      </c>
      <c r="G894" t="s">
        <v>51</v>
      </c>
      <c r="H894" s="24">
        <v>0</v>
      </c>
      <c r="I894" t="str">
        <f>IF(H894&lt;=0,"",LOOKUP(H894,'Regras e Parâmetros'!$B$4:$B$7,'Regras e Parâmetros'!$A$4:$A$7))</f>
        <v/>
      </c>
      <c r="J894" t="s">
        <v>9790</v>
      </c>
      <c r="L894" t="s">
        <v>9884</v>
      </c>
    </row>
    <row r="895" spans="1:12" x14ac:dyDescent="0.3">
      <c r="A895" t="s">
        <v>3678</v>
      </c>
      <c r="B895" s="5" t="s">
        <v>8459</v>
      </c>
      <c r="C895" t="s">
        <v>6456</v>
      </c>
      <c r="D895" t="s">
        <v>3679</v>
      </c>
      <c r="E895" t="s">
        <v>8460</v>
      </c>
      <c r="F895" s="1">
        <v>45614</v>
      </c>
      <c r="G895" t="s">
        <v>100</v>
      </c>
      <c r="H895" s="24">
        <v>139</v>
      </c>
      <c r="I895" t="str">
        <f>IF(H895&lt;=0,"",LOOKUP(H895,'Regras e Parâmetros'!$B$4:$B$7,'Regras e Parâmetros'!$A$4:$A$7))</f>
        <v>Bronze</v>
      </c>
      <c r="J895" t="s">
        <v>9790</v>
      </c>
    </row>
    <row r="896" spans="1:12" x14ac:dyDescent="0.3">
      <c r="A896" t="s">
        <v>7266</v>
      </c>
      <c r="B896" s="5" t="s">
        <v>1446</v>
      </c>
      <c r="C896" t="s">
        <v>6456</v>
      </c>
      <c r="D896" t="s">
        <v>7267</v>
      </c>
      <c r="E896" t="s">
        <v>1447</v>
      </c>
      <c r="F896" s="1">
        <v>44867</v>
      </c>
      <c r="G896" t="s">
        <v>100</v>
      </c>
      <c r="H896" s="24">
        <v>859</v>
      </c>
      <c r="I896" t="str">
        <f>IF(H896&lt;=0,"",LOOKUP(H896,'Regras e Parâmetros'!$B$4:$B$7,'Regras e Parâmetros'!$A$4:$A$7))</f>
        <v>Bronze</v>
      </c>
      <c r="J896" t="s">
        <v>6747</v>
      </c>
    </row>
    <row r="897" spans="1:12" x14ac:dyDescent="0.3">
      <c r="A897" t="s">
        <v>2721</v>
      </c>
      <c r="B897" s="5" t="s">
        <v>2722</v>
      </c>
      <c r="C897" t="s">
        <v>6456</v>
      </c>
      <c r="D897" t="s">
        <v>2723</v>
      </c>
      <c r="E897" t="s">
        <v>2724</v>
      </c>
      <c r="F897" s="1">
        <v>45273</v>
      </c>
      <c r="G897" t="s">
        <v>18</v>
      </c>
      <c r="H897" s="24">
        <v>4534</v>
      </c>
      <c r="I897" t="str">
        <f>IF(H897&lt;=0,"",LOOKUP(H897,'Regras e Parâmetros'!$B$4:$B$7,'Regras e Parâmetros'!$A$4:$A$7))</f>
        <v>Prata</v>
      </c>
      <c r="J897" t="s">
        <v>6747</v>
      </c>
    </row>
    <row r="898" spans="1:12" x14ac:dyDescent="0.3">
      <c r="A898" t="s">
        <v>1112</v>
      </c>
      <c r="B898" s="5" t="s">
        <v>1113</v>
      </c>
      <c r="C898" t="s">
        <v>6456</v>
      </c>
      <c r="D898" t="s">
        <v>1114</v>
      </c>
      <c r="E898" t="s">
        <v>1115</v>
      </c>
      <c r="F898" s="1">
        <v>44745</v>
      </c>
      <c r="G898" t="s">
        <v>110</v>
      </c>
      <c r="H898" s="24">
        <v>627</v>
      </c>
      <c r="I898" t="str">
        <f>IF(H898&lt;=0,"",LOOKUP(H898,'Regras e Parâmetros'!$B$4:$B$7,'Regras e Parâmetros'!$A$4:$A$7))</f>
        <v>Bronze</v>
      </c>
      <c r="J898" t="s">
        <v>9790</v>
      </c>
    </row>
    <row r="899" spans="1:12" x14ac:dyDescent="0.3">
      <c r="A899" t="s">
        <v>1535</v>
      </c>
      <c r="B899" s="5" t="s">
        <v>1536</v>
      </c>
      <c r="C899" t="s">
        <v>6456</v>
      </c>
      <c r="D899" t="s">
        <v>1537</v>
      </c>
      <c r="E899" t="s">
        <v>1538</v>
      </c>
      <c r="F899" s="1">
        <v>44889</v>
      </c>
      <c r="G899" t="s">
        <v>18</v>
      </c>
      <c r="H899" s="24">
        <v>2137</v>
      </c>
      <c r="I899" t="str">
        <f>IF(H899&lt;=0,"",LOOKUP(H899,'Regras e Parâmetros'!$B$4:$B$7,'Regras e Parâmetros'!$A$4:$A$7))</f>
        <v>Prata</v>
      </c>
      <c r="J899" t="s">
        <v>6747</v>
      </c>
    </row>
    <row r="900" spans="1:12" x14ac:dyDescent="0.3">
      <c r="A900" t="s">
        <v>5890</v>
      </c>
      <c r="B900" s="5" t="s">
        <v>5891</v>
      </c>
      <c r="C900" t="s">
        <v>6456</v>
      </c>
      <c r="D900" t="s">
        <v>5892</v>
      </c>
      <c r="E900" t="s">
        <v>9696</v>
      </c>
      <c r="F900" s="1">
        <v>46235</v>
      </c>
      <c r="G900" t="s">
        <v>45</v>
      </c>
      <c r="H900" s="24">
        <v>0</v>
      </c>
      <c r="I900" t="str">
        <f>IF(H900&lt;=0,"",LOOKUP(H900,'Regras e Parâmetros'!$B$4:$B$7,'Regras e Parâmetros'!$A$4:$A$7))</f>
        <v/>
      </c>
      <c r="J900" t="s">
        <v>6747</v>
      </c>
      <c r="K900" t="s">
        <v>187</v>
      </c>
      <c r="L900" t="s">
        <v>9884</v>
      </c>
    </row>
    <row r="901" spans="1:12" x14ac:dyDescent="0.3">
      <c r="A901" t="s">
        <v>7524</v>
      </c>
      <c r="B901" s="5" t="s">
        <v>7525</v>
      </c>
      <c r="C901" t="s">
        <v>6456</v>
      </c>
      <c r="D901" t="s">
        <v>1905</v>
      </c>
      <c r="E901" t="s">
        <v>1906</v>
      </c>
      <c r="F901" s="1">
        <v>45013</v>
      </c>
      <c r="G901" t="s">
        <v>45</v>
      </c>
      <c r="H901" s="24">
        <v>354</v>
      </c>
      <c r="I901" t="str">
        <f>IF(H901&lt;=0,"",LOOKUP(H901,'Regras e Parâmetros'!$B$4:$B$7,'Regras e Parâmetros'!$A$4:$A$7))</f>
        <v>Bronze</v>
      </c>
      <c r="J901" t="s">
        <v>6456</v>
      </c>
      <c r="K901" t="s">
        <v>33</v>
      </c>
    </row>
    <row r="902" spans="1:12" x14ac:dyDescent="0.3">
      <c r="A902" t="s">
        <v>7524</v>
      </c>
      <c r="B902" s="5" t="s">
        <v>9623</v>
      </c>
      <c r="C902" t="s">
        <v>6456</v>
      </c>
      <c r="D902" t="s">
        <v>5667</v>
      </c>
      <c r="E902" t="s">
        <v>5668</v>
      </c>
      <c r="F902" s="1">
        <v>46209</v>
      </c>
      <c r="G902" t="s">
        <v>100</v>
      </c>
      <c r="H902" s="24">
        <v>0</v>
      </c>
      <c r="I902" t="str">
        <f>IF(H902&lt;=0,"",LOOKUP(H902,'Regras e Parâmetros'!$B$4:$B$7,'Regras e Parâmetros'!$A$4:$A$7))</f>
        <v/>
      </c>
      <c r="J902" t="s">
        <v>6456</v>
      </c>
      <c r="L902" t="s">
        <v>9883</v>
      </c>
    </row>
    <row r="903" spans="1:12" x14ac:dyDescent="0.3">
      <c r="A903" t="s">
        <v>9749</v>
      </c>
      <c r="B903" s="5" t="s">
        <v>5888</v>
      </c>
      <c r="C903" t="s">
        <v>6456</v>
      </c>
      <c r="D903" t="s">
        <v>5889</v>
      </c>
      <c r="E903" t="s">
        <v>9750</v>
      </c>
      <c r="F903" s="1">
        <v>46264</v>
      </c>
      <c r="G903" t="s">
        <v>18</v>
      </c>
      <c r="H903" s="24">
        <v>0</v>
      </c>
      <c r="I903" t="str">
        <f>IF(H903&lt;=0,"",LOOKUP(H903,'Regras e Parâmetros'!$B$4:$B$7,'Regras e Parâmetros'!$A$4:$A$7))</f>
        <v/>
      </c>
      <c r="J903" t="s">
        <v>9790</v>
      </c>
      <c r="K903" t="s">
        <v>8</v>
      </c>
      <c r="L903" t="s">
        <v>9883</v>
      </c>
    </row>
    <row r="904" spans="1:12" x14ac:dyDescent="0.3">
      <c r="A904" t="s">
        <v>3417</v>
      </c>
      <c r="B904" s="5" t="s">
        <v>8327</v>
      </c>
      <c r="C904" t="s">
        <v>6456</v>
      </c>
      <c r="D904" t="s">
        <v>3418</v>
      </c>
      <c r="E904" t="s">
        <v>3419</v>
      </c>
      <c r="F904" s="1">
        <v>45539</v>
      </c>
      <c r="G904" t="s">
        <v>45</v>
      </c>
      <c r="H904" s="24">
        <v>0</v>
      </c>
      <c r="I904" t="str">
        <f>IF(H904&lt;=0,"",LOOKUP(H904,'Regras e Parâmetros'!$B$4:$B$7,'Regras e Parâmetros'!$A$4:$A$7))</f>
        <v/>
      </c>
      <c r="J904" t="s">
        <v>6747</v>
      </c>
    </row>
    <row r="905" spans="1:12" x14ac:dyDescent="0.3">
      <c r="A905" t="s">
        <v>3417</v>
      </c>
      <c r="B905" s="5" t="s">
        <v>8899</v>
      </c>
      <c r="C905" t="s">
        <v>6456</v>
      </c>
      <c r="D905" t="s">
        <v>4431</v>
      </c>
      <c r="E905" t="s">
        <v>8900</v>
      </c>
      <c r="F905" s="1">
        <v>45849</v>
      </c>
      <c r="G905" t="s">
        <v>45</v>
      </c>
      <c r="H905" s="24">
        <v>0</v>
      </c>
      <c r="I905" t="str">
        <f>IF(H905&lt;=0,"",LOOKUP(H905,'Regras e Parâmetros'!$B$4:$B$7,'Regras e Parâmetros'!$A$4:$A$7))</f>
        <v/>
      </c>
      <c r="J905" t="s">
        <v>9790</v>
      </c>
      <c r="L905" t="s">
        <v>9883</v>
      </c>
    </row>
    <row r="906" spans="1:12" x14ac:dyDescent="0.3">
      <c r="A906" t="s">
        <v>9389</v>
      </c>
      <c r="B906" s="5" t="s">
        <v>9390</v>
      </c>
      <c r="C906" t="s">
        <v>6456</v>
      </c>
      <c r="D906" t="s">
        <v>5248</v>
      </c>
      <c r="E906" t="s">
        <v>9391</v>
      </c>
      <c r="F906" s="1">
        <v>46088</v>
      </c>
      <c r="G906" t="s">
        <v>110</v>
      </c>
      <c r="H906" s="24">
        <v>0</v>
      </c>
      <c r="I906" t="str">
        <f>IF(H906&lt;=0,"",LOOKUP(H906,'Regras e Parâmetros'!$B$4:$B$7,'Regras e Parâmetros'!$A$4:$A$7))</f>
        <v/>
      </c>
      <c r="J906" t="s">
        <v>9790</v>
      </c>
      <c r="L906" t="s">
        <v>9883</v>
      </c>
    </row>
    <row r="907" spans="1:12" x14ac:dyDescent="0.3">
      <c r="A907" t="s">
        <v>1592</v>
      </c>
      <c r="B907" s="5" t="s">
        <v>7342</v>
      </c>
      <c r="C907" t="s">
        <v>6456</v>
      </c>
      <c r="D907" t="s">
        <v>1593</v>
      </c>
      <c r="E907" t="s">
        <v>7343</v>
      </c>
      <c r="F907" s="1">
        <v>44905</v>
      </c>
      <c r="G907" t="s">
        <v>45</v>
      </c>
      <c r="H907" s="24">
        <v>3408</v>
      </c>
      <c r="I907" t="str">
        <f>IF(H907&lt;=0,"",LOOKUP(H907,'Regras e Parâmetros'!$B$4:$B$7,'Regras e Parâmetros'!$A$4:$A$7))</f>
        <v>Prata</v>
      </c>
      <c r="J907" t="s">
        <v>9790</v>
      </c>
    </row>
    <row r="908" spans="1:12" x14ac:dyDescent="0.3">
      <c r="A908" t="s">
        <v>8125</v>
      </c>
      <c r="B908" s="5" t="s">
        <v>8126</v>
      </c>
      <c r="C908" t="s">
        <v>6456</v>
      </c>
      <c r="D908" t="s">
        <v>3027</v>
      </c>
      <c r="E908" t="s">
        <v>3028</v>
      </c>
      <c r="F908" s="1">
        <v>45401</v>
      </c>
      <c r="G908" t="s">
        <v>45</v>
      </c>
      <c r="H908" s="24">
        <v>663</v>
      </c>
      <c r="I908" t="str">
        <f>IF(H908&lt;=0,"",LOOKUP(H908,'Regras e Parâmetros'!$B$4:$B$7,'Regras e Parâmetros'!$A$4:$A$7))</f>
        <v>Bronze</v>
      </c>
      <c r="J908" t="s">
        <v>6456</v>
      </c>
    </row>
    <row r="909" spans="1:12" x14ac:dyDescent="0.3">
      <c r="A909" t="s">
        <v>4676</v>
      </c>
      <c r="B909" s="5" t="s">
        <v>9050</v>
      </c>
      <c r="C909" t="s">
        <v>6456</v>
      </c>
      <c r="D909" t="s">
        <v>4677</v>
      </c>
      <c r="E909" t="s">
        <v>9051</v>
      </c>
      <c r="F909" s="1">
        <v>45920</v>
      </c>
      <c r="G909" t="s">
        <v>51</v>
      </c>
      <c r="H909" s="24">
        <v>0</v>
      </c>
      <c r="I909" t="str">
        <f>IF(H909&lt;=0,"",LOOKUP(H909,'Regras e Parâmetros'!$B$4:$B$7,'Regras e Parâmetros'!$A$4:$A$7))</f>
        <v/>
      </c>
      <c r="J909" t="s">
        <v>6456</v>
      </c>
      <c r="L909" t="s">
        <v>9883</v>
      </c>
    </row>
    <row r="910" spans="1:12" x14ac:dyDescent="0.3">
      <c r="A910" t="s">
        <v>2531</v>
      </c>
      <c r="B910" s="5" t="s">
        <v>2532</v>
      </c>
      <c r="C910" t="s">
        <v>6456</v>
      </c>
      <c r="D910" t="s">
        <v>2533</v>
      </c>
      <c r="E910" t="s">
        <v>2534</v>
      </c>
      <c r="F910" s="1">
        <v>45210</v>
      </c>
      <c r="G910" t="s">
        <v>18</v>
      </c>
      <c r="H910" s="24">
        <v>1331</v>
      </c>
      <c r="I910" t="str">
        <f>IF(H910&lt;=0,"",LOOKUP(H910,'Regras e Parâmetros'!$B$4:$B$7,'Regras e Parâmetros'!$A$4:$A$7))</f>
        <v>Bronze</v>
      </c>
      <c r="J910" t="s">
        <v>9790</v>
      </c>
      <c r="L910" t="s">
        <v>9792</v>
      </c>
    </row>
    <row r="911" spans="1:12" x14ac:dyDescent="0.3">
      <c r="A911" t="s">
        <v>7821</v>
      </c>
      <c r="B911" s="5" t="s">
        <v>7822</v>
      </c>
      <c r="C911" t="s">
        <v>6456</v>
      </c>
      <c r="D911" t="s">
        <v>2424</v>
      </c>
      <c r="E911" t="s">
        <v>7823</v>
      </c>
      <c r="F911" s="1">
        <v>45171</v>
      </c>
      <c r="G911" t="s">
        <v>18</v>
      </c>
      <c r="H911" s="24">
        <v>0</v>
      </c>
      <c r="I911" t="str">
        <f>IF(H911&lt;=0,"",LOOKUP(H911,'Regras e Parâmetros'!$B$4:$B$7,'Regras e Parâmetros'!$A$4:$A$7))</f>
        <v/>
      </c>
      <c r="J911" t="s">
        <v>9790</v>
      </c>
      <c r="K911" t="s">
        <v>187</v>
      </c>
    </row>
    <row r="912" spans="1:12" x14ac:dyDescent="0.3">
      <c r="A912" t="s">
        <v>8722</v>
      </c>
      <c r="B912" s="5" t="s">
        <v>4116</v>
      </c>
      <c r="C912" t="s">
        <v>6456</v>
      </c>
      <c r="D912" t="s">
        <v>4117</v>
      </c>
      <c r="E912" t="s">
        <v>8723</v>
      </c>
      <c r="F912" s="1">
        <v>45747</v>
      </c>
      <c r="G912" t="s">
        <v>45</v>
      </c>
      <c r="H912" s="24">
        <v>0</v>
      </c>
      <c r="I912" t="str">
        <f>IF(H912&lt;=0,"",LOOKUP(H912,'Regras e Parâmetros'!$B$4:$B$7,'Regras e Parâmetros'!$A$4:$A$7))</f>
        <v/>
      </c>
      <c r="J912" t="s">
        <v>6747</v>
      </c>
      <c r="L912" t="s">
        <v>9883</v>
      </c>
    </row>
    <row r="913" spans="1:12" x14ac:dyDescent="0.3">
      <c r="A913" t="s">
        <v>4541</v>
      </c>
      <c r="B913" s="5" t="s">
        <v>8975</v>
      </c>
      <c r="C913" t="s">
        <v>6456</v>
      </c>
      <c r="D913" t="s">
        <v>4542</v>
      </c>
      <c r="E913" t="s">
        <v>8976</v>
      </c>
      <c r="F913" s="1">
        <v>45881</v>
      </c>
      <c r="G913" t="s">
        <v>18</v>
      </c>
      <c r="H913" s="24">
        <v>0</v>
      </c>
      <c r="I913" t="str">
        <f>IF(H913&lt;=0,"",LOOKUP(H913,'Regras e Parâmetros'!$B$4:$B$7,'Regras e Parâmetros'!$A$4:$A$7))</f>
        <v/>
      </c>
      <c r="J913" t="s">
        <v>6456</v>
      </c>
      <c r="L913" t="s">
        <v>9883</v>
      </c>
    </row>
    <row r="914" spans="1:12" x14ac:dyDescent="0.3">
      <c r="A914" t="s">
        <v>5188</v>
      </c>
      <c r="B914" s="5" t="s">
        <v>9354</v>
      </c>
      <c r="C914" t="s">
        <v>6456</v>
      </c>
      <c r="D914" t="s">
        <v>5189</v>
      </c>
      <c r="E914" t="s">
        <v>5190</v>
      </c>
      <c r="F914" s="1">
        <v>46068</v>
      </c>
      <c r="G914" t="s">
        <v>51</v>
      </c>
      <c r="H914" s="24">
        <v>0</v>
      </c>
      <c r="I914" t="str">
        <f>IF(H914&lt;=0,"",LOOKUP(H914,'Regras e Parâmetros'!$B$4:$B$7,'Regras e Parâmetros'!$A$4:$A$7))</f>
        <v/>
      </c>
      <c r="J914" t="s">
        <v>6747</v>
      </c>
      <c r="L914" t="s">
        <v>9886</v>
      </c>
    </row>
    <row r="915" spans="1:12" x14ac:dyDescent="0.3">
      <c r="A915" t="s">
        <v>4990</v>
      </c>
      <c r="B915" s="5" t="s">
        <v>4991</v>
      </c>
      <c r="C915" t="s">
        <v>6456</v>
      </c>
      <c r="D915" t="s">
        <v>4992</v>
      </c>
      <c r="E915" t="s">
        <v>9236</v>
      </c>
      <c r="F915" s="1">
        <v>46009</v>
      </c>
      <c r="G915" t="s">
        <v>110</v>
      </c>
      <c r="H915" s="24">
        <v>0</v>
      </c>
      <c r="I915" t="str">
        <f>IF(H915&lt;=0,"",LOOKUP(H915,'Regras e Parâmetros'!$B$4:$B$7,'Regras e Parâmetros'!$A$4:$A$7))</f>
        <v/>
      </c>
      <c r="J915" t="s">
        <v>6747</v>
      </c>
      <c r="L915" t="s">
        <v>9883</v>
      </c>
    </row>
    <row r="916" spans="1:12" x14ac:dyDescent="0.3">
      <c r="A916" t="s">
        <v>7693</v>
      </c>
      <c r="B916" s="5" t="s">
        <v>7694</v>
      </c>
      <c r="C916" t="s">
        <v>6456</v>
      </c>
      <c r="D916" t="s">
        <v>2200</v>
      </c>
      <c r="E916" t="s">
        <v>2201</v>
      </c>
      <c r="F916" s="1">
        <v>45110</v>
      </c>
      <c r="G916" t="s">
        <v>45</v>
      </c>
      <c r="H916" s="24">
        <v>1452</v>
      </c>
      <c r="I916" t="str">
        <f>IF(H916&lt;=0,"",LOOKUP(H916,'Regras e Parâmetros'!$B$4:$B$7,'Regras e Parâmetros'!$A$4:$A$7))</f>
        <v>Bronze</v>
      </c>
      <c r="J916" t="s">
        <v>6456</v>
      </c>
    </row>
    <row r="917" spans="1:12" x14ac:dyDescent="0.3">
      <c r="A917" t="s">
        <v>322</v>
      </c>
      <c r="B917" s="5" t="s">
        <v>323</v>
      </c>
      <c r="C917" t="s">
        <v>6456</v>
      </c>
      <c r="D917" t="s">
        <v>324</v>
      </c>
      <c r="E917" t="s">
        <v>6623</v>
      </c>
      <c r="F917" s="1">
        <v>44453</v>
      </c>
      <c r="G917" t="s">
        <v>45</v>
      </c>
      <c r="H917" s="24">
        <v>15000</v>
      </c>
      <c r="I917" t="str">
        <f>IF(H917&lt;=0,"",LOOKUP(H917,'Regras e Parâmetros'!$B$4:$B$7,'Regras e Parâmetros'!$A$4:$A$7))</f>
        <v>Vip</v>
      </c>
      <c r="J917" t="s">
        <v>9790</v>
      </c>
      <c r="K917" t="s">
        <v>177</v>
      </c>
    </row>
    <row r="918" spans="1:12" x14ac:dyDescent="0.3">
      <c r="A918" t="s">
        <v>3074</v>
      </c>
      <c r="B918" s="5" t="s">
        <v>3075</v>
      </c>
      <c r="C918" t="s">
        <v>6456</v>
      </c>
      <c r="D918" t="s">
        <v>3076</v>
      </c>
      <c r="E918" t="s">
        <v>3077</v>
      </c>
      <c r="F918" s="1">
        <v>45418</v>
      </c>
      <c r="G918" t="s">
        <v>22</v>
      </c>
      <c r="H918" s="24">
        <v>1081</v>
      </c>
      <c r="I918" t="str">
        <f>IF(H918&lt;=0,"",LOOKUP(H918,'Regras e Parâmetros'!$B$4:$B$7,'Regras e Parâmetros'!$A$4:$A$7))</f>
        <v>Bronze</v>
      </c>
      <c r="J918" t="s">
        <v>6747</v>
      </c>
    </row>
    <row r="919" spans="1:12" x14ac:dyDescent="0.3">
      <c r="A919" t="s">
        <v>581</v>
      </c>
      <c r="B919" s="5" t="s">
        <v>302</v>
      </c>
      <c r="C919" t="s">
        <v>6456</v>
      </c>
      <c r="D919" t="s">
        <v>303</v>
      </c>
      <c r="E919" t="s">
        <v>6614</v>
      </c>
      <c r="F919" s="1">
        <v>44446</v>
      </c>
      <c r="G919" t="s">
        <v>18</v>
      </c>
      <c r="H919" s="24">
        <v>3265</v>
      </c>
      <c r="I919" t="str">
        <f>IF(H919&lt;=0,"",LOOKUP(H919,'Regras e Parâmetros'!$B$4:$B$7,'Regras e Parâmetros'!$A$4:$A$7))</f>
        <v>Prata</v>
      </c>
      <c r="J919" t="s">
        <v>6747</v>
      </c>
    </row>
    <row r="920" spans="1:12" x14ac:dyDescent="0.3">
      <c r="A920" t="s">
        <v>581</v>
      </c>
      <c r="B920" s="5" t="s">
        <v>6742</v>
      </c>
      <c r="C920" t="s">
        <v>6456</v>
      </c>
      <c r="D920" t="s">
        <v>582</v>
      </c>
      <c r="E920" t="s">
        <v>583</v>
      </c>
      <c r="F920" s="1">
        <v>44531</v>
      </c>
      <c r="G920" t="s">
        <v>51</v>
      </c>
      <c r="H920" s="24">
        <v>0</v>
      </c>
      <c r="I920" t="str">
        <f>IF(H920&lt;=0,"",LOOKUP(H920,'Regras e Parâmetros'!$B$4:$B$7,'Regras e Parâmetros'!$A$4:$A$7))</f>
        <v/>
      </c>
      <c r="J920" t="s">
        <v>6456</v>
      </c>
      <c r="L920" t="s">
        <v>9791</v>
      </c>
    </row>
    <row r="921" spans="1:12" x14ac:dyDescent="0.3">
      <c r="A921" t="s">
        <v>581</v>
      </c>
      <c r="B921" s="5" t="s">
        <v>6867</v>
      </c>
      <c r="C921" t="s">
        <v>6456</v>
      </c>
      <c r="D921" t="s">
        <v>751</v>
      </c>
      <c r="E921" t="s">
        <v>752</v>
      </c>
      <c r="F921" s="1">
        <v>44610</v>
      </c>
      <c r="G921" t="s">
        <v>45</v>
      </c>
      <c r="H921" s="24">
        <v>0</v>
      </c>
      <c r="I921" t="str">
        <f>IF(H921&lt;=0,"",LOOKUP(H921,'Regras e Parâmetros'!$B$4:$B$7,'Regras e Parâmetros'!$A$4:$A$7))</f>
        <v/>
      </c>
      <c r="J921" t="s">
        <v>9790</v>
      </c>
    </row>
    <row r="922" spans="1:12" x14ac:dyDescent="0.3">
      <c r="A922" t="s">
        <v>4560</v>
      </c>
      <c r="B922" s="5" t="s">
        <v>8992</v>
      </c>
      <c r="C922" t="s">
        <v>6456</v>
      </c>
      <c r="D922" t="s">
        <v>4561</v>
      </c>
      <c r="E922" t="s">
        <v>8993</v>
      </c>
      <c r="F922" s="1">
        <v>45885</v>
      </c>
      <c r="G922" t="s">
        <v>45</v>
      </c>
      <c r="H922" s="24">
        <v>0</v>
      </c>
      <c r="I922" t="str">
        <f>IF(H922&lt;=0,"",LOOKUP(H922,'Regras e Parâmetros'!$B$4:$B$7,'Regras e Parâmetros'!$A$4:$A$7))</f>
        <v/>
      </c>
      <c r="J922" t="s">
        <v>9790</v>
      </c>
      <c r="L922" t="s">
        <v>9883</v>
      </c>
    </row>
    <row r="923" spans="1:12" x14ac:dyDescent="0.3">
      <c r="A923" t="s">
        <v>2077</v>
      </c>
      <c r="B923" s="5" t="s">
        <v>7611</v>
      </c>
      <c r="C923" t="s">
        <v>6456</v>
      </c>
      <c r="D923" t="s">
        <v>2078</v>
      </c>
      <c r="E923" t="s">
        <v>7612</v>
      </c>
      <c r="F923" s="1">
        <v>45068</v>
      </c>
      <c r="G923" t="s">
        <v>110</v>
      </c>
      <c r="H923" s="24">
        <v>291</v>
      </c>
      <c r="I923" t="str">
        <f>IF(H923&lt;=0,"",LOOKUP(H923,'Regras e Parâmetros'!$B$4:$B$7,'Regras e Parâmetros'!$A$4:$A$7))</f>
        <v>Bronze</v>
      </c>
      <c r="J923" t="s">
        <v>9790</v>
      </c>
      <c r="K923" t="s">
        <v>33</v>
      </c>
    </row>
    <row r="924" spans="1:12" x14ac:dyDescent="0.3">
      <c r="A924" t="s">
        <v>6471</v>
      </c>
      <c r="B924" s="5" t="s">
        <v>6472</v>
      </c>
      <c r="C924" t="s">
        <v>6456</v>
      </c>
      <c r="D924" t="s">
        <v>17</v>
      </c>
      <c r="E924" t="s">
        <v>6473</v>
      </c>
      <c r="F924" s="1">
        <v>44354</v>
      </c>
      <c r="G924" t="s">
        <v>18</v>
      </c>
      <c r="H924" s="24">
        <v>1389</v>
      </c>
      <c r="I924" t="str">
        <f>IF(H924&lt;=0,"",LOOKUP(H924,'Regras e Parâmetros'!$B$4:$B$7,'Regras e Parâmetros'!$A$4:$A$7))</f>
        <v>Bronze</v>
      </c>
      <c r="J924" t="s">
        <v>6747</v>
      </c>
    </row>
    <row r="925" spans="1:12" x14ac:dyDescent="0.3">
      <c r="A925" t="s">
        <v>4800</v>
      </c>
      <c r="B925" s="5" t="s">
        <v>9128</v>
      </c>
      <c r="C925" t="s">
        <v>6456</v>
      </c>
      <c r="D925" t="s">
        <v>4801</v>
      </c>
      <c r="E925" t="s">
        <v>4802</v>
      </c>
      <c r="F925" s="1">
        <v>45952</v>
      </c>
      <c r="G925" t="s">
        <v>22</v>
      </c>
      <c r="H925" s="24">
        <v>0</v>
      </c>
      <c r="I925" t="str">
        <f>IF(H925&lt;=0,"",LOOKUP(H925,'Regras e Parâmetros'!$B$4:$B$7,'Regras e Parâmetros'!$A$4:$A$7))</f>
        <v/>
      </c>
      <c r="J925" t="s">
        <v>6456</v>
      </c>
      <c r="K925" t="s">
        <v>72</v>
      </c>
      <c r="L925" t="s">
        <v>9886</v>
      </c>
    </row>
    <row r="926" spans="1:12" x14ac:dyDescent="0.3">
      <c r="A926" t="s">
        <v>5687</v>
      </c>
      <c r="B926" s="5" t="s">
        <v>9637</v>
      </c>
      <c r="C926" t="s">
        <v>6456</v>
      </c>
      <c r="D926" t="s">
        <v>5688</v>
      </c>
      <c r="E926" t="s">
        <v>9638</v>
      </c>
      <c r="F926" s="1">
        <v>46213</v>
      </c>
      <c r="G926" t="s">
        <v>51</v>
      </c>
      <c r="H926" s="24">
        <v>0</v>
      </c>
      <c r="I926" t="str">
        <f>IF(H926&lt;=0,"",LOOKUP(H926,'Regras e Parâmetros'!$B$4:$B$7,'Regras e Parâmetros'!$A$4:$A$7))</f>
        <v/>
      </c>
      <c r="J926" t="s">
        <v>9790</v>
      </c>
      <c r="L926" t="s">
        <v>9883</v>
      </c>
    </row>
    <row r="927" spans="1:12" x14ac:dyDescent="0.3">
      <c r="A927" t="s">
        <v>2681</v>
      </c>
      <c r="B927" s="5" t="s">
        <v>6097</v>
      </c>
      <c r="C927" t="s">
        <v>6456</v>
      </c>
      <c r="D927" t="s">
        <v>2682</v>
      </c>
      <c r="E927" t="s">
        <v>7911</v>
      </c>
      <c r="F927" s="1">
        <v>45231</v>
      </c>
      <c r="G927" t="s">
        <v>51</v>
      </c>
      <c r="H927" s="24">
        <v>4330</v>
      </c>
      <c r="I927" t="str">
        <f>IF(H927&lt;=0,"",LOOKUP(H927,'Regras e Parâmetros'!$B$4:$B$7,'Regras e Parâmetros'!$A$4:$A$7))</f>
        <v>Prata</v>
      </c>
      <c r="J927" t="s">
        <v>9790</v>
      </c>
      <c r="K927" t="s">
        <v>33</v>
      </c>
      <c r="L927" t="s">
        <v>9791</v>
      </c>
    </row>
    <row r="928" spans="1:12" x14ac:dyDescent="0.3">
      <c r="A928" t="s">
        <v>7986</v>
      </c>
      <c r="B928" s="5" t="s">
        <v>7987</v>
      </c>
      <c r="C928" t="s">
        <v>6456</v>
      </c>
      <c r="D928" t="s">
        <v>2725</v>
      </c>
      <c r="E928" t="s">
        <v>2726</v>
      </c>
      <c r="F928" s="1">
        <v>45276</v>
      </c>
      <c r="G928" t="s">
        <v>45</v>
      </c>
      <c r="H928" s="24">
        <v>360</v>
      </c>
      <c r="I928" t="str">
        <f>IF(H928&lt;=0,"",LOOKUP(H928,'Regras e Parâmetros'!$B$4:$B$7,'Regras e Parâmetros'!$A$4:$A$7))</f>
        <v>Bronze</v>
      </c>
      <c r="J928" t="s">
        <v>6747</v>
      </c>
      <c r="L928" t="s">
        <v>9792</v>
      </c>
    </row>
    <row r="929" spans="1:12" x14ac:dyDescent="0.3">
      <c r="A929" t="s">
        <v>2658</v>
      </c>
      <c r="B929" s="5" t="s">
        <v>7951</v>
      </c>
      <c r="C929" t="s">
        <v>6456</v>
      </c>
      <c r="D929" t="s">
        <v>2659</v>
      </c>
      <c r="E929" t="s">
        <v>7952</v>
      </c>
      <c r="F929" s="1">
        <v>45249</v>
      </c>
      <c r="G929" t="s">
        <v>45</v>
      </c>
      <c r="H929" s="24">
        <v>992</v>
      </c>
      <c r="I929" t="str">
        <f>IF(H929&lt;=0,"",LOOKUP(H929,'Regras e Parâmetros'!$B$4:$B$7,'Regras e Parâmetros'!$A$4:$A$7))</f>
        <v>Bronze</v>
      </c>
      <c r="J929" t="s">
        <v>9790</v>
      </c>
    </row>
    <row r="930" spans="1:12" x14ac:dyDescent="0.3">
      <c r="A930" t="s">
        <v>3442</v>
      </c>
      <c r="B930" s="5" t="s">
        <v>3443</v>
      </c>
      <c r="C930" t="s">
        <v>6456</v>
      </c>
      <c r="D930" t="s">
        <v>3444</v>
      </c>
      <c r="E930" t="s">
        <v>8337</v>
      </c>
      <c r="F930" s="1">
        <v>45549</v>
      </c>
      <c r="G930" t="s">
        <v>18</v>
      </c>
      <c r="H930" s="24">
        <v>264</v>
      </c>
      <c r="I930" t="str">
        <f>IF(H930&lt;=0,"",LOOKUP(H930,'Regras e Parâmetros'!$B$4:$B$7,'Regras e Parâmetros'!$A$4:$A$7))</f>
        <v>Bronze</v>
      </c>
      <c r="J930" t="s">
        <v>9790</v>
      </c>
    </row>
    <row r="931" spans="1:12" x14ac:dyDescent="0.3">
      <c r="A931" t="s">
        <v>5314</v>
      </c>
      <c r="B931" s="5" t="s">
        <v>9434</v>
      </c>
      <c r="C931" t="s">
        <v>6456</v>
      </c>
      <c r="D931" t="s">
        <v>5315</v>
      </c>
      <c r="E931" t="s">
        <v>9435</v>
      </c>
      <c r="F931" s="1">
        <v>46110</v>
      </c>
      <c r="G931" t="s">
        <v>45</v>
      </c>
      <c r="H931" s="24">
        <v>0</v>
      </c>
      <c r="I931" t="str">
        <f>IF(H931&lt;=0,"",LOOKUP(H931,'Regras e Parâmetros'!$B$4:$B$7,'Regras e Parâmetros'!$A$4:$A$7))</f>
        <v/>
      </c>
      <c r="J931" t="s">
        <v>6456</v>
      </c>
      <c r="L931" t="s">
        <v>9883</v>
      </c>
    </row>
    <row r="932" spans="1:12" x14ac:dyDescent="0.3">
      <c r="A932" t="s">
        <v>4079</v>
      </c>
      <c r="B932" s="5" t="s">
        <v>8704</v>
      </c>
      <c r="C932" t="s">
        <v>6456</v>
      </c>
      <c r="D932" t="s">
        <v>4080</v>
      </c>
      <c r="E932" t="s">
        <v>4081</v>
      </c>
      <c r="F932" s="1">
        <v>45738</v>
      </c>
      <c r="G932" t="s">
        <v>18</v>
      </c>
      <c r="H932" s="24">
        <v>0</v>
      </c>
      <c r="I932" t="str">
        <f>IF(H932&lt;=0,"",LOOKUP(H932,'Regras e Parâmetros'!$B$4:$B$7,'Regras e Parâmetros'!$A$4:$A$7))</f>
        <v/>
      </c>
      <c r="J932" t="s">
        <v>9790</v>
      </c>
      <c r="L932" t="s">
        <v>9886</v>
      </c>
    </row>
    <row r="933" spans="1:12" x14ac:dyDescent="0.3">
      <c r="A933" t="s">
        <v>152</v>
      </c>
      <c r="B933" s="5" t="s">
        <v>153</v>
      </c>
      <c r="C933" t="s">
        <v>6456</v>
      </c>
      <c r="D933" t="s">
        <v>154</v>
      </c>
      <c r="E933" t="s">
        <v>6539</v>
      </c>
      <c r="F933" s="1">
        <v>44395</v>
      </c>
      <c r="G933" t="s">
        <v>45</v>
      </c>
      <c r="H933" s="24">
        <v>2096</v>
      </c>
      <c r="I933" t="str">
        <f>IF(H933&lt;=0,"",LOOKUP(H933,'Regras e Parâmetros'!$B$4:$B$7,'Regras e Parâmetros'!$A$4:$A$7))</f>
        <v>Prata</v>
      </c>
      <c r="J933" t="s">
        <v>6456</v>
      </c>
    </row>
    <row r="934" spans="1:12" x14ac:dyDescent="0.3">
      <c r="A934" t="s">
        <v>152</v>
      </c>
      <c r="B934" s="5" t="s">
        <v>7040</v>
      </c>
      <c r="C934" t="s">
        <v>6456</v>
      </c>
      <c r="D934" t="s">
        <v>1116</v>
      </c>
      <c r="E934" t="s">
        <v>7041</v>
      </c>
      <c r="F934" s="1">
        <v>44728</v>
      </c>
      <c r="G934" t="s">
        <v>110</v>
      </c>
      <c r="H934" s="24">
        <v>1580</v>
      </c>
      <c r="I934" t="str">
        <f>IF(H934&lt;=0,"",LOOKUP(H934,'Regras e Parâmetros'!$B$4:$B$7,'Regras e Parâmetros'!$A$4:$A$7))</f>
        <v>Prata</v>
      </c>
      <c r="J934" t="s">
        <v>6456</v>
      </c>
    </row>
    <row r="935" spans="1:12" x14ac:dyDescent="0.3">
      <c r="A935" t="s">
        <v>7563</v>
      </c>
      <c r="B935" s="5" t="s">
        <v>7564</v>
      </c>
      <c r="C935" t="s">
        <v>6456</v>
      </c>
      <c r="D935" t="s">
        <v>1982</v>
      </c>
      <c r="E935" t="s">
        <v>1983</v>
      </c>
      <c r="F935" s="1">
        <v>45036</v>
      </c>
      <c r="G935" t="s">
        <v>110</v>
      </c>
      <c r="H935" s="24">
        <v>0</v>
      </c>
      <c r="I935" t="str">
        <f>IF(H935&lt;=0,"",LOOKUP(H935,'Regras e Parâmetros'!$B$4:$B$7,'Regras e Parâmetros'!$A$4:$A$7))</f>
        <v/>
      </c>
      <c r="J935" t="s">
        <v>9790</v>
      </c>
    </row>
    <row r="936" spans="1:12" x14ac:dyDescent="0.3">
      <c r="A936" t="s">
        <v>3640</v>
      </c>
      <c r="B936" s="5" t="s">
        <v>3641</v>
      </c>
      <c r="C936" t="s">
        <v>6456</v>
      </c>
      <c r="D936" t="s">
        <v>8445</v>
      </c>
      <c r="E936" t="s">
        <v>8446</v>
      </c>
      <c r="F936" s="1">
        <v>45606</v>
      </c>
      <c r="G936" t="s">
        <v>100</v>
      </c>
      <c r="H936" s="24">
        <v>151</v>
      </c>
      <c r="I936" t="str">
        <f>IF(H936&lt;=0,"",LOOKUP(H936,'Regras e Parâmetros'!$B$4:$B$7,'Regras e Parâmetros'!$A$4:$A$7))</f>
        <v>Bronze</v>
      </c>
      <c r="J936" t="s">
        <v>6747</v>
      </c>
    </row>
    <row r="937" spans="1:12" x14ac:dyDescent="0.3">
      <c r="A937" t="s">
        <v>9629</v>
      </c>
      <c r="B937" s="5" t="s">
        <v>9630</v>
      </c>
      <c r="C937" t="s">
        <v>6456</v>
      </c>
      <c r="D937" t="s">
        <v>5679</v>
      </c>
      <c r="E937" t="s">
        <v>9631</v>
      </c>
      <c r="F937" s="1">
        <v>46211</v>
      </c>
      <c r="G937" t="s">
        <v>22</v>
      </c>
      <c r="H937" s="24">
        <v>0</v>
      </c>
      <c r="I937" t="str">
        <f>IF(H937&lt;=0,"",LOOKUP(H937,'Regras e Parâmetros'!$B$4:$B$7,'Regras e Parâmetros'!$A$4:$A$7))</f>
        <v/>
      </c>
      <c r="J937" t="s">
        <v>9790</v>
      </c>
      <c r="K937" t="s">
        <v>8</v>
      </c>
      <c r="L937" t="s">
        <v>9883</v>
      </c>
    </row>
    <row r="938" spans="1:12" x14ac:dyDescent="0.3">
      <c r="A938" t="s">
        <v>5243</v>
      </c>
      <c r="B938" s="5" t="s">
        <v>9384</v>
      </c>
      <c r="C938" t="s">
        <v>6456</v>
      </c>
      <c r="D938" t="s">
        <v>5244</v>
      </c>
      <c r="E938" t="s">
        <v>9385</v>
      </c>
      <c r="F938" s="1">
        <v>46086</v>
      </c>
      <c r="G938" t="s">
        <v>100</v>
      </c>
      <c r="H938" s="24">
        <v>0</v>
      </c>
      <c r="I938" t="str">
        <f>IF(H938&lt;=0,"",LOOKUP(H938,'Regras e Parâmetros'!$B$4:$B$7,'Regras e Parâmetros'!$A$4:$A$7))</f>
        <v/>
      </c>
      <c r="J938" t="s">
        <v>9790</v>
      </c>
      <c r="L938" t="s">
        <v>9883</v>
      </c>
    </row>
    <row r="939" spans="1:12" x14ac:dyDescent="0.3">
      <c r="A939" t="s">
        <v>1634</v>
      </c>
      <c r="B939" s="5" t="s">
        <v>1635</v>
      </c>
      <c r="C939" t="s">
        <v>6456</v>
      </c>
      <c r="D939" t="s">
        <v>959</v>
      </c>
      <c r="E939" t="s">
        <v>1636</v>
      </c>
      <c r="F939" s="1">
        <v>44924</v>
      </c>
      <c r="G939" t="s">
        <v>110</v>
      </c>
      <c r="H939" s="24">
        <v>932</v>
      </c>
      <c r="I939" t="str">
        <f>IF(H939&lt;=0,"",LOOKUP(H939,'Regras e Parâmetros'!$B$4:$B$7,'Regras e Parâmetros'!$A$4:$A$7))</f>
        <v>Bronze</v>
      </c>
      <c r="J939" t="s">
        <v>6747</v>
      </c>
    </row>
    <row r="940" spans="1:12" x14ac:dyDescent="0.3">
      <c r="A940" t="s">
        <v>1634</v>
      </c>
      <c r="B940" s="5" t="s">
        <v>1978</v>
      </c>
      <c r="C940" t="s">
        <v>6456</v>
      </c>
      <c r="D940" t="s">
        <v>1979</v>
      </c>
      <c r="E940" t="s">
        <v>7562</v>
      </c>
      <c r="F940" s="1">
        <v>45034</v>
      </c>
      <c r="G940" t="s">
        <v>22</v>
      </c>
      <c r="H940" s="24">
        <v>292</v>
      </c>
      <c r="I940" t="str">
        <f>IF(H940&lt;=0,"",LOOKUP(H940,'Regras e Parâmetros'!$B$4:$B$7,'Regras e Parâmetros'!$A$4:$A$7))</f>
        <v>Bronze</v>
      </c>
      <c r="J940" t="s">
        <v>6456</v>
      </c>
    </row>
    <row r="941" spans="1:12" x14ac:dyDescent="0.3">
      <c r="A941" t="s">
        <v>8686</v>
      </c>
      <c r="B941" s="5" t="s">
        <v>8687</v>
      </c>
      <c r="C941" t="s">
        <v>6456</v>
      </c>
      <c r="D941" t="s">
        <v>4047</v>
      </c>
      <c r="E941" t="s">
        <v>8688</v>
      </c>
      <c r="F941" s="1">
        <v>45730</v>
      </c>
      <c r="G941" t="s">
        <v>110</v>
      </c>
      <c r="H941" s="24">
        <v>0</v>
      </c>
      <c r="I941" t="str">
        <f>IF(H941&lt;=0,"",LOOKUP(H941,'Regras e Parâmetros'!$B$4:$B$7,'Regras e Parâmetros'!$A$4:$A$7))</f>
        <v/>
      </c>
      <c r="J941" t="s">
        <v>6456</v>
      </c>
      <c r="K941" t="s">
        <v>708</v>
      </c>
      <c r="L941" t="s">
        <v>9883</v>
      </c>
    </row>
    <row r="942" spans="1:12" x14ac:dyDescent="0.3">
      <c r="A942" t="s">
        <v>223</v>
      </c>
      <c r="B942" s="5" t="s">
        <v>6045</v>
      </c>
      <c r="C942" t="s">
        <v>6456</v>
      </c>
      <c r="D942" t="s">
        <v>224</v>
      </c>
      <c r="E942" t="s">
        <v>6574</v>
      </c>
      <c r="F942" s="1">
        <v>44424</v>
      </c>
      <c r="G942" t="s">
        <v>100</v>
      </c>
      <c r="H942" s="24">
        <v>1161</v>
      </c>
      <c r="I942" t="str">
        <f>IF(H942&lt;=0,"",LOOKUP(H942,'Regras e Parâmetros'!$B$4:$B$7,'Regras e Parâmetros'!$A$4:$A$7))</f>
        <v>Bronze</v>
      </c>
      <c r="J942" t="s">
        <v>6456</v>
      </c>
      <c r="K942" t="s">
        <v>10028</v>
      </c>
    </row>
    <row r="943" spans="1:12" x14ac:dyDescent="0.3">
      <c r="A943" t="s">
        <v>9105</v>
      </c>
      <c r="B943" s="5" t="s">
        <v>4752</v>
      </c>
      <c r="C943" t="s">
        <v>6456</v>
      </c>
      <c r="D943" t="s">
        <v>4753</v>
      </c>
      <c r="E943" t="s">
        <v>4754</v>
      </c>
      <c r="F943" s="1">
        <v>45943</v>
      </c>
      <c r="G943" t="s">
        <v>45</v>
      </c>
      <c r="H943" s="24">
        <v>0</v>
      </c>
      <c r="I943" t="str">
        <f>IF(H943&lt;=0,"",LOOKUP(H943,'Regras e Parâmetros'!$B$4:$B$7,'Regras e Parâmetros'!$A$4:$A$7))</f>
        <v/>
      </c>
      <c r="J943" t="s">
        <v>6456</v>
      </c>
      <c r="L943" t="s">
        <v>9886</v>
      </c>
    </row>
    <row r="944" spans="1:12" x14ac:dyDescent="0.3">
      <c r="A944" t="s">
        <v>1588</v>
      </c>
      <c r="B944" s="5" t="s">
        <v>6423</v>
      </c>
      <c r="C944" t="s">
        <v>6456</v>
      </c>
      <c r="D944" t="s">
        <v>1589</v>
      </c>
      <c r="E944" t="s">
        <v>7327</v>
      </c>
      <c r="F944" s="1">
        <v>44896</v>
      </c>
      <c r="G944" t="s">
        <v>51</v>
      </c>
      <c r="H944" s="24">
        <v>2931</v>
      </c>
      <c r="I944" t="str">
        <f>IF(H944&lt;=0,"",LOOKUP(H944,'Regras e Parâmetros'!$B$4:$B$7,'Regras e Parâmetros'!$A$4:$A$7))</f>
        <v>Prata</v>
      </c>
      <c r="J944" t="s">
        <v>6456</v>
      </c>
      <c r="K944" t="s">
        <v>33</v>
      </c>
      <c r="L944" t="s">
        <v>9791</v>
      </c>
    </row>
    <row r="945" spans="1:12" x14ac:dyDescent="0.3">
      <c r="A945" t="s">
        <v>6815</v>
      </c>
      <c r="B945" s="5" t="s">
        <v>6816</v>
      </c>
      <c r="C945" t="s">
        <v>6456</v>
      </c>
      <c r="D945" t="s">
        <v>670</v>
      </c>
      <c r="E945" t="s">
        <v>671</v>
      </c>
      <c r="F945" s="1">
        <v>44579</v>
      </c>
      <c r="G945" t="s">
        <v>110</v>
      </c>
      <c r="H945" s="24">
        <v>1434</v>
      </c>
      <c r="I945" t="str">
        <f>IF(H945&lt;=0,"",LOOKUP(H945,'Regras e Parâmetros'!$B$4:$B$7,'Regras e Parâmetros'!$A$4:$A$7))</f>
        <v>Bronze</v>
      </c>
      <c r="J945" t="s">
        <v>6747</v>
      </c>
    </row>
    <row r="946" spans="1:12" x14ac:dyDescent="0.3">
      <c r="A946" t="s">
        <v>6815</v>
      </c>
      <c r="B946" s="5" t="s">
        <v>2846</v>
      </c>
      <c r="C946" t="s">
        <v>6456</v>
      </c>
      <c r="D946" t="s">
        <v>2847</v>
      </c>
      <c r="E946" t="s">
        <v>8044</v>
      </c>
      <c r="F946" s="1">
        <v>45334</v>
      </c>
      <c r="G946" t="s">
        <v>110</v>
      </c>
      <c r="H946" s="24">
        <v>820</v>
      </c>
      <c r="I946" t="str">
        <f>IF(H946&lt;=0,"",LOOKUP(H946,'Regras e Parâmetros'!$B$4:$B$7,'Regras e Parâmetros'!$A$4:$A$7))</f>
        <v>Bronze</v>
      </c>
      <c r="J946" t="s">
        <v>9790</v>
      </c>
    </row>
    <row r="947" spans="1:12" x14ac:dyDescent="0.3">
      <c r="A947" t="s">
        <v>822</v>
      </c>
      <c r="B947" s="5" t="s">
        <v>6908</v>
      </c>
      <c r="C947" t="s">
        <v>6456</v>
      </c>
      <c r="D947" t="s">
        <v>823</v>
      </c>
      <c r="E947" t="s">
        <v>6909</v>
      </c>
      <c r="F947" s="1">
        <v>44640</v>
      </c>
      <c r="G947" t="s">
        <v>45</v>
      </c>
      <c r="H947" s="24">
        <v>0</v>
      </c>
      <c r="I947" t="str">
        <f>IF(H947&lt;=0,"",LOOKUP(H947,'Regras e Parâmetros'!$B$4:$B$7,'Regras e Parâmetros'!$A$4:$A$7))</f>
        <v/>
      </c>
      <c r="J947" t="s">
        <v>6747</v>
      </c>
    </row>
    <row r="948" spans="1:12" x14ac:dyDescent="0.3">
      <c r="A948" t="s">
        <v>822</v>
      </c>
      <c r="B948" s="5" t="s">
        <v>7452</v>
      </c>
      <c r="C948" t="s">
        <v>6456</v>
      </c>
      <c r="D948" t="s">
        <v>1784</v>
      </c>
      <c r="E948" t="s">
        <v>7453</v>
      </c>
      <c r="F948" s="1">
        <v>44964</v>
      </c>
      <c r="G948" t="s">
        <v>45</v>
      </c>
      <c r="H948" s="24">
        <v>760</v>
      </c>
      <c r="I948" t="str">
        <f>IF(H948&lt;=0,"",LOOKUP(H948,'Regras e Parâmetros'!$B$4:$B$7,'Regras e Parâmetros'!$A$4:$A$7))</f>
        <v>Bronze</v>
      </c>
      <c r="J948" t="s">
        <v>6456</v>
      </c>
      <c r="K948" t="s">
        <v>8</v>
      </c>
    </row>
    <row r="949" spans="1:12" x14ac:dyDescent="0.3">
      <c r="A949" t="s">
        <v>5015</v>
      </c>
      <c r="B949" s="5" t="s">
        <v>9246</v>
      </c>
      <c r="C949" t="s">
        <v>6456</v>
      </c>
      <c r="D949" t="s">
        <v>5016</v>
      </c>
      <c r="E949" t="s">
        <v>9247</v>
      </c>
      <c r="F949" s="1">
        <v>46016</v>
      </c>
      <c r="G949" t="s">
        <v>18</v>
      </c>
      <c r="H949" s="24">
        <v>0</v>
      </c>
      <c r="I949" t="str">
        <f>IF(H949&lt;=0,"",LOOKUP(H949,'Regras e Parâmetros'!$B$4:$B$7,'Regras e Parâmetros'!$A$4:$A$7))</f>
        <v/>
      </c>
      <c r="J949" t="s">
        <v>9790</v>
      </c>
      <c r="K949" t="s">
        <v>33</v>
      </c>
      <c r="L949" t="s">
        <v>9883</v>
      </c>
    </row>
    <row r="950" spans="1:12" x14ac:dyDescent="0.3">
      <c r="A950" t="s">
        <v>8102</v>
      </c>
      <c r="B950" s="5" t="s">
        <v>8103</v>
      </c>
      <c r="C950" t="s">
        <v>6456</v>
      </c>
      <c r="D950" t="s">
        <v>2974</v>
      </c>
      <c r="E950" t="s">
        <v>10103</v>
      </c>
      <c r="F950" s="1">
        <v>45383</v>
      </c>
      <c r="G950" t="s">
        <v>45</v>
      </c>
      <c r="H950" s="24">
        <v>250</v>
      </c>
      <c r="I950" t="str">
        <f>IF(H950&lt;=0,"",LOOKUP(H950,'Regras e Parâmetros'!$B$4:$B$7,'Regras e Parâmetros'!$A$4:$A$7))</f>
        <v>Bronze</v>
      </c>
      <c r="J950" t="s">
        <v>6456</v>
      </c>
      <c r="K950" t="s">
        <v>177</v>
      </c>
      <c r="L950" t="s">
        <v>10149</v>
      </c>
    </row>
    <row r="951" spans="1:12" x14ac:dyDescent="0.3">
      <c r="A951" t="s">
        <v>111</v>
      </c>
      <c r="B951" s="5" t="s">
        <v>6515</v>
      </c>
      <c r="C951" t="s">
        <v>6456</v>
      </c>
      <c r="D951" t="s">
        <v>112</v>
      </c>
      <c r="E951" t="s">
        <v>113</v>
      </c>
      <c r="F951" s="1">
        <v>44380</v>
      </c>
      <c r="G951" t="s">
        <v>100</v>
      </c>
      <c r="H951" s="24">
        <v>2260</v>
      </c>
      <c r="I951" t="str">
        <f>IF(H951&lt;=0,"",LOOKUP(H951,'Regras e Parâmetros'!$B$4:$B$7,'Regras e Parâmetros'!$A$4:$A$7))</f>
        <v>Prata</v>
      </c>
      <c r="J951" t="s">
        <v>6456</v>
      </c>
      <c r="K951" t="s">
        <v>33</v>
      </c>
    </row>
    <row r="952" spans="1:12" x14ac:dyDescent="0.3">
      <c r="A952" t="s">
        <v>111</v>
      </c>
      <c r="B952" s="5" t="s">
        <v>8651</v>
      </c>
      <c r="C952" t="s">
        <v>6456</v>
      </c>
      <c r="D952" t="s">
        <v>3980</v>
      </c>
      <c r="E952" t="s">
        <v>8652</v>
      </c>
      <c r="F952" s="1">
        <v>45715</v>
      </c>
      <c r="G952" t="s">
        <v>45</v>
      </c>
      <c r="H952" s="24">
        <v>0</v>
      </c>
      <c r="I952" t="str">
        <f>IF(H952&lt;=0,"",LOOKUP(H952,'Regras e Parâmetros'!$B$4:$B$7,'Regras e Parâmetros'!$A$4:$A$7))</f>
        <v/>
      </c>
      <c r="J952" t="s">
        <v>9790</v>
      </c>
      <c r="K952" t="s">
        <v>187</v>
      </c>
      <c r="L952" t="s">
        <v>9883</v>
      </c>
    </row>
    <row r="953" spans="1:12" x14ac:dyDescent="0.3">
      <c r="A953" t="s">
        <v>2669</v>
      </c>
      <c r="B953" s="5" t="s">
        <v>2670</v>
      </c>
      <c r="C953" t="s">
        <v>6456</v>
      </c>
      <c r="D953" t="s">
        <v>2671</v>
      </c>
      <c r="E953" t="s">
        <v>7958</v>
      </c>
      <c r="F953" s="1">
        <v>45251</v>
      </c>
      <c r="G953" t="s">
        <v>45</v>
      </c>
      <c r="H953" s="24">
        <v>91</v>
      </c>
      <c r="I953" t="str">
        <f>IF(H953&lt;=0,"",LOOKUP(H953,'Regras e Parâmetros'!$B$4:$B$7,'Regras e Parâmetros'!$A$4:$A$7))</f>
        <v>Bronze</v>
      </c>
      <c r="J953" t="s">
        <v>6747</v>
      </c>
    </row>
    <row r="954" spans="1:12" x14ac:dyDescent="0.3">
      <c r="A954" t="s">
        <v>1628</v>
      </c>
      <c r="B954" s="5" t="s">
        <v>7369</v>
      </c>
      <c r="C954" t="s">
        <v>6456</v>
      </c>
      <c r="D954" t="s">
        <v>1629</v>
      </c>
      <c r="E954" t="s">
        <v>7370</v>
      </c>
      <c r="F954" s="1">
        <v>44918</v>
      </c>
      <c r="G954" t="s">
        <v>18</v>
      </c>
      <c r="H954" s="24">
        <v>267</v>
      </c>
      <c r="I954" t="str">
        <f>IF(H954&lt;=0,"",LOOKUP(H954,'Regras e Parâmetros'!$B$4:$B$7,'Regras e Parâmetros'!$A$4:$A$7))</f>
        <v>Bronze</v>
      </c>
      <c r="J954" t="s">
        <v>6747</v>
      </c>
    </row>
    <row r="955" spans="1:12" x14ac:dyDescent="0.3">
      <c r="A955" t="s">
        <v>8290</v>
      </c>
      <c r="B955" s="5" t="s">
        <v>8291</v>
      </c>
      <c r="C955" t="s">
        <v>6456</v>
      </c>
      <c r="D955" t="s">
        <v>3353</v>
      </c>
      <c r="E955" t="s">
        <v>3354</v>
      </c>
      <c r="F955" s="1">
        <v>45513</v>
      </c>
      <c r="G955" t="s">
        <v>110</v>
      </c>
      <c r="H955" s="24">
        <v>279</v>
      </c>
      <c r="I955" t="str">
        <f>IF(H955&lt;=0,"",LOOKUP(H955,'Regras e Parâmetros'!$B$4:$B$7,'Regras e Parâmetros'!$A$4:$A$7))</f>
        <v>Bronze</v>
      </c>
      <c r="J955" t="s">
        <v>9790</v>
      </c>
    </row>
    <row r="956" spans="1:12" x14ac:dyDescent="0.3">
      <c r="A956" t="s">
        <v>7115</v>
      </c>
      <c r="B956" s="5" t="s">
        <v>7116</v>
      </c>
      <c r="C956" t="s">
        <v>6456</v>
      </c>
      <c r="D956" t="s">
        <v>1117</v>
      </c>
      <c r="E956" t="s">
        <v>7117</v>
      </c>
      <c r="F956" s="1">
        <v>44781</v>
      </c>
      <c r="G956" t="s">
        <v>45</v>
      </c>
      <c r="H956" s="24">
        <v>0</v>
      </c>
      <c r="I956" t="str">
        <f>IF(H956&lt;=0,"",LOOKUP(H956,'Regras e Parâmetros'!$B$4:$B$7,'Regras e Parâmetros'!$A$4:$A$7))</f>
        <v/>
      </c>
      <c r="J956" t="s">
        <v>6747</v>
      </c>
    </row>
    <row r="957" spans="1:12" x14ac:dyDescent="0.3">
      <c r="A957" t="s">
        <v>5110</v>
      </c>
      <c r="B957" s="5" t="s">
        <v>9303</v>
      </c>
      <c r="C957" t="s">
        <v>6456</v>
      </c>
      <c r="D957" t="s">
        <v>5111</v>
      </c>
      <c r="E957" t="s">
        <v>5112</v>
      </c>
      <c r="F957" s="1">
        <v>46048</v>
      </c>
      <c r="G957" t="s">
        <v>45</v>
      </c>
      <c r="H957" s="24">
        <v>0</v>
      </c>
      <c r="I957" t="str">
        <f>IF(H957&lt;=0,"",LOOKUP(H957,'Regras e Parâmetros'!$B$4:$B$7,'Regras e Parâmetros'!$A$4:$A$7))</f>
        <v/>
      </c>
      <c r="J957" t="s">
        <v>6456</v>
      </c>
      <c r="L957" t="s">
        <v>9883</v>
      </c>
    </row>
    <row r="958" spans="1:12" x14ac:dyDescent="0.3">
      <c r="A958" t="s">
        <v>5928</v>
      </c>
      <c r="B958" s="5" t="s">
        <v>9768</v>
      </c>
      <c r="C958" t="s">
        <v>6456</v>
      </c>
      <c r="D958" t="s">
        <v>5929</v>
      </c>
      <c r="E958" t="s">
        <v>9769</v>
      </c>
      <c r="F958" s="1">
        <v>46271</v>
      </c>
      <c r="G958" t="s">
        <v>45</v>
      </c>
      <c r="H958" s="24">
        <v>0</v>
      </c>
      <c r="I958" t="str">
        <f>IF(H958&lt;=0,"",LOOKUP(H958,'Regras e Parâmetros'!$B$4:$B$7,'Regras e Parâmetros'!$A$4:$A$7))</f>
        <v/>
      </c>
      <c r="J958" t="s">
        <v>9790</v>
      </c>
      <c r="L958" t="s">
        <v>9883</v>
      </c>
    </row>
    <row r="959" spans="1:12" x14ac:dyDescent="0.3">
      <c r="A959" t="s">
        <v>1998</v>
      </c>
      <c r="B959" s="5" t="s">
        <v>7568</v>
      </c>
      <c r="C959" t="s">
        <v>6456</v>
      </c>
      <c r="D959" t="s">
        <v>1999</v>
      </c>
      <c r="E959" t="s">
        <v>7569</v>
      </c>
      <c r="F959" s="1">
        <v>45043</v>
      </c>
      <c r="G959" t="s">
        <v>45</v>
      </c>
      <c r="H959" s="24">
        <v>5532</v>
      </c>
      <c r="I959" t="str">
        <f>IF(H959&lt;=0,"",LOOKUP(H959,'Regras e Parâmetros'!$B$4:$B$7,'Regras e Parâmetros'!$A$4:$A$7))</f>
        <v>Ouro</v>
      </c>
      <c r="J959" t="s">
        <v>6456</v>
      </c>
    </row>
    <row r="960" spans="1:12" x14ac:dyDescent="0.3">
      <c r="A960" t="s">
        <v>6108</v>
      </c>
      <c r="B960" s="5" t="s">
        <v>6414</v>
      </c>
      <c r="C960" t="s">
        <v>6456</v>
      </c>
      <c r="D960" t="s">
        <v>89</v>
      </c>
      <c r="E960" t="s">
        <v>6501</v>
      </c>
      <c r="F960" s="1">
        <v>44376</v>
      </c>
      <c r="G960" t="s">
        <v>22</v>
      </c>
      <c r="H960" s="24">
        <v>2072</v>
      </c>
      <c r="I960" t="str">
        <f>IF(H960&lt;=0,"",LOOKUP(H960,'Regras e Parâmetros'!$B$4:$B$7,'Regras e Parâmetros'!$A$4:$A$7))</f>
        <v>Prata</v>
      </c>
      <c r="J960" t="s">
        <v>6456</v>
      </c>
    </row>
    <row r="961" spans="1:12" x14ac:dyDescent="0.3">
      <c r="A961" t="s">
        <v>2208</v>
      </c>
      <c r="B961" s="5" t="s">
        <v>7701</v>
      </c>
      <c r="C961" t="s">
        <v>6456</v>
      </c>
      <c r="D961" t="s">
        <v>2209</v>
      </c>
      <c r="E961" t="s">
        <v>2210</v>
      </c>
      <c r="F961" s="1">
        <v>45111</v>
      </c>
      <c r="G961" t="s">
        <v>18</v>
      </c>
      <c r="H961" s="24">
        <v>391</v>
      </c>
      <c r="I961" t="str">
        <f>IF(H961&lt;=0,"",LOOKUP(H961,'Regras e Parâmetros'!$B$4:$B$7,'Regras e Parâmetros'!$A$4:$A$7))</f>
        <v>Bronze</v>
      </c>
      <c r="J961" t="s">
        <v>6456</v>
      </c>
      <c r="K961" t="s">
        <v>72</v>
      </c>
    </row>
    <row r="962" spans="1:12" x14ac:dyDescent="0.3">
      <c r="A962" t="s">
        <v>1399</v>
      </c>
      <c r="B962" s="5" t="s">
        <v>1400</v>
      </c>
      <c r="C962" t="s">
        <v>6456</v>
      </c>
      <c r="D962" t="s">
        <v>1401</v>
      </c>
      <c r="E962" t="s">
        <v>1402</v>
      </c>
      <c r="F962" s="1">
        <v>44855</v>
      </c>
      <c r="G962" t="s">
        <v>18</v>
      </c>
      <c r="H962" s="24">
        <v>817</v>
      </c>
      <c r="I962" t="str">
        <f>IF(H962&lt;=0,"",LOOKUP(H962,'Regras e Parâmetros'!$B$4:$B$7,'Regras e Parâmetros'!$A$4:$A$7))</f>
        <v>Bronze</v>
      </c>
      <c r="J962" t="s">
        <v>6456</v>
      </c>
    </row>
    <row r="963" spans="1:12" x14ac:dyDescent="0.3">
      <c r="A963" t="s">
        <v>3691</v>
      </c>
      <c r="B963" s="5" t="s">
        <v>3692</v>
      </c>
      <c r="C963" t="s">
        <v>6456</v>
      </c>
      <c r="D963" t="s">
        <v>3693</v>
      </c>
      <c r="E963" t="s">
        <v>8463</v>
      </c>
      <c r="F963" s="1">
        <v>45620</v>
      </c>
      <c r="G963" t="s">
        <v>45</v>
      </c>
      <c r="H963" s="24">
        <v>225</v>
      </c>
      <c r="I963" t="str">
        <f>IF(H963&lt;=0,"",LOOKUP(H963,'Regras e Parâmetros'!$B$4:$B$7,'Regras e Parâmetros'!$A$4:$A$7))</f>
        <v>Bronze</v>
      </c>
      <c r="J963" t="s">
        <v>9790</v>
      </c>
    </row>
    <row r="964" spans="1:12" x14ac:dyDescent="0.3">
      <c r="A964" t="s">
        <v>3246</v>
      </c>
      <c r="B964" s="5" t="s">
        <v>3247</v>
      </c>
      <c r="C964" t="s">
        <v>6456</v>
      </c>
      <c r="D964" t="s">
        <v>3248</v>
      </c>
      <c r="E964" t="s">
        <v>3249</v>
      </c>
      <c r="F964" s="1">
        <v>45480</v>
      </c>
      <c r="G964" t="s">
        <v>110</v>
      </c>
      <c r="H964" s="24">
        <v>6935</v>
      </c>
      <c r="I964" t="str">
        <f>IF(H964&lt;=0,"",LOOKUP(H964,'Regras e Parâmetros'!$B$4:$B$7,'Regras e Parâmetros'!$A$4:$A$7))</f>
        <v>Ouro</v>
      </c>
      <c r="J964" t="s">
        <v>9790</v>
      </c>
    </row>
    <row r="965" spans="1:12" x14ac:dyDescent="0.3">
      <c r="A965" t="s">
        <v>1370</v>
      </c>
      <c r="B965" s="5" t="s">
        <v>7179</v>
      </c>
      <c r="C965" t="s">
        <v>6456</v>
      </c>
      <c r="D965" t="s">
        <v>1371</v>
      </c>
      <c r="E965" t="s">
        <v>1372</v>
      </c>
      <c r="F965" s="1">
        <v>44835</v>
      </c>
      <c r="G965" t="s">
        <v>110</v>
      </c>
      <c r="H965" s="24">
        <v>1038</v>
      </c>
      <c r="I965" t="str">
        <f>IF(H965&lt;=0,"",LOOKUP(H965,'Regras e Parâmetros'!$B$4:$B$7,'Regras e Parâmetros'!$A$4:$A$7))</f>
        <v>Bronze</v>
      </c>
      <c r="J965" t="s">
        <v>6747</v>
      </c>
      <c r="L965" t="s">
        <v>9789</v>
      </c>
    </row>
    <row r="966" spans="1:12" x14ac:dyDescent="0.3">
      <c r="A966" t="s">
        <v>5965</v>
      </c>
      <c r="B966" s="5" t="s">
        <v>9786</v>
      </c>
      <c r="C966" t="s">
        <v>6456</v>
      </c>
      <c r="D966" t="s">
        <v>5966</v>
      </c>
      <c r="E966" t="s">
        <v>5967</v>
      </c>
      <c r="F966" s="1">
        <v>46279</v>
      </c>
      <c r="G966" t="s">
        <v>45</v>
      </c>
      <c r="H966" s="24">
        <v>0</v>
      </c>
      <c r="I966" t="str">
        <f>IF(H966&lt;=0,"",LOOKUP(H966,'Regras e Parâmetros'!$B$4:$B$7,'Regras e Parâmetros'!$A$4:$A$7))</f>
        <v/>
      </c>
      <c r="J966" t="s">
        <v>9790</v>
      </c>
      <c r="L966" t="s">
        <v>9883</v>
      </c>
    </row>
    <row r="967" spans="1:12" x14ac:dyDescent="0.3">
      <c r="A967" t="s">
        <v>2814</v>
      </c>
      <c r="B967" s="5" t="s">
        <v>8027</v>
      </c>
      <c r="C967" t="s">
        <v>6456</v>
      </c>
      <c r="D967" t="s">
        <v>2816</v>
      </c>
      <c r="E967" t="s">
        <v>2817</v>
      </c>
      <c r="F967" s="1">
        <v>45315</v>
      </c>
      <c r="G967" t="s">
        <v>51</v>
      </c>
      <c r="H967" s="24">
        <v>281</v>
      </c>
      <c r="I967" t="str">
        <f>IF(H967&lt;=0,"",LOOKUP(H967,'Regras e Parâmetros'!$B$4:$B$7,'Regras e Parâmetros'!$A$4:$A$7))</f>
        <v>Bronze</v>
      </c>
      <c r="J967" t="s">
        <v>6456</v>
      </c>
    </row>
    <row r="968" spans="1:12" x14ac:dyDescent="0.3">
      <c r="A968" t="s">
        <v>5155</v>
      </c>
      <c r="B968" s="5" t="s">
        <v>5156</v>
      </c>
      <c r="C968" t="s">
        <v>6456</v>
      </c>
      <c r="D968" t="s">
        <v>5157</v>
      </c>
      <c r="E968" t="s">
        <v>9332</v>
      </c>
      <c r="F968" s="1">
        <v>46057</v>
      </c>
      <c r="G968" t="s">
        <v>110</v>
      </c>
      <c r="H968" s="24">
        <v>0</v>
      </c>
      <c r="I968" t="str">
        <f>IF(H968&lt;=0,"",LOOKUP(H968,'Regras e Parâmetros'!$B$4:$B$7,'Regras e Parâmetros'!$A$4:$A$7))</f>
        <v/>
      </c>
      <c r="J968" t="s">
        <v>9790</v>
      </c>
      <c r="K968" t="s">
        <v>708</v>
      </c>
      <c r="L968" t="s">
        <v>9883</v>
      </c>
    </row>
    <row r="969" spans="1:12" x14ac:dyDescent="0.3">
      <c r="A969" t="s">
        <v>2856</v>
      </c>
      <c r="B969" s="5" t="s">
        <v>2857</v>
      </c>
      <c r="C969" t="s">
        <v>6456</v>
      </c>
      <c r="D969" t="s">
        <v>2858</v>
      </c>
      <c r="E969" t="s">
        <v>2859</v>
      </c>
      <c r="F969" s="1">
        <v>45340</v>
      </c>
      <c r="G969" t="s">
        <v>45</v>
      </c>
      <c r="H969" s="24">
        <v>1795</v>
      </c>
      <c r="I969" t="str">
        <f>IF(H969&lt;=0,"",LOOKUP(H969,'Regras e Parâmetros'!$B$4:$B$7,'Regras e Parâmetros'!$A$4:$A$7))</f>
        <v>Prata</v>
      </c>
      <c r="J969" t="s">
        <v>6456</v>
      </c>
    </row>
    <row r="970" spans="1:12" x14ac:dyDescent="0.3">
      <c r="A970" t="s">
        <v>1118</v>
      </c>
      <c r="B970" s="5" t="s">
        <v>7107</v>
      </c>
      <c r="C970" t="s">
        <v>6456</v>
      </c>
      <c r="D970" t="s">
        <v>1119</v>
      </c>
      <c r="E970" t="s">
        <v>7108</v>
      </c>
      <c r="F970" s="1">
        <v>44774</v>
      </c>
      <c r="G970" t="s">
        <v>110</v>
      </c>
      <c r="H970" s="24">
        <v>574</v>
      </c>
      <c r="I970" t="str">
        <f>IF(H970&lt;=0,"",LOOKUP(H970,'Regras e Parâmetros'!$B$4:$B$7,'Regras e Parâmetros'!$A$4:$A$7))</f>
        <v>Bronze</v>
      </c>
      <c r="J970" t="s">
        <v>6456</v>
      </c>
      <c r="K970" t="s">
        <v>72</v>
      </c>
    </row>
    <row r="971" spans="1:12" x14ac:dyDescent="0.3">
      <c r="A971" t="s">
        <v>9189</v>
      </c>
      <c r="B971" s="5" t="s">
        <v>6311</v>
      </c>
      <c r="C971" t="s">
        <v>6456</v>
      </c>
      <c r="D971" t="s">
        <v>4906</v>
      </c>
      <c r="E971" t="s">
        <v>9190</v>
      </c>
      <c r="F971" s="1">
        <v>45984</v>
      </c>
      <c r="G971" t="s">
        <v>100</v>
      </c>
      <c r="H971" s="24">
        <v>0</v>
      </c>
      <c r="I971" t="str">
        <f>IF(H971&lt;=0,"",LOOKUP(H971,'Regras e Parâmetros'!$B$4:$B$7,'Regras e Parâmetros'!$A$4:$A$7))</f>
        <v/>
      </c>
      <c r="J971" t="s">
        <v>6747</v>
      </c>
      <c r="L971" t="s">
        <v>9883</v>
      </c>
    </row>
    <row r="972" spans="1:12" x14ac:dyDescent="0.3">
      <c r="A972" t="s">
        <v>5894</v>
      </c>
      <c r="B972" s="5" t="s">
        <v>9753</v>
      </c>
      <c r="C972" t="s">
        <v>6456</v>
      </c>
      <c r="D972" t="s">
        <v>5895</v>
      </c>
      <c r="E972" t="s">
        <v>9754</v>
      </c>
      <c r="F972" s="1">
        <v>46266</v>
      </c>
      <c r="G972" t="s">
        <v>100</v>
      </c>
      <c r="H972" s="24">
        <v>0</v>
      </c>
      <c r="I972" t="str">
        <f>IF(H972&lt;=0,"",LOOKUP(H972,'Regras e Parâmetros'!$B$4:$B$7,'Regras e Parâmetros'!$A$4:$A$7))</f>
        <v/>
      </c>
      <c r="J972" t="s">
        <v>9790</v>
      </c>
      <c r="K972" t="s">
        <v>8</v>
      </c>
      <c r="L972" t="s">
        <v>9883</v>
      </c>
    </row>
    <row r="973" spans="1:12" x14ac:dyDescent="0.3">
      <c r="A973" t="s">
        <v>630</v>
      </c>
      <c r="B973" s="5" t="s">
        <v>6798</v>
      </c>
      <c r="C973" t="s">
        <v>6456</v>
      </c>
      <c r="D973" t="s">
        <v>631</v>
      </c>
      <c r="E973" t="s">
        <v>632</v>
      </c>
      <c r="F973" s="1">
        <v>44568</v>
      </c>
      <c r="G973" t="s">
        <v>22</v>
      </c>
      <c r="H973" s="24">
        <v>5200</v>
      </c>
      <c r="I973" t="str">
        <f>IF(H973&lt;=0,"",LOOKUP(H973,'Regras e Parâmetros'!$B$4:$B$7,'Regras e Parâmetros'!$A$4:$A$7))</f>
        <v>Ouro</v>
      </c>
      <c r="J973" t="s">
        <v>9790</v>
      </c>
      <c r="L973" t="s">
        <v>9793</v>
      </c>
    </row>
    <row r="974" spans="1:12" x14ac:dyDescent="0.3">
      <c r="A974" t="s">
        <v>9780</v>
      </c>
      <c r="B974" s="5" t="s">
        <v>9781</v>
      </c>
      <c r="C974" t="s">
        <v>6456</v>
      </c>
      <c r="D974" t="s">
        <v>5950</v>
      </c>
      <c r="E974" t="s">
        <v>5951</v>
      </c>
      <c r="F974" s="1">
        <v>46275</v>
      </c>
      <c r="G974" t="s">
        <v>51</v>
      </c>
      <c r="H974" s="24">
        <v>0</v>
      </c>
      <c r="I974" t="str">
        <f>IF(H974&lt;=0,"",LOOKUP(H974,'Regras e Parâmetros'!$B$4:$B$7,'Regras e Parâmetros'!$A$4:$A$7))</f>
        <v/>
      </c>
      <c r="J974" t="s">
        <v>6747</v>
      </c>
      <c r="L974" t="s">
        <v>9883</v>
      </c>
    </row>
    <row r="975" spans="1:12" x14ac:dyDescent="0.3">
      <c r="A975" t="s">
        <v>2613</v>
      </c>
      <c r="B975" s="5" t="s">
        <v>7926</v>
      </c>
      <c r="C975" t="s">
        <v>6456</v>
      </c>
      <c r="D975" t="s">
        <v>2614</v>
      </c>
      <c r="E975" t="s">
        <v>2615</v>
      </c>
      <c r="F975" s="1">
        <v>45240</v>
      </c>
      <c r="G975" t="s">
        <v>18</v>
      </c>
      <c r="H975" s="24">
        <v>275</v>
      </c>
      <c r="I975" t="str">
        <f>IF(H975&lt;=0,"",LOOKUP(H975,'Regras e Parâmetros'!$B$4:$B$7,'Regras e Parâmetros'!$A$4:$A$7))</f>
        <v>Bronze</v>
      </c>
      <c r="J975" t="s">
        <v>6747</v>
      </c>
    </row>
    <row r="976" spans="1:12" x14ac:dyDescent="0.3">
      <c r="A976" t="s">
        <v>3299</v>
      </c>
      <c r="B976" s="5" t="s">
        <v>3300</v>
      </c>
      <c r="C976" t="s">
        <v>6456</v>
      </c>
      <c r="D976" t="s">
        <v>3301</v>
      </c>
      <c r="E976" t="s">
        <v>3302</v>
      </c>
      <c r="F976" s="1">
        <v>45499</v>
      </c>
      <c r="G976" t="s">
        <v>100</v>
      </c>
      <c r="H976" s="24">
        <v>129</v>
      </c>
      <c r="I976" t="str">
        <f>IF(H976&lt;=0,"",LOOKUP(H976,'Regras e Parâmetros'!$B$4:$B$7,'Regras e Parâmetros'!$A$4:$A$7))</f>
        <v>Bronze</v>
      </c>
      <c r="J976" t="s">
        <v>6747</v>
      </c>
      <c r="L976" t="s">
        <v>9792</v>
      </c>
    </row>
    <row r="977" spans="1:12" x14ac:dyDescent="0.3">
      <c r="A977" t="s">
        <v>2715</v>
      </c>
      <c r="B977" s="5" t="s">
        <v>7980</v>
      </c>
      <c r="C977" t="s">
        <v>6456</v>
      </c>
      <c r="D977" t="s">
        <v>2716</v>
      </c>
      <c r="E977" t="s">
        <v>7981</v>
      </c>
      <c r="F977" s="1">
        <v>45271</v>
      </c>
      <c r="G977" t="s">
        <v>51</v>
      </c>
      <c r="H977" s="24">
        <v>782</v>
      </c>
      <c r="I977" t="str">
        <f>IF(H977&lt;=0,"",LOOKUP(H977,'Regras e Parâmetros'!$B$4:$B$7,'Regras e Parâmetros'!$A$4:$A$7))</f>
        <v>Bronze</v>
      </c>
      <c r="J977" t="s">
        <v>6456</v>
      </c>
    </row>
    <row r="978" spans="1:12" x14ac:dyDescent="0.3">
      <c r="A978" t="s">
        <v>7306</v>
      </c>
      <c r="B978" s="5" t="s">
        <v>7307</v>
      </c>
      <c r="C978" t="s">
        <v>6456</v>
      </c>
      <c r="D978" t="s">
        <v>1525</v>
      </c>
      <c r="E978" t="s">
        <v>7308</v>
      </c>
      <c r="F978" s="1">
        <v>44886</v>
      </c>
      <c r="G978" t="s">
        <v>51</v>
      </c>
      <c r="H978" s="24">
        <v>5000</v>
      </c>
      <c r="I978" t="str">
        <f>IF(H978&lt;=0,"",LOOKUP(H978,'Regras e Parâmetros'!$B$4:$B$7,'Regras e Parâmetros'!$A$4:$A$7))</f>
        <v>Prata</v>
      </c>
      <c r="J978" t="s">
        <v>6747</v>
      </c>
      <c r="K978" t="s">
        <v>187</v>
      </c>
    </row>
    <row r="979" spans="1:12" x14ac:dyDescent="0.3">
      <c r="A979" t="s">
        <v>2049</v>
      </c>
      <c r="B979" s="5" t="s">
        <v>7595</v>
      </c>
      <c r="C979" t="s">
        <v>6456</v>
      </c>
      <c r="E979" t="s">
        <v>7596</v>
      </c>
      <c r="F979" s="1">
        <v>45059</v>
      </c>
      <c r="G979" t="s">
        <v>45</v>
      </c>
      <c r="H979" s="24">
        <v>0</v>
      </c>
      <c r="I979" t="str">
        <f>IF(H979&lt;=0,"",LOOKUP(H979,'Regras e Parâmetros'!$B$4:$B$7,'Regras e Parâmetros'!$A$4:$A$7))</f>
        <v/>
      </c>
      <c r="J979" t="s">
        <v>6456</v>
      </c>
      <c r="L979" t="s">
        <v>9804</v>
      </c>
    </row>
    <row r="980" spans="1:12" x14ac:dyDescent="0.3">
      <c r="A980" t="s">
        <v>2049</v>
      </c>
      <c r="B980" s="5" t="s">
        <v>8082</v>
      </c>
      <c r="C980" t="s">
        <v>6456</v>
      </c>
      <c r="D980" t="s">
        <v>2924</v>
      </c>
      <c r="E980" t="s">
        <v>10104</v>
      </c>
      <c r="F980" s="1">
        <v>45364</v>
      </c>
      <c r="G980" t="s">
        <v>100</v>
      </c>
      <c r="H980" s="24">
        <v>14594</v>
      </c>
      <c r="I980" t="str">
        <f>IF(H980&lt;=0,"",LOOKUP(H980,'Regras e Parâmetros'!$B$4:$B$7,'Regras e Parâmetros'!$A$4:$A$7))</f>
        <v>Vip</v>
      </c>
      <c r="J980" t="s">
        <v>6456</v>
      </c>
    </row>
    <row r="981" spans="1:12" x14ac:dyDescent="0.3">
      <c r="A981" t="s">
        <v>1353</v>
      </c>
      <c r="B981" s="5" t="s">
        <v>7202</v>
      </c>
      <c r="C981" t="s">
        <v>6456</v>
      </c>
      <c r="D981" t="s">
        <v>1354</v>
      </c>
      <c r="E981" t="s">
        <v>1355</v>
      </c>
      <c r="F981" s="1">
        <v>44842</v>
      </c>
      <c r="G981" t="s">
        <v>22</v>
      </c>
      <c r="H981" s="24">
        <v>4156</v>
      </c>
      <c r="I981" t="str">
        <f>IF(H981&lt;=0,"",LOOKUP(H981,'Regras e Parâmetros'!$B$4:$B$7,'Regras e Parâmetros'!$A$4:$A$7))</f>
        <v>Prata</v>
      </c>
      <c r="J981" t="s">
        <v>6747</v>
      </c>
    </row>
    <row r="982" spans="1:12" x14ac:dyDescent="0.3">
      <c r="A982" t="s">
        <v>1574</v>
      </c>
      <c r="B982" s="5" t="s">
        <v>7335</v>
      </c>
      <c r="C982" t="s">
        <v>6456</v>
      </c>
      <c r="D982" t="s">
        <v>1575</v>
      </c>
      <c r="E982" t="s">
        <v>1576</v>
      </c>
      <c r="F982" s="1">
        <v>44899</v>
      </c>
      <c r="G982" t="s">
        <v>45</v>
      </c>
      <c r="H982" s="24">
        <v>9059</v>
      </c>
      <c r="I982" t="str">
        <f>IF(H982&lt;=0,"",LOOKUP(H982,'Regras e Parâmetros'!$B$4:$B$7,'Regras e Parâmetros'!$A$4:$A$7))</f>
        <v>Ouro</v>
      </c>
      <c r="J982" t="s">
        <v>6456</v>
      </c>
    </row>
    <row r="983" spans="1:12" x14ac:dyDescent="0.3">
      <c r="A983" t="s">
        <v>7634</v>
      </c>
      <c r="B983" s="5" t="s">
        <v>7635</v>
      </c>
      <c r="C983" t="s">
        <v>6456</v>
      </c>
      <c r="D983" t="s">
        <v>2102</v>
      </c>
      <c r="E983" t="s">
        <v>2103</v>
      </c>
      <c r="F983" s="1">
        <v>45078</v>
      </c>
      <c r="G983" t="s">
        <v>45</v>
      </c>
      <c r="H983" s="24">
        <v>289</v>
      </c>
      <c r="I983" t="str">
        <f>IF(H983&lt;=0,"",LOOKUP(H983,'Regras e Parâmetros'!$B$4:$B$7,'Regras e Parâmetros'!$A$4:$A$7))</f>
        <v>Bronze</v>
      </c>
      <c r="J983" t="s">
        <v>6747</v>
      </c>
      <c r="L983" t="s">
        <v>9791</v>
      </c>
    </row>
    <row r="984" spans="1:12" x14ac:dyDescent="0.3">
      <c r="A984" t="s">
        <v>2529</v>
      </c>
      <c r="B984" s="5" t="s">
        <v>7880</v>
      </c>
      <c r="C984" t="s">
        <v>6456</v>
      </c>
      <c r="D984" t="s">
        <v>2530</v>
      </c>
      <c r="E984" t="s">
        <v>7881</v>
      </c>
      <c r="F984" s="1">
        <v>45210</v>
      </c>
      <c r="G984" t="s">
        <v>18</v>
      </c>
      <c r="H984" s="24">
        <v>505</v>
      </c>
      <c r="I984" t="str">
        <f>IF(H984&lt;=0,"",LOOKUP(H984,'Regras e Parâmetros'!$B$4:$B$7,'Regras e Parâmetros'!$A$4:$A$7))</f>
        <v>Bronze</v>
      </c>
      <c r="J984" t="s">
        <v>9790</v>
      </c>
      <c r="K984" t="s">
        <v>72</v>
      </c>
    </row>
    <row r="985" spans="1:12" x14ac:dyDescent="0.3">
      <c r="A985" t="s">
        <v>7444</v>
      </c>
      <c r="B985" s="5" t="s">
        <v>7445</v>
      </c>
      <c r="C985" t="s">
        <v>6456</v>
      </c>
      <c r="D985" t="s">
        <v>1768</v>
      </c>
      <c r="E985" t="s">
        <v>7446</v>
      </c>
      <c r="F985" s="1">
        <v>44962</v>
      </c>
      <c r="G985" t="s">
        <v>51</v>
      </c>
      <c r="H985" s="24">
        <v>928</v>
      </c>
      <c r="I985" t="str">
        <f>IF(H985&lt;=0,"",LOOKUP(H985,'Regras e Parâmetros'!$B$4:$B$7,'Regras e Parâmetros'!$A$4:$A$7))</f>
        <v>Bronze</v>
      </c>
      <c r="J985" t="s">
        <v>6456</v>
      </c>
    </row>
    <row r="986" spans="1:12" x14ac:dyDescent="0.3">
      <c r="A986" t="s">
        <v>6507</v>
      </c>
      <c r="B986" s="5" t="s">
        <v>6508</v>
      </c>
      <c r="C986" t="s">
        <v>6456</v>
      </c>
      <c r="D986" t="s">
        <v>92</v>
      </c>
      <c r="E986" t="s">
        <v>93</v>
      </c>
      <c r="F986" s="1">
        <v>44377</v>
      </c>
      <c r="G986" t="s">
        <v>45</v>
      </c>
      <c r="H986" s="24">
        <v>198</v>
      </c>
      <c r="I986" t="str">
        <f>IF(H986&lt;=0,"",LOOKUP(H986,'Regras e Parâmetros'!$B$4:$B$7,'Regras e Parâmetros'!$A$4:$A$7))</f>
        <v>Bronze</v>
      </c>
      <c r="J986" t="s">
        <v>9790</v>
      </c>
    </row>
    <row r="987" spans="1:12" x14ac:dyDescent="0.3">
      <c r="A987" t="s">
        <v>4975</v>
      </c>
      <c r="B987" s="5" t="s">
        <v>9223</v>
      </c>
      <c r="C987" t="s">
        <v>6456</v>
      </c>
      <c r="D987" t="s">
        <v>4976</v>
      </c>
      <c r="E987" t="s">
        <v>9224</v>
      </c>
      <c r="F987" s="1">
        <v>46003</v>
      </c>
      <c r="G987" t="s">
        <v>51</v>
      </c>
      <c r="H987" s="24">
        <v>0</v>
      </c>
      <c r="I987" t="str">
        <f>IF(H987&lt;=0,"",LOOKUP(H987,'Regras e Parâmetros'!$B$4:$B$7,'Regras e Parâmetros'!$A$4:$A$7))</f>
        <v/>
      </c>
      <c r="J987" t="s">
        <v>6747</v>
      </c>
      <c r="K987" t="s">
        <v>8</v>
      </c>
      <c r="L987" t="s">
        <v>9883</v>
      </c>
    </row>
    <row r="988" spans="1:12" x14ac:dyDescent="0.3">
      <c r="A988" t="s">
        <v>5849</v>
      </c>
      <c r="B988" s="5" t="s">
        <v>9692</v>
      </c>
      <c r="C988" t="s">
        <v>6456</v>
      </c>
      <c r="D988" t="s">
        <v>5850</v>
      </c>
      <c r="E988" t="s">
        <v>5851</v>
      </c>
      <c r="F988" s="1">
        <v>46235</v>
      </c>
      <c r="G988" t="s">
        <v>45</v>
      </c>
      <c r="H988" s="24">
        <v>0</v>
      </c>
      <c r="I988" t="str">
        <f>IF(H988&lt;=0,"",LOOKUP(H988,'Regras e Parâmetros'!$B$4:$B$7,'Regras e Parâmetros'!$A$4:$A$7))</f>
        <v/>
      </c>
      <c r="J988" t="s">
        <v>6456</v>
      </c>
      <c r="L988" t="s">
        <v>9884</v>
      </c>
    </row>
    <row r="989" spans="1:12" x14ac:dyDescent="0.3">
      <c r="A989" t="s">
        <v>1373</v>
      </c>
      <c r="B989" s="5" t="s">
        <v>1374</v>
      </c>
      <c r="C989" t="s">
        <v>6456</v>
      </c>
      <c r="D989" t="s">
        <v>1375</v>
      </c>
      <c r="E989" t="s">
        <v>7218</v>
      </c>
      <c r="F989" s="1">
        <v>44849</v>
      </c>
      <c r="G989" t="s">
        <v>110</v>
      </c>
      <c r="H989" s="24">
        <v>3403</v>
      </c>
      <c r="I989" t="str">
        <f>IF(H989&lt;=0,"",LOOKUP(H989,'Regras e Parâmetros'!$B$4:$B$7,'Regras e Parâmetros'!$A$4:$A$7))</f>
        <v>Prata</v>
      </c>
      <c r="J989" t="s">
        <v>6747</v>
      </c>
    </row>
    <row r="990" spans="1:12" x14ac:dyDescent="0.3">
      <c r="A990" t="s">
        <v>2175</v>
      </c>
      <c r="B990" s="5" t="s">
        <v>2176</v>
      </c>
      <c r="C990" t="s">
        <v>6456</v>
      </c>
      <c r="D990" t="s">
        <v>1819</v>
      </c>
      <c r="E990" t="s">
        <v>2177</v>
      </c>
      <c r="F990" s="1">
        <v>45104</v>
      </c>
      <c r="G990" t="s">
        <v>110</v>
      </c>
      <c r="H990" s="24">
        <v>2223</v>
      </c>
      <c r="I990" t="str">
        <f>IF(H990&lt;=0,"",LOOKUP(H990,'Regras e Parâmetros'!$B$4:$B$7,'Regras e Parâmetros'!$A$4:$A$7))</f>
        <v>Prata</v>
      </c>
      <c r="J990" t="s">
        <v>9790</v>
      </c>
      <c r="K990" t="s">
        <v>10030</v>
      </c>
    </row>
    <row r="991" spans="1:12" x14ac:dyDescent="0.3">
      <c r="A991" t="s">
        <v>4993</v>
      </c>
      <c r="B991" s="5" t="s">
        <v>4994</v>
      </c>
      <c r="C991" t="s">
        <v>6456</v>
      </c>
      <c r="D991" t="s">
        <v>4995</v>
      </c>
      <c r="E991" t="s">
        <v>4996</v>
      </c>
      <c r="F991" s="1">
        <v>46010</v>
      </c>
      <c r="G991" t="s">
        <v>51</v>
      </c>
      <c r="H991" s="24">
        <v>0</v>
      </c>
      <c r="I991" t="str">
        <f>IF(H991&lt;=0,"",LOOKUP(H991,'Regras e Parâmetros'!$B$4:$B$7,'Regras e Parâmetros'!$A$4:$A$7))</f>
        <v/>
      </c>
      <c r="J991" t="s">
        <v>6456</v>
      </c>
      <c r="L991" t="s">
        <v>9886</v>
      </c>
    </row>
    <row r="992" spans="1:12" x14ac:dyDescent="0.3">
      <c r="A992" t="s">
        <v>5554</v>
      </c>
      <c r="B992" s="5" t="s">
        <v>2288</v>
      </c>
      <c r="C992" t="s">
        <v>6456</v>
      </c>
      <c r="D992" t="s">
        <v>2289</v>
      </c>
      <c r="E992" t="s">
        <v>7744</v>
      </c>
      <c r="F992" s="1">
        <v>45134</v>
      </c>
      <c r="G992" t="s">
        <v>51</v>
      </c>
      <c r="H992" s="24">
        <v>2613</v>
      </c>
      <c r="I992" t="str">
        <f>IF(H992&lt;=0,"",LOOKUP(H992,'Regras e Parâmetros'!$B$4:$B$7,'Regras e Parâmetros'!$A$4:$A$7))</f>
        <v>Prata</v>
      </c>
      <c r="J992" t="s">
        <v>9790</v>
      </c>
      <c r="K992" t="s">
        <v>44</v>
      </c>
    </row>
    <row r="993" spans="1:12" x14ac:dyDescent="0.3">
      <c r="A993" t="s">
        <v>5554</v>
      </c>
      <c r="B993" s="5" t="s">
        <v>9550</v>
      </c>
      <c r="C993" t="s">
        <v>6456</v>
      </c>
      <c r="D993" t="s">
        <v>5555</v>
      </c>
      <c r="E993" t="s">
        <v>9551</v>
      </c>
      <c r="F993" s="1">
        <v>46170</v>
      </c>
      <c r="G993" t="s">
        <v>45</v>
      </c>
      <c r="H993" s="24">
        <v>0</v>
      </c>
      <c r="I993" t="str">
        <f>IF(H993&lt;=0,"",LOOKUP(H993,'Regras e Parâmetros'!$B$4:$B$7,'Regras e Parâmetros'!$A$4:$A$7))</f>
        <v/>
      </c>
      <c r="J993" t="s">
        <v>6747</v>
      </c>
      <c r="L993" t="s">
        <v>9883</v>
      </c>
    </row>
    <row r="994" spans="1:12" x14ac:dyDescent="0.3">
      <c r="A994" t="s">
        <v>4464</v>
      </c>
      <c r="B994" s="5" t="s">
        <v>8917</v>
      </c>
      <c r="C994" t="s">
        <v>6456</v>
      </c>
      <c r="D994" t="s">
        <v>4465</v>
      </c>
      <c r="E994" t="s">
        <v>8918</v>
      </c>
      <c r="F994" s="1">
        <v>45857</v>
      </c>
      <c r="G994" t="s">
        <v>45</v>
      </c>
      <c r="H994" s="24">
        <v>0</v>
      </c>
      <c r="I994" t="str">
        <f>IF(H994&lt;=0,"",LOOKUP(H994,'Regras e Parâmetros'!$B$4:$B$7,'Regras e Parâmetros'!$A$4:$A$7))</f>
        <v/>
      </c>
      <c r="J994" t="s">
        <v>6456</v>
      </c>
      <c r="L994" t="s">
        <v>9883</v>
      </c>
    </row>
    <row r="995" spans="1:12" x14ac:dyDescent="0.3">
      <c r="A995" t="s">
        <v>724</v>
      </c>
      <c r="B995" s="5" t="s">
        <v>725</v>
      </c>
      <c r="C995" t="s">
        <v>6456</v>
      </c>
      <c r="D995" t="s">
        <v>726</v>
      </c>
      <c r="E995" t="s">
        <v>6857</v>
      </c>
      <c r="F995" s="1">
        <v>44602</v>
      </c>
      <c r="G995" t="s">
        <v>110</v>
      </c>
      <c r="H995" s="24">
        <v>0</v>
      </c>
      <c r="I995" t="str">
        <f>IF(H995&lt;=0,"",LOOKUP(H995,'Regras e Parâmetros'!$B$4:$B$7,'Regras e Parâmetros'!$A$4:$A$7))</f>
        <v/>
      </c>
      <c r="J995" t="s">
        <v>6747</v>
      </c>
      <c r="K995" t="s">
        <v>187</v>
      </c>
    </row>
    <row r="996" spans="1:12" x14ac:dyDescent="0.3">
      <c r="A996" t="s">
        <v>8776</v>
      </c>
      <c r="B996" s="5" t="s">
        <v>4199</v>
      </c>
      <c r="C996" t="s">
        <v>6456</v>
      </c>
      <c r="D996" t="s">
        <v>132</v>
      </c>
      <c r="E996" t="s">
        <v>8777</v>
      </c>
      <c r="F996" s="1">
        <v>45775</v>
      </c>
      <c r="G996" t="s">
        <v>45</v>
      </c>
      <c r="H996" s="24">
        <v>0</v>
      </c>
      <c r="I996" t="str">
        <f>IF(H996&lt;=0,"",LOOKUP(H996,'Regras e Parâmetros'!$B$4:$B$7,'Regras e Parâmetros'!$A$4:$A$7))</f>
        <v/>
      </c>
      <c r="J996" t="s">
        <v>6456</v>
      </c>
      <c r="L996" t="s">
        <v>9883</v>
      </c>
    </row>
    <row r="997" spans="1:12" x14ac:dyDescent="0.3">
      <c r="A997" t="s">
        <v>271</v>
      </c>
      <c r="B997" s="5" t="s">
        <v>6591</v>
      </c>
      <c r="C997" t="s">
        <v>6456</v>
      </c>
      <c r="D997" t="s">
        <v>272</v>
      </c>
      <c r="E997" t="s">
        <v>273</v>
      </c>
      <c r="F997" s="1">
        <v>44438</v>
      </c>
      <c r="G997" t="s">
        <v>18</v>
      </c>
      <c r="H997" s="24">
        <v>1381</v>
      </c>
      <c r="I997" t="str">
        <f>IF(H997&lt;=0,"",LOOKUP(H997,'Regras e Parâmetros'!$B$4:$B$7,'Regras e Parâmetros'!$A$4:$A$7))</f>
        <v>Bronze</v>
      </c>
      <c r="J997" t="s">
        <v>6456</v>
      </c>
    </row>
    <row r="998" spans="1:12" x14ac:dyDescent="0.3">
      <c r="A998" t="s">
        <v>3038</v>
      </c>
      <c r="B998" s="5" t="s">
        <v>8129</v>
      </c>
      <c r="C998" t="s">
        <v>6456</v>
      </c>
      <c r="D998" t="s">
        <v>3039</v>
      </c>
      <c r="E998" t="s">
        <v>8130</v>
      </c>
      <c r="F998" s="1">
        <v>45405</v>
      </c>
      <c r="G998" t="s">
        <v>18</v>
      </c>
      <c r="H998" s="24">
        <v>209</v>
      </c>
      <c r="I998" t="str">
        <f>IF(H998&lt;=0,"",LOOKUP(H998,'Regras e Parâmetros'!$B$4:$B$7,'Regras e Parâmetros'!$A$4:$A$7))</f>
        <v>Bronze</v>
      </c>
      <c r="J998" t="s">
        <v>9790</v>
      </c>
    </row>
    <row r="999" spans="1:12" x14ac:dyDescent="0.3">
      <c r="A999" t="s">
        <v>2981</v>
      </c>
      <c r="B999" s="5" t="s">
        <v>8107</v>
      </c>
      <c r="C999" t="s">
        <v>6456</v>
      </c>
      <c r="D999" t="s">
        <v>2982</v>
      </c>
      <c r="E999" t="s">
        <v>8108</v>
      </c>
      <c r="F999" s="1">
        <v>45385</v>
      </c>
      <c r="G999" t="s">
        <v>110</v>
      </c>
      <c r="H999" s="24">
        <v>669</v>
      </c>
      <c r="I999" t="str">
        <f>IF(H999&lt;=0,"",LOOKUP(H999,'Regras e Parâmetros'!$B$4:$B$7,'Regras e Parâmetros'!$A$4:$A$7))</f>
        <v>Bronze</v>
      </c>
      <c r="J999" t="s">
        <v>6456</v>
      </c>
    </row>
    <row r="1000" spans="1:12" x14ac:dyDescent="0.3">
      <c r="A1000" t="s">
        <v>7832</v>
      </c>
      <c r="B1000" s="5" t="s">
        <v>7833</v>
      </c>
      <c r="C1000" t="s">
        <v>6456</v>
      </c>
      <c r="D1000" t="s">
        <v>2450</v>
      </c>
      <c r="E1000" t="s">
        <v>2451</v>
      </c>
      <c r="F1000" s="1">
        <v>45182</v>
      </c>
      <c r="G1000" t="s">
        <v>100</v>
      </c>
      <c r="H1000" s="24">
        <v>1141</v>
      </c>
      <c r="I1000" t="str">
        <f>IF(H1000&lt;=0,"",LOOKUP(H1000,'Regras e Parâmetros'!$B$4:$B$7,'Regras e Parâmetros'!$A$4:$A$7))</f>
        <v>Bronze</v>
      </c>
      <c r="J1000" t="s">
        <v>6456</v>
      </c>
      <c r="K1000" t="s">
        <v>44</v>
      </c>
    </row>
    <row r="1001" spans="1:12" x14ac:dyDescent="0.3">
      <c r="A1001" t="s">
        <v>2960</v>
      </c>
      <c r="B1001" s="5" t="s">
        <v>2961</v>
      </c>
      <c r="C1001" t="s">
        <v>6456</v>
      </c>
      <c r="D1001" t="s">
        <v>2962</v>
      </c>
      <c r="E1001" t="s">
        <v>2963</v>
      </c>
      <c r="F1001" s="1">
        <v>45381</v>
      </c>
      <c r="G1001" t="s">
        <v>100</v>
      </c>
      <c r="H1001" s="24">
        <v>480</v>
      </c>
      <c r="I1001" t="str">
        <f>IF(H1001&lt;=0,"",LOOKUP(H1001,'Regras e Parâmetros'!$B$4:$B$7,'Regras e Parâmetros'!$A$4:$A$7))</f>
        <v>Bronze</v>
      </c>
      <c r="J1001" t="s">
        <v>6456</v>
      </c>
    </row>
    <row r="1002" spans="1:12" x14ac:dyDescent="0.3">
      <c r="A1002" t="s">
        <v>5759</v>
      </c>
      <c r="B1002" s="5" t="s">
        <v>9675</v>
      </c>
      <c r="C1002" t="s">
        <v>6456</v>
      </c>
      <c r="D1002" t="s">
        <v>5760</v>
      </c>
      <c r="E1002" t="s">
        <v>5761</v>
      </c>
      <c r="F1002" s="1">
        <v>46234</v>
      </c>
      <c r="G1002" t="s">
        <v>110</v>
      </c>
      <c r="H1002" s="24">
        <v>0</v>
      </c>
      <c r="I1002" t="str">
        <f>IF(H1002&lt;=0,"",LOOKUP(H1002,'Regras e Parâmetros'!$B$4:$B$7,'Regras e Parâmetros'!$A$4:$A$7))</f>
        <v/>
      </c>
      <c r="J1002" t="s">
        <v>9790</v>
      </c>
      <c r="L1002" t="s">
        <v>9883</v>
      </c>
    </row>
    <row r="1003" spans="1:12" x14ac:dyDescent="0.3">
      <c r="A1003" t="s">
        <v>9013</v>
      </c>
      <c r="B1003" s="5" t="s">
        <v>9014</v>
      </c>
      <c r="C1003" t="s">
        <v>6456</v>
      </c>
      <c r="D1003" t="s">
        <v>4613</v>
      </c>
      <c r="E1003" t="s">
        <v>4614</v>
      </c>
      <c r="F1003" s="1">
        <v>45898</v>
      </c>
      <c r="G1003" t="s">
        <v>18</v>
      </c>
      <c r="H1003" s="24">
        <v>0</v>
      </c>
      <c r="I1003" t="str">
        <f>IF(H1003&lt;=0,"",LOOKUP(H1003,'Regras e Parâmetros'!$B$4:$B$7,'Regras e Parâmetros'!$A$4:$A$7))</f>
        <v/>
      </c>
      <c r="J1003" t="s">
        <v>9790</v>
      </c>
      <c r="L1003" t="s">
        <v>9883</v>
      </c>
    </row>
    <row r="1004" spans="1:12" x14ac:dyDescent="0.3">
      <c r="A1004" t="s">
        <v>1299</v>
      </c>
      <c r="B1004" s="5" t="s">
        <v>7169</v>
      </c>
      <c r="C1004" t="s">
        <v>6456</v>
      </c>
      <c r="D1004" t="s">
        <v>1300</v>
      </c>
      <c r="E1004" t="s">
        <v>1301</v>
      </c>
      <c r="F1004" s="1">
        <v>44827</v>
      </c>
      <c r="G1004" t="s">
        <v>22</v>
      </c>
      <c r="H1004" s="24">
        <v>803</v>
      </c>
      <c r="I1004" t="str">
        <f>IF(H1004&lt;=0,"",LOOKUP(H1004,'Regras e Parâmetros'!$B$4:$B$7,'Regras e Parâmetros'!$A$4:$A$7))</f>
        <v>Bronze</v>
      </c>
      <c r="J1004" t="s">
        <v>6747</v>
      </c>
      <c r="K1004" t="s">
        <v>708</v>
      </c>
    </row>
    <row r="1005" spans="1:12" x14ac:dyDescent="0.3">
      <c r="A1005" t="s">
        <v>902</v>
      </c>
      <c r="B1005" s="5" t="s">
        <v>2431</v>
      </c>
      <c r="C1005" t="s">
        <v>6456</v>
      </c>
      <c r="D1005" t="s">
        <v>2432</v>
      </c>
      <c r="E1005" t="s">
        <v>6958</v>
      </c>
      <c r="F1005" s="1">
        <v>44667</v>
      </c>
      <c r="G1005" t="s">
        <v>45</v>
      </c>
      <c r="H1005" s="24">
        <v>246</v>
      </c>
      <c r="I1005" t="str">
        <f>IF(H1005&lt;=0,"",LOOKUP(H1005,'Regras e Parâmetros'!$B$4:$B$7,'Regras e Parâmetros'!$A$4:$A$7))</f>
        <v>Bronze</v>
      </c>
      <c r="J1005" t="s">
        <v>6747</v>
      </c>
      <c r="K1005" t="s">
        <v>9814</v>
      </c>
    </row>
    <row r="1006" spans="1:12" x14ac:dyDescent="0.3">
      <c r="A1006" t="s">
        <v>837</v>
      </c>
      <c r="B1006" s="5" t="s">
        <v>6921</v>
      </c>
      <c r="C1006" t="s">
        <v>6456</v>
      </c>
      <c r="D1006" t="s">
        <v>838</v>
      </c>
      <c r="E1006" t="s">
        <v>839</v>
      </c>
      <c r="F1006" s="1">
        <v>44645</v>
      </c>
      <c r="G1006" t="s">
        <v>18</v>
      </c>
      <c r="H1006" s="24">
        <v>1932</v>
      </c>
      <c r="I1006" t="str">
        <f>IF(H1006&lt;=0,"",LOOKUP(H1006,'Regras e Parâmetros'!$B$4:$B$7,'Regras e Parâmetros'!$A$4:$A$7))</f>
        <v>Prata</v>
      </c>
      <c r="J1006" t="s">
        <v>9790</v>
      </c>
    </row>
    <row r="1007" spans="1:12" x14ac:dyDescent="0.3">
      <c r="A1007" t="s">
        <v>107</v>
      </c>
      <c r="B1007" s="5" t="s">
        <v>6514</v>
      </c>
      <c r="C1007" t="s">
        <v>6456</v>
      </c>
      <c r="D1007" t="s">
        <v>108</v>
      </c>
      <c r="E1007" t="s">
        <v>109</v>
      </c>
      <c r="F1007" s="1">
        <v>44379</v>
      </c>
      <c r="G1007" t="s">
        <v>110</v>
      </c>
      <c r="H1007" s="24">
        <v>0</v>
      </c>
      <c r="I1007" t="str">
        <f>IF(H1007&lt;=0,"",LOOKUP(H1007,'Regras e Parâmetros'!$B$4:$B$7,'Regras e Parâmetros'!$A$4:$A$7))</f>
        <v/>
      </c>
      <c r="J1007" t="s">
        <v>6747</v>
      </c>
    </row>
    <row r="1008" spans="1:12" x14ac:dyDescent="0.3">
      <c r="A1008" t="s">
        <v>6799</v>
      </c>
      <c r="B1008" s="5" t="s">
        <v>6800</v>
      </c>
      <c r="C1008" t="s">
        <v>6456</v>
      </c>
      <c r="D1008" t="s">
        <v>633</v>
      </c>
      <c r="E1008" t="s">
        <v>634</v>
      </c>
      <c r="F1008" s="1">
        <v>44569</v>
      </c>
      <c r="G1008" t="s">
        <v>100</v>
      </c>
      <c r="H1008" s="24">
        <v>1083</v>
      </c>
      <c r="I1008" t="str">
        <f>IF(H1008&lt;=0,"",LOOKUP(H1008,'Regras e Parâmetros'!$B$4:$B$7,'Regras e Parâmetros'!$A$4:$A$7))</f>
        <v>Bronze</v>
      </c>
      <c r="J1008" t="s">
        <v>6456</v>
      </c>
    </row>
    <row r="1009" spans="1:12" x14ac:dyDescent="0.3">
      <c r="A1009" t="s">
        <v>6799</v>
      </c>
      <c r="B1009" s="5" t="s">
        <v>8183</v>
      </c>
      <c r="C1009" t="s">
        <v>6456</v>
      </c>
      <c r="D1009" t="s">
        <v>3150</v>
      </c>
      <c r="E1009" t="s">
        <v>8184</v>
      </c>
      <c r="F1009" s="1">
        <v>45449</v>
      </c>
      <c r="G1009" t="s">
        <v>22</v>
      </c>
      <c r="H1009" s="24">
        <v>220</v>
      </c>
      <c r="I1009" t="str">
        <f>IF(H1009&lt;=0,"",LOOKUP(H1009,'Regras e Parâmetros'!$B$4:$B$7,'Regras e Parâmetros'!$A$4:$A$7))</f>
        <v>Bronze</v>
      </c>
      <c r="J1009" t="s">
        <v>9790</v>
      </c>
    </row>
    <row r="1010" spans="1:12" x14ac:dyDescent="0.3">
      <c r="A1010" t="s">
        <v>3994</v>
      </c>
      <c r="B1010" s="5" t="s">
        <v>3995</v>
      </c>
      <c r="C1010" t="s">
        <v>6456</v>
      </c>
      <c r="D1010" t="s">
        <v>8658</v>
      </c>
      <c r="E1010" t="s">
        <v>3996</v>
      </c>
      <c r="F1010" s="1">
        <v>45717</v>
      </c>
      <c r="G1010" t="s">
        <v>45</v>
      </c>
      <c r="H1010" s="24">
        <v>0</v>
      </c>
      <c r="I1010" t="str">
        <f>IF(H1010&lt;=0,"",LOOKUP(H1010,'Regras e Parâmetros'!$B$4:$B$7,'Regras e Parâmetros'!$A$4:$A$7))</f>
        <v/>
      </c>
      <c r="J1010" t="s">
        <v>9790</v>
      </c>
      <c r="L1010" t="s">
        <v>9891</v>
      </c>
    </row>
    <row r="1011" spans="1:12" x14ac:dyDescent="0.3">
      <c r="A1011" t="s">
        <v>642</v>
      </c>
      <c r="B1011" s="5" t="s">
        <v>6802</v>
      </c>
      <c r="C1011" t="s">
        <v>6456</v>
      </c>
      <c r="D1011" t="s">
        <v>643</v>
      </c>
      <c r="E1011" t="s">
        <v>644</v>
      </c>
      <c r="F1011" s="1">
        <v>44570</v>
      </c>
      <c r="G1011" t="s">
        <v>22</v>
      </c>
      <c r="H1011" s="24">
        <v>7123</v>
      </c>
      <c r="I1011" t="str">
        <f>IF(H1011&lt;=0,"",LOOKUP(H1011,'Regras e Parâmetros'!$B$4:$B$7,'Regras e Parâmetros'!$A$4:$A$7))</f>
        <v>Ouro</v>
      </c>
      <c r="J1011" t="s">
        <v>9790</v>
      </c>
    </row>
    <row r="1012" spans="1:12" x14ac:dyDescent="0.3">
      <c r="A1012" t="s">
        <v>2703</v>
      </c>
      <c r="B1012" s="5" t="s">
        <v>7969</v>
      </c>
      <c r="C1012" t="s">
        <v>6456</v>
      </c>
      <c r="D1012" t="s">
        <v>2704</v>
      </c>
      <c r="E1012" t="s">
        <v>7970</v>
      </c>
      <c r="F1012" s="1">
        <v>45261</v>
      </c>
      <c r="G1012" t="s">
        <v>110</v>
      </c>
      <c r="H1012" s="24">
        <v>766</v>
      </c>
      <c r="I1012" t="str">
        <f>IF(H1012&lt;=0,"",LOOKUP(H1012,'Regras e Parâmetros'!$B$4:$B$7,'Regras e Parâmetros'!$A$4:$A$7))</f>
        <v>Bronze</v>
      </c>
      <c r="J1012" t="s">
        <v>9790</v>
      </c>
      <c r="K1012" t="s">
        <v>33</v>
      </c>
      <c r="L1012" t="s">
        <v>9791</v>
      </c>
    </row>
    <row r="1013" spans="1:12" x14ac:dyDescent="0.3">
      <c r="A1013" t="s">
        <v>7172</v>
      </c>
      <c r="B1013" s="5" t="s">
        <v>6023</v>
      </c>
      <c r="C1013" t="s">
        <v>6456</v>
      </c>
      <c r="D1013" t="s">
        <v>1311</v>
      </c>
      <c r="E1013" t="s">
        <v>7173</v>
      </c>
      <c r="F1013" s="1">
        <v>44830</v>
      </c>
      <c r="G1013" t="s">
        <v>45</v>
      </c>
      <c r="H1013" s="24">
        <v>398</v>
      </c>
      <c r="I1013" t="str">
        <f>IF(H1013&lt;=0,"",LOOKUP(H1013,'Regras e Parâmetros'!$B$4:$B$7,'Regras e Parâmetros'!$A$4:$A$7))</f>
        <v>Bronze</v>
      </c>
      <c r="J1013" t="s">
        <v>9790</v>
      </c>
    </row>
    <row r="1014" spans="1:12" x14ac:dyDescent="0.3">
      <c r="A1014" t="s">
        <v>3667</v>
      </c>
      <c r="B1014" s="5" t="s">
        <v>3668</v>
      </c>
      <c r="C1014" t="s">
        <v>6456</v>
      </c>
      <c r="D1014" t="s">
        <v>3669</v>
      </c>
      <c r="E1014" t="s">
        <v>10105</v>
      </c>
      <c r="F1014" s="1">
        <v>45613</v>
      </c>
      <c r="G1014" t="s">
        <v>45</v>
      </c>
      <c r="H1014" s="24">
        <v>0</v>
      </c>
      <c r="I1014" t="str">
        <f>IF(H1014&lt;=0,"",LOOKUP(H1014,'Regras e Parâmetros'!$B$4:$B$7,'Regras e Parâmetros'!$A$4:$A$7))</f>
        <v/>
      </c>
      <c r="J1014" t="s">
        <v>9790</v>
      </c>
    </row>
    <row r="1015" spans="1:12" x14ac:dyDescent="0.3">
      <c r="A1015" t="s">
        <v>8400</v>
      </c>
      <c r="B1015" s="5" t="s">
        <v>8401</v>
      </c>
      <c r="C1015" t="s">
        <v>6456</v>
      </c>
      <c r="D1015" t="s">
        <v>3587</v>
      </c>
      <c r="E1015" t="s">
        <v>8402</v>
      </c>
      <c r="F1015" s="1">
        <v>45589</v>
      </c>
      <c r="G1015" t="s">
        <v>110</v>
      </c>
      <c r="H1015" s="24">
        <v>22</v>
      </c>
      <c r="I1015" t="str">
        <f>IF(H1015&lt;=0,"",LOOKUP(H1015,'Regras e Parâmetros'!$B$4:$B$7,'Regras e Parâmetros'!$A$4:$A$7))</f>
        <v>Bronze</v>
      </c>
      <c r="J1015" t="s">
        <v>6747</v>
      </c>
      <c r="K1015" t="s">
        <v>44</v>
      </c>
    </row>
    <row r="1016" spans="1:12" x14ac:dyDescent="0.3">
      <c r="A1016" t="s">
        <v>1594</v>
      </c>
      <c r="B1016" s="5" t="s">
        <v>1595</v>
      </c>
      <c r="C1016" t="s">
        <v>6456</v>
      </c>
      <c r="D1016" t="s">
        <v>1596</v>
      </c>
      <c r="E1016" t="s">
        <v>7344</v>
      </c>
      <c r="F1016" s="1">
        <v>44905</v>
      </c>
      <c r="G1016" t="s">
        <v>51</v>
      </c>
      <c r="H1016" s="24">
        <v>729</v>
      </c>
      <c r="I1016" t="str">
        <f>IF(H1016&lt;=0,"",LOOKUP(H1016,'Regras e Parâmetros'!$B$4:$B$7,'Regras e Parâmetros'!$A$4:$A$7))</f>
        <v>Bronze</v>
      </c>
      <c r="J1016" t="s">
        <v>9790</v>
      </c>
      <c r="K1016" t="s">
        <v>44</v>
      </c>
    </row>
    <row r="1017" spans="1:12" x14ac:dyDescent="0.3">
      <c r="A1017" t="s">
        <v>7847</v>
      </c>
      <c r="B1017" s="5" t="s">
        <v>2476</v>
      </c>
      <c r="C1017" t="s">
        <v>6456</v>
      </c>
      <c r="D1017" t="s">
        <v>2477</v>
      </c>
      <c r="E1017" t="s">
        <v>2478</v>
      </c>
      <c r="F1017" s="1">
        <v>45191</v>
      </c>
      <c r="G1017" t="s">
        <v>110</v>
      </c>
      <c r="H1017" s="24">
        <v>1605</v>
      </c>
      <c r="I1017" t="str">
        <f>IF(H1017&lt;=0,"",LOOKUP(H1017,'Regras e Parâmetros'!$B$4:$B$7,'Regras e Parâmetros'!$A$4:$A$7))</f>
        <v>Prata</v>
      </c>
      <c r="J1017" t="s">
        <v>6456</v>
      </c>
      <c r="K1017" t="s">
        <v>708</v>
      </c>
    </row>
    <row r="1018" spans="1:12" x14ac:dyDescent="0.3">
      <c r="A1018" t="s">
        <v>4558</v>
      </c>
      <c r="B1018" s="5" t="s">
        <v>8990</v>
      </c>
      <c r="C1018" t="s">
        <v>6456</v>
      </c>
      <c r="D1018" t="s">
        <v>4559</v>
      </c>
      <c r="E1018" t="s">
        <v>8991</v>
      </c>
      <c r="F1018" s="1">
        <v>45885</v>
      </c>
      <c r="G1018" t="s">
        <v>100</v>
      </c>
      <c r="H1018" s="24">
        <v>0</v>
      </c>
      <c r="I1018" t="str">
        <f>IF(H1018&lt;=0,"",LOOKUP(H1018,'Regras e Parâmetros'!$B$4:$B$7,'Regras e Parâmetros'!$A$4:$A$7))</f>
        <v/>
      </c>
      <c r="J1018" t="s">
        <v>9790</v>
      </c>
      <c r="L1018" t="s">
        <v>9883</v>
      </c>
    </row>
    <row r="1019" spans="1:12" x14ac:dyDescent="0.3">
      <c r="A1019" t="s">
        <v>1734</v>
      </c>
      <c r="B1019" s="5" t="s">
        <v>7425</v>
      </c>
      <c r="C1019" t="s">
        <v>6456</v>
      </c>
      <c r="D1019" t="s">
        <v>1735</v>
      </c>
      <c r="E1019" t="s">
        <v>1736</v>
      </c>
      <c r="F1019" s="1">
        <v>44950</v>
      </c>
      <c r="G1019" t="s">
        <v>51</v>
      </c>
      <c r="H1019" s="24">
        <v>918</v>
      </c>
      <c r="I1019" t="str">
        <f>IF(H1019&lt;=0,"",LOOKUP(H1019,'Regras e Parâmetros'!$B$4:$B$7,'Regras e Parâmetros'!$A$4:$A$7))</f>
        <v>Bronze</v>
      </c>
      <c r="J1019" t="s">
        <v>6456</v>
      </c>
    </row>
    <row r="1020" spans="1:12" x14ac:dyDescent="0.3">
      <c r="A1020" t="s">
        <v>8309</v>
      </c>
      <c r="B1020" s="5" t="s">
        <v>5029</v>
      </c>
      <c r="C1020" t="s">
        <v>6456</v>
      </c>
      <c r="D1020" t="s">
        <v>5030</v>
      </c>
      <c r="E1020" t="s">
        <v>5031</v>
      </c>
      <c r="F1020" s="1">
        <v>45520</v>
      </c>
      <c r="G1020" t="s">
        <v>100</v>
      </c>
      <c r="H1020" s="24">
        <v>2149</v>
      </c>
      <c r="I1020" t="str">
        <f>IF(H1020&lt;=0,"",LOOKUP(H1020,'Regras e Parâmetros'!$B$4:$B$7,'Regras e Parâmetros'!$A$4:$A$7))</f>
        <v>Prata</v>
      </c>
      <c r="J1020" t="s">
        <v>6456</v>
      </c>
      <c r="K1020" t="s">
        <v>9868</v>
      </c>
      <c r="L1020" t="s">
        <v>9839</v>
      </c>
    </row>
    <row r="1021" spans="1:12" x14ac:dyDescent="0.3">
      <c r="A1021" t="s">
        <v>7496</v>
      </c>
      <c r="B1021" s="5" t="s">
        <v>7497</v>
      </c>
      <c r="C1021" t="s">
        <v>6456</v>
      </c>
      <c r="D1021" t="s">
        <v>1851</v>
      </c>
      <c r="E1021" t="s">
        <v>10106</v>
      </c>
      <c r="F1021" s="1">
        <v>44991</v>
      </c>
      <c r="G1021" t="s">
        <v>45</v>
      </c>
      <c r="H1021" s="24">
        <v>4039</v>
      </c>
      <c r="I1021" t="str">
        <f>IF(H1021&lt;=0,"",LOOKUP(H1021,'Regras e Parâmetros'!$B$4:$B$7,'Regras e Parâmetros'!$A$4:$A$7))</f>
        <v>Prata</v>
      </c>
      <c r="J1021" t="s">
        <v>6456</v>
      </c>
    </row>
    <row r="1022" spans="1:12" x14ac:dyDescent="0.3">
      <c r="A1022" t="s">
        <v>3270</v>
      </c>
      <c r="B1022" s="5" t="s">
        <v>8247</v>
      </c>
      <c r="C1022" t="s">
        <v>6456</v>
      </c>
      <c r="D1022" t="s">
        <v>3271</v>
      </c>
      <c r="E1022" t="s">
        <v>8248</v>
      </c>
      <c r="F1022" s="1">
        <v>45488</v>
      </c>
      <c r="G1022" t="s">
        <v>100</v>
      </c>
      <c r="H1022" s="24">
        <v>812</v>
      </c>
      <c r="I1022" t="str">
        <f>IF(H1022&lt;=0,"",LOOKUP(H1022,'Regras e Parâmetros'!$B$4:$B$7,'Regras e Parâmetros'!$A$4:$A$7))</f>
        <v>Bronze</v>
      </c>
      <c r="J1022" t="s">
        <v>9790</v>
      </c>
    </row>
    <row r="1023" spans="1:12" x14ac:dyDescent="0.3">
      <c r="A1023" t="s">
        <v>8469</v>
      </c>
      <c r="B1023" s="5" t="s">
        <v>8470</v>
      </c>
      <c r="C1023" t="s">
        <v>6456</v>
      </c>
      <c r="E1023" t="s">
        <v>3708</v>
      </c>
      <c r="F1023" s="1">
        <v>45624</v>
      </c>
      <c r="G1023" t="s">
        <v>45</v>
      </c>
      <c r="H1023" s="24">
        <v>925</v>
      </c>
      <c r="I1023" t="str">
        <f>IF(H1023&lt;=0,"",LOOKUP(H1023,'Regras e Parâmetros'!$B$4:$B$7,'Regras e Parâmetros'!$A$4:$A$7))</f>
        <v>Bronze</v>
      </c>
      <c r="J1023" t="s">
        <v>6456</v>
      </c>
      <c r="L1023" t="s">
        <v>9804</v>
      </c>
    </row>
    <row r="1024" spans="1:12" x14ac:dyDescent="0.3">
      <c r="A1024" t="s">
        <v>2828</v>
      </c>
      <c r="B1024" s="5" t="s">
        <v>8035</v>
      </c>
      <c r="C1024" t="s">
        <v>6456</v>
      </c>
      <c r="D1024" t="s">
        <v>2829</v>
      </c>
      <c r="E1024" t="s">
        <v>8036</v>
      </c>
      <c r="F1024" s="1">
        <v>45322</v>
      </c>
      <c r="G1024" t="s">
        <v>110</v>
      </c>
      <c r="H1024" s="24">
        <v>514</v>
      </c>
      <c r="I1024" t="str">
        <f>IF(H1024&lt;=0,"",LOOKUP(H1024,'Regras e Parâmetros'!$B$4:$B$7,'Regras e Parâmetros'!$A$4:$A$7))</f>
        <v>Bronze</v>
      </c>
      <c r="J1024" t="s">
        <v>6456</v>
      </c>
    </row>
    <row r="1025" spans="1:12" x14ac:dyDescent="0.3">
      <c r="A1025" t="s">
        <v>8947</v>
      </c>
      <c r="B1025" s="5" t="s">
        <v>8948</v>
      </c>
      <c r="C1025" t="s">
        <v>6456</v>
      </c>
      <c r="D1025" t="s">
        <v>4512</v>
      </c>
      <c r="E1025" t="s">
        <v>8949</v>
      </c>
      <c r="F1025" s="1">
        <v>45870</v>
      </c>
      <c r="G1025" t="s">
        <v>51</v>
      </c>
      <c r="H1025" s="24">
        <v>0</v>
      </c>
      <c r="I1025" t="str">
        <f>IF(H1025&lt;=0,"",LOOKUP(H1025,'Regras e Parâmetros'!$B$4:$B$7,'Regras e Parâmetros'!$A$4:$A$7))</f>
        <v/>
      </c>
      <c r="J1025" t="s">
        <v>6456</v>
      </c>
      <c r="L1025" t="s">
        <v>9884</v>
      </c>
    </row>
    <row r="1026" spans="1:12" x14ac:dyDescent="0.3">
      <c r="A1026" t="s">
        <v>4215</v>
      </c>
      <c r="B1026" s="5" t="s">
        <v>8781</v>
      </c>
      <c r="C1026" t="s">
        <v>6456</v>
      </c>
      <c r="D1026" t="s">
        <v>4216</v>
      </c>
      <c r="E1026" t="s">
        <v>8782</v>
      </c>
      <c r="F1026" s="1">
        <v>45778</v>
      </c>
      <c r="G1026" t="s">
        <v>22</v>
      </c>
      <c r="H1026" s="24">
        <v>0</v>
      </c>
      <c r="I1026" t="str">
        <f>IF(H1026&lt;=0,"",LOOKUP(H1026,'Regras e Parâmetros'!$B$4:$B$7,'Regras e Parâmetros'!$A$4:$A$7))</f>
        <v/>
      </c>
      <c r="J1026" t="s">
        <v>6456</v>
      </c>
      <c r="K1026" t="s">
        <v>187</v>
      </c>
      <c r="L1026" t="s">
        <v>9883</v>
      </c>
    </row>
    <row r="1027" spans="1:12" x14ac:dyDescent="0.3">
      <c r="A1027" t="s">
        <v>7109</v>
      </c>
      <c r="B1027" s="5" t="s">
        <v>1120</v>
      </c>
      <c r="C1027" t="s">
        <v>6456</v>
      </c>
      <c r="D1027" t="s">
        <v>1121</v>
      </c>
      <c r="E1027" t="s">
        <v>1122</v>
      </c>
      <c r="F1027" s="1">
        <v>44774</v>
      </c>
      <c r="G1027" t="s">
        <v>18</v>
      </c>
      <c r="H1027" s="24">
        <v>0</v>
      </c>
      <c r="I1027" t="str">
        <f>IF(H1027&lt;=0,"",LOOKUP(H1027,'Regras e Parâmetros'!$B$4:$B$7,'Regras e Parâmetros'!$A$4:$A$7))</f>
        <v/>
      </c>
      <c r="J1027" t="s">
        <v>6456</v>
      </c>
    </row>
    <row r="1028" spans="1:12" x14ac:dyDescent="0.3">
      <c r="A1028" t="s">
        <v>5250</v>
      </c>
      <c r="B1028" s="5" t="s">
        <v>9392</v>
      </c>
      <c r="C1028" t="s">
        <v>6456</v>
      </c>
      <c r="D1028" t="s">
        <v>5251</v>
      </c>
      <c r="E1028" t="s">
        <v>9393</v>
      </c>
      <c r="F1028" s="1">
        <v>46090</v>
      </c>
      <c r="G1028" t="s">
        <v>45</v>
      </c>
      <c r="H1028" s="24">
        <v>0</v>
      </c>
      <c r="I1028" t="str">
        <f>IF(H1028&lt;=0,"",LOOKUP(H1028,'Regras e Parâmetros'!$B$4:$B$7,'Regras e Parâmetros'!$A$4:$A$7))</f>
        <v/>
      </c>
      <c r="J1028" t="s">
        <v>9790</v>
      </c>
      <c r="L1028" t="s">
        <v>9883</v>
      </c>
    </row>
    <row r="1029" spans="1:12" x14ac:dyDescent="0.3">
      <c r="A1029" t="s">
        <v>9345</v>
      </c>
      <c r="B1029" s="5" t="s">
        <v>9346</v>
      </c>
      <c r="C1029" t="s">
        <v>6456</v>
      </c>
      <c r="D1029" t="s">
        <v>5177</v>
      </c>
      <c r="E1029" t="s">
        <v>9347</v>
      </c>
      <c r="F1029" s="1">
        <v>46064</v>
      </c>
      <c r="G1029" t="s">
        <v>45</v>
      </c>
      <c r="H1029" s="24">
        <v>0</v>
      </c>
      <c r="I1029" t="str">
        <f>IF(H1029&lt;=0,"",LOOKUP(H1029,'Regras e Parâmetros'!$B$4:$B$7,'Regras e Parâmetros'!$A$4:$A$7))</f>
        <v/>
      </c>
      <c r="J1029" t="s">
        <v>9790</v>
      </c>
      <c r="L1029" t="s">
        <v>9883</v>
      </c>
    </row>
    <row r="1030" spans="1:12" x14ac:dyDescent="0.3">
      <c r="A1030" t="s">
        <v>5639</v>
      </c>
      <c r="B1030" s="5" t="s">
        <v>9601</v>
      </c>
      <c r="C1030" t="s">
        <v>6456</v>
      </c>
      <c r="D1030" t="s">
        <v>5640</v>
      </c>
      <c r="E1030" t="s">
        <v>9602</v>
      </c>
      <c r="F1030" s="1">
        <v>46201</v>
      </c>
      <c r="G1030" t="s">
        <v>110</v>
      </c>
      <c r="H1030" s="24">
        <v>0</v>
      </c>
      <c r="I1030" t="str">
        <f>IF(H1030&lt;=0,"",LOOKUP(H1030,'Regras e Parâmetros'!$B$4:$B$7,'Regras e Parâmetros'!$A$4:$A$7))</f>
        <v/>
      </c>
      <c r="J1030" t="s">
        <v>6747</v>
      </c>
      <c r="K1030" t="s">
        <v>187</v>
      </c>
      <c r="L1030" t="s">
        <v>9883</v>
      </c>
    </row>
    <row r="1031" spans="1:12" x14ac:dyDescent="0.3">
      <c r="A1031" t="s">
        <v>3717</v>
      </c>
      <c r="B1031" s="5" t="s">
        <v>8481</v>
      </c>
      <c r="C1031" t="s">
        <v>6456</v>
      </c>
      <c r="D1031" t="s">
        <v>3718</v>
      </c>
      <c r="E1031" t="s">
        <v>8482</v>
      </c>
      <c r="F1031" s="1">
        <v>45632</v>
      </c>
      <c r="G1031" t="s">
        <v>110</v>
      </c>
      <c r="H1031" s="24">
        <v>130</v>
      </c>
      <c r="I1031" t="str">
        <f>IF(H1031&lt;=0,"",LOOKUP(H1031,'Regras e Parâmetros'!$B$4:$B$7,'Regras e Parâmetros'!$A$4:$A$7))</f>
        <v>Bronze</v>
      </c>
      <c r="J1031" t="s">
        <v>9790</v>
      </c>
    </row>
    <row r="1032" spans="1:12" x14ac:dyDescent="0.3">
      <c r="A1032" t="s">
        <v>3230</v>
      </c>
      <c r="B1032" s="5" t="s">
        <v>8217</v>
      </c>
      <c r="C1032" t="s">
        <v>6456</v>
      </c>
      <c r="D1032" t="s">
        <v>3231</v>
      </c>
      <c r="E1032" t="s">
        <v>8218</v>
      </c>
      <c r="F1032" s="1">
        <v>45471</v>
      </c>
      <c r="G1032" t="s">
        <v>18</v>
      </c>
      <c r="H1032" s="24">
        <v>664</v>
      </c>
      <c r="I1032" t="str">
        <f>IF(H1032&lt;=0,"",LOOKUP(H1032,'Regras e Parâmetros'!$B$4:$B$7,'Regras e Parâmetros'!$A$4:$A$7))</f>
        <v>Bronze</v>
      </c>
      <c r="J1032" t="s">
        <v>9790</v>
      </c>
    </row>
    <row r="1033" spans="1:12" x14ac:dyDescent="0.3">
      <c r="A1033" t="s">
        <v>1624</v>
      </c>
      <c r="B1033" s="5" t="s">
        <v>1625</v>
      </c>
      <c r="C1033" t="s">
        <v>6747</v>
      </c>
      <c r="D1033" t="s">
        <v>1626</v>
      </c>
      <c r="E1033" t="s">
        <v>1627</v>
      </c>
      <c r="F1033" s="1">
        <v>44917</v>
      </c>
      <c r="G1033" t="s">
        <v>22</v>
      </c>
      <c r="H1033" s="24">
        <v>4876</v>
      </c>
      <c r="I1033" t="str">
        <f>IF(H1033&lt;=0,"",LOOKUP(H1033,'Regras e Parâmetros'!$B$4:$B$7,'Regras e Parâmetros'!$A$4:$A$7))</f>
        <v>Prata</v>
      </c>
      <c r="J1033" t="s">
        <v>6456</v>
      </c>
      <c r="L1033" t="s">
        <v>10240</v>
      </c>
    </row>
    <row r="1034" spans="1:12" x14ac:dyDescent="0.3">
      <c r="A1034" t="s">
        <v>3119</v>
      </c>
      <c r="B1034" s="5" t="s">
        <v>8169</v>
      </c>
      <c r="C1034" t="s">
        <v>6456</v>
      </c>
      <c r="D1034" t="s">
        <v>3120</v>
      </c>
      <c r="E1034" t="s">
        <v>3121</v>
      </c>
      <c r="F1034" s="1">
        <v>45432</v>
      </c>
      <c r="G1034" t="s">
        <v>51</v>
      </c>
      <c r="H1034" s="24">
        <v>506</v>
      </c>
      <c r="I1034" t="str">
        <f>IF(H1034&lt;=0,"",LOOKUP(H1034,'Regras e Parâmetros'!$B$4:$B$7,'Regras e Parâmetros'!$A$4:$A$7))</f>
        <v>Bronze</v>
      </c>
      <c r="J1034" t="s">
        <v>6747</v>
      </c>
    </row>
    <row r="1035" spans="1:12" x14ac:dyDescent="0.3">
      <c r="A1035" t="s">
        <v>5052</v>
      </c>
      <c r="B1035" s="5" t="s">
        <v>9275</v>
      </c>
      <c r="C1035" t="s">
        <v>6456</v>
      </c>
      <c r="D1035" t="s">
        <v>5053</v>
      </c>
      <c r="E1035" t="s">
        <v>9276</v>
      </c>
      <c r="F1035" s="1">
        <v>46030</v>
      </c>
      <c r="G1035" t="s">
        <v>51</v>
      </c>
      <c r="H1035" s="24">
        <v>0</v>
      </c>
      <c r="I1035" t="str">
        <f>IF(H1035&lt;=0,"",LOOKUP(H1035,'Regras e Parâmetros'!$B$4:$B$7,'Regras e Parâmetros'!$A$4:$A$7))</f>
        <v/>
      </c>
      <c r="J1035" t="s">
        <v>6456</v>
      </c>
      <c r="L1035" t="s">
        <v>9883</v>
      </c>
    </row>
    <row r="1036" spans="1:12" x14ac:dyDescent="0.3">
      <c r="A1036" t="s">
        <v>556</v>
      </c>
      <c r="B1036" s="5" t="s">
        <v>6751</v>
      </c>
      <c r="C1036" t="s">
        <v>6456</v>
      </c>
      <c r="D1036" t="s">
        <v>557</v>
      </c>
      <c r="E1036" t="s">
        <v>6752</v>
      </c>
      <c r="F1036" s="1">
        <v>44537</v>
      </c>
      <c r="G1036" t="s">
        <v>100</v>
      </c>
      <c r="H1036" s="24">
        <v>873</v>
      </c>
      <c r="I1036" t="str">
        <f>IF(H1036&lt;=0,"",LOOKUP(H1036,'Regras e Parâmetros'!$B$4:$B$7,'Regras e Parâmetros'!$A$4:$A$7))</f>
        <v>Bronze</v>
      </c>
      <c r="J1036" t="s">
        <v>6747</v>
      </c>
    </row>
    <row r="1037" spans="1:12" x14ac:dyDescent="0.3">
      <c r="A1037" t="s">
        <v>1703</v>
      </c>
      <c r="B1037" s="5" t="s">
        <v>1704</v>
      </c>
      <c r="C1037" t="s">
        <v>6456</v>
      </c>
      <c r="D1037" t="s">
        <v>3256</v>
      </c>
      <c r="E1037" t="s">
        <v>3257</v>
      </c>
      <c r="F1037" s="1">
        <v>44942</v>
      </c>
      <c r="G1037" t="s">
        <v>22</v>
      </c>
      <c r="H1037" s="24">
        <v>15000</v>
      </c>
      <c r="I1037" t="str">
        <f>IF(H1037&lt;=0,"",LOOKUP(H1037,'Regras e Parâmetros'!$B$4:$B$7,'Regras e Parâmetros'!$A$4:$A$7))</f>
        <v>Vip</v>
      </c>
      <c r="J1037" t="s">
        <v>6747</v>
      </c>
      <c r="K1037" t="s">
        <v>9832</v>
      </c>
    </row>
    <row r="1038" spans="1:12" x14ac:dyDescent="0.3">
      <c r="A1038" t="s">
        <v>1703</v>
      </c>
      <c r="B1038" s="5" t="s">
        <v>9499</v>
      </c>
      <c r="C1038" t="s">
        <v>6456</v>
      </c>
      <c r="D1038" t="s">
        <v>5450</v>
      </c>
      <c r="E1038" t="s">
        <v>5451</v>
      </c>
      <c r="F1038" s="1">
        <v>46145</v>
      </c>
      <c r="G1038" t="s">
        <v>51</v>
      </c>
      <c r="H1038" s="24">
        <v>0</v>
      </c>
      <c r="I1038" t="str">
        <f>IF(H1038&lt;=0,"",LOOKUP(H1038,'Regras e Parâmetros'!$B$4:$B$7,'Regras e Parâmetros'!$A$4:$A$7))</f>
        <v/>
      </c>
      <c r="J1038" t="s">
        <v>9790</v>
      </c>
      <c r="L1038" t="s">
        <v>9883</v>
      </c>
    </row>
    <row r="1039" spans="1:12" x14ac:dyDescent="0.3">
      <c r="A1039" t="s">
        <v>3063</v>
      </c>
      <c r="B1039" s="5" t="s">
        <v>8140</v>
      </c>
      <c r="C1039" t="s">
        <v>6456</v>
      </c>
      <c r="D1039" t="s">
        <v>3064</v>
      </c>
      <c r="E1039" t="s">
        <v>10107</v>
      </c>
      <c r="F1039" s="1">
        <v>45413</v>
      </c>
      <c r="G1039" t="s">
        <v>45</v>
      </c>
      <c r="H1039" s="24">
        <v>304</v>
      </c>
      <c r="I1039" t="str">
        <f>IF(H1039&lt;=0,"",LOOKUP(H1039,'Regras e Parâmetros'!$B$4:$B$7,'Regras e Parâmetros'!$A$4:$A$7))</f>
        <v>Bronze</v>
      </c>
      <c r="J1039" t="s">
        <v>9790</v>
      </c>
    </row>
    <row r="1040" spans="1:12" x14ac:dyDescent="0.3">
      <c r="A1040" t="s">
        <v>3049</v>
      </c>
      <c r="B1040" s="5" t="s">
        <v>3050</v>
      </c>
      <c r="C1040" t="s">
        <v>6456</v>
      </c>
      <c r="D1040" t="s">
        <v>3051</v>
      </c>
      <c r="E1040" t="s">
        <v>3052</v>
      </c>
      <c r="F1040" s="1">
        <v>45410</v>
      </c>
      <c r="G1040" t="s">
        <v>22</v>
      </c>
      <c r="H1040" s="24">
        <v>543</v>
      </c>
      <c r="I1040" t="str">
        <f>IF(H1040&lt;=0,"",LOOKUP(H1040,'Regras e Parâmetros'!$B$4:$B$7,'Regras e Parâmetros'!$A$4:$A$7))</f>
        <v>Bronze</v>
      </c>
      <c r="J1040" t="s">
        <v>6456</v>
      </c>
    </row>
    <row r="1041" spans="1:12" x14ac:dyDescent="0.3">
      <c r="A1041" t="s">
        <v>7642</v>
      </c>
      <c r="B1041" s="5" t="s">
        <v>6098</v>
      </c>
      <c r="C1041" t="s">
        <v>6456</v>
      </c>
      <c r="D1041" t="s">
        <v>2104</v>
      </c>
      <c r="E1041" t="s">
        <v>7643</v>
      </c>
      <c r="F1041" s="1">
        <v>45081</v>
      </c>
      <c r="G1041" t="s">
        <v>51</v>
      </c>
      <c r="H1041" s="24">
        <v>689</v>
      </c>
      <c r="I1041" t="str">
        <f>IF(H1041&lt;=0,"",LOOKUP(H1041,'Regras e Parâmetros'!$B$4:$B$7,'Regras e Parâmetros'!$A$4:$A$7))</f>
        <v>Bronze</v>
      </c>
      <c r="J1041" t="s">
        <v>6747</v>
      </c>
    </row>
    <row r="1042" spans="1:12" x14ac:dyDescent="0.3">
      <c r="A1042" t="s">
        <v>5463</v>
      </c>
      <c r="B1042" s="5" t="s">
        <v>9505</v>
      </c>
      <c r="C1042" t="s">
        <v>6456</v>
      </c>
      <c r="D1042" t="s">
        <v>5464</v>
      </c>
      <c r="E1042" t="s">
        <v>9506</v>
      </c>
      <c r="F1042" s="1">
        <v>46148</v>
      </c>
      <c r="G1042" t="s">
        <v>51</v>
      </c>
      <c r="H1042" s="24">
        <v>0</v>
      </c>
      <c r="I1042" t="str">
        <f>IF(H1042&lt;=0,"",LOOKUP(H1042,'Regras e Parâmetros'!$B$4:$B$7,'Regras e Parâmetros'!$A$4:$A$7))</f>
        <v/>
      </c>
      <c r="J1042" t="s">
        <v>9790</v>
      </c>
      <c r="L1042" t="s">
        <v>9883</v>
      </c>
    </row>
    <row r="1043" spans="1:12" x14ac:dyDescent="0.3">
      <c r="A1043" t="s">
        <v>6809</v>
      </c>
      <c r="B1043" s="5" t="s">
        <v>6810</v>
      </c>
      <c r="C1043" t="s">
        <v>6456</v>
      </c>
      <c r="D1043" t="s">
        <v>657</v>
      </c>
      <c r="E1043" t="s">
        <v>6811</v>
      </c>
      <c r="F1043" s="1">
        <v>44575</v>
      </c>
      <c r="G1043" t="s">
        <v>110</v>
      </c>
      <c r="H1043" s="24">
        <v>571</v>
      </c>
      <c r="I1043" t="str">
        <f>IF(H1043&lt;=0,"",LOOKUP(H1043,'Regras e Parâmetros'!$B$4:$B$7,'Regras e Parâmetros'!$A$4:$A$7))</f>
        <v>Bronze</v>
      </c>
      <c r="J1043" t="s">
        <v>6456</v>
      </c>
    </row>
    <row r="1044" spans="1:12" x14ac:dyDescent="0.3">
      <c r="A1044" t="s">
        <v>7877</v>
      </c>
      <c r="B1044" s="5" t="s">
        <v>2520</v>
      </c>
      <c r="C1044" t="s">
        <v>6456</v>
      </c>
      <c r="D1044" t="s">
        <v>2521</v>
      </c>
      <c r="E1044" t="s">
        <v>2522</v>
      </c>
      <c r="F1044" s="1">
        <v>45208</v>
      </c>
      <c r="G1044" t="s">
        <v>51</v>
      </c>
      <c r="H1044" s="24">
        <v>606</v>
      </c>
      <c r="I1044" t="str">
        <f>IF(H1044&lt;=0,"",LOOKUP(H1044,'Regras e Parâmetros'!$B$4:$B$7,'Regras e Parâmetros'!$A$4:$A$7))</f>
        <v>Bronze</v>
      </c>
      <c r="J1044" t="s">
        <v>6747</v>
      </c>
    </row>
    <row r="1045" spans="1:12" x14ac:dyDescent="0.3">
      <c r="A1045" t="s">
        <v>4175</v>
      </c>
      <c r="B1045" s="5" t="s">
        <v>8761</v>
      </c>
      <c r="C1045" t="s">
        <v>6456</v>
      </c>
      <c r="D1045" t="s">
        <v>4176</v>
      </c>
      <c r="E1045" t="s">
        <v>8762</v>
      </c>
      <c r="F1045" s="1">
        <v>45765</v>
      </c>
      <c r="G1045" t="s">
        <v>51</v>
      </c>
      <c r="H1045" s="24">
        <v>0</v>
      </c>
      <c r="I1045" t="str">
        <f>IF(H1045&lt;=0,"",LOOKUP(H1045,'Regras e Parâmetros'!$B$4:$B$7,'Regras e Parâmetros'!$A$4:$A$7))</f>
        <v/>
      </c>
      <c r="J1045" t="s">
        <v>9790</v>
      </c>
      <c r="K1045" t="s">
        <v>8</v>
      </c>
      <c r="L1045" t="s">
        <v>9883</v>
      </c>
    </row>
    <row r="1046" spans="1:12" x14ac:dyDescent="0.3">
      <c r="A1046" t="s">
        <v>3627</v>
      </c>
      <c r="B1046" s="5" t="s">
        <v>8435</v>
      </c>
      <c r="C1046" t="s">
        <v>6456</v>
      </c>
      <c r="D1046" t="s">
        <v>3628</v>
      </c>
      <c r="E1046" t="s">
        <v>3629</v>
      </c>
      <c r="F1046" s="1">
        <v>45602</v>
      </c>
      <c r="G1046" t="s">
        <v>110</v>
      </c>
      <c r="H1046" s="24">
        <v>196</v>
      </c>
      <c r="I1046" t="str">
        <f>IF(H1046&lt;=0,"",LOOKUP(H1046,'Regras e Parâmetros'!$B$4:$B$7,'Regras e Parâmetros'!$A$4:$A$7))</f>
        <v>Bronze</v>
      </c>
      <c r="J1046" t="s">
        <v>6747</v>
      </c>
    </row>
    <row r="1047" spans="1:12" x14ac:dyDescent="0.3">
      <c r="A1047" t="s">
        <v>7750</v>
      </c>
      <c r="B1047" s="5" t="s">
        <v>7751</v>
      </c>
      <c r="C1047" t="s">
        <v>6456</v>
      </c>
      <c r="D1047" t="s">
        <v>2301</v>
      </c>
      <c r="E1047" t="s">
        <v>7752</v>
      </c>
      <c r="F1047" s="1">
        <v>45136</v>
      </c>
      <c r="G1047" t="s">
        <v>45</v>
      </c>
      <c r="H1047" s="24">
        <v>6399</v>
      </c>
      <c r="I1047" t="str">
        <f>IF(H1047&lt;=0,"",LOOKUP(H1047,'Regras e Parâmetros'!$B$4:$B$7,'Regras e Parâmetros'!$A$4:$A$7))</f>
        <v>Ouro</v>
      </c>
      <c r="J1047" t="s">
        <v>9790</v>
      </c>
    </row>
    <row r="1048" spans="1:12" x14ac:dyDescent="0.3">
      <c r="A1048" t="s">
        <v>8543</v>
      </c>
      <c r="B1048" s="5" t="s">
        <v>8544</v>
      </c>
      <c r="C1048" t="s">
        <v>6456</v>
      </c>
      <c r="D1048" t="s">
        <v>3809</v>
      </c>
      <c r="E1048" t="s">
        <v>3810</v>
      </c>
      <c r="F1048" s="1">
        <v>45667</v>
      </c>
      <c r="G1048" t="s">
        <v>45</v>
      </c>
      <c r="H1048" s="24">
        <v>0</v>
      </c>
      <c r="I1048" t="str">
        <f>IF(H1048&lt;=0,"",LOOKUP(H1048,'Regras e Parâmetros'!$B$4:$B$7,'Regras e Parâmetros'!$A$4:$A$7))</f>
        <v/>
      </c>
      <c r="J1048" t="s">
        <v>6747</v>
      </c>
      <c r="L1048" t="s">
        <v>9883</v>
      </c>
    </row>
    <row r="1049" spans="1:12" x14ac:dyDescent="0.3">
      <c r="A1049" t="s">
        <v>4941</v>
      </c>
      <c r="B1049" s="5" t="s">
        <v>9211</v>
      </c>
      <c r="C1049" t="s">
        <v>6456</v>
      </c>
      <c r="D1049" t="s">
        <v>4942</v>
      </c>
      <c r="E1049" t="s">
        <v>10108</v>
      </c>
      <c r="F1049" s="1">
        <v>45996</v>
      </c>
      <c r="G1049" t="s">
        <v>51</v>
      </c>
      <c r="H1049" s="24">
        <v>0</v>
      </c>
      <c r="I1049" t="str">
        <f>IF(H1049&lt;=0,"",LOOKUP(H1049,'Regras e Parâmetros'!$B$4:$B$7,'Regras e Parâmetros'!$A$4:$A$7))</f>
        <v/>
      </c>
      <c r="J1049" t="s">
        <v>9790</v>
      </c>
      <c r="L1049" t="s">
        <v>9883</v>
      </c>
    </row>
    <row r="1050" spans="1:12" x14ac:dyDescent="0.3">
      <c r="A1050" t="s">
        <v>1123</v>
      </c>
      <c r="B1050" s="5" t="s">
        <v>7042</v>
      </c>
      <c r="C1050" t="s">
        <v>6456</v>
      </c>
      <c r="D1050" t="s">
        <v>1124</v>
      </c>
      <c r="E1050" t="s">
        <v>7043</v>
      </c>
      <c r="F1050" s="1">
        <v>44730</v>
      </c>
      <c r="G1050" t="s">
        <v>51</v>
      </c>
      <c r="H1050" s="24">
        <v>2026</v>
      </c>
      <c r="I1050" t="str">
        <f>IF(H1050&lt;=0,"",LOOKUP(H1050,'Regras e Parâmetros'!$B$4:$B$7,'Regras e Parâmetros'!$A$4:$A$7))</f>
        <v>Prata</v>
      </c>
      <c r="J1050" t="s">
        <v>6747</v>
      </c>
      <c r="K1050" t="s">
        <v>44</v>
      </c>
    </row>
    <row r="1051" spans="1:12" x14ac:dyDescent="0.3">
      <c r="A1051" t="s">
        <v>417</v>
      </c>
      <c r="B1051" s="5" t="s">
        <v>6681</v>
      </c>
      <c r="C1051" t="s">
        <v>6456</v>
      </c>
      <c r="D1051" t="s">
        <v>418</v>
      </c>
      <c r="E1051" t="s">
        <v>6682</v>
      </c>
      <c r="F1051" s="1">
        <v>44493</v>
      </c>
      <c r="G1051" t="s">
        <v>110</v>
      </c>
      <c r="H1051" s="24">
        <v>5985</v>
      </c>
      <c r="I1051" t="str">
        <f>IF(H1051&lt;=0,"",LOOKUP(H1051,'Regras e Parâmetros'!$B$4:$B$7,'Regras e Parâmetros'!$A$4:$A$7))</f>
        <v>Ouro</v>
      </c>
      <c r="J1051" t="s">
        <v>6747</v>
      </c>
      <c r="K1051" t="s">
        <v>8</v>
      </c>
    </row>
    <row r="1052" spans="1:12" x14ac:dyDescent="0.3">
      <c r="A1052" t="s">
        <v>2636</v>
      </c>
      <c r="B1052" s="5" t="s">
        <v>7941</v>
      </c>
      <c r="C1052" t="s">
        <v>6456</v>
      </c>
      <c r="D1052" t="s">
        <v>2637</v>
      </c>
      <c r="E1052" t="s">
        <v>7942</v>
      </c>
      <c r="F1052" s="1">
        <v>45246</v>
      </c>
      <c r="G1052" t="s">
        <v>51</v>
      </c>
      <c r="H1052" s="24">
        <v>365</v>
      </c>
      <c r="I1052" t="str">
        <f>IF(H1052&lt;=0,"",LOOKUP(H1052,'Regras e Parâmetros'!$B$4:$B$7,'Regras e Parâmetros'!$A$4:$A$7))</f>
        <v>Bronze</v>
      </c>
      <c r="J1052" t="s">
        <v>6747</v>
      </c>
      <c r="K1052" t="s">
        <v>8</v>
      </c>
    </row>
    <row r="1053" spans="1:12" x14ac:dyDescent="0.3">
      <c r="A1053" t="s">
        <v>5083</v>
      </c>
      <c r="B1053" s="5" t="s">
        <v>9289</v>
      </c>
      <c r="C1053" t="s">
        <v>6456</v>
      </c>
      <c r="D1053" t="s">
        <v>5084</v>
      </c>
      <c r="E1053" t="s">
        <v>5085</v>
      </c>
      <c r="F1053" s="1">
        <v>46040</v>
      </c>
      <c r="G1053" t="s">
        <v>45</v>
      </c>
      <c r="H1053" s="24">
        <v>0</v>
      </c>
      <c r="I1053" t="str">
        <f>IF(H1053&lt;=0,"",LOOKUP(H1053,'Regras e Parâmetros'!$B$4:$B$7,'Regras e Parâmetros'!$A$4:$A$7))</f>
        <v/>
      </c>
      <c r="J1053" t="s">
        <v>6456</v>
      </c>
      <c r="K1053" t="s">
        <v>177</v>
      </c>
      <c r="L1053" t="s">
        <v>9883</v>
      </c>
    </row>
    <row r="1054" spans="1:12" x14ac:dyDescent="0.3">
      <c r="A1054" t="s">
        <v>954</v>
      </c>
      <c r="B1054" s="5" t="s">
        <v>6989</v>
      </c>
      <c r="C1054" t="s">
        <v>6456</v>
      </c>
      <c r="D1054" t="s">
        <v>955</v>
      </c>
      <c r="E1054" t="s">
        <v>956</v>
      </c>
      <c r="F1054" s="1">
        <v>44689</v>
      </c>
      <c r="G1054" t="s">
        <v>45</v>
      </c>
      <c r="H1054" s="24">
        <v>3344</v>
      </c>
      <c r="I1054" t="str">
        <f>IF(H1054&lt;=0,"",LOOKUP(H1054,'Regras e Parâmetros'!$B$4:$B$7,'Regras e Parâmetros'!$A$4:$A$7))</f>
        <v>Prata</v>
      </c>
      <c r="J1054" t="s">
        <v>6747</v>
      </c>
      <c r="L1054" t="s">
        <v>9792</v>
      </c>
    </row>
    <row r="1055" spans="1:12" x14ac:dyDescent="0.3">
      <c r="A1055" t="s">
        <v>3523</v>
      </c>
      <c r="B1055" s="5" t="s">
        <v>8372</v>
      </c>
      <c r="C1055" t="s">
        <v>6456</v>
      </c>
      <c r="D1055" t="s">
        <v>3524</v>
      </c>
      <c r="E1055" t="s">
        <v>3525</v>
      </c>
      <c r="F1055" s="1">
        <v>45575</v>
      </c>
      <c r="G1055" t="s">
        <v>51</v>
      </c>
      <c r="H1055" s="24">
        <v>151</v>
      </c>
      <c r="I1055" t="str">
        <f>IF(H1055&lt;=0,"",LOOKUP(H1055,'Regras e Parâmetros'!$B$4:$B$7,'Regras e Parâmetros'!$A$4:$A$7))</f>
        <v>Bronze</v>
      </c>
      <c r="J1055" t="s">
        <v>9790</v>
      </c>
    </row>
    <row r="1056" spans="1:12" x14ac:dyDescent="0.3">
      <c r="A1056" t="s">
        <v>2908</v>
      </c>
      <c r="B1056" s="5" t="s">
        <v>8076</v>
      </c>
      <c r="C1056" t="s">
        <v>6456</v>
      </c>
      <c r="D1056" t="s">
        <v>2909</v>
      </c>
      <c r="E1056" t="s">
        <v>2910</v>
      </c>
      <c r="F1056" s="1">
        <v>45361</v>
      </c>
      <c r="G1056" t="s">
        <v>100</v>
      </c>
      <c r="H1056" s="24">
        <v>640</v>
      </c>
      <c r="I1056" t="str">
        <f>IF(H1056&lt;=0,"",LOOKUP(H1056,'Regras e Parâmetros'!$B$4:$B$7,'Regras e Parâmetros'!$A$4:$A$7))</f>
        <v>Bronze</v>
      </c>
      <c r="J1056" t="s">
        <v>9790</v>
      </c>
    </row>
    <row r="1057" spans="1:12" x14ac:dyDescent="0.3">
      <c r="A1057" t="s">
        <v>9512</v>
      </c>
      <c r="B1057" s="5" t="s">
        <v>9513</v>
      </c>
      <c r="C1057" t="s">
        <v>6456</v>
      </c>
      <c r="D1057" t="s">
        <v>5486</v>
      </c>
      <c r="E1057" t="s">
        <v>9514</v>
      </c>
      <c r="F1057" s="1">
        <v>46155</v>
      </c>
      <c r="G1057" t="s">
        <v>45</v>
      </c>
      <c r="H1057" s="24">
        <v>0</v>
      </c>
      <c r="I1057" t="str">
        <f>IF(H1057&lt;=0,"",LOOKUP(H1057,'Regras e Parâmetros'!$B$4:$B$7,'Regras e Parâmetros'!$A$4:$A$7))</f>
        <v/>
      </c>
      <c r="J1057" t="s">
        <v>9790</v>
      </c>
      <c r="L1057" t="s">
        <v>9883</v>
      </c>
    </row>
    <row r="1058" spans="1:12" x14ac:dyDescent="0.3">
      <c r="A1058" t="s">
        <v>1847</v>
      </c>
      <c r="B1058" s="5" t="s">
        <v>7486</v>
      </c>
      <c r="C1058" t="s">
        <v>6456</v>
      </c>
      <c r="D1058" t="s">
        <v>1848</v>
      </c>
      <c r="E1058" t="s">
        <v>7487</v>
      </c>
      <c r="F1058" s="1">
        <v>44986</v>
      </c>
      <c r="G1058" t="s">
        <v>22</v>
      </c>
      <c r="H1058" s="24">
        <v>1387</v>
      </c>
      <c r="I1058" t="str">
        <f>IF(H1058&lt;=0,"",LOOKUP(H1058,'Regras e Parâmetros'!$B$4:$B$7,'Regras e Parâmetros'!$A$4:$A$7))</f>
        <v>Bronze</v>
      </c>
      <c r="J1058" t="s">
        <v>9790</v>
      </c>
      <c r="L1058" t="s">
        <v>9791</v>
      </c>
    </row>
    <row r="1059" spans="1:12" x14ac:dyDescent="0.3">
      <c r="A1059" t="s">
        <v>8627</v>
      </c>
      <c r="B1059" s="5" t="s">
        <v>3922</v>
      </c>
      <c r="C1059" t="s">
        <v>6456</v>
      </c>
      <c r="D1059" t="s">
        <v>3923</v>
      </c>
      <c r="E1059" t="s">
        <v>3924</v>
      </c>
      <c r="F1059" s="1">
        <v>45696</v>
      </c>
      <c r="G1059" t="s">
        <v>45</v>
      </c>
      <c r="H1059" s="24">
        <v>0</v>
      </c>
      <c r="I1059" t="str">
        <f>IF(H1059&lt;=0,"",LOOKUP(H1059,'Regras e Parâmetros'!$B$4:$B$7,'Regras e Parâmetros'!$A$4:$A$7))</f>
        <v/>
      </c>
      <c r="J1059" t="s">
        <v>6747</v>
      </c>
      <c r="L1059" t="s">
        <v>9883</v>
      </c>
    </row>
    <row r="1060" spans="1:12" x14ac:dyDescent="0.3">
      <c r="A1060" t="s">
        <v>1883</v>
      </c>
      <c r="B1060" s="5" t="s">
        <v>1884</v>
      </c>
      <c r="C1060" t="s">
        <v>6456</v>
      </c>
      <c r="D1060" t="s">
        <v>1885</v>
      </c>
      <c r="E1060" t="s">
        <v>7516</v>
      </c>
      <c r="F1060" s="1">
        <v>45004</v>
      </c>
      <c r="G1060" t="s">
        <v>45</v>
      </c>
      <c r="H1060" s="24">
        <v>3403</v>
      </c>
      <c r="I1060" t="str">
        <f>IF(H1060&lt;=0,"",LOOKUP(H1060,'Regras e Parâmetros'!$B$4:$B$7,'Regras e Parâmetros'!$A$4:$A$7))</f>
        <v>Prata</v>
      </c>
      <c r="J1060" t="s">
        <v>9790</v>
      </c>
    </row>
    <row r="1061" spans="1:12" x14ac:dyDescent="0.3">
      <c r="A1061" t="s">
        <v>1529</v>
      </c>
      <c r="B1061" s="5" t="s">
        <v>7312</v>
      </c>
      <c r="C1061" t="s">
        <v>6456</v>
      </c>
      <c r="D1061" t="s">
        <v>1530</v>
      </c>
      <c r="E1061" t="s">
        <v>7313</v>
      </c>
      <c r="F1061" s="1">
        <v>44887</v>
      </c>
      <c r="G1061" t="s">
        <v>110</v>
      </c>
      <c r="H1061" s="24">
        <v>2558</v>
      </c>
      <c r="I1061" t="str">
        <f>IF(H1061&lt;=0,"",LOOKUP(H1061,'Regras e Parâmetros'!$B$4:$B$7,'Regras e Parâmetros'!$A$4:$A$7))</f>
        <v>Prata</v>
      </c>
      <c r="J1061" t="s">
        <v>9790</v>
      </c>
    </row>
    <row r="1062" spans="1:12" x14ac:dyDescent="0.3">
      <c r="A1062" t="s">
        <v>1539</v>
      </c>
      <c r="B1062" s="5" t="s">
        <v>7314</v>
      </c>
      <c r="C1062" t="s">
        <v>6456</v>
      </c>
      <c r="D1062" t="s">
        <v>1540</v>
      </c>
      <c r="E1062" t="s">
        <v>1541</v>
      </c>
      <c r="F1062" s="1">
        <v>44890</v>
      </c>
      <c r="G1062" t="s">
        <v>110</v>
      </c>
      <c r="H1062" s="24">
        <v>2006</v>
      </c>
      <c r="I1062" t="str">
        <f>IF(H1062&lt;=0,"",LOOKUP(H1062,'Regras e Parâmetros'!$B$4:$B$7,'Regras e Parâmetros'!$A$4:$A$7))</f>
        <v>Prata</v>
      </c>
      <c r="J1062" t="s">
        <v>9790</v>
      </c>
    </row>
    <row r="1063" spans="1:12" x14ac:dyDescent="0.3">
      <c r="A1063" t="s">
        <v>1125</v>
      </c>
      <c r="B1063" s="5" t="s">
        <v>7165</v>
      </c>
      <c r="C1063" t="s">
        <v>6456</v>
      </c>
      <c r="D1063" t="s">
        <v>1126</v>
      </c>
      <c r="E1063" t="s">
        <v>1127</v>
      </c>
      <c r="F1063" s="1">
        <v>44822</v>
      </c>
      <c r="G1063" t="s">
        <v>45</v>
      </c>
      <c r="H1063" s="24">
        <v>1521</v>
      </c>
      <c r="I1063" t="str">
        <f>IF(H1063&lt;=0,"",LOOKUP(H1063,'Regras e Parâmetros'!$B$4:$B$7,'Regras e Parâmetros'!$A$4:$A$7))</f>
        <v>Prata</v>
      </c>
      <c r="J1063" t="s">
        <v>9790</v>
      </c>
      <c r="K1063" t="s">
        <v>33</v>
      </c>
    </row>
    <row r="1064" spans="1:12" x14ac:dyDescent="0.3">
      <c r="A1064" t="s">
        <v>4461</v>
      </c>
      <c r="B1064" s="5" t="s">
        <v>8916</v>
      </c>
      <c r="C1064" t="s">
        <v>6456</v>
      </c>
      <c r="D1064" t="s">
        <v>4462</v>
      </c>
      <c r="E1064" t="s">
        <v>4463</v>
      </c>
      <c r="F1064" s="1">
        <v>45856</v>
      </c>
      <c r="G1064" t="s">
        <v>45</v>
      </c>
      <c r="H1064" s="24">
        <v>0</v>
      </c>
      <c r="I1064" t="str">
        <f>IF(H1064&lt;=0,"",LOOKUP(H1064,'Regras e Parâmetros'!$B$4:$B$7,'Regras e Parâmetros'!$A$4:$A$7))</f>
        <v/>
      </c>
      <c r="J1064" t="s">
        <v>6747</v>
      </c>
      <c r="L1064" t="s">
        <v>9883</v>
      </c>
    </row>
    <row r="1065" spans="1:12" x14ac:dyDescent="0.3">
      <c r="A1065" t="s">
        <v>3561</v>
      </c>
      <c r="B1065" s="5" t="s">
        <v>6264</v>
      </c>
      <c r="C1065" t="s">
        <v>6456</v>
      </c>
      <c r="D1065" t="s">
        <v>3562</v>
      </c>
      <c r="E1065" t="s">
        <v>3563</v>
      </c>
      <c r="F1065" s="1">
        <v>45584</v>
      </c>
      <c r="G1065" t="s">
        <v>18</v>
      </c>
      <c r="H1065" s="24">
        <v>2944</v>
      </c>
      <c r="I1065" t="str">
        <f>IF(H1065&lt;=0,"",LOOKUP(H1065,'Regras e Parâmetros'!$B$4:$B$7,'Regras e Parâmetros'!$A$4:$A$7))</f>
        <v>Prata</v>
      </c>
      <c r="J1065" t="s">
        <v>9790</v>
      </c>
    </row>
    <row r="1066" spans="1:12" x14ac:dyDescent="0.3">
      <c r="A1066" t="s">
        <v>1849</v>
      </c>
      <c r="B1066" s="5" t="s">
        <v>7062</v>
      </c>
      <c r="C1066" t="s">
        <v>6456</v>
      </c>
      <c r="D1066" t="s">
        <v>1850</v>
      </c>
      <c r="E1066" t="s">
        <v>7063</v>
      </c>
      <c r="F1066" s="1">
        <v>44742</v>
      </c>
      <c r="G1066" t="s">
        <v>51</v>
      </c>
      <c r="H1066" s="24">
        <v>791</v>
      </c>
      <c r="I1066" t="str">
        <f>IF(H1066&lt;=0,"",LOOKUP(H1066,'Regras e Parâmetros'!$B$4:$B$7,'Regras e Parâmetros'!$A$4:$A$7))</f>
        <v>Bronze</v>
      </c>
      <c r="J1066" t="s">
        <v>6456</v>
      </c>
      <c r="K1066" t="s">
        <v>9820</v>
      </c>
    </row>
    <row r="1067" spans="1:12" x14ac:dyDescent="0.3">
      <c r="A1067" t="s">
        <v>5392</v>
      </c>
      <c r="B1067" s="5" t="s">
        <v>9451</v>
      </c>
      <c r="C1067" t="s">
        <v>6456</v>
      </c>
      <c r="D1067" t="s">
        <v>5393</v>
      </c>
      <c r="E1067" t="s">
        <v>9452</v>
      </c>
      <c r="F1067" s="1">
        <v>46113</v>
      </c>
      <c r="G1067" t="s">
        <v>45</v>
      </c>
      <c r="H1067" s="24">
        <v>0</v>
      </c>
      <c r="I1067" t="str">
        <f>IF(H1067&lt;=0,"",LOOKUP(H1067,'Regras e Parâmetros'!$B$4:$B$7,'Regras e Parâmetros'!$A$4:$A$7))</f>
        <v/>
      </c>
      <c r="J1067" t="s">
        <v>9790</v>
      </c>
      <c r="K1067" t="s">
        <v>708</v>
      </c>
      <c r="L1067" t="s">
        <v>9884</v>
      </c>
    </row>
    <row r="1068" spans="1:12" x14ac:dyDescent="0.3">
      <c r="A1068" t="s">
        <v>3760</v>
      </c>
      <c r="B1068" s="5" t="s">
        <v>3761</v>
      </c>
      <c r="C1068" t="s">
        <v>6456</v>
      </c>
      <c r="D1068" t="s">
        <v>3762</v>
      </c>
      <c r="E1068" t="s">
        <v>3763</v>
      </c>
      <c r="F1068" s="1">
        <v>45647</v>
      </c>
      <c r="G1068" t="s">
        <v>110</v>
      </c>
      <c r="H1068" s="24">
        <v>1690</v>
      </c>
      <c r="I1068" t="str">
        <f>IF(H1068&lt;=0,"",LOOKUP(H1068,'Regras e Parâmetros'!$B$4:$B$7,'Regras e Parâmetros'!$A$4:$A$7))</f>
        <v>Prata</v>
      </c>
      <c r="J1068" t="s">
        <v>6747</v>
      </c>
      <c r="L1068" t="s">
        <v>9792</v>
      </c>
    </row>
    <row r="1069" spans="1:12" x14ac:dyDescent="0.3">
      <c r="A1069" t="s">
        <v>658</v>
      </c>
      <c r="B1069" s="5" t="s">
        <v>6812</v>
      </c>
      <c r="C1069" t="s">
        <v>6456</v>
      </c>
      <c r="D1069" t="s">
        <v>659</v>
      </c>
      <c r="E1069" t="s">
        <v>660</v>
      </c>
      <c r="F1069" s="1">
        <v>44576</v>
      </c>
      <c r="G1069" t="s">
        <v>100</v>
      </c>
      <c r="H1069" s="24">
        <v>515</v>
      </c>
      <c r="I1069" t="str">
        <f>IF(H1069&lt;=0,"",LOOKUP(H1069,'Regras e Parâmetros'!$B$4:$B$7,'Regras e Parâmetros'!$A$4:$A$7))</f>
        <v>Bronze</v>
      </c>
      <c r="J1069" t="s">
        <v>9790</v>
      </c>
      <c r="L1069" t="s">
        <v>9792</v>
      </c>
    </row>
    <row r="1070" spans="1:12" x14ac:dyDescent="0.3">
      <c r="A1070" t="s">
        <v>1425</v>
      </c>
      <c r="B1070" s="5" t="s">
        <v>7249</v>
      </c>
      <c r="C1070" t="s">
        <v>6456</v>
      </c>
      <c r="D1070" t="s">
        <v>1426</v>
      </c>
      <c r="E1070" t="s">
        <v>7250</v>
      </c>
      <c r="F1070" s="1">
        <v>44863</v>
      </c>
      <c r="G1070" t="s">
        <v>100</v>
      </c>
      <c r="H1070" s="24">
        <v>0</v>
      </c>
      <c r="I1070" t="str">
        <f>IF(H1070&lt;=0,"",LOOKUP(H1070,'Regras e Parâmetros'!$B$4:$B$7,'Regras e Parâmetros'!$A$4:$A$7))</f>
        <v/>
      </c>
      <c r="J1070" t="s">
        <v>6747</v>
      </c>
    </row>
    <row r="1071" spans="1:12" x14ac:dyDescent="0.3">
      <c r="A1071" t="s">
        <v>4785</v>
      </c>
      <c r="B1071" s="5" t="s">
        <v>9123</v>
      </c>
      <c r="C1071" t="s">
        <v>6456</v>
      </c>
      <c r="D1071" t="s">
        <v>6001</v>
      </c>
      <c r="E1071" t="s">
        <v>4786</v>
      </c>
      <c r="F1071" s="1">
        <v>45949</v>
      </c>
      <c r="G1071" t="s">
        <v>45</v>
      </c>
      <c r="H1071" s="24">
        <v>0</v>
      </c>
      <c r="I1071" t="str">
        <f>IF(H1071&lt;=0,"",LOOKUP(H1071,'Regras e Parâmetros'!$B$4:$B$7,'Regras e Parâmetros'!$A$4:$A$7))</f>
        <v/>
      </c>
      <c r="J1071" t="s">
        <v>6747</v>
      </c>
      <c r="K1071" t="s">
        <v>9910</v>
      </c>
      <c r="L1071" t="s">
        <v>9883</v>
      </c>
    </row>
    <row r="1072" spans="1:12" x14ac:dyDescent="0.3">
      <c r="A1072" t="s">
        <v>4828</v>
      </c>
      <c r="B1072" s="5" t="s">
        <v>4829</v>
      </c>
      <c r="C1072" t="s">
        <v>6456</v>
      </c>
      <c r="D1072" t="s">
        <v>6016</v>
      </c>
      <c r="E1072" t="s">
        <v>9086</v>
      </c>
      <c r="F1072" s="1">
        <v>45931</v>
      </c>
      <c r="G1072" t="s">
        <v>45</v>
      </c>
      <c r="H1072" s="24">
        <v>0</v>
      </c>
      <c r="I1072" t="str">
        <f>IF(H1072&lt;=0,"",LOOKUP(H1072,'Regras e Parâmetros'!$B$4:$B$7,'Regras e Parâmetros'!$A$4:$A$7))</f>
        <v/>
      </c>
      <c r="J1072" t="s">
        <v>6456</v>
      </c>
      <c r="K1072" t="s">
        <v>9908</v>
      </c>
      <c r="L1072" t="s">
        <v>9884</v>
      </c>
    </row>
    <row r="1073" spans="1:12" x14ac:dyDescent="0.3">
      <c r="A1073" t="s">
        <v>8188</v>
      </c>
      <c r="B1073" s="5" t="s">
        <v>3156</v>
      </c>
      <c r="C1073" t="s">
        <v>6456</v>
      </c>
      <c r="D1073" t="s">
        <v>3157</v>
      </c>
      <c r="E1073" t="s">
        <v>8189</v>
      </c>
      <c r="F1073" s="1">
        <v>45452</v>
      </c>
      <c r="G1073" t="s">
        <v>45</v>
      </c>
      <c r="H1073" s="24">
        <v>275</v>
      </c>
      <c r="I1073" t="str">
        <f>IF(H1073&lt;=0,"",LOOKUP(H1073,'Regras e Parâmetros'!$B$4:$B$7,'Regras e Parâmetros'!$A$4:$A$7))</f>
        <v>Bronze</v>
      </c>
      <c r="J1073" t="s">
        <v>9790</v>
      </c>
    </row>
    <row r="1074" spans="1:12" x14ac:dyDescent="0.3">
      <c r="A1074" t="s">
        <v>1364</v>
      </c>
      <c r="B1074" s="5" t="s">
        <v>1365</v>
      </c>
      <c r="C1074" t="s">
        <v>6456</v>
      </c>
      <c r="D1074" t="s">
        <v>1366</v>
      </c>
      <c r="E1074" t="s">
        <v>7212</v>
      </c>
      <c r="F1074" s="1">
        <v>44848</v>
      </c>
      <c r="G1074" t="s">
        <v>110</v>
      </c>
      <c r="H1074" s="24">
        <v>657</v>
      </c>
      <c r="I1074" t="str">
        <f>IF(H1074&lt;=0,"",LOOKUP(H1074,'Regras e Parâmetros'!$B$4:$B$7,'Regras e Parâmetros'!$A$4:$A$7))</f>
        <v>Bronze</v>
      </c>
      <c r="J1074" t="s">
        <v>9790</v>
      </c>
    </row>
    <row r="1075" spans="1:12" x14ac:dyDescent="0.3">
      <c r="A1075" t="s">
        <v>3167</v>
      </c>
      <c r="B1075" s="5" t="s">
        <v>3168</v>
      </c>
      <c r="C1075" t="s">
        <v>6456</v>
      </c>
      <c r="D1075" t="s">
        <v>3169</v>
      </c>
      <c r="E1075" t="s">
        <v>8197</v>
      </c>
      <c r="F1075" s="1">
        <v>45457</v>
      </c>
      <c r="G1075" t="s">
        <v>100</v>
      </c>
      <c r="H1075" s="24">
        <v>1478</v>
      </c>
      <c r="I1075" t="str">
        <f>IF(H1075&lt;=0,"",LOOKUP(H1075,'Regras e Parâmetros'!$B$4:$B$7,'Regras e Parâmetros'!$A$4:$A$7))</f>
        <v>Bronze</v>
      </c>
      <c r="J1075" t="s">
        <v>9790</v>
      </c>
    </row>
    <row r="1076" spans="1:12" x14ac:dyDescent="0.3">
      <c r="A1076" t="s">
        <v>6706</v>
      </c>
      <c r="B1076" s="5" t="s">
        <v>6100</v>
      </c>
      <c r="C1076" t="s">
        <v>6456</v>
      </c>
      <c r="D1076" t="s">
        <v>461</v>
      </c>
      <c r="E1076" t="s">
        <v>462</v>
      </c>
      <c r="F1076" s="1">
        <v>44507</v>
      </c>
      <c r="G1076" t="s">
        <v>22</v>
      </c>
      <c r="H1076" s="24">
        <v>15000</v>
      </c>
      <c r="I1076" t="str">
        <f>IF(H1076&lt;=0,"",LOOKUP(H1076,'Regras e Parâmetros'!$B$4:$B$7,'Regras e Parâmetros'!$A$4:$A$7))</f>
        <v>Vip</v>
      </c>
      <c r="J1076" t="s">
        <v>9790</v>
      </c>
      <c r="K1076" t="s">
        <v>177</v>
      </c>
      <c r="L1076" t="s">
        <v>9792</v>
      </c>
    </row>
    <row r="1077" spans="1:12" x14ac:dyDescent="0.3">
      <c r="A1077" t="s">
        <v>7539</v>
      </c>
      <c r="B1077" s="5" t="s">
        <v>7540</v>
      </c>
      <c r="C1077" t="s">
        <v>6456</v>
      </c>
      <c r="D1077" t="s">
        <v>2006</v>
      </c>
      <c r="E1077" t="s">
        <v>7541</v>
      </c>
      <c r="F1077" s="1">
        <v>45017</v>
      </c>
      <c r="G1077" t="s">
        <v>45</v>
      </c>
      <c r="H1077" s="24">
        <v>12239</v>
      </c>
      <c r="I1077" t="str">
        <f>IF(H1077&lt;=0,"",LOOKUP(H1077,'Regras e Parâmetros'!$B$4:$B$7,'Regras e Parâmetros'!$A$4:$A$7))</f>
        <v>Vip</v>
      </c>
      <c r="J1077" t="s">
        <v>6747</v>
      </c>
      <c r="K1077" t="s">
        <v>177</v>
      </c>
      <c r="L1077" t="s">
        <v>9791</v>
      </c>
    </row>
    <row r="1078" spans="1:12" x14ac:dyDescent="0.3">
      <c r="A1078" t="s">
        <v>1991</v>
      </c>
      <c r="B1078" s="5" t="s">
        <v>3664</v>
      </c>
      <c r="C1078" t="s">
        <v>6456</v>
      </c>
      <c r="D1078" t="s">
        <v>3665</v>
      </c>
      <c r="E1078" t="s">
        <v>3666</v>
      </c>
      <c r="F1078" s="1">
        <v>45040</v>
      </c>
      <c r="G1078" t="s">
        <v>51</v>
      </c>
      <c r="H1078" s="24">
        <v>1262</v>
      </c>
      <c r="I1078" t="str">
        <f>IF(H1078&lt;=0,"",LOOKUP(H1078,'Regras e Parâmetros'!$B$4:$B$7,'Regras e Parâmetros'!$A$4:$A$7))</f>
        <v>Bronze</v>
      </c>
      <c r="J1078" t="s">
        <v>6747</v>
      </c>
      <c r="K1078" t="s">
        <v>9841</v>
      </c>
    </row>
    <row r="1079" spans="1:12" x14ac:dyDescent="0.3">
      <c r="A1079" t="s">
        <v>1825</v>
      </c>
      <c r="B1079" s="5" t="s">
        <v>7478</v>
      </c>
      <c r="C1079" t="s">
        <v>6456</v>
      </c>
      <c r="D1079" t="s">
        <v>1826</v>
      </c>
      <c r="E1079" t="s">
        <v>1827</v>
      </c>
      <c r="F1079" s="1">
        <v>44982</v>
      </c>
      <c r="G1079" t="s">
        <v>45</v>
      </c>
      <c r="H1079" s="24">
        <v>5625</v>
      </c>
      <c r="I1079" t="str">
        <f>IF(H1079&lt;=0,"",LOOKUP(H1079,'Regras e Parâmetros'!$B$4:$B$7,'Regras e Parâmetros'!$A$4:$A$7))</f>
        <v>Ouro</v>
      </c>
      <c r="J1079" t="s">
        <v>9790</v>
      </c>
    </row>
    <row r="1080" spans="1:12" x14ac:dyDescent="0.3">
      <c r="A1080" t="s">
        <v>742</v>
      </c>
      <c r="B1080" s="5" t="s">
        <v>743</v>
      </c>
      <c r="C1080" t="s">
        <v>6456</v>
      </c>
      <c r="D1080" t="s">
        <v>2279</v>
      </c>
      <c r="E1080" t="s">
        <v>6841</v>
      </c>
      <c r="F1080" s="1">
        <v>44593</v>
      </c>
      <c r="G1080" t="s">
        <v>110</v>
      </c>
      <c r="H1080" s="24">
        <v>9659</v>
      </c>
      <c r="I1080" t="str">
        <f>IF(H1080&lt;=0,"",LOOKUP(H1080,'Regras e Parâmetros'!$B$4:$B$7,'Regras e Parâmetros'!$A$4:$A$7))</f>
        <v>Ouro</v>
      </c>
      <c r="J1080" t="s">
        <v>6456</v>
      </c>
      <c r="K1080" t="s">
        <v>9806</v>
      </c>
      <c r="L1080" t="s">
        <v>9791</v>
      </c>
    </row>
    <row r="1081" spans="1:12" x14ac:dyDescent="0.3">
      <c r="A1081" t="s">
        <v>4902</v>
      </c>
      <c r="B1081" s="5" t="s">
        <v>9142</v>
      </c>
      <c r="C1081" t="s">
        <v>6456</v>
      </c>
      <c r="D1081" t="s">
        <v>4903</v>
      </c>
      <c r="E1081" t="s">
        <v>9143</v>
      </c>
      <c r="F1081" s="1">
        <v>45962</v>
      </c>
      <c r="G1081" t="s">
        <v>51</v>
      </c>
      <c r="H1081" s="24">
        <v>0</v>
      </c>
      <c r="I1081" t="str">
        <f>IF(H1081&lt;=0,"",LOOKUP(H1081,'Regras e Parâmetros'!$B$4:$B$7,'Regras e Parâmetros'!$A$4:$A$7))</f>
        <v/>
      </c>
      <c r="J1081" t="s">
        <v>6747</v>
      </c>
      <c r="L1081" t="s">
        <v>9884</v>
      </c>
    </row>
    <row r="1082" spans="1:12" x14ac:dyDescent="0.3">
      <c r="A1082" t="s">
        <v>1741</v>
      </c>
      <c r="B1082" s="5" t="s">
        <v>7430</v>
      </c>
      <c r="C1082" t="s">
        <v>6456</v>
      </c>
      <c r="D1082" t="s">
        <v>2124</v>
      </c>
      <c r="E1082" t="s">
        <v>7431</v>
      </c>
      <c r="F1082" s="1">
        <v>44951</v>
      </c>
      <c r="G1082" t="s">
        <v>22</v>
      </c>
      <c r="H1082" s="24">
        <v>332</v>
      </c>
      <c r="I1082" t="str">
        <f>IF(H1082&lt;=0,"",LOOKUP(H1082,'Regras e Parâmetros'!$B$4:$B$7,'Regras e Parâmetros'!$A$4:$A$7))</f>
        <v>Bronze</v>
      </c>
      <c r="J1082" t="s">
        <v>6456</v>
      </c>
      <c r="K1082" t="s">
        <v>9834</v>
      </c>
    </row>
    <row r="1083" spans="1:12" x14ac:dyDescent="0.3">
      <c r="A1083" t="s">
        <v>2461</v>
      </c>
      <c r="B1083" s="5" t="s">
        <v>2462</v>
      </c>
      <c r="C1083" t="s">
        <v>6456</v>
      </c>
      <c r="D1083" t="s">
        <v>2463</v>
      </c>
      <c r="E1083" t="s">
        <v>7838</v>
      </c>
      <c r="F1083" s="1">
        <v>45185</v>
      </c>
      <c r="G1083" t="s">
        <v>110</v>
      </c>
      <c r="H1083" s="24">
        <v>620</v>
      </c>
      <c r="I1083" t="str">
        <f>IF(H1083&lt;=0,"",LOOKUP(H1083,'Regras e Parâmetros'!$B$4:$B$7,'Regras e Parâmetros'!$A$4:$A$7))</f>
        <v>Bronze</v>
      </c>
      <c r="J1083" t="s">
        <v>6456</v>
      </c>
      <c r="K1083" t="s">
        <v>708</v>
      </c>
    </row>
    <row r="1084" spans="1:12" x14ac:dyDescent="0.3">
      <c r="A1084" t="s">
        <v>4108</v>
      </c>
      <c r="B1084" s="5" t="s">
        <v>8715</v>
      </c>
      <c r="C1084" t="s">
        <v>6456</v>
      </c>
      <c r="D1084" t="s">
        <v>4109</v>
      </c>
      <c r="E1084" t="s">
        <v>8716</v>
      </c>
      <c r="F1084" s="1">
        <v>45746</v>
      </c>
      <c r="G1084" t="s">
        <v>110</v>
      </c>
      <c r="H1084" s="24">
        <v>0</v>
      </c>
      <c r="I1084" t="str">
        <f>IF(H1084&lt;=0,"",LOOKUP(H1084,'Regras e Parâmetros'!$B$4:$B$7,'Regras e Parâmetros'!$A$4:$A$7))</f>
        <v/>
      </c>
      <c r="J1084" t="s">
        <v>9790</v>
      </c>
      <c r="L1084" t="s">
        <v>9883</v>
      </c>
    </row>
    <row r="1085" spans="1:12" x14ac:dyDescent="0.3">
      <c r="A1085" t="s">
        <v>2055</v>
      </c>
      <c r="B1085" s="5" t="s">
        <v>2056</v>
      </c>
      <c r="C1085" t="s">
        <v>6456</v>
      </c>
      <c r="D1085" t="s">
        <v>2057</v>
      </c>
      <c r="E1085" t="s">
        <v>2058</v>
      </c>
      <c r="F1085" s="1">
        <v>45062</v>
      </c>
      <c r="G1085" t="s">
        <v>51</v>
      </c>
      <c r="H1085" s="24">
        <v>845</v>
      </c>
      <c r="I1085" t="str">
        <f>IF(H1085&lt;=0,"",LOOKUP(H1085,'Regras e Parâmetros'!$B$4:$B$7,'Regras e Parâmetros'!$A$4:$A$7))</f>
        <v>Bronze</v>
      </c>
      <c r="J1085" t="s">
        <v>9790</v>
      </c>
    </row>
    <row r="1086" spans="1:12" x14ac:dyDescent="0.3">
      <c r="A1086" t="s">
        <v>9502</v>
      </c>
      <c r="B1086" s="5" t="s">
        <v>9503</v>
      </c>
      <c r="C1086" t="s">
        <v>6456</v>
      </c>
      <c r="D1086" t="s">
        <v>5454</v>
      </c>
      <c r="E1086" t="s">
        <v>9504</v>
      </c>
      <c r="F1086" s="1">
        <v>46146</v>
      </c>
      <c r="G1086" t="s">
        <v>51</v>
      </c>
      <c r="H1086" s="24">
        <v>0</v>
      </c>
      <c r="I1086" t="str">
        <f>IF(H1086&lt;=0,"",LOOKUP(H1086,'Regras e Parâmetros'!$B$4:$B$7,'Regras e Parâmetros'!$A$4:$A$7))</f>
        <v/>
      </c>
      <c r="J1086" t="s">
        <v>6747</v>
      </c>
      <c r="L1086" t="s">
        <v>9883</v>
      </c>
    </row>
    <row r="1087" spans="1:12" x14ac:dyDescent="0.3">
      <c r="A1087" t="s">
        <v>7066</v>
      </c>
      <c r="B1087" s="5" t="s">
        <v>1128</v>
      </c>
      <c r="C1087" t="s">
        <v>6456</v>
      </c>
      <c r="D1087" t="s">
        <v>7067</v>
      </c>
      <c r="E1087" t="s">
        <v>7068</v>
      </c>
      <c r="F1087" s="1">
        <v>44743</v>
      </c>
      <c r="G1087" t="s">
        <v>45</v>
      </c>
      <c r="H1087" s="24">
        <v>3025</v>
      </c>
      <c r="I1087" t="str">
        <f>IF(H1087&lt;=0,"",LOOKUP(H1087,'Regras e Parâmetros'!$B$4:$B$7,'Regras e Parâmetros'!$A$4:$A$7))</f>
        <v>Prata</v>
      </c>
      <c r="J1087" t="s">
        <v>9790</v>
      </c>
      <c r="L1087" t="s">
        <v>9791</v>
      </c>
    </row>
    <row r="1088" spans="1:12" x14ac:dyDescent="0.3">
      <c r="A1088" t="s">
        <v>990</v>
      </c>
      <c r="B1088" s="5" t="s">
        <v>7007</v>
      </c>
      <c r="C1088" t="s">
        <v>6456</v>
      </c>
      <c r="D1088" t="s">
        <v>991</v>
      </c>
      <c r="E1088" t="s">
        <v>7008</v>
      </c>
      <c r="F1088" s="1">
        <v>44707</v>
      </c>
      <c r="G1088" t="s">
        <v>110</v>
      </c>
      <c r="H1088" s="24">
        <v>2288</v>
      </c>
      <c r="I1088" t="str">
        <f>IF(H1088&lt;=0,"",LOOKUP(H1088,'Regras e Parâmetros'!$B$4:$B$7,'Regras e Parâmetros'!$A$4:$A$7))</f>
        <v>Prata</v>
      </c>
      <c r="J1088" t="s">
        <v>9790</v>
      </c>
    </row>
    <row r="1089" spans="1:12" x14ac:dyDescent="0.3">
      <c r="A1089" t="s">
        <v>8419</v>
      </c>
      <c r="B1089" s="5" t="s">
        <v>8420</v>
      </c>
      <c r="C1089" t="s">
        <v>6456</v>
      </c>
      <c r="D1089" t="s">
        <v>3649</v>
      </c>
      <c r="E1089" t="s">
        <v>3650</v>
      </c>
      <c r="F1089" s="1">
        <v>45597</v>
      </c>
      <c r="G1089" t="s">
        <v>18</v>
      </c>
      <c r="H1089" s="24">
        <v>666</v>
      </c>
      <c r="I1089" t="str">
        <f>IF(H1089&lt;=0,"",LOOKUP(H1089,'Regras e Parâmetros'!$B$4:$B$7,'Regras e Parâmetros'!$A$4:$A$7))</f>
        <v>Bronze</v>
      </c>
      <c r="J1089" t="s">
        <v>6747</v>
      </c>
      <c r="L1089" t="s">
        <v>9789</v>
      </c>
    </row>
    <row r="1090" spans="1:12" x14ac:dyDescent="0.3">
      <c r="A1090" t="s">
        <v>5993</v>
      </c>
      <c r="B1090" s="5" t="s">
        <v>9788</v>
      </c>
      <c r="C1090" t="s">
        <v>6456</v>
      </c>
      <c r="D1090" t="s">
        <v>5994</v>
      </c>
      <c r="E1090" t="s">
        <v>5584</v>
      </c>
      <c r="F1090" s="1">
        <v>46285</v>
      </c>
      <c r="G1090" t="s">
        <v>18</v>
      </c>
      <c r="H1090" s="24">
        <v>0</v>
      </c>
      <c r="I1090" t="str">
        <f>IF(H1090&lt;=0,"",LOOKUP(H1090,'Regras e Parâmetros'!$B$4:$B$7,'Regras e Parâmetros'!$A$4:$A$7))</f>
        <v/>
      </c>
      <c r="J1090" t="s">
        <v>9790</v>
      </c>
      <c r="L1090" t="s">
        <v>9883</v>
      </c>
    </row>
    <row r="1091" spans="1:12" x14ac:dyDescent="0.3">
      <c r="A1091" t="s">
        <v>5581</v>
      </c>
      <c r="B1091" s="5" t="s">
        <v>5582</v>
      </c>
      <c r="C1091" t="s">
        <v>6747</v>
      </c>
      <c r="D1091" t="s">
        <v>5583</v>
      </c>
      <c r="E1091" t="s">
        <v>5584</v>
      </c>
      <c r="F1091" s="1">
        <v>46178</v>
      </c>
      <c r="G1091" t="s">
        <v>45</v>
      </c>
      <c r="H1091" s="24">
        <v>0</v>
      </c>
      <c r="I1091" t="str">
        <f>IF(H1091&lt;=0,"",LOOKUP(H1091,'Regras e Parâmetros'!$B$4:$B$7,'Regras e Parâmetros'!$A$4:$A$7))</f>
        <v/>
      </c>
      <c r="J1091" t="s">
        <v>6456</v>
      </c>
      <c r="L1091" t="s">
        <v>10242</v>
      </c>
    </row>
    <row r="1092" spans="1:12" x14ac:dyDescent="0.3">
      <c r="A1092" t="s">
        <v>2273</v>
      </c>
      <c r="B1092" s="5" t="s">
        <v>7736</v>
      </c>
      <c r="C1092" t="s">
        <v>6456</v>
      </c>
      <c r="D1092" t="s">
        <v>2274</v>
      </c>
      <c r="E1092" t="s">
        <v>2275</v>
      </c>
      <c r="F1092" s="1">
        <v>45131</v>
      </c>
      <c r="G1092" t="s">
        <v>45</v>
      </c>
      <c r="H1092" s="24">
        <v>698</v>
      </c>
      <c r="I1092" t="str">
        <f>IF(H1092&lt;=0,"",LOOKUP(H1092,'Regras e Parâmetros'!$B$4:$B$7,'Regras e Parâmetros'!$A$4:$A$7))</f>
        <v>Bronze</v>
      </c>
      <c r="J1092" t="s">
        <v>9790</v>
      </c>
    </row>
    <row r="1093" spans="1:12" x14ac:dyDescent="0.3">
      <c r="A1093" t="s">
        <v>237</v>
      </c>
      <c r="B1093" s="5" t="s">
        <v>6582</v>
      </c>
      <c r="C1093" t="s">
        <v>6456</v>
      </c>
      <c r="D1093" t="s">
        <v>238</v>
      </c>
      <c r="E1093" t="s">
        <v>239</v>
      </c>
      <c r="F1093" s="1">
        <v>44432</v>
      </c>
      <c r="G1093" t="s">
        <v>51</v>
      </c>
      <c r="H1093" s="24">
        <v>2286</v>
      </c>
      <c r="I1093" t="str">
        <f>IF(H1093&lt;=0,"",LOOKUP(H1093,'Regras e Parâmetros'!$B$4:$B$7,'Regras e Parâmetros'!$A$4:$A$7))</f>
        <v>Prata</v>
      </c>
      <c r="J1093" t="s">
        <v>6456</v>
      </c>
      <c r="L1093" t="s">
        <v>9792</v>
      </c>
    </row>
    <row r="1094" spans="1:12" x14ac:dyDescent="0.3">
      <c r="A1094" t="s">
        <v>5342</v>
      </c>
      <c r="B1094" s="5" t="s">
        <v>9457</v>
      </c>
      <c r="C1094" t="s">
        <v>6456</v>
      </c>
      <c r="D1094" t="s">
        <v>5343</v>
      </c>
      <c r="E1094" t="s">
        <v>5344</v>
      </c>
      <c r="F1094" s="1">
        <v>46115</v>
      </c>
      <c r="G1094" t="s">
        <v>51</v>
      </c>
      <c r="H1094" s="24">
        <v>0</v>
      </c>
      <c r="I1094" t="str">
        <f>IF(H1094&lt;=0,"",LOOKUP(H1094,'Regras e Parâmetros'!$B$4:$B$7,'Regras e Parâmetros'!$A$4:$A$7))</f>
        <v/>
      </c>
      <c r="J1094" t="s">
        <v>6747</v>
      </c>
      <c r="K1094" t="s">
        <v>33</v>
      </c>
      <c r="L1094" t="s">
        <v>9883</v>
      </c>
    </row>
    <row r="1095" spans="1:12" x14ac:dyDescent="0.3">
      <c r="A1095" t="s">
        <v>5128</v>
      </c>
      <c r="B1095" s="5" t="s">
        <v>9313</v>
      </c>
      <c r="C1095" t="s">
        <v>6456</v>
      </c>
      <c r="D1095" t="s">
        <v>5129</v>
      </c>
      <c r="E1095" t="s">
        <v>5130</v>
      </c>
      <c r="F1095" s="1">
        <v>46053</v>
      </c>
      <c r="G1095" t="s">
        <v>45</v>
      </c>
      <c r="H1095" s="24">
        <v>0</v>
      </c>
      <c r="I1095" t="str">
        <f>IF(H1095&lt;=0,"",LOOKUP(H1095,'Regras e Parâmetros'!$B$4:$B$7,'Regras e Parâmetros'!$A$4:$A$7))</f>
        <v/>
      </c>
      <c r="J1095" t="s">
        <v>6747</v>
      </c>
      <c r="K1095" t="s">
        <v>72</v>
      </c>
      <c r="L1095" t="s">
        <v>9886</v>
      </c>
    </row>
    <row r="1096" spans="1:12" x14ac:dyDescent="0.3">
      <c r="A1096" t="s">
        <v>3240</v>
      </c>
      <c r="B1096" s="5" t="s">
        <v>8229</v>
      </c>
      <c r="C1096" t="s">
        <v>6456</v>
      </c>
      <c r="D1096" t="s">
        <v>3241</v>
      </c>
      <c r="E1096" t="s">
        <v>8230</v>
      </c>
      <c r="F1096" s="1">
        <v>45478</v>
      </c>
      <c r="G1096" t="s">
        <v>45</v>
      </c>
      <c r="H1096" s="24">
        <v>613</v>
      </c>
      <c r="I1096" t="str">
        <f>IF(H1096&lt;=0,"",LOOKUP(H1096,'Regras e Parâmetros'!$B$4:$B$7,'Regras e Parâmetros'!$A$4:$A$7))</f>
        <v>Bronze</v>
      </c>
      <c r="J1096" t="s">
        <v>9790</v>
      </c>
    </row>
    <row r="1097" spans="1:12" x14ac:dyDescent="0.3">
      <c r="A1097" t="s">
        <v>2000</v>
      </c>
      <c r="B1097" s="5" t="s">
        <v>7570</v>
      </c>
      <c r="C1097" t="s">
        <v>6456</v>
      </c>
      <c r="D1097" t="s">
        <v>2001</v>
      </c>
      <c r="E1097" t="s">
        <v>2002</v>
      </c>
      <c r="F1097" s="1">
        <v>45043</v>
      </c>
      <c r="G1097" t="s">
        <v>51</v>
      </c>
      <c r="H1097" s="24">
        <v>809</v>
      </c>
      <c r="I1097" t="str">
        <f>IF(H1097&lt;=0,"",LOOKUP(H1097,'Regras e Parâmetros'!$B$4:$B$7,'Regras e Parâmetros'!$A$4:$A$7))</f>
        <v>Bronze</v>
      </c>
      <c r="J1097" t="s">
        <v>9790</v>
      </c>
      <c r="L1097" t="s">
        <v>9792</v>
      </c>
    </row>
    <row r="1098" spans="1:12" x14ac:dyDescent="0.3">
      <c r="A1098" t="s">
        <v>6778</v>
      </c>
      <c r="B1098" s="5" t="s">
        <v>605</v>
      </c>
      <c r="C1098" t="s">
        <v>6456</v>
      </c>
      <c r="D1098" t="s">
        <v>606</v>
      </c>
      <c r="E1098" t="s">
        <v>607</v>
      </c>
      <c r="F1098" s="1">
        <v>44560</v>
      </c>
      <c r="G1098" t="s">
        <v>18</v>
      </c>
      <c r="H1098" s="24">
        <v>0</v>
      </c>
      <c r="I1098" t="str">
        <f>IF(H1098&lt;=0,"",LOOKUP(H1098,'Regras e Parâmetros'!$B$4:$B$7,'Regras e Parâmetros'!$A$4:$A$7))</f>
        <v/>
      </c>
      <c r="J1098" t="s">
        <v>6747</v>
      </c>
    </row>
    <row r="1099" spans="1:12" x14ac:dyDescent="0.3">
      <c r="A1099" t="s">
        <v>4851</v>
      </c>
      <c r="B1099" s="5" t="s">
        <v>9153</v>
      </c>
      <c r="C1099" t="s">
        <v>6456</v>
      </c>
      <c r="D1099" t="s">
        <v>4852</v>
      </c>
      <c r="E1099" t="s">
        <v>9154</v>
      </c>
      <c r="F1099" s="1">
        <v>45967</v>
      </c>
      <c r="G1099" t="s">
        <v>51</v>
      </c>
      <c r="H1099" s="24">
        <v>0</v>
      </c>
      <c r="I1099" t="str">
        <f>IF(H1099&lt;=0,"",LOOKUP(H1099,'Regras e Parâmetros'!$B$4:$B$7,'Regras e Parâmetros'!$A$4:$A$7))</f>
        <v/>
      </c>
      <c r="J1099" t="s">
        <v>9790</v>
      </c>
      <c r="L1099" t="s">
        <v>9883</v>
      </c>
    </row>
    <row r="1100" spans="1:12" x14ac:dyDescent="0.3">
      <c r="A1100" t="s">
        <v>3849</v>
      </c>
      <c r="B1100" s="5" t="s">
        <v>8567</v>
      </c>
      <c r="C1100" t="s">
        <v>6456</v>
      </c>
      <c r="D1100" t="s">
        <v>3850</v>
      </c>
      <c r="E1100" t="s">
        <v>8568</v>
      </c>
      <c r="F1100" s="1">
        <v>45680</v>
      </c>
      <c r="G1100" t="s">
        <v>18</v>
      </c>
      <c r="H1100" s="24">
        <v>0</v>
      </c>
      <c r="I1100" t="str">
        <f>IF(H1100&lt;=0,"",LOOKUP(H1100,'Regras e Parâmetros'!$B$4:$B$7,'Regras e Parâmetros'!$A$4:$A$7))</f>
        <v/>
      </c>
      <c r="J1100" t="s">
        <v>9790</v>
      </c>
      <c r="K1100" t="s">
        <v>187</v>
      </c>
      <c r="L1100" t="s">
        <v>9883</v>
      </c>
    </row>
    <row r="1101" spans="1:12" x14ac:dyDescent="0.3">
      <c r="A1101" t="s">
        <v>661</v>
      </c>
      <c r="B1101" s="5" t="s">
        <v>662</v>
      </c>
      <c r="C1101" t="s">
        <v>6456</v>
      </c>
      <c r="D1101" t="s">
        <v>1555</v>
      </c>
      <c r="E1101" t="s">
        <v>663</v>
      </c>
      <c r="F1101" s="1">
        <v>44576</v>
      </c>
      <c r="G1101" t="s">
        <v>100</v>
      </c>
      <c r="H1101" s="24">
        <v>1827</v>
      </c>
      <c r="I1101" t="str">
        <f>IF(H1101&lt;=0,"",LOOKUP(H1101,'Regras e Parâmetros'!$B$4:$B$7,'Regras e Parâmetros'!$A$4:$A$7))</f>
        <v>Prata</v>
      </c>
      <c r="J1101" t="s">
        <v>6747</v>
      </c>
      <c r="K1101" t="s">
        <v>9802</v>
      </c>
      <c r="L1101" t="s">
        <v>9793</v>
      </c>
    </row>
    <row r="1102" spans="1:12" x14ac:dyDescent="0.3">
      <c r="A1102" t="s">
        <v>5336</v>
      </c>
      <c r="B1102" s="5" t="s">
        <v>5337</v>
      </c>
      <c r="C1102" t="s">
        <v>6456</v>
      </c>
      <c r="D1102" t="s">
        <v>5338</v>
      </c>
      <c r="E1102" t="s">
        <v>5339</v>
      </c>
      <c r="F1102" s="1">
        <v>46114</v>
      </c>
      <c r="G1102" t="s">
        <v>51</v>
      </c>
      <c r="H1102" s="24">
        <v>0</v>
      </c>
      <c r="I1102" t="str">
        <f>IF(H1102&lt;=0,"",LOOKUP(H1102,'Regras e Parâmetros'!$B$4:$B$7,'Regras e Parâmetros'!$A$4:$A$7))</f>
        <v/>
      </c>
      <c r="J1102" t="s">
        <v>9790</v>
      </c>
      <c r="L1102" t="s">
        <v>9883</v>
      </c>
    </row>
    <row r="1103" spans="1:12" x14ac:dyDescent="0.3">
      <c r="A1103" t="s">
        <v>4998</v>
      </c>
      <c r="B1103" s="5" t="s">
        <v>4999</v>
      </c>
      <c r="C1103" t="s">
        <v>6456</v>
      </c>
      <c r="D1103" t="s">
        <v>5000</v>
      </c>
      <c r="E1103" t="s">
        <v>5001</v>
      </c>
      <c r="F1103" s="1">
        <v>46010</v>
      </c>
      <c r="G1103" t="s">
        <v>45</v>
      </c>
      <c r="H1103" s="24">
        <v>0</v>
      </c>
      <c r="I1103" t="str">
        <f>IF(H1103&lt;=0,"",LOOKUP(H1103,'Regras e Parâmetros'!$B$4:$B$7,'Regras e Parâmetros'!$A$4:$A$7))</f>
        <v/>
      </c>
      <c r="J1103" t="s">
        <v>9790</v>
      </c>
      <c r="L1103" t="s">
        <v>9886</v>
      </c>
    </row>
    <row r="1104" spans="1:12" x14ac:dyDescent="0.3">
      <c r="A1104" t="s">
        <v>9370</v>
      </c>
      <c r="B1104" s="5" t="s">
        <v>9371</v>
      </c>
      <c r="C1104" t="s">
        <v>6456</v>
      </c>
      <c r="D1104" t="s">
        <v>5214</v>
      </c>
      <c r="E1104" t="s">
        <v>5215</v>
      </c>
      <c r="F1104" s="1">
        <v>46079</v>
      </c>
      <c r="G1104" t="s">
        <v>100</v>
      </c>
      <c r="H1104" s="24">
        <v>0</v>
      </c>
      <c r="I1104" t="str">
        <f>IF(H1104&lt;=0,"",LOOKUP(H1104,'Regras e Parâmetros'!$B$4:$B$7,'Regras e Parâmetros'!$A$4:$A$7))</f>
        <v/>
      </c>
      <c r="J1104" t="s">
        <v>9790</v>
      </c>
      <c r="K1104" t="s">
        <v>177</v>
      </c>
      <c r="L1104" t="s">
        <v>9886</v>
      </c>
    </row>
    <row r="1105" spans="1:12" x14ac:dyDescent="0.3">
      <c r="A1105" t="s">
        <v>7812</v>
      </c>
      <c r="B1105" s="5" t="s">
        <v>7813</v>
      </c>
      <c r="C1105" t="s">
        <v>6456</v>
      </c>
      <c r="D1105" t="s">
        <v>2418</v>
      </c>
      <c r="E1105" t="s">
        <v>7814</v>
      </c>
      <c r="F1105" s="1">
        <v>45167</v>
      </c>
      <c r="G1105" t="s">
        <v>18</v>
      </c>
      <c r="H1105" s="24">
        <v>0</v>
      </c>
      <c r="I1105" t="str">
        <f>IF(H1105&lt;=0,"",LOOKUP(H1105,'Regras e Parâmetros'!$B$4:$B$7,'Regras e Parâmetros'!$A$4:$A$7))</f>
        <v/>
      </c>
      <c r="J1105" t="s">
        <v>9790</v>
      </c>
    </row>
    <row r="1106" spans="1:12" x14ac:dyDescent="0.3">
      <c r="A1106" t="s">
        <v>5327</v>
      </c>
      <c r="B1106" s="5" t="s">
        <v>9441</v>
      </c>
      <c r="C1106" t="s">
        <v>6456</v>
      </c>
      <c r="D1106" t="s">
        <v>5328</v>
      </c>
      <c r="E1106" t="s">
        <v>5329</v>
      </c>
      <c r="F1106" s="1">
        <v>46112</v>
      </c>
      <c r="G1106" t="s">
        <v>22</v>
      </c>
      <c r="H1106" s="24">
        <v>0</v>
      </c>
      <c r="I1106" t="str">
        <f>IF(H1106&lt;=0,"",LOOKUP(H1106,'Regras e Parâmetros'!$B$4:$B$7,'Regras e Parâmetros'!$A$4:$A$7))</f>
        <v/>
      </c>
      <c r="J1106" t="s">
        <v>6456</v>
      </c>
      <c r="L1106" t="s">
        <v>9883</v>
      </c>
    </row>
    <row r="1107" spans="1:12" x14ac:dyDescent="0.3">
      <c r="A1107" t="s">
        <v>8192</v>
      </c>
      <c r="B1107" s="5" t="s">
        <v>8193</v>
      </c>
      <c r="C1107" t="s">
        <v>6456</v>
      </c>
      <c r="D1107" t="s">
        <v>3164</v>
      </c>
      <c r="E1107" t="s">
        <v>3165</v>
      </c>
      <c r="F1107" s="1">
        <v>45454</v>
      </c>
      <c r="G1107" t="s">
        <v>110</v>
      </c>
      <c r="H1107" s="24">
        <v>500</v>
      </c>
      <c r="I1107" t="str">
        <f>IF(H1107&lt;=0,"",LOOKUP(H1107,'Regras e Parâmetros'!$B$4:$B$7,'Regras e Parâmetros'!$A$4:$A$7))</f>
        <v>Bronze</v>
      </c>
      <c r="J1107" t="s">
        <v>6747</v>
      </c>
    </row>
    <row r="1108" spans="1:12" x14ac:dyDescent="0.3">
      <c r="A1108" t="s">
        <v>7297</v>
      </c>
      <c r="B1108" s="5" t="s">
        <v>7298</v>
      </c>
      <c r="C1108" t="s">
        <v>6456</v>
      </c>
      <c r="D1108" t="s">
        <v>1510</v>
      </c>
      <c r="E1108" t="s">
        <v>1511</v>
      </c>
      <c r="F1108" s="1">
        <v>44884</v>
      </c>
      <c r="G1108" t="s">
        <v>100</v>
      </c>
      <c r="H1108" s="24">
        <v>0</v>
      </c>
      <c r="I1108" t="str">
        <f>IF(H1108&lt;=0,"",LOOKUP(H1108,'Regras e Parâmetros'!$B$4:$B$7,'Regras e Parâmetros'!$A$4:$A$7))</f>
        <v/>
      </c>
      <c r="J1108" t="s">
        <v>9790</v>
      </c>
      <c r="L1108" t="s">
        <v>9792</v>
      </c>
    </row>
    <row r="1109" spans="1:12" x14ac:dyDescent="0.3">
      <c r="A1109" t="s">
        <v>6990</v>
      </c>
      <c r="B1109" s="5" t="s">
        <v>6991</v>
      </c>
      <c r="C1109" t="s">
        <v>6456</v>
      </c>
      <c r="D1109" t="s">
        <v>957</v>
      </c>
      <c r="E1109" t="s">
        <v>958</v>
      </c>
      <c r="F1109" s="1">
        <v>44690</v>
      </c>
      <c r="G1109" t="s">
        <v>110</v>
      </c>
      <c r="H1109" s="24">
        <v>2682</v>
      </c>
      <c r="I1109" t="str">
        <f>IF(H1109&lt;=0,"",LOOKUP(H1109,'Regras e Parâmetros'!$B$4:$B$7,'Regras e Parâmetros'!$A$4:$A$7))</f>
        <v>Prata</v>
      </c>
      <c r="J1109" t="s">
        <v>9790</v>
      </c>
    </row>
    <row r="1110" spans="1:12" x14ac:dyDescent="0.3">
      <c r="A1110" t="s">
        <v>7316</v>
      </c>
      <c r="B1110" s="5" t="s">
        <v>1545</v>
      </c>
      <c r="C1110" t="s">
        <v>6456</v>
      </c>
      <c r="D1110" t="s">
        <v>1546</v>
      </c>
      <c r="E1110" t="s">
        <v>1547</v>
      </c>
      <c r="F1110" s="1">
        <v>44891</v>
      </c>
      <c r="G1110" t="s">
        <v>51</v>
      </c>
      <c r="H1110" s="24">
        <v>3396</v>
      </c>
      <c r="I1110" t="str">
        <f>IF(H1110&lt;=0,"",LOOKUP(H1110,'Regras e Parâmetros'!$B$4:$B$7,'Regras e Parâmetros'!$A$4:$A$7))</f>
        <v>Prata</v>
      </c>
      <c r="J1110" t="s">
        <v>9790</v>
      </c>
    </row>
    <row r="1111" spans="1:12" x14ac:dyDescent="0.3">
      <c r="A1111" t="s">
        <v>537</v>
      </c>
      <c r="B1111" s="5" t="s">
        <v>6738</v>
      </c>
      <c r="C1111" t="s">
        <v>6456</v>
      </c>
      <c r="D1111" t="s">
        <v>538</v>
      </c>
      <c r="E1111" t="s">
        <v>539</v>
      </c>
      <c r="F1111" s="1">
        <v>44531</v>
      </c>
      <c r="G1111" t="s">
        <v>51</v>
      </c>
      <c r="H1111" s="24">
        <v>378</v>
      </c>
      <c r="I1111" t="str">
        <f>IF(H1111&lt;=0,"",LOOKUP(H1111,'Regras e Parâmetros'!$B$4:$B$7,'Regras e Parâmetros'!$A$4:$A$7))</f>
        <v>Bronze</v>
      </c>
      <c r="J1111" t="s">
        <v>9790</v>
      </c>
    </row>
    <row r="1112" spans="1:12" x14ac:dyDescent="0.3">
      <c r="A1112" t="s">
        <v>3725</v>
      </c>
      <c r="B1112" s="5" t="s">
        <v>3726</v>
      </c>
      <c r="C1112" t="s">
        <v>6456</v>
      </c>
      <c r="D1112" t="s">
        <v>3727</v>
      </c>
      <c r="E1112" t="s">
        <v>3728</v>
      </c>
      <c r="F1112" s="1">
        <v>45636</v>
      </c>
      <c r="G1112" t="s">
        <v>110</v>
      </c>
      <c r="H1112" s="24">
        <v>479</v>
      </c>
      <c r="I1112" t="str">
        <f>IF(H1112&lt;=0,"",LOOKUP(H1112,'Regras e Parâmetros'!$B$4:$B$7,'Regras e Parâmetros'!$A$4:$A$7))</f>
        <v>Bronze</v>
      </c>
      <c r="J1112" t="s">
        <v>9790</v>
      </c>
      <c r="K1112" t="s">
        <v>33</v>
      </c>
    </row>
    <row r="1113" spans="1:12" x14ac:dyDescent="0.3">
      <c r="A1113" t="s">
        <v>1893</v>
      </c>
      <c r="B1113" s="5" t="s">
        <v>7518</v>
      </c>
      <c r="C1113" t="s">
        <v>6456</v>
      </c>
      <c r="D1113" t="s">
        <v>1895</v>
      </c>
      <c r="E1113" t="s">
        <v>7519</v>
      </c>
      <c r="F1113" s="1">
        <v>45008</v>
      </c>
      <c r="G1113" t="s">
        <v>18</v>
      </c>
      <c r="H1113" s="24">
        <v>1416</v>
      </c>
      <c r="I1113" t="str">
        <f>IF(H1113&lt;=0,"",LOOKUP(H1113,'Regras e Parâmetros'!$B$4:$B$7,'Regras e Parâmetros'!$A$4:$A$7))</f>
        <v>Bronze</v>
      </c>
      <c r="J1113" t="s">
        <v>9790</v>
      </c>
    </row>
    <row r="1114" spans="1:12" x14ac:dyDescent="0.3">
      <c r="A1114" t="s">
        <v>4910</v>
      </c>
      <c r="B1114" s="5" t="s">
        <v>4911</v>
      </c>
      <c r="C1114" t="s">
        <v>6456</v>
      </c>
      <c r="D1114" t="s">
        <v>4912</v>
      </c>
      <c r="E1114" t="s">
        <v>4913</v>
      </c>
      <c r="F1114" s="1">
        <v>45984</v>
      </c>
      <c r="G1114" t="s">
        <v>110</v>
      </c>
      <c r="H1114" s="24">
        <v>0</v>
      </c>
      <c r="I1114" t="str">
        <f>IF(H1114&lt;=0,"",LOOKUP(H1114,'Regras e Parâmetros'!$B$4:$B$7,'Regras e Parâmetros'!$A$4:$A$7))</f>
        <v/>
      </c>
      <c r="J1114" t="s">
        <v>9790</v>
      </c>
      <c r="L1114" t="s">
        <v>9883</v>
      </c>
    </row>
    <row r="1115" spans="1:12" x14ac:dyDescent="0.3">
      <c r="A1115" t="s">
        <v>7259</v>
      </c>
      <c r="B1115" s="5" t="s">
        <v>1526</v>
      </c>
      <c r="C1115" t="s">
        <v>6456</v>
      </c>
      <c r="D1115" t="s">
        <v>1527</v>
      </c>
      <c r="E1115" t="s">
        <v>7260</v>
      </c>
      <c r="F1115" s="1">
        <v>44866</v>
      </c>
      <c r="G1115" t="s">
        <v>18</v>
      </c>
      <c r="H1115" s="24">
        <v>1863</v>
      </c>
      <c r="I1115" t="str">
        <f>IF(H1115&lt;=0,"",LOOKUP(H1115,'Regras e Parâmetros'!$B$4:$B$7,'Regras e Parâmetros'!$A$4:$A$7))</f>
        <v>Prata</v>
      </c>
      <c r="J1115" t="s">
        <v>9790</v>
      </c>
      <c r="L1115" t="s">
        <v>9791</v>
      </c>
    </row>
    <row r="1116" spans="1:12" x14ac:dyDescent="0.3">
      <c r="A1116" t="s">
        <v>4394</v>
      </c>
      <c r="B1116" s="5" t="s">
        <v>8833</v>
      </c>
      <c r="C1116" t="s">
        <v>6456</v>
      </c>
      <c r="D1116" t="s">
        <v>6014</v>
      </c>
      <c r="E1116" t="s">
        <v>8834</v>
      </c>
      <c r="F1116" s="1">
        <v>45809</v>
      </c>
      <c r="G1116" t="s">
        <v>22</v>
      </c>
      <c r="H1116" s="24">
        <v>0</v>
      </c>
      <c r="I1116" t="str">
        <f>IF(H1116&lt;=0,"",LOOKUP(H1116,'Regras e Parâmetros'!$B$4:$B$7,'Regras e Parâmetros'!$A$4:$A$7))</f>
        <v/>
      </c>
      <c r="J1116" t="s">
        <v>6747</v>
      </c>
      <c r="K1116" t="s">
        <v>9897</v>
      </c>
      <c r="L1116" t="s">
        <v>9884</v>
      </c>
    </row>
    <row r="1117" spans="1:12" x14ac:dyDescent="0.3">
      <c r="A1117" t="s">
        <v>2447</v>
      </c>
      <c r="B1117" s="5" t="s">
        <v>6035</v>
      </c>
      <c r="C1117" t="s">
        <v>6456</v>
      </c>
      <c r="D1117" t="s">
        <v>2448</v>
      </c>
      <c r="E1117" t="s">
        <v>7831</v>
      </c>
      <c r="F1117" s="1">
        <v>45181</v>
      </c>
      <c r="G1117" t="s">
        <v>45</v>
      </c>
      <c r="H1117" s="24">
        <v>1900</v>
      </c>
      <c r="I1117" t="str">
        <f>IF(H1117&lt;=0,"",LOOKUP(H1117,'Regras e Parâmetros'!$B$4:$B$7,'Regras e Parâmetros'!$A$4:$A$7))</f>
        <v>Prata</v>
      </c>
      <c r="J1117" t="s">
        <v>6747</v>
      </c>
      <c r="K1117" t="s">
        <v>10028</v>
      </c>
      <c r="L1117" t="s">
        <v>9793</v>
      </c>
    </row>
    <row r="1118" spans="1:12" x14ac:dyDescent="0.3">
      <c r="A1118" t="s">
        <v>9355</v>
      </c>
      <c r="B1118" s="5" t="s">
        <v>9356</v>
      </c>
      <c r="C1118" t="s">
        <v>6456</v>
      </c>
      <c r="D1118" t="s">
        <v>5191</v>
      </c>
      <c r="E1118" t="s">
        <v>5192</v>
      </c>
      <c r="F1118" s="1">
        <v>46069</v>
      </c>
      <c r="G1118" t="s">
        <v>110</v>
      </c>
      <c r="H1118" s="24">
        <v>0</v>
      </c>
      <c r="I1118" t="str">
        <f>IF(H1118&lt;=0,"",LOOKUP(H1118,'Regras e Parâmetros'!$B$4:$B$7,'Regras e Parâmetros'!$A$4:$A$7))</f>
        <v/>
      </c>
      <c r="J1118" t="s">
        <v>6747</v>
      </c>
      <c r="L1118" t="s">
        <v>9883</v>
      </c>
    </row>
    <row r="1119" spans="1:12" x14ac:dyDescent="0.3">
      <c r="A1119" t="s">
        <v>5322</v>
      </c>
      <c r="B1119" s="5" t="s">
        <v>9438</v>
      </c>
      <c r="C1119" t="s">
        <v>6456</v>
      </c>
      <c r="D1119" t="s">
        <v>5323</v>
      </c>
      <c r="E1119" t="s">
        <v>5324</v>
      </c>
      <c r="F1119" s="1">
        <v>46112</v>
      </c>
      <c r="G1119" t="s">
        <v>110</v>
      </c>
      <c r="H1119" s="24">
        <v>0</v>
      </c>
      <c r="I1119" t="str">
        <f>IF(H1119&lt;=0,"",LOOKUP(H1119,'Regras e Parâmetros'!$B$4:$B$7,'Regras e Parâmetros'!$A$4:$A$7))</f>
        <v/>
      </c>
      <c r="J1119" t="s">
        <v>6456</v>
      </c>
      <c r="L1119" t="s">
        <v>9883</v>
      </c>
    </row>
    <row r="1120" spans="1:12" x14ac:dyDescent="0.3">
      <c r="A1120" t="s">
        <v>4470</v>
      </c>
      <c r="B1120" s="5" t="s">
        <v>8922</v>
      </c>
      <c r="C1120" t="s">
        <v>6456</v>
      </c>
      <c r="D1120" t="s">
        <v>4471</v>
      </c>
      <c r="E1120" t="s">
        <v>8923</v>
      </c>
      <c r="F1120" s="1">
        <v>45859</v>
      </c>
      <c r="G1120" t="s">
        <v>110</v>
      </c>
      <c r="H1120" s="24">
        <v>0</v>
      </c>
      <c r="I1120" t="str">
        <f>IF(H1120&lt;=0,"",LOOKUP(H1120,'Regras e Parâmetros'!$B$4:$B$7,'Regras e Parâmetros'!$A$4:$A$7))</f>
        <v/>
      </c>
      <c r="J1120" t="s">
        <v>6747</v>
      </c>
      <c r="K1120" t="s">
        <v>8</v>
      </c>
      <c r="L1120" t="s">
        <v>9883</v>
      </c>
    </row>
    <row r="1121" spans="1:12" x14ac:dyDescent="0.3">
      <c r="A1121" t="s">
        <v>4006</v>
      </c>
      <c r="B1121" s="5" t="s">
        <v>4007</v>
      </c>
      <c r="C1121" t="s">
        <v>6456</v>
      </c>
      <c r="D1121" t="s">
        <v>4008</v>
      </c>
      <c r="E1121" t="s">
        <v>4009</v>
      </c>
      <c r="F1121" s="1">
        <v>45719</v>
      </c>
      <c r="G1121" t="s">
        <v>51</v>
      </c>
      <c r="H1121" s="24">
        <v>0</v>
      </c>
      <c r="I1121" t="str">
        <f>IF(H1121&lt;=0,"",LOOKUP(H1121,'Regras e Parâmetros'!$B$4:$B$7,'Regras e Parâmetros'!$A$4:$A$7))</f>
        <v/>
      </c>
      <c r="J1121" t="s">
        <v>9790</v>
      </c>
      <c r="K1121" t="s">
        <v>177</v>
      </c>
      <c r="L1121" t="s">
        <v>9886</v>
      </c>
    </row>
    <row r="1122" spans="1:12" x14ac:dyDescent="0.3">
      <c r="A1122" t="s">
        <v>4006</v>
      </c>
      <c r="B1122" s="5" t="s">
        <v>9072</v>
      </c>
      <c r="C1122" t="s">
        <v>6456</v>
      </c>
      <c r="D1122" t="s">
        <v>4702</v>
      </c>
      <c r="E1122" t="s">
        <v>9073</v>
      </c>
      <c r="F1122" s="1">
        <v>45930</v>
      </c>
      <c r="G1122" t="s">
        <v>51</v>
      </c>
      <c r="H1122" s="24">
        <v>0</v>
      </c>
      <c r="I1122" t="str">
        <f>IF(H1122&lt;=0,"",LOOKUP(H1122,'Regras e Parâmetros'!$B$4:$B$7,'Regras e Parâmetros'!$A$4:$A$7))</f>
        <v/>
      </c>
      <c r="J1122" t="s">
        <v>6456</v>
      </c>
      <c r="L1122" t="s">
        <v>9883</v>
      </c>
    </row>
    <row r="1123" spans="1:12" x14ac:dyDescent="0.3">
      <c r="A1123" t="s">
        <v>1376</v>
      </c>
      <c r="B1123" s="5" t="s">
        <v>7219</v>
      </c>
      <c r="C1123" t="s">
        <v>6456</v>
      </c>
      <c r="D1123" t="s">
        <v>1377</v>
      </c>
      <c r="E1123" t="s">
        <v>1378</v>
      </c>
      <c r="F1123" s="1">
        <v>44850</v>
      </c>
      <c r="G1123" t="s">
        <v>110</v>
      </c>
      <c r="H1123" s="24">
        <v>2910</v>
      </c>
      <c r="I1123" t="str">
        <f>IF(H1123&lt;=0,"",LOOKUP(H1123,'Regras e Parâmetros'!$B$4:$B$7,'Regras e Parâmetros'!$A$4:$A$7))</f>
        <v>Prata</v>
      </c>
      <c r="J1123" t="s">
        <v>6456</v>
      </c>
    </row>
    <row r="1124" spans="1:12" x14ac:dyDescent="0.3">
      <c r="A1124" t="s">
        <v>1640</v>
      </c>
      <c r="B1124" s="5" t="s">
        <v>1641</v>
      </c>
      <c r="C1124" t="s">
        <v>6456</v>
      </c>
      <c r="D1124" t="s">
        <v>1642</v>
      </c>
      <c r="E1124" t="s">
        <v>1643</v>
      </c>
      <c r="F1124" s="1">
        <v>44925</v>
      </c>
      <c r="G1124" t="s">
        <v>18</v>
      </c>
      <c r="H1124" s="24">
        <v>3787</v>
      </c>
      <c r="I1124" t="str">
        <f>IF(H1124&lt;=0,"",LOOKUP(H1124,'Regras e Parâmetros'!$B$4:$B$7,'Regras e Parâmetros'!$A$4:$A$7))</f>
        <v>Prata</v>
      </c>
      <c r="J1124" t="s">
        <v>6456</v>
      </c>
      <c r="K1124" t="s">
        <v>72</v>
      </c>
    </row>
    <row r="1125" spans="1:12" x14ac:dyDescent="0.3">
      <c r="A1125" t="s">
        <v>3769</v>
      </c>
      <c r="B1125" s="5" t="s">
        <v>3770</v>
      </c>
      <c r="C1125" t="s">
        <v>6456</v>
      </c>
      <c r="D1125" t="s">
        <v>4395</v>
      </c>
      <c r="E1125" t="s">
        <v>8508</v>
      </c>
      <c r="F1125" s="1">
        <v>45653</v>
      </c>
      <c r="G1125" t="s">
        <v>100</v>
      </c>
      <c r="H1125" s="24">
        <v>246</v>
      </c>
      <c r="I1125" t="str">
        <f>IF(H1125&lt;=0,"",LOOKUP(H1125,'Regras e Parâmetros'!$B$4:$B$7,'Regras e Parâmetros'!$A$4:$A$7))</f>
        <v>Bronze</v>
      </c>
      <c r="J1125" t="s">
        <v>6456</v>
      </c>
      <c r="K1125" t="s">
        <v>9882</v>
      </c>
      <c r="L1125" t="s">
        <v>9839</v>
      </c>
    </row>
    <row r="1126" spans="1:12" x14ac:dyDescent="0.3">
      <c r="A1126" t="s">
        <v>1742</v>
      </c>
      <c r="B1126" s="5" t="s">
        <v>1743</v>
      </c>
      <c r="C1126" t="s">
        <v>6456</v>
      </c>
      <c r="D1126" t="s">
        <v>1744</v>
      </c>
      <c r="E1126" t="s">
        <v>7432</v>
      </c>
      <c r="F1126" s="1">
        <v>44952</v>
      </c>
      <c r="G1126" t="s">
        <v>51</v>
      </c>
      <c r="H1126" s="24">
        <v>1121</v>
      </c>
      <c r="I1126" t="str">
        <f>IF(H1126&lt;=0,"",LOOKUP(H1126,'Regras e Parâmetros'!$B$4:$B$7,'Regras e Parâmetros'!$A$4:$A$7))</f>
        <v>Bronze</v>
      </c>
      <c r="J1126" t="s">
        <v>9790</v>
      </c>
    </row>
    <row r="1127" spans="1:12" x14ac:dyDescent="0.3">
      <c r="A1127" t="s">
        <v>4065</v>
      </c>
      <c r="B1127" s="5" t="s">
        <v>8694</v>
      </c>
      <c r="C1127" t="s">
        <v>6456</v>
      </c>
      <c r="D1127" t="s">
        <v>4066</v>
      </c>
      <c r="E1127" t="s">
        <v>4067</v>
      </c>
      <c r="F1127" s="1">
        <v>45735</v>
      </c>
      <c r="G1127" t="s">
        <v>45</v>
      </c>
      <c r="H1127" s="24">
        <v>0</v>
      </c>
      <c r="I1127" t="str">
        <f>IF(H1127&lt;=0,"",LOOKUP(H1127,'Regras e Parâmetros'!$B$4:$B$7,'Regras e Parâmetros'!$A$4:$A$7))</f>
        <v/>
      </c>
      <c r="J1127" t="s">
        <v>6456</v>
      </c>
      <c r="L1127" t="s">
        <v>9886</v>
      </c>
    </row>
    <row r="1128" spans="1:12" x14ac:dyDescent="0.3">
      <c r="A1128" t="s">
        <v>5883</v>
      </c>
      <c r="B1128" s="5" t="s">
        <v>9746</v>
      </c>
      <c r="C1128" t="s">
        <v>6456</v>
      </c>
      <c r="D1128" t="s">
        <v>5884</v>
      </c>
      <c r="E1128" t="s">
        <v>9747</v>
      </c>
      <c r="F1128" s="1">
        <v>46263</v>
      </c>
      <c r="G1128" t="s">
        <v>110</v>
      </c>
      <c r="H1128" s="24">
        <v>0</v>
      </c>
      <c r="I1128" t="str">
        <f>IF(H1128&lt;=0,"",LOOKUP(H1128,'Regras e Parâmetros'!$B$4:$B$7,'Regras e Parâmetros'!$A$4:$A$7))</f>
        <v/>
      </c>
      <c r="J1128" t="s">
        <v>6456</v>
      </c>
      <c r="L1128" t="s">
        <v>9883</v>
      </c>
    </row>
    <row r="1129" spans="1:12" x14ac:dyDescent="0.3">
      <c r="A1129" t="s">
        <v>7742</v>
      </c>
      <c r="B1129" s="5" t="s">
        <v>7743</v>
      </c>
      <c r="C1129" t="s">
        <v>6456</v>
      </c>
      <c r="D1129" t="s">
        <v>2286</v>
      </c>
      <c r="E1129" t="s">
        <v>2287</v>
      </c>
      <c r="F1129" s="1">
        <v>45134</v>
      </c>
      <c r="G1129" t="s">
        <v>22</v>
      </c>
      <c r="H1129" s="24">
        <v>1700</v>
      </c>
      <c r="I1129" t="str">
        <f>IF(H1129&lt;=0,"",LOOKUP(H1129,'Regras e Parâmetros'!$B$4:$B$7,'Regras e Parâmetros'!$A$4:$A$7))</f>
        <v>Prata</v>
      </c>
      <c r="J1129" t="s">
        <v>9790</v>
      </c>
    </row>
    <row r="1130" spans="1:12" x14ac:dyDescent="0.3">
      <c r="A1130" t="s">
        <v>2563</v>
      </c>
      <c r="B1130" s="5" t="s">
        <v>7898</v>
      </c>
      <c r="C1130" t="s">
        <v>6456</v>
      </c>
      <c r="D1130" t="s">
        <v>2565</v>
      </c>
      <c r="E1130" t="s">
        <v>2566</v>
      </c>
      <c r="F1130" s="1">
        <v>45218</v>
      </c>
      <c r="G1130" t="s">
        <v>45</v>
      </c>
      <c r="H1130" s="24">
        <v>9331</v>
      </c>
      <c r="I1130" t="str">
        <f>IF(H1130&lt;=0,"",LOOKUP(H1130,'Regras e Parâmetros'!$B$4:$B$7,'Regras e Parâmetros'!$A$4:$A$7))</f>
        <v>Ouro</v>
      </c>
      <c r="J1130" t="s">
        <v>9790</v>
      </c>
      <c r="K1130" t="s">
        <v>10028</v>
      </c>
    </row>
    <row r="1131" spans="1:12" x14ac:dyDescent="0.3">
      <c r="A1131" t="s">
        <v>3946</v>
      </c>
      <c r="B1131" s="5" t="s">
        <v>8604</v>
      </c>
      <c r="C1131" t="s">
        <v>6456</v>
      </c>
      <c r="D1131" t="s">
        <v>3947</v>
      </c>
      <c r="E1131" t="s">
        <v>3948</v>
      </c>
      <c r="F1131" s="1">
        <v>45689</v>
      </c>
      <c r="G1131" t="s">
        <v>22</v>
      </c>
      <c r="H1131" s="24">
        <v>0</v>
      </c>
      <c r="I1131" t="str">
        <f>IF(H1131&lt;=0,"",LOOKUP(H1131,'Regras e Parâmetros'!$B$4:$B$7,'Regras e Parâmetros'!$A$4:$A$7))</f>
        <v/>
      </c>
      <c r="J1131" t="s">
        <v>6747</v>
      </c>
      <c r="L1131" t="s">
        <v>9884</v>
      </c>
    </row>
    <row r="1132" spans="1:12" x14ac:dyDescent="0.3">
      <c r="A1132" t="s">
        <v>790</v>
      </c>
      <c r="B1132" s="5" t="s">
        <v>6895</v>
      </c>
      <c r="C1132" t="s">
        <v>6456</v>
      </c>
      <c r="D1132" t="s">
        <v>791</v>
      </c>
      <c r="E1132" t="s">
        <v>6896</v>
      </c>
      <c r="F1132" s="1">
        <v>44624</v>
      </c>
      <c r="G1132" t="s">
        <v>110</v>
      </c>
      <c r="H1132" s="24">
        <v>7317</v>
      </c>
      <c r="I1132" t="str">
        <f>IF(H1132&lt;=0,"",LOOKUP(H1132,'Regras e Parâmetros'!$B$4:$B$7,'Regras e Parâmetros'!$A$4:$A$7))</f>
        <v>Ouro</v>
      </c>
      <c r="J1132" t="s">
        <v>6747</v>
      </c>
    </row>
    <row r="1133" spans="1:12" x14ac:dyDescent="0.3">
      <c r="A1133" t="s">
        <v>790</v>
      </c>
      <c r="B1133" s="5" t="s">
        <v>2332</v>
      </c>
      <c r="C1133" t="s">
        <v>6456</v>
      </c>
      <c r="D1133" t="s">
        <v>2333</v>
      </c>
      <c r="E1133" t="s">
        <v>2334</v>
      </c>
      <c r="F1133" s="1">
        <v>45146</v>
      </c>
      <c r="G1133" t="s">
        <v>110</v>
      </c>
      <c r="H1133" s="24">
        <v>1754</v>
      </c>
      <c r="I1133" t="str">
        <f>IF(H1133&lt;=0,"",LOOKUP(H1133,'Regras e Parâmetros'!$B$4:$B$7,'Regras e Parâmetros'!$A$4:$A$7))</f>
        <v>Prata</v>
      </c>
      <c r="J1133" t="s">
        <v>6747</v>
      </c>
      <c r="K1133" t="s">
        <v>187</v>
      </c>
    </row>
    <row r="1134" spans="1:12" x14ac:dyDescent="0.3">
      <c r="A1134" t="s">
        <v>917</v>
      </c>
      <c r="B1134" s="5" t="s">
        <v>6968</v>
      </c>
      <c r="C1134" t="s">
        <v>6456</v>
      </c>
      <c r="D1134" t="s">
        <v>918</v>
      </c>
      <c r="E1134" t="s">
        <v>6969</v>
      </c>
      <c r="F1134" s="1">
        <v>44676</v>
      </c>
      <c r="G1134" t="s">
        <v>22</v>
      </c>
      <c r="H1134" s="24">
        <v>8038</v>
      </c>
      <c r="I1134" t="str">
        <f>IF(H1134&lt;=0,"",LOOKUP(H1134,'Regras e Parâmetros'!$B$4:$B$7,'Regras e Parâmetros'!$A$4:$A$7))</f>
        <v>Ouro</v>
      </c>
      <c r="J1134" t="s">
        <v>9790</v>
      </c>
      <c r="K1134" t="s">
        <v>72</v>
      </c>
    </row>
    <row r="1135" spans="1:12" x14ac:dyDescent="0.3">
      <c r="A1135" t="s">
        <v>4962</v>
      </c>
      <c r="B1135" s="5" t="s">
        <v>8929</v>
      </c>
      <c r="C1135" t="s">
        <v>6456</v>
      </c>
      <c r="D1135" t="s">
        <v>4963</v>
      </c>
      <c r="E1135" t="s">
        <v>4964</v>
      </c>
      <c r="F1135" s="1">
        <v>45859</v>
      </c>
      <c r="G1135" t="s">
        <v>45</v>
      </c>
      <c r="H1135" s="24">
        <v>0</v>
      </c>
      <c r="I1135" t="str">
        <f>IF(H1135&lt;=0,"",LOOKUP(H1135,'Regras e Parâmetros'!$B$4:$B$7,'Regras e Parâmetros'!$A$4:$A$7))</f>
        <v/>
      </c>
      <c r="J1135" t="s">
        <v>6747</v>
      </c>
      <c r="K1135" t="s">
        <v>9900</v>
      </c>
      <c r="L1135" t="s">
        <v>9883</v>
      </c>
    </row>
    <row r="1136" spans="1:12" x14ac:dyDescent="0.3">
      <c r="A1136" t="s">
        <v>3098</v>
      </c>
      <c r="B1136" s="5" t="s">
        <v>8159</v>
      </c>
      <c r="C1136" t="s">
        <v>6456</v>
      </c>
      <c r="D1136" t="s">
        <v>3099</v>
      </c>
      <c r="E1136" t="s">
        <v>8160</v>
      </c>
      <c r="F1136" s="1">
        <v>45427</v>
      </c>
      <c r="G1136" t="s">
        <v>110</v>
      </c>
      <c r="H1136" s="24">
        <v>108</v>
      </c>
      <c r="I1136" t="str">
        <f>IF(H1136&lt;=0,"",LOOKUP(H1136,'Regras e Parâmetros'!$B$4:$B$7,'Regras e Parâmetros'!$A$4:$A$7))</f>
        <v>Bronze</v>
      </c>
      <c r="J1136" t="s">
        <v>9790</v>
      </c>
    </row>
    <row r="1137" spans="1:12" x14ac:dyDescent="0.3">
      <c r="A1137" t="s">
        <v>4568</v>
      </c>
      <c r="B1137" s="5" t="s">
        <v>8998</v>
      </c>
      <c r="C1137" t="s">
        <v>6456</v>
      </c>
      <c r="D1137" t="s">
        <v>4569</v>
      </c>
      <c r="E1137" t="s">
        <v>4570</v>
      </c>
      <c r="F1137" s="1">
        <v>45888</v>
      </c>
      <c r="G1137" t="s">
        <v>51</v>
      </c>
      <c r="H1137" s="24">
        <v>0</v>
      </c>
      <c r="I1137" t="str">
        <f>IF(H1137&lt;=0,"",LOOKUP(H1137,'Regras e Parâmetros'!$B$4:$B$7,'Regras e Parâmetros'!$A$4:$A$7))</f>
        <v/>
      </c>
      <c r="J1137" t="s">
        <v>9790</v>
      </c>
      <c r="L1137" t="s">
        <v>9886</v>
      </c>
    </row>
    <row r="1138" spans="1:12" x14ac:dyDescent="0.3">
      <c r="A1138" t="s">
        <v>9252</v>
      </c>
      <c r="B1138" s="5" t="s">
        <v>9253</v>
      </c>
      <c r="C1138" t="s">
        <v>6456</v>
      </c>
      <c r="D1138" t="s">
        <v>5021</v>
      </c>
      <c r="E1138" t="s">
        <v>5022</v>
      </c>
      <c r="F1138" s="1">
        <v>46017</v>
      </c>
      <c r="G1138" t="s">
        <v>18</v>
      </c>
      <c r="H1138" s="24">
        <v>0</v>
      </c>
      <c r="I1138" t="str">
        <f>IF(H1138&lt;=0,"",LOOKUP(H1138,'Regras e Parâmetros'!$B$4:$B$7,'Regras e Parâmetros'!$A$4:$A$7))</f>
        <v/>
      </c>
      <c r="J1138" t="s">
        <v>6456</v>
      </c>
      <c r="K1138" t="s">
        <v>72</v>
      </c>
      <c r="L1138" t="s">
        <v>9883</v>
      </c>
    </row>
    <row r="1139" spans="1:12" x14ac:dyDescent="0.3">
      <c r="A1139" t="s">
        <v>7609</v>
      </c>
      <c r="B1139" s="5" t="s">
        <v>7610</v>
      </c>
      <c r="C1139" t="s">
        <v>6456</v>
      </c>
      <c r="D1139" t="s">
        <v>2075</v>
      </c>
      <c r="E1139" t="s">
        <v>2076</v>
      </c>
      <c r="F1139" s="1">
        <v>45068</v>
      </c>
      <c r="G1139" t="s">
        <v>110</v>
      </c>
      <c r="H1139" s="24">
        <v>586</v>
      </c>
      <c r="I1139" t="str">
        <f>IF(H1139&lt;=0,"",LOOKUP(H1139,'Regras e Parâmetros'!$B$4:$B$7,'Regras e Parâmetros'!$A$4:$A$7))</f>
        <v>Bronze</v>
      </c>
      <c r="J1139" t="s">
        <v>6456</v>
      </c>
      <c r="L1139" t="s">
        <v>9792</v>
      </c>
    </row>
    <row r="1140" spans="1:12" x14ac:dyDescent="0.3">
      <c r="A1140" t="s">
        <v>2821</v>
      </c>
      <c r="B1140" s="5" t="s">
        <v>8030</v>
      </c>
      <c r="C1140" t="s">
        <v>6456</v>
      </c>
      <c r="D1140" t="s">
        <v>2822</v>
      </c>
      <c r="E1140" t="s">
        <v>8031</v>
      </c>
      <c r="F1140" s="1">
        <v>45319</v>
      </c>
      <c r="G1140" t="s">
        <v>110</v>
      </c>
      <c r="H1140" s="24">
        <v>2095</v>
      </c>
      <c r="I1140" t="str">
        <f>IF(H1140&lt;=0,"",LOOKUP(H1140,'Regras e Parâmetros'!$B$4:$B$7,'Regras e Parâmetros'!$A$4:$A$7))</f>
        <v>Prata</v>
      </c>
      <c r="J1140" t="s">
        <v>6747</v>
      </c>
      <c r="K1140" t="s">
        <v>33</v>
      </c>
    </row>
    <row r="1141" spans="1:12" x14ac:dyDescent="0.3">
      <c r="A1141" t="s">
        <v>55</v>
      </c>
      <c r="B1141" s="5" t="s">
        <v>6485</v>
      </c>
      <c r="C1141" t="s">
        <v>6456</v>
      </c>
      <c r="D1141" t="s">
        <v>56</v>
      </c>
      <c r="E1141" t="s">
        <v>57</v>
      </c>
      <c r="F1141" s="1">
        <v>44364</v>
      </c>
      <c r="G1141" t="s">
        <v>22</v>
      </c>
      <c r="H1141" s="24">
        <v>1261</v>
      </c>
      <c r="I1141" t="str">
        <f>IF(H1141&lt;=0,"",LOOKUP(H1141,'Regras e Parâmetros'!$B$4:$B$7,'Regras e Parâmetros'!$A$4:$A$7))</f>
        <v>Bronze</v>
      </c>
      <c r="J1141" t="s">
        <v>9790</v>
      </c>
      <c r="K1141" t="s">
        <v>8</v>
      </c>
    </row>
    <row r="1142" spans="1:12" x14ac:dyDescent="0.3">
      <c r="A1142" t="s">
        <v>6933</v>
      </c>
      <c r="B1142" s="5" t="s">
        <v>856</v>
      </c>
      <c r="C1142" t="s">
        <v>6456</v>
      </c>
      <c r="D1142" t="s">
        <v>857</v>
      </c>
      <c r="E1142" t="s">
        <v>6934</v>
      </c>
      <c r="F1142" s="1">
        <v>44650</v>
      </c>
      <c r="G1142" t="s">
        <v>110</v>
      </c>
      <c r="H1142" s="24">
        <v>1074</v>
      </c>
      <c r="I1142" t="str">
        <f>IF(H1142&lt;=0,"",LOOKUP(H1142,'Regras e Parâmetros'!$B$4:$B$7,'Regras e Parâmetros'!$A$4:$A$7))</f>
        <v>Bronze</v>
      </c>
      <c r="J1142" t="s">
        <v>6456</v>
      </c>
    </row>
    <row r="1143" spans="1:12" x14ac:dyDescent="0.3">
      <c r="A1143" t="s">
        <v>2481</v>
      </c>
      <c r="B1143" s="5" t="s">
        <v>7819</v>
      </c>
      <c r="C1143" t="s">
        <v>6456</v>
      </c>
      <c r="D1143" t="s">
        <v>2482</v>
      </c>
      <c r="E1143" t="s">
        <v>2483</v>
      </c>
      <c r="F1143" s="1">
        <v>45170</v>
      </c>
      <c r="G1143" t="s">
        <v>110</v>
      </c>
      <c r="H1143" s="24">
        <v>211</v>
      </c>
      <c r="I1143" t="str">
        <f>IF(H1143&lt;=0,"",LOOKUP(H1143,'Regras e Parâmetros'!$B$4:$B$7,'Regras e Parâmetros'!$A$4:$A$7))</f>
        <v>Bronze</v>
      </c>
      <c r="J1143" t="s">
        <v>6747</v>
      </c>
      <c r="L1143" t="s">
        <v>9791</v>
      </c>
    </row>
    <row r="1144" spans="1:12" x14ac:dyDescent="0.3">
      <c r="A1144" t="s">
        <v>6719</v>
      </c>
      <c r="B1144" s="5" t="s">
        <v>6720</v>
      </c>
      <c r="C1144" t="s">
        <v>6456</v>
      </c>
      <c r="D1144" t="s">
        <v>488</v>
      </c>
      <c r="E1144" t="s">
        <v>6721</v>
      </c>
      <c r="F1144" s="1">
        <v>44514</v>
      </c>
      <c r="G1144" t="s">
        <v>51</v>
      </c>
      <c r="H1144" s="24">
        <v>1748</v>
      </c>
      <c r="I1144" t="str">
        <f>IF(H1144&lt;=0,"",LOOKUP(H1144,'Regras e Parâmetros'!$B$4:$B$7,'Regras e Parâmetros'!$A$4:$A$7))</f>
        <v>Prata</v>
      </c>
      <c r="J1144" t="s">
        <v>6456</v>
      </c>
      <c r="K1144" t="s">
        <v>72</v>
      </c>
    </row>
    <row r="1145" spans="1:12" x14ac:dyDescent="0.3">
      <c r="A1145" t="s">
        <v>732</v>
      </c>
      <c r="B1145" s="5" t="s">
        <v>733</v>
      </c>
      <c r="C1145" t="s">
        <v>6456</v>
      </c>
      <c r="D1145" t="s">
        <v>734</v>
      </c>
      <c r="E1145" t="s">
        <v>735</v>
      </c>
      <c r="F1145" s="1">
        <v>44606</v>
      </c>
      <c r="G1145" t="s">
        <v>110</v>
      </c>
      <c r="H1145" s="24">
        <v>138</v>
      </c>
      <c r="I1145" t="str">
        <f>IF(H1145&lt;=0,"",LOOKUP(H1145,'Regras e Parâmetros'!$B$4:$B$7,'Regras e Parâmetros'!$A$4:$A$7))</f>
        <v>Bronze</v>
      </c>
      <c r="J1145" t="s">
        <v>6456</v>
      </c>
    </row>
    <row r="1146" spans="1:12" x14ac:dyDescent="0.3">
      <c r="A1146" t="s">
        <v>2163</v>
      </c>
      <c r="B1146" s="5" t="s">
        <v>7676</v>
      </c>
      <c r="C1146" t="s">
        <v>6456</v>
      </c>
      <c r="D1146" t="s">
        <v>2164</v>
      </c>
      <c r="E1146" t="s">
        <v>7677</v>
      </c>
      <c r="F1146" s="1">
        <v>45101</v>
      </c>
      <c r="G1146" t="s">
        <v>22</v>
      </c>
      <c r="H1146" s="24">
        <v>13800</v>
      </c>
      <c r="I1146" t="str">
        <f>IF(H1146&lt;=0,"",LOOKUP(H1146,'Regras e Parâmetros'!$B$4:$B$7,'Regras e Parâmetros'!$A$4:$A$7))</f>
        <v>Vip</v>
      </c>
      <c r="J1146" t="s">
        <v>9790</v>
      </c>
      <c r="L1146" t="s">
        <v>9793</v>
      </c>
    </row>
    <row r="1147" spans="1:12" x14ac:dyDescent="0.3">
      <c r="A1147" t="s">
        <v>6475</v>
      </c>
      <c r="B1147" s="5" t="s">
        <v>6476</v>
      </c>
      <c r="C1147" t="s">
        <v>6456</v>
      </c>
      <c r="D1147" t="s">
        <v>23</v>
      </c>
      <c r="E1147" t="s">
        <v>24</v>
      </c>
      <c r="F1147" s="1">
        <v>44355</v>
      </c>
      <c r="G1147" t="s">
        <v>18</v>
      </c>
      <c r="H1147" s="24">
        <v>531</v>
      </c>
      <c r="I1147" t="str">
        <f>IF(H1147&lt;=0,"",LOOKUP(H1147,'Regras e Parâmetros'!$B$4:$B$7,'Regras e Parâmetros'!$A$4:$A$7))</f>
        <v>Bronze</v>
      </c>
      <c r="J1147" t="s">
        <v>6747</v>
      </c>
    </row>
    <row r="1148" spans="1:12" x14ac:dyDescent="0.3">
      <c r="A1148" t="s">
        <v>3460</v>
      </c>
      <c r="B1148" s="5" t="s">
        <v>8343</v>
      </c>
      <c r="C1148" t="s">
        <v>6456</v>
      </c>
      <c r="D1148" t="s">
        <v>3461</v>
      </c>
      <c r="E1148" t="s">
        <v>3462</v>
      </c>
      <c r="F1148" s="1">
        <v>45552</v>
      </c>
      <c r="G1148" t="s">
        <v>110</v>
      </c>
      <c r="H1148" s="24">
        <v>650</v>
      </c>
      <c r="I1148" t="str">
        <f>IF(H1148&lt;=0,"",LOOKUP(H1148,'Regras e Parâmetros'!$B$4:$B$7,'Regras e Parâmetros'!$A$4:$A$7))</f>
        <v>Bronze</v>
      </c>
      <c r="J1148" t="s">
        <v>6747</v>
      </c>
      <c r="K1148" t="s">
        <v>187</v>
      </c>
    </row>
    <row r="1149" spans="1:12" x14ac:dyDescent="0.3">
      <c r="A1149" t="s">
        <v>5221</v>
      </c>
      <c r="B1149" s="5" t="s">
        <v>9372</v>
      </c>
      <c r="C1149" t="s">
        <v>6456</v>
      </c>
      <c r="D1149" t="s">
        <v>5222</v>
      </c>
      <c r="E1149" t="s">
        <v>10109</v>
      </c>
      <c r="F1149" s="1">
        <v>46081</v>
      </c>
      <c r="G1149" t="s">
        <v>110</v>
      </c>
      <c r="H1149" s="24">
        <v>0</v>
      </c>
      <c r="I1149" t="str">
        <f>IF(H1149&lt;=0,"",LOOKUP(H1149,'Regras e Parâmetros'!$B$4:$B$7,'Regras e Parâmetros'!$A$4:$A$7))</f>
        <v/>
      </c>
      <c r="J1149" t="s">
        <v>9790</v>
      </c>
      <c r="L1149" t="s">
        <v>9883</v>
      </c>
    </row>
    <row r="1150" spans="1:12" x14ac:dyDescent="0.3">
      <c r="A1150" t="s">
        <v>2249</v>
      </c>
      <c r="B1150" s="5" t="s">
        <v>2250</v>
      </c>
      <c r="C1150" t="s">
        <v>6456</v>
      </c>
      <c r="D1150" t="s">
        <v>2251</v>
      </c>
      <c r="E1150" t="s">
        <v>7718</v>
      </c>
      <c r="F1150" s="1">
        <v>45124</v>
      </c>
      <c r="G1150" t="s">
        <v>110</v>
      </c>
      <c r="H1150" s="24">
        <v>4900</v>
      </c>
      <c r="I1150" t="str">
        <f>IF(H1150&lt;=0,"",LOOKUP(H1150,'Regras e Parâmetros'!$B$4:$B$7,'Regras e Parâmetros'!$A$4:$A$7))</f>
        <v>Prata</v>
      </c>
      <c r="J1150" t="s">
        <v>6747</v>
      </c>
      <c r="L1150" t="s">
        <v>9793</v>
      </c>
    </row>
    <row r="1151" spans="1:12" x14ac:dyDescent="0.3">
      <c r="A1151" t="s">
        <v>1923</v>
      </c>
      <c r="B1151" s="5" t="s">
        <v>7542</v>
      </c>
      <c r="C1151" t="s">
        <v>6456</v>
      </c>
      <c r="D1151" t="s">
        <v>1924</v>
      </c>
      <c r="E1151" t="s">
        <v>7543</v>
      </c>
      <c r="F1151" s="1">
        <v>45018</v>
      </c>
      <c r="G1151" t="s">
        <v>45</v>
      </c>
      <c r="H1151" s="24">
        <v>147</v>
      </c>
      <c r="I1151" t="str">
        <f>IF(H1151&lt;=0,"",LOOKUP(H1151,'Regras e Parâmetros'!$B$4:$B$7,'Regras e Parâmetros'!$A$4:$A$7))</f>
        <v>Bronze</v>
      </c>
      <c r="J1151" t="s">
        <v>6456</v>
      </c>
    </row>
    <row r="1152" spans="1:12" x14ac:dyDescent="0.3">
      <c r="A1152" t="s">
        <v>7177</v>
      </c>
      <c r="B1152" s="5" t="s">
        <v>7178</v>
      </c>
      <c r="C1152" t="s">
        <v>6456</v>
      </c>
      <c r="D1152" t="s">
        <v>1327</v>
      </c>
      <c r="E1152" t="s">
        <v>1328</v>
      </c>
      <c r="F1152" s="1">
        <v>44835</v>
      </c>
      <c r="G1152" t="s">
        <v>45</v>
      </c>
      <c r="H1152" s="24">
        <v>4421</v>
      </c>
      <c r="I1152" t="str">
        <f>IF(H1152&lt;=0,"",LOOKUP(H1152,'Regras e Parâmetros'!$B$4:$B$7,'Regras e Parâmetros'!$A$4:$A$7))</f>
        <v>Prata</v>
      </c>
      <c r="J1152" t="s">
        <v>6456</v>
      </c>
      <c r="L1152" t="s">
        <v>9792</v>
      </c>
    </row>
    <row r="1153" spans="1:12" x14ac:dyDescent="0.3">
      <c r="A1153" t="s">
        <v>1989</v>
      </c>
      <c r="B1153" s="5" t="s">
        <v>7566</v>
      </c>
      <c r="C1153" t="s">
        <v>6456</v>
      </c>
      <c r="D1153" t="s">
        <v>1990</v>
      </c>
      <c r="E1153" t="s">
        <v>7567</v>
      </c>
      <c r="F1153" s="1">
        <v>45040</v>
      </c>
      <c r="G1153" t="s">
        <v>22</v>
      </c>
      <c r="H1153" s="24">
        <v>15000</v>
      </c>
      <c r="I1153" t="str">
        <f>IF(H1153&lt;=0,"",LOOKUP(H1153,'Regras e Parâmetros'!$B$4:$B$7,'Regras e Parâmetros'!$A$4:$A$7))</f>
        <v>Vip</v>
      </c>
      <c r="J1153" t="s">
        <v>6456</v>
      </c>
      <c r="K1153" t="s">
        <v>72</v>
      </c>
    </row>
    <row r="1154" spans="1:12" x14ac:dyDescent="0.3">
      <c r="A1154" t="s">
        <v>2496</v>
      </c>
      <c r="B1154" s="5" t="s">
        <v>7864</v>
      </c>
      <c r="C1154" t="s">
        <v>6456</v>
      </c>
      <c r="D1154" t="s">
        <v>2497</v>
      </c>
      <c r="E1154" t="s">
        <v>7865</v>
      </c>
      <c r="F1154" s="1">
        <v>45201</v>
      </c>
      <c r="G1154" t="s">
        <v>45</v>
      </c>
      <c r="H1154" s="24">
        <v>197</v>
      </c>
      <c r="I1154" t="str">
        <f>IF(H1154&lt;=0,"",LOOKUP(H1154,'Regras e Parâmetros'!$B$4:$B$7,'Regras e Parâmetros'!$A$4:$A$7))</f>
        <v>Bronze</v>
      </c>
      <c r="J1154" t="s">
        <v>6456</v>
      </c>
    </row>
    <row r="1155" spans="1:12" x14ac:dyDescent="0.3">
      <c r="A1155" t="s">
        <v>8061</v>
      </c>
      <c r="B1155" s="5" t="s">
        <v>2916</v>
      </c>
      <c r="C1155" t="s">
        <v>6456</v>
      </c>
      <c r="D1155" t="s">
        <v>2917</v>
      </c>
      <c r="E1155" t="s">
        <v>8062</v>
      </c>
      <c r="F1155" s="1">
        <v>45352</v>
      </c>
      <c r="G1155" t="s">
        <v>22</v>
      </c>
      <c r="H1155" s="24">
        <v>304</v>
      </c>
      <c r="I1155" t="str">
        <f>IF(H1155&lt;=0,"",LOOKUP(H1155,'Regras e Parâmetros'!$B$4:$B$7,'Regras e Parâmetros'!$A$4:$A$7))</f>
        <v>Bronze</v>
      </c>
      <c r="J1155" t="s">
        <v>6456</v>
      </c>
      <c r="K1155" t="s">
        <v>187</v>
      </c>
      <c r="L1155" t="s">
        <v>9791</v>
      </c>
    </row>
    <row r="1156" spans="1:12" x14ac:dyDescent="0.3">
      <c r="A1156" t="s">
        <v>4793</v>
      </c>
      <c r="B1156" s="5" t="s">
        <v>4794</v>
      </c>
      <c r="C1156" t="s">
        <v>6456</v>
      </c>
      <c r="D1156" t="s">
        <v>4795</v>
      </c>
      <c r="E1156" t="s">
        <v>9124</v>
      </c>
      <c r="F1156" s="1">
        <v>45950</v>
      </c>
      <c r="G1156" t="s">
        <v>22</v>
      </c>
      <c r="H1156" s="24">
        <v>0</v>
      </c>
      <c r="I1156" t="str">
        <f>IF(H1156&lt;=0,"",LOOKUP(H1156,'Regras e Parâmetros'!$B$4:$B$7,'Regras e Parâmetros'!$A$4:$A$7))</f>
        <v/>
      </c>
      <c r="J1156" t="s">
        <v>6456</v>
      </c>
      <c r="K1156" t="s">
        <v>8</v>
      </c>
      <c r="L1156" t="s">
        <v>9883</v>
      </c>
    </row>
    <row r="1157" spans="1:12" x14ac:dyDescent="0.3">
      <c r="A1157" t="s">
        <v>1342</v>
      </c>
      <c r="B1157" s="5" t="s">
        <v>7192</v>
      </c>
      <c r="C1157" t="s">
        <v>6456</v>
      </c>
      <c r="D1157" t="s">
        <v>1343</v>
      </c>
      <c r="E1157" t="s">
        <v>1344</v>
      </c>
      <c r="F1157" s="1">
        <v>44840</v>
      </c>
      <c r="G1157" t="s">
        <v>45</v>
      </c>
      <c r="H1157" s="24">
        <v>3746</v>
      </c>
      <c r="I1157" t="str">
        <f>IF(H1157&lt;=0,"",LOOKUP(H1157,'Regras e Parâmetros'!$B$4:$B$7,'Regras e Parâmetros'!$A$4:$A$7))</f>
        <v>Prata</v>
      </c>
      <c r="J1157" t="s">
        <v>6747</v>
      </c>
    </row>
    <row r="1158" spans="1:12" x14ac:dyDescent="0.3">
      <c r="A1158" t="s">
        <v>1664</v>
      </c>
      <c r="B1158" s="5" t="s">
        <v>1665</v>
      </c>
      <c r="C1158" t="s">
        <v>6456</v>
      </c>
      <c r="E1158" t="s">
        <v>1666</v>
      </c>
      <c r="F1158" s="1">
        <v>44930</v>
      </c>
      <c r="G1158" t="s">
        <v>51</v>
      </c>
      <c r="H1158" s="24">
        <v>1181</v>
      </c>
      <c r="I1158" t="str">
        <f>IF(H1158&lt;=0,"",LOOKUP(H1158,'Regras e Parâmetros'!$B$4:$B$7,'Regras e Parâmetros'!$A$4:$A$7))</f>
        <v>Bronze</v>
      </c>
      <c r="J1158" t="s">
        <v>9790</v>
      </c>
      <c r="L1158" t="s">
        <v>9804</v>
      </c>
    </row>
    <row r="1159" spans="1:12" x14ac:dyDescent="0.3">
      <c r="A1159" t="s">
        <v>1914</v>
      </c>
      <c r="B1159" s="5" t="s">
        <v>6079</v>
      </c>
      <c r="C1159" t="s">
        <v>6456</v>
      </c>
      <c r="D1159" t="s">
        <v>1915</v>
      </c>
      <c r="E1159" t="s">
        <v>7530</v>
      </c>
      <c r="F1159" s="1">
        <v>45016</v>
      </c>
      <c r="G1159" t="s">
        <v>100</v>
      </c>
      <c r="H1159" s="24">
        <v>1800</v>
      </c>
      <c r="I1159" t="str">
        <f>IF(H1159&lt;=0,"",LOOKUP(H1159,'Regras e Parâmetros'!$B$4:$B$7,'Regras e Parâmetros'!$A$4:$A$7))</f>
        <v>Prata</v>
      </c>
      <c r="J1159" t="s">
        <v>9790</v>
      </c>
      <c r="L1159" t="s">
        <v>9793</v>
      </c>
    </row>
    <row r="1160" spans="1:12" x14ac:dyDescent="0.3">
      <c r="A1160" t="s">
        <v>1965</v>
      </c>
      <c r="B1160" s="5" t="s">
        <v>101</v>
      </c>
      <c r="C1160" t="s">
        <v>6456</v>
      </c>
      <c r="D1160" t="s">
        <v>102</v>
      </c>
      <c r="E1160" t="s">
        <v>6513</v>
      </c>
      <c r="F1160" s="1">
        <v>44379</v>
      </c>
      <c r="G1160" t="s">
        <v>45</v>
      </c>
      <c r="H1160" s="24">
        <v>0</v>
      </c>
      <c r="I1160" t="str">
        <f>IF(H1160&lt;=0,"",LOOKUP(H1160,'Regras e Parâmetros'!$B$4:$B$7,'Regras e Parâmetros'!$A$4:$A$7))</f>
        <v/>
      </c>
      <c r="J1160" t="s">
        <v>9790</v>
      </c>
    </row>
    <row r="1161" spans="1:12" x14ac:dyDescent="0.3">
      <c r="A1161" t="s">
        <v>1965</v>
      </c>
      <c r="B1161" s="5" t="s">
        <v>7535</v>
      </c>
      <c r="C1161" t="s">
        <v>6456</v>
      </c>
      <c r="D1161" t="s">
        <v>1966</v>
      </c>
      <c r="E1161" t="s">
        <v>1967</v>
      </c>
      <c r="F1161" s="1">
        <v>45017</v>
      </c>
      <c r="G1161" t="s">
        <v>18</v>
      </c>
      <c r="H1161" s="24">
        <v>2888</v>
      </c>
      <c r="I1161" t="str">
        <f>IF(H1161&lt;=0,"",LOOKUP(H1161,'Regras e Parâmetros'!$B$4:$B$7,'Regras e Parâmetros'!$A$4:$A$7))</f>
        <v>Prata</v>
      </c>
      <c r="J1161" t="s">
        <v>9790</v>
      </c>
      <c r="L1161" t="s">
        <v>9789</v>
      </c>
    </row>
    <row r="1162" spans="1:12" x14ac:dyDescent="0.3">
      <c r="A1162" t="s">
        <v>7674</v>
      </c>
      <c r="B1162" s="5" t="s">
        <v>7675</v>
      </c>
      <c r="C1162" t="s">
        <v>6456</v>
      </c>
      <c r="D1162" t="s">
        <v>2161</v>
      </c>
      <c r="E1162" t="s">
        <v>2162</v>
      </c>
      <c r="F1162" s="1">
        <v>45100</v>
      </c>
      <c r="G1162" t="s">
        <v>51</v>
      </c>
      <c r="H1162" s="24">
        <v>0</v>
      </c>
      <c r="I1162" t="str">
        <f>IF(H1162&lt;=0,"",LOOKUP(H1162,'Regras e Parâmetros'!$B$4:$B$7,'Regras e Parâmetros'!$A$4:$A$7))</f>
        <v/>
      </c>
      <c r="J1162" t="s">
        <v>6747</v>
      </c>
    </row>
    <row r="1163" spans="1:12" x14ac:dyDescent="0.3">
      <c r="A1163" t="s">
        <v>711</v>
      </c>
      <c r="B1163" s="5" t="s">
        <v>6850</v>
      </c>
      <c r="C1163" t="s">
        <v>6456</v>
      </c>
      <c r="D1163" t="s">
        <v>712</v>
      </c>
      <c r="E1163" t="s">
        <v>713</v>
      </c>
      <c r="F1163" s="1">
        <v>44596</v>
      </c>
      <c r="G1163" t="s">
        <v>45</v>
      </c>
      <c r="H1163" s="24">
        <v>4313</v>
      </c>
      <c r="I1163" t="str">
        <f>IF(H1163&lt;=0,"",LOOKUP(H1163,'Regras e Parâmetros'!$B$4:$B$7,'Regras e Parâmetros'!$A$4:$A$7))</f>
        <v>Prata</v>
      </c>
      <c r="J1163" t="s">
        <v>9790</v>
      </c>
    </row>
    <row r="1164" spans="1:12" x14ac:dyDescent="0.3">
      <c r="A1164" t="s">
        <v>1779</v>
      </c>
      <c r="B1164" s="5" t="s">
        <v>1780</v>
      </c>
      <c r="C1164" t="s">
        <v>6456</v>
      </c>
      <c r="D1164" t="s">
        <v>1781</v>
      </c>
      <c r="E1164" t="s">
        <v>1782</v>
      </c>
      <c r="F1164" s="1">
        <v>44964</v>
      </c>
      <c r="G1164" t="s">
        <v>22</v>
      </c>
      <c r="H1164" s="24">
        <v>13407</v>
      </c>
      <c r="I1164" t="str">
        <f>IF(H1164&lt;=0,"",LOOKUP(H1164,'Regras e Parâmetros'!$B$4:$B$7,'Regras e Parâmetros'!$A$4:$A$7))</f>
        <v>Vip</v>
      </c>
      <c r="J1164" t="s">
        <v>9790</v>
      </c>
    </row>
    <row r="1165" spans="1:12" x14ac:dyDescent="0.3">
      <c r="A1165" t="s">
        <v>349</v>
      </c>
      <c r="B1165" s="5" t="s">
        <v>350</v>
      </c>
      <c r="C1165" t="s">
        <v>6456</v>
      </c>
      <c r="D1165" t="s">
        <v>351</v>
      </c>
      <c r="E1165" t="s">
        <v>352</v>
      </c>
      <c r="F1165" s="1">
        <v>44440</v>
      </c>
      <c r="G1165" t="s">
        <v>45</v>
      </c>
      <c r="H1165" s="24">
        <v>5241</v>
      </c>
      <c r="I1165" t="str">
        <f>IF(H1165&lt;=0,"",LOOKUP(H1165,'Regras e Parâmetros'!$B$4:$B$7,'Regras e Parâmetros'!$A$4:$A$7))</f>
        <v>Ouro</v>
      </c>
      <c r="J1165" t="s">
        <v>6456</v>
      </c>
      <c r="K1165" t="s">
        <v>177</v>
      </c>
      <c r="L1165" t="s">
        <v>9791</v>
      </c>
    </row>
    <row r="1166" spans="1:12" x14ac:dyDescent="0.3">
      <c r="A1166" t="s">
        <v>349</v>
      </c>
      <c r="B1166" s="5" t="s">
        <v>6634</v>
      </c>
      <c r="C1166" t="s">
        <v>6456</v>
      </c>
      <c r="D1166" t="s">
        <v>344</v>
      </c>
      <c r="E1166" t="s">
        <v>345</v>
      </c>
      <c r="F1166" s="1">
        <v>44462</v>
      </c>
      <c r="G1166" t="s">
        <v>51</v>
      </c>
      <c r="H1166" s="24">
        <v>11263</v>
      </c>
      <c r="I1166" t="str">
        <f>IF(H1166&lt;=0,"",LOOKUP(H1166,'Regras e Parâmetros'!$B$4:$B$7,'Regras e Parâmetros'!$A$4:$A$7))</f>
        <v>Vip</v>
      </c>
      <c r="J1166" t="s">
        <v>6747</v>
      </c>
      <c r="K1166" t="s">
        <v>187</v>
      </c>
      <c r="L1166" t="s">
        <v>9792</v>
      </c>
    </row>
    <row r="1167" spans="1:12" x14ac:dyDescent="0.3">
      <c r="A1167" t="s">
        <v>5185</v>
      </c>
      <c r="B1167" s="5" t="s">
        <v>9353</v>
      </c>
      <c r="C1167" t="s">
        <v>6456</v>
      </c>
      <c r="D1167" t="s">
        <v>5186</v>
      </c>
      <c r="E1167" t="s">
        <v>5187</v>
      </c>
      <c r="F1167" s="1">
        <v>46068</v>
      </c>
      <c r="G1167" t="s">
        <v>18</v>
      </c>
      <c r="H1167" s="24">
        <v>0</v>
      </c>
      <c r="I1167" t="str">
        <f>IF(H1167&lt;=0,"",LOOKUP(H1167,'Regras e Parâmetros'!$B$4:$B$7,'Regras e Parâmetros'!$A$4:$A$7))</f>
        <v/>
      </c>
      <c r="J1167" t="s">
        <v>9790</v>
      </c>
      <c r="L1167" t="s">
        <v>9886</v>
      </c>
    </row>
    <row r="1168" spans="1:12" x14ac:dyDescent="0.3">
      <c r="A1168" t="s">
        <v>5560</v>
      </c>
      <c r="B1168" s="5" t="s">
        <v>9556</v>
      </c>
      <c r="C1168" t="s">
        <v>6456</v>
      </c>
      <c r="D1168" t="s">
        <v>5561</v>
      </c>
      <c r="E1168" t="s">
        <v>9557</v>
      </c>
      <c r="F1168" s="1">
        <v>46173</v>
      </c>
      <c r="G1168" t="s">
        <v>100</v>
      </c>
      <c r="H1168" s="24">
        <v>0</v>
      </c>
      <c r="I1168" t="str">
        <f>IF(H1168&lt;=0,"",LOOKUP(H1168,'Regras e Parâmetros'!$B$4:$B$7,'Regras e Parâmetros'!$A$4:$A$7))</f>
        <v/>
      </c>
      <c r="J1168" t="s">
        <v>6747</v>
      </c>
      <c r="L1168" t="s">
        <v>9883</v>
      </c>
    </row>
    <row r="1169" spans="1:12" x14ac:dyDescent="0.3">
      <c r="A1169" t="s">
        <v>4698</v>
      </c>
      <c r="B1169" s="5" t="s">
        <v>9068</v>
      </c>
      <c r="C1169" t="s">
        <v>6456</v>
      </c>
      <c r="D1169" t="s">
        <v>4699</v>
      </c>
      <c r="E1169" t="s">
        <v>4700</v>
      </c>
      <c r="F1169" s="1">
        <v>45929</v>
      </c>
      <c r="G1169" t="s">
        <v>45</v>
      </c>
      <c r="H1169" s="24">
        <v>0</v>
      </c>
      <c r="I1169" t="str">
        <f>IF(H1169&lt;=0,"",LOOKUP(H1169,'Regras e Parâmetros'!$B$4:$B$7,'Regras e Parâmetros'!$A$4:$A$7))</f>
        <v/>
      </c>
      <c r="J1169" t="s">
        <v>9790</v>
      </c>
      <c r="K1169" t="s">
        <v>33</v>
      </c>
      <c r="L1169" t="s">
        <v>9883</v>
      </c>
    </row>
    <row r="1170" spans="1:12" x14ac:dyDescent="0.3">
      <c r="A1170" t="s">
        <v>980</v>
      </c>
      <c r="B1170" s="5" t="s">
        <v>7004</v>
      </c>
      <c r="C1170" t="s">
        <v>6456</v>
      </c>
      <c r="D1170" t="s">
        <v>981</v>
      </c>
      <c r="E1170" t="s">
        <v>982</v>
      </c>
      <c r="F1170" s="1">
        <v>44703</v>
      </c>
      <c r="G1170" t="s">
        <v>22</v>
      </c>
      <c r="H1170" s="24">
        <v>1799</v>
      </c>
      <c r="I1170" t="str">
        <f>IF(H1170&lt;=0,"",LOOKUP(H1170,'Regras e Parâmetros'!$B$4:$B$7,'Regras e Parâmetros'!$A$4:$A$7))</f>
        <v>Prata</v>
      </c>
      <c r="J1170" t="s">
        <v>6456</v>
      </c>
    </row>
    <row r="1171" spans="1:12" x14ac:dyDescent="0.3">
      <c r="A1171" t="s">
        <v>3264</v>
      </c>
      <c r="B1171" s="5" t="s">
        <v>3265</v>
      </c>
      <c r="C1171" t="s">
        <v>6456</v>
      </c>
      <c r="D1171" t="s">
        <v>3266</v>
      </c>
      <c r="E1171" t="s">
        <v>8245</v>
      </c>
      <c r="F1171" s="1">
        <v>45485</v>
      </c>
      <c r="G1171" t="s">
        <v>51</v>
      </c>
      <c r="H1171" s="24">
        <v>0</v>
      </c>
      <c r="I1171" t="str">
        <f>IF(H1171&lt;=0,"",LOOKUP(H1171,'Regras e Parâmetros'!$B$4:$B$7,'Regras e Parâmetros'!$A$4:$A$7))</f>
        <v/>
      </c>
      <c r="J1171" t="s">
        <v>6456</v>
      </c>
      <c r="K1171" t="s">
        <v>72</v>
      </c>
    </row>
    <row r="1172" spans="1:12" x14ac:dyDescent="0.3">
      <c r="A1172" t="s">
        <v>8292</v>
      </c>
      <c r="B1172" s="5" t="s">
        <v>8293</v>
      </c>
      <c r="C1172" t="s">
        <v>6456</v>
      </c>
      <c r="D1172" t="s">
        <v>3355</v>
      </c>
      <c r="E1172" t="s">
        <v>10110</v>
      </c>
      <c r="F1172" s="1">
        <v>45514</v>
      </c>
      <c r="G1172" t="s">
        <v>45</v>
      </c>
      <c r="H1172" s="24">
        <v>257</v>
      </c>
      <c r="I1172" t="str">
        <f>IF(H1172&lt;=0,"",LOOKUP(H1172,'Regras e Parâmetros'!$B$4:$B$7,'Regras e Parâmetros'!$A$4:$A$7))</f>
        <v>Bronze</v>
      </c>
      <c r="J1172" t="s">
        <v>9790</v>
      </c>
    </row>
    <row r="1173" spans="1:12" x14ac:dyDescent="0.3">
      <c r="A1173" t="s">
        <v>8681</v>
      </c>
      <c r="B1173" s="5" t="s">
        <v>8682</v>
      </c>
      <c r="C1173" t="s">
        <v>6456</v>
      </c>
      <c r="D1173" t="s">
        <v>4041</v>
      </c>
      <c r="E1173" t="s">
        <v>8683</v>
      </c>
      <c r="F1173" s="1">
        <v>45729</v>
      </c>
      <c r="G1173" t="s">
        <v>45</v>
      </c>
      <c r="H1173" s="24">
        <v>0</v>
      </c>
      <c r="I1173" t="str">
        <f>IF(H1173&lt;=0,"",LOOKUP(H1173,'Regras e Parâmetros'!$B$4:$B$7,'Regras e Parâmetros'!$A$4:$A$7))</f>
        <v/>
      </c>
      <c r="J1173" t="s">
        <v>6456</v>
      </c>
      <c r="L1173" t="s">
        <v>9883</v>
      </c>
    </row>
    <row r="1174" spans="1:12" x14ac:dyDescent="0.3">
      <c r="A1174" t="s">
        <v>2507</v>
      </c>
      <c r="B1174" s="5" t="s">
        <v>7870</v>
      </c>
      <c r="C1174" t="s">
        <v>6456</v>
      </c>
      <c r="D1174" t="s">
        <v>2508</v>
      </c>
      <c r="E1174" t="s">
        <v>7871</v>
      </c>
      <c r="F1174" s="1">
        <v>45205</v>
      </c>
      <c r="G1174" t="s">
        <v>110</v>
      </c>
      <c r="H1174" s="24">
        <v>1142</v>
      </c>
      <c r="I1174" t="str">
        <f>IF(H1174&lt;=0,"",LOOKUP(H1174,'Regras e Parâmetros'!$B$4:$B$7,'Regras e Parâmetros'!$A$4:$A$7))</f>
        <v>Bronze</v>
      </c>
      <c r="J1174" t="s">
        <v>6747</v>
      </c>
    </row>
    <row r="1175" spans="1:12" x14ac:dyDescent="0.3">
      <c r="A1175" t="s">
        <v>5122</v>
      </c>
      <c r="B1175" s="5" t="s">
        <v>9307</v>
      </c>
      <c r="C1175" t="s">
        <v>6456</v>
      </c>
      <c r="D1175" t="s">
        <v>5123</v>
      </c>
      <c r="E1175" t="s">
        <v>9308</v>
      </c>
      <c r="F1175" s="1">
        <v>46051</v>
      </c>
      <c r="G1175" t="s">
        <v>22</v>
      </c>
      <c r="H1175" s="24">
        <v>0</v>
      </c>
      <c r="I1175" t="str">
        <f>IF(H1175&lt;=0,"",LOOKUP(H1175,'Regras e Parâmetros'!$B$4:$B$7,'Regras e Parâmetros'!$A$4:$A$7))</f>
        <v/>
      </c>
      <c r="J1175" t="s">
        <v>9790</v>
      </c>
      <c r="L1175" t="s">
        <v>9883</v>
      </c>
    </row>
    <row r="1176" spans="1:12" x14ac:dyDescent="0.3">
      <c r="A1176" t="s">
        <v>5074</v>
      </c>
      <c r="B1176" s="5" t="s">
        <v>9283</v>
      </c>
      <c r="C1176" t="s">
        <v>6456</v>
      </c>
      <c r="D1176" t="s">
        <v>6013</v>
      </c>
      <c r="E1176" t="s">
        <v>5075</v>
      </c>
      <c r="F1176" s="1">
        <v>46038</v>
      </c>
      <c r="G1176" t="s">
        <v>18</v>
      </c>
      <c r="H1176" s="24">
        <v>0</v>
      </c>
      <c r="I1176" t="str">
        <f>IF(H1176&lt;=0,"",LOOKUP(H1176,'Regras e Parâmetros'!$B$4:$B$7,'Regras e Parâmetros'!$A$4:$A$7))</f>
        <v/>
      </c>
      <c r="J1176" t="s">
        <v>9790</v>
      </c>
      <c r="K1176" t="s">
        <v>9917</v>
      </c>
      <c r="L1176" t="s">
        <v>9883</v>
      </c>
    </row>
    <row r="1177" spans="1:12" x14ac:dyDescent="0.3">
      <c r="A1177" t="s">
        <v>5074</v>
      </c>
      <c r="B1177" s="5" t="s">
        <v>9404</v>
      </c>
      <c r="C1177" t="s">
        <v>6456</v>
      </c>
      <c r="D1177" t="s">
        <v>5265</v>
      </c>
      <c r="E1177" t="s">
        <v>9405</v>
      </c>
      <c r="F1177" s="1">
        <v>46097</v>
      </c>
      <c r="G1177" t="s">
        <v>45</v>
      </c>
      <c r="H1177" s="24">
        <v>0</v>
      </c>
      <c r="I1177" t="str">
        <f>IF(H1177&lt;=0,"",LOOKUP(H1177,'Regras e Parâmetros'!$B$4:$B$7,'Regras e Parâmetros'!$A$4:$A$7))</f>
        <v/>
      </c>
      <c r="J1177" t="s">
        <v>6456</v>
      </c>
      <c r="K1177" t="s">
        <v>187</v>
      </c>
      <c r="L1177" t="s">
        <v>9883</v>
      </c>
    </row>
    <row r="1178" spans="1:12" x14ac:dyDescent="0.3">
      <c r="A1178" t="s">
        <v>4352</v>
      </c>
      <c r="B1178" s="5" t="s">
        <v>8857</v>
      </c>
      <c r="C1178" t="s">
        <v>6456</v>
      </c>
      <c r="D1178" t="s">
        <v>4353</v>
      </c>
      <c r="E1178" t="s">
        <v>8858</v>
      </c>
      <c r="F1178" s="1">
        <v>45823</v>
      </c>
      <c r="G1178" t="s">
        <v>45</v>
      </c>
      <c r="H1178" s="24">
        <v>0</v>
      </c>
      <c r="I1178" t="str">
        <f>IF(H1178&lt;=0,"",LOOKUP(H1178,'Regras e Parâmetros'!$B$4:$B$7,'Regras e Parâmetros'!$A$4:$A$7))</f>
        <v/>
      </c>
      <c r="J1178" t="s">
        <v>9790</v>
      </c>
      <c r="K1178" t="s">
        <v>72</v>
      </c>
      <c r="L1178" t="s">
        <v>9883</v>
      </c>
    </row>
    <row r="1179" spans="1:12" x14ac:dyDescent="0.3">
      <c r="A1179" t="s">
        <v>5178</v>
      </c>
      <c r="B1179" s="5" t="s">
        <v>5179</v>
      </c>
      <c r="C1179" t="s">
        <v>6456</v>
      </c>
      <c r="D1179" t="s">
        <v>5180</v>
      </c>
      <c r="E1179" t="s">
        <v>5181</v>
      </c>
      <c r="F1179" s="1">
        <v>46066</v>
      </c>
      <c r="G1179" t="s">
        <v>45</v>
      </c>
      <c r="H1179" s="24">
        <v>0</v>
      </c>
      <c r="I1179" t="str">
        <f>IF(H1179&lt;=0,"",LOOKUP(H1179,'Regras e Parâmetros'!$B$4:$B$7,'Regras e Parâmetros'!$A$4:$A$7))</f>
        <v/>
      </c>
      <c r="J1179" t="s">
        <v>6456</v>
      </c>
      <c r="L1179" t="s">
        <v>9883</v>
      </c>
    </row>
    <row r="1180" spans="1:12" x14ac:dyDescent="0.3">
      <c r="A1180" t="s">
        <v>771</v>
      </c>
      <c r="B1180" s="5" t="s">
        <v>6884</v>
      </c>
      <c r="C1180" t="s">
        <v>6456</v>
      </c>
      <c r="D1180" t="s">
        <v>772</v>
      </c>
      <c r="E1180" t="s">
        <v>6885</v>
      </c>
      <c r="F1180" s="1">
        <v>44620</v>
      </c>
      <c r="G1180" t="s">
        <v>45</v>
      </c>
      <c r="H1180" s="24">
        <v>672</v>
      </c>
      <c r="I1180" t="str">
        <f>IF(H1180&lt;=0,"",LOOKUP(H1180,'Regras e Parâmetros'!$B$4:$B$7,'Regras e Parâmetros'!$A$4:$A$7))</f>
        <v>Bronze</v>
      </c>
      <c r="J1180" t="s">
        <v>6747</v>
      </c>
    </row>
    <row r="1181" spans="1:12" x14ac:dyDescent="0.3">
      <c r="A1181" t="s">
        <v>7059</v>
      </c>
      <c r="B1181" s="5" t="s">
        <v>7060</v>
      </c>
      <c r="C1181" t="s">
        <v>6456</v>
      </c>
      <c r="D1181" t="s">
        <v>1129</v>
      </c>
      <c r="E1181" t="s">
        <v>1130</v>
      </c>
      <c r="F1181" s="1">
        <v>44741</v>
      </c>
      <c r="G1181" t="s">
        <v>51</v>
      </c>
      <c r="H1181" s="24">
        <v>2699</v>
      </c>
      <c r="I1181" t="str">
        <f>IF(H1181&lt;=0,"",LOOKUP(H1181,'Regras e Parâmetros'!$B$4:$B$7,'Regras e Parâmetros'!$A$4:$A$7))</f>
        <v>Prata</v>
      </c>
      <c r="J1181" t="s">
        <v>6747</v>
      </c>
      <c r="L1181" t="s">
        <v>9792</v>
      </c>
    </row>
    <row r="1182" spans="1:12" x14ac:dyDescent="0.3">
      <c r="A1182" t="s">
        <v>4810</v>
      </c>
      <c r="B1182" s="5" t="s">
        <v>4811</v>
      </c>
      <c r="C1182" t="s">
        <v>6456</v>
      </c>
      <c r="D1182" t="s">
        <v>4812</v>
      </c>
      <c r="E1182" t="s">
        <v>4813</v>
      </c>
      <c r="F1182" s="1">
        <v>45955</v>
      </c>
      <c r="G1182" t="s">
        <v>22</v>
      </c>
      <c r="H1182" s="24">
        <v>0</v>
      </c>
      <c r="I1182" t="str">
        <f>IF(H1182&lt;=0,"",LOOKUP(H1182,'Regras e Parâmetros'!$B$4:$B$7,'Regras e Parâmetros'!$A$4:$A$7))</f>
        <v/>
      </c>
      <c r="J1182" t="s">
        <v>6456</v>
      </c>
      <c r="K1182" t="s">
        <v>33</v>
      </c>
      <c r="L1182" t="s">
        <v>9883</v>
      </c>
    </row>
    <row r="1183" spans="1:12" x14ac:dyDescent="0.3">
      <c r="A1183" t="s">
        <v>1131</v>
      </c>
      <c r="B1183" s="5" t="s">
        <v>1132</v>
      </c>
      <c r="C1183" t="s">
        <v>6456</v>
      </c>
      <c r="D1183" t="s">
        <v>3026</v>
      </c>
      <c r="E1183" t="s">
        <v>1133</v>
      </c>
      <c r="F1183" s="1">
        <v>44811</v>
      </c>
      <c r="G1183" t="s">
        <v>22</v>
      </c>
      <c r="H1183" s="24">
        <v>4433</v>
      </c>
      <c r="I1183" t="str">
        <f>IF(H1183&lt;=0,"",LOOKUP(H1183,'Regras e Parâmetros'!$B$4:$B$7,'Regras e Parâmetros'!$A$4:$A$7))</f>
        <v>Prata</v>
      </c>
      <c r="J1183" t="s">
        <v>6747</v>
      </c>
      <c r="K1183" t="s">
        <v>9825</v>
      </c>
    </row>
    <row r="1184" spans="1:12" x14ac:dyDescent="0.3">
      <c r="A1184" t="s">
        <v>8467</v>
      </c>
      <c r="B1184" s="5" t="s">
        <v>8468</v>
      </c>
      <c r="C1184" t="s">
        <v>6456</v>
      </c>
      <c r="D1184" t="s">
        <v>3706</v>
      </c>
      <c r="E1184" t="s">
        <v>3707</v>
      </c>
      <c r="F1184" s="1">
        <v>45623</v>
      </c>
      <c r="G1184" t="s">
        <v>45</v>
      </c>
      <c r="H1184" s="24">
        <v>725</v>
      </c>
      <c r="I1184" t="str">
        <f>IF(H1184&lt;=0,"",LOOKUP(H1184,'Regras e Parâmetros'!$B$4:$B$7,'Regras e Parâmetros'!$A$4:$A$7))</f>
        <v>Bronze</v>
      </c>
      <c r="J1184" t="s">
        <v>9790</v>
      </c>
      <c r="K1184" t="s">
        <v>177</v>
      </c>
    </row>
    <row r="1185" spans="1:12" x14ac:dyDescent="0.3">
      <c r="A1185" t="s">
        <v>3740</v>
      </c>
      <c r="B1185" s="5" t="s">
        <v>8209</v>
      </c>
      <c r="C1185" t="s">
        <v>6456</v>
      </c>
      <c r="D1185" t="s">
        <v>3204</v>
      </c>
      <c r="E1185" t="s">
        <v>10111</v>
      </c>
      <c r="F1185" s="1">
        <v>45464</v>
      </c>
      <c r="G1185" t="s">
        <v>45</v>
      </c>
      <c r="H1185" s="24">
        <v>0</v>
      </c>
      <c r="I1185" t="str">
        <f>IF(H1185&lt;=0,"",LOOKUP(H1185,'Regras e Parâmetros'!$B$4:$B$7,'Regras e Parâmetros'!$A$4:$A$7))</f>
        <v/>
      </c>
      <c r="J1185" t="s">
        <v>6456</v>
      </c>
    </row>
    <row r="1186" spans="1:12" x14ac:dyDescent="0.3">
      <c r="A1186" t="s">
        <v>3740</v>
      </c>
      <c r="B1186" s="5" t="s">
        <v>4708</v>
      </c>
      <c r="C1186" t="s">
        <v>6456</v>
      </c>
      <c r="D1186" t="s">
        <v>4709</v>
      </c>
      <c r="E1186" t="s">
        <v>3741</v>
      </c>
      <c r="F1186" s="1">
        <v>45639</v>
      </c>
      <c r="G1186" t="s">
        <v>100</v>
      </c>
      <c r="H1186" s="24">
        <v>267</v>
      </c>
      <c r="I1186" t="str">
        <f>IF(H1186&lt;=0,"",LOOKUP(H1186,'Regras e Parâmetros'!$B$4:$B$7,'Regras e Parâmetros'!$A$4:$A$7))</f>
        <v>Bronze</v>
      </c>
      <c r="J1186" t="s">
        <v>9790</v>
      </c>
      <c r="K1186" t="s">
        <v>9881</v>
      </c>
      <c r="L1186" t="s">
        <v>9839</v>
      </c>
    </row>
    <row r="1187" spans="1:12" x14ac:dyDescent="0.3">
      <c r="A1187" t="s">
        <v>4703</v>
      </c>
      <c r="B1187" s="5" t="s">
        <v>9074</v>
      </c>
      <c r="C1187" t="s">
        <v>6456</v>
      </c>
      <c r="D1187" t="s">
        <v>4704</v>
      </c>
      <c r="E1187" t="s">
        <v>4705</v>
      </c>
      <c r="F1187" s="1">
        <v>45930</v>
      </c>
      <c r="G1187" t="s">
        <v>110</v>
      </c>
      <c r="H1187" s="24">
        <v>0</v>
      </c>
      <c r="I1187" t="str">
        <f>IF(H1187&lt;=0,"",LOOKUP(H1187,'Regras e Parâmetros'!$B$4:$B$7,'Regras e Parâmetros'!$A$4:$A$7))</f>
        <v/>
      </c>
      <c r="J1187" t="s">
        <v>9790</v>
      </c>
      <c r="L1187" t="s">
        <v>9886</v>
      </c>
    </row>
    <row r="1188" spans="1:12" x14ac:dyDescent="0.3">
      <c r="A1188" t="s">
        <v>8662</v>
      </c>
      <c r="B1188" s="5" t="s">
        <v>4010</v>
      </c>
      <c r="C1188" t="s">
        <v>6456</v>
      </c>
      <c r="D1188" t="s">
        <v>8663</v>
      </c>
      <c r="E1188" t="s">
        <v>8664</v>
      </c>
      <c r="F1188" s="1">
        <v>45719</v>
      </c>
      <c r="G1188" t="s">
        <v>18</v>
      </c>
      <c r="H1188" s="24">
        <v>0</v>
      </c>
      <c r="I1188" t="str">
        <f>IF(H1188&lt;=0,"",LOOKUP(H1188,'Regras e Parâmetros'!$B$4:$B$7,'Regras e Parâmetros'!$A$4:$A$7))</f>
        <v/>
      </c>
      <c r="J1188" t="s">
        <v>6747</v>
      </c>
      <c r="K1188" t="s">
        <v>72</v>
      </c>
      <c r="L1188" t="s">
        <v>9883</v>
      </c>
    </row>
    <row r="1189" spans="1:12" x14ac:dyDescent="0.3">
      <c r="A1189" t="s">
        <v>4163</v>
      </c>
      <c r="B1189" s="5" t="s">
        <v>8757</v>
      </c>
      <c r="C1189" t="s">
        <v>6456</v>
      </c>
      <c r="D1189" t="s">
        <v>4164</v>
      </c>
      <c r="E1189" t="s">
        <v>4165</v>
      </c>
      <c r="F1189" s="1">
        <v>45763</v>
      </c>
      <c r="G1189" t="s">
        <v>18</v>
      </c>
      <c r="H1189" s="24">
        <v>0</v>
      </c>
      <c r="I1189" t="str">
        <f>IF(H1189&lt;=0,"",LOOKUP(H1189,'Regras e Parâmetros'!$B$4:$B$7,'Regras e Parâmetros'!$A$4:$A$7))</f>
        <v/>
      </c>
      <c r="J1189" t="s">
        <v>6456</v>
      </c>
      <c r="L1189" t="s">
        <v>9886</v>
      </c>
    </row>
    <row r="1190" spans="1:12" x14ac:dyDescent="0.3">
      <c r="A1190" t="s">
        <v>613</v>
      </c>
      <c r="B1190" s="5" t="s">
        <v>6784</v>
      </c>
      <c r="C1190" t="s">
        <v>6456</v>
      </c>
      <c r="D1190" t="s">
        <v>614</v>
      </c>
      <c r="E1190" t="s">
        <v>6785</v>
      </c>
      <c r="F1190" s="1">
        <v>44563</v>
      </c>
      <c r="G1190" t="s">
        <v>100</v>
      </c>
      <c r="H1190" s="24">
        <v>237</v>
      </c>
      <c r="I1190" t="str">
        <f>IF(H1190&lt;=0,"",LOOKUP(H1190,'Regras e Parâmetros'!$B$4:$B$7,'Regras e Parâmetros'!$A$4:$A$7))</f>
        <v>Bronze</v>
      </c>
      <c r="J1190" t="s">
        <v>6456</v>
      </c>
    </row>
    <row r="1191" spans="1:12" x14ac:dyDescent="0.3">
      <c r="A1191" t="s">
        <v>1318</v>
      </c>
      <c r="B1191" s="5" t="s">
        <v>7174</v>
      </c>
      <c r="C1191" t="s">
        <v>6456</v>
      </c>
      <c r="D1191" t="s">
        <v>1319</v>
      </c>
      <c r="E1191" t="s">
        <v>1320</v>
      </c>
      <c r="F1191" s="1">
        <v>44832</v>
      </c>
      <c r="G1191" t="s">
        <v>22</v>
      </c>
      <c r="H1191" s="24">
        <v>4252</v>
      </c>
      <c r="I1191" t="str">
        <f>IF(H1191&lt;=0,"",LOOKUP(H1191,'Regras e Parâmetros'!$B$4:$B$7,'Regras e Parâmetros'!$A$4:$A$7))</f>
        <v>Prata</v>
      </c>
      <c r="J1191" t="s">
        <v>6456</v>
      </c>
    </row>
    <row r="1192" spans="1:12" x14ac:dyDescent="0.3">
      <c r="A1192" t="s">
        <v>1453</v>
      </c>
      <c r="B1192" s="5" t="s">
        <v>1454</v>
      </c>
      <c r="C1192" t="s">
        <v>6456</v>
      </c>
      <c r="D1192" t="s">
        <v>1455</v>
      </c>
      <c r="E1192" t="s">
        <v>7271</v>
      </c>
      <c r="F1192" s="1">
        <v>44869</v>
      </c>
      <c r="G1192" t="s">
        <v>51</v>
      </c>
      <c r="H1192" s="24">
        <v>1747</v>
      </c>
      <c r="I1192" t="str">
        <f>IF(H1192&lt;=0,"",LOOKUP(H1192,'Regras e Parâmetros'!$B$4:$B$7,'Regras e Parâmetros'!$A$4:$A$7))</f>
        <v>Prata</v>
      </c>
      <c r="J1192" t="s">
        <v>9790</v>
      </c>
    </row>
    <row r="1193" spans="1:12" x14ac:dyDescent="0.3">
      <c r="A1193" t="s">
        <v>6722</v>
      </c>
      <c r="B1193" s="5" t="s">
        <v>489</v>
      </c>
      <c r="C1193" t="s">
        <v>6456</v>
      </c>
      <c r="D1193" t="s">
        <v>490</v>
      </c>
      <c r="E1193" t="s">
        <v>491</v>
      </c>
      <c r="F1193" s="1">
        <v>44517</v>
      </c>
      <c r="G1193" t="s">
        <v>18</v>
      </c>
      <c r="H1193" s="24">
        <v>963</v>
      </c>
      <c r="I1193" t="str">
        <f>IF(H1193&lt;=0,"",LOOKUP(H1193,'Regras e Parâmetros'!$B$4:$B$7,'Regras e Parâmetros'!$A$4:$A$7))</f>
        <v>Bronze</v>
      </c>
      <c r="J1193" t="s">
        <v>9790</v>
      </c>
    </row>
    <row r="1194" spans="1:12" x14ac:dyDescent="0.3">
      <c r="A1194" t="s">
        <v>809</v>
      </c>
      <c r="B1194" s="5" t="s">
        <v>810</v>
      </c>
      <c r="C1194" t="s">
        <v>6456</v>
      </c>
      <c r="D1194" t="s">
        <v>811</v>
      </c>
      <c r="E1194" t="s">
        <v>812</v>
      </c>
      <c r="F1194" s="1">
        <v>44634</v>
      </c>
      <c r="G1194" t="s">
        <v>51</v>
      </c>
      <c r="H1194" s="24">
        <v>1330</v>
      </c>
      <c r="I1194" t="str">
        <f>IF(H1194&lt;=0,"",LOOKUP(H1194,'Regras e Parâmetros'!$B$4:$B$7,'Regras e Parâmetros'!$A$4:$A$7))</f>
        <v>Bronze</v>
      </c>
      <c r="J1194" t="s">
        <v>9790</v>
      </c>
    </row>
    <row r="1195" spans="1:12" x14ac:dyDescent="0.3">
      <c r="A1195" t="s">
        <v>1134</v>
      </c>
      <c r="B1195" s="5" t="s">
        <v>7032</v>
      </c>
      <c r="C1195" t="s">
        <v>6456</v>
      </c>
      <c r="D1195" t="s">
        <v>1135</v>
      </c>
      <c r="E1195" t="s">
        <v>1136</v>
      </c>
      <c r="F1195" s="1">
        <v>44724</v>
      </c>
      <c r="G1195" t="s">
        <v>45</v>
      </c>
      <c r="H1195" s="24">
        <v>5258</v>
      </c>
      <c r="I1195" t="str">
        <f>IF(H1195&lt;=0,"",LOOKUP(H1195,'Regras e Parâmetros'!$B$4:$B$7,'Regras e Parâmetros'!$A$4:$A$7))</f>
        <v>Ouro</v>
      </c>
      <c r="J1195" t="s">
        <v>6456</v>
      </c>
    </row>
    <row r="1196" spans="1:12" x14ac:dyDescent="0.3">
      <c r="A1196" t="s">
        <v>215</v>
      </c>
      <c r="B1196" s="5" t="s">
        <v>6571</v>
      </c>
      <c r="C1196" t="s">
        <v>6456</v>
      </c>
      <c r="D1196" t="s">
        <v>216</v>
      </c>
      <c r="E1196" t="s">
        <v>217</v>
      </c>
      <c r="F1196" s="1">
        <v>44420</v>
      </c>
      <c r="G1196" t="s">
        <v>45</v>
      </c>
      <c r="H1196" s="24">
        <v>0</v>
      </c>
      <c r="I1196" t="str">
        <f>IF(H1196&lt;=0,"",LOOKUP(H1196,'Regras e Parâmetros'!$B$4:$B$7,'Regras e Parâmetros'!$A$4:$A$7))</f>
        <v/>
      </c>
      <c r="J1196" t="s">
        <v>6747</v>
      </c>
    </row>
    <row r="1197" spans="1:12" x14ac:dyDescent="0.3">
      <c r="A1197" t="s">
        <v>5672</v>
      </c>
      <c r="B1197" s="5" t="s">
        <v>9625</v>
      </c>
      <c r="C1197" t="s">
        <v>6456</v>
      </c>
      <c r="D1197" t="s">
        <v>5673</v>
      </c>
      <c r="E1197" t="s">
        <v>9626</v>
      </c>
      <c r="F1197" s="1">
        <v>46209</v>
      </c>
      <c r="G1197" t="s">
        <v>45</v>
      </c>
      <c r="H1197" s="24">
        <v>0</v>
      </c>
      <c r="I1197" t="str">
        <f>IF(H1197&lt;=0,"",LOOKUP(H1197,'Regras e Parâmetros'!$B$4:$B$7,'Regras e Parâmetros'!$A$4:$A$7))</f>
        <v/>
      </c>
      <c r="J1197" t="s">
        <v>9790</v>
      </c>
      <c r="L1197" t="s">
        <v>9883</v>
      </c>
    </row>
    <row r="1198" spans="1:12" x14ac:dyDescent="0.3">
      <c r="A1198" t="s">
        <v>3358</v>
      </c>
      <c r="B1198" s="5" t="s">
        <v>3359</v>
      </c>
      <c r="C1198" t="s">
        <v>6456</v>
      </c>
      <c r="D1198" t="s">
        <v>3360</v>
      </c>
      <c r="E1198" t="s">
        <v>3361</v>
      </c>
      <c r="F1198" s="1">
        <v>45514</v>
      </c>
      <c r="G1198" t="s">
        <v>45</v>
      </c>
      <c r="H1198" s="24">
        <v>500</v>
      </c>
      <c r="I1198" t="str">
        <f>IF(H1198&lt;=0,"",LOOKUP(H1198,'Regras e Parâmetros'!$B$4:$B$7,'Regras e Parâmetros'!$A$4:$A$7))</f>
        <v>Bronze</v>
      </c>
      <c r="J1198" t="s">
        <v>6456</v>
      </c>
      <c r="K1198" t="s">
        <v>708</v>
      </c>
      <c r="L1198" t="s">
        <v>9792</v>
      </c>
    </row>
    <row r="1199" spans="1:12" x14ac:dyDescent="0.3">
      <c r="A1199" t="s">
        <v>124</v>
      </c>
      <c r="B1199" s="5" t="s">
        <v>6522</v>
      </c>
      <c r="C1199" t="s">
        <v>6456</v>
      </c>
      <c r="D1199" t="s">
        <v>125</v>
      </c>
      <c r="E1199" t="s">
        <v>126</v>
      </c>
      <c r="F1199" s="1">
        <v>44389</v>
      </c>
      <c r="G1199" t="s">
        <v>51</v>
      </c>
      <c r="H1199" s="24">
        <v>310</v>
      </c>
      <c r="I1199" t="str">
        <f>IF(H1199&lt;=0,"",LOOKUP(H1199,'Regras e Parâmetros'!$B$4:$B$7,'Regras e Parâmetros'!$A$4:$A$7))</f>
        <v>Bronze</v>
      </c>
      <c r="J1199" t="s">
        <v>6456</v>
      </c>
      <c r="L1199" t="s">
        <v>9792</v>
      </c>
    </row>
    <row r="1200" spans="1:12" x14ac:dyDescent="0.3">
      <c r="A1200" t="s">
        <v>4166</v>
      </c>
      <c r="B1200" s="5" t="s">
        <v>4167</v>
      </c>
      <c r="C1200" t="s">
        <v>6456</v>
      </c>
      <c r="D1200" t="s">
        <v>4168</v>
      </c>
      <c r="E1200" t="s">
        <v>4169</v>
      </c>
      <c r="F1200" s="1">
        <v>45763</v>
      </c>
      <c r="G1200" t="s">
        <v>18</v>
      </c>
      <c r="H1200" s="24">
        <v>0</v>
      </c>
      <c r="I1200" t="str">
        <f>IF(H1200&lt;=0,"",LOOKUP(H1200,'Regras e Parâmetros'!$B$4:$B$7,'Regras e Parâmetros'!$A$4:$A$7))</f>
        <v/>
      </c>
      <c r="J1200" t="s">
        <v>6456</v>
      </c>
      <c r="L1200" t="s">
        <v>9883</v>
      </c>
    </row>
    <row r="1201" spans="1:12" x14ac:dyDescent="0.3">
      <c r="A1201" t="s">
        <v>4482</v>
      </c>
      <c r="B1201" s="5" t="s">
        <v>8931</v>
      </c>
      <c r="C1201" t="s">
        <v>6456</v>
      </c>
      <c r="D1201" t="s">
        <v>4483</v>
      </c>
      <c r="E1201" t="s">
        <v>4484</v>
      </c>
      <c r="F1201" s="1">
        <v>45860</v>
      </c>
      <c r="G1201" t="s">
        <v>100</v>
      </c>
      <c r="H1201" s="24">
        <v>0</v>
      </c>
      <c r="I1201" t="str">
        <f>IF(H1201&lt;=0,"",LOOKUP(H1201,'Regras e Parâmetros'!$B$4:$B$7,'Regras e Parâmetros'!$A$4:$A$7))</f>
        <v/>
      </c>
      <c r="J1201" t="s">
        <v>9790</v>
      </c>
      <c r="L1201" t="s">
        <v>9883</v>
      </c>
    </row>
    <row r="1202" spans="1:12" x14ac:dyDescent="0.3">
      <c r="A1202" t="s">
        <v>3347</v>
      </c>
      <c r="B1202" s="5" t="s">
        <v>8288</v>
      </c>
      <c r="C1202" t="s">
        <v>6456</v>
      </c>
      <c r="D1202" t="s">
        <v>3348</v>
      </c>
      <c r="E1202" t="s">
        <v>3349</v>
      </c>
      <c r="F1202" s="1">
        <v>45512</v>
      </c>
      <c r="G1202" t="s">
        <v>45</v>
      </c>
      <c r="H1202" s="24">
        <v>100</v>
      </c>
      <c r="I1202" t="str">
        <f>IF(H1202&lt;=0,"",LOOKUP(H1202,'Regras e Parâmetros'!$B$4:$B$7,'Regras e Parâmetros'!$A$4:$A$7))</f>
        <v>Bronze</v>
      </c>
      <c r="J1202" t="s">
        <v>9790</v>
      </c>
    </row>
    <row r="1203" spans="1:12" x14ac:dyDescent="0.3">
      <c r="A1203" t="s">
        <v>8421</v>
      </c>
      <c r="B1203" s="5" t="s">
        <v>8422</v>
      </c>
      <c r="C1203" t="s">
        <v>6456</v>
      </c>
      <c r="D1203" t="s">
        <v>3651</v>
      </c>
      <c r="E1203" t="s">
        <v>8423</v>
      </c>
      <c r="F1203" s="1">
        <v>45597</v>
      </c>
      <c r="G1203" t="s">
        <v>18</v>
      </c>
      <c r="H1203" s="24">
        <v>764</v>
      </c>
      <c r="I1203" t="str">
        <f>IF(H1203&lt;=0,"",LOOKUP(H1203,'Regras e Parâmetros'!$B$4:$B$7,'Regras e Parâmetros'!$A$4:$A$7))</f>
        <v>Bronze</v>
      </c>
      <c r="J1203" t="s">
        <v>9790</v>
      </c>
      <c r="K1203" t="s">
        <v>72</v>
      </c>
      <c r="L1203" t="s">
        <v>9791</v>
      </c>
    </row>
    <row r="1204" spans="1:12" x14ac:dyDescent="0.3">
      <c r="A1204" t="s">
        <v>1137</v>
      </c>
      <c r="B1204" s="5" t="s">
        <v>7145</v>
      </c>
      <c r="C1204" t="s">
        <v>6456</v>
      </c>
      <c r="D1204" t="s">
        <v>1138</v>
      </c>
      <c r="E1204" t="s">
        <v>7146</v>
      </c>
      <c r="F1204" s="1">
        <v>44812</v>
      </c>
      <c r="G1204" t="s">
        <v>22</v>
      </c>
      <c r="H1204" s="24">
        <v>331</v>
      </c>
      <c r="I1204" t="str">
        <f>IF(H1204&lt;=0,"",LOOKUP(H1204,'Regras e Parâmetros'!$B$4:$B$7,'Regras e Parâmetros'!$A$4:$A$7))</f>
        <v>Bronze</v>
      </c>
      <c r="J1204" t="s">
        <v>6747</v>
      </c>
    </row>
    <row r="1205" spans="1:12" x14ac:dyDescent="0.3">
      <c r="A1205" t="s">
        <v>1137</v>
      </c>
      <c r="B1205" s="5" t="s">
        <v>4837</v>
      </c>
      <c r="C1205" t="s">
        <v>6456</v>
      </c>
      <c r="D1205" t="s">
        <v>4838</v>
      </c>
      <c r="E1205" t="s">
        <v>9136</v>
      </c>
      <c r="F1205" s="1">
        <v>45961</v>
      </c>
      <c r="G1205" t="s">
        <v>18</v>
      </c>
      <c r="H1205" s="24">
        <v>0</v>
      </c>
      <c r="I1205" t="str">
        <f>IF(H1205&lt;=0,"",LOOKUP(H1205,'Regras e Parâmetros'!$B$4:$B$7,'Regras e Parâmetros'!$A$4:$A$7))</f>
        <v/>
      </c>
      <c r="J1205" t="s">
        <v>6747</v>
      </c>
      <c r="L1205" t="s">
        <v>9883</v>
      </c>
    </row>
    <row r="1206" spans="1:12" x14ac:dyDescent="0.3">
      <c r="A1206" t="s">
        <v>6789</v>
      </c>
      <c r="B1206" s="5" t="s">
        <v>616</v>
      </c>
      <c r="C1206" t="s">
        <v>6456</v>
      </c>
      <c r="D1206" t="s">
        <v>617</v>
      </c>
      <c r="E1206" t="s">
        <v>6790</v>
      </c>
      <c r="F1206" s="1">
        <v>44563</v>
      </c>
      <c r="G1206" t="s">
        <v>45</v>
      </c>
      <c r="H1206" s="24">
        <v>9800</v>
      </c>
      <c r="I1206" t="str">
        <f>IF(H1206&lt;=0,"",LOOKUP(H1206,'Regras e Parâmetros'!$B$4:$B$7,'Regras e Parâmetros'!$A$4:$A$7))</f>
        <v>Ouro</v>
      </c>
      <c r="J1206" t="s">
        <v>6456</v>
      </c>
      <c r="L1206" t="s">
        <v>9793</v>
      </c>
    </row>
    <row r="1207" spans="1:12" x14ac:dyDescent="0.3">
      <c r="A1207" t="s">
        <v>4505</v>
      </c>
      <c r="B1207" s="5" t="s">
        <v>8946</v>
      </c>
      <c r="C1207" t="s">
        <v>6456</v>
      </c>
      <c r="D1207" t="s">
        <v>4506</v>
      </c>
      <c r="E1207" t="s">
        <v>4507</v>
      </c>
      <c r="F1207" s="1">
        <v>45870</v>
      </c>
      <c r="G1207" t="s">
        <v>45</v>
      </c>
      <c r="H1207" s="24">
        <v>0</v>
      </c>
      <c r="I1207" t="str">
        <f>IF(H1207&lt;=0,"",LOOKUP(H1207,'Regras e Parâmetros'!$B$4:$B$7,'Regras e Parâmetros'!$A$4:$A$7))</f>
        <v/>
      </c>
      <c r="J1207" t="s">
        <v>9790</v>
      </c>
      <c r="L1207" t="s">
        <v>9886</v>
      </c>
    </row>
    <row r="1208" spans="1:12" x14ac:dyDescent="0.3">
      <c r="A1208" t="s">
        <v>5131</v>
      </c>
      <c r="B1208" s="5" t="s">
        <v>5132</v>
      </c>
      <c r="C1208" t="s">
        <v>6456</v>
      </c>
      <c r="D1208" t="s">
        <v>5133</v>
      </c>
      <c r="E1208" t="s">
        <v>9259</v>
      </c>
      <c r="F1208" s="1">
        <v>46023</v>
      </c>
      <c r="G1208" t="s">
        <v>110</v>
      </c>
      <c r="H1208" s="24">
        <v>0</v>
      </c>
      <c r="I1208" t="str">
        <f>IF(H1208&lt;=0,"",LOOKUP(H1208,'Regras e Parâmetros'!$B$4:$B$7,'Regras e Parâmetros'!$A$4:$A$7))</f>
        <v/>
      </c>
      <c r="J1208" t="s">
        <v>9790</v>
      </c>
      <c r="K1208" t="s">
        <v>72</v>
      </c>
      <c r="L1208" t="s">
        <v>9884</v>
      </c>
    </row>
    <row r="1209" spans="1:12" x14ac:dyDescent="0.3">
      <c r="A1209" t="s">
        <v>241</v>
      </c>
      <c r="B1209" s="5" t="s">
        <v>242</v>
      </c>
      <c r="C1209" t="s">
        <v>6456</v>
      </c>
      <c r="D1209" t="s">
        <v>243</v>
      </c>
      <c r="E1209" t="s">
        <v>244</v>
      </c>
      <c r="F1209" s="1">
        <v>44433</v>
      </c>
      <c r="G1209" t="s">
        <v>18</v>
      </c>
      <c r="H1209" s="24">
        <v>5334</v>
      </c>
      <c r="I1209" t="str">
        <f>IF(H1209&lt;=0,"",LOOKUP(H1209,'Regras e Parâmetros'!$B$4:$B$7,'Regras e Parâmetros'!$A$4:$A$7))</f>
        <v>Ouro</v>
      </c>
      <c r="J1209" t="s">
        <v>9790</v>
      </c>
      <c r="K1209" t="s">
        <v>10028</v>
      </c>
    </row>
    <row r="1210" spans="1:12" x14ac:dyDescent="0.3">
      <c r="A1210" t="s">
        <v>7190</v>
      </c>
      <c r="B1210" s="5" t="s">
        <v>7191</v>
      </c>
      <c r="C1210" t="s">
        <v>6456</v>
      </c>
      <c r="D1210" t="s">
        <v>1340</v>
      </c>
      <c r="E1210" t="s">
        <v>1341</v>
      </c>
      <c r="F1210" s="1">
        <v>44839</v>
      </c>
      <c r="G1210" t="s">
        <v>45</v>
      </c>
      <c r="H1210" s="24">
        <v>689</v>
      </c>
      <c r="I1210" t="str">
        <f>IF(H1210&lt;=0,"",LOOKUP(H1210,'Regras e Parâmetros'!$B$4:$B$7,'Regras e Parâmetros'!$A$4:$A$7))</f>
        <v>Bronze</v>
      </c>
      <c r="J1210" t="s">
        <v>9790</v>
      </c>
      <c r="L1210" t="s">
        <v>9792</v>
      </c>
    </row>
    <row r="1211" spans="1:12" x14ac:dyDescent="0.3">
      <c r="A1211" t="s">
        <v>5312</v>
      </c>
      <c r="B1211" s="5" t="s">
        <v>9432</v>
      </c>
      <c r="C1211" t="s">
        <v>6456</v>
      </c>
      <c r="D1211" t="s">
        <v>5313</v>
      </c>
      <c r="E1211" t="s">
        <v>9433</v>
      </c>
      <c r="F1211" s="1">
        <v>46109</v>
      </c>
      <c r="G1211" t="s">
        <v>51</v>
      </c>
      <c r="H1211" s="24">
        <v>0</v>
      </c>
      <c r="I1211" t="str">
        <f>IF(H1211&lt;=0,"",LOOKUP(H1211,'Regras e Parâmetros'!$B$4:$B$7,'Regras e Parâmetros'!$A$4:$A$7))</f>
        <v/>
      </c>
      <c r="J1211" t="s">
        <v>6747</v>
      </c>
      <c r="L1211" t="s">
        <v>9883</v>
      </c>
    </row>
    <row r="1212" spans="1:12" x14ac:dyDescent="0.3">
      <c r="A1212" t="s">
        <v>1713</v>
      </c>
      <c r="B1212" s="5" t="s">
        <v>7418</v>
      </c>
      <c r="C1212" t="s">
        <v>6456</v>
      </c>
      <c r="D1212" t="s">
        <v>1714</v>
      </c>
      <c r="E1212" t="s">
        <v>1715</v>
      </c>
      <c r="F1212" s="1">
        <v>44947</v>
      </c>
      <c r="G1212" t="s">
        <v>18</v>
      </c>
      <c r="H1212" s="24">
        <v>1497</v>
      </c>
      <c r="I1212" t="str">
        <f>IF(H1212&lt;=0,"",LOOKUP(H1212,'Regras e Parâmetros'!$B$4:$B$7,'Regras e Parâmetros'!$A$4:$A$7))</f>
        <v>Bronze</v>
      </c>
      <c r="J1212" t="s">
        <v>6456</v>
      </c>
    </row>
    <row r="1213" spans="1:12" x14ac:dyDescent="0.3">
      <c r="A1213" t="s">
        <v>1139</v>
      </c>
      <c r="B1213" s="5" t="s">
        <v>1140</v>
      </c>
      <c r="C1213" t="s">
        <v>6456</v>
      </c>
      <c r="D1213" t="s">
        <v>1141</v>
      </c>
      <c r="E1213" t="s">
        <v>1142</v>
      </c>
      <c r="F1213" s="1">
        <v>44771</v>
      </c>
      <c r="G1213" t="s">
        <v>45</v>
      </c>
      <c r="H1213" s="24">
        <v>1776</v>
      </c>
      <c r="I1213" t="str">
        <f>IF(H1213&lt;=0,"",LOOKUP(H1213,'Regras e Parâmetros'!$B$4:$B$7,'Regras e Parâmetros'!$A$4:$A$7))</f>
        <v>Prata</v>
      </c>
      <c r="J1213" t="s">
        <v>6747</v>
      </c>
    </row>
    <row r="1214" spans="1:12" x14ac:dyDescent="0.3">
      <c r="A1214" t="s">
        <v>4404</v>
      </c>
      <c r="B1214" s="5" t="s">
        <v>8881</v>
      </c>
      <c r="C1214" t="s">
        <v>6456</v>
      </c>
      <c r="D1214" t="s">
        <v>4405</v>
      </c>
      <c r="E1214" t="s">
        <v>4406</v>
      </c>
      <c r="F1214" s="1">
        <v>45837</v>
      </c>
      <c r="G1214" t="s">
        <v>18</v>
      </c>
      <c r="H1214" s="24">
        <v>0</v>
      </c>
      <c r="I1214" t="str">
        <f>IF(H1214&lt;=0,"",LOOKUP(H1214,'Regras e Parâmetros'!$B$4:$B$7,'Regras e Parâmetros'!$A$4:$A$7))</f>
        <v/>
      </c>
      <c r="J1214" t="s">
        <v>6747</v>
      </c>
      <c r="L1214" t="s">
        <v>9886</v>
      </c>
    </row>
    <row r="1215" spans="1:12" x14ac:dyDescent="0.3">
      <c r="A1215" t="s">
        <v>1901</v>
      </c>
      <c r="B1215" s="5" t="s">
        <v>6049</v>
      </c>
      <c r="C1215" t="s">
        <v>6456</v>
      </c>
      <c r="D1215" t="s">
        <v>1902</v>
      </c>
      <c r="E1215" t="s">
        <v>7521</v>
      </c>
      <c r="F1215" s="1">
        <v>45010</v>
      </c>
      <c r="G1215" t="s">
        <v>110</v>
      </c>
      <c r="H1215" s="24">
        <v>2149</v>
      </c>
      <c r="I1215" t="str">
        <f>IF(H1215&lt;=0,"",LOOKUP(H1215,'Regras e Parâmetros'!$B$4:$B$7,'Regras e Parâmetros'!$A$4:$A$7))</f>
        <v>Prata</v>
      </c>
      <c r="J1215" t="s">
        <v>6456</v>
      </c>
    </row>
    <row r="1216" spans="1:12" x14ac:dyDescent="0.3">
      <c r="A1216" t="s">
        <v>94</v>
      </c>
      <c r="B1216" s="5" t="s">
        <v>6509</v>
      </c>
      <c r="C1216" t="s">
        <v>6456</v>
      </c>
      <c r="D1216" t="s">
        <v>95</v>
      </c>
      <c r="E1216" t="s">
        <v>96</v>
      </c>
      <c r="F1216" s="1">
        <v>44378</v>
      </c>
      <c r="G1216" t="s">
        <v>51</v>
      </c>
      <c r="H1216" s="24">
        <v>8434</v>
      </c>
      <c r="I1216" t="str">
        <f>IF(H1216&lt;=0,"",LOOKUP(H1216,'Regras e Parâmetros'!$B$4:$B$7,'Regras e Parâmetros'!$A$4:$A$7))</f>
        <v>Ouro</v>
      </c>
      <c r="J1216" t="s">
        <v>6747</v>
      </c>
    </row>
    <row r="1217" spans="1:12" x14ac:dyDescent="0.3">
      <c r="A1217" t="s">
        <v>94</v>
      </c>
      <c r="B1217" s="5" t="s">
        <v>7435</v>
      </c>
      <c r="C1217" t="s">
        <v>6456</v>
      </c>
      <c r="D1217" t="s">
        <v>1751</v>
      </c>
      <c r="E1217" t="s">
        <v>1752</v>
      </c>
      <c r="F1217" s="1">
        <v>44955</v>
      </c>
      <c r="G1217" t="s">
        <v>51</v>
      </c>
      <c r="H1217" s="24">
        <v>1746</v>
      </c>
      <c r="I1217" t="str">
        <f>IF(H1217&lt;=0,"",LOOKUP(H1217,'Regras e Parâmetros'!$B$4:$B$7,'Regras e Parâmetros'!$A$4:$A$7))</f>
        <v>Prata</v>
      </c>
      <c r="J1217" t="s">
        <v>6747</v>
      </c>
    </row>
    <row r="1218" spans="1:12" x14ac:dyDescent="0.3">
      <c r="A1218" t="s">
        <v>2225</v>
      </c>
      <c r="B1218" s="5" t="s">
        <v>7705</v>
      </c>
      <c r="C1218" t="s">
        <v>6456</v>
      </c>
      <c r="D1218" t="s">
        <v>2226</v>
      </c>
      <c r="E1218" t="s">
        <v>2227</v>
      </c>
      <c r="F1218" s="1">
        <v>45119</v>
      </c>
      <c r="G1218" t="s">
        <v>110</v>
      </c>
      <c r="H1218" s="24">
        <v>986</v>
      </c>
      <c r="I1218" t="str">
        <f>IF(H1218&lt;=0,"",LOOKUP(H1218,'Regras e Parâmetros'!$B$4:$B$7,'Regras e Parâmetros'!$A$4:$A$7))</f>
        <v>Bronze</v>
      </c>
      <c r="J1218" t="s">
        <v>6456</v>
      </c>
      <c r="L1218" t="s">
        <v>9792</v>
      </c>
    </row>
    <row r="1219" spans="1:12" x14ac:dyDescent="0.3">
      <c r="A1219" t="s">
        <v>1683</v>
      </c>
      <c r="B1219" s="5" t="s">
        <v>7403</v>
      </c>
      <c r="C1219" t="s">
        <v>6456</v>
      </c>
      <c r="D1219" t="s">
        <v>1684</v>
      </c>
      <c r="E1219" t="s">
        <v>7404</v>
      </c>
      <c r="F1219" s="1">
        <v>44937</v>
      </c>
      <c r="G1219" t="s">
        <v>45</v>
      </c>
      <c r="H1219" s="24">
        <v>1115</v>
      </c>
      <c r="I1219" t="str">
        <f>IF(H1219&lt;=0,"",LOOKUP(H1219,'Regras e Parâmetros'!$B$4:$B$7,'Regras e Parâmetros'!$A$4:$A$7))</f>
        <v>Bronze</v>
      </c>
      <c r="J1219" t="s">
        <v>6747</v>
      </c>
    </row>
    <row r="1220" spans="1:12" x14ac:dyDescent="0.3">
      <c r="A1220" t="s">
        <v>1683</v>
      </c>
      <c r="B1220" s="5" t="s">
        <v>9027</v>
      </c>
      <c r="C1220" t="s">
        <v>6456</v>
      </c>
      <c r="D1220" t="s">
        <v>4635</v>
      </c>
      <c r="E1220" t="s">
        <v>9028</v>
      </c>
      <c r="F1220" s="1">
        <v>45905</v>
      </c>
      <c r="G1220" t="s">
        <v>45</v>
      </c>
      <c r="H1220" s="24">
        <v>0</v>
      </c>
      <c r="I1220" t="str">
        <f>IF(H1220&lt;=0,"",LOOKUP(H1220,'Regras e Parâmetros'!$B$4:$B$7,'Regras e Parâmetros'!$A$4:$A$7))</f>
        <v/>
      </c>
      <c r="J1220" t="s">
        <v>6747</v>
      </c>
      <c r="L1220" t="s">
        <v>9883</v>
      </c>
    </row>
    <row r="1221" spans="1:12" x14ac:dyDescent="0.3">
      <c r="A1221" t="s">
        <v>7045</v>
      </c>
      <c r="B1221" s="5" t="s">
        <v>7046</v>
      </c>
      <c r="C1221" t="s">
        <v>6456</v>
      </c>
      <c r="D1221" t="s">
        <v>1143</v>
      </c>
      <c r="E1221" t="s">
        <v>7047</v>
      </c>
      <c r="F1221" s="1">
        <v>44731</v>
      </c>
      <c r="G1221" t="s">
        <v>110</v>
      </c>
      <c r="H1221" s="24">
        <v>15000</v>
      </c>
      <c r="I1221" t="str">
        <f>IF(H1221&lt;=0,"",LOOKUP(H1221,'Regras e Parâmetros'!$B$4:$B$7,'Regras e Parâmetros'!$A$4:$A$7))</f>
        <v>Vip</v>
      </c>
      <c r="J1221" t="s">
        <v>9790</v>
      </c>
    </row>
    <row r="1222" spans="1:12" x14ac:dyDescent="0.3">
      <c r="A1222" t="s">
        <v>1412</v>
      </c>
      <c r="B1222" s="5" t="s">
        <v>7243</v>
      </c>
      <c r="C1222" t="s">
        <v>6456</v>
      </c>
      <c r="D1222" t="s">
        <v>1413</v>
      </c>
      <c r="E1222" t="s">
        <v>7244</v>
      </c>
      <c r="F1222" s="1">
        <v>44861</v>
      </c>
      <c r="G1222" t="s">
        <v>45</v>
      </c>
      <c r="H1222" s="24">
        <v>2992</v>
      </c>
      <c r="I1222" t="str">
        <f>IF(H1222&lt;=0,"",LOOKUP(H1222,'Regras e Parâmetros'!$B$4:$B$7,'Regras e Parâmetros'!$A$4:$A$7))</f>
        <v>Prata</v>
      </c>
      <c r="J1222" t="s">
        <v>9790</v>
      </c>
    </row>
    <row r="1223" spans="1:12" x14ac:dyDescent="0.3">
      <c r="A1223" t="s">
        <v>9411</v>
      </c>
      <c r="B1223" s="5" t="s">
        <v>5272</v>
      </c>
      <c r="C1223" t="s">
        <v>6456</v>
      </c>
      <c r="D1223" t="s">
        <v>5273</v>
      </c>
      <c r="E1223" t="s">
        <v>9412</v>
      </c>
      <c r="F1223" s="1">
        <v>46100</v>
      </c>
      <c r="G1223" t="s">
        <v>22</v>
      </c>
      <c r="H1223" s="24">
        <v>0</v>
      </c>
      <c r="I1223" t="str">
        <f>IF(H1223&lt;=0,"",LOOKUP(H1223,'Regras e Parâmetros'!$B$4:$B$7,'Regras e Parâmetros'!$A$4:$A$7))</f>
        <v/>
      </c>
      <c r="J1223" t="s">
        <v>9790</v>
      </c>
      <c r="K1223" t="s">
        <v>72</v>
      </c>
      <c r="L1223" t="s">
        <v>9883</v>
      </c>
    </row>
    <row r="1224" spans="1:12" x14ac:dyDescent="0.3">
      <c r="A1224" t="s">
        <v>1599</v>
      </c>
      <c r="B1224" s="5" t="s">
        <v>7347</v>
      </c>
      <c r="C1224" t="s">
        <v>6456</v>
      </c>
      <c r="D1224" t="s">
        <v>1600</v>
      </c>
      <c r="E1224" t="s">
        <v>1601</v>
      </c>
      <c r="F1224" s="1">
        <v>44906</v>
      </c>
      <c r="G1224" t="s">
        <v>51</v>
      </c>
      <c r="H1224" s="24">
        <v>15000</v>
      </c>
      <c r="I1224" t="str">
        <f>IF(H1224&lt;=0,"",LOOKUP(H1224,'Regras e Parâmetros'!$B$4:$B$7,'Regras e Parâmetros'!$A$4:$A$7))</f>
        <v>Vip</v>
      </c>
      <c r="J1224" t="s">
        <v>9790</v>
      </c>
      <c r="K1224" t="s">
        <v>44</v>
      </c>
    </row>
    <row r="1225" spans="1:12" x14ac:dyDescent="0.3">
      <c r="A1225" t="s">
        <v>3250</v>
      </c>
      <c r="B1225" s="5" t="s">
        <v>8238</v>
      </c>
      <c r="C1225" t="s">
        <v>6456</v>
      </c>
      <c r="D1225" t="s">
        <v>3251</v>
      </c>
      <c r="E1225" t="s">
        <v>8239</v>
      </c>
      <c r="F1225" s="1">
        <v>45480</v>
      </c>
      <c r="G1225" t="s">
        <v>51</v>
      </c>
      <c r="H1225" s="24">
        <v>2244</v>
      </c>
      <c r="I1225" t="str">
        <f>IF(H1225&lt;=0,"",LOOKUP(H1225,'Regras e Parâmetros'!$B$4:$B$7,'Regras e Parâmetros'!$A$4:$A$7))</f>
        <v>Prata</v>
      </c>
      <c r="J1225" t="s">
        <v>9790</v>
      </c>
    </row>
    <row r="1226" spans="1:12" x14ac:dyDescent="0.3">
      <c r="A1226" t="s">
        <v>2400</v>
      </c>
      <c r="B1226" s="5" t="s">
        <v>7802</v>
      </c>
      <c r="C1226" t="s">
        <v>6456</v>
      </c>
      <c r="D1226" t="s">
        <v>2401</v>
      </c>
      <c r="E1226" t="s">
        <v>7803</v>
      </c>
      <c r="F1226" s="1">
        <v>45160</v>
      </c>
      <c r="G1226" t="s">
        <v>45</v>
      </c>
      <c r="H1226" s="24">
        <v>1686</v>
      </c>
      <c r="I1226" t="str">
        <f>IF(H1226&lt;=0,"",LOOKUP(H1226,'Regras e Parâmetros'!$B$4:$B$7,'Regras e Parâmetros'!$A$4:$A$7))</f>
        <v>Prata</v>
      </c>
      <c r="J1226" t="s">
        <v>6747</v>
      </c>
      <c r="K1226" t="s">
        <v>10031</v>
      </c>
    </row>
    <row r="1227" spans="1:12" x14ac:dyDescent="0.3">
      <c r="A1227" t="s">
        <v>3676</v>
      </c>
      <c r="B1227" s="5" t="s">
        <v>5299</v>
      </c>
      <c r="C1227" t="s">
        <v>6456</v>
      </c>
      <c r="D1227" t="s">
        <v>5300</v>
      </c>
      <c r="E1227" t="s">
        <v>3677</v>
      </c>
      <c r="F1227" s="1">
        <v>45614</v>
      </c>
      <c r="G1227" t="s">
        <v>51</v>
      </c>
      <c r="H1227" s="24">
        <v>0</v>
      </c>
      <c r="I1227" t="str">
        <f>IF(H1227&lt;=0,"",LOOKUP(H1227,'Regras e Parâmetros'!$B$4:$B$7,'Regras e Parâmetros'!$A$4:$A$7))</f>
        <v/>
      </c>
      <c r="J1227" t="s">
        <v>6456</v>
      </c>
      <c r="K1227" t="s">
        <v>9876</v>
      </c>
    </row>
    <row r="1228" spans="1:12" x14ac:dyDescent="0.3">
      <c r="A1228" t="s">
        <v>3053</v>
      </c>
      <c r="B1228" s="5" t="s">
        <v>8133</v>
      </c>
      <c r="C1228" t="s">
        <v>6456</v>
      </c>
      <c r="D1228" t="s">
        <v>3054</v>
      </c>
      <c r="E1228" t="s">
        <v>8134</v>
      </c>
      <c r="F1228" s="1">
        <v>45411</v>
      </c>
      <c r="G1228" t="s">
        <v>18</v>
      </c>
      <c r="H1228" s="24">
        <v>749</v>
      </c>
      <c r="I1228" t="str">
        <f>IF(H1228&lt;=0,"",LOOKUP(H1228,'Regras e Parâmetros'!$B$4:$B$7,'Regras e Parâmetros'!$A$4:$A$7))</f>
        <v>Bronze</v>
      </c>
      <c r="J1228" t="s">
        <v>9790</v>
      </c>
      <c r="K1228" t="s">
        <v>72</v>
      </c>
    </row>
    <row r="1229" spans="1:12" x14ac:dyDescent="0.3">
      <c r="A1229" t="s">
        <v>6626</v>
      </c>
      <c r="B1229" s="5" t="s">
        <v>6627</v>
      </c>
      <c r="C1229" t="s">
        <v>6456</v>
      </c>
      <c r="D1229" t="s">
        <v>338</v>
      </c>
      <c r="E1229" t="s">
        <v>6628</v>
      </c>
      <c r="F1229" s="1">
        <v>44458</v>
      </c>
      <c r="G1229" t="s">
        <v>45</v>
      </c>
      <c r="H1229" s="24">
        <v>0</v>
      </c>
      <c r="I1229" t="str">
        <f>IF(H1229&lt;=0,"",LOOKUP(H1229,'Regras e Parâmetros'!$B$4:$B$7,'Regras e Parâmetros'!$A$4:$A$7))</f>
        <v/>
      </c>
      <c r="J1229" t="s">
        <v>6456</v>
      </c>
      <c r="K1229" t="s">
        <v>33</v>
      </c>
    </row>
    <row r="1230" spans="1:12" x14ac:dyDescent="0.3">
      <c r="A1230" t="s">
        <v>2709</v>
      </c>
      <c r="B1230" s="5" t="s">
        <v>7979</v>
      </c>
      <c r="C1230" t="s">
        <v>6456</v>
      </c>
      <c r="D1230" t="s">
        <v>2710</v>
      </c>
      <c r="E1230" t="s">
        <v>2711</v>
      </c>
      <c r="F1230" s="1">
        <v>45269</v>
      </c>
      <c r="G1230" t="s">
        <v>18</v>
      </c>
      <c r="H1230" s="24">
        <v>791</v>
      </c>
      <c r="I1230" t="str">
        <f>IF(H1230&lt;=0,"",LOOKUP(H1230,'Regras e Parâmetros'!$B$4:$B$7,'Regras e Parâmetros'!$A$4:$A$7))</f>
        <v>Bronze</v>
      </c>
      <c r="J1230" t="s">
        <v>6456</v>
      </c>
    </row>
    <row r="1231" spans="1:12" x14ac:dyDescent="0.3">
      <c r="A1231" t="s">
        <v>5359</v>
      </c>
      <c r="B1231" s="5" t="s">
        <v>5360</v>
      </c>
      <c r="C1231" t="s">
        <v>6456</v>
      </c>
      <c r="D1231" t="s">
        <v>5983</v>
      </c>
      <c r="E1231" t="s">
        <v>5984</v>
      </c>
      <c r="F1231" s="1">
        <v>46120</v>
      </c>
      <c r="G1231" t="s">
        <v>51</v>
      </c>
      <c r="H1231" s="24">
        <v>0</v>
      </c>
      <c r="I1231" t="str">
        <f>IF(H1231&lt;=0,"",LOOKUP(H1231,'Regras e Parâmetros'!$B$4:$B$7,'Regras e Parâmetros'!$A$4:$A$7))</f>
        <v/>
      </c>
      <c r="J1231" t="s">
        <v>6747</v>
      </c>
      <c r="K1231" t="s">
        <v>9926</v>
      </c>
      <c r="L1231" t="s">
        <v>9883</v>
      </c>
    </row>
    <row r="1232" spans="1:12" x14ac:dyDescent="0.3">
      <c r="A1232" t="s">
        <v>235</v>
      </c>
      <c r="B1232" s="5" t="s">
        <v>6580</v>
      </c>
      <c r="C1232" t="s">
        <v>6456</v>
      </c>
      <c r="D1232" t="s">
        <v>236</v>
      </c>
      <c r="E1232" t="s">
        <v>6581</v>
      </c>
      <c r="F1232" s="1">
        <v>44431</v>
      </c>
      <c r="G1232" t="s">
        <v>51</v>
      </c>
      <c r="H1232" s="24">
        <v>1270</v>
      </c>
      <c r="I1232" t="str">
        <f>IF(H1232&lt;=0,"",LOOKUP(H1232,'Regras e Parâmetros'!$B$4:$B$7,'Regras e Parâmetros'!$A$4:$A$7))</f>
        <v>Bronze</v>
      </c>
      <c r="J1232" t="s">
        <v>6747</v>
      </c>
    </row>
    <row r="1233" spans="1:12" x14ac:dyDescent="0.3">
      <c r="A1233" t="s">
        <v>8074</v>
      </c>
      <c r="B1233" s="5" t="s">
        <v>8075</v>
      </c>
      <c r="C1233" t="s">
        <v>6456</v>
      </c>
      <c r="D1233" t="s">
        <v>2906</v>
      </c>
      <c r="E1233" t="s">
        <v>2907</v>
      </c>
      <c r="F1233" s="1">
        <v>45360</v>
      </c>
      <c r="G1233" t="s">
        <v>18</v>
      </c>
      <c r="H1233" s="24">
        <v>1846</v>
      </c>
      <c r="I1233" t="str">
        <f>IF(H1233&lt;=0,"",LOOKUP(H1233,'Regras e Parâmetros'!$B$4:$B$7,'Regras e Parâmetros'!$A$4:$A$7))</f>
        <v>Prata</v>
      </c>
      <c r="J1233" t="s">
        <v>6747</v>
      </c>
    </row>
    <row r="1234" spans="1:12" x14ac:dyDescent="0.3">
      <c r="A1234" t="s">
        <v>940</v>
      </c>
      <c r="B1234" s="5" t="s">
        <v>6980</v>
      </c>
      <c r="C1234" t="s">
        <v>6456</v>
      </c>
      <c r="D1234" t="s">
        <v>941</v>
      </c>
      <c r="E1234" t="s">
        <v>6981</v>
      </c>
      <c r="F1234" s="1">
        <v>44686</v>
      </c>
      <c r="G1234" t="s">
        <v>45</v>
      </c>
      <c r="H1234" s="24">
        <v>5369</v>
      </c>
      <c r="I1234" t="str">
        <f>IF(H1234&lt;=0,"",LOOKUP(H1234,'Regras e Parâmetros'!$B$4:$B$7,'Regras e Parâmetros'!$A$4:$A$7))</f>
        <v>Ouro</v>
      </c>
      <c r="J1234" t="s">
        <v>9790</v>
      </c>
    </row>
    <row r="1235" spans="1:12" x14ac:dyDescent="0.3">
      <c r="A1235" t="s">
        <v>3700</v>
      </c>
      <c r="B1235" s="5" t="s">
        <v>8466</v>
      </c>
      <c r="C1235" t="s">
        <v>6456</v>
      </c>
      <c r="D1235" t="s">
        <v>3701</v>
      </c>
      <c r="E1235" t="s">
        <v>3702</v>
      </c>
      <c r="F1235" s="1">
        <v>45622</v>
      </c>
      <c r="G1235" t="s">
        <v>18</v>
      </c>
      <c r="H1235" s="24">
        <v>0</v>
      </c>
      <c r="I1235" t="str">
        <f>IF(H1235&lt;=0,"",LOOKUP(H1235,'Regras e Parâmetros'!$B$4:$B$7,'Regras e Parâmetros'!$A$4:$A$7))</f>
        <v/>
      </c>
      <c r="J1235" t="s">
        <v>6456</v>
      </c>
      <c r="L1235" t="s">
        <v>9792</v>
      </c>
    </row>
    <row r="1236" spans="1:12" x14ac:dyDescent="0.3">
      <c r="A1236" t="s">
        <v>4344</v>
      </c>
      <c r="B1236" s="5" t="s">
        <v>8854</v>
      </c>
      <c r="C1236" t="s">
        <v>6456</v>
      </c>
      <c r="D1236" t="s">
        <v>4345</v>
      </c>
      <c r="E1236" t="s">
        <v>8855</v>
      </c>
      <c r="F1236" s="1">
        <v>45821</v>
      </c>
      <c r="G1236" t="s">
        <v>100</v>
      </c>
      <c r="H1236" s="24">
        <v>0</v>
      </c>
      <c r="I1236" t="str">
        <f>IF(H1236&lt;=0,"",LOOKUP(H1236,'Regras e Parâmetros'!$B$4:$B$7,'Regras e Parâmetros'!$A$4:$A$7))</f>
        <v/>
      </c>
      <c r="J1236" t="s">
        <v>6747</v>
      </c>
      <c r="L1236" t="s">
        <v>9883</v>
      </c>
    </row>
    <row r="1237" spans="1:12" x14ac:dyDescent="0.3">
      <c r="A1237" t="s">
        <v>1505</v>
      </c>
      <c r="B1237" s="5" t="s">
        <v>7293</v>
      </c>
      <c r="C1237" t="s">
        <v>6456</v>
      </c>
      <c r="D1237" t="s">
        <v>1506</v>
      </c>
      <c r="E1237" t="s">
        <v>7294</v>
      </c>
      <c r="F1237" s="1">
        <v>44882</v>
      </c>
      <c r="G1237" t="s">
        <v>45</v>
      </c>
      <c r="H1237" s="24">
        <v>375</v>
      </c>
      <c r="I1237" t="str">
        <f>IF(H1237&lt;=0,"",LOOKUP(H1237,'Regras e Parâmetros'!$B$4:$B$7,'Regras e Parâmetros'!$A$4:$A$7))</f>
        <v>Bronze</v>
      </c>
      <c r="J1237" t="s">
        <v>6747</v>
      </c>
    </row>
    <row r="1238" spans="1:12" x14ac:dyDescent="0.3">
      <c r="A1238" t="s">
        <v>2542</v>
      </c>
      <c r="B1238" s="5" t="s">
        <v>548</v>
      </c>
      <c r="C1238" t="s">
        <v>6747</v>
      </c>
      <c r="D1238" t="s">
        <v>549</v>
      </c>
      <c r="E1238" t="s">
        <v>550</v>
      </c>
      <c r="F1238" s="1">
        <v>44535</v>
      </c>
      <c r="G1238" t="s">
        <v>51</v>
      </c>
      <c r="H1238" s="24">
        <v>2484</v>
      </c>
      <c r="I1238" t="str">
        <f>IF(H1238&lt;=0,"",LOOKUP(H1238,'Regras e Parâmetros'!$B$4:$B$7,'Regras e Parâmetros'!$A$4:$A$7))</f>
        <v>Prata</v>
      </c>
      <c r="J1238" t="s">
        <v>6456</v>
      </c>
      <c r="L1238" t="s">
        <v>10244</v>
      </c>
    </row>
    <row r="1239" spans="1:12" x14ac:dyDescent="0.3">
      <c r="A1239" t="s">
        <v>2542</v>
      </c>
      <c r="B1239" s="5" t="s">
        <v>2543</v>
      </c>
      <c r="C1239" t="s">
        <v>6456</v>
      </c>
      <c r="D1239" t="s">
        <v>2544</v>
      </c>
      <c r="E1239" t="s">
        <v>2545</v>
      </c>
      <c r="F1239" s="1">
        <v>45212</v>
      </c>
      <c r="G1239" t="s">
        <v>100</v>
      </c>
      <c r="H1239" s="24">
        <v>1619</v>
      </c>
      <c r="I1239" t="str">
        <f>IF(H1239&lt;=0,"",LOOKUP(H1239,'Regras e Parâmetros'!$B$4:$B$7,'Regras e Parâmetros'!$A$4:$A$7))</f>
        <v>Prata</v>
      </c>
      <c r="J1239" t="s">
        <v>9790</v>
      </c>
    </row>
    <row r="1240" spans="1:12" x14ac:dyDescent="0.3">
      <c r="A1240" t="s">
        <v>1951</v>
      </c>
      <c r="B1240" s="5" t="s">
        <v>7554</v>
      </c>
      <c r="C1240" t="s">
        <v>6456</v>
      </c>
      <c r="D1240" t="s">
        <v>1952</v>
      </c>
      <c r="E1240" t="s">
        <v>1953</v>
      </c>
      <c r="F1240" s="1">
        <v>45030</v>
      </c>
      <c r="G1240" t="s">
        <v>100</v>
      </c>
      <c r="H1240" s="24">
        <v>815</v>
      </c>
      <c r="I1240" t="str">
        <f>IF(H1240&lt;=0,"",LOOKUP(H1240,'Regras e Parâmetros'!$B$4:$B$7,'Regras e Parâmetros'!$A$4:$A$7))</f>
        <v>Bronze</v>
      </c>
      <c r="J1240" t="s">
        <v>6456</v>
      </c>
    </row>
    <row r="1241" spans="1:12" x14ac:dyDescent="0.3">
      <c r="A1241" t="s">
        <v>7841</v>
      </c>
      <c r="B1241" s="5" t="s">
        <v>2470</v>
      </c>
      <c r="C1241" t="s">
        <v>6456</v>
      </c>
      <c r="D1241" t="s">
        <v>3083</v>
      </c>
      <c r="E1241" t="s">
        <v>2471</v>
      </c>
      <c r="F1241" s="1">
        <v>45188</v>
      </c>
      <c r="G1241" t="s">
        <v>45</v>
      </c>
      <c r="H1241" s="24">
        <v>1098</v>
      </c>
      <c r="I1241" t="str">
        <f>IF(H1241&lt;=0,"",LOOKUP(H1241,'Regras e Parâmetros'!$B$4:$B$7,'Regras e Parâmetros'!$A$4:$A$7))</f>
        <v>Bronze</v>
      </c>
      <c r="J1241" t="s">
        <v>6747</v>
      </c>
      <c r="K1241" t="s">
        <v>9848</v>
      </c>
    </row>
    <row r="1242" spans="1:12" x14ac:dyDescent="0.3">
      <c r="A1242" t="s">
        <v>9684</v>
      </c>
      <c r="B1242" s="5" t="s">
        <v>9685</v>
      </c>
      <c r="C1242" t="s">
        <v>6456</v>
      </c>
      <c r="D1242" t="s">
        <v>5783</v>
      </c>
      <c r="E1242" t="s">
        <v>5784</v>
      </c>
      <c r="F1242" s="1">
        <v>46235</v>
      </c>
      <c r="G1242" t="s">
        <v>51</v>
      </c>
      <c r="H1242" s="24">
        <v>0</v>
      </c>
      <c r="I1242" t="str">
        <f>IF(H1242&lt;=0,"",LOOKUP(H1242,'Regras e Parâmetros'!$B$4:$B$7,'Regras e Parâmetros'!$A$4:$A$7))</f>
        <v/>
      </c>
      <c r="J1242" t="s">
        <v>6747</v>
      </c>
      <c r="K1242" t="s">
        <v>72</v>
      </c>
      <c r="L1242" t="s">
        <v>9891</v>
      </c>
    </row>
    <row r="1243" spans="1:12" x14ac:dyDescent="0.3">
      <c r="A1243" t="s">
        <v>903</v>
      </c>
      <c r="B1243" s="5" t="s">
        <v>6959</v>
      </c>
      <c r="C1243" t="s">
        <v>6456</v>
      </c>
      <c r="D1243" t="s">
        <v>904</v>
      </c>
      <c r="E1243" t="s">
        <v>6960</v>
      </c>
      <c r="F1243" s="1">
        <v>44668</v>
      </c>
      <c r="G1243" t="s">
        <v>110</v>
      </c>
      <c r="H1243" s="24">
        <v>2316</v>
      </c>
      <c r="I1243" t="str">
        <f>IF(H1243&lt;=0,"",LOOKUP(H1243,'Regras e Parâmetros'!$B$4:$B$7,'Regras e Parâmetros'!$A$4:$A$7))</f>
        <v>Prata</v>
      </c>
      <c r="J1243" t="s">
        <v>6456</v>
      </c>
    </row>
    <row r="1244" spans="1:12" x14ac:dyDescent="0.3">
      <c r="A1244" t="s">
        <v>3745</v>
      </c>
      <c r="B1244" s="5" t="s">
        <v>8491</v>
      </c>
      <c r="C1244" t="s">
        <v>6456</v>
      </c>
      <c r="D1244" t="s">
        <v>3746</v>
      </c>
      <c r="E1244" t="s">
        <v>3747</v>
      </c>
      <c r="F1244" s="1">
        <v>45640</v>
      </c>
      <c r="G1244" t="s">
        <v>110</v>
      </c>
      <c r="H1244" s="24">
        <v>56</v>
      </c>
      <c r="I1244" t="str">
        <f>IF(H1244&lt;=0,"",LOOKUP(H1244,'Regras e Parâmetros'!$B$4:$B$7,'Regras e Parâmetros'!$A$4:$A$7))</f>
        <v>Bronze</v>
      </c>
      <c r="J1244" t="s">
        <v>9790</v>
      </c>
    </row>
    <row r="1245" spans="1:12" x14ac:dyDescent="0.3">
      <c r="A1245" t="s">
        <v>4278</v>
      </c>
      <c r="B1245" s="5" t="s">
        <v>4279</v>
      </c>
      <c r="C1245" t="s">
        <v>6456</v>
      </c>
      <c r="D1245" t="s">
        <v>4280</v>
      </c>
      <c r="E1245" t="s">
        <v>4281</v>
      </c>
      <c r="F1245" s="1">
        <v>45799</v>
      </c>
      <c r="G1245" t="s">
        <v>100</v>
      </c>
      <c r="H1245" s="24">
        <v>0</v>
      </c>
      <c r="I1245" t="str">
        <f>IF(H1245&lt;=0,"",LOOKUP(H1245,'Regras e Parâmetros'!$B$4:$B$7,'Regras e Parâmetros'!$A$4:$A$7))</f>
        <v/>
      </c>
      <c r="J1245" t="s">
        <v>6456</v>
      </c>
      <c r="L1245" t="s">
        <v>9883</v>
      </c>
    </row>
    <row r="1246" spans="1:12" x14ac:dyDescent="0.3">
      <c r="A1246" t="s">
        <v>7866</v>
      </c>
      <c r="B1246" s="5" t="s">
        <v>7867</v>
      </c>
      <c r="C1246" t="s">
        <v>6456</v>
      </c>
      <c r="D1246" t="s">
        <v>2498</v>
      </c>
      <c r="E1246" t="s">
        <v>2499</v>
      </c>
      <c r="F1246" s="1">
        <v>45202</v>
      </c>
      <c r="G1246" t="s">
        <v>110</v>
      </c>
      <c r="H1246" s="24">
        <v>2700</v>
      </c>
      <c r="I1246" t="str">
        <f>IF(H1246&lt;=0,"",LOOKUP(H1246,'Regras e Parâmetros'!$B$4:$B$7,'Regras e Parâmetros'!$A$4:$A$7))</f>
        <v>Prata</v>
      </c>
      <c r="J1246" t="s">
        <v>6747</v>
      </c>
      <c r="K1246" t="s">
        <v>44</v>
      </c>
      <c r="L1246" t="s">
        <v>9793</v>
      </c>
    </row>
    <row r="1247" spans="1:12" x14ac:dyDescent="0.3">
      <c r="A1247" t="s">
        <v>3176</v>
      </c>
      <c r="B1247" s="5" t="s">
        <v>3177</v>
      </c>
      <c r="C1247" t="s">
        <v>6456</v>
      </c>
      <c r="D1247" t="s">
        <v>3178</v>
      </c>
      <c r="E1247" t="s">
        <v>8200</v>
      </c>
      <c r="F1247" s="1">
        <v>45457</v>
      </c>
      <c r="G1247" t="s">
        <v>100</v>
      </c>
      <c r="H1247" s="24">
        <v>0</v>
      </c>
      <c r="I1247" t="str">
        <f>IF(H1247&lt;=0,"",LOOKUP(H1247,'Regras e Parâmetros'!$B$4:$B$7,'Regras e Parâmetros'!$A$4:$A$7))</f>
        <v/>
      </c>
      <c r="J1247" t="s">
        <v>9790</v>
      </c>
    </row>
    <row r="1248" spans="1:12" x14ac:dyDescent="0.3">
      <c r="A1248" t="s">
        <v>1816</v>
      </c>
      <c r="B1248" s="5" t="s">
        <v>7472</v>
      </c>
      <c r="C1248" t="s">
        <v>6456</v>
      </c>
      <c r="D1248" t="s">
        <v>751</v>
      </c>
      <c r="E1248" t="s">
        <v>7473</v>
      </c>
      <c r="F1248" s="1">
        <v>44978</v>
      </c>
      <c r="G1248" t="s">
        <v>45</v>
      </c>
      <c r="H1248" s="24">
        <v>1101</v>
      </c>
      <c r="I1248" t="str">
        <f>IF(H1248&lt;=0,"",LOOKUP(H1248,'Regras e Parâmetros'!$B$4:$B$7,'Regras e Parâmetros'!$A$4:$A$7))</f>
        <v>Bronze</v>
      </c>
      <c r="J1248" t="s">
        <v>9790</v>
      </c>
      <c r="K1248" t="s">
        <v>187</v>
      </c>
    </row>
    <row r="1249" spans="1:12" x14ac:dyDescent="0.3">
      <c r="A1249" t="s">
        <v>1816</v>
      </c>
      <c r="B1249" s="5" t="s">
        <v>9488</v>
      </c>
      <c r="C1249" t="s">
        <v>6456</v>
      </c>
      <c r="D1249" t="s">
        <v>5419</v>
      </c>
      <c r="E1249" t="s">
        <v>5420</v>
      </c>
      <c r="F1249" s="1">
        <v>46133</v>
      </c>
      <c r="G1249" t="s">
        <v>18</v>
      </c>
      <c r="H1249" s="24">
        <v>0</v>
      </c>
      <c r="I1249" t="str">
        <f>IF(H1249&lt;=0,"",LOOKUP(H1249,'Regras e Parâmetros'!$B$4:$B$7,'Regras e Parâmetros'!$A$4:$A$7))</f>
        <v/>
      </c>
      <c r="J1249" t="s">
        <v>6456</v>
      </c>
      <c r="L1249" t="s">
        <v>9883</v>
      </c>
    </row>
    <row r="1250" spans="1:12" x14ac:dyDescent="0.3">
      <c r="A1250" t="s">
        <v>5</v>
      </c>
      <c r="B1250" s="5" t="s">
        <v>6455</v>
      </c>
      <c r="C1250" t="s">
        <v>6456</v>
      </c>
      <c r="D1250" t="s">
        <v>6</v>
      </c>
      <c r="E1250" t="s">
        <v>6457</v>
      </c>
      <c r="F1250" s="1">
        <v>44348</v>
      </c>
      <c r="G1250" t="s">
        <v>45</v>
      </c>
      <c r="H1250" s="24">
        <v>2182</v>
      </c>
      <c r="I1250" t="str">
        <f>IF(H1250&lt;=0,"",LOOKUP(H1250,'Regras e Parâmetros'!$B$4:$B$7,'Regras e Parâmetros'!$A$4:$A$7))</f>
        <v>Prata</v>
      </c>
      <c r="J1250" t="s">
        <v>6456</v>
      </c>
    </row>
    <row r="1251" spans="1:12" x14ac:dyDescent="0.3">
      <c r="A1251" t="s">
        <v>64</v>
      </c>
      <c r="B1251" s="5" t="s">
        <v>65</v>
      </c>
      <c r="C1251" t="s">
        <v>6456</v>
      </c>
      <c r="D1251" t="s">
        <v>66</v>
      </c>
      <c r="E1251" t="s">
        <v>6487</v>
      </c>
      <c r="F1251" s="1">
        <v>44366</v>
      </c>
      <c r="G1251" t="s">
        <v>45</v>
      </c>
      <c r="H1251" s="24">
        <v>1197</v>
      </c>
      <c r="I1251" t="str">
        <f>IF(H1251&lt;=0,"",LOOKUP(H1251,'Regras e Parâmetros'!$B$4:$B$7,'Regras e Parâmetros'!$A$4:$A$7))</f>
        <v>Bronze</v>
      </c>
      <c r="J1251" t="s">
        <v>6456</v>
      </c>
    </row>
    <row r="1252" spans="1:12" x14ac:dyDescent="0.3">
      <c r="A1252" t="s">
        <v>9219</v>
      </c>
      <c r="B1252" s="5" t="s">
        <v>9220</v>
      </c>
      <c r="C1252" t="s">
        <v>6456</v>
      </c>
      <c r="D1252" t="s">
        <v>4971</v>
      </c>
      <c r="E1252" t="s">
        <v>9221</v>
      </c>
      <c r="F1252" s="1">
        <v>46002</v>
      </c>
      <c r="G1252" t="s">
        <v>51</v>
      </c>
      <c r="H1252" s="24">
        <v>0</v>
      </c>
      <c r="I1252" t="str">
        <f>IF(H1252&lt;=0,"",LOOKUP(H1252,'Regras e Parâmetros'!$B$4:$B$7,'Regras e Parâmetros'!$A$4:$A$7))</f>
        <v/>
      </c>
      <c r="J1252" t="s">
        <v>6747</v>
      </c>
      <c r="L1252" t="s">
        <v>9883</v>
      </c>
    </row>
    <row r="1253" spans="1:12" x14ac:dyDescent="0.3">
      <c r="A1253" t="s">
        <v>8645</v>
      </c>
      <c r="B1253" s="5" t="s">
        <v>8646</v>
      </c>
      <c r="C1253" t="s">
        <v>6456</v>
      </c>
      <c r="D1253" t="s">
        <v>3972</v>
      </c>
      <c r="E1253" t="s">
        <v>8647</v>
      </c>
      <c r="F1253" s="1">
        <v>45709</v>
      </c>
      <c r="G1253" t="s">
        <v>110</v>
      </c>
      <c r="H1253" s="24">
        <v>0</v>
      </c>
      <c r="I1253" t="str">
        <f>IF(H1253&lt;=0,"",LOOKUP(H1253,'Regras e Parâmetros'!$B$4:$B$7,'Regras e Parâmetros'!$A$4:$A$7))</f>
        <v/>
      </c>
      <c r="J1253" t="s">
        <v>9790</v>
      </c>
      <c r="L1253" t="s">
        <v>9883</v>
      </c>
    </row>
    <row r="1254" spans="1:12" x14ac:dyDescent="0.3">
      <c r="A1254" t="s">
        <v>3515</v>
      </c>
      <c r="B1254" s="5" t="s">
        <v>3516</v>
      </c>
      <c r="C1254" t="s">
        <v>6456</v>
      </c>
      <c r="D1254" t="s">
        <v>3517</v>
      </c>
      <c r="E1254" t="s">
        <v>8367</v>
      </c>
      <c r="F1254" s="1">
        <v>45571</v>
      </c>
      <c r="G1254" t="s">
        <v>18</v>
      </c>
      <c r="H1254" s="24">
        <v>4794</v>
      </c>
      <c r="I1254" t="str">
        <f>IF(H1254&lt;=0,"",LOOKUP(H1254,'Regras e Parâmetros'!$B$4:$B$7,'Regras e Parâmetros'!$A$4:$A$7))</f>
        <v>Prata</v>
      </c>
      <c r="J1254" t="s">
        <v>9790</v>
      </c>
      <c r="K1254" t="s">
        <v>44</v>
      </c>
    </row>
    <row r="1255" spans="1:12" x14ac:dyDescent="0.3">
      <c r="A1255" t="s">
        <v>2421</v>
      </c>
      <c r="B1255" s="5" t="s">
        <v>2422</v>
      </c>
      <c r="C1255" t="s">
        <v>6456</v>
      </c>
      <c r="D1255" t="s">
        <v>2423</v>
      </c>
      <c r="E1255" t="s">
        <v>7815</v>
      </c>
      <c r="F1255" s="1">
        <v>45169</v>
      </c>
      <c r="G1255" t="s">
        <v>45</v>
      </c>
      <c r="H1255" s="24">
        <v>2827</v>
      </c>
      <c r="I1255" t="str">
        <f>IF(H1255&lt;=0,"",LOOKUP(H1255,'Regras e Parâmetros'!$B$4:$B$7,'Regras e Parâmetros'!$A$4:$A$7))</f>
        <v>Prata</v>
      </c>
      <c r="J1255" t="s">
        <v>9790</v>
      </c>
    </row>
    <row r="1256" spans="1:12" x14ac:dyDescent="0.3">
      <c r="A1256" t="s">
        <v>5353</v>
      </c>
      <c r="B1256" s="5" t="s">
        <v>5354</v>
      </c>
      <c r="C1256" t="s">
        <v>6456</v>
      </c>
      <c r="D1256" t="s">
        <v>5355</v>
      </c>
      <c r="E1256" t="s">
        <v>5356</v>
      </c>
      <c r="F1256" s="1">
        <v>46119</v>
      </c>
      <c r="G1256" t="s">
        <v>45</v>
      </c>
      <c r="H1256" s="24">
        <v>0</v>
      </c>
      <c r="I1256" t="str">
        <f>IF(H1256&lt;=0,"",LOOKUP(H1256,'Regras e Parâmetros'!$B$4:$B$7,'Regras e Parâmetros'!$A$4:$A$7))</f>
        <v/>
      </c>
      <c r="J1256" t="s">
        <v>6747</v>
      </c>
      <c r="L1256" t="s">
        <v>9883</v>
      </c>
    </row>
    <row r="1257" spans="1:12" x14ac:dyDescent="0.3">
      <c r="A1257" t="s">
        <v>1971</v>
      </c>
      <c r="B1257" s="5" t="s">
        <v>1972</v>
      </c>
      <c r="C1257" t="s">
        <v>6456</v>
      </c>
      <c r="D1257" t="s">
        <v>1973</v>
      </c>
      <c r="E1257" t="s">
        <v>7560</v>
      </c>
      <c r="F1257" s="1">
        <v>45031</v>
      </c>
      <c r="G1257" t="s">
        <v>110</v>
      </c>
      <c r="H1257" s="24">
        <v>1393</v>
      </c>
      <c r="I1257" t="str">
        <f>IF(H1257&lt;=0,"",LOOKUP(H1257,'Regras e Parâmetros'!$B$4:$B$7,'Regras e Parâmetros'!$A$4:$A$7))</f>
        <v>Bronze</v>
      </c>
      <c r="J1257" t="s">
        <v>6456</v>
      </c>
    </row>
    <row r="1258" spans="1:12" x14ac:dyDescent="0.3">
      <c r="A1258" t="s">
        <v>3936</v>
      </c>
      <c r="B1258" s="5" t="s">
        <v>8633</v>
      </c>
      <c r="C1258" t="s">
        <v>6456</v>
      </c>
      <c r="D1258" t="s">
        <v>3937</v>
      </c>
      <c r="E1258" t="s">
        <v>3938</v>
      </c>
      <c r="F1258" s="1">
        <v>45699</v>
      </c>
      <c r="G1258" t="s">
        <v>110</v>
      </c>
      <c r="H1258" s="24">
        <v>0</v>
      </c>
      <c r="I1258" t="str">
        <f>IF(H1258&lt;=0,"",LOOKUP(H1258,'Regras e Parâmetros'!$B$4:$B$7,'Regras e Parâmetros'!$A$4:$A$7))</f>
        <v/>
      </c>
      <c r="J1258" t="s">
        <v>9790</v>
      </c>
      <c r="L1258" t="s">
        <v>9883</v>
      </c>
    </row>
    <row r="1259" spans="1:12" x14ac:dyDescent="0.3">
      <c r="A1259" t="s">
        <v>1144</v>
      </c>
      <c r="B1259" s="5" t="s">
        <v>1145</v>
      </c>
      <c r="C1259" t="s">
        <v>6456</v>
      </c>
      <c r="D1259" t="s">
        <v>1146</v>
      </c>
      <c r="E1259" t="s">
        <v>1147</v>
      </c>
      <c r="F1259" s="1">
        <v>44739</v>
      </c>
      <c r="G1259" t="s">
        <v>18</v>
      </c>
      <c r="H1259" s="24">
        <v>9098</v>
      </c>
      <c r="I1259" t="str">
        <f>IF(H1259&lt;=0,"",LOOKUP(H1259,'Regras e Parâmetros'!$B$4:$B$7,'Regras e Parâmetros'!$A$4:$A$7))</f>
        <v>Ouro</v>
      </c>
      <c r="J1259" t="s">
        <v>9790</v>
      </c>
    </row>
    <row r="1260" spans="1:12" x14ac:dyDescent="0.3">
      <c r="A1260" t="s">
        <v>4666</v>
      </c>
      <c r="B1260" s="5" t="s">
        <v>9044</v>
      </c>
      <c r="C1260" t="s">
        <v>6456</v>
      </c>
      <c r="D1260" t="s">
        <v>4667</v>
      </c>
      <c r="E1260" t="s">
        <v>9045</v>
      </c>
      <c r="F1260" s="1">
        <v>45918</v>
      </c>
      <c r="G1260" t="s">
        <v>51</v>
      </c>
      <c r="H1260" s="24">
        <v>0</v>
      </c>
      <c r="I1260" t="str">
        <f>IF(H1260&lt;=0,"",LOOKUP(H1260,'Regras e Parâmetros'!$B$4:$B$7,'Regras e Parâmetros'!$A$4:$A$7))</f>
        <v/>
      </c>
      <c r="J1260" t="s">
        <v>6747</v>
      </c>
      <c r="K1260" t="s">
        <v>708</v>
      </c>
      <c r="L1260" t="s">
        <v>9883</v>
      </c>
    </row>
    <row r="1261" spans="1:12" x14ac:dyDescent="0.3">
      <c r="A1261" t="s">
        <v>8999</v>
      </c>
      <c r="B1261" s="5" t="s">
        <v>9000</v>
      </c>
      <c r="C1261" t="s">
        <v>6456</v>
      </c>
      <c r="D1261" t="s">
        <v>4575</v>
      </c>
      <c r="E1261" t="s">
        <v>4576</v>
      </c>
      <c r="F1261" s="1">
        <v>45890</v>
      </c>
      <c r="G1261" t="s">
        <v>18</v>
      </c>
      <c r="H1261" s="24">
        <v>0</v>
      </c>
      <c r="I1261" t="str">
        <f>IF(H1261&lt;=0,"",LOOKUP(H1261,'Regras e Parâmetros'!$B$4:$B$7,'Regras e Parâmetros'!$A$4:$A$7))</f>
        <v/>
      </c>
      <c r="J1261" t="s">
        <v>9790</v>
      </c>
      <c r="K1261" t="s">
        <v>8</v>
      </c>
      <c r="L1261" t="s">
        <v>9883</v>
      </c>
    </row>
    <row r="1262" spans="1:12" x14ac:dyDescent="0.3">
      <c r="A1262" t="s">
        <v>406</v>
      </c>
      <c r="B1262" s="5" t="s">
        <v>6671</v>
      </c>
      <c r="C1262" t="s">
        <v>6456</v>
      </c>
      <c r="D1262" t="s">
        <v>407</v>
      </c>
      <c r="E1262" t="s">
        <v>6672</v>
      </c>
      <c r="F1262" s="1">
        <v>44487</v>
      </c>
      <c r="G1262" t="s">
        <v>110</v>
      </c>
      <c r="H1262" s="24">
        <v>2365</v>
      </c>
      <c r="I1262" t="str">
        <f>IF(H1262&lt;=0,"",LOOKUP(H1262,'Regras e Parâmetros'!$B$4:$B$7,'Regras e Parâmetros'!$A$4:$A$7))</f>
        <v>Prata</v>
      </c>
      <c r="J1262" t="s">
        <v>9790</v>
      </c>
      <c r="K1262" t="s">
        <v>44</v>
      </c>
    </row>
    <row r="1263" spans="1:12" x14ac:dyDescent="0.3">
      <c r="A1263" t="s">
        <v>406</v>
      </c>
      <c r="B1263" s="5" t="s">
        <v>988</v>
      </c>
      <c r="C1263" t="s">
        <v>6456</v>
      </c>
      <c r="D1263" t="s">
        <v>989</v>
      </c>
      <c r="E1263" t="s">
        <v>7006</v>
      </c>
      <c r="F1263" s="1">
        <v>44706</v>
      </c>
      <c r="G1263" t="s">
        <v>110</v>
      </c>
      <c r="H1263" s="24">
        <v>1143</v>
      </c>
      <c r="I1263" t="str">
        <f>IF(H1263&lt;=0,"",LOOKUP(H1263,'Regras e Parâmetros'!$B$4:$B$7,'Regras e Parâmetros'!$A$4:$A$7))</f>
        <v>Bronze</v>
      </c>
      <c r="J1263" t="s">
        <v>6747</v>
      </c>
      <c r="K1263" t="s">
        <v>708</v>
      </c>
    </row>
    <row r="1264" spans="1:12" x14ac:dyDescent="0.3">
      <c r="A1264" t="s">
        <v>8387</v>
      </c>
      <c r="B1264" s="5" t="s">
        <v>8388</v>
      </c>
      <c r="C1264" t="s">
        <v>6456</v>
      </c>
      <c r="D1264" t="s">
        <v>3565</v>
      </c>
      <c r="E1264" t="s">
        <v>8389</v>
      </c>
      <c r="F1264" s="1">
        <v>45585</v>
      </c>
      <c r="G1264" t="s">
        <v>110</v>
      </c>
      <c r="H1264" s="24">
        <v>1100</v>
      </c>
      <c r="I1264" t="str">
        <f>IF(H1264&lt;=0,"",LOOKUP(H1264,'Regras e Parâmetros'!$B$4:$B$7,'Regras e Parâmetros'!$A$4:$A$7))</f>
        <v>Bronze</v>
      </c>
      <c r="J1264" t="s">
        <v>6747</v>
      </c>
      <c r="L1264" t="s">
        <v>9793</v>
      </c>
    </row>
    <row r="1265" spans="1:12" x14ac:dyDescent="0.3">
      <c r="A1265" t="s">
        <v>7434</v>
      </c>
      <c r="B1265" s="5" t="s">
        <v>1748</v>
      </c>
      <c r="C1265" t="s">
        <v>6456</v>
      </c>
      <c r="D1265" t="s">
        <v>1749</v>
      </c>
      <c r="E1265" t="s">
        <v>1750</v>
      </c>
      <c r="F1265" s="1">
        <v>44955</v>
      </c>
      <c r="G1265" t="s">
        <v>51</v>
      </c>
      <c r="H1265" s="24">
        <v>1264</v>
      </c>
      <c r="I1265" t="str">
        <f>IF(H1265&lt;=0,"",LOOKUP(H1265,'Regras e Parâmetros'!$B$4:$B$7,'Regras e Parâmetros'!$A$4:$A$7))</f>
        <v>Bronze</v>
      </c>
      <c r="J1265" t="s">
        <v>6456</v>
      </c>
      <c r="L1265" t="s">
        <v>9792</v>
      </c>
    </row>
    <row r="1266" spans="1:12" x14ac:dyDescent="0.3">
      <c r="A1266" t="s">
        <v>5685</v>
      </c>
      <c r="B1266" s="5" t="s">
        <v>9635</v>
      </c>
      <c r="C1266" t="s">
        <v>6456</v>
      </c>
      <c r="D1266" t="s">
        <v>5686</v>
      </c>
      <c r="E1266" t="s">
        <v>9636</v>
      </c>
      <c r="F1266" s="1">
        <v>46213</v>
      </c>
      <c r="G1266" t="s">
        <v>22</v>
      </c>
      <c r="H1266" s="24">
        <v>0</v>
      </c>
      <c r="I1266" t="str">
        <f>IF(H1266&lt;=0,"",LOOKUP(H1266,'Regras e Parâmetros'!$B$4:$B$7,'Regras e Parâmetros'!$A$4:$A$7))</f>
        <v/>
      </c>
      <c r="J1266" t="s">
        <v>6456</v>
      </c>
      <c r="L1266" t="s">
        <v>9883</v>
      </c>
    </row>
    <row r="1267" spans="1:12" x14ac:dyDescent="0.3">
      <c r="A1267" t="s">
        <v>1443</v>
      </c>
      <c r="B1267" s="5" t="s">
        <v>7264</v>
      </c>
      <c r="C1267" t="s">
        <v>6456</v>
      </c>
      <c r="D1267" t="s">
        <v>1445</v>
      </c>
      <c r="E1267" t="s">
        <v>7265</v>
      </c>
      <c r="F1267" s="1">
        <v>44867</v>
      </c>
      <c r="G1267" t="s">
        <v>51</v>
      </c>
      <c r="H1267" s="24">
        <v>3600</v>
      </c>
      <c r="I1267" t="str">
        <f>IF(H1267&lt;=0,"",LOOKUP(H1267,'Regras e Parâmetros'!$B$4:$B$7,'Regras e Parâmetros'!$A$4:$A$7))</f>
        <v>Prata</v>
      </c>
      <c r="J1267" t="s">
        <v>6747</v>
      </c>
      <c r="L1267" t="s">
        <v>9793</v>
      </c>
    </row>
    <row r="1268" spans="1:12" x14ac:dyDescent="0.3">
      <c r="A1268" t="s">
        <v>5826</v>
      </c>
      <c r="B1268" s="5" t="s">
        <v>9719</v>
      </c>
      <c r="C1268" t="s">
        <v>6456</v>
      </c>
      <c r="D1268" t="s">
        <v>5827</v>
      </c>
      <c r="E1268" t="s">
        <v>9720</v>
      </c>
      <c r="F1268" s="1">
        <v>46247</v>
      </c>
      <c r="G1268" t="s">
        <v>51</v>
      </c>
      <c r="H1268" s="24">
        <v>0</v>
      </c>
      <c r="I1268" t="str">
        <f>IF(H1268&lt;=0,"",LOOKUP(H1268,'Regras e Parâmetros'!$B$4:$B$7,'Regras e Parâmetros'!$A$4:$A$7))</f>
        <v/>
      </c>
      <c r="J1268" t="s">
        <v>6456</v>
      </c>
      <c r="L1268" t="s">
        <v>9883</v>
      </c>
    </row>
    <row r="1269" spans="1:12" x14ac:dyDescent="0.3">
      <c r="A1269" t="s">
        <v>4923</v>
      </c>
      <c r="B1269" s="5" t="s">
        <v>9197</v>
      </c>
      <c r="C1269" t="s">
        <v>6456</v>
      </c>
      <c r="D1269" t="s">
        <v>4924</v>
      </c>
      <c r="E1269" t="s">
        <v>4925</v>
      </c>
      <c r="F1269" s="1">
        <v>45988</v>
      </c>
      <c r="G1269" t="s">
        <v>18</v>
      </c>
      <c r="H1269" s="24">
        <v>0</v>
      </c>
      <c r="I1269" t="str">
        <f>IF(H1269&lt;=0,"",LOOKUP(H1269,'Regras e Parâmetros'!$B$4:$B$7,'Regras e Parâmetros'!$A$4:$A$7))</f>
        <v/>
      </c>
      <c r="J1269" t="s">
        <v>9790</v>
      </c>
      <c r="L1269" t="s">
        <v>9883</v>
      </c>
    </row>
    <row r="1270" spans="1:12" x14ac:dyDescent="0.3">
      <c r="A1270" t="s">
        <v>3290</v>
      </c>
      <c r="B1270" s="5" t="s">
        <v>8262</v>
      </c>
      <c r="C1270" t="s">
        <v>6456</v>
      </c>
      <c r="D1270" t="s">
        <v>3291</v>
      </c>
      <c r="E1270" t="s">
        <v>3292</v>
      </c>
      <c r="F1270" s="1">
        <v>45497</v>
      </c>
      <c r="G1270" t="s">
        <v>45</v>
      </c>
      <c r="H1270" s="24">
        <v>55</v>
      </c>
      <c r="I1270" t="str">
        <f>IF(H1270&lt;=0,"",LOOKUP(H1270,'Regras e Parâmetros'!$B$4:$B$7,'Regras e Parâmetros'!$A$4:$A$7))</f>
        <v>Bronze</v>
      </c>
      <c r="J1270" t="s">
        <v>9790</v>
      </c>
      <c r="L1270" t="s">
        <v>9792</v>
      </c>
    </row>
    <row r="1271" spans="1:12" x14ac:dyDescent="0.3">
      <c r="A1271" t="s">
        <v>4671</v>
      </c>
      <c r="B1271" s="5" t="s">
        <v>4672</v>
      </c>
      <c r="C1271" t="s">
        <v>6456</v>
      </c>
      <c r="D1271" t="s">
        <v>4673</v>
      </c>
      <c r="E1271" t="s">
        <v>9047</v>
      </c>
      <c r="F1271" s="1">
        <v>45919</v>
      </c>
      <c r="G1271" t="s">
        <v>110</v>
      </c>
      <c r="H1271" s="24">
        <v>0</v>
      </c>
      <c r="I1271" t="str">
        <f>IF(H1271&lt;=0,"",LOOKUP(H1271,'Regras e Parâmetros'!$B$4:$B$7,'Regras e Parâmetros'!$A$4:$A$7))</f>
        <v/>
      </c>
      <c r="J1271" t="s">
        <v>9790</v>
      </c>
      <c r="L1271" t="s">
        <v>9883</v>
      </c>
    </row>
    <row r="1272" spans="1:12" x14ac:dyDescent="0.3">
      <c r="A1272" t="s">
        <v>4546</v>
      </c>
      <c r="B1272" s="5" t="s">
        <v>8981</v>
      </c>
      <c r="C1272" t="s">
        <v>6456</v>
      </c>
      <c r="D1272" t="s">
        <v>4547</v>
      </c>
      <c r="E1272" t="s">
        <v>8982</v>
      </c>
      <c r="F1272" s="1">
        <v>45883</v>
      </c>
      <c r="G1272" t="s">
        <v>18</v>
      </c>
      <c r="H1272" s="24">
        <v>0</v>
      </c>
      <c r="I1272" t="str">
        <f>IF(H1272&lt;=0,"",LOOKUP(H1272,'Regras e Parâmetros'!$B$4:$B$7,'Regras e Parâmetros'!$A$4:$A$7))</f>
        <v/>
      </c>
      <c r="J1272" t="s">
        <v>6456</v>
      </c>
      <c r="L1272" t="s">
        <v>9883</v>
      </c>
    </row>
    <row r="1273" spans="1:12" x14ac:dyDescent="0.3">
      <c r="A1273" t="s">
        <v>3412</v>
      </c>
      <c r="B1273" s="5" t="s">
        <v>8325</v>
      </c>
      <c r="C1273" t="s">
        <v>6456</v>
      </c>
      <c r="D1273" t="s">
        <v>3413</v>
      </c>
      <c r="E1273" t="s">
        <v>3414</v>
      </c>
      <c r="F1273" s="1">
        <v>45538</v>
      </c>
      <c r="G1273" t="s">
        <v>100</v>
      </c>
      <c r="H1273" s="24">
        <v>0</v>
      </c>
      <c r="I1273" t="str">
        <f>IF(H1273&lt;=0,"",LOOKUP(H1273,'Regras e Parâmetros'!$B$4:$B$7,'Regras e Parâmetros'!$A$4:$A$7))</f>
        <v/>
      </c>
      <c r="J1273" t="s">
        <v>6747</v>
      </c>
    </row>
    <row r="1274" spans="1:12" x14ac:dyDescent="0.3">
      <c r="A1274" t="s">
        <v>6504</v>
      </c>
      <c r="B1274" s="5" t="s">
        <v>6505</v>
      </c>
      <c r="C1274" t="s">
        <v>6456</v>
      </c>
      <c r="D1274" t="s">
        <v>91</v>
      </c>
      <c r="E1274" t="s">
        <v>6506</v>
      </c>
      <c r="F1274" s="1">
        <v>44377</v>
      </c>
      <c r="G1274" t="s">
        <v>18</v>
      </c>
      <c r="H1274" s="24">
        <v>309</v>
      </c>
      <c r="I1274" t="str">
        <f>IF(H1274&lt;=0,"",LOOKUP(H1274,'Regras e Parâmetros'!$B$4:$B$7,'Regras e Parâmetros'!$A$4:$A$7))</f>
        <v>Bronze</v>
      </c>
      <c r="J1274" t="s">
        <v>6747</v>
      </c>
    </row>
    <row r="1275" spans="1:12" x14ac:dyDescent="0.3">
      <c r="A1275" t="s">
        <v>1542</v>
      </c>
      <c r="B1275" s="5" t="s">
        <v>7315</v>
      </c>
      <c r="C1275" t="s">
        <v>6456</v>
      </c>
      <c r="D1275" t="s">
        <v>1543</v>
      </c>
      <c r="E1275" t="s">
        <v>1544</v>
      </c>
      <c r="F1275" s="1">
        <v>44890</v>
      </c>
      <c r="G1275" t="s">
        <v>45</v>
      </c>
      <c r="H1275" s="24">
        <v>1659</v>
      </c>
      <c r="I1275" t="str">
        <f>IF(H1275&lt;=0,"",LOOKUP(H1275,'Regras e Parâmetros'!$B$4:$B$7,'Regras e Parâmetros'!$A$4:$A$7))</f>
        <v>Prata</v>
      </c>
      <c r="J1275" t="s">
        <v>6456</v>
      </c>
    </row>
    <row r="1276" spans="1:12" x14ac:dyDescent="0.3">
      <c r="A1276" t="s">
        <v>3576</v>
      </c>
      <c r="B1276" s="5" t="s">
        <v>8394</v>
      </c>
      <c r="C1276" t="s">
        <v>6456</v>
      </c>
      <c r="D1276" t="s">
        <v>3577</v>
      </c>
      <c r="E1276" t="s">
        <v>8395</v>
      </c>
      <c r="F1276" s="1">
        <v>45587</v>
      </c>
      <c r="G1276" t="s">
        <v>51</v>
      </c>
      <c r="H1276" s="24">
        <v>191</v>
      </c>
      <c r="I1276" t="str">
        <f>IF(H1276&lt;=0,"",LOOKUP(H1276,'Regras e Parâmetros'!$B$4:$B$7,'Regras e Parâmetros'!$A$4:$A$7))</f>
        <v>Bronze</v>
      </c>
      <c r="J1276" t="s">
        <v>6747</v>
      </c>
      <c r="K1276" t="s">
        <v>33</v>
      </c>
    </row>
    <row r="1277" spans="1:12" x14ac:dyDescent="0.3">
      <c r="A1277" t="s">
        <v>739</v>
      </c>
      <c r="B1277" s="5" t="s">
        <v>6862</v>
      </c>
      <c r="C1277" t="s">
        <v>6456</v>
      </c>
      <c r="D1277" t="s">
        <v>1427</v>
      </c>
      <c r="E1277" t="s">
        <v>741</v>
      </c>
      <c r="F1277" s="1">
        <v>44609</v>
      </c>
      <c r="G1277" t="s">
        <v>18</v>
      </c>
      <c r="H1277" s="24">
        <v>0</v>
      </c>
      <c r="I1277" t="str">
        <f>IF(H1277&lt;=0,"",LOOKUP(H1277,'Regras e Parâmetros'!$B$4:$B$7,'Regras e Parâmetros'!$A$4:$A$7))</f>
        <v/>
      </c>
      <c r="J1277" t="s">
        <v>9790</v>
      </c>
      <c r="K1277" t="s">
        <v>9809</v>
      </c>
    </row>
    <row r="1278" spans="1:12" x14ac:dyDescent="0.3">
      <c r="A1278" t="s">
        <v>6658</v>
      </c>
      <c r="B1278" s="5" t="s">
        <v>381</v>
      </c>
      <c r="C1278" t="s">
        <v>6456</v>
      </c>
      <c r="D1278" t="s">
        <v>382</v>
      </c>
      <c r="E1278" t="s">
        <v>383</v>
      </c>
      <c r="F1278" s="1">
        <v>44478</v>
      </c>
      <c r="G1278" t="s">
        <v>51</v>
      </c>
      <c r="H1278" s="24">
        <v>4489</v>
      </c>
      <c r="I1278" t="str">
        <f>IF(H1278&lt;=0,"",LOOKUP(H1278,'Regras e Parâmetros'!$B$4:$B$7,'Regras e Parâmetros'!$A$4:$A$7))</f>
        <v>Prata</v>
      </c>
      <c r="J1278" t="s">
        <v>6747</v>
      </c>
      <c r="K1278" t="s">
        <v>8</v>
      </c>
      <c r="L1278" t="s">
        <v>9792</v>
      </c>
    </row>
    <row r="1279" spans="1:12" x14ac:dyDescent="0.3">
      <c r="A1279" t="s">
        <v>3463</v>
      </c>
      <c r="B1279" s="5" t="s">
        <v>8344</v>
      </c>
      <c r="C1279" t="s">
        <v>6456</v>
      </c>
      <c r="D1279" t="s">
        <v>3464</v>
      </c>
      <c r="E1279" t="s">
        <v>3465</v>
      </c>
      <c r="F1279" s="1">
        <v>45555</v>
      </c>
      <c r="G1279" t="s">
        <v>18</v>
      </c>
      <c r="H1279" s="24">
        <v>2183</v>
      </c>
      <c r="I1279" t="str">
        <f>IF(H1279&lt;=0,"",LOOKUP(H1279,'Regras e Parâmetros'!$B$4:$B$7,'Regras e Parâmetros'!$A$4:$A$7))</f>
        <v>Prata</v>
      </c>
      <c r="J1279" t="s">
        <v>6456</v>
      </c>
    </row>
    <row r="1280" spans="1:12" x14ac:dyDescent="0.3">
      <c r="A1280" t="s">
        <v>4890</v>
      </c>
      <c r="B1280" s="5" t="s">
        <v>4891</v>
      </c>
      <c r="C1280" t="s">
        <v>6456</v>
      </c>
      <c r="D1280" t="s">
        <v>4892</v>
      </c>
      <c r="E1280" t="s">
        <v>10112</v>
      </c>
      <c r="F1280" s="1">
        <v>45980</v>
      </c>
      <c r="G1280" t="s">
        <v>45</v>
      </c>
      <c r="H1280" s="24">
        <v>0</v>
      </c>
      <c r="I1280" t="str">
        <f>IF(H1280&lt;=0,"",LOOKUP(H1280,'Regras e Parâmetros'!$B$4:$B$7,'Regras e Parâmetros'!$A$4:$A$7))</f>
        <v/>
      </c>
      <c r="J1280" t="s">
        <v>6456</v>
      </c>
      <c r="L1280" t="s">
        <v>9883</v>
      </c>
    </row>
    <row r="1281" spans="1:12" x14ac:dyDescent="0.3">
      <c r="A1281" t="s">
        <v>9570</v>
      </c>
      <c r="B1281" s="5" t="s">
        <v>9571</v>
      </c>
      <c r="C1281" t="s">
        <v>6456</v>
      </c>
      <c r="D1281" t="s">
        <v>5585</v>
      </c>
      <c r="E1281" t="s">
        <v>9572</v>
      </c>
      <c r="F1281" s="1">
        <v>46178</v>
      </c>
      <c r="G1281" t="s">
        <v>110</v>
      </c>
      <c r="H1281" s="24">
        <v>0</v>
      </c>
      <c r="I1281" t="str">
        <f>IF(H1281&lt;=0,"",LOOKUP(H1281,'Regras e Parâmetros'!$B$4:$B$7,'Regras e Parâmetros'!$A$4:$A$7))</f>
        <v/>
      </c>
      <c r="J1281" t="s">
        <v>6747</v>
      </c>
      <c r="L1281" t="s">
        <v>9883</v>
      </c>
    </row>
    <row r="1282" spans="1:12" x14ac:dyDescent="0.3">
      <c r="A1282" t="s">
        <v>248</v>
      </c>
      <c r="B1282" s="5" t="s">
        <v>2220</v>
      </c>
      <c r="C1282" t="s">
        <v>6456</v>
      </c>
      <c r="D1282" t="s">
        <v>2221</v>
      </c>
      <c r="E1282" t="s">
        <v>249</v>
      </c>
      <c r="F1282" s="1">
        <v>44433</v>
      </c>
      <c r="G1282" t="s">
        <v>18</v>
      </c>
      <c r="H1282" s="24">
        <v>2230</v>
      </c>
      <c r="I1282" t="str">
        <f>IF(H1282&lt;=0,"",LOOKUP(H1282,'Regras e Parâmetros'!$B$4:$B$7,'Regras e Parâmetros'!$A$4:$A$7))</f>
        <v>Prata</v>
      </c>
      <c r="J1282" t="s">
        <v>6456</v>
      </c>
      <c r="K1282" t="s">
        <v>9796</v>
      </c>
    </row>
    <row r="1283" spans="1:12" x14ac:dyDescent="0.3">
      <c r="A1283" t="s">
        <v>248</v>
      </c>
      <c r="B1283" s="5" t="s">
        <v>9257</v>
      </c>
      <c r="C1283" t="s">
        <v>6456</v>
      </c>
      <c r="D1283" t="s">
        <v>5034</v>
      </c>
      <c r="E1283" t="s">
        <v>5035</v>
      </c>
      <c r="F1283" s="1">
        <v>46023</v>
      </c>
      <c r="G1283" t="s">
        <v>100</v>
      </c>
      <c r="H1283" s="24">
        <v>0</v>
      </c>
      <c r="I1283" t="str">
        <f>IF(H1283&lt;=0,"",LOOKUP(H1283,'Regras e Parâmetros'!$B$4:$B$7,'Regras e Parâmetros'!$A$4:$A$7))</f>
        <v/>
      </c>
      <c r="J1283" t="s">
        <v>9790</v>
      </c>
      <c r="L1283" t="s">
        <v>9883</v>
      </c>
    </row>
    <row r="1284" spans="1:12" x14ac:dyDescent="0.3">
      <c r="A1284" t="s">
        <v>3114</v>
      </c>
      <c r="B1284" s="5" t="s">
        <v>8167</v>
      </c>
      <c r="C1284" t="s">
        <v>6456</v>
      </c>
      <c r="D1284" t="s">
        <v>3115</v>
      </c>
      <c r="E1284" t="s">
        <v>3116</v>
      </c>
      <c r="F1284" s="1">
        <v>45430</v>
      </c>
      <c r="G1284" t="s">
        <v>22</v>
      </c>
      <c r="H1284" s="24">
        <v>293</v>
      </c>
      <c r="I1284" t="str">
        <f>IF(H1284&lt;=0,"",LOOKUP(H1284,'Regras e Parâmetros'!$B$4:$B$7,'Regras e Parâmetros'!$A$4:$A$7))</f>
        <v>Bronze</v>
      </c>
      <c r="J1284" t="s">
        <v>6747</v>
      </c>
      <c r="L1284" t="s">
        <v>9792</v>
      </c>
    </row>
    <row r="1285" spans="1:12" x14ac:dyDescent="0.3">
      <c r="A1285" t="s">
        <v>188</v>
      </c>
      <c r="B1285" s="5" t="s">
        <v>6557</v>
      </c>
      <c r="C1285" t="s">
        <v>6456</v>
      </c>
      <c r="D1285" t="s">
        <v>189</v>
      </c>
      <c r="E1285" t="s">
        <v>6558</v>
      </c>
      <c r="F1285" s="1">
        <v>44410</v>
      </c>
      <c r="G1285" t="s">
        <v>100</v>
      </c>
      <c r="H1285" s="24">
        <v>6649</v>
      </c>
      <c r="I1285" t="str">
        <f>IF(H1285&lt;=0,"",LOOKUP(H1285,'Regras e Parâmetros'!$B$4:$B$7,'Regras e Parâmetros'!$A$4:$A$7))</f>
        <v>Ouro</v>
      </c>
      <c r="J1285" t="s">
        <v>6747</v>
      </c>
    </row>
    <row r="1286" spans="1:12" x14ac:dyDescent="0.3">
      <c r="A1286" t="s">
        <v>5857</v>
      </c>
      <c r="B1286" s="5" t="s">
        <v>9735</v>
      </c>
      <c r="C1286" t="s">
        <v>6456</v>
      </c>
      <c r="D1286" t="s">
        <v>5858</v>
      </c>
      <c r="E1286" t="s">
        <v>9736</v>
      </c>
      <c r="F1286" s="1">
        <v>46259</v>
      </c>
      <c r="G1286" t="s">
        <v>18</v>
      </c>
      <c r="H1286" s="24">
        <v>0</v>
      </c>
      <c r="I1286" t="str">
        <f>IF(H1286&lt;=0,"",LOOKUP(H1286,'Regras e Parâmetros'!$B$4:$B$7,'Regras e Parâmetros'!$A$4:$A$7))</f>
        <v/>
      </c>
      <c r="J1286" t="s">
        <v>6747</v>
      </c>
      <c r="L1286" t="s">
        <v>9883</v>
      </c>
    </row>
    <row r="1287" spans="1:12" x14ac:dyDescent="0.3">
      <c r="A1287" t="s">
        <v>5716</v>
      </c>
      <c r="B1287" s="5" t="s">
        <v>9650</v>
      </c>
      <c r="C1287" t="s">
        <v>6456</v>
      </c>
      <c r="D1287" t="s">
        <v>5717</v>
      </c>
      <c r="E1287" t="s">
        <v>9651</v>
      </c>
      <c r="F1287" s="1">
        <v>46224</v>
      </c>
      <c r="G1287" t="s">
        <v>51</v>
      </c>
      <c r="H1287" s="24">
        <v>0</v>
      </c>
      <c r="I1287" t="str">
        <f>IF(H1287&lt;=0,"",LOOKUP(H1287,'Regras e Parâmetros'!$B$4:$B$7,'Regras e Parâmetros'!$A$4:$A$7))</f>
        <v/>
      </c>
      <c r="J1287" t="s">
        <v>6747</v>
      </c>
      <c r="K1287" t="s">
        <v>8</v>
      </c>
      <c r="L1287" t="s">
        <v>9883</v>
      </c>
    </row>
    <row r="1288" spans="1:12" x14ac:dyDescent="0.3">
      <c r="A1288" t="s">
        <v>3416</v>
      </c>
      <c r="B1288" s="5" t="s">
        <v>8326</v>
      </c>
      <c r="C1288" t="s">
        <v>6456</v>
      </c>
      <c r="D1288" t="s">
        <v>5422</v>
      </c>
      <c r="E1288" t="s">
        <v>5423</v>
      </c>
      <c r="F1288" s="1">
        <v>45538</v>
      </c>
      <c r="G1288" t="s">
        <v>45</v>
      </c>
      <c r="H1288" s="24">
        <v>0</v>
      </c>
      <c r="I1288" t="str">
        <f>IF(H1288&lt;=0,"",LOOKUP(H1288,'Regras e Parâmetros'!$B$4:$B$7,'Regras e Parâmetros'!$A$4:$A$7))</f>
        <v/>
      </c>
      <c r="J1288" t="s">
        <v>6456</v>
      </c>
      <c r="K1288" t="s">
        <v>9870</v>
      </c>
    </row>
    <row r="1289" spans="1:12" x14ac:dyDescent="0.3">
      <c r="A1289" t="s">
        <v>477</v>
      </c>
      <c r="B1289" s="5" t="s">
        <v>6714</v>
      </c>
      <c r="C1289" t="s">
        <v>6456</v>
      </c>
      <c r="D1289" t="s">
        <v>478</v>
      </c>
      <c r="E1289" t="s">
        <v>479</v>
      </c>
      <c r="F1289" s="1">
        <v>44511</v>
      </c>
      <c r="G1289" t="s">
        <v>45</v>
      </c>
      <c r="H1289" s="24">
        <v>2887</v>
      </c>
      <c r="I1289" t="str">
        <f>IF(H1289&lt;=0,"",LOOKUP(H1289,'Regras e Parâmetros'!$B$4:$B$7,'Regras e Parâmetros'!$A$4:$A$7))</f>
        <v>Prata</v>
      </c>
      <c r="J1289" t="s">
        <v>6747</v>
      </c>
      <c r="L1289" t="s">
        <v>9792</v>
      </c>
    </row>
    <row r="1290" spans="1:12" x14ac:dyDescent="0.3">
      <c r="A1290" t="s">
        <v>9634</v>
      </c>
      <c r="B1290" s="5" t="s">
        <v>5682</v>
      </c>
      <c r="C1290" t="s">
        <v>6456</v>
      </c>
      <c r="D1290" t="s">
        <v>5683</v>
      </c>
      <c r="E1290" t="s">
        <v>5684</v>
      </c>
      <c r="F1290" s="1">
        <v>46212</v>
      </c>
      <c r="G1290" t="s">
        <v>51</v>
      </c>
      <c r="H1290" s="24">
        <v>0</v>
      </c>
      <c r="I1290" t="str">
        <f>IF(H1290&lt;=0,"",LOOKUP(H1290,'Regras e Parâmetros'!$B$4:$B$7,'Regras e Parâmetros'!$A$4:$A$7))</f>
        <v/>
      </c>
      <c r="J1290" t="s">
        <v>6456</v>
      </c>
      <c r="L1290" t="s">
        <v>9883</v>
      </c>
    </row>
    <row r="1291" spans="1:12" x14ac:dyDescent="0.3">
      <c r="A1291" t="s">
        <v>5198</v>
      </c>
      <c r="B1291" s="5" t="s">
        <v>5199</v>
      </c>
      <c r="C1291" t="s">
        <v>6456</v>
      </c>
      <c r="D1291" t="s">
        <v>5200</v>
      </c>
      <c r="E1291" t="s">
        <v>9360</v>
      </c>
      <c r="F1291" s="1">
        <v>46072</v>
      </c>
      <c r="G1291" t="s">
        <v>45</v>
      </c>
      <c r="H1291" s="24">
        <v>0</v>
      </c>
      <c r="I1291" t="str">
        <f>IF(H1291&lt;=0,"",LOOKUP(H1291,'Regras e Parâmetros'!$B$4:$B$7,'Regras e Parâmetros'!$A$4:$A$7))</f>
        <v/>
      </c>
      <c r="J1291" t="s">
        <v>6747</v>
      </c>
      <c r="L1291" t="s">
        <v>9883</v>
      </c>
    </row>
    <row r="1292" spans="1:12" x14ac:dyDescent="0.3">
      <c r="A1292" t="s">
        <v>7508</v>
      </c>
      <c r="B1292" s="5" t="s">
        <v>7509</v>
      </c>
      <c r="C1292" t="s">
        <v>6456</v>
      </c>
      <c r="D1292" t="s">
        <v>1867</v>
      </c>
      <c r="E1292" t="s">
        <v>7510</v>
      </c>
      <c r="F1292" s="1">
        <v>44996</v>
      </c>
      <c r="G1292" t="s">
        <v>45</v>
      </c>
      <c r="H1292" s="24">
        <v>1300</v>
      </c>
      <c r="I1292" t="str">
        <f>IF(H1292&lt;=0,"",LOOKUP(H1292,'Regras e Parâmetros'!$B$4:$B$7,'Regras e Parâmetros'!$A$4:$A$7))</f>
        <v>Bronze</v>
      </c>
      <c r="J1292" t="s">
        <v>6456</v>
      </c>
      <c r="L1292" t="s">
        <v>9793</v>
      </c>
    </row>
    <row r="1293" spans="1:12" x14ac:dyDescent="0.3">
      <c r="A1293" t="s">
        <v>3891</v>
      </c>
      <c r="B1293" s="5" t="s">
        <v>8597</v>
      </c>
      <c r="C1293" t="s">
        <v>6456</v>
      </c>
      <c r="D1293" t="s">
        <v>3892</v>
      </c>
      <c r="E1293" t="s">
        <v>8598</v>
      </c>
      <c r="F1293" s="1">
        <v>45689</v>
      </c>
      <c r="G1293" t="s">
        <v>22</v>
      </c>
      <c r="H1293" s="24">
        <v>0</v>
      </c>
      <c r="I1293" t="str">
        <f>IF(H1293&lt;=0,"",LOOKUP(H1293,'Regras e Parâmetros'!$B$4:$B$7,'Regras e Parâmetros'!$A$4:$A$7))</f>
        <v/>
      </c>
      <c r="J1293" t="s">
        <v>9790</v>
      </c>
      <c r="K1293" t="s">
        <v>187</v>
      </c>
      <c r="L1293" t="s">
        <v>9883</v>
      </c>
    </row>
    <row r="1294" spans="1:12" x14ac:dyDescent="0.3">
      <c r="A1294" t="s">
        <v>4955</v>
      </c>
      <c r="B1294" s="5" t="s">
        <v>4956</v>
      </c>
      <c r="C1294" t="s">
        <v>6456</v>
      </c>
      <c r="D1294" t="s">
        <v>5403</v>
      </c>
      <c r="E1294" t="s">
        <v>9217</v>
      </c>
      <c r="F1294" s="1">
        <v>46000</v>
      </c>
      <c r="G1294" t="s">
        <v>110</v>
      </c>
      <c r="H1294" s="24">
        <v>0</v>
      </c>
      <c r="I1294" t="str">
        <f>IF(H1294&lt;=0,"",LOOKUP(H1294,'Regras e Parâmetros'!$B$4:$B$7,'Regras e Parâmetros'!$A$4:$A$7))</f>
        <v/>
      </c>
      <c r="J1294" t="s">
        <v>6456</v>
      </c>
      <c r="K1294" t="s">
        <v>9913</v>
      </c>
      <c r="L1294" t="s">
        <v>9883</v>
      </c>
    </row>
    <row r="1295" spans="1:12" x14ac:dyDescent="0.3">
      <c r="A1295" t="s">
        <v>992</v>
      </c>
      <c r="B1295" s="5" t="s">
        <v>993</v>
      </c>
      <c r="C1295" t="s">
        <v>6456</v>
      </c>
      <c r="D1295" t="s">
        <v>994</v>
      </c>
      <c r="E1295" t="s">
        <v>7009</v>
      </c>
      <c r="F1295" s="1">
        <v>44707</v>
      </c>
      <c r="G1295" t="s">
        <v>18</v>
      </c>
      <c r="H1295" s="24">
        <v>4240</v>
      </c>
      <c r="I1295" t="str">
        <f>IF(H1295&lt;=0,"",LOOKUP(H1295,'Regras e Parâmetros'!$B$4:$B$7,'Regras e Parâmetros'!$A$4:$A$7))</f>
        <v>Prata</v>
      </c>
      <c r="J1295" t="s">
        <v>6456</v>
      </c>
    </row>
    <row r="1296" spans="1:12" x14ac:dyDescent="0.3">
      <c r="A1296" t="s">
        <v>8111</v>
      </c>
      <c r="B1296" s="5" t="s">
        <v>8112</v>
      </c>
      <c r="C1296" t="s">
        <v>6456</v>
      </c>
      <c r="D1296" t="s">
        <v>3005</v>
      </c>
      <c r="E1296" t="s">
        <v>10113</v>
      </c>
      <c r="F1296" s="1">
        <v>45390</v>
      </c>
      <c r="G1296" t="s">
        <v>18</v>
      </c>
      <c r="H1296" s="24">
        <v>850</v>
      </c>
      <c r="I1296" t="str">
        <f>IF(H1296&lt;=0,"",LOOKUP(H1296,'Regras e Parâmetros'!$B$4:$B$7,'Regras e Parâmetros'!$A$4:$A$7))</f>
        <v>Bronze</v>
      </c>
      <c r="J1296" t="s">
        <v>6747</v>
      </c>
    </row>
    <row r="1297" spans="1:12" x14ac:dyDescent="0.3">
      <c r="A1297" t="s">
        <v>1632</v>
      </c>
      <c r="B1297" s="5" t="s">
        <v>7372</v>
      </c>
      <c r="C1297" t="s">
        <v>6456</v>
      </c>
      <c r="D1297" t="s">
        <v>3034</v>
      </c>
      <c r="E1297" t="s">
        <v>7373</v>
      </c>
      <c r="F1297" s="1">
        <v>44923</v>
      </c>
      <c r="G1297" t="s">
        <v>51</v>
      </c>
      <c r="H1297" s="24">
        <v>961</v>
      </c>
      <c r="I1297" t="str">
        <f>IF(H1297&lt;=0,"",LOOKUP(H1297,'Regras e Parâmetros'!$B$4:$B$7,'Regras e Parâmetros'!$A$4:$A$7))</f>
        <v>Bronze</v>
      </c>
      <c r="J1297" t="s">
        <v>9790</v>
      </c>
      <c r="K1297" t="s">
        <v>9831</v>
      </c>
    </row>
    <row r="1298" spans="1:12" x14ac:dyDescent="0.3">
      <c r="A1298" t="s">
        <v>2387</v>
      </c>
      <c r="B1298" s="5" t="s">
        <v>7799</v>
      </c>
      <c r="C1298" t="s">
        <v>6456</v>
      </c>
      <c r="D1298" t="s">
        <v>2388</v>
      </c>
      <c r="E1298" t="s">
        <v>2389</v>
      </c>
      <c r="F1298" s="1">
        <v>45158</v>
      </c>
      <c r="G1298" t="s">
        <v>18</v>
      </c>
      <c r="H1298" s="24">
        <v>0</v>
      </c>
      <c r="I1298" t="str">
        <f>IF(H1298&lt;=0,"",LOOKUP(H1298,'Regras e Parâmetros'!$B$4:$B$7,'Regras e Parâmetros'!$A$4:$A$7))</f>
        <v/>
      </c>
      <c r="J1298" t="s">
        <v>9790</v>
      </c>
      <c r="L1298" t="s">
        <v>9792</v>
      </c>
    </row>
    <row r="1299" spans="1:12" x14ac:dyDescent="0.3">
      <c r="A1299" t="s">
        <v>1148</v>
      </c>
      <c r="B1299" s="5" t="s">
        <v>7025</v>
      </c>
      <c r="C1299" t="s">
        <v>6456</v>
      </c>
      <c r="D1299" t="s">
        <v>1149</v>
      </c>
      <c r="E1299" t="s">
        <v>7026</v>
      </c>
      <c r="F1299" s="1">
        <v>44718</v>
      </c>
      <c r="G1299" t="s">
        <v>110</v>
      </c>
      <c r="H1299" s="24">
        <v>968</v>
      </c>
      <c r="I1299" t="str">
        <f>IF(H1299&lt;=0,"",LOOKUP(H1299,'Regras e Parâmetros'!$B$4:$B$7,'Regras e Parâmetros'!$A$4:$A$7))</f>
        <v>Bronze</v>
      </c>
      <c r="J1299" t="s">
        <v>9790</v>
      </c>
    </row>
    <row r="1300" spans="1:12" x14ac:dyDescent="0.3">
      <c r="A1300" t="s">
        <v>446</v>
      </c>
      <c r="B1300" s="5" t="s">
        <v>6697</v>
      </c>
      <c r="C1300" t="s">
        <v>6456</v>
      </c>
      <c r="D1300" t="s">
        <v>447</v>
      </c>
      <c r="E1300" t="s">
        <v>6698</v>
      </c>
      <c r="F1300" s="1">
        <v>44502</v>
      </c>
      <c r="G1300" t="s">
        <v>100</v>
      </c>
      <c r="H1300" s="24">
        <v>6182</v>
      </c>
      <c r="I1300" t="str">
        <f>IF(H1300&lt;=0,"",LOOKUP(H1300,'Regras e Parâmetros'!$B$4:$B$7,'Regras e Parâmetros'!$A$4:$A$7))</f>
        <v>Ouro</v>
      </c>
      <c r="J1300" t="s">
        <v>6747</v>
      </c>
    </row>
    <row r="1301" spans="1:12" x14ac:dyDescent="0.3">
      <c r="A1301" t="s">
        <v>7449</v>
      </c>
      <c r="B1301" s="5" t="s">
        <v>7450</v>
      </c>
      <c r="C1301" t="s">
        <v>6456</v>
      </c>
      <c r="D1301" t="s">
        <v>1783</v>
      </c>
      <c r="E1301" t="s">
        <v>7451</v>
      </c>
      <c r="F1301" s="1">
        <v>44964</v>
      </c>
      <c r="G1301" t="s">
        <v>45</v>
      </c>
      <c r="H1301" s="24">
        <v>4675</v>
      </c>
      <c r="I1301" t="str">
        <f>IF(H1301&lt;=0,"",LOOKUP(H1301,'Regras e Parâmetros'!$B$4:$B$7,'Regras e Parâmetros'!$A$4:$A$7))</f>
        <v>Prata</v>
      </c>
      <c r="J1301" t="s">
        <v>9790</v>
      </c>
    </row>
    <row r="1302" spans="1:12" x14ac:dyDescent="0.3">
      <c r="A1302" t="s">
        <v>573</v>
      </c>
      <c r="B1302" s="5" t="s">
        <v>6760</v>
      </c>
      <c r="C1302" t="s">
        <v>6456</v>
      </c>
      <c r="D1302" t="s">
        <v>574</v>
      </c>
      <c r="E1302" t="s">
        <v>6761</v>
      </c>
      <c r="F1302" s="1">
        <v>44545</v>
      </c>
      <c r="G1302" t="s">
        <v>51</v>
      </c>
      <c r="H1302" s="24">
        <v>15000</v>
      </c>
      <c r="I1302" t="str">
        <f>IF(H1302&lt;=0,"",LOOKUP(H1302,'Regras e Parâmetros'!$B$4:$B$7,'Regras e Parâmetros'!$A$4:$A$7))</f>
        <v>Vip</v>
      </c>
      <c r="J1302" t="s">
        <v>9790</v>
      </c>
    </row>
    <row r="1303" spans="1:12" x14ac:dyDescent="0.3">
      <c r="A1303" t="s">
        <v>7731</v>
      </c>
      <c r="B1303" s="5" t="s">
        <v>7732</v>
      </c>
      <c r="C1303" t="s">
        <v>6456</v>
      </c>
      <c r="D1303" t="s">
        <v>2267</v>
      </c>
      <c r="E1303" t="s">
        <v>2268</v>
      </c>
      <c r="F1303" s="1">
        <v>45128</v>
      </c>
      <c r="G1303" t="s">
        <v>22</v>
      </c>
      <c r="H1303" s="24">
        <v>2152</v>
      </c>
      <c r="I1303" t="str">
        <f>IF(H1303&lt;=0,"",LOOKUP(H1303,'Regras e Parâmetros'!$B$4:$B$7,'Regras e Parâmetros'!$A$4:$A$7))</f>
        <v>Prata</v>
      </c>
      <c r="J1303" t="s">
        <v>6747</v>
      </c>
    </row>
    <row r="1304" spans="1:12" x14ac:dyDescent="0.3">
      <c r="A1304" t="s">
        <v>6553</v>
      </c>
      <c r="B1304" s="5" t="s">
        <v>6554</v>
      </c>
      <c r="C1304" t="s">
        <v>6456</v>
      </c>
      <c r="D1304" t="s">
        <v>240</v>
      </c>
      <c r="E1304" t="s">
        <v>6555</v>
      </c>
      <c r="F1304" s="1">
        <v>44409</v>
      </c>
      <c r="G1304" t="s">
        <v>45</v>
      </c>
      <c r="H1304" s="24">
        <v>554</v>
      </c>
      <c r="I1304" t="str">
        <f>IF(H1304&lt;=0,"",LOOKUP(H1304,'Regras e Parâmetros'!$B$4:$B$7,'Regras e Parâmetros'!$A$4:$A$7))</f>
        <v>Bronze</v>
      </c>
      <c r="J1304" t="s">
        <v>9790</v>
      </c>
      <c r="K1304" t="s">
        <v>177</v>
      </c>
      <c r="L1304" t="s">
        <v>9791</v>
      </c>
    </row>
    <row r="1305" spans="1:12" x14ac:dyDescent="0.3">
      <c r="A1305" t="s">
        <v>2157</v>
      </c>
      <c r="B1305" s="5" t="s">
        <v>7671</v>
      </c>
      <c r="C1305" t="s">
        <v>6456</v>
      </c>
      <c r="D1305" t="s">
        <v>2158</v>
      </c>
      <c r="E1305" t="s">
        <v>2159</v>
      </c>
      <c r="F1305" s="1">
        <v>45099</v>
      </c>
      <c r="G1305" t="s">
        <v>110</v>
      </c>
      <c r="H1305" s="24">
        <v>9195</v>
      </c>
      <c r="I1305" t="str">
        <f>IF(H1305&lt;=0,"",LOOKUP(H1305,'Regras e Parâmetros'!$B$4:$B$7,'Regras e Parâmetros'!$A$4:$A$7))</f>
        <v>Ouro</v>
      </c>
      <c r="J1305" t="s">
        <v>9790</v>
      </c>
      <c r="K1305" t="s">
        <v>8</v>
      </c>
    </row>
    <row r="1306" spans="1:12" x14ac:dyDescent="0.3">
      <c r="A1306" t="s">
        <v>2509</v>
      </c>
      <c r="B1306" s="5" t="s">
        <v>7872</v>
      </c>
      <c r="C1306" t="s">
        <v>6456</v>
      </c>
      <c r="D1306" t="s">
        <v>2510</v>
      </c>
      <c r="E1306" t="s">
        <v>2511</v>
      </c>
      <c r="F1306" s="1">
        <v>45206</v>
      </c>
      <c r="G1306" t="s">
        <v>22</v>
      </c>
      <c r="H1306" s="24">
        <v>1200</v>
      </c>
      <c r="I1306" t="str">
        <f>IF(H1306&lt;=0,"",LOOKUP(H1306,'Regras e Parâmetros'!$B$4:$B$7,'Regras e Parâmetros'!$A$4:$A$7))</f>
        <v>Bronze</v>
      </c>
      <c r="J1306" t="s">
        <v>9790</v>
      </c>
    </row>
    <row r="1307" spans="1:12" x14ac:dyDescent="0.3">
      <c r="A1307" t="s">
        <v>9232</v>
      </c>
      <c r="B1307" s="5" t="s">
        <v>9233</v>
      </c>
      <c r="C1307" t="s">
        <v>6456</v>
      </c>
      <c r="D1307" t="s">
        <v>4986</v>
      </c>
      <c r="E1307" t="s">
        <v>9234</v>
      </c>
      <c r="F1307" s="1">
        <v>46008</v>
      </c>
      <c r="G1307" t="s">
        <v>45</v>
      </c>
      <c r="H1307" s="24">
        <v>0</v>
      </c>
      <c r="I1307" t="str">
        <f>IF(H1307&lt;=0,"",LOOKUP(H1307,'Regras e Parâmetros'!$B$4:$B$7,'Regras e Parâmetros'!$A$4:$A$7))</f>
        <v/>
      </c>
      <c r="J1307" t="s">
        <v>6747</v>
      </c>
      <c r="K1307" t="s">
        <v>8</v>
      </c>
      <c r="L1307" t="s">
        <v>9883</v>
      </c>
    </row>
    <row r="1308" spans="1:12" x14ac:dyDescent="0.3">
      <c r="A1308" t="s">
        <v>5002</v>
      </c>
      <c r="B1308" s="5" t="s">
        <v>9239</v>
      </c>
      <c r="C1308" t="s">
        <v>6456</v>
      </c>
      <c r="D1308" t="s">
        <v>5003</v>
      </c>
      <c r="E1308" t="s">
        <v>5004</v>
      </c>
      <c r="F1308" s="1">
        <v>46013</v>
      </c>
      <c r="G1308" t="s">
        <v>45</v>
      </c>
      <c r="H1308" s="24">
        <v>0</v>
      </c>
      <c r="I1308" t="str">
        <f>IF(H1308&lt;=0,"",LOOKUP(H1308,'Regras e Parâmetros'!$B$4:$B$7,'Regras e Parâmetros'!$A$4:$A$7))</f>
        <v/>
      </c>
      <c r="J1308" t="s">
        <v>6456</v>
      </c>
      <c r="K1308" t="s">
        <v>708</v>
      </c>
      <c r="L1308" t="s">
        <v>9883</v>
      </c>
    </row>
    <row r="1309" spans="1:12" x14ac:dyDescent="0.3">
      <c r="A1309" t="s">
        <v>4308</v>
      </c>
      <c r="B1309" s="5" t="s">
        <v>4309</v>
      </c>
      <c r="C1309" t="s">
        <v>6456</v>
      </c>
      <c r="D1309" t="s">
        <v>4310</v>
      </c>
      <c r="E1309" t="s">
        <v>8825</v>
      </c>
      <c r="F1309" s="1">
        <v>45809</v>
      </c>
      <c r="G1309" t="s">
        <v>51</v>
      </c>
      <c r="H1309" s="24">
        <v>0</v>
      </c>
      <c r="I1309" t="str">
        <f>IF(H1309&lt;=0,"",LOOKUP(H1309,'Regras e Parâmetros'!$B$4:$B$7,'Regras e Parâmetros'!$A$4:$A$7))</f>
        <v/>
      </c>
      <c r="J1309" t="s">
        <v>6747</v>
      </c>
      <c r="K1309" t="s">
        <v>8</v>
      </c>
      <c r="L1309" t="s">
        <v>9884</v>
      </c>
    </row>
    <row r="1310" spans="1:12" x14ac:dyDescent="0.3">
      <c r="A1310" t="s">
        <v>6842</v>
      </c>
      <c r="B1310" s="5" t="s">
        <v>6843</v>
      </c>
      <c r="C1310" t="s">
        <v>6456</v>
      </c>
      <c r="D1310" t="s">
        <v>758</v>
      </c>
      <c r="E1310" t="s">
        <v>759</v>
      </c>
      <c r="F1310" s="1">
        <v>44593</v>
      </c>
      <c r="G1310" t="s">
        <v>110</v>
      </c>
      <c r="H1310" s="24">
        <v>1107</v>
      </c>
      <c r="I1310" t="str">
        <f>IF(H1310&lt;=0,"",LOOKUP(H1310,'Regras e Parâmetros'!$B$4:$B$7,'Regras e Parâmetros'!$A$4:$A$7))</f>
        <v>Bronze</v>
      </c>
      <c r="J1310" t="s">
        <v>9790</v>
      </c>
      <c r="K1310" t="s">
        <v>8</v>
      </c>
      <c r="L1310" t="s">
        <v>9791</v>
      </c>
    </row>
    <row r="1311" spans="1:12" x14ac:dyDescent="0.3">
      <c r="A1311" t="s">
        <v>5924</v>
      </c>
      <c r="B1311" s="5" t="s">
        <v>5925</v>
      </c>
      <c r="C1311" t="s">
        <v>6456</v>
      </c>
      <c r="D1311" t="s">
        <v>5926</v>
      </c>
      <c r="E1311" t="s">
        <v>5927</v>
      </c>
      <c r="F1311" s="1">
        <v>46266</v>
      </c>
      <c r="G1311" t="s">
        <v>45</v>
      </c>
      <c r="H1311" s="24">
        <v>0</v>
      </c>
      <c r="I1311" t="str">
        <f>IF(H1311&lt;=0,"",LOOKUP(H1311,'Regras e Parâmetros'!$B$4:$B$7,'Regras e Parâmetros'!$A$4:$A$7))</f>
        <v/>
      </c>
      <c r="J1311" t="s">
        <v>9790</v>
      </c>
      <c r="L1311" t="s">
        <v>9891</v>
      </c>
    </row>
    <row r="1312" spans="1:12" x14ac:dyDescent="0.3">
      <c r="A1312" t="s">
        <v>471</v>
      </c>
      <c r="B1312" s="5" t="s">
        <v>6046</v>
      </c>
      <c r="C1312" t="s">
        <v>6456</v>
      </c>
      <c r="D1312" t="s">
        <v>472</v>
      </c>
      <c r="E1312" t="s">
        <v>473</v>
      </c>
      <c r="F1312" s="1">
        <v>44510</v>
      </c>
      <c r="G1312" t="s">
        <v>51</v>
      </c>
      <c r="H1312" s="24">
        <v>3621</v>
      </c>
      <c r="I1312" t="str">
        <f>IF(H1312&lt;=0,"",LOOKUP(H1312,'Regras e Parâmetros'!$B$4:$B$7,'Regras e Parâmetros'!$A$4:$A$7))</f>
        <v>Prata</v>
      </c>
      <c r="J1312" t="s">
        <v>6456</v>
      </c>
      <c r="K1312" t="s">
        <v>44</v>
      </c>
      <c r="L1312" t="s">
        <v>9792</v>
      </c>
    </row>
    <row r="1313" spans="1:12" x14ac:dyDescent="0.3">
      <c r="A1313" t="s">
        <v>5772</v>
      </c>
      <c r="B1313" s="5" t="s">
        <v>9681</v>
      </c>
      <c r="C1313" t="s">
        <v>6456</v>
      </c>
      <c r="D1313" t="s">
        <v>5773</v>
      </c>
      <c r="E1313" t="s">
        <v>5774</v>
      </c>
      <c r="F1313" s="1">
        <v>46235</v>
      </c>
      <c r="G1313" t="s">
        <v>45</v>
      </c>
      <c r="H1313" s="24">
        <v>0</v>
      </c>
      <c r="I1313" t="str">
        <f>IF(H1313&lt;=0,"",LOOKUP(H1313,'Regras e Parâmetros'!$B$4:$B$7,'Regras e Parâmetros'!$A$4:$A$7))</f>
        <v/>
      </c>
      <c r="J1313" t="s">
        <v>6456</v>
      </c>
      <c r="L1313" t="s">
        <v>9886</v>
      </c>
    </row>
    <row r="1314" spans="1:12" x14ac:dyDescent="0.3">
      <c r="A1314" t="s">
        <v>3043</v>
      </c>
      <c r="B1314" s="5" t="s">
        <v>6082</v>
      </c>
      <c r="C1314" t="s">
        <v>6456</v>
      </c>
      <c r="D1314" t="s">
        <v>3044</v>
      </c>
      <c r="E1314" t="s">
        <v>3045</v>
      </c>
      <c r="F1314" s="1">
        <v>45406</v>
      </c>
      <c r="G1314" t="s">
        <v>18</v>
      </c>
      <c r="H1314" s="24">
        <v>145</v>
      </c>
      <c r="I1314" t="str">
        <f>IF(H1314&lt;=0,"",LOOKUP(H1314,'Regras e Parâmetros'!$B$4:$B$7,'Regras e Parâmetros'!$A$4:$A$7))</f>
        <v>Bronze</v>
      </c>
      <c r="J1314" t="s">
        <v>9790</v>
      </c>
      <c r="K1314" t="s">
        <v>10056</v>
      </c>
    </row>
    <row r="1315" spans="1:12" x14ac:dyDescent="0.3">
      <c r="A1315" t="s">
        <v>6655</v>
      </c>
      <c r="B1315" s="5" t="s">
        <v>6656</v>
      </c>
      <c r="C1315" t="s">
        <v>6456</v>
      </c>
      <c r="D1315" t="s">
        <v>380</v>
      </c>
      <c r="E1315" t="s">
        <v>6657</v>
      </c>
      <c r="F1315" s="1">
        <v>44476</v>
      </c>
      <c r="G1315" t="s">
        <v>45</v>
      </c>
      <c r="H1315" s="24">
        <v>2372</v>
      </c>
      <c r="I1315" t="str">
        <f>IF(H1315&lt;=0,"",LOOKUP(H1315,'Regras e Parâmetros'!$B$4:$B$7,'Regras e Parâmetros'!$A$4:$A$7))</f>
        <v>Prata</v>
      </c>
      <c r="J1315" t="s">
        <v>9790</v>
      </c>
      <c r="K1315" t="s">
        <v>72</v>
      </c>
    </row>
    <row r="1316" spans="1:12" x14ac:dyDescent="0.3">
      <c r="A1316" t="s">
        <v>9139</v>
      </c>
      <c r="B1316" s="5" t="s">
        <v>9140</v>
      </c>
      <c r="C1316" t="s">
        <v>6456</v>
      </c>
      <c r="D1316" t="s">
        <v>4841</v>
      </c>
      <c r="E1316" t="s">
        <v>9141</v>
      </c>
      <c r="F1316" s="1">
        <v>45962</v>
      </c>
      <c r="G1316" t="s">
        <v>100</v>
      </c>
      <c r="H1316" s="24">
        <v>0</v>
      </c>
      <c r="I1316" t="str">
        <f>IF(H1316&lt;=0,"",LOOKUP(H1316,'Regras e Parâmetros'!$B$4:$B$7,'Regras e Parâmetros'!$A$4:$A$7))</f>
        <v/>
      </c>
      <c r="J1316" t="s">
        <v>9790</v>
      </c>
      <c r="K1316" t="s">
        <v>33</v>
      </c>
      <c r="L1316" t="s">
        <v>9883</v>
      </c>
    </row>
    <row r="1317" spans="1:12" x14ac:dyDescent="0.3">
      <c r="A1317" t="s">
        <v>1800</v>
      </c>
      <c r="B1317" s="5" t="s">
        <v>7464</v>
      </c>
      <c r="C1317" t="s">
        <v>6456</v>
      </c>
      <c r="D1317" t="s">
        <v>1801</v>
      </c>
      <c r="E1317" t="s">
        <v>1802</v>
      </c>
      <c r="F1317" s="1">
        <v>44973</v>
      </c>
      <c r="G1317" t="s">
        <v>51</v>
      </c>
      <c r="H1317" s="24">
        <v>808</v>
      </c>
      <c r="I1317" t="str">
        <f>IF(H1317&lt;=0,"",LOOKUP(H1317,'Regras e Parâmetros'!$B$4:$B$7,'Regras e Parâmetros'!$A$4:$A$7))</f>
        <v>Bronze</v>
      </c>
      <c r="J1317" t="s">
        <v>9790</v>
      </c>
      <c r="K1317" t="s">
        <v>33</v>
      </c>
    </row>
    <row r="1318" spans="1:12" x14ac:dyDescent="0.3">
      <c r="A1318" t="s">
        <v>5059</v>
      </c>
      <c r="B1318" s="5" t="s">
        <v>9279</v>
      </c>
      <c r="C1318" t="s">
        <v>6456</v>
      </c>
      <c r="D1318" t="s">
        <v>5060</v>
      </c>
      <c r="E1318" t="s">
        <v>9280</v>
      </c>
      <c r="F1318" s="1">
        <v>46033</v>
      </c>
      <c r="G1318" t="s">
        <v>100</v>
      </c>
      <c r="H1318" s="24">
        <v>0</v>
      </c>
      <c r="I1318" t="str">
        <f>IF(H1318&lt;=0,"",LOOKUP(H1318,'Regras e Parâmetros'!$B$4:$B$7,'Regras e Parâmetros'!$A$4:$A$7))</f>
        <v/>
      </c>
      <c r="J1318" t="s">
        <v>9790</v>
      </c>
      <c r="K1318" t="s">
        <v>177</v>
      </c>
      <c r="L1318" t="s">
        <v>9883</v>
      </c>
    </row>
    <row r="1319" spans="1:12" x14ac:dyDescent="0.3">
      <c r="A1319" t="s">
        <v>2428</v>
      </c>
      <c r="B1319" s="5" t="s">
        <v>7825</v>
      </c>
      <c r="C1319" t="s">
        <v>6456</v>
      </c>
      <c r="D1319" t="s">
        <v>2429</v>
      </c>
      <c r="E1319" t="s">
        <v>2430</v>
      </c>
      <c r="F1319" s="1">
        <v>45175</v>
      </c>
      <c r="G1319" t="s">
        <v>100</v>
      </c>
      <c r="H1319" s="24">
        <v>4016</v>
      </c>
      <c r="I1319" t="str">
        <f>IF(H1319&lt;=0,"",LOOKUP(H1319,'Regras e Parâmetros'!$B$4:$B$7,'Regras e Parâmetros'!$A$4:$A$7))</f>
        <v>Prata</v>
      </c>
      <c r="J1319" t="s">
        <v>6456</v>
      </c>
      <c r="K1319" t="s">
        <v>72</v>
      </c>
    </row>
    <row r="1320" spans="1:12" x14ac:dyDescent="0.3">
      <c r="A1320" t="s">
        <v>7506</v>
      </c>
      <c r="B1320" s="5" t="s">
        <v>1862</v>
      </c>
      <c r="C1320" t="s">
        <v>6456</v>
      </c>
      <c r="D1320" t="s">
        <v>1863</v>
      </c>
      <c r="E1320" t="s">
        <v>1864</v>
      </c>
      <c r="F1320" s="1">
        <v>44995</v>
      </c>
      <c r="G1320" t="s">
        <v>22</v>
      </c>
      <c r="H1320" s="24">
        <v>1014</v>
      </c>
      <c r="I1320" t="str">
        <f>IF(H1320&lt;=0,"",LOOKUP(H1320,'Regras e Parâmetros'!$B$4:$B$7,'Regras e Parâmetros'!$A$4:$A$7))</f>
        <v>Bronze</v>
      </c>
      <c r="J1320" t="s">
        <v>6747</v>
      </c>
      <c r="L1320" t="s">
        <v>9792</v>
      </c>
    </row>
    <row r="1321" spans="1:12" x14ac:dyDescent="0.3">
      <c r="A1321" t="s">
        <v>9323</v>
      </c>
      <c r="B1321" s="5" t="s">
        <v>9324</v>
      </c>
      <c r="C1321" t="s">
        <v>6456</v>
      </c>
      <c r="D1321" t="s">
        <v>5213</v>
      </c>
      <c r="E1321" t="s">
        <v>9325</v>
      </c>
      <c r="F1321" s="1">
        <v>46054</v>
      </c>
      <c r="G1321" t="s">
        <v>22</v>
      </c>
      <c r="H1321" s="24">
        <v>0</v>
      </c>
      <c r="I1321" t="str">
        <f>IF(H1321&lt;=0,"",LOOKUP(H1321,'Regras e Parâmetros'!$B$4:$B$7,'Regras e Parâmetros'!$A$4:$A$7))</f>
        <v/>
      </c>
      <c r="J1321" t="s">
        <v>6747</v>
      </c>
      <c r="L1321" t="s">
        <v>9884</v>
      </c>
    </row>
    <row r="1322" spans="1:12" x14ac:dyDescent="0.3">
      <c r="A1322" t="s">
        <v>5172</v>
      </c>
      <c r="B1322" s="5" t="s">
        <v>9342</v>
      </c>
      <c r="C1322" t="s">
        <v>6456</v>
      </c>
      <c r="D1322" t="s">
        <v>5173</v>
      </c>
      <c r="E1322" t="s">
        <v>9343</v>
      </c>
      <c r="F1322" s="1">
        <v>46063</v>
      </c>
      <c r="G1322" t="s">
        <v>110</v>
      </c>
      <c r="H1322" s="24">
        <v>0</v>
      </c>
      <c r="I1322" t="str">
        <f>IF(H1322&lt;=0,"",LOOKUP(H1322,'Regras e Parâmetros'!$B$4:$B$7,'Regras e Parâmetros'!$A$4:$A$7))</f>
        <v/>
      </c>
      <c r="J1322" t="s">
        <v>6747</v>
      </c>
      <c r="L1322" t="s">
        <v>9883</v>
      </c>
    </row>
    <row r="1323" spans="1:12" x14ac:dyDescent="0.3">
      <c r="A1323" t="s">
        <v>1659</v>
      </c>
      <c r="B1323" s="5" t="s">
        <v>1660</v>
      </c>
      <c r="C1323" t="s">
        <v>6456</v>
      </c>
      <c r="D1323" t="s">
        <v>1661</v>
      </c>
      <c r="E1323" t="s">
        <v>7388</v>
      </c>
      <c r="F1323" s="1">
        <v>44928</v>
      </c>
      <c r="G1323" t="s">
        <v>45</v>
      </c>
      <c r="H1323" s="24">
        <v>194</v>
      </c>
      <c r="I1323" t="str">
        <f>IF(H1323&lt;=0,"",LOOKUP(H1323,'Regras e Parâmetros'!$B$4:$B$7,'Regras e Parâmetros'!$A$4:$A$7))</f>
        <v>Bronze</v>
      </c>
      <c r="J1323" t="s">
        <v>6456</v>
      </c>
    </row>
    <row r="1324" spans="1:12" x14ac:dyDescent="0.3">
      <c r="A1324" t="s">
        <v>1659</v>
      </c>
      <c r="B1324" s="5" t="s">
        <v>8557</v>
      </c>
      <c r="C1324" t="s">
        <v>6456</v>
      </c>
      <c r="D1324" t="s">
        <v>3833</v>
      </c>
      <c r="E1324" t="s">
        <v>3834</v>
      </c>
      <c r="F1324" s="1">
        <v>45672</v>
      </c>
      <c r="G1324" t="s">
        <v>100</v>
      </c>
      <c r="H1324" s="24">
        <v>0</v>
      </c>
      <c r="I1324" t="str">
        <f>IF(H1324&lt;=0,"",LOOKUP(H1324,'Regras e Parâmetros'!$B$4:$B$7,'Regras e Parâmetros'!$A$4:$A$7))</f>
        <v/>
      </c>
      <c r="J1324" t="s">
        <v>6747</v>
      </c>
      <c r="K1324" t="s">
        <v>708</v>
      </c>
      <c r="L1324" t="s">
        <v>9883</v>
      </c>
    </row>
    <row r="1325" spans="1:12" x14ac:dyDescent="0.3">
      <c r="A1325" t="s">
        <v>2937</v>
      </c>
      <c r="B1325" s="5" t="s">
        <v>2938</v>
      </c>
      <c r="C1325" t="s">
        <v>6456</v>
      </c>
      <c r="D1325" t="s">
        <v>4372</v>
      </c>
      <c r="E1325" t="s">
        <v>8089</v>
      </c>
      <c r="F1325" s="1">
        <v>45374</v>
      </c>
      <c r="G1325" t="s">
        <v>22</v>
      </c>
      <c r="H1325" s="24">
        <v>382</v>
      </c>
      <c r="I1325" t="str">
        <f>IF(H1325&lt;=0,"",LOOKUP(H1325,'Regras e Parâmetros'!$B$4:$B$7,'Regras e Parâmetros'!$A$4:$A$7))</f>
        <v>Bronze</v>
      </c>
      <c r="J1325" t="s">
        <v>9790</v>
      </c>
      <c r="K1325" t="s">
        <v>9857</v>
      </c>
      <c r="L1325" t="s">
        <v>9839</v>
      </c>
    </row>
    <row r="1326" spans="1:12" x14ac:dyDescent="0.3">
      <c r="A1326" t="s">
        <v>5917</v>
      </c>
      <c r="B1326" s="5" t="s">
        <v>9767</v>
      </c>
      <c r="C1326" t="s">
        <v>6456</v>
      </c>
      <c r="D1326" t="s">
        <v>5918</v>
      </c>
      <c r="E1326" t="s">
        <v>5919</v>
      </c>
      <c r="F1326" s="1">
        <v>46271</v>
      </c>
      <c r="G1326" t="s">
        <v>100</v>
      </c>
      <c r="H1326" s="24">
        <v>0</v>
      </c>
      <c r="I1326" t="str">
        <f>IF(H1326&lt;=0,"",LOOKUP(H1326,'Regras e Parâmetros'!$B$4:$B$7,'Regras e Parâmetros'!$A$4:$A$7))</f>
        <v/>
      </c>
      <c r="J1326" t="s">
        <v>9790</v>
      </c>
      <c r="K1326" t="s">
        <v>8</v>
      </c>
      <c r="L1326" t="s">
        <v>9883</v>
      </c>
    </row>
    <row r="1327" spans="1:12" x14ac:dyDescent="0.3">
      <c r="A1327" t="s">
        <v>5656</v>
      </c>
      <c r="B1327" s="5" t="s">
        <v>9616</v>
      </c>
      <c r="C1327" t="s">
        <v>6456</v>
      </c>
      <c r="E1327" t="s">
        <v>9617</v>
      </c>
      <c r="F1327" s="1">
        <v>46205</v>
      </c>
      <c r="G1327" t="s">
        <v>18</v>
      </c>
      <c r="H1327" s="24">
        <v>0</v>
      </c>
      <c r="I1327" t="str">
        <f>IF(H1327&lt;=0,"",LOOKUP(H1327,'Regras e Parâmetros'!$B$4:$B$7,'Regras e Parâmetros'!$A$4:$A$7))</f>
        <v/>
      </c>
      <c r="J1327" t="s">
        <v>6747</v>
      </c>
      <c r="L1327" t="s">
        <v>9933</v>
      </c>
    </row>
    <row r="1328" spans="1:12" x14ac:dyDescent="0.3">
      <c r="A1328" t="s">
        <v>677</v>
      </c>
      <c r="B1328" s="5" t="s">
        <v>678</v>
      </c>
      <c r="C1328" t="s">
        <v>6456</v>
      </c>
      <c r="D1328" t="s">
        <v>679</v>
      </c>
      <c r="E1328" t="s">
        <v>680</v>
      </c>
      <c r="F1328" s="1">
        <v>44583</v>
      </c>
      <c r="G1328" t="s">
        <v>45</v>
      </c>
      <c r="H1328" s="24">
        <v>447</v>
      </c>
      <c r="I1328" t="str">
        <f>IF(H1328&lt;=0,"",LOOKUP(H1328,'Regras e Parâmetros'!$B$4:$B$7,'Regras e Parâmetros'!$A$4:$A$7))</f>
        <v>Bronze</v>
      </c>
      <c r="J1328" t="s">
        <v>6456</v>
      </c>
    </row>
    <row r="1329" spans="1:12" x14ac:dyDescent="0.3">
      <c r="A1329" t="s">
        <v>2968</v>
      </c>
      <c r="B1329" s="5" t="s">
        <v>8100</v>
      </c>
      <c r="C1329" t="s">
        <v>6456</v>
      </c>
      <c r="D1329" t="s">
        <v>2969</v>
      </c>
      <c r="E1329" t="s">
        <v>2970</v>
      </c>
      <c r="F1329" s="1">
        <v>45382</v>
      </c>
      <c r="G1329" t="s">
        <v>45</v>
      </c>
      <c r="H1329" s="24">
        <v>414</v>
      </c>
      <c r="I1329" t="str">
        <f>IF(H1329&lt;=0,"",LOOKUP(H1329,'Regras e Parâmetros'!$B$4:$B$7,'Regras e Parâmetros'!$A$4:$A$7))</f>
        <v>Bronze</v>
      </c>
      <c r="J1329" t="s">
        <v>6456</v>
      </c>
    </row>
    <row r="1330" spans="1:12" x14ac:dyDescent="0.3">
      <c r="A1330" t="s">
        <v>7383</v>
      </c>
      <c r="B1330" s="5" t="s">
        <v>7384</v>
      </c>
      <c r="C1330" t="s">
        <v>6456</v>
      </c>
      <c r="D1330" t="s">
        <v>1655</v>
      </c>
      <c r="E1330" t="s">
        <v>7385</v>
      </c>
      <c r="F1330" s="1">
        <v>44927</v>
      </c>
      <c r="G1330" t="s">
        <v>22</v>
      </c>
      <c r="H1330" s="24">
        <v>1520</v>
      </c>
      <c r="I1330" t="str">
        <f>IF(H1330&lt;=0,"",LOOKUP(H1330,'Regras e Parâmetros'!$B$4:$B$7,'Regras e Parâmetros'!$A$4:$A$7))</f>
        <v>Prata</v>
      </c>
      <c r="J1330" t="s">
        <v>9790</v>
      </c>
    </row>
    <row r="1331" spans="1:12" x14ac:dyDescent="0.3">
      <c r="A1331" t="s">
        <v>5070</v>
      </c>
      <c r="B1331" s="5" t="s">
        <v>5071</v>
      </c>
      <c r="C1331" t="s">
        <v>6456</v>
      </c>
      <c r="D1331" t="s">
        <v>5072</v>
      </c>
      <c r="E1331" t="s">
        <v>5073</v>
      </c>
      <c r="F1331" s="1">
        <v>46038</v>
      </c>
      <c r="G1331" t="s">
        <v>100</v>
      </c>
      <c r="H1331" s="24">
        <v>0</v>
      </c>
      <c r="I1331" t="str">
        <f>IF(H1331&lt;=0,"",LOOKUP(H1331,'Regras e Parâmetros'!$B$4:$B$7,'Regras e Parâmetros'!$A$4:$A$7))</f>
        <v/>
      </c>
      <c r="J1331" t="s">
        <v>6747</v>
      </c>
      <c r="L1331" t="s">
        <v>9886</v>
      </c>
    </row>
    <row r="1332" spans="1:12" x14ac:dyDescent="0.3">
      <c r="A1332" t="s">
        <v>6140</v>
      </c>
      <c r="B1332" s="5" t="s">
        <v>6957</v>
      </c>
      <c r="C1332" t="s">
        <v>6456</v>
      </c>
      <c r="D1332" t="s">
        <v>2791</v>
      </c>
      <c r="E1332" t="s">
        <v>2792</v>
      </c>
      <c r="F1332" s="1">
        <v>44666</v>
      </c>
      <c r="G1332" t="s">
        <v>51</v>
      </c>
      <c r="H1332" s="24">
        <v>0</v>
      </c>
      <c r="I1332" t="str">
        <f>IF(H1332&lt;=0,"",LOOKUP(H1332,'Regras e Parâmetros'!$B$4:$B$7,'Regras e Parâmetros'!$A$4:$A$7))</f>
        <v/>
      </c>
      <c r="J1332" t="s">
        <v>6456</v>
      </c>
      <c r="K1332" t="s">
        <v>9813</v>
      </c>
    </row>
    <row r="1333" spans="1:12" x14ac:dyDescent="0.3">
      <c r="A1333" t="s">
        <v>8609</v>
      </c>
      <c r="B1333" s="5" t="s">
        <v>8610</v>
      </c>
      <c r="C1333" t="s">
        <v>6456</v>
      </c>
      <c r="D1333" t="s">
        <v>3899</v>
      </c>
      <c r="E1333" t="s">
        <v>3900</v>
      </c>
      <c r="F1333" s="1">
        <v>45691</v>
      </c>
      <c r="G1333" t="s">
        <v>51</v>
      </c>
      <c r="H1333" s="24">
        <v>0</v>
      </c>
      <c r="I1333" t="str">
        <f>IF(H1333&lt;=0,"",LOOKUP(H1333,'Regras e Parâmetros'!$B$4:$B$7,'Regras e Parâmetros'!$A$4:$A$7))</f>
        <v/>
      </c>
      <c r="J1333" t="s">
        <v>6747</v>
      </c>
      <c r="L1333" t="s">
        <v>9886</v>
      </c>
    </row>
    <row r="1334" spans="1:12" x14ac:dyDescent="0.3">
      <c r="A1334" t="s">
        <v>1165</v>
      </c>
      <c r="B1334" s="5" t="s">
        <v>7159</v>
      </c>
      <c r="C1334" t="s">
        <v>6456</v>
      </c>
      <c r="D1334" t="s">
        <v>1166</v>
      </c>
      <c r="E1334" t="s">
        <v>1167</v>
      </c>
      <c r="F1334" s="1">
        <v>44817</v>
      </c>
      <c r="G1334" t="s">
        <v>18</v>
      </c>
      <c r="H1334" s="24">
        <v>658</v>
      </c>
      <c r="I1334" t="str">
        <f>IF(H1334&lt;=0,"",LOOKUP(H1334,'Regras e Parâmetros'!$B$4:$B$7,'Regras e Parâmetros'!$A$4:$A$7))</f>
        <v>Bronze</v>
      </c>
      <c r="J1334" t="s">
        <v>6456</v>
      </c>
    </row>
    <row r="1335" spans="1:12" x14ac:dyDescent="0.3">
      <c r="A1335" t="s">
        <v>427</v>
      </c>
      <c r="B1335" s="5" t="s">
        <v>428</v>
      </c>
      <c r="C1335" t="s">
        <v>6456</v>
      </c>
      <c r="D1335" t="s">
        <v>429</v>
      </c>
      <c r="E1335" t="s">
        <v>6686</v>
      </c>
      <c r="F1335" s="1">
        <v>44495</v>
      </c>
      <c r="G1335" t="s">
        <v>18</v>
      </c>
      <c r="H1335" s="24">
        <v>6769</v>
      </c>
      <c r="I1335" t="str">
        <f>IF(H1335&lt;=0,"",LOOKUP(H1335,'Regras e Parâmetros'!$B$4:$B$7,'Regras e Parâmetros'!$A$4:$A$7))</f>
        <v>Ouro</v>
      </c>
      <c r="J1335" t="s">
        <v>6747</v>
      </c>
    </row>
    <row r="1336" spans="1:12" x14ac:dyDescent="0.3">
      <c r="A1336" t="s">
        <v>829</v>
      </c>
      <c r="B1336" s="5" t="s">
        <v>6913</v>
      </c>
      <c r="C1336" t="s">
        <v>6456</v>
      </c>
      <c r="D1336" t="s">
        <v>830</v>
      </c>
      <c r="E1336" t="s">
        <v>6914</v>
      </c>
      <c r="F1336" s="1">
        <v>44642</v>
      </c>
      <c r="G1336" t="s">
        <v>18</v>
      </c>
      <c r="H1336" s="24">
        <v>1666</v>
      </c>
      <c r="I1336" t="str">
        <f>IF(H1336&lt;=0,"",LOOKUP(H1336,'Regras e Parâmetros'!$B$4:$B$7,'Regras e Parâmetros'!$A$4:$A$7))</f>
        <v>Prata</v>
      </c>
      <c r="J1336" t="s">
        <v>9790</v>
      </c>
      <c r="K1336" t="s">
        <v>44</v>
      </c>
    </row>
    <row r="1337" spans="1:12" x14ac:dyDescent="0.3">
      <c r="A1337" t="s">
        <v>4921</v>
      </c>
      <c r="B1337" s="5" t="s">
        <v>9195</v>
      </c>
      <c r="C1337" t="s">
        <v>6456</v>
      </c>
      <c r="D1337" t="s">
        <v>4922</v>
      </c>
      <c r="E1337" t="s">
        <v>9196</v>
      </c>
      <c r="F1337" s="1">
        <v>45987</v>
      </c>
      <c r="G1337" t="s">
        <v>51</v>
      </c>
      <c r="H1337" s="24">
        <v>0</v>
      </c>
      <c r="I1337" t="str">
        <f>IF(H1337&lt;=0,"",LOOKUP(H1337,'Regras e Parâmetros'!$B$4:$B$7,'Regras e Parâmetros'!$A$4:$A$7))</f>
        <v/>
      </c>
      <c r="J1337" t="s">
        <v>9790</v>
      </c>
      <c r="K1337" t="s">
        <v>72</v>
      </c>
      <c r="L1337" t="s">
        <v>9883</v>
      </c>
    </row>
    <row r="1338" spans="1:12" x14ac:dyDescent="0.3">
      <c r="A1338" t="s">
        <v>815</v>
      </c>
      <c r="B1338" s="5" t="s">
        <v>816</v>
      </c>
      <c r="C1338" t="s">
        <v>6456</v>
      </c>
      <c r="D1338" t="s">
        <v>817</v>
      </c>
      <c r="E1338" t="s">
        <v>6889</v>
      </c>
      <c r="F1338" s="1">
        <v>44621</v>
      </c>
      <c r="G1338" t="s">
        <v>22</v>
      </c>
      <c r="H1338" s="24">
        <v>330</v>
      </c>
      <c r="I1338" t="str">
        <f>IF(H1338&lt;=0,"",LOOKUP(H1338,'Regras e Parâmetros'!$B$4:$B$7,'Regras e Parâmetros'!$A$4:$A$7))</f>
        <v>Bronze</v>
      </c>
      <c r="J1338" t="s">
        <v>6456</v>
      </c>
      <c r="L1338" t="s">
        <v>9791</v>
      </c>
    </row>
    <row r="1339" spans="1:12" x14ac:dyDescent="0.3">
      <c r="A1339" t="s">
        <v>3001</v>
      </c>
      <c r="B1339" s="5" t="s">
        <v>3002</v>
      </c>
      <c r="C1339" t="s">
        <v>6456</v>
      </c>
      <c r="D1339" t="s">
        <v>3003</v>
      </c>
      <c r="E1339" t="s">
        <v>3004</v>
      </c>
      <c r="F1339" s="1">
        <v>45389</v>
      </c>
      <c r="G1339" t="s">
        <v>22</v>
      </c>
      <c r="H1339" s="24">
        <v>415</v>
      </c>
      <c r="I1339" t="str">
        <f>IF(H1339&lt;=0,"",LOOKUP(H1339,'Regras e Parâmetros'!$B$4:$B$7,'Regras e Parâmetros'!$A$4:$A$7))</f>
        <v>Bronze</v>
      </c>
      <c r="J1339" t="s">
        <v>9790</v>
      </c>
    </row>
    <row r="1340" spans="1:12" x14ac:dyDescent="0.3">
      <c r="A1340" t="s">
        <v>3939</v>
      </c>
      <c r="B1340" s="5" t="s">
        <v>8634</v>
      </c>
      <c r="C1340" t="s">
        <v>6456</v>
      </c>
      <c r="D1340" t="s">
        <v>3940</v>
      </c>
      <c r="E1340" t="s">
        <v>8635</v>
      </c>
      <c r="F1340" s="1">
        <v>45700</v>
      </c>
      <c r="G1340" t="s">
        <v>51</v>
      </c>
      <c r="H1340" s="24">
        <v>0</v>
      </c>
      <c r="I1340" t="str">
        <f>IF(H1340&lt;=0,"",LOOKUP(H1340,'Regras e Parâmetros'!$B$4:$B$7,'Regras e Parâmetros'!$A$4:$A$7))</f>
        <v/>
      </c>
      <c r="J1340" t="s">
        <v>6456</v>
      </c>
      <c r="L1340" t="s">
        <v>9883</v>
      </c>
    </row>
    <row r="1341" spans="1:12" x14ac:dyDescent="0.3">
      <c r="A1341" t="s">
        <v>4868</v>
      </c>
      <c r="B1341" s="5" t="s">
        <v>4869</v>
      </c>
      <c r="C1341" t="s">
        <v>6456</v>
      </c>
      <c r="D1341" t="s">
        <v>4870</v>
      </c>
      <c r="E1341" t="s">
        <v>9165</v>
      </c>
      <c r="F1341" s="1">
        <v>45971</v>
      </c>
      <c r="G1341" t="s">
        <v>22</v>
      </c>
      <c r="H1341" s="24">
        <v>0</v>
      </c>
      <c r="I1341" t="str">
        <f>IF(H1341&lt;=0,"",LOOKUP(H1341,'Regras e Parâmetros'!$B$4:$B$7,'Regras e Parâmetros'!$A$4:$A$7))</f>
        <v/>
      </c>
      <c r="J1341" t="s">
        <v>6456</v>
      </c>
      <c r="L1341" t="s">
        <v>9883</v>
      </c>
    </row>
    <row r="1342" spans="1:12" x14ac:dyDescent="0.3">
      <c r="A1342" t="s">
        <v>2370</v>
      </c>
      <c r="B1342" s="5" t="s">
        <v>7788</v>
      </c>
      <c r="C1342" t="s">
        <v>6456</v>
      </c>
      <c r="D1342" t="s">
        <v>2371</v>
      </c>
      <c r="E1342" t="s">
        <v>2372</v>
      </c>
      <c r="F1342" s="1">
        <v>45155</v>
      </c>
      <c r="G1342" t="s">
        <v>18</v>
      </c>
      <c r="H1342" s="24">
        <v>1010</v>
      </c>
      <c r="I1342" t="str">
        <f>IF(H1342&lt;=0,"",LOOKUP(H1342,'Regras e Parâmetros'!$B$4:$B$7,'Regras e Parâmetros'!$A$4:$A$7))</f>
        <v>Bronze</v>
      </c>
      <c r="J1342" t="s">
        <v>6456</v>
      </c>
      <c r="L1342" t="s">
        <v>9792</v>
      </c>
    </row>
    <row r="1343" spans="1:12" x14ac:dyDescent="0.3">
      <c r="A1343" t="s">
        <v>4339</v>
      </c>
      <c r="B1343" s="5" t="s">
        <v>8851</v>
      </c>
      <c r="C1343" t="s">
        <v>6456</v>
      </c>
      <c r="D1343" t="s">
        <v>4340</v>
      </c>
      <c r="E1343" t="s">
        <v>4341</v>
      </c>
      <c r="F1343" s="1">
        <v>45819</v>
      </c>
      <c r="G1343" t="s">
        <v>18</v>
      </c>
      <c r="H1343" s="24">
        <v>0</v>
      </c>
      <c r="I1343" t="str">
        <f>IF(H1343&lt;=0,"",LOOKUP(H1343,'Regras e Parâmetros'!$B$4:$B$7,'Regras e Parâmetros'!$A$4:$A$7))</f>
        <v/>
      </c>
      <c r="J1343" t="s">
        <v>6456</v>
      </c>
      <c r="L1343" t="s">
        <v>9886</v>
      </c>
    </row>
    <row r="1344" spans="1:12" x14ac:dyDescent="0.3">
      <c r="A1344" t="s">
        <v>1437</v>
      </c>
      <c r="B1344" s="5" t="s">
        <v>7256</v>
      </c>
      <c r="C1344" t="s">
        <v>6456</v>
      </c>
      <c r="D1344" t="s">
        <v>1438</v>
      </c>
      <c r="E1344" t="s">
        <v>1439</v>
      </c>
      <c r="F1344" s="1">
        <v>44866</v>
      </c>
      <c r="G1344" t="s">
        <v>18</v>
      </c>
      <c r="H1344" s="24">
        <v>766</v>
      </c>
      <c r="I1344" t="str">
        <f>IF(H1344&lt;=0,"",LOOKUP(H1344,'Regras e Parâmetros'!$B$4:$B$7,'Regras e Parâmetros'!$A$4:$A$7))</f>
        <v>Bronze</v>
      </c>
      <c r="J1344" t="s">
        <v>9790</v>
      </c>
    </row>
    <row r="1345" spans="1:12" x14ac:dyDescent="0.3">
      <c r="A1345" t="s">
        <v>4191</v>
      </c>
      <c r="B1345" s="5" t="s">
        <v>8773</v>
      </c>
      <c r="C1345" t="s">
        <v>6456</v>
      </c>
      <c r="D1345" t="s">
        <v>4192</v>
      </c>
      <c r="E1345" t="s">
        <v>8774</v>
      </c>
      <c r="F1345" s="1">
        <v>45772</v>
      </c>
      <c r="G1345" t="s">
        <v>100</v>
      </c>
      <c r="H1345" s="24">
        <v>0</v>
      </c>
      <c r="I1345" t="str">
        <f>IF(H1345&lt;=0,"",LOOKUP(H1345,'Regras e Parâmetros'!$B$4:$B$7,'Regras e Parâmetros'!$A$4:$A$7))</f>
        <v/>
      </c>
      <c r="J1345" t="s">
        <v>9790</v>
      </c>
      <c r="L1345" t="s">
        <v>9883</v>
      </c>
    </row>
    <row r="1346" spans="1:12" x14ac:dyDescent="0.3">
      <c r="A1346" t="s">
        <v>5920</v>
      </c>
      <c r="B1346" s="5" t="s">
        <v>5921</v>
      </c>
      <c r="C1346" t="s">
        <v>6456</v>
      </c>
      <c r="D1346" t="s">
        <v>5922</v>
      </c>
      <c r="E1346" t="s">
        <v>5923</v>
      </c>
      <c r="F1346" s="1">
        <v>46271</v>
      </c>
      <c r="G1346" t="s">
        <v>100</v>
      </c>
      <c r="H1346" s="24">
        <v>0</v>
      </c>
      <c r="I1346" t="str">
        <f>IF(H1346&lt;=0,"",LOOKUP(H1346,'Regras e Parâmetros'!$B$4:$B$7,'Regras e Parâmetros'!$A$4:$A$7))</f>
        <v/>
      </c>
      <c r="J1346" t="s">
        <v>6747</v>
      </c>
      <c r="L1346" t="s">
        <v>9883</v>
      </c>
    </row>
    <row r="1347" spans="1:12" x14ac:dyDescent="0.3">
      <c r="A1347" t="s">
        <v>9348</v>
      </c>
      <c r="B1347" s="5" t="s">
        <v>9349</v>
      </c>
      <c r="C1347" t="s">
        <v>6456</v>
      </c>
      <c r="D1347" t="s">
        <v>5182</v>
      </c>
      <c r="E1347" t="s">
        <v>9350</v>
      </c>
      <c r="F1347" s="1">
        <v>46066</v>
      </c>
      <c r="G1347" t="s">
        <v>45</v>
      </c>
      <c r="H1347" s="24">
        <v>0</v>
      </c>
      <c r="I1347" t="str">
        <f>IF(H1347&lt;=0,"",LOOKUP(H1347,'Regras e Parâmetros'!$B$4:$B$7,'Regras e Parâmetros'!$A$4:$A$7))</f>
        <v/>
      </c>
      <c r="J1347" t="s">
        <v>6747</v>
      </c>
      <c r="K1347" t="s">
        <v>72</v>
      </c>
      <c r="L1347" t="s">
        <v>9883</v>
      </c>
    </row>
    <row r="1348" spans="1:12" x14ac:dyDescent="0.3">
      <c r="A1348" t="s">
        <v>3751</v>
      </c>
      <c r="B1348" s="5" t="s">
        <v>3752</v>
      </c>
      <c r="C1348" t="s">
        <v>6456</v>
      </c>
      <c r="D1348" t="s">
        <v>3753</v>
      </c>
      <c r="E1348" t="s">
        <v>8493</v>
      </c>
      <c r="F1348" s="1">
        <v>45642</v>
      </c>
      <c r="G1348" t="s">
        <v>22</v>
      </c>
      <c r="H1348" s="24">
        <v>333</v>
      </c>
      <c r="I1348" t="str">
        <f>IF(H1348&lt;=0,"",LOOKUP(H1348,'Regras e Parâmetros'!$B$4:$B$7,'Regras e Parâmetros'!$A$4:$A$7))</f>
        <v>Bronze</v>
      </c>
      <c r="J1348" t="s">
        <v>9790</v>
      </c>
      <c r="K1348" t="s">
        <v>177</v>
      </c>
    </row>
    <row r="1349" spans="1:12" x14ac:dyDescent="0.3">
      <c r="A1349" t="s">
        <v>525</v>
      </c>
      <c r="B1349" s="5" t="s">
        <v>6734</v>
      </c>
      <c r="C1349" t="s">
        <v>6456</v>
      </c>
      <c r="D1349" t="s">
        <v>526</v>
      </c>
      <c r="E1349" t="s">
        <v>527</v>
      </c>
      <c r="F1349" s="1">
        <v>44528</v>
      </c>
      <c r="G1349" t="s">
        <v>45</v>
      </c>
      <c r="H1349" s="24">
        <v>0</v>
      </c>
      <c r="I1349" t="str">
        <f>IF(H1349&lt;=0,"",LOOKUP(H1349,'Regras e Parâmetros'!$B$4:$B$7,'Regras e Parâmetros'!$A$4:$A$7))</f>
        <v/>
      </c>
      <c r="J1349" t="s">
        <v>6456</v>
      </c>
      <c r="L1349" t="s">
        <v>9792</v>
      </c>
    </row>
    <row r="1350" spans="1:12" x14ac:dyDescent="0.3">
      <c r="A1350" t="s">
        <v>1150</v>
      </c>
      <c r="B1350" s="5" t="s">
        <v>1151</v>
      </c>
      <c r="C1350" t="s">
        <v>6456</v>
      </c>
      <c r="D1350" t="s">
        <v>1152</v>
      </c>
      <c r="E1350" t="s">
        <v>7080</v>
      </c>
      <c r="F1350" s="1">
        <v>44750</v>
      </c>
      <c r="G1350" t="s">
        <v>22</v>
      </c>
      <c r="H1350" s="24">
        <v>2677</v>
      </c>
      <c r="I1350" t="str">
        <f>IF(H1350&lt;=0,"",LOOKUP(H1350,'Regras e Parâmetros'!$B$4:$B$7,'Regras e Parâmetros'!$A$4:$A$7))</f>
        <v>Prata</v>
      </c>
      <c r="J1350" t="s">
        <v>6456</v>
      </c>
    </row>
    <row r="1351" spans="1:12" x14ac:dyDescent="0.3">
      <c r="A1351" t="s">
        <v>286</v>
      </c>
      <c r="B1351" s="5" t="s">
        <v>6598</v>
      </c>
      <c r="C1351" t="s">
        <v>6456</v>
      </c>
      <c r="D1351" t="s">
        <v>287</v>
      </c>
      <c r="E1351" t="s">
        <v>6599</v>
      </c>
      <c r="F1351" s="1">
        <v>44442</v>
      </c>
      <c r="G1351" t="s">
        <v>51</v>
      </c>
      <c r="H1351" s="24">
        <v>0</v>
      </c>
      <c r="I1351" t="str">
        <f>IF(H1351&lt;=0,"",LOOKUP(H1351,'Regras e Parâmetros'!$B$4:$B$7,'Regras e Parâmetros'!$A$4:$A$7))</f>
        <v/>
      </c>
      <c r="J1351" t="s">
        <v>6456</v>
      </c>
    </row>
    <row r="1352" spans="1:12" x14ac:dyDescent="0.3">
      <c r="A1352" t="s">
        <v>5368</v>
      </c>
      <c r="B1352" s="5" t="s">
        <v>5369</v>
      </c>
      <c r="C1352" t="s">
        <v>6456</v>
      </c>
      <c r="D1352" t="s">
        <v>2891</v>
      </c>
      <c r="E1352" t="s">
        <v>5370</v>
      </c>
      <c r="F1352" s="1">
        <v>46123</v>
      </c>
      <c r="G1352" t="s">
        <v>45</v>
      </c>
      <c r="H1352" s="24">
        <v>0</v>
      </c>
      <c r="I1352" t="str">
        <f>IF(H1352&lt;=0,"",LOOKUP(H1352,'Regras e Parâmetros'!$B$4:$B$7,'Regras e Parâmetros'!$A$4:$A$7))</f>
        <v/>
      </c>
      <c r="J1352" t="s">
        <v>9790</v>
      </c>
      <c r="L1352" t="s">
        <v>9883</v>
      </c>
    </row>
    <row r="1353" spans="1:12" x14ac:dyDescent="0.3">
      <c r="A1353" t="s">
        <v>5167</v>
      </c>
      <c r="B1353" s="5" t="s">
        <v>9339</v>
      </c>
      <c r="C1353" t="s">
        <v>6456</v>
      </c>
      <c r="D1353" t="s">
        <v>5168</v>
      </c>
      <c r="E1353" t="s">
        <v>9340</v>
      </c>
      <c r="F1353" s="1">
        <v>46060</v>
      </c>
      <c r="G1353" t="s">
        <v>51</v>
      </c>
      <c r="H1353" s="24">
        <v>0</v>
      </c>
      <c r="I1353" t="str">
        <f>IF(H1353&lt;=0,"",LOOKUP(H1353,'Regras e Parâmetros'!$B$4:$B$7,'Regras e Parâmetros'!$A$4:$A$7))</f>
        <v/>
      </c>
      <c r="J1353" t="s">
        <v>6747</v>
      </c>
      <c r="K1353" t="s">
        <v>33</v>
      </c>
      <c r="L1353" t="s">
        <v>9883</v>
      </c>
    </row>
    <row r="1354" spans="1:12" x14ac:dyDescent="0.3">
      <c r="A1354" t="s">
        <v>2687</v>
      </c>
      <c r="B1354" s="5" t="s">
        <v>7963</v>
      </c>
      <c r="C1354" t="s">
        <v>6456</v>
      </c>
      <c r="D1354" t="s">
        <v>2688</v>
      </c>
      <c r="E1354" t="s">
        <v>7964</v>
      </c>
      <c r="F1354" s="1">
        <v>45256</v>
      </c>
      <c r="G1354" t="s">
        <v>18</v>
      </c>
      <c r="H1354" s="24">
        <v>813</v>
      </c>
      <c r="I1354" t="str">
        <f>IF(H1354&lt;=0,"",LOOKUP(H1354,'Regras e Parâmetros'!$B$4:$B$7,'Regras e Parâmetros'!$A$4:$A$7))</f>
        <v>Bronze</v>
      </c>
      <c r="J1354" t="s">
        <v>6456</v>
      </c>
      <c r="K1354" t="s">
        <v>8</v>
      </c>
    </row>
    <row r="1355" spans="1:12" x14ac:dyDescent="0.3">
      <c r="A1355" t="s">
        <v>1153</v>
      </c>
      <c r="B1355" s="5" t="s">
        <v>7076</v>
      </c>
      <c r="C1355" t="s">
        <v>6456</v>
      </c>
      <c r="D1355" t="s">
        <v>1155</v>
      </c>
      <c r="E1355" t="s">
        <v>7077</v>
      </c>
      <c r="F1355" s="1">
        <v>44749</v>
      </c>
      <c r="G1355" t="s">
        <v>51</v>
      </c>
      <c r="H1355" s="24">
        <v>2581</v>
      </c>
      <c r="I1355" t="str">
        <f>IF(H1355&lt;=0,"",LOOKUP(H1355,'Regras e Parâmetros'!$B$4:$B$7,'Regras e Parâmetros'!$A$4:$A$7))</f>
        <v>Prata</v>
      </c>
      <c r="J1355" t="s">
        <v>6747</v>
      </c>
    </row>
    <row r="1356" spans="1:12" x14ac:dyDescent="0.3">
      <c r="A1356" t="s">
        <v>8547</v>
      </c>
      <c r="B1356" s="5" t="s">
        <v>8548</v>
      </c>
      <c r="C1356" t="s">
        <v>6456</v>
      </c>
      <c r="D1356" t="s">
        <v>3819</v>
      </c>
      <c r="E1356" t="s">
        <v>8549</v>
      </c>
      <c r="F1356" s="1">
        <v>45669</v>
      </c>
      <c r="G1356" t="s">
        <v>110</v>
      </c>
      <c r="H1356" s="24">
        <v>0</v>
      </c>
      <c r="I1356" t="str">
        <f>IF(H1356&lt;=0,"",LOOKUP(H1356,'Regras e Parâmetros'!$B$4:$B$7,'Regras e Parâmetros'!$A$4:$A$7))</f>
        <v/>
      </c>
      <c r="J1356" t="s">
        <v>9790</v>
      </c>
      <c r="L1356" t="s">
        <v>9883</v>
      </c>
    </row>
    <row r="1357" spans="1:12" x14ac:dyDescent="0.3">
      <c r="A1357" t="s">
        <v>8907</v>
      </c>
      <c r="B1357" s="5" t="s">
        <v>8908</v>
      </c>
      <c r="C1357" t="s">
        <v>6456</v>
      </c>
      <c r="D1357" t="s">
        <v>4442</v>
      </c>
      <c r="E1357" t="s">
        <v>4443</v>
      </c>
      <c r="F1357" s="1">
        <v>45853</v>
      </c>
      <c r="G1357" t="s">
        <v>51</v>
      </c>
      <c r="H1357" s="24">
        <v>0</v>
      </c>
      <c r="I1357" t="str">
        <f>IF(H1357&lt;=0,"",LOOKUP(H1357,'Regras e Parâmetros'!$B$4:$B$7,'Regras e Parâmetros'!$A$4:$A$7))</f>
        <v/>
      </c>
      <c r="J1357" t="s">
        <v>6456</v>
      </c>
      <c r="L1357" t="s">
        <v>9883</v>
      </c>
    </row>
    <row r="1358" spans="1:12" x14ac:dyDescent="0.3">
      <c r="A1358" t="s">
        <v>5240</v>
      </c>
      <c r="B1358" s="5" t="s">
        <v>9383</v>
      </c>
      <c r="C1358" t="s">
        <v>6456</v>
      </c>
      <c r="D1358" t="s">
        <v>5241</v>
      </c>
      <c r="E1358" t="s">
        <v>5242</v>
      </c>
      <c r="F1358" s="1">
        <v>46084</v>
      </c>
      <c r="G1358" t="s">
        <v>51</v>
      </c>
      <c r="H1358" s="24">
        <v>0</v>
      </c>
      <c r="I1358" t="str">
        <f>IF(H1358&lt;=0,"",LOOKUP(H1358,'Regras e Parâmetros'!$B$4:$B$7,'Regras e Parâmetros'!$A$4:$A$7))</f>
        <v/>
      </c>
      <c r="J1358" t="s">
        <v>9790</v>
      </c>
      <c r="L1358" t="s">
        <v>9883</v>
      </c>
    </row>
    <row r="1359" spans="1:12" x14ac:dyDescent="0.3">
      <c r="A1359" t="s">
        <v>4610</v>
      </c>
      <c r="B1359" s="5" t="s">
        <v>4121</v>
      </c>
      <c r="C1359" t="s">
        <v>6456</v>
      </c>
      <c r="D1359" t="s">
        <v>4122</v>
      </c>
      <c r="E1359" t="s">
        <v>8725</v>
      </c>
      <c r="F1359" s="1">
        <v>45748</v>
      </c>
      <c r="G1359" t="s">
        <v>110</v>
      </c>
      <c r="H1359" s="24">
        <v>0</v>
      </c>
      <c r="I1359" t="str">
        <f>IF(H1359&lt;=0,"",LOOKUP(H1359,'Regras e Parâmetros'!$B$4:$B$7,'Regras e Parâmetros'!$A$4:$A$7))</f>
        <v/>
      </c>
      <c r="J1359" t="s">
        <v>9790</v>
      </c>
      <c r="K1359" t="s">
        <v>72</v>
      </c>
      <c r="L1359" t="s">
        <v>9883</v>
      </c>
    </row>
    <row r="1360" spans="1:12" x14ac:dyDescent="0.3">
      <c r="A1360" t="s">
        <v>4610</v>
      </c>
      <c r="B1360" s="5" t="s">
        <v>9012</v>
      </c>
      <c r="C1360" t="s">
        <v>6456</v>
      </c>
      <c r="D1360" t="s">
        <v>4611</v>
      </c>
      <c r="E1360" t="s">
        <v>4612</v>
      </c>
      <c r="F1360" s="1">
        <v>45896</v>
      </c>
      <c r="G1360" t="s">
        <v>110</v>
      </c>
      <c r="H1360" s="24">
        <v>0</v>
      </c>
      <c r="I1360" t="str">
        <f>IF(H1360&lt;=0,"",LOOKUP(H1360,'Regras e Parâmetros'!$B$4:$B$7,'Regras e Parâmetros'!$A$4:$A$7))</f>
        <v/>
      </c>
      <c r="J1360" t="s">
        <v>6456</v>
      </c>
      <c r="L1360" t="s">
        <v>9883</v>
      </c>
    </row>
    <row r="1361" spans="1:12" x14ac:dyDescent="0.3">
      <c r="A1361" t="s">
        <v>1656</v>
      </c>
      <c r="B1361" s="5" t="s">
        <v>7386</v>
      </c>
      <c r="C1361" t="s">
        <v>6456</v>
      </c>
      <c r="D1361" t="s">
        <v>1657</v>
      </c>
      <c r="E1361" t="s">
        <v>1658</v>
      </c>
      <c r="F1361" s="1">
        <v>44927</v>
      </c>
      <c r="G1361" t="s">
        <v>22</v>
      </c>
      <c r="H1361" s="24">
        <v>586</v>
      </c>
      <c r="I1361" t="str">
        <f>IF(H1361&lt;=0,"",LOOKUP(H1361,'Regras e Parâmetros'!$B$4:$B$7,'Regras e Parâmetros'!$A$4:$A$7))</f>
        <v>Bronze</v>
      </c>
      <c r="J1361" t="s">
        <v>6747</v>
      </c>
      <c r="L1361" t="s">
        <v>9789</v>
      </c>
    </row>
    <row r="1362" spans="1:12" x14ac:dyDescent="0.3">
      <c r="A1362" t="s">
        <v>4884</v>
      </c>
      <c r="B1362" s="5" t="s">
        <v>4885</v>
      </c>
      <c r="C1362" t="s">
        <v>6456</v>
      </c>
      <c r="D1362" t="s">
        <v>4886</v>
      </c>
      <c r="E1362" t="s">
        <v>4887</v>
      </c>
      <c r="F1362" s="1">
        <v>45979</v>
      </c>
      <c r="G1362" t="s">
        <v>22</v>
      </c>
      <c r="H1362" s="24">
        <v>0</v>
      </c>
      <c r="I1362" t="str">
        <f>IF(H1362&lt;=0,"",LOOKUP(H1362,'Regras e Parâmetros'!$B$4:$B$7,'Regras e Parâmetros'!$A$4:$A$7))</f>
        <v/>
      </c>
      <c r="J1362" t="s">
        <v>6747</v>
      </c>
      <c r="L1362" t="s">
        <v>9886</v>
      </c>
    </row>
    <row r="1363" spans="1:12" x14ac:dyDescent="0.3">
      <c r="A1363" t="s">
        <v>2416</v>
      </c>
      <c r="B1363" s="5" t="s">
        <v>7810</v>
      </c>
      <c r="C1363" t="s">
        <v>6456</v>
      </c>
      <c r="D1363" t="s">
        <v>2417</v>
      </c>
      <c r="E1363" t="s">
        <v>7811</v>
      </c>
      <c r="F1363" s="1">
        <v>45166</v>
      </c>
      <c r="G1363" t="s">
        <v>18</v>
      </c>
      <c r="H1363" s="24">
        <v>314</v>
      </c>
      <c r="I1363" t="str">
        <f>IF(H1363&lt;=0,"",LOOKUP(H1363,'Regras e Parâmetros'!$B$4:$B$7,'Regras e Parâmetros'!$A$4:$A$7))</f>
        <v>Bronze</v>
      </c>
      <c r="J1363" t="s">
        <v>9790</v>
      </c>
    </row>
    <row r="1364" spans="1:12" x14ac:dyDescent="0.3">
      <c r="A1364" t="s">
        <v>4556</v>
      </c>
      <c r="B1364" s="5" t="s">
        <v>8989</v>
      </c>
      <c r="C1364" t="s">
        <v>6456</v>
      </c>
      <c r="D1364" t="s">
        <v>4557</v>
      </c>
      <c r="E1364" t="s">
        <v>10114</v>
      </c>
      <c r="F1364" s="1">
        <v>45884</v>
      </c>
      <c r="G1364" t="s">
        <v>110</v>
      </c>
      <c r="H1364" s="24">
        <v>0</v>
      </c>
      <c r="I1364" t="str">
        <f>IF(H1364&lt;=0,"",LOOKUP(H1364,'Regras e Parâmetros'!$B$4:$B$7,'Regras e Parâmetros'!$A$4:$A$7))</f>
        <v/>
      </c>
      <c r="J1364" t="s">
        <v>6747</v>
      </c>
      <c r="K1364" t="s">
        <v>44</v>
      </c>
      <c r="L1364" t="s">
        <v>9883</v>
      </c>
    </row>
    <row r="1365" spans="1:12" x14ac:dyDescent="0.3">
      <c r="A1365" t="s">
        <v>4177</v>
      </c>
      <c r="B1365" s="5" t="s">
        <v>8763</v>
      </c>
      <c r="C1365" t="s">
        <v>6456</v>
      </c>
      <c r="D1365" t="s">
        <v>4178</v>
      </c>
      <c r="E1365" t="s">
        <v>8764</v>
      </c>
      <c r="F1365" s="1">
        <v>45767</v>
      </c>
      <c r="G1365" t="s">
        <v>45</v>
      </c>
      <c r="H1365" s="24">
        <v>0</v>
      </c>
      <c r="I1365" t="str">
        <f>IF(H1365&lt;=0,"",LOOKUP(H1365,'Regras e Parâmetros'!$B$4:$B$7,'Regras e Parâmetros'!$A$4:$A$7))</f>
        <v/>
      </c>
      <c r="J1365" t="s">
        <v>9790</v>
      </c>
      <c r="L1365" t="s">
        <v>9883</v>
      </c>
    </row>
    <row r="1366" spans="1:12" x14ac:dyDescent="0.3">
      <c r="A1366" t="s">
        <v>4253</v>
      </c>
      <c r="B1366" s="5" t="s">
        <v>8807</v>
      </c>
      <c r="C1366" t="s">
        <v>6456</v>
      </c>
      <c r="D1366" t="s">
        <v>4254</v>
      </c>
      <c r="E1366" t="s">
        <v>4255</v>
      </c>
      <c r="F1366" s="1">
        <v>45791</v>
      </c>
      <c r="G1366" t="s">
        <v>22</v>
      </c>
      <c r="H1366" s="24">
        <v>0</v>
      </c>
      <c r="I1366" t="str">
        <f>IF(H1366&lt;=0,"",LOOKUP(H1366,'Regras e Parâmetros'!$B$4:$B$7,'Regras e Parâmetros'!$A$4:$A$7))</f>
        <v/>
      </c>
      <c r="J1366" t="s">
        <v>9790</v>
      </c>
      <c r="L1366" t="s">
        <v>9883</v>
      </c>
    </row>
    <row r="1367" spans="1:12" x14ac:dyDescent="0.3">
      <c r="A1367" t="s">
        <v>2546</v>
      </c>
      <c r="B1367" s="5" t="s">
        <v>7885</v>
      </c>
      <c r="C1367" t="s">
        <v>6456</v>
      </c>
      <c r="D1367" t="s">
        <v>2547</v>
      </c>
      <c r="E1367" t="s">
        <v>2548</v>
      </c>
      <c r="F1367" s="1">
        <v>45212</v>
      </c>
      <c r="G1367" t="s">
        <v>51</v>
      </c>
      <c r="H1367" s="24">
        <v>1722</v>
      </c>
      <c r="I1367" t="str">
        <f>IF(H1367&lt;=0,"",LOOKUP(H1367,'Regras e Parâmetros'!$B$4:$B$7,'Regras e Parâmetros'!$A$4:$A$7))</f>
        <v>Prata</v>
      </c>
      <c r="J1367" t="s">
        <v>9790</v>
      </c>
      <c r="K1367" t="s">
        <v>72</v>
      </c>
      <c r="L1367" t="s">
        <v>9792</v>
      </c>
    </row>
    <row r="1368" spans="1:12" x14ac:dyDescent="0.3">
      <c r="A1368" t="s">
        <v>875</v>
      </c>
      <c r="B1368" s="5" t="s">
        <v>6950</v>
      </c>
      <c r="C1368" t="s">
        <v>6456</v>
      </c>
      <c r="D1368" t="s">
        <v>876</v>
      </c>
      <c r="E1368" t="s">
        <v>6951</v>
      </c>
      <c r="F1368" s="1">
        <v>44656</v>
      </c>
      <c r="G1368" t="s">
        <v>22</v>
      </c>
      <c r="H1368" s="24">
        <v>1098</v>
      </c>
      <c r="I1368" t="str">
        <f>IF(H1368&lt;=0,"",LOOKUP(H1368,'Regras e Parâmetros'!$B$4:$B$7,'Regras e Parâmetros'!$A$4:$A$7))</f>
        <v>Bronze</v>
      </c>
      <c r="J1368" t="s">
        <v>6747</v>
      </c>
    </row>
    <row r="1369" spans="1:12" x14ac:dyDescent="0.3">
      <c r="A1369" t="s">
        <v>3712</v>
      </c>
      <c r="B1369" s="5" t="s">
        <v>8475</v>
      </c>
      <c r="C1369" t="s">
        <v>6456</v>
      </c>
      <c r="D1369" t="s">
        <v>3713</v>
      </c>
      <c r="E1369" t="s">
        <v>8476</v>
      </c>
      <c r="F1369" s="1">
        <v>45627</v>
      </c>
      <c r="G1369" t="s">
        <v>18</v>
      </c>
      <c r="H1369" s="24">
        <v>109</v>
      </c>
      <c r="I1369" t="str">
        <f>IF(H1369&lt;=0,"",LOOKUP(H1369,'Regras e Parâmetros'!$B$4:$B$7,'Regras e Parâmetros'!$A$4:$A$7))</f>
        <v>Bronze</v>
      </c>
      <c r="J1369" t="s">
        <v>6456</v>
      </c>
    </row>
    <row r="1370" spans="1:12" x14ac:dyDescent="0.3">
      <c r="A1370" t="s">
        <v>3009</v>
      </c>
      <c r="B1370" s="5" t="s">
        <v>3010</v>
      </c>
      <c r="C1370" t="s">
        <v>6456</v>
      </c>
      <c r="D1370" t="s">
        <v>3011</v>
      </c>
      <c r="E1370" t="s">
        <v>8114</v>
      </c>
      <c r="F1370" s="1">
        <v>45393</v>
      </c>
      <c r="G1370" t="s">
        <v>110</v>
      </c>
      <c r="H1370" s="24">
        <v>748</v>
      </c>
      <c r="I1370" t="str">
        <f>IF(H1370&lt;=0,"",LOOKUP(H1370,'Regras e Parâmetros'!$B$4:$B$7,'Regras e Parâmetros'!$A$4:$A$7))</f>
        <v>Bronze</v>
      </c>
      <c r="J1370" t="s">
        <v>6456</v>
      </c>
    </row>
    <row r="1371" spans="1:12" x14ac:dyDescent="0.3">
      <c r="A1371" t="s">
        <v>5230</v>
      </c>
      <c r="B1371" s="5" t="s">
        <v>9377</v>
      </c>
      <c r="C1371" t="s">
        <v>6456</v>
      </c>
      <c r="D1371" t="s">
        <v>5231</v>
      </c>
      <c r="E1371" t="s">
        <v>5232</v>
      </c>
      <c r="F1371" s="1">
        <v>46082</v>
      </c>
      <c r="G1371" t="s">
        <v>100</v>
      </c>
      <c r="H1371" s="24">
        <v>0</v>
      </c>
      <c r="I1371" t="str">
        <f>IF(H1371&lt;=0,"",LOOKUP(H1371,'Regras e Parâmetros'!$B$4:$B$7,'Regras e Parâmetros'!$A$4:$A$7))</f>
        <v/>
      </c>
      <c r="J1371" t="s">
        <v>9790</v>
      </c>
      <c r="K1371" t="s">
        <v>44</v>
      </c>
      <c r="L1371" t="s">
        <v>9891</v>
      </c>
    </row>
    <row r="1372" spans="1:12" x14ac:dyDescent="0.3">
      <c r="A1372" t="s">
        <v>6868</v>
      </c>
      <c r="B1372" s="5" t="s">
        <v>6869</v>
      </c>
      <c r="C1372" t="s">
        <v>6456</v>
      </c>
      <c r="D1372" t="s">
        <v>753</v>
      </c>
      <c r="E1372" t="s">
        <v>6870</v>
      </c>
      <c r="F1372" s="1">
        <v>44612</v>
      </c>
      <c r="G1372" t="s">
        <v>100</v>
      </c>
      <c r="H1372" s="24">
        <v>0</v>
      </c>
      <c r="I1372" t="str">
        <f>IF(H1372&lt;=0,"",LOOKUP(H1372,'Regras e Parâmetros'!$B$4:$B$7,'Regras e Parâmetros'!$A$4:$A$7))</f>
        <v/>
      </c>
      <c r="J1372" t="s">
        <v>6456</v>
      </c>
      <c r="K1372" t="s">
        <v>10028</v>
      </c>
    </row>
    <row r="1373" spans="1:12" x14ac:dyDescent="0.3">
      <c r="A1373" t="s">
        <v>3862</v>
      </c>
      <c r="B1373" s="5" t="s">
        <v>8581</v>
      </c>
      <c r="C1373" t="s">
        <v>6456</v>
      </c>
      <c r="D1373" t="s">
        <v>3863</v>
      </c>
      <c r="E1373" t="s">
        <v>8582</v>
      </c>
      <c r="F1373" s="1">
        <v>45683</v>
      </c>
      <c r="G1373" t="s">
        <v>51</v>
      </c>
      <c r="H1373" s="24">
        <v>0</v>
      </c>
      <c r="I1373" t="str">
        <f>IF(H1373&lt;=0,"",LOOKUP(H1373,'Regras e Parâmetros'!$B$4:$B$7,'Regras e Parâmetros'!$A$4:$A$7))</f>
        <v/>
      </c>
      <c r="J1373" t="s">
        <v>9790</v>
      </c>
      <c r="K1373" t="s">
        <v>708</v>
      </c>
      <c r="L1373" t="s">
        <v>9883</v>
      </c>
    </row>
    <row r="1374" spans="1:12" x14ac:dyDescent="0.3">
      <c r="A1374" t="s">
        <v>288</v>
      </c>
      <c r="B1374" s="5" t="s">
        <v>6600</v>
      </c>
      <c r="C1374" t="s">
        <v>6456</v>
      </c>
      <c r="D1374" t="s">
        <v>289</v>
      </c>
      <c r="E1374" t="s">
        <v>6601</v>
      </c>
      <c r="F1374" s="1">
        <v>44442</v>
      </c>
      <c r="G1374" t="s">
        <v>100</v>
      </c>
      <c r="H1374" s="24">
        <v>4523</v>
      </c>
      <c r="I1374" t="str">
        <f>IF(H1374&lt;=0,"",LOOKUP(H1374,'Regras e Parâmetros'!$B$4:$B$7,'Regras e Parâmetros'!$A$4:$A$7))</f>
        <v>Prata</v>
      </c>
      <c r="J1374" t="s">
        <v>6747</v>
      </c>
    </row>
    <row r="1375" spans="1:12" x14ac:dyDescent="0.3">
      <c r="A1375" t="s">
        <v>2271</v>
      </c>
      <c r="B1375" s="5" t="s">
        <v>6029</v>
      </c>
      <c r="C1375" t="s">
        <v>6456</v>
      </c>
      <c r="D1375" t="s">
        <v>2272</v>
      </c>
      <c r="E1375" t="s">
        <v>7735</v>
      </c>
      <c r="F1375" s="1">
        <v>45130</v>
      </c>
      <c r="G1375" t="s">
        <v>110</v>
      </c>
      <c r="H1375" s="24">
        <v>1594</v>
      </c>
      <c r="I1375" t="str">
        <f>IF(H1375&lt;=0,"",LOOKUP(H1375,'Regras e Parâmetros'!$B$4:$B$7,'Regras e Parâmetros'!$A$4:$A$7))</f>
        <v>Prata</v>
      </c>
      <c r="J1375" t="s">
        <v>6456</v>
      </c>
    </row>
    <row r="1376" spans="1:12" x14ac:dyDescent="0.3">
      <c r="A1376" t="s">
        <v>8151</v>
      </c>
      <c r="B1376" s="5" t="s">
        <v>8152</v>
      </c>
      <c r="C1376" t="s">
        <v>6456</v>
      </c>
      <c r="D1376" t="s">
        <v>3082</v>
      </c>
      <c r="E1376" t="s">
        <v>8153</v>
      </c>
      <c r="F1376" s="1">
        <v>45420</v>
      </c>
      <c r="G1376" t="s">
        <v>45</v>
      </c>
      <c r="H1376" s="24">
        <v>934</v>
      </c>
      <c r="I1376" t="str">
        <f>IF(H1376&lt;=0,"",LOOKUP(H1376,'Regras e Parâmetros'!$B$4:$B$7,'Regras e Parâmetros'!$A$4:$A$7))</f>
        <v>Bronze</v>
      </c>
      <c r="J1376" t="s">
        <v>6456</v>
      </c>
    </row>
    <row r="1377" spans="1:12" x14ac:dyDescent="0.3">
      <c r="A1377" t="s">
        <v>8151</v>
      </c>
      <c r="B1377" s="5" t="s">
        <v>8977</v>
      </c>
      <c r="C1377" t="s">
        <v>6456</v>
      </c>
      <c r="D1377" t="s">
        <v>4543</v>
      </c>
      <c r="E1377" t="s">
        <v>8978</v>
      </c>
      <c r="F1377" s="1">
        <v>45882</v>
      </c>
      <c r="G1377" t="s">
        <v>51</v>
      </c>
      <c r="H1377" s="24">
        <v>0</v>
      </c>
      <c r="I1377" t="str">
        <f>IF(H1377&lt;=0,"",LOOKUP(H1377,'Regras e Parâmetros'!$B$4:$B$7,'Regras e Parâmetros'!$A$4:$A$7))</f>
        <v/>
      </c>
      <c r="J1377" t="s">
        <v>6747</v>
      </c>
      <c r="L1377" t="s">
        <v>9883</v>
      </c>
    </row>
    <row r="1378" spans="1:12" x14ac:dyDescent="0.3">
      <c r="A1378" t="s">
        <v>5357</v>
      </c>
      <c r="B1378" s="5" t="s">
        <v>9444</v>
      </c>
      <c r="C1378" t="s">
        <v>6456</v>
      </c>
      <c r="D1378" t="s">
        <v>5358</v>
      </c>
      <c r="E1378" t="s">
        <v>9445</v>
      </c>
      <c r="F1378" s="1">
        <v>46113</v>
      </c>
      <c r="G1378" t="s">
        <v>110</v>
      </c>
      <c r="H1378" s="24">
        <v>0</v>
      </c>
      <c r="I1378" t="str">
        <f>IF(H1378&lt;=0,"",LOOKUP(H1378,'Regras e Parâmetros'!$B$4:$B$7,'Regras e Parâmetros'!$A$4:$A$7))</f>
        <v/>
      </c>
      <c r="J1378" t="s">
        <v>9790</v>
      </c>
      <c r="L1378" t="s">
        <v>9884</v>
      </c>
    </row>
    <row r="1379" spans="1:12" x14ac:dyDescent="0.3">
      <c r="A1379" t="s">
        <v>3682</v>
      </c>
      <c r="B1379" s="5" t="s">
        <v>8461</v>
      </c>
      <c r="C1379" t="s">
        <v>6456</v>
      </c>
      <c r="D1379" t="s">
        <v>5507</v>
      </c>
      <c r="E1379" t="s">
        <v>5508</v>
      </c>
      <c r="F1379" s="1">
        <v>45615</v>
      </c>
      <c r="G1379" t="s">
        <v>45</v>
      </c>
      <c r="H1379" s="24">
        <v>277</v>
      </c>
      <c r="I1379" t="str">
        <f>IF(H1379&lt;=0,"",LOOKUP(H1379,'Regras e Parâmetros'!$B$4:$B$7,'Regras e Parâmetros'!$A$4:$A$7))</f>
        <v>Bronze</v>
      </c>
      <c r="J1379" t="s">
        <v>6456</v>
      </c>
      <c r="K1379" t="s">
        <v>9877</v>
      </c>
      <c r="L1379" t="s">
        <v>9839</v>
      </c>
    </row>
    <row r="1380" spans="1:12" x14ac:dyDescent="0.3">
      <c r="A1380" t="s">
        <v>3573</v>
      </c>
      <c r="B1380" s="5" t="s">
        <v>3574</v>
      </c>
      <c r="C1380" t="s">
        <v>6456</v>
      </c>
      <c r="D1380" t="s">
        <v>3575</v>
      </c>
      <c r="E1380" t="s">
        <v>8393</v>
      </c>
      <c r="F1380" s="1">
        <v>45586</v>
      </c>
      <c r="G1380" t="s">
        <v>100</v>
      </c>
      <c r="H1380" s="24">
        <v>821</v>
      </c>
      <c r="I1380" t="str">
        <f>IF(H1380&lt;=0,"",LOOKUP(H1380,'Regras e Parâmetros'!$B$4:$B$7,'Regras e Parâmetros'!$A$4:$A$7))</f>
        <v>Bronze</v>
      </c>
      <c r="J1380" t="s">
        <v>6456</v>
      </c>
    </row>
    <row r="1381" spans="1:12" x14ac:dyDescent="0.3">
      <c r="A1381" t="s">
        <v>716</v>
      </c>
      <c r="B1381" s="5" t="s">
        <v>717</v>
      </c>
      <c r="C1381" t="s">
        <v>6456</v>
      </c>
      <c r="D1381" t="s">
        <v>718</v>
      </c>
      <c r="E1381" t="s">
        <v>6851</v>
      </c>
      <c r="F1381" s="1">
        <v>44597</v>
      </c>
      <c r="G1381" t="s">
        <v>45</v>
      </c>
      <c r="H1381" s="24">
        <v>4205</v>
      </c>
      <c r="I1381" t="str">
        <f>IF(H1381&lt;=0,"",LOOKUP(H1381,'Regras e Parâmetros'!$B$4:$B$7,'Regras e Parâmetros'!$A$4:$A$7))</f>
        <v>Prata</v>
      </c>
      <c r="J1381" t="s">
        <v>9790</v>
      </c>
    </row>
    <row r="1382" spans="1:12" x14ac:dyDescent="0.3">
      <c r="A1382" t="s">
        <v>9213</v>
      </c>
      <c r="B1382" s="5" t="s">
        <v>9214</v>
      </c>
      <c r="C1382" t="s">
        <v>6456</v>
      </c>
      <c r="D1382" t="s">
        <v>4945</v>
      </c>
      <c r="E1382" t="s">
        <v>9215</v>
      </c>
      <c r="F1382" s="1">
        <v>45997</v>
      </c>
      <c r="G1382" t="s">
        <v>110</v>
      </c>
      <c r="H1382" s="24">
        <v>0</v>
      </c>
      <c r="I1382" t="str">
        <f>IF(H1382&lt;=0,"",LOOKUP(H1382,'Regras e Parâmetros'!$B$4:$B$7,'Regras e Parâmetros'!$A$4:$A$7))</f>
        <v/>
      </c>
      <c r="J1382" t="s">
        <v>6456</v>
      </c>
      <c r="L1382" t="s">
        <v>9883</v>
      </c>
    </row>
    <row r="1383" spans="1:12" x14ac:dyDescent="0.3">
      <c r="A1383" t="s">
        <v>329</v>
      </c>
      <c r="B1383" s="5" t="s">
        <v>6624</v>
      </c>
      <c r="C1383" t="s">
        <v>6456</v>
      </c>
      <c r="D1383" t="s">
        <v>330</v>
      </c>
      <c r="E1383" t="s">
        <v>331</v>
      </c>
      <c r="F1383" s="1">
        <v>44455</v>
      </c>
      <c r="G1383" t="s">
        <v>100</v>
      </c>
      <c r="H1383" s="24">
        <v>2732</v>
      </c>
      <c r="I1383" t="str">
        <f>IF(H1383&lt;=0,"",LOOKUP(H1383,'Regras e Parâmetros'!$B$4:$B$7,'Regras e Parâmetros'!$A$4:$A$7))</f>
        <v>Prata</v>
      </c>
      <c r="J1383" t="s">
        <v>9790</v>
      </c>
      <c r="L1383" t="s">
        <v>9792</v>
      </c>
    </row>
    <row r="1384" spans="1:12" x14ac:dyDescent="0.3">
      <c r="A1384" t="s">
        <v>329</v>
      </c>
      <c r="B1384" s="5" t="s">
        <v>375</v>
      </c>
      <c r="C1384" t="s">
        <v>6456</v>
      </c>
      <c r="D1384" t="s">
        <v>6652</v>
      </c>
      <c r="E1384" t="s">
        <v>376</v>
      </c>
      <c r="F1384" s="1">
        <v>44474</v>
      </c>
      <c r="G1384" t="s">
        <v>51</v>
      </c>
      <c r="H1384" s="24">
        <v>2763</v>
      </c>
      <c r="I1384" t="str">
        <f>IF(H1384&lt;=0,"",LOOKUP(H1384,'Regras e Parâmetros'!$B$4:$B$7,'Regras e Parâmetros'!$A$4:$A$7))</f>
        <v>Prata</v>
      </c>
      <c r="J1384" t="s">
        <v>6747</v>
      </c>
    </row>
    <row r="1385" spans="1:12" x14ac:dyDescent="0.3">
      <c r="A1385" t="s">
        <v>4696</v>
      </c>
      <c r="B1385" s="5" t="s">
        <v>9066</v>
      </c>
      <c r="C1385" t="s">
        <v>6456</v>
      </c>
      <c r="D1385" t="s">
        <v>4697</v>
      </c>
      <c r="E1385" t="s">
        <v>9067</v>
      </c>
      <c r="F1385" s="1">
        <v>45928</v>
      </c>
      <c r="G1385" t="s">
        <v>51</v>
      </c>
      <c r="H1385" s="24">
        <v>0</v>
      </c>
      <c r="I1385" t="str">
        <f>IF(H1385&lt;=0,"",LOOKUP(H1385,'Regras e Parâmetros'!$B$4:$B$7,'Regras e Parâmetros'!$A$4:$A$7))</f>
        <v/>
      </c>
      <c r="J1385" t="s">
        <v>6747</v>
      </c>
      <c r="L1385" t="s">
        <v>9883</v>
      </c>
    </row>
    <row r="1386" spans="1:12" x14ac:dyDescent="0.3">
      <c r="A1386" t="s">
        <v>3689</v>
      </c>
      <c r="B1386" s="5" t="s">
        <v>8462</v>
      </c>
      <c r="C1386" t="s">
        <v>6456</v>
      </c>
      <c r="D1386" t="s">
        <v>3690</v>
      </c>
      <c r="E1386" t="s">
        <v>10115</v>
      </c>
      <c r="F1386" s="1">
        <v>45617</v>
      </c>
      <c r="G1386" t="s">
        <v>18</v>
      </c>
      <c r="H1386" s="24">
        <v>0</v>
      </c>
      <c r="I1386" t="str">
        <f>IF(H1386&lt;=0,"",LOOKUP(H1386,'Regras e Parâmetros'!$B$4:$B$7,'Regras e Parâmetros'!$A$4:$A$7))</f>
        <v/>
      </c>
      <c r="J1386" t="s">
        <v>6456</v>
      </c>
    </row>
    <row r="1387" spans="1:12" x14ac:dyDescent="0.3">
      <c r="A1387" t="s">
        <v>4413</v>
      </c>
      <c r="B1387" s="5" t="s">
        <v>8888</v>
      </c>
      <c r="C1387" t="s">
        <v>6456</v>
      </c>
      <c r="D1387" t="s">
        <v>4414</v>
      </c>
      <c r="E1387" t="s">
        <v>8889</v>
      </c>
      <c r="F1387" s="1">
        <v>45840</v>
      </c>
      <c r="G1387" t="s">
        <v>51</v>
      </c>
      <c r="H1387" s="24">
        <v>0</v>
      </c>
      <c r="I1387" t="str">
        <f>IF(H1387&lt;=0,"",LOOKUP(H1387,'Regras e Parâmetros'!$B$4:$B$7,'Regras e Parâmetros'!$A$4:$A$7))</f>
        <v/>
      </c>
      <c r="J1387" t="s">
        <v>6747</v>
      </c>
      <c r="L1387" t="s">
        <v>9883</v>
      </c>
    </row>
    <row r="1388" spans="1:12" x14ac:dyDescent="0.3">
      <c r="A1388" t="s">
        <v>9015</v>
      </c>
      <c r="B1388" s="5" t="s">
        <v>4617</v>
      </c>
      <c r="C1388" t="s">
        <v>6456</v>
      </c>
      <c r="D1388" t="s">
        <v>4618</v>
      </c>
      <c r="E1388" t="s">
        <v>9016</v>
      </c>
      <c r="F1388" s="1">
        <v>45900</v>
      </c>
      <c r="G1388" t="s">
        <v>45</v>
      </c>
      <c r="H1388" s="24">
        <v>0</v>
      </c>
      <c r="I1388" t="str">
        <f>IF(H1388&lt;=0,"",LOOKUP(H1388,'Regras e Parâmetros'!$B$4:$B$7,'Regras e Parâmetros'!$A$4:$A$7))</f>
        <v/>
      </c>
      <c r="J1388" t="s">
        <v>9790</v>
      </c>
      <c r="L1388" t="s">
        <v>9883</v>
      </c>
    </row>
    <row r="1389" spans="1:12" x14ac:dyDescent="0.3">
      <c r="A1389" t="s">
        <v>7097</v>
      </c>
      <c r="B1389" s="5" t="s">
        <v>7098</v>
      </c>
      <c r="C1389" t="s">
        <v>6456</v>
      </c>
      <c r="D1389" t="s">
        <v>1156</v>
      </c>
      <c r="E1389" t="s">
        <v>1157</v>
      </c>
      <c r="F1389" s="1">
        <v>44770</v>
      </c>
      <c r="G1389" t="s">
        <v>110</v>
      </c>
      <c r="H1389" s="24">
        <v>2663</v>
      </c>
      <c r="I1389" t="str">
        <f>IF(H1389&lt;=0,"",LOOKUP(H1389,'Regras e Parâmetros'!$B$4:$B$7,'Regras e Parâmetros'!$A$4:$A$7))</f>
        <v>Prata</v>
      </c>
      <c r="J1389" t="s">
        <v>9790</v>
      </c>
      <c r="K1389" t="s">
        <v>177</v>
      </c>
    </row>
    <row r="1390" spans="1:12" x14ac:dyDescent="0.3">
      <c r="A1390" t="s">
        <v>2727</v>
      </c>
      <c r="B1390" s="5" t="s">
        <v>7988</v>
      </c>
      <c r="C1390" t="s">
        <v>6456</v>
      </c>
      <c r="D1390" t="s">
        <v>2728</v>
      </c>
      <c r="E1390" t="s">
        <v>2729</v>
      </c>
      <c r="F1390" s="1">
        <v>45277</v>
      </c>
      <c r="G1390" t="s">
        <v>100</v>
      </c>
      <c r="H1390" s="24">
        <v>2405</v>
      </c>
      <c r="I1390" t="str">
        <f>IF(H1390&lt;=0,"",LOOKUP(H1390,'Regras e Parâmetros'!$B$4:$B$7,'Regras e Parâmetros'!$A$4:$A$7))</f>
        <v>Prata</v>
      </c>
      <c r="J1390" t="s">
        <v>6747</v>
      </c>
    </row>
    <row r="1391" spans="1:12" x14ac:dyDescent="0.3">
      <c r="A1391" t="s">
        <v>1486</v>
      </c>
      <c r="B1391" s="5" t="s">
        <v>7258</v>
      </c>
      <c r="C1391" t="s">
        <v>6456</v>
      </c>
      <c r="D1391" t="s">
        <v>1487</v>
      </c>
      <c r="E1391" t="s">
        <v>10116</v>
      </c>
      <c r="F1391" s="1">
        <v>44866</v>
      </c>
      <c r="G1391" t="s">
        <v>18</v>
      </c>
      <c r="H1391" s="24">
        <v>0</v>
      </c>
      <c r="I1391" t="str">
        <f>IF(H1391&lt;=0,"",LOOKUP(H1391,'Regras e Parâmetros'!$B$4:$B$7,'Regras e Parâmetros'!$A$4:$A$7))</f>
        <v/>
      </c>
      <c r="J1391" t="s">
        <v>9790</v>
      </c>
      <c r="L1391" t="s">
        <v>9791</v>
      </c>
    </row>
    <row r="1392" spans="1:12" x14ac:dyDescent="0.3">
      <c r="A1392" t="s">
        <v>516</v>
      </c>
      <c r="B1392" s="5" t="s">
        <v>517</v>
      </c>
      <c r="C1392" t="s">
        <v>6456</v>
      </c>
      <c r="D1392" t="s">
        <v>518</v>
      </c>
      <c r="E1392" t="s">
        <v>519</v>
      </c>
      <c r="F1392" s="1">
        <v>44525</v>
      </c>
      <c r="G1392" t="s">
        <v>45</v>
      </c>
      <c r="H1392" s="24">
        <v>2371</v>
      </c>
      <c r="I1392" t="str">
        <f>IF(H1392&lt;=0,"",LOOKUP(H1392,'Regras e Parâmetros'!$B$4:$B$7,'Regras e Parâmetros'!$A$4:$A$7))</f>
        <v>Prata</v>
      </c>
      <c r="J1392" t="s">
        <v>9790</v>
      </c>
    </row>
    <row r="1393" spans="1:12" x14ac:dyDescent="0.3">
      <c r="A1393" t="s">
        <v>167</v>
      </c>
      <c r="B1393" s="5" t="s">
        <v>168</v>
      </c>
      <c r="C1393" t="s">
        <v>6456</v>
      </c>
      <c r="D1393" t="s">
        <v>169</v>
      </c>
      <c r="E1393" t="s">
        <v>170</v>
      </c>
      <c r="F1393" s="1">
        <v>44400</v>
      </c>
      <c r="G1393" t="s">
        <v>100</v>
      </c>
      <c r="H1393" s="24">
        <v>15000</v>
      </c>
      <c r="I1393" t="str">
        <f>IF(H1393&lt;=0,"",LOOKUP(H1393,'Regras e Parâmetros'!$B$4:$B$7,'Regras e Parâmetros'!$A$4:$A$7))</f>
        <v>Vip</v>
      </c>
      <c r="J1393" t="s">
        <v>9790</v>
      </c>
    </row>
    <row r="1394" spans="1:12" x14ac:dyDescent="0.3">
      <c r="A1394" t="s">
        <v>8010</v>
      </c>
      <c r="B1394" s="5" t="s">
        <v>8011</v>
      </c>
      <c r="C1394" t="s">
        <v>6456</v>
      </c>
      <c r="D1394" t="s">
        <v>2783</v>
      </c>
      <c r="E1394" t="s">
        <v>2784</v>
      </c>
      <c r="F1394" s="1">
        <v>45301</v>
      </c>
      <c r="G1394" t="s">
        <v>45</v>
      </c>
      <c r="H1394" s="24">
        <v>867</v>
      </c>
      <c r="I1394" t="str">
        <f>IF(H1394&lt;=0,"",LOOKUP(H1394,'Regras e Parâmetros'!$B$4:$B$7,'Regras e Parâmetros'!$A$4:$A$7))</f>
        <v>Bronze</v>
      </c>
      <c r="J1394" t="s">
        <v>9790</v>
      </c>
      <c r="L1394" t="s">
        <v>9792</v>
      </c>
    </row>
    <row r="1395" spans="1:12" x14ac:dyDescent="0.3">
      <c r="A1395" t="s">
        <v>3129</v>
      </c>
      <c r="B1395" s="5" t="s">
        <v>4608</v>
      </c>
      <c r="C1395" t="s">
        <v>6456</v>
      </c>
      <c r="D1395" t="s">
        <v>4609</v>
      </c>
      <c r="E1395" t="s">
        <v>3130</v>
      </c>
      <c r="F1395" s="1">
        <v>45436</v>
      </c>
      <c r="G1395" t="s">
        <v>110</v>
      </c>
      <c r="H1395" s="24">
        <v>186</v>
      </c>
      <c r="I1395" t="str">
        <f>IF(H1395&lt;=0,"",LOOKUP(H1395,'Regras e Parâmetros'!$B$4:$B$7,'Regras e Parâmetros'!$A$4:$A$7))</f>
        <v>Bronze</v>
      </c>
      <c r="J1395" t="s">
        <v>6456</v>
      </c>
      <c r="K1395" t="s">
        <v>9861</v>
      </c>
      <c r="L1395" t="s">
        <v>9839</v>
      </c>
    </row>
    <row r="1396" spans="1:12" x14ac:dyDescent="0.3">
      <c r="A1396" t="s">
        <v>1158</v>
      </c>
      <c r="B1396" s="5" t="s">
        <v>7048</v>
      </c>
      <c r="C1396" t="s">
        <v>6456</v>
      </c>
      <c r="D1396" t="s">
        <v>1159</v>
      </c>
      <c r="E1396" t="s">
        <v>1160</v>
      </c>
      <c r="F1396" s="1">
        <v>44731</v>
      </c>
      <c r="G1396" t="s">
        <v>45</v>
      </c>
      <c r="H1396" s="24">
        <v>2815</v>
      </c>
      <c r="I1396" t="str">
        <f>IF(H1396&lt;=0,"",LOOKUP(H1396,'Regras e Parâmetros'!$B$4:$B$7,'Regras e Parâmetros'!$A$4:$A$7))</f>
        <v>Prata</v>
      </c>
      <c r="J1396" t="s">
        <v>9790</v>
      </c>
    </row>
    <row r="1397" spans="1:12" x14ac:dyDescent="0.3">
      <c r="A1397" t="s">
        <v>4229</v>
      </c>
      <c r="B1397" s="5" t="s">
        <v>4230</v>
      </c>
      <c r="C1397" t="s">
        <v>6456</v>
      </c>
      <c r="D1397" t="s">
        <v>4231</v>
      </c>
      <c r="E1397" t="s">
        <v>8791</v>
      </c>
      <c r="F1397" s="1">
        <v>45782</v>
      </c>
      <c r="G1397" t="s">
        <v>18</v>
      </c>
      <c r="H1397" s="24">
        <v>0</v>
      </c>
      <c r="I1397" t="str">
        <f>IF(H1397&lt;=0,"",LOOKUP(H1397,'Regras e Parâmetros'!$B$4:$B$7,'Regras e Parâmetros'!$A$4:$A$7))</f>
        <v/>
      </c>
      <c r="J1397" t="s">
        <v>9790</v>
      </c>
      <c r="L1397" t="s">
        <v>9883</v>
      </c>
    </row>
    <row r="1398" spans="1:12" x14ac:dyDescent="0.3">
      <c r="A1398" t="s">
        <v>3894</v>
      </c>
      <c r="B1398" s="5" t="s">
        <v>8607</v>
      </c>
      <c r="C1398" t="s">
        <v>6456</v>
      </c>
      <c r="D1398" t="s">
        <v>3895</v>
      </c>
      <c r="E1398" t="s">
        <v>3896</v>
      </c>
      <c r="F1398" s="1">
        <v>45690</v>
      </c>
      <c r="G1398" t="s">
        <v>100</v>
      </c>
      <c r="H1398" s="24">
        <v>0</v>
      </c>
      <c r="I1398" t="str">
        <f>IF(H1398&lt;=0,"",LOOKUP(H1398,'Regras e Parâmetros'!$B$4:$B$7,'Regras e Parâmetros'!$A$4:$A$7))</f>
        <v/>
      </c>
      <c r="J1398" t="s">
        <v>9790</v>
      </c>
      <c r="L1398" t="s">
        <v>9886</v>
      </c>
    </row>
    <row r="1399" spans="1:12" x14ac:dyDescent="0.3">
      <c r="A1399" t="s">
        <v>8926</v>
      </c>
      <c r="B1399" s="5" t="s">
        <v>8927</v>
      </c>
      <c r="C1399" t="s">
        <v>6456</v>
      </c>
      <c r="D1399" t="s">
        <v>4474</v>
      </c>
      <c r="E1399" t="s">
        <v>8928</v>
      </c>
      <c r="F1399" s="1">
        <v>45859</v>
      </c>
      <c r="G1399" t="s">
        <v>45</v>
      </c>
      <c r="H1399" s="24">
        <v>0</v>
      </c>
      <c r="I1399" t="str">
        <f>IF(H1399&lt;=0,"",LOOKUP(H1399,'Regras e Parâmetros'!$B$4:$B$7,'Regras e Parâmetros'!$A$4:$A$7))</f>
        <v/>
      </c>
      <c r="J1399" t="s">
        <v>9790</v>
      </c>
      <c r="K1399" t="s">
        <v>8</v>
      </c>
      <c r="L1399" t="s">
        <v>9883</v>
      </c>
    </row>
    <row r="1400" spans="1:12" x14ac:dyDescent="0.3">
      <c r="A1400" t="s">
        <v>3276</v>
      </c>
      <c r="B1400" s="5" t="s">
        <v>8252</v>
      </c>
      <c r="C1400" t="s">
        <v>6456</v>
      </c>
      <c r="D1400" t="s">
        <v>3277</v>
      </c>
      <c r="E1400" t="s">
        <v>3278</v>
      </c>
      <c r="F1400" s="1">
        <v>45490</v>
      </c>
      <c r="G1400" t="s">
        <v>51</v>
      </c>
      <c r="H1400" s="24">
        <v>1015</v>
      </c>
      <c r="I1400" t="str">
        <f>IF(H1400&lt;=0,"",LOOKUP(H1400,'Regras e Parâmetros'!$B$4:$B$7,'Regras e Parâmetros'!$A$4:$A$7))</f>
        <v>Bronze</v>
      </c>
      <c r="J1400" t="s">
        <v>9790</v>
      </c>
    </row>
    <row r="1401" spans="1:12" x14ac:dyDescent="0.3">
      <c r="A1401" t="s">
        <v>7130</v>
      </c>
      <c r="B1401" s="5" t="s">
        <v>7131</v>
      </c>
      <c r="C1401" t="s">
        <v>6456</v>
      </c>
      <c r="D1401" t="s">
        <v>1161</v>
      </c>
      <c r="E1401" t="s">
        <v>7132</v>
      </c>
      <c r="F1401" s="1">
        <v>44798</v>
      </c>
      <c r="G1401" t="s">
        <v>18</v>
      </c>
      <c r="H1401" s="24">
        <v>3140</v>
      </c>
      <c r="I1401" t="str">
        <f>IF(H1401&lt;=0,"",LOOKUP(H1401,'Regras e Parâmetros'!$B$4:$B$7,'Regras e Parâmetros'!$A$4:$A$7))</f>
        <v>Prata</v>
      </c>
      <c r="J1401" t="s">
        <v>9790</v>
      </c>
    </row>
    <row r="1402" spans="1:12" x14ac:dyDescent="0.3">
      <c r="A1402" t="s">
        <v>5712</v>
      </c>
      <c r="B1402" s="5" t="s">
        <v>9647</v>
      </c>
      <c r="C1402" t="s">
        <v>6456</v>
      </c>
      <c r="D1402" t="s">
        <v>5713</v>
      </c>
      <c r="E1402" t="s">
        <v>9648</v>
      </c>
      <c r="F1402" s="1">
        <v>46220</v>
      </c>
      <c r="G1402" t="s">
        <v>45</v>
      </c>
      <c r="H1402" s="24">
        <v>0</v>
      </c>
      <c r="I1402" t="str">
        <f>IF(H1402&lt;=0,"",LOOKUP(H1402,'Regras e Parâmetros'!$B$4:$B$7,'Regras e Parâmetros'!$A$4:$A$7))</f>
        <v/>
      </c>
      <c r="J1402" t="s">
        <v>9790</v>
      </c>
      <c r="L1402" t="s">
        <v>9883</v>
      </c>
    </row>
    <row r="1403" spans="1:12" x14ac:dyDescent="0.3">
      <c r="A1403" t="s">
        <v>9032</v>
      </c>
      <c r="B1403" s="5" t="s">
        <v>9033</v>
      </c>
      <c r="C1403" t="s">
        <v>6456</v>
      </c>
      <c r="D1403" t="s">
        <v>4647</v>
      </c>
      <c r="E1403" t="s">
        <v>9034</v>
      </c>
      <c r="F1403" s="1">
        <v>45910</v>
      </c>
      <c r="G1403" t="s">
        <v>100</v>
      </c>
      <c r="H1403" s="24">
        <v>0</v>
      </c>
      <c r="I1403" t="str">
        <f>IF(H1403&lt;=0,"",LOOKUP(H1403,'Regras e Parâmetros'!$B$4:$B$7,'Regras e Parâmetros'!$A$4:$A$7))</f>
        <v/>
      </c>
      <c r="J1403" t="s">
        <v>9790</v>
      </c>
      <c r="L1403" t="s">
        <v>9883</v>
      </c>
    </row>
    <row r="1404" spans="1:12" x14ac:dyDescent="0.3">
      <c r="A1404" t="s">
        <v>7762</v>
      </c>
      <c r="B1404" s="5" t="s">
        <v>2419</v>
      </c>
      <c r="C1404" t="s">
        <v>6456</v>
      </c>
      <c r="D1404" t="s">
        <v>2420</v>
      </c>
      <c r="E1404" t="s">
        <v>7763</v>
      </c>
      <c r="F1404" s="1">
        <v>45139</v>
      </c>
      <c r="G1404" t="s">
        <v>22</v>
      </c>
      <c r="H1404" s="24">
        <v>280</v>
      </c>
      <c r="I1404" t="str">
        <f>IF(H1404&lt;=0,"",LOOKUP(H1404,'Regras e Parâmetros'!$B$4:$B$7,'Regras e Parâmetros'!$A$4:$A$7))</f>
        <v>Bronze</v>
      </c>
      <c r="J1404" t="s">
        <v>9790</v>
      </c>
      <c r="K1404" t="s">
        <v>33</v>
      </c>
      <c r="L1404" t="s">
        <v>9791</v>
      </c>
    </row>
    <row r="1405" spans="1:12" x14ac:dyDescent="0.3">
      <c r="A1405" t="s">
        <v>1507</v>
      </c>
      <c r="B1405" s="5" t="s">
        <v>7295</v>
      </c>
      <c r="C1405" t="s">
        <v>6456</v>
      </c>
      <c r="D1405" t="s">
        <v>1508</v>
      </c>
      <c r="E1405" t="s">
        <v>7296</v>
      </c>
      <c r="F1405" s="1">
        <v>44882</v>
      </c>
      <c r="G1405" t="s">
        <v>45</v>
      </c>
      <c r="H1405" s="24">
        <v>10474</v>
      </c>
      <c r="I1405" t="str">
        <f>IF(H1405&lt;=0,"",LOOKUP(H1405,'Regras e Parâmetros'!$B$4:$B$7,'Regras e Parâmetros'!$A$4:$A$7))</f>
        <v>Vip</v>
      </c>
      <c r="J1405" t="s">
        <v>6456</v>
      </c>
    </row>
    <row r="1406" spans="1:12" x14ac:dyDescent="0.3">
      <c r="A1406" t="s">
        <v>4629</v>
      </c>
      <c r="B1406" s="5" t="s">
        <v>9023</v>
      </c>
      <c r="C1406" t="s">
        <v>6456</v>
      </c>
      <c r="D1406" t="s">
        <v>4630</v>
      </c>
      <c r="E1406" t="s">
        <v>9024</v>
      </c>
      <c r="F1406" s="1">
        <v>45903</v>
      </c>
      <c r="G1406" t="s">
        <v>110</v>
      </c>
      <c r="H1406" s="24">
        <v>0</v>
      </c>
      <c r="I1406" t="str">
        <f>IF(H1406&lt;=0,"",LOOKUP(H1406,'Regras e Parâmetros'!$B$4:$B$7,'Regras e Parâmetros'!$A$4:$A$7))</f>
        <v/>
      </c>
      <c r="J1406" t="s">
        <v>9790</v>
      </c>
      <c r="K1406" t="s">
        <v>8</v>
      </c>
      <c r="L1406" t="s">
        <v>9883</v>
      </c>
    </row>
    <row r="1407" spans="1:12" x14ac:dyDescent="0.3">
      <c r="A1407" t="s">
        <v>3103</v>
      </c>
      <c r="B1407" s="5" t="s">
        <v>8162</v>
      </c>
      <c r="C1407" t="s">
        <v>6456</v>
      </c>
      <c r="D1407" t="s">
        <v>3104</v>
      </c>
      <c r="E1407" t="s">
        <v>8163</v>
      </c>
      <c r="F1407" s="1">
        <v>45428</v>
      </c>
      <c r="G1407" t="s">
        <v>18</v>
      </c>
      <c r="H1407" s="24">
        <v>1074</v>
      </c>
      <c r="I1407" t="str">
        <f>IF(H1407&lt;=0,"",LOOKUP(H1407,'Regras e Parâmetros'!$B$4:$B$7,'Regras e Parâmetros'!$A$4:$A$7))</f>
        <v>Bronze</v>
      </c>
      <c r="J1407" t="s">
        <v>6747</v>
      </c>
    </row>
    <row r="1408" spans="1:12" x14ac:dyDescent="0.3">
      <c r="A1408" t="s">
        <v>404</v>
      </c>
      <c r="B1408" s="5" t="s">
        <v>6669</v>
      </c>
      <c r="C1408" t="s">
        <v>6456</v>
      </c>
      <c r="D1408" t="s">
        <v>405</v>
      </c>
      <c r="E1408" t="s">
        <v>6670</v>
      </c>
      <c r="F1408" s="1">
        <v>44486</v>
      </c>
      <c r="G1408" t="s">
        <v>51</v>
      </c>
      <c r="H1408" s="24">
        <v>12985</v>
      </c>
      <c r="I1408" t="str">
        <f>IF(H1408&lt;=0,"",LOOKUP(H1408,'Regras e Parâmetros'!$B$4:$B$7,'Regras e Parâmetros'!$A$4:$A$7))</f>
        <v>Vip</v>
      </c>
      <c r="J1408" t="s">
        <v>9790</v>
      </c>
    </row>
    <row r="1409" spans="1:12" x14ac:dyDescent="0.3">
      <c r="A1409" t="s">
        <v>7944</v>
      </c>
      <c r="B1409" s="5" t="s">
        <v>2645</v>
      </c>
      <c r="C1409" t="s">
        <v>6456</v>
      </c>
      <c r="D1409" t="s">
        <v>2646</v>
      </c>
      <c r="E1409" t="s">
        <v>7945</v>
      </c>
      <c r="F1409" s="1">
        <v>45247</v>
      </c>
      <c r="G1409" t="s">
        <v>18</v>
      </c>
      <c r="H1409" s="24">
        <v>65</v>
      </c>
      <c r="I1409" t="str">
        <f>IF(H1409&lt;=0,"",LOOKUP(H1409,'Regras e Parâmetros'!$B$4:$B$7,'Regras e Parâmetros'!$A$4:$A$7))</f>
        <v>Bronze</v>
      </c>
      <c r="J1409" t="s">
        <v>9790</v>
      </c>
    </row>
    <row r="1410" spans="1:12" x14ac:dyDescent="0.3">
      <c r="A1410" t="s">
        <v>5781</v>
      </c>
      <c r="B1410" s="5" t="s">
        <v>9682</v>
      </c>
      <c r="C1410" t="s">
        <v>6456</v>
      </c>
      <c r="D1410" t="s">
        <v>5782</v>
      </c>
      <c r="E1410" t="s">
        <v>9683</v>
      </c>
      <c r="F1410" s="1">
        <v>46235</v>
      </c>
      <c r="G1410" t="s">
        <v>110</v>
      </c>
      <c r="H1410" s="24">
        <v>0</v>
      </c>
      <c r="I1410" t="str">
        <f>IF(H1410&lt;=0,"",LOOKUP(H1410,'Regras e Parâmetros'!$B$4:$B$7,'Regras e Parâmetros'!$A$4:$A$7))</f>
        <v/>
      </c>
      <c r="J1410" t="s">
        <v>6456</v>
      </c>
      <c r="L1410" t="s">
        <v>9884</v>
      </c>
    </row>
    <row r="1411" spans="1:12" x14ac:dyDescent="0.3">
      <c r="A1411" t="s">
        <v>1857</v>
      </c>
      <c r="B1411" s="5" t="s">
        <v>7501</v>
      </c>
      <c r="C1411" t="s">
        <v>6456</v>
      </c>
      <c r="D1411" t="s">
        <v>1858</v>
      </c>
      <c r="E1411" t="s">
        <v>7502</v>
      </c>
      <c r="F1411" s="1">
        <v>44993</v>
      </c>
      <c r="G1411" t="s">
        <v>100</v>
      </c>
      <c r="H1411" s="24">
        <v>734</v>
      </c>
      <c r="I1411" t="str">
        <f>IF(H1411&lt;=0,"",LOOKUP(H1411,'Regras e Parâmetros'!$B$4:$B$7,'Regras e Parâmetros'!$A$4:$A$7))</f>
        <v>Bronze</v>
      </c>
      <c r="J1411" t="s">
        <v>6456</v>
      </c>
    </row>
    <row r="1412" spans="1:12" x14ac:dyDescent="0.3">
      <c r="A1412" t="s">
        <v>5487</v>
      </c>
      <c r="B1412" s="5" t="s">
        <v>9515</v>
      </c>
      <c r="C1412" t="s">
        <v>6456</v>
      </c>
      <c r="D1412" t="s">
        <v>5488</v>
      </c>
      <c r="E1412" t="s">
        <v>5489</v>
      </c>
      <c r="F1412" s="1">
        <v>46155</v>
      </c>
      <c r="G1412" t="s">
        <v>45</v>
      </c>
      <c r="H1412" s="24">
        <v>0</v>
      </c>
      <c r="I1412" t="str">
        <f>IF(H1412&lt;=0,"",LOOKUP(H1412,'Regras e Parâmetros'!$B$4:$B$7,'Regras e Parâmetros'!$A$4:$A$7))</f>
        <v/>
      </c>
      <c r="J1412" t="s">
        <v>6747</v>
      </c>
      <c r="K1412" t="s">
        <v>33</v>
      </c>
      <c r="L1412" t="s">
        <v>9886</v>
      </c>
    </row>
    <row r="1413" spans="1:12" x14ac:dyDescent="0.3">
      <c r="A1413" t="s">
        <v>2757</v>
      </c>
      <c r="B1413" s="5" t="s">
        <v>2758</v>
      </c>
      <c r="C1413" t="s">
        <v>6456</v>
      </c>
      <c r="D1413" t="s">
        <v>2759</v>
      </c>
      <c r="E1413" t="s">
        <v>2760</v>
      </c>
      <c r="F1413" s="1">
        <v>45292</v>
      </c>
      <c r="G1413" t="s">
        <v>110</v>
      </c>
      <c r="H1413" s="24">
        <v>1209</v>
      </c>
      <c r="I1413" t="str">
        <f>IF(H1413&lt;=0,"",LOOKUP(H1413,'Regras e Parâmetros'!$B$4:$B$7,'Regras e Parâmetros'!$A$4:$A$7))</f>
        <v>Bronze</v>
      </c>
      <c r="J1413" t="s">
        <v>6747</v>
      </c>
      <c r="L1413" t="s">
        <v>9792</v>
      </c>
    </row>
    <row r="1414" spans="1:12" x14ac:dyDescent="0.3">
      <c r="A1414" t="s">
        <v>3742</v>
      </c>
      <c r="B1414" s="5" t="s">
        <v>8490</v>
      </c>
      <c r="C1414" t="s">
        <v>6456</v>
      </c>
      <c r="D1414" t="s">
        <v>3743</v>
      </c>
      <c r="E1414" t="s">
        <v>3744</v>
      </c>
      <c r="F1414" s="1">
        <v>45640</v>
      </c>
      <c r="G1414" t="s">
        <v>45</v>
      </c>
      <c r="H1414" s="24">
        <v>160</v>
      </c>
      <c r="I1414" t="str">
        <f>IF(H1414&lt;=0,"",LOOKUP(H1414,'Regras e Parâmetros'!$B$4:$B$7,'Regras e Parâmetros'!$A$4:$A$7))</f>
        <v>Bronze</v>
      </c>
      <c r="J1414" t="s">
        <v>9790</v>
      </c>
      <c r="K1414" t="s">
        <v>44</v>
      </c>
      <c r="L1414" t="s">
        <v>9792</v>
      </c>
    </row>
    <row r="1415" spans="1:12" x14ac:dyDescent="0.3">
      <c r="A1415" t="s">
        <v>2202</v>
      </c>
      <c r="B1415" s="5" t="s">
        <v>7695</v>
      </c>
      <c r="C1415" t="s">
        <v>6456</v>
      </c>
      <c r="D1415" t="s">
        <v>2203</v>
      </c>
      <c r="E1415" t="s">
        <v>7696</v>
      </c>
      <c r="F1415" s="1">
        <v>45110</v>
      </c>
      <c r="G1415" t="s">
        <v>51</v>
      </c>
      <c r="H1415" s="24">
        <v>2449</v>
      </c>
      <c r="I1415" t="str">
        <f>IF(H1415&lt;=0,"",LOOKUP(H1415,'Regras e Parâmetros'!$B$4:$B$7,'Regras e Parâmetros'!$A$4:$A$7))</f>
        <v>Prata</v>
      </c>
      <c r="J1415" t="s">
        <v>9790</v>
      </c>
      <c r="K1415" t="s">
        <v>72</v>
      </c>
    </row>
    <row r="1416" spans="1:12" x14ac:dyDescent="0.3">
      <c r="A1416" t="s">
        <v>3606</v>
      </c>
      <c r="B1416" s="5" t="s">
        <v>3607</v>
      </c>
      <c r="C1416" t="s">
        <v>6456</v>
      </c>
      <c r="D1416" t="s">
        <v>3608</v>
      </c>
      <c r="E1416" t="s">
        <v>8429</v>
      </c>
      <c r="F1416" s="1">
        <v>45598</v>
      </c>
      <c r="G1416" t="s">
        <v>100</v>
      </c>
      <c r="H1416" s="24">
        <v>797</v>
      </c>
      <c r="I1416" t="str">
        <f>IF(H1416&lt;=0,"",LOOKUP(H1416,'Regras e Parâmetros'!$B$4:$B$7,'Regras e Parâmetros'!$A$4:$A$7))</f>
        <v>Bronze</v>
      </c>
      <c r="J1416" t="s">
        <v>6456</v>
      </c>
    </row>
    <row r="1417" spans="1:12" x14ac:dyDescent="0.3">
      <c r="A1417" t="s">
        <v>5586</v>
      </c>
      <c r="B1417" s="5" t="s">
        <v>5587</v>
      </c>
      <c r="C1417" t="s">
        <v>6456</v>
      </c>
      <c r="D1417" t="s">
        <v>5021</v>
      </c>
      <c r="E1417" t="s">
        <v>9562</v>
      </c>
      <c r="F1417" s="1">
        <v>46174</v>
      </c>
      <c r="G1417" t="s">
        <v>110</v>
      </c>
      <c r="H1417" s="24">
        <v>0</v>
      </c>
      <c r="I1417" t="str">
        <f>IF(H1417&lt;=0,"",LOOKUP(H1417,'Regras e Parâmetros'!$B$4:$B$7,'Regras e Parâmetros'!$A$4:$A$7))</f>
        <v/>
      </c>
      <c r="J1417" t="s">
        <v>6456</v>
      </c>
      <c r="L1417" t="s">
        <v>9884</v>
      </c>
    </row>
    <row r="1418" spans="1:12" x14ac:dyDescent="0.3">
      <c r="A1418" t="s">
        <v>5057</v>
      </c>
      <c r="B1418" s="5" t="s">
        <v>9277</v>
      </c>
      <c r="C1418" t="s">
        <v>6456</v>
      </c>
      <c r="D1418" t="s">
        <v>5058</v>
      </c>
      <c r="E1418" t="s">
        <v>9278</v>
      </c>
      <c r="F1418" s="1">
        <v>46033</v>
      </c>
      <c r="G1418" t="s">
        <v>18</v>
      </c>
      <c r="H1418" s="24">
        <v>0</v>
      </c>
      <c r="I1418" t="str">
        <f>IF(H1418&lt;=0,"",LOOKUP(H1418,'Regras e Parâmetros'!$B$4:$B$7,'Regras e Parâmetros'!$A$4:$A$7))</f>
        <v/>
      </c>
      <c r="J1418" t="s">
        <v>9790</v>
      </c>
      <c r="L1418" t="s">
        <v>9883</v>
      </c>
    </row>
    <row r="1419" spans="1:12" x14ac:dyDescent="0.3">
      <c r="A1419" t="s">
        <v>1803</v>
      </c>
      <c r="B1419" s="5" t="s">
        <v>1804</v>
      </c>
      <c r="C1419" t="s">
        <v>6456</v>
      </c>
      <c r="D1419" t="s">
        <v>1805</v>
      </c>
      <c r="E1419" t="s">
        <v>7465</v>
      </c>
      <c r="F1419" s="1">
        <v>44973</v>
      </c>
      <c r="G1419" t="s">
        <v>45</v>
      </c>
      <c r="H1419" s="24">
        <v>15000</v>
      </c>
      <c r="I1419" t="str">
        <f>IF(H1419&lt;=0,"",LOOKUP(H1419,'Regras e Parâmetros'!$B$4:$B$7,'Regras e Parâmetros'!$A$4:$A$7))</f>
        <v>Vip</v>
      </c>
      <c r="J1419" t="s">
        <v>6747</v>
      </c>
      <c r="L1419" t="s">
        <v>9793</v>
      </c>
    </row>
    <row r="1420" spans="1:12" x14ac:dyDescent="0.3">
      <c r="A1420" t="s">
        <v>5680</v>
      </c>
      <c r="B1420" s="5" t="s">
        <v>9632</v>
      </c>
      <c r="C1420" t="s">
        <v>6456</v>
      </c>
      <c r="D1420" t="s">
        <v>5681</v>
      </c>
      <c r="E1420" t="s">
        <v>9633</v>
      </c>
      <c r="F1420" s="1">
        <v>46212</v>
      </c>
      <c r="G1420" t="s">
        <v>110</v>
      </c>
      <c r="H1420" s="24">
        <v>0</v>
      </c>
      <c r="I1420" t="str">
        <f>IF(H1420&lt;=0,"",LOOKUP(H1420,'Regras e Parâmetros'!$B$4:$B$7,'Regras e Parâmetros'!$A$4:$A$7))</f>
        <v/>
      </c>
      <c r="J1420" t="s">
        <v>6456</v>
      </c>
      <c r="K1420" t="s">
        <v>177</v>
      </c>
      <c r="L1420" t="s">
        <v>9883</v>
      </c>
    </row>
    <row r="1421" spans="1:12" x14ac:dyDescent="0.3">
      <c r="A1421" t="s">
        <v>3609</v>
      </c>
      <c r="B1421" s="5" t="s">
        <v>8418</v>
      </c>
      <c r="C1421" t="s">
        <v>6456</v>
      </c>
      <c r="D1421" t="s">
        <v>3610</v>
      </c>
      <c r="E1421" t="s">
        <v>3611</v>
      </c>
      <c r="F1421" s="1">
        <v>45597</v>
      </c>
      <c r="G1421" t="s">
        <v>110</v>
      </c>
      <c r="H1421" s="24">
        <v>637</v>
      </c>
      <c r="I1421" t="str">
        <f>IF(H1421&lt;=0,"",LOOKUP(H1421,'Regras e Parâmetros'!$B$4:$B$7,'Regras e Parâmetros'!$A$4:$A$7))</f>
        <v>Bronze</v>
      </c>
      <c r="J1421" t="s">
        <v>9790</v>
      </c>
      <c r="L1421" t="s">
        <v>9789</v>
      </c>
    </row>
    <row r="1422" spans="1:12" x14ac:dyDescent="0.3">
      <c r="A1422" t="s">
        <v>5748</v>
      </c>
      <c r="B1422" s="5" t="s">
        <v>9668</v>
      </c>
      <c r="C1422" t="s">
        <v>6456</v>
      </c>
      <c r="D1422" t="s">
        <v>89</v>
      </c>
      <c r="E1422" t="s">
        <v>10117</v>
      </c>
      <c r="F1422" s="1">
        <v>46232</v>
      </c>
      <c r="G1422" t="s">
        <v>110</v>
      </c>
      <c r="H1422" s="24">
        <v>0</v>
      </c>
      <c r="I1422" t="str">
        <f>IF(H1422&lt;=0,"",LOOKUP(H1422,'Regras e Parâmetros'!$B$4:$B$7,'Regras e Parâmetros'!$A$4:$A$7))</f>
        <v/>
      </c>
      <c r="J1422" t="s">
        <v>6456</v>
      </c>
      <c r="K1422" t="s">
        <v>44</v>
      </c>
      <c r="L1422" t="s">
        <v>9883</v>
      </c>
    </row>
    <row r="1423" spans="1:12" x14ac:dyDescent="0.3">
      <c r="A1423" t="s">
        <v>7439</v>
      </c>
      <c r="B1423" s="5" t="s">
        <v>7440</v>
      </c>
      <c r="C1423" t="s">
        <v>6456</v>
      </c>
      <c r="D1423" t="s">
        <v>1761</v>
      </c>
      <c r="E1423" t="s">
        <v>1762</v>
      </c>
      <c r="F1423" s="1">
        <v>44960</v>
      </c>
      <c r="G1423" t="s">
        <v>45</v>
      </c>
      <c r="H1423" s="24">
        <v>185</v>
      </c>
      <c r="I1423" t="str">
        <f>IF(H1423&lt;=0,"",LOOKUP(H1423,'Regras e Parâmetros'!$B$4:$B$7,'Regras e Parâmetros'!$A$4:$A$7))</f>
        <v>Bronze</v>
      </c>
      <c r="J1423" t="s">
        <v>9790</v>
      </c>
    </row>
    <row r="1424" spans="1:12" x14ac:dyDescent="0.3">
      <c r="A1424" t="s">
        <v>5141</v>
      </c>
      <c r="B1424" s="5" t="s">
        <v>9318</v>
      </c>
      <c r="C1424" t="s">
        <v>6456</v>
      </c>
      <c r="D1424" t="s">
        <v>5142</v>
      </c>
      <c r="E1424" t="s">
        <v>10118</v>
      </c>
      <c r="F1424" s="1">
        <v>46054</v>
      </c>
      <c r="G1424" t="s">
        <v>51</v>
      </c>
      <c r="H1424" s="24">
        <v>0</v>
      </c>
      <c r="I1424" t="str">
        <f>IF(H1424&lt;=0,"",LOOKUP(H1424,'Regras e Parâmetros'!$B$4:$B$7,'Regras e Parâmetros'!$A$4:$A$7))</f>
        <v/>
      </c>
      <c r="J1424" t="s">
        <v>6747</v>
      </c>
      <c r="L1424" t="s">
        <v>9883</v>
      </c>
    </row>
    <row r="1425" spans="1:12" x14ac:dyDescent="0.3">
      <c r="A1425" t="s">
        <v>3389</v>
      </c>
      <c r="B1425" s="5" t="s">
        <v>8313</v>
      </c>
      <c r="C1425" t="s">
        <v>6456</v>
      </c>
      <c r="D1425" t="s">
        <v>3390</v>
      </c>
      <c r="E1425" t="s">
        <v>3391</v>
      </c>
      <c r="F1425" s="1">
        <v>45525</v>
      </c>
      <c r="G1425" t="s">
        <v>51</v>
      </c>
      <c r="H1425" s="24">
        <v>23</v>
      </c>
      <c r="I1425" t="str">
        <f>IF(H1425&lt;=0,"",LOOKUP(H1425,'Regras e Parâmetros'!$B$4:$B$7,'Regras e Parâmetros'!$A$4:$A$7))</f>
        <v>Bronze</v>
      </c>
      <c r="J1425" t="s">
        <v>9790</v>
      </c>
      <c r="L1425" t="s">
        <v>9792</v>
      </c>
    </row>
    <row r="1426" spans="1:12" x14ac:dyDescent="0.3">
      <c r="A1426" t="s">
        <v>6739</v>
      </c>
      <c r="B1426" s="5" t="s">
        <v>6740</v>
      </c>
      <c r="C1426" t="s">
        <v>6456</v>
      </c>
      <c r="D1426" t="s">
        <v>564</v>
      </c>
      <c r="E1426" t="s">
        <v>565</v>
      </c>
      <c r="F1426" s="1">
        <v>44531</v>
      </c>
      <c r="G1426" t="s">
        <v>51</v>
      </c>
      <c r="H1426" s="24">
        <v>85</v>
      </c>
      <c r="I1426" t="str">
        <f>IF(H1426&lt;=0,"",LOOKUP(H1426,'Regras e Parâmetros'!$B$4:$B$7,'Regras e Parâmetros'!$A$4:$A$7))</f>
        <v>Bronze</v>
      </c>
      <c r="J1426" t="s">
        <v>6456</v>
      </c>
      <c r="L1426" t="s">
        <v>9791</v>
      </c>
    </row>
    <row r="1427" spans="1:12" x14ac:dyDescent="0.3">
      <c r="A1427" t="s">
        <v>7380</v>
      </c>
      <c r="B1427" s="5" t="s">
        <v>7381</v>
      </c>
      <c r="C1427" t="s">
        <v>6456</v>
      </c>
      <c r="D1427" t="s">
        <v>1650</v>
      </c>
      <c r="E1427" t="s">
        <v>1651</v>
      </c>
      <c r="F1427" s="1">
        <v>44926</v>
      </c>
      <c r="G1427" t="s">
        <v>45</v>
      </c>
      <c r="H1427" s="24">
        <v>392</v>
      </c>
      <c r="I1427" t="str">
        <f>IF(H1427&lt;=0,"",LOOKUP(H1427,'Regras e Parâmetros'!$B$4:$B$7,'Regras e Parâmetros'!$A$4:$A$7))</f>
        <v>Bronze</v>
      </c>
      <c r="J1427" t="s">
        <v>6456</v>
      </c>
      <c r="L1427" t="s">
        <v>9792</v>
      </c>
    </row>
    <row r="1428" spans="1:12" x14ac:dyDescent="0.3">
      <c r="A1428" t="s">
        <v>2861</v>
      </c>
      <c r="B1428" s="5" t="s">
        <v>8051</v>
      </c>
      <c r="C1428" t="s">
        <v>6456</v>
      </c>
      <c r="D1428" t="s">
        <v>2862</v>
      </c>
      <c r="E1428" t="s">
        <v>2863</v>
      </c>
      <c r="F1428" s="1">
        <v>45344</v>
      </c>
      <c r="G1428" t="s">
        <v>22</v>
      </c>
      <c r="H1428" s="24">
        <v>128</v>
      </c>
      <c r="I1428" t="str">
        <f>IF(H1428&lt;=0,"",LOOKUP(H1428,'Regras e Parâmetros'!$B$4:$B$7,'Regras e Parâmetros'!$A$4:$A$7))</f>
        <v>Bronze</v>
      </c>
      <c r="J1428" t="s">
        <v>9790</v>
      </c>
    </row>
    <row r="1429" spans="1:12" x14ac:dyDescent="0.3">
      <c r="A1429" t="s">
        <v>3798</v>
      </c>
      <c r="B1429" s="5" t="s">
        <v>8534</v>
      </c>
      <c r="C1429" t="s">
        <v>6456</v>
      </c>
      <c r="D1429" t="s">
        <v>3799</v>
      </c>
      <c r="E1429" t="s">
        <v>3800</v>
      </c>
      <c r="F1429" s="1">
        <v>45662</v>
      </c>
      <c r="G1429" t="s">
        <v>100</v>
      </c>
      <c r="H1429" s="24">
        <v>0</v>
      </c>
      <c r="I1429" t="str">
        <f>IF(H1429&lt;=0,"",LOOKUP(H1429,'Regras e Parâmetros'!$B$4:$B$7,'Regras e Parâmetros'!$A$4:$A$7))</f>
        <v/>
      </c>
      <c r="J1429" t="s">
        <v>6456</v>
      </c>
      <c r="L1429" t="s">
        <v>9883</v>
      </c>
    </row>
    <row r="1430" spans="1:12" x14ac:dyDescent="0.3">
      <c r="A1430" t="s">
        <v>2596</v>
      </c>
      <c r="B1430" s="5" t="s">
        <v>6027</v>
      </c>
      <c r="C1430" t="s">
        <v>6456</v>
      </c>
      <c r="D1430" t="s">
        <v>2597</v>
      </c>
      <c r="E1430" t="s">
        <v>7917</v>
      </c>
      <c r="F1430" s="1">
        <v>45236</v>
      </c>
      <c r="G1430" t="s">
        <v>51</v>
      </c>
      <c r="H1430" s="24">
        <v>1160</v>
      </c>
      <c r="I1430" t="str">
        <f>IF(H1430&lt;=0,"",LOOKUP(H1430,'Regras e Parâmetros'!$B$4:$B$7,'Regras e Parâmetros'!$A$4:$A$7))</f>
        <v>Bronze</v>
      </c>
      <c r="J1430" t="s">
        <v>6456</v>
      </c>
    </row>
    <row r="1431" spans="1:12" x14ac:dyDescent="0.3">
      <c r="A1431" t="s">
        <v>3117</v>
      </c>
      <c r="B1431" s="5" t="s">
        <v>9955</v>
      </c>
      <c r="C1431" t="s">
        <v>6456</v>
      </c>
      <c r="D1431" t="s">
        <v>3118</v>
      </c>
      <c r="E1431" t="s">
        <v>8168</v>
      </c>
      <c r="F1431" s="1">
        <v>45431</v>
      </c>
      <c r="G1431" t="s">
        <v>51</v>
      </c>
      <c r="H1431" s="24">
        <v>2707</v>
      </c>
      <c r="I1431" t="str">
        <f>IF(H1431&lt;=0,"",LOOKUP(H1431,'Regras e Parâmetros'!$B$4:$B$7,'Regras e Parâmetros'!$A$4:$A$7))</f>
        <v>Prata</v>
      </c>
      <c r="J1431" t="s">
        <v>6747</v>
      </c>
      <c r="K1431" t="s">
        <v>10057</v>
      </c>
    </row>
    <row r="1432" spans="1:12" x14ac:dyDescent="0.3">
      <c r="A1432" t="s">
        <v>802</v>
      </c>
      <c r="B1432" s="5" t="s">
        <v>6888</v>
      </c>
      <c r="C1432" t="s">
        <v>6456</v>
      </c>
      <c r="D1432" t="s">
        <v>804</v>
      </c>
      <c r="E1432" t="s">
        <v>805</v>
      </c>
      <c r="F1432" s="1">
        <v>44621</v>
      </c>
      <c r="G1432" t="s">
        <v>51</v>
      </c>
      <c r="H1432" s="24">
        <v>5100</v>
      </c>
      <c r="I1432" t="str">
        <f>IF(H1432&lt;=0,"",LOOKUP(H1432,'Regras e Parâmetros'!$B$4:$B$7,'Regras e Parâmetros'!$A$4:$A$7))</f>
        <v>Ouro</v>
      </c>
      <c r="J1432" t="s">
        <v>6456</v>
      </c>
      <c r="L1432" t="s">
        <v>9812</v>
      </c>
    </row>
    <row r="1433" spans="1:12" x14ac:dyDescent="0.3">
      <c r="A1433" t="s">
        <v>639</v>
      </c>
      <c r="B1433" s="5" t="s">
        <v>6801</v>
      </c>
      <c r="C1433" t="s">
        <v>6456</v>
      </c>
      <c r="D1433" t="s">
        <v>640</v>
      </c>
      <c r="E1433" t="s">
        <v>641</v>
      </c>
      <c r="F1433" s="1">
        <v>44570</v>
      </c>
      <c r="G1433" t="s">
        <v>45</v>
      </c>
      <c r="H1433" s="24">
        <v>1384</v>
      </c>
      <c r="I1433" t="str">
        <f>IF(H1433&lt;=0,"",LOOKUP(H1433,'Regras e Parâmetros'!$B$4:$B$7,'Regras e Parâmetros'!$A$4:$A$7))</f>
        <v>Bronze</v>
      </c>
      <c r="J1433" t="s">
        <v>9790</v>
      </c>
    </row>
    <row r="1434" spans="1:12" x14ac:dyDescent="0.3">
      <c r="A1434" t="s">
        <v>6090</v>
      </c>
      <c r="B1434" s="5" t="s">
        <v>7884</v>
      </c>
      <c r="C1434" t="s">
        <v>6456</v>
      </c>
      <c r="D1434" t="s">
        <v>2537</v>
      </c>
      <c r="E1434" t="s">
        <v>2538</v>
      </c>
      <c r="F1434" s="1">
        <v>45210</v>
      </c>
      <c r="G1434" t="s">
        <v>45</v>
      </c>
      <c r="H1434" s="24">
        <v>0</v>
      </c>
      <c r="I1434" t="str">
        <f>IF(H1434&lt;=0,"",LOOKUP(H1434,'Regras e Parâmetros'!$B$4:$B$7,'Regras e Parâmetros'!$A$4:$A$7))</f>
        <v/>
      </c>
      <c r="J1434" t="s">
        <v>6456</v>
      </c>
    </row>
    <row r="1435" spans="1:12" x14ac:dyDescent="0.3">
      <c r="A1435" t="s">
        <v>795</v>
      </c>
      <c r="B1435" s="5" t="s">
        <v>796</v>
      </c>
      <c r="C1435" t="s">
        <v>6456</v>
      </c>
      <c r="D1435" t="s">
        <v>2132</v>
      </c>
      <c r="E1435" t="s">
        <v>797</v>
      </c>
      <c r="F1435" s="1">
        <v>44621</v>
      </c>
      <c r="G1435" t="s">
        <v>45</v>
      </c>
      <c r="H1435" s="24">
        <v>4930</v>
      </c>
      <c r="I1435" t="str">
        <f>IF(H1435&lt;=0,"",LOOKUP(H1435,'Regras e Parâmetros'!$B$4:$B$7,'Regras e Parâmetros'!$A$4:$A$7))</f>
        <v>Prata</v>
      </c>
      <c r="J1435" t="s">
        <v>9790</v>
      </c>
      <c r="K1435" t="s">
        <v>9811</v>
      </c>
      <c r="L1435" t="s">
        <v>9791</v>
      </c>
    </row>
    <row r="1436" spans="1:12" x14ac:dyDescent="0.3">
      <c r="A1436" t="s">
        <v>5275</v>
      </c>
      <c r="B1436" s="5" t="s">
        <v>5276</v>
      </c>
      <c r="C1436" t="s">
        <v>6456</v>
      </c>
      <c r="D1436" t="s">
        <v>5277</v>
      </c>
      <c r="E1436" t="s">
        <v>9414</v>
      </c>
      <c r="F1436" s="1">
        <v>46101</v>
      </c>
      <c r="G1436" t="s">
        <v>51</v>
      </c>
      <c r="H1436" s="24">
        <v>0</v>
      </c>
      <c r="I1436" t="str">
        <f>IF(H1436&lt;=0,"",LOOKUP(H1436,'Regras e Parâmetros'!$B$4:$B$7,'Regras e Parâmetros'!$A$4:$A$7))</f>
        <v/>
      </c>
      <c r="J1436" t="s">
        <v>6747</v>
      </c>
      <c r="L1436" t="s">
        <v>9883</v>
      </c>
    </row>
    <row r="1437" spans="1:12" x14ac:dyDescent="0.3">
      <c r="A1437" t="s">
        <v>7544</v>
      </c>
      <c r="B1437" s="5" t="s">
        <v>7545</v>
      </c>
      <c r="C1437" t="s">
        <v>6456</v>
      </c>
      <c r="D1437" t="s">
        <v>1926</v>
      </c>
      <c r="E1437" t="s">
        <v>1927</v>
      </c>
      <c r="F1437" s="1">
        <v>45018</v>
      </c>
      <c r="G1437" t="s">
        <v>45</v>
      </c>
      <c r="H1437" s="24">
        <v>0</v>
      </c>
      <c r="I1437" t="str">
        <f>IF(H1437&lt;=0,"",LOOKUP(H1437,'Regras e Parâmetros'!$B$4:$B$7,'Regras e Parâmetros'!$A$4:$A$7))</f>
        <v/>
      </c>
      <c r="J1437" t="s">
        <v>6456</v>
      </c>
      <c r="L1437" t="s">
        <v>9792</v>
      </c>
    </row>
    <row r="1438" spans="1:12" x14ac:dyDescent="0.3">
      <c r="A1438" t="s">
        <v>4946</v>
      </c>
      <c r="B1438" s="5" t="s">
        <v>9216</v>
      </c>
      <c r="C1438" t="s">
        <v>6456</v>
      </c>
      <c r="D1438" t="s">
        <v>4947</v>
      </c>
      <c r="E1438" t="s">
        <v>4948</v>
      </c>
      <c r="F1438" s="1">
        <v>45998</v>
      </c>
      <c r="G1438" t="s">
        <v>22</v>
      </c>
      <c r="H1438" s="24">
        <v>0</v>
      </c>
      <c r="I1438" t="str">
        <f>IF(H1438&lt;=0,"",LOOKUP(H1438,'Regras e Parâmetros'!$B$4:$B$7,'Regras e Parâmetros'!$A$4:$A$7))</f>
        <v/>
      </c>
      <c r="J1438" t="s">
        <v>6456</v>
      </c>
      <c r="L1438" t="s">
        <v>9883</v>
      </c>
    </row>
    <row r="1439" spans="1:12" x14ac:dyDescent="0.3">
      <c r="A1439" t="s">
        <v>1448</v>
      </c>
      <c r="B1439" s="5" t="s">
        <v>7268</v>
      </c>
      <c r="C1439" t="s">
        <v>6456</v>
      </c>
      <c r="D1439" t="s">
        <v>1449</v>
      </c>
      <c r="E1439" t="s">
        <v>7269</v>
      </c>
      <c r="F1439" s="1">
        <v>44868</v>
      </c>
      <c r="G1439" t="s">
        <v>110</v>
      </c>
      <c r="H1439" s="24">
        <v>728</v>
      </c>
      <c r="I1439" t="str">
        <f>IF(H1439&lt;=0,"",LOOKUP(H1439,'Regras e Parâmetros'!$B$4:$B$7,'Regras e Parâmetros'!$A$4:$A$7))</f>
        <v>Bronze</v>
      </c>
      <c r="J1439" t="s">
        <v>6747</v>
      </c>
    </row>
    <row r="1440" spans="1:12" x14ac:dyDescent="0.3">
      <c r="A1440" t="s">
        <v>977</v>
      </c>
      <c r="B1440" s="5" t="s">
        <v>7003</v>
      </c>
      <c r="C1440" t="s">
        <v>6456</v>
      </c>
      <c r="D1440" t="s">
        <v>978</v>
      </c>
      <c r="E1440" t="s">
        <v>979</v>
      </c>
      <c r="F1440" s="1">
        <v>44702</v>
      </c>
      <c r="G1440" t="s">
        <v>45</v>
      </c>
      <c r="H1440" s="24">
        <v>454</v>
      </c>
      <c r="I1440" t="str">
        <f>IF(H1440&lt;=0,"",LOOKUP(H1440,'Regras e Parâmetros'!$B$4:$B$7,'Regras e Parâmetros'!$A$4:$A$7))</f>
        <v>Bronze</v>
      </c>
      <c r="J1440" t="s">
        <v>9790</v>
      </c>
    </row>
    <row r="1441" spans="1:12" x14ac:dyDescent="0.3">
      <c r="A1441" t="s">
        <v>283</v>
      </c>
      <c r="B1441" s="5" t="s">
        <v>6594</v>
      </c>
      <c r="C1441" t="s">
        <v>6456</v>
      </c>
      <c r="D1441" t="s">
        <v>284</v>
      </c>
      <c r="E1441" t="s">
        <v>285</v>
      </c>
      <c r="F1441" s="1">
        <v>44440</v>
      </c>
      <c r="G1441" t="s">
        <v>110</v>
      </c>
      <c r="H1441" s="24">
        <v>763</v>
      </c>
      <c r="I1441" t="str">
        <f>IF(H1441&lt;=0,"",LOOKUP(H1441,'Regras e Parâmetros'!$B$4:$B$7,'Regras e Parâmetros'!$A$4:$A$7))</f>
        <v>Bronze</v>
      </c>
      <c r="J1441" t="s">
        <v>9790</v>
      </c>
    </row>
    <row r="1442" spans="1:12" x14ac:dyDescent="0.3">
      <c r="A1442" t="s">
        <v>6982</v>
      </c>
      <c r="B1442" s="5" t="s">
        <v>6983</v>
      </c>
      <c r="C1442" t="s">
        <v>6456</v>
      </c>
      <c r="D1442" t="s">
        <v>942</v>
      </c>
      <c r="E1442" t="s">
        <v>943</v>
      </c>
      <c r="F1442" s="1">
        <v>44686</v>
      </c>
      <c r="G1442" t="s">
        <v>110</v>
      </c>
      <c r="H1442" s="24">
        <v>199</v>
      </c>
      <c r="I1442" t="str">
        <f>IF(H1442&lt;=0,"",LOOKUP(H1442,'Regras e Parâmetros'!$B$4:$B$7,'Regras e Parâmetros'!$A$4:$A$7))</f>
        <v>Bronze</v>
      </c>
      <c r="J1442" t="s">
        <v>6747</v>
      </c>
    </row>
    <row r="1443" spans="1:12" x14ac:dyDescent="0.3">
      <c r="A1443" t="s">
        <v>4218</v>
      </c>
      <c r="B1443" s="5" t="s">
        <v>4219</v>
      </c>
      <c r="C1443" t="s">
        <v>6456</v>
      </c>
      <c r="D1443" t="s">
        <v>4220</v>
      </c>
      <c r="E1443" t="s">
        <v>4221</v>
      </c>
      <c r="F1443" s="1">
        <v>45779</v>
      </c>
      <c r="G1443" t="s">
        <v>110</v>
      </c>
      <c r="H1443" s="24">
        <v>0</v>
      </c>
      <c r="I1443" t="str">
        <f>IF(H1443&lt;=0,"",LOOKUP(H1443,'Regras e Parâmetros'!$B$4:$B$7,'Regras e Parâmetros'!$A$4:$A$7))</f>
        <v/>
      </c>
      <c r="J1443" t="s">
        <v>9790</v>
      </c>
      <c r="L1443" t="s">
        <v>9883</v>
      </c>
    </row>
    <row r="1444" spans="1:12" x14ac:dyDescent="0.3">
      <c r="A1444" t="s">
        <v>5296</v>
      </c>
      <c r="B1444" s="5" t="s">
        <v>5297</v>
      </c>
      <c r="C1444" t="s">
        <v>6456</v>
      </c>
      <c r="D1444" t="s">
        <v>5298</v>
      </c>
      <c r="E1444" t="s">
        <v>9426</v>
      </c>
      <c r="F1444" s="1">
        <v>46105</v>
      </c>
      <c r="G1444" t="s">
        <v>110</v>
      </c>
      <c r="H1444" s="24">
        <v>0</v>
      </c>
      <c r="I1444" t="str">
        <f>IF(H1444&lt;=0,"",LOOKUP(H1444,'Regras e Parâmetros'!$B$4:$B$7,'Regras e Parâmetros'!$A$4:$A$7))</f>
        <v/>
      </c>
      <c r="J1444" t="s">
        <v>9790</v>
      </c>
      <c r="L1444" t="s">
        <v>9883</v>
      </c>
    </row>
    <row r="1445" spans="1:12" x14ac:dyDescent="0.3">
      <c r="A1445" t="s">
        <v>8968</v>
      </c>
      <c r="B1445" s="5" t="s">
        <v>4535</v>
      </c>
      <c r="C1445" t="s">
        <v>6456</v>
      </c>
      <c r="D1445" t="s">
        <v>4536</v>
      </c>
      <c r="E1445" t="s">
        <v>8969</v>
      </c>
      <c r="F1445" s="1">
        <v>45879</v>
      </c>
      <c r="G1445" t="s">
        <v>45</v>
      </c>
      <c r="H1445" s="24">
        <v>0</v>
      </c>
      <c r="I1445" t="str">
        <f>IF(H1445&lt;=0,"",LOOKUP(H1445,'Regras e Parâmetros'!$B$4:$B$7,'Regras e Parâmetros'!$A$4:$A$7))</f>
        <v/>
      </c>
      <c r="J1445" t="s">
        <v>6747</v>
      </c>
      <c r="L1445" t="s">
        <v>9883</v>
      </c>
    </row>
    <row r="1446" spans="1:12" x14ac:dyDescent="0.3">
      <c r="A1446" t="s">
        <v>8517</v>
      </c>
      <c r="B1446" s="5" t="s">
        <v>8518</v>
      </c>
      <c r="C1446" t="s">
        <v>6456</v>
      </c>
      <c r="D1446" t="s">
        <v>3783</v>
      </c>
      <c r="E1446" t="s">
        <v>8519</v>
      </c>
      <c r="F1446" s="1">
        <v>45658</v>
      </c>
      <c r="G1446" t="s">
        <v>18</v>
      </c>
      <c r="H1446" s="24">
        <v>0</v>
      </c>
      <c r="I1446" t="str">
        <f>IF(H1446&lt;=0,"",LOOKUP(H1446,'Regras e Parâmetros'!$B$4:$B$7,'Regras e Parâmetros'!$A$4:$A$7))</f>
        <v/>
      </c>
      <c r="J1446" t="s">
        <v>9790</v>
      </c>
      <c r="L1446" t="s">
        <v>9883</v>
      </c>
    </row>
    <row r="1447" spans="1:12" x14ac:dyDescent="0.3">
      <c r="A1447" t="s">
        <v>9547</v>
      </c>
      <c r="B1447" s="5" t="s">
        <v>9548</v>
      </c>
      <c r="C1447" t="s">
        <v>6456</v>
      </c>
      <c r="D1447" t="s">
        <v>5553</v>
      </c>
      <c r="E1447" t="s">
        <v>9549</v>
      </c>
      <c r="F1447" s="1">
        <v>46170</v>
      </c>
      <c r="G1447" t="s">
        <v>51</v>
      </c>
      <c r="H1447" s="24">
        <v>0</v>
      </c>
      <c r="I1447" t="str">
        <f>IF(H1447&lt;=0,"",LOOKUP(H1447,'Regras e Parâmetros'!$B$4:$B$7,'Regras e Parâmetros'!$A$4:$A$7))</f>
        <v/>
      </c>
      <c r="J1447" t="s">
        <v>6747</v>
      </c>
      <c r="L1447" t="s">
        <v>9883</v>
      </c>
    </row>
    <row r="1448" spans="1:12" x14ac:dyDescent="0.3">
      <c r="A1448" t="s">
        <v>7153</v>
      </c>
      <c r="B1448" s="5" t="s">
        <v>1162</v>
      </c>
      <c r="C1448" t="s">
        <v>6456</v>
      </c>
      <c r="D1448" t="s">
        <v>1163</v>
      </c>
      <c r="E1448" t="s">
        <v>1164</v>
      </c>
      <c r="F1448" s="1">
        <v>44815</v>
      </c>
      <c r="G1448" t="s">
        <v>45</v>
      </c>
      <c r="H1448" s="24">
        <v>0</v>
      </c>
      <c r="I1448" t="str">
        <f>IF(H1448&lt;=0,"",LOOKUP(H1448,'Regras e Parâmetros'!$B$4:$B$7,'Regras e Parâmetros'!$A$4:$A$7))</f>
        <v/>
      </c>
      <c r="J1448" t="s">
        <v>9790</v>
      </c>
    </row>
    <row r="1449" spans="1:12" x14ac:dyDescent="0.3">
      <c r="A1449" t="s">
        <v>1995</v>
      </c>
      <c r="B1449" s="5" t="s">
        <v>7537</v>
      </c>
      <c r="C1449" t="s">
        <v>6456</v>
      </c>
      <c r="D1449" t="s">
        <v>1997</v>
      </c>
      <c r="E1449" t="s">
        <v>7538</v>
      </c>
      <c r="F1449" s="1">
        <v>45017</v>
      </c>
      <c r="G1449" t="s">
        <v>18</v>
      </c>
      <c r="H1449" s="24">
        <v>347</v>
      </c>
      <c r="I1449" t="str">
        <f>IF(H1449&lt;=0,"",LOOKUP(H1449,'Regras e Parâmetros'!$B$4:$B$7,'Regras e Parâmetros'!$A$4:$A$7))</f>
        <v>Bronze</v>
      </c>
      <c r="J1449" t="s">
        <v>6456</v>
      </c>
      <c r="K1449" t="s">
        <v>72</v>
      </c>
      <c r="L1449" t="s">
        <v>9791</v>
      </c>
    </row>
    <row r="1450" spans="1:12" x14ac:dyDescent="0.3">
      <c r="A1450" t="s">
        <v>228</v>
      </c>
      <c r="B1450" s="5" t="s">
        <v>229</v>
      </c>
      <c r="C1450" t="s">
        <v>6456</v>
      </c>
      <c r="D1450" t="s">
        <v>230</v>
      </c>
      <c r="E1450" t="s">
        <v>231</v>
      </c>
      <c r="F1450" s="1">
        <v>44409</v>
      </c>
      <c r="G1450" t="s">
        <v>51</v>
      </c>
      <c r="H1450" s="24">
        <v>13490</v>
      </c>
      <c r="I1450" t="str">
        <f>IF(H1450&lt;=0,"",LOOKUP(H1450,'Regras e Parâmetros'!$B$4:$B$7,'Regras e Parâmetros'!$A$4:$A$7))</f>
        <v>Vip</v>
      </c>
      <c r="J1450" t="s">
        <v>9790</v>
      </c>
      <c r="L1450" t="s">
        <v>9789</v>
      </c>
    </row>
    <row r="1451" spans="1:12" x14ac:dyDescent="0.3">
      <c r="A1451" t="s">
        <v>2901</v>
      </c>
      <c r="B1451" s="5" t="s">
        <v>8071</v>
      </c>
      <c r="C1451" t="s">
        <v>6456</v>
      </c>
      <c r="D1451" t="s">
        <v>2902</v>
      </c>
      <c r="E1451" t="s">
        <v>8072</v>
      </c>
      <c r="F1451" s="1">
        <v>45360</v>
      </c>
      <c r="G1451" t="s">
        <v>51</v>
      </c>
      <c r="H1451" s="24">
        <v>169</v>
      </c>
      <c r="I1451" t="str">
        <f>IF(H1451&lt;=0,"",LOOKUP(H1451,'Regras e Parâmetros'!$B$4:$B$7,'Regras e Parâmetros'!$A$4:$A$7))</f>
        <v>Bronze</v>
      </c>
      <c r="J1451" t="s">
        <v>9790</v>
      </c>
    </row>
    <row r="1452" spans="1:12" x14ac:dyDescent="0.3">
      <c r="A1452" t="s">
        <v>4732</v>
      </c>
      <c r="B1452" s="5" t="s">
        <v>4733</v>
      </c>
      <c r="C1452" t="s">
        <v>6456</v>
      </c>
      <c r="D1452" t="s">
        <v>4734</v>
      </c>
      <c r="E1452" t="s">
        <v>4735</v>
      </c>
      <c r="F1452" s="1">
        <v>45937</v>
      </c>
      <c r="G1452" t="s">
        <v>100</v>
      </c>
      <c r="H1452" s="24">
        <v>0</v>
      </c>
      <c r="I1452" t="str">
        <f>IF(H1452&lt;=0,"",LOOKUP(H1452,'Regras e Parâmetros'!$B$4:$B$7,'Regras e Parâmetros'!$A$4:$A$7))</f>
        <v/>
      </c>
      <c r="J1452" t="s">
        <v>6747</v>
      </c>
      <c r="K1452" t="s">
        <v>44</v>
      </c>
      <c r="L1452" t="s">
        <v>9883</v>
      </c>
    </row>
    <row r="1453" spans="1:12" x14ac:dyDescent="0.3">
      <c r="A1453" t="s">
        <v>147</v>
      </c>
      <c r="B1453" s="5" t="s">
        <v>6536</v>
      </c>
      <c r="C1453" t="s">
        <v>6456</v>
      </c>
      <c r="D1453" t="s">
        <v>148</v>
      </c>
      <c r="E1453" t="s">
        <v>6537</v>
      </c>
      <c r="F1453" s="1">
        <v>44394</v>
      </c>
      <c r="G1453" t="s">
        <v>22</v>
      </c>
      <c r="H1453" s="24">
        <v>1417</v>
      </c>
      <c r="I1453" t="str">
        <f>IF(H1453&lt;=0,"",LOOKUP(H1453,'Regras e Parâmetros'!$B$4:$B$7,'Regras e Parâmetros'!$A$4:$A$7))</f>
        <v>Bronze</v>
      </c>
      <c r="J1453" t="s">
        <v>9790</v>
      </c>
    </row>
    <row r="1454" spans="1:12" x14ac:dyDescent="0.3">
      <c r="A1454" t="s">
        <v>6807</v>
      </c>
      <c r="B1454" s="5" t="s">
        <v>655</v>
      </c>
      <c r="C1454" t="s">
        <v>6456</v>
      </c>
      <c r="D1454" t="s">
        <v>656</v>
      </c>
      <c r="E1454" t="s">
        <v>6808</v>
      </c>
      <c r="F1454" s="1">
        <v>44575</v>
      </c>
      <c r="G1454" t="s">
        <v>45</v>
      </c>
      <c r="H1454" s="24">
        <v>15000</v>
      </c>
      <c r="I1454" t="str">
        <f>IF(H1454&lt;=0,"",LOOKUP(H1454,'Regras e Parâmetros'!$B$4:$B$7,'Regras e Parâmetros'!$A$4:$A$7))</f>
        <v>Vip</v>
      </c>
      <c r="J1454" t="s">
        <v>9790</v>
      </c>
    </row>
    <row r="1455" spans="1:12" x14ac:dyDescent="0.3">
      <c r="A1455" t="s">
        <v>2675</v>
      </c>
      <c r="B1455" s="5" t="s">
        <v>2676</v>
      </c>
      <c r="C1455" t="s">
        <v>6456</v>
      </c>
      <c r="D1455" t="s">
        <v>7960</v>
      </c>
      <c r="E1455" t="s">
        <v>2677</v>
      </c>
      <c r="F1455" s="1">
        <v>45253</v>
      </c>
      <c r="G1455" t="s">
        <v>100</v>
      </c>
      <c r="H1455" s="24">
        <v>987</v>
      </c>
      <c r="I1455" t="str">
        <f>IF(H1455&lt;=0,"",LOOKUP(H1455,'Regras e Parâmetros'!$B$4:$B$7,'Regras e Parâmetros'!$A$4:$A$7))</f>
        <v>Bronze</v>
      </c>
      <c r="J1455" t="s">
        <v>6456</v>
      </c>
    </row>
    <row r="1456" spans="1:12" x14ac:dyDescent="0.3">
      <c r="A1456" t="s">
        <v>4101</v>
      </c>
      <c r="B1456" s="5" t="s">
        <v>8710</v>
      </c>
      <c r="C1456" t="s">
        <v>6456</v>
      </c>
      <c r="D1456" t="s">
        <v>4102</v>
      </c>
      <c r="E1456" t="s">
        <v>8711</v>
      </c>
      <c r="F1456" s="1">
        <v>45743</v>
      </c>
      <c r="G1456" t="s">
        <v>45</v>
      </c>
      <c r="H1456" s="24">
        <v>0</v>
      </c>
      <c r="I1456" t="str">
        <f>IF(H1456&lt;=0,"",LOOKUP(H1456,'Regras e Parâmetros'!$B$4:$B$7,'Regras e Parâmetros'!$A$4:$A$7))</f>
        <v/>
      </c>
      <c r="J1456" t="s">
        <v>6456</v>
      </c>
      <c r="L1456" t="s">
        <v>9883</v>
      </c>
    </row>
    <row r="1457" spans="1:12" x14ac:dyDescent="0.3">
      <c r="A1457" t="s">
        <v>5504</v>
      </c>
      <c r="B1457" s="5" t="s">
        <v>9524</v>
      </c>
      <c r="C1457" t="s">
        <v>6456</v>
      </c>
      <c r="D1457" t="s">
        <v>5505</v>
      </c>
      <c r="E1457" t="s">
        <v>5506</v>
      </c>
      <c r="F1457" s="1">
        <v>46160</v>
      </c>
      <c r="G1457" t="s">
        <v>18</v>
      </c>
      <c r="H1457" s="24">
        <v>0</v>
      </c>
      <c r="I1457" t="str">
        <f>IF(H1457&lt;=0,"",LOOKUP(H1457,'Regras e Parâmetros'!$B$4:$B$7,'Regras e Parâmetros'!$A$4:$A$7))</f>
        <v/>
      </c>
      <c r="J1457" t="s">
        <v>9790</v>
      </c>
      <c r="L1457" t="s">
        <v>9883</v>
      </c>
    </row>
    <row r="1458" spans="1:12" x14ac:dyDescent="0.3">
      <c r="A1458" t="s">
        <v>1676</v>
      </c>
      <c r="B1458" s="5" t="s">
        <v>7398</v>
      </c>
      <c r="C1458" t="s">
        <v>6456</v>
      </c>
      <c r="D1458" t="s">
        <v>1677</v>
      </c>
      <c r="E1458" t="s">
        <v>1678</v>
      </c>
      <c r="F1458" s="1">
        <v>44935</v>
      </c>
      <c r="G1458" t="s">
        <v>51</v>
      </c>
      <c r="H1458" s="24">
        <v>358</v>
      </c>
      <c r="I1458" t="str">
        <f>IF(H1458&lt;=0,"",LOOKUP(H1458,'Regras e Parâmetros'!$B$4:$B$7,'Regras e Parâmetros'!$A$4:$A$7))</f>
        <v>Bronze</v>
      </c>
      <c r="J1458" t="s">
        <v>9790</v>
      </c>
      <c r="K1458" t="s">
        <v>33</v>
      </c>
    </row>
    <row r="1459" spans="1:12" x14ac:dyDescent="0.3">
      <c r="A1459" t="s">
        <v>2517</v>
      </c>
      <c r="B1459" s="5" t="s">
        <v>7876</v>
      </c>
      <c r="C1459" t="s">
        <v>6456</v>
      </c>
      <c r="D1459" t="s">
        <v>2518</v>
      </c>
      <c r="E1459" t="s">
        <v>2519</v>
      </c>
      <c r="F1459" s="1">
        <v>45208</v>
      </c>
      <c r="G1459" t="s">
        <v>18</v>
      </c>
      <c r="H1459" s="24">
        <v>602</v>
      </c>
      <c r="I1459" t="str">
        <f>IF(H1459&lt;=0,"",LOOKUP(H1459,'Regras e Parâmetros'!$B$4:$B$7,'Regras e Parâmetros'!$A$4:$A$7))</f>
        <v>Bronze</v>
      </c>
      <c r="J1459" t="s">
        <v>9790</v>
      </c>
    </row>
    <row r="1460" spans="1:12" x14ac:dyDescent="0.3">
      <c r="A1460" t="s">
        <v>2803</v>
      </c>
      <c r="B1460" s="5" t="s">
        <v>7998</v>
      </c>
      <c r="C1460" t="s">
        <v>6456</v>
      </c>
      <c r="D1460" t="s">
        <v>2804</v>
      </c>
      <c r="E1460" t="s">
        <v>7999</v>
      </c>
      <c r="F1460" s="1">
        <v>45292</v>
      </c>
      <c r="G1460" t="s">
        <v>100</v>
      </c>
      <c r="H1460" s="24">
        <v>3672</v>
      </c>
      <c r="I1460" t="str">
        <f>IF(H1460&lt;=0,"",LOOKUP(H1460,'Regras e Parâmetros'!$B$4:$B$7,'Regras e Parâmetros'!$A$4:$A$7))</f>
        <v>Prata</v>
      </c>
      <c r="J1460" t="s">
        <v>6456</v>
      </c>
      <c r="L1460" t="s">
        <v>9791</v>
      </c>
    </row>
    <row r="1461" spans="1:12" x14ac:dyDescent="0.3">
      <c r="A1461" t="s">
        <v>915</v>
      </c>
      <c r="B1461" s="5" t="s">
        <v>6075</v>
      </c>
      <c r="C1461" t="s">
        <v>6456</v>
      </c>
      <c r="D1461" t="s">
        <v>916</v>
      </c>
      <c r="E1461" t="s">
        <v>10119</v>
      </c>
      <c r="F1461" s="1">
        <v>44675</v>
      </c>
      <c r="G1461" t="s">
        <v>45</v>
      </c>
      <c r="H1461" s="24">
        <v>3882</v>
      </c>
      <c r="I1461" t="str">
        <f>IF(H1461&lt;=0,"",LOOKUP(H1461,'Regras e Parâmetros'!$B$4:$B$7,'Regras e Parâmetros'!$A$4:$A$7))</f>
        <v>Prata</v>
      </c>
      <c r="J1461" t="s">
        <v>6456</v>
      </c>
    </row>
    <row r="1462" spans="1:12" x14ac:dyDescent="0.3">
      <c r="A1462" t="s">
        <v>7377</v>
      </c>
      <c r="B1462" s="5" t="s">
        <v>1637</v>
      </c>
      <c r="C1462" t="s">
        <v>6456</v>
      </c>
      <c r="D1462" t="s">
        <v>1638</v>
      </c>
      <c r="E1462" t="s">
        <v>1639</v>
      </c>
      <c r="F1462" s="1">
        <v>44924</v>
      </c>
      <c r="G1462" t="s">
        <v>51</v>
      </c>
      <c r="H1462" s="24">
        <v>6000</v>
      </c>
      <c r="I1462" t="str">
        <f>IF(H1462&lt;=0,"",LOOKUP(H1462,'Regras e Parâmetros'!$B$4:$B$7,'Regras e Parâmetros'!$A$4:$A$7))</f>
        <v>Ouro</v>
      </c>
      <c r="J1462" t="s">
        <v>9790</v>
      </c>
      <c r="L1462" t="s">
        <v>9793</v>
      </c>
    </row>
    <row r="1463" spans="1:12" x14ac:dyDescent="0.3">
      <c r="A1463" t="s">
        <v>877</v>
      </c>
      <c r="B1463" s="5" t="s">
        <v>6952</v>
      </c>
      <c r="C1463" t="s">
        <v>6456</v>
      </c>
      <c r="D1463" t="s">
        <v>879</v>
      </c>
      <c r="E1463" t="s">
        <v>880</v>
      </c>
      <c r="F1463" s="1">
        <v>44656</v>
      </c>
      <c r="G1463" t="s">
        <v>45</v>
      </c>
      <c r="H1463" s="24">
        <v>8208</v>
      </c>
      <c r="I1463" t="str">
        <f>IF(H1463&lt;=0,"",LOOKUP(H1463,'Regras e Parâmetros'!$B$4:$B$7,'Regras e Parâmetros'!$A$4:$A$7))</f>
        <v>Ouro</v>
      </c>
      <c r="J1463" t="s">
        <v>9790</v>
      </c>
    </row>
    <row r="1464" spans="1:12" x14ac:dyDescent="0.3">
      <c r="A1464" t="s">
        <v>2239</v>
      </c>
      <c r="B1464" s="5" t="s">
        <v>6094</v>
      </c>
      <c r="C1464" t="s">
        <v>6456</v>
      </c>
      <c r="D1464" t="s">
        <v>1168</v>
      </c>
      <c r="E1464" t="s">
        <v>1169</v>
      </c>
      <c r="F1464" s="1">
        <v>44780</v>
      </c>
      <c r="G1464" t="s">
        <v>110</v>
      </c>
      <c r="H1464" s="24">
        <v>902</v>
      </c>
      <c r="I1464" t="str">
        <f>IF(H1464&lt;=0,"",LOOKUP(H1464,'Regras e Parâmetros'!$B$4:$B$7,'Regras e Parâmetros'!$A$4:$A$7))</f>
        <v>Bronze</v>
      </c>
      <c r="J1464" t="s">
        <v>9790</v>
      </c>
    </row>
    <row r="1465" spans="1:12" x14ac:dyDescent="0.3">
      <c r="A1465" t="s">
        <v>2239</v>
      </c>
      <c r="B1465" s="5" t="s">
        <v>1170</v>
      </c>
      <c r="C1465" t="s">
        <v>6456</v>
      </c>
      <c r="D1465" t="s">
        <v>1171</v>
      </c>
      <c r="E1465" t="s">
        <v>7154</v>
      </c>
      <c r="F1465" s="1">
        <v>44815</v>
      </c>
      <c r="G1465" t="s">
        <v>18</v>
      </c>
      <c r="H1465" s="24">
        <v>746</v>
      </c>
      <c r="I1465" t="str">
        <f>IF(H1465&lt;=0,"",LOOKUP(H1465,'Regras e Parâmetros'!$B$4:$B$7,'Regras e Parâmetros'!$A$4:$A$7))</f>
        <v>Bronze</v>
      </c>
      <c r="J1465" t="s">
        <v>9790</v>
      </c>
    </row>
    <row r="1466" spans="1:12" x14ac:dyDescent="0.3">
      <c r="A1466" t="s">
        <v>2239</v>
      </c>
      <c r="B1466" s="5" t="s">
        <v>7716</v>
      </c>
      <c r="C1466" t="s">
        <v>6456</v>
      </c>
      <c r="D1466" t="s">
        <v>2240</v>
      </c>
      <c r="E1466" t="s">
        <v>2241</v>
      </c>
      <c r="F1466" s="1">
        <v>45122</v>
      </c>
      <c r="G1466" t="s">
        <v>45</v>
      </c>
      <c r="H1466" s="24">
        <v>3573</v>
      </c>
      <c r="I1466" t="str">
        <f>IF(H1466&lt;=0,"",LOOKUP(H1466,'Regras e Parâmetros'!$B$4:$B$7,'Regras e Parâmetros'!$A$4:$A$7))</f>
        <v>Prata</v>
      </c>
      <c r="J1466" t="s">
        <v>6456</v>
      </c>
    </row>
    <row r="1467" spans="1:12" x14ac:dyDescent="0.3">
      <c r="A1467" t="s">
        <v>2733</v>
      </c>
      <c r="B1467" s="5" t="s">
        <v>7971</v>
      </c>
      <c r="C1467" t="s">
        <v>6456</v>
      </c>
      <c r="D1467" t="s">
        <v>2734</v>
      </c>
      <c r="E1467" t="s">
        <v>2735</v>
      </c>
      <c r="F1467" s="1">
        <v>45261</v>
      </c>
      <c r="G1467" t="s">
        <v>18</v>
      </c>
      <c r="H1467" s="24">
        <v>15000</v>
      </c>
      <c r="I1467" t="str">
        <f>IF(H1467&lt;=0,"",LOOKUP(H1467,'Regras e Parâmetros'!$B$4:$B$7,'Regras e Parâmetros'!$A$4:$A$7))</f>
        <v>Vip</v>
      </c>
      <c r="J1467" t="s">
        <v>6747</v>
      </c>
      <c r="K1467" t="s">
        <v>187</v>
      </c>
      <c r="L1467" t="s">
        <v>9791</v>
      </c>
    </row>
    <row r="1468" spans="1:12" x14ac:dyDescent="0.3">
      <c r="A1468" t="s">
        <v>7965</v>
      </c>
      <c r="B1468" s="5" t="s">
        <v>2689</v>
      </c>
      <c r="C1468" t="s">
        <v>6456</v>
      </c>
      <c r="D1468" t="s">
        <v>2690</v>
      </c>
      <c r="E1468" t="s">
        <v>7966</v>
      </c>
      <c r="F1468" s="1">
        <v>45258</v>
      </c>
      <c r="G1468" t="s">
        <v>45</v>
      </c>
      <c r="H1468" s="24">
        <v>1127</v>
      </c>
      <c r="I1468" t="str">
        <f>IF(H1468&lt;=0,"",LOOKUP(H1468,'Regras e Parâmetros'!$B$4:$B$7,'Regras e Parâmetros'!$A$4:$A$7))</f>
        <v>Bronze</v>
      </c>
      <c r="J1468" t="s">
        <v>6747</v>
      </c>
      <c r="K1468" t="s">
        <v>177</v>
      </c>
    </row>
    <row r="1469" spans="1:12" x14ac:dyDescent="0.3">
      <c r="A1469" t="s">
        <v>7965</v>
      </c>
      <c r="B1469" s="5" t="s">
        <v>8024</v>
      </c>
      <c r="C1469" t="s">
        <v>6456</v>
      </c>
      <c r="D1469" t="s">
        <v>2810</v>
      </c>
      <c r="E1469" t="s">
        <v>8025</v>
      </c>
      <c r="F1469" s="1">
        <v>45314</v>
      </c>
      <c r="G1469" t="s">
        <v>110</v>
      </c>
      <c r="H1469" s="24">
        <v>7929</v>
      </c>
      <c r="I1469" t="str">
        <f>IF(H1469&lt;=0,"",LOOKUP(H1469,'Regras e Parâmetros'!$B$4:$B$7,'Regras e Parâmetros'!$A$4:$A$7))</f>
        <v>Ouro</v>
      </c>
      <c r="J1469" t="s">
        <v>9790</v>
      </c>
    </row>
    <row r="1470" spans="1:12" x14ac:dyDescent="0.3">
      <c r="A1470" t="s">
        <v>4874</v>
      </c>
      <c r="B1470" s="5" t="s">
        <v>9171</v>
      </c>
      <c r="C1470" t="s">
        <v>6456</v>
      </c>
      <c r="D1470" t="s">
        <v>4875</v>
      </c>
      <c r="E1470" t="s">
        <v>9172</v>
      </c>
      <c r="F1470" s="1">
        <v>45973</v>
      </c>
      <c r="G1470" t="s">
        <v>22</v>
      </c>
      <c r="H1470" s="24">
        <v>0</v>
      </c>
      <c r="I1470" t="str">
        <f>IF(H1470&lt;=0,"",LOOKUP(H1470,'Regras e Parâmetros'!$B$4:$B$7,'Regras e Parâmetros'!$A$4:$A$7))</f>
        <v/>
      </c>
      <c r="J1470" t="s">
        <v>6456</v>
      </c>
      <c r="L1470" t="s">
        <v>9883</v>
      </c>
    </row>
    <row r="1471" spans="1:12" x14ac:dyDescent="0.3">
      <c r="A1471" t="s">
        <v>3823</v>
      </c>
      <c r="B1471" s="5" t="s">
        <v>8551</v>
      </c>
      <c r="C1471" t="s">
        <v>6456</v>
      </c>
      <c r="D1471" t="s">
        <v>3824</v>
      </c>
      <c r="E1471" t="s">
        <v>8552</v>
      </c>
      <c r="F1471" s="1">
        <v>45670</v>
      </c>
      <c r="G1471" t="s">
        <v>110</v>
      </c>
      <c r="H1471" s="24">
        <v>0</v>
      </c>
      <c r="I1471" t="str">
        <f>IF(H1471&lt;=0,"",LOOKUP(H1471,'Regras e Parâmetros'!$B$4:$B$7,'Regras e Parâmetros'!$A$4:$A$7))</f>
        <v/>
      </c>
      <c r="J1471" t="s">
        <v>6456</v>
      </c>
      <c r="K1471" t="s">
        <v>44</v>
      </c>
      <c r="L1471" t="s">
        <v>9883</v>
      </c>
    </row>
    <row r="1472" spans="1:12" x14ac:dyDescent="0.3">
      <c r="A1472" t="s">
        <v>2357</v>
      </c>
      <c r="B1472" s="5" t="s">
        <v>2358</v>
      </c>
      <c r="C1472" t="s">
        <v>6456</v>
      </c>
      <c r="D1472" t="s">
        <v>2359</v>
      </c>
      <c r="E1472" t="s">
        <v>2360</v>
      </c>
      <c r="F1472" s="1">
        <v>45153</v>
      </c>
      <c r="G1472" t="s">
        <v>100</v>
      </c>
      <c r="H1472" s="24">
        <v>2200</v>
      </c>
      <c r="I1472" t="str">
        <f>IF(H1472&lt;=0,"",LOOKUP(H1472,'Regras e Parâmetros'!$B$4:$B$7,'Regras e Parâmetros'!$A$4:$A$7))</f>
        <v>Prata</v>
      </c>
      <c r="J1472" t="s">
        <v>6456</v>
      </c>
      <c r="K1472" t="s">
        <v>177</v>
      </c>
      <c r="L1472" t="s">
        <v>9795</v>
      </c>
    </row>
    <row r="1473" spans="1:12" x14ac:dyDescent="0.3">
      <c r="A1473" t="s">
        <v>1324</v>
      </c>
      <c r="B1473" s="5" t="s">
        <v>1325</v>
      </c>
      <c r="C1473" t="s">
        <v>6456</v>
      </c>
      <c r="D1473" t="s">
        <v>1326</v>
      </c>
      <c r="E1473" t="s">
        <v>7176</v>
      </c>
      <c r="F1473" s="1">
        <v>44833</v>
      </c>
      <c r="G1473" t="s">
        <v>18</v>
      </c>
      <c r="H1473" s="24">
        <v>1125</v>
      </c>
      <c r="I1473" t="str">
        <f>IF(H1473&lt;=0,"",LOOKUP(H1473,'Regras e Parâmetros'!$B$4:$B$7,'Regras e Parâmetros'!$A$4:$A$7))</f>
        <v>Bronze</v>
      </c>
      <c r="J1473" t="s">
        <v>6456</v>
      </c>
      <c r="K1473" t="s">
        <v>33</v>
      </c>
    </row>
    <row r="1474" spans="1:12" x14ac:dyDescent="0.3">
      <c r="A1474" t="s">
        <v>2838</v>
      </c>
      <c r="B1474" s="5" t="s">
        <v>8040</v>
      </c>
      <c r="C1474" t="s">
        <v>6456</v>
      </c>
      <c r="D1474" t="s">
        <v>2839</v>
      </c>
      <c r="E1474" t="s">
        <v>8041</v>
      </c>
      <c r="F1474" s="1">
        <v>45331</v>
      </c>
      <c r="G1474" t="s">
        <v>45</v>
      </c>
      <c r="H1474" s="24">
        <v>120</v>
      </c>
      <c r="I1474" t="str">
        <f>IF(H1474&lt;=0,"",LOOKUP(H1474,'Regras e Parâmetros'!$B$4:$B$7,'Regras e Parâmetros'!$A$4:$A$7))</f>
        <v>Bronze</v>
      </c>
      <c r="J1474" t="s">
        <v>6456</v>
      </c>
      <c r="K1474" t="s">
        <v>708</v>
      </c>
    </row>
    <row r="1475" spans="1:12" x14ac:dyDescent="0.3">
      <c r="A1475" t="s">
        <v>9173</v>
      </c>
      <c r="B1475" s="5" t="s">
        <v>9174</v>
      </c>
      <c r="C1475" t="s">
        <v>6456</v>
      </c>
      <c r="D1475" t="s">
        <v>4878</v>
      </c>
      <c r="E1475" t="s">
        <v>4879</v>
      </c>
      <c r="F1475" s="1">
        <v>45975</v>
      </c>
      <c r="G1475" t="s">
        <v>45</v>
      </c>
      <c r="H1475" s="24">
        <v>0</v>
      </c>
      <c r="I1475" t="str">
        <f>IF(H1475&lt;=0,"",LOOKUP(H1475,'Regras e Parâmetros'!$B$4:$B$7,'Regras e Parâmetros'!$A$4:$A$7))</f>
        <v/>
      </c>
      <c r="J1475" t="s">
        <v>6747</v>
      </c>
      <c r="L1475" t="s">
        <v>9883</v>
      </c>
    </row>
    <row r="1476" spans="1:12" x14ac:dyDescent="0.3">
      <c r="A1476" t="s">
        <v>4000</v>
      </c>
      <c r="B1476" s="5" t="s">
        <v>4001</v>
      </c>
      <c r="C1476" t="s">
        <v>6456</v>
      </c>
      <c r="D1476" t="s">
        <v>4002</v>
      </c>
      <c r="E1476" t="s">
        <v>8660</v>
      </c>
      <c r="F1476" s="1">
        <v>45717</v>
      </c>
      <c r="G1476" t="s">
        <v>18</v>
      </c>
      <c r="H1476" s="24">
        <v>0</v>
      </c>
      <c r="I1476" t="str">
        <f>IF(H1476&lt;=0,"",LOOKUP(H1476,'Regras e Parâmetros'!$B$4:$B$7,'Regras e Parâmetros'!$A$4:$A$7))</f>
        <v/>
      </c>
      <c r="J1476" t="s">
        <v>6456</v>
      </c>
      <c r="L1476" t="s">
        <v>9884</v>
      </c>
    </row>
    <row r="1477" spans="1:12" x14ac:dyDescent="0.3">
      <c r="A1477" t="s">
        <v>7678</v>
      </c>
      <c r="B1477" s="5" t="s">
        <v>7679</v>
      </c>
      <c r="C1477" t="s">
        <v>6456</v>
      </c>
      <c r="D1477" t="s">
        <v>2169</v>
      </c>
      <c r="E1477" t="s">
        <v>7680</v>
      </c>
      <c r="F1477" s="1">
        <v>45102</v>
      </c>
      <c r="G1477" t="s">
        <v>51</v>
      </c>
      <c r="H1477" s="24">
        <v>1385</v>
      </c>
      <c r="I1477" t="str">
        <f>IF(H1477&lt;=0,"",LOOKUP(H1477,'Regras e Parâmetros'!$B$4:$B$7,'Regras e Parâmetros'!$A$4:$A$7))</f>
        <v>Bronze</v>
      </c>
      <c r="J1477" t="s">
        <v>6747</v>
      </c>
      <c r="K1477" t="s">
        <v>177</v>
      </c>
    </row>
    <row r="1478" spans="1:12" x14ac:dyDescent="0.3">
      <c r="A1478" t="s">
        <v>4824</v>
      </c>
      <c r="B1478" s="5" t="s">
        <v>4825</v>
      </c>
      <c r="C1478" t="s">
        <v>6456</v>
      </c>
      <c r="D1478" t="s">
        <v>4826</v>
      </c>
      <c r="E1478" t="s">
        <v>4827</v>
      </c>
      <c r="F1478" s="1">
        <v>45959</v>
      </c>
      <c r="G1478" t="s">
        <v>110</v>
      </c>
      <c r="H1478" s="24">
        <v>0</v>
      </c>
      <c r="I1478" t="str">
        <f>IF(H1478&lt;=0,"",LOOKUP(H1478,'Regras e Parâmetros'!$B$4:$B$7,'Regras e Parâmetros'!$A$4:$A$7))</f>
        <v/>
      </c>
      <c r="J1478" t="s">
        <v>9790</v>
      </c>
      <c r="L1478" t="s">
        <v>9886</v>
      </c>
    </row>
    <row r="1479" spans="1:12" x14ac:dyDescent="0.3">
      <c r="A1479" t="s">
        <v>482</v>
      </c>
      <c r="B1479" s="5" t="s">
        <v>483</v>
      </c>
      <c r="C1479" t="s">
        <v>6456</v>
      </c>
      <c r="D1479" t="s">
        <v>484</v>
      </c>
      <c r="E1479" t="s">
        <v>6717</v>
      </c>
      <c r="F1479" s="1">
        <v>44512</v>
      </c>
      <c r="G1479" t="s">
        <v>22</v>
      </c>
      <c r="H1479" s="24">
        <v>0</v>
      </c>
      <c r="I1479" t="str">
        <f>IF(H1479&lt;=0,"",LOOKUP(H1479,'Regras e Parâmetros'!$B$4:$B$7,'Regras e Parâmetros'!$A$4:$A$7))</f>
        <v/>
      </c>
      <c r="J1479" t="s">
        <v>9790</v>
      </c>
    </row>
    <row r="1480" spans="1:12" x14ac:dyDescent="0.3">
      <c r="A1480" t="s">
        <v>482</v>
      </c>
      <c r="B1480" s="5" t="s">
        <v>8942</v>
      </c>
      <c r="C1480" t="s">
        <v>6456</v>
      </c>
      <c r="D1480" t="s">
        <v>4499</v>
      </c>
      <c r="E1480" t="s">
        <v>8943</v>
      </c>
      <c r="F1480" s="1">
        <v>45865</v>
      </c>
      <c r="G1480" t="s">
        <v>110</v>
      </c>
      <c r="H1480" s="24">
        <v>0</v>
      </c>
      <c r="I1480" t="str">
        <f>IF(H1480&lt;=0,"",LOOKUP(H1480,'Regras e Parâmetros'!$B$4:$B$7,'Regras e Parâmetros'!$A$4:$A$7))</f>
        <v/>
      </c>
      <c r="J1480" t="s">
        <v>9790</v>
      </c>
      <c r="L1480" t="s">
        <v>9883</v>
      </c>
    </row>
    <row r="1481" spans="1:12" x14ac:dyDescent="0.3">
      <c r="A1481" t="s">
        <v>1859</v>
      </c>
      <c r="B1481" s="5" t="s">
        <v>2601</v>
      </c>
      <c r="C1481" t="s">
        <v>6456</v>
      </c>
      <c r="D1481" t="s">
        <v>2602</v>
      </c>
      <c r="E1481" t="s">
        <v>7503</v>
      </c>
      <c r="F1481" s="1">
        <v>44994</v>
      </c>
      <c r="G1481" t="s">
        <v>22</v>
      </c>
      <c r="H1481" s="24">
        <v>1392</v>
      </c>
      <c r="I1481" t="str">
        <f>IF(H1481&lt;=0,"",LOOKUP(H1481,'Regras e Parâmetros'!$B$4:$B$7,'Regras e Parâmetros'!$A$4:$A$7))</f>
        <v>Bronze</v>
      </c>
      <c r="J1481" t="s">
        <v>9790</v>
      </c>
      <c r="K1481" t="s">
        <v>9837</v>
      </c>
    </row>
    <row r="1482" spans="1:12" x14ac:dyDescent="0.3">
      <c r="A1482" t="s">
        <v>4742</v>
      </c>
      <c r="B1482" s="5" t="s">
        <v>4743</v>
      </c>
      <c r="C1482" t="s">
        <v>6456</v>
      </c>
      <c r="D1482" t="s">
        <v>4744</v>
      </c>
      <c r="E1482" t="s">
        <v>9102</v>
      </c>
      <c r="F1482" s="1">
        <v>45938</v>
      </c>
      <c r="G1482" t="s">
        <v>51</v>
      </c>
      <c r="H1482" s="24">
        <v>0</v>
      </c>
      <c r="I1482" t="str">
        <f>IF(H1482&lt;=0,"",LOOKUP(H1482,'Regras e Parâmetros'!$B$4:$B$7,'Regras e Parâmetros'!$A$4:$A$7))</f>
        <v/>
      </c>
      <c r="J1482" t="s">
        <v>6456</v>
      </c>
      <c r="L1482" t="s">
        <v>9883</v>
      </c>
    </row>
    <row r="1483" spans="1:12" x14ac:dyDescent="0.3">
      <c r="A1483" t="s">
        <v>2736</v>
      </c>
      <c r="B1483" s="5" t="s">
        <v>2737</v>
      </c>
      <c r="C1483" t="s">
        <v>6456</v>
      </c>
      <c r="D1483" t="s">
        <v>2738</v>
      </c>
      <c r="E1483" t="s">
        <v>2739</v>
      </c>
      <c r="F1483" s="1">
        <v>45284</v>
      </c>
      <c r="G1483" t="s">
        <v>51</v>
      </c>
      <c r="H1483" s="24">
        <v>3402</v>
      </c>
      <c r="I1483" t="str">
        <f>IF(H1483&lt;=0,"",LOOKUP(H1483,'Regras e Parâmetros'!$B$4:$B$7,'Regras e Parâmetros'!$A$4:$A$7))</f>
        <v>Prata</v>
      </c>
      <c r="J1483" t="s">
        <v>6747</v>
      </c>
    </row>
    <row r="1484" spans="1:12" x14ac:dyDescent="0.3">
      <c r="A1484" t="s">
        <v>1470</v>
      </c>
      <c r="B1484" s="5" t="s">
        <v>1471</v>
      </c>
      <c r="C1484" t="s">
        <v>6456</v>
      </c>
      <c r="D1484" t="s">
        <v>1472</v>
      </c>
      <c r="E1484" t="s">
        <v>7281</v>
      </c>
      <c r="F1484" s="1">
        <v>44877</v>
      </c>
      <c r="G1484" t="s">
        <v>18</v>
      </c>
      <c r="H1484" s="24">
        <v>587</v>
      </c>
      <c r="I1484" t="str">
        <f>IF(H1484&lt;=0,"",LOOKUP(H1484,'Regras e Parâmetros'!$B$4:$B$7,'Regras e Parâmetros'!$A$4:$A$7))</f>
        <v>Bronze</v>
      </c>
      <c r="J1484" t="s">
        <v>9790</v>
      </c>
    </row>
    <row r="1485" spans="1:12" x14ac:dyDescent="0.3">
      <c r="A1485" t="s">
        <v>250</v>
      </c>
      <c r="B1485" s="5" t="s">
        <v>6584</v>
      </c>
      <c r="C1485" t="s">
        <v>6456</v>
      </c>
      <c r="D1485" t="s">
        <v>251</v>
      </c>
      <c r="E1485" t="s">
        <v>252</v>
      </c>
      <c r="F1485" s="1">
        <v>44434</v>
      </c>
      <c r="G1485" t="s">
        <v>110</v>
      </c>
      <c r="H1485" s="24">
        <v>0</v>
      </c>
      <c r="I1485" t="str">
        <f>IF(H1485&lt;=0,"",LOOKUP(H1485,'Regras e Parâmetros'!$B$4:$B$7,'Regras e Parâmetros'!$A$4:$A$7))</f>
        <v/>
      </c>
      <c r="J1485" t="s">
        <v>6456</v>
      </c>
    </row>
    <row r="1486" spans="1:12" x14ac:dyDescent="0.3">
      <c r="A1486" t="s">
        <v>2717</v>
      </c>
      <c r="B1486" s="5" t="s">
        <v>7982</v>
      </c>
      <c r="C1486" t="s">
        <v>6456</v>
      </c>
      <c r="D1486" t="s">
        <v>7983</v>
      </c>
      <c r="E1486" t="s">
        <v>2718</v>
      </c>
      <c r="F1486" s="1">
        <v>45272</v>
      </c>
      <c r="G1486" t="s">
        <v>18</v>
      </c>
      <c r="H1486" s="24">
        <v>516</v>
      </c>
      <c r="I1486" t="str">
        <f>IF(H1486&lt;=0,"",LOOKUP(H1486,'Regras e Parâmetros'!$B$4:$B$7,'Regras e Parâmetros'!$A$4:$A$7))</f>
        <v>Bronze</v>
      </c>
      <c r="J1486" t="s">
        <v>6747</v>
      </c>
      <c r="K1486" t="s">
        <v>177</v>
      </c>
    </row>
    <row r="1487" spans="1:12" x14ac:dyDescent="0.3">
      <c r="A1487" t="s">
        <v>3724</v>
      </c>
      <c r="B1487" s="5" t="s">
        <v>4968</v>
      </c>
      <c r="C1487" t="s">
        <v>6456</v>
      </c>
      <c r="D1487" t="s">
        <v>4969</v>
      </c>
      <c r="E1487" t="s">
        <v>4970</v>
      </c>
      <c r="F1487" s="1">
        <v>45635</v>
      </c>
      <c r="G1487" t="s">
        <v>100</v>
      </c>
      <c r="H1487" s="24">
        <v>1798</v>
      </c>
      <c r="I1487" t="str">
        <f>IF(H1487&lt;=0,"",LOOKUP(H1487,'Regras e Parâmetros'!$B$4:$B$7,'Regras e Parâmetros'!$A$4:$A$7))</f>
        <v>Prata</v>
      </c>
      <c r="J1487" t="s">
        <v>9790</v>
      </c>
      <c r="K1487" t="s">
        <v>9880</v>
      </c>
      <c r="L1487" t="s">
        <v>9839</v>
      </c>
    </row>
    <row r="1488" spans="1:12" x14ac:dyDescent="0.3">
      <c r="A1488" t="s">
        <v>9169</v>
      </c>
      <c r="B1488" s="5" t="s">
        <v>4872</v>
      </c>
      <c r="C1488" t="s">
        <v>6456</v>
      </c>
      <c r="D1488" t="s">
        <v>4873</v>
      </c>
      <c r="E1488" t="s">
        <v>9170</v>
      </c>
      <c r="F1488" s="1">
        <v>45973</v>
      </c>
      <c r="G1488" t="s">
        <v>22</v>
      </c>
      <c r="H1488" s="24">
        <v>0</v>
      </c>
      <c r="I1488" t="str">
        <f>IF(H1488&lt;=0,"",LOOKUP(H1488,'Regras e Parâmetros'!$B$4:$B$7,'Regras e Parâmetros'!$A$4:$A$7))</f>
        <v/>
      </c>
      <c r="J1488" t="s">
        <v>6747</v>
      </c>
      <c r="L1488" t="s">
        <v>9883</v>
      </c>
    </row>
    <row r="1489" spans="1:12" x14ac:dyDescent="0.3">
      <c r="A1489" t="s">
        <v>5796</v>
      </c>
      <c r="B1489" s="5" t="s">
        <v>9702</v>
      </c>
      <c r="C1489" t="s">
        <v>6456</v>
      </c>
      <c r="D1489" t="s">
        <v>5797</v>
      </c>
      <c r="E1489" t="s">
        <v>9703</v>
      </c>
      <c r="F1489" s="1">
        <v>46239</v>
      </c>
      <c r="G1489" t="s">
        <v>51</v>
      </c>
      <c r="H1489" s="24">
        <v>0</v>
      </c>
      <c r="I1489" t="str">
        <f>IF(H1489&lt;=0,"",LOOKUP(H1489,'Regras e Parâmetros'!$B$4:$B$7,'Regras e Parâmetros'!$A$4:$A$7))</f>
        <v/>
      </c>
      <c r="J1489" t="s">
        <v>9790</v>
      </c>
      <c r="K1489" t="s">
        <v>187</v>
      </c>
      <c r="L1489" t="s">
        <v>9883</v>
      </c>
    </row>
    <row r="1490" spans="1:12" x14ac:dyDescent="0.3">
      <c r="A1490" t="s">
        <v>3567</v>
      </c>
      <c r="B1490" s="5" t="s">
        <v>3568</v>
      </c>
      <c r="C1490" t="s">
        <v>6456</v>
      </c>
      <c r="D1490" t="s">
        <v>3569</v>
      </c>
      <c r="E1490" t="s">
        <v>8392</v>
      </c>
      <c r="F1490" s="1">
        <v>45585</v>
      </c>
      <c r="G1490" t="s">
        <v>22</v>
      </c>
      <c r="H1490" s="24">
        <v>1012</v>
      </c>
      <c r="I1490" t="str">
        <f>IF(H1490&lt;=0,"",LOOKUP(H1490,'Regras e Parâmetros'!$B$4:$B$7,'Regras e Parâmetros'!$A$4:$A$7))</f>
        <v>Bronze</v>
      </c>
      <c r="J1490" t="s">
        <v>9790</v>
      </c>
    </row>
    <row r="1491" spans="1:12" x14ac:dyDescent="0.3">
      <c r="A1491" t="s">
        <v>709</v>
      </c>
      <c r="B1491" s="5" t="s">
        <v>6848</v>
      </c>
      <c r="C1491" t="s">
        <v>6456</v>
      </c>
      <c r="D1491" t="s">
        <v>710</v>
      </c>
      <c r="E1491" t="s">
        <v>6849</v>
      </c>
      <c r="F1491" s="1">
        <v>44596</v>
      </c>
      <c r="G1491" t="s">
        <v>110</v>
      </c>
      <c r="H1491" s="24">
        <v>1868</v>
      </c>
      <c r="I1491" t="str">
        <f>IF(H1491&lt;=0,"",LOOKUP(H1491,'Regras e Parâmetros'!$B$4:$B$7,'Regras e Parâmetros'!$A$4:$A$7))</f>
        <v>Prata</v>
      </c>
      <c r="J1491" t="s">
        <v>6456</v>
      </c>
    </row>
    <row r="1492" spans="1:12" x14ac:dyDescent="0.3">
      <c r="A1492" t="s">
        <v>1460</v>
      </c>
      <c r="B1492" s="5" t="s">
        <v>7275</v>
      </c>
      <c r="C1492" t="s">
        <v>6456</v>
      </c>
      <c r="D1492" t="s">
        <v>1462</v>
      </c>
      <c r="E1492" t="s">
        <v>1463</v>
      </c>
      <c r="F1492" s="1">
        <v>44873</v>
      </c>
      <c r="G1492" t="s">
        <v>51</v>
      </c>
      <c r="H1492" s="24">
        <v>3794</v>
      </c>
      <c r="I1492" t="str">
        <f>IF(H1492&lt;=0,"",LOOKUP(H1492,'Regras e Parâmetros'!$B$4:$B$7,'Regras e Parâmetros'!$A$4:$A$7))</f>
        <v>Prata</v>
      </c>
      <c r="J1492" t="s">
        <v>6747</v>
      </c>
      <c r="K1492" t="s">
        <v>708</v>
      </c>
    </row>
    <row r="1493" spans="1:12" x14ac:dyDescent="0.3">
      <c r="A1493" t="s">
        <v>1488</v>
      </c>
      <c r="B1493" s="5" t="s">
        <v>1489</v>
      </c>
      <c r="C1493" t="s">
        <v>6456</v>
      </c>
      <c r="D1493" t="s">
        <v>7285</v>
      </c>
      <c r="E1493" t="s">
        <v>7286</v>
      </c>
      <c r="F1493" s="1">
        <v>44880</v>
      </c>
      <c r="G1493" t="s">
        <v>51</v>
      </c>
      <c r="H1493" s="24">
        <v>406</v>
      </c>
      <c r="I1493" t="str">
        <f>IF(H1493&lt;=0,"",LOOKUP(H1493,'Regras e Parâmetros'!$B$4:$B$7,'Regras e Parâmetros'!$A$4:$A$7))</f>
        <v>Bronze</v>
      </c>
      <c r="J1493" t="s">
        <v>9790</v>
      </c>
    </row>
    <row r="1494" spans="1:12" x14ac:dyDescent="0.3">
      <c r="A1494" t="s">
        <v>5743</v>
      </c>
      <c r="B1494" s="5" t="s">
        <v>9666</v>
      </c>
      <c r="C1494" t="s">
        <v>6456</v>
      </c>
      <c r="D1494" t="s">
        <v>6022</v>
      </c>
      <c r="E1494" t="s">
        <v>5744</v>
      </c>
      <c r="F1494" s="1">
        <v>46229</v>
      </c>
      <c r="G1494" t="s">
        <v>45</v>
      </c>
      <c r="H1494" s="24">
        <v>0</v>
      </c>
      <c r="I1494" t="str">
        <f>IF(H1494&lt;=0,"",LOOKUP(H1494,'Regras e Parâmetros'!$B$4:$B$7,'Regras e Parâmetros'!$A$4:$A$7))</f>
        <v/>
      </c>
      <c r="J1494" t="s">
        <v>6747</v>
      </c>
      <c r="K1494" t="s">
        <v>9937</v>
      </c>
      <c r="L1494" t="s">
        <v>9883</v>
      </c>
    </row>
    <row r="1495" spans="1:12" x14ac:dyDescent="0.3">
      <c r="A1495" t="s">
        <v>2515</v>
      </c>
      <c r="B1495" s="5" t="s">
        <v>7874</v>
      </c>
      <c r="C1495" t="s">
        <v>6456</v>
      </c>
      <c r="D1495" t="s">
        <v>2516</v>
      </c>
      <c r="E1495" t="s">
        <v>7875</v>
      </c>
      <c r="F1495" s="1">
        <v>45208</v>
      </c>
      <c r="G1495" t="s">
        <v>51</v>
      </c>
      <c r="H1495" s="24">
        <v>770</v>
      </c>
      <c r="I1495" t="str">
        <f>IF(H1495&lt;=0,"",LOOKUP(H1495,'Regras e Parâmetros'!$B$4:$B$7,'Regras e Parâmetros'!$A$4:$A$7))</f>
        <v>Bronze</v>
      </c>
      <c r="J1495" t="s">
        <v>6456</v>
      </c>
    </row>
    <row r="1496" spans="1:12" x14ac:dyDescent="0.3">
      <c r="A1496" t="s">
        <v>2145</v>
      </c>
      <c r="B1496" s="5" t="s">
        <v>2146</v>
      </c>
      <c r="C1496" t="s">
        <v>6456</v>
      </c>
      <c r="D1496" t="s">
        <v>2147</v>
      </c>
      <c r="E1496" t="s">
        <v>2148</v>
      </c>
      <c r="F1496" s="1">
        <v>45078</v>
      </c>
      <c r="G1496" t="s">
        <v>45</v>
      </c>
      <c r="H1496" s="24">
        <v>2700</v>
      </c>
      <c r="I1496" t="str">
        <f>IF(H1496&lt;=0,"",LOOKUP(H1496,'Regras e Parâmetros'!$B$4:$B$7,'Regras e Parâmetros'!$A$4:$A$7))</f>
        <v>Prata</v>
      </c>
      <c r="J1496" t="s">
        <v>9790</v>
      </c>
      <c r="K1496" t="s">
        <v>708</v>
      </c>
      <c r="L1496" t="s">
        <v>9812</v>
      </c>
    </row>
    <row r="1497" spans="1:12" x14ac:dyDescent="0.3">
      <c r="A1497" t="s">
        <v>7057</v>
      </c>
      <c r="B1497" s="5" t="s">
        <v>7058</v>
      </c>
      <c r="C1497" t="s">
        <v>6456</v>
      </c>
      <c r="D1497" t="s">
        <v>1172</v>
      </c>
      <c r="E1497" t="s">
        <v>1173</v>
      </c>
      <c r="F1497" s="1">
        <v>44737</v>
      </c>
      <c r="G1497" t="s">
        <v>110</v>
      </c>
      <c r="H1497" s="24">
        <v>5035</v>
      </c>
      <c r="I1497" t="str">
        <f>IF(H1497&lt;=0,"",LOOKUP(H1497,'Regras e Parâmetros'!$B$4:$B$7,'Regras e Parâmetros'!$A$4:$A$7))</f>
        <v>Ouro</v>
      </c>
      <c r="J1497" t="s">
        <v>6456</v>
      </c>
    </row>
    <row r="1498" spans="1:12" x14ac:dyDescent="0.3">
      <c r="A1498" t="s">
        <v>6496</v>
      </c>
      <c r="B1498" s="5" t="s">
        <v>6497</v>
      </c>
      <c r="C1498" t="s">
        <v>6456</v>
      </c>
      <c r="D1498" t="s">
        <v>85</v>
      </c>
      <c r="E1498" t="s">
        <v>6498</v>
      </c>
      <c r="F1498" s="1">
        <v>44374</v>
      </c>
      <c r="G1498" t="s">
        <v>18</v>
      </c>
      <c r="H1498" s="24">
        <v>2700</v>
      </c>
      <c r="I1498" t="str">
        <f>IF(H1498&lt;=0,"",LOOKUP(H1498,'Regras e Parâmetros'!$B$4:$B$7,'Regras e Parâmetros'!$A$4:$A$7))</f>
        <v>Prata</v>
      </c>
      <c r="J1498" t="s">
        <v>6456</v>
      </c>
      <c r="K1498" t="s">
        <v>44</v>
      </c>
      <c r="L1498" t="s">
        <v>9793</v>
      </c>
    </row>
    <row r="1499" spans="1:12" x14ac:dyDescent="0.3">
      <c r="A1499" t="s">
        <v>8701</v>
      </c>
      <c r="B1499" s="5" t="s">
        <v>8702</v>
      </c>
      <c r="C1499" t="s">
        <v>6456</v>
      </c>
      <c r="D1499" t="s">
        <v>4078</v>
      </c>
      <c r="E1499" t="s">
        <v>8703</v>
      </c>
      <c r="F1499" s="1">
        <v>45738</v>
      </c>
      <c r="G1499" t="s">
        <v>45</v>
      </c>
      <c r="H1499" s="24">
        <v>0</v>
      </c>
      <c r="I1499" t="str">
        <f>IF(H1499&lt;=0,"",LOOKUP(H1499,'Regras e Parâmetros'!$B$4:$B$7,'Regras e Parâmetros'!$A$4:$A$7))</f>
        <v/>
      </c>
      <c r="J1499" t="s">
        <v>9790</v>
      </c>
      <c r="K1499" t="s">
        <v>33</v>
      </c>
      <c r="L1499" t="s">
        <v>9883</v>
      </c>
    </row>
    <row r="1500" spans="1:12" x14ac:dyDescent="0.3">
      <c r="A1500" t="s">
        <v>706</v>
      </c>
      <c r="B1500" s="5" t="s">
        <v>6846</v>
      </c>
      <c r="C1500" t="s">
        <v>6456</v>
      </c>
      <c r="D1500" t="s">
        <v>707</v>
      </c>
      <c r="E1500" t="s">
        <v>6847</v>
      </c>
      <c r="F1500" s="1">
        <v>44595</v>
      </c>
      <c r="G1500" t="s">
        <v>45</v>
      </c>
      <c r="H1500" s="24">
        <v>254</v>
      </c>
      <c r="I1500" t="str">
        <f>IF(H1500&lt;=0,"",LOOKUP(H1500,'Regras e Parâmetros'!$B$4:$B$7,'Regras e Parâmetros'!$A$4:$A$7))</f>
        <v>Bronze</v>
      </c>
      <c r="J1500" t="s">
        <v>9790</v>
      </c>
      <c r="K1500" t="s">
        <v>708</v>
      </c>
    </row>
    <row r="1501" spans="1:12" x14ac:dyDescent="0.3">
      <c r="A1501" t="s">
        <v>362</v>
      </c>
      <c r="B1501" s="5" t="s">
        <v>6646</v>
      </c>
      <c r="C1501" t="s">
        <v>6456</v>
      </c>
      <c r="D1501" t="s">
        <v>363</v>
      </c>
      <c r="E1501" t="s">
        <v>364</v>
      </c>
      <c r="F1501" s="1">
        <v>44468</v>
      </c>
      <c r="G1501" t="s">
        <v>22</v>
      </c>
      <c r="H1501" s="24">
        <v>1833</v>
      </c>
      <c r="I1501" t="str">
        <f>IF(H1501&lt;=0,"",LOOKUP(H1501,'Regras e Parâmetros'!$B$4:$B$7,'Regras e Parâmetros'!$A$4:$A$7))</f>
        <v>Prata</v>
      </c>
      <c r="J1501" t="s">
        <v>6747</v>
      </c>
    </row>
    <row r="1502" spans="1:12" x14ac:dyDescent="0.3">
      <c r="A1502" t="s">
        <v>905</v>
      </c>
      <c r="B1502" s="5" t="s">
        <v>6961</v>
      </c>
      <c r="C1502" t="s">
        <v>6456</v>
      </c>
      <c r="D1502" t="s">
        <v>906</v>
      </c>
      <c r="E1502" t="s">
        <v>907</v>
      </c>
      <c r="F1502" s="1">
        <v>44669</v>
      </c>
      <c r="G1502" t="s">
        <v>22</v>
      </c>
      <c r="H1502" s="24">
        <v>5608</v>
      </c>
      <c r="I1502" t="str">
        <f>IF(H1502&lt;=0,"",LOOKUP(H1502,'Regras e Parâmetros'!$B$4:$B$7,'Regras e Parâmetros'!$A$4:$A$7))</f>
        <v>Ouro</v>
      </c>
      <c r="J1502" t="s">
        <v>9790</v>
      </c>
      <c r="K1502" t="s">
        <v>708</v>
      </c>
    </row>
    <row r="1503" spans="1:12" x14ac:dyDescent="0.3">
      <c r="A1503" t="s">
        <v>7407</v>
      </c>
      <c r="B1503" s="5" t="s">
        <v>1695</v>
      </c>
      <c r="C1503" t="s">
        <v>6456</v>
      </c>
      <c r="D1503" t="s">
        <v>1696</v>
      </c>
      <c r="E1503" t="s">
        <v>7408</v>
      </c>
      <c r="F1503" s="1">
        <v>44939</v>
      </c>
      <c r="G1503" t="s">
        <v>18</v>
      </c>
      <c r="H1503" s="24">
        <v>7000</v>
      </c>
      <c r="I1503" t="str">
        <f>IF(H1503&lt;=0,"",LOOKUP(H1503,'Regras e Parâmetros'!$B$4:$B$7,'Regras e Parâmetros'!$A$4:$A$7))</f>
        <v>Ouro</v>
      </c>
      <c r="J1503" t="s">
        <v>6747</v>
      </c>
      <c r="L1503" t="s">
        <v>9793</v>
      </c>
    </row>
    <row r="1504" spans="1:12" x14ac:dyDescent="0.3">
      <c r="A1504" t="s">
        <v>3697</v>
      </c>
      <c r="B1504" s="5" t="s">
        <v>3698</v>
      </c>
      <c r="C1504" t="s">
        <v>6456</v>
      </c>
      <c r="D1504" t="s">
        <v>3699</v>
      </c>
      <c r="E1504" t="s">
        <v>8465</v>
      </c>
      <c r="F1504" s="1">
        <v>45621</v>
      </c>
      <c r="G1504" t="s">
        <v>18</v>
      </c>
      <c r="H1504" s="24">
        <v>792</v>
      </c>
      <c r="I1504" t="str">
        <f>IF(H1504&lt;=0,"",LOOKUP(H1504,'Regras e Parâmetros'!$B$4:$B$7,'Regras e Parâmetros'!$A$4:$A$7))</f>
        <v>Bronze</v>
      </c>
      <c r="J1504" t="s">
        <v>6456</v>
      </c>
    </row>
    <row r="1505" spans="1:12" x14ac:dyDescent="0.3">
      <c r="A1505" t="s">
        <v>7361</v>
      </c>
      <c r="B1505" s="5" t="s">
        <v>7362</v>
      </c>
      <c r="C1505" t="s">
        <v>6456</v>
      </c>
      <c r="E1505" t="s">
        <v>1621</v>
      </c>
      <c r="F1505" s="1">
        <v>44915</v>
      </c>
      <c r="G1505" t="s">
        <v>22</v>
      </c>
      <c r="H1505" s="24">
        <v>2017</v>
      </c>
      <c r="I1505" t="str">
        <f>IF(H1505&lt;=0,"",LOOKUP(H1505,'Regras e Parâmetros'!$B$4:$B$7,'Regras e Parâmetros'!$A$4:$A$7))</f>
        <v>Prata</v>
      </c>
      <c r="J1505" t="s">
        <v>6747</v>
      </c>
      <c r="K1505" t="s">
        <v>177</v>
      </c>
      <c r="L1505" t="s">
        <v>9829</v>
      </c>
    </row>
    <row r="1506" spans="1:12" x14ac:dyDescent="0.3">
      <c r="A1506" t="s">
        <v>2743</v>
      </c>
      <c r="B1506" s="5" t="s">
        <v>2744</v>
      </c>
      <c r="C1506" t="s">
        <v>6456</v>
      </c>
      <c r="D1506" t="s">
        <v>2745</v>
      </c>
      <c r="E1506" t="s">
        <v>2746</v>
      </c>
      <c r="F1506" s="1">
        <v>45261</v>
      </c>
      <c r="G1506" t="s">
        <v>18</v>
      </c>
      <c r="H1506" s="24">
        <v>159</v>
      </c>
      <c r="I1506" t="str">
        <f>IF(H1506&lt;=0,"",LOOKUP(H1506,'Regras e Parâmetros'!$B$4:$B$7,'Regras e Parâmetros'!$A$4:$A$7))</f>
        <v>Bronze</v>
      </c>
      <c r="J1506" t="s">
        <v>9790</v>
      </c>
      <c r="L1506" t="s">
        <v>9789</v>
      </c>
    </row>
    <row r="1507" spans="1:12" x14ac:dyDescent="0.3">
      <c r="A1507" t="s">
        <v>2111</v>
      </c>
      <c r="B1507" s="5" t="s">
        <v>7646</v>
      </c>
      <c r="C1507" t="s">
        <v>6456</v>
      </c>
      <c r="D1507" t="s">
        <v>2112</v>
      </c>
      <c r="E1507" t="s">
        <v>7647</v>
      </c>
      <c r="F1507" s="1">
        <v>45082</v>
      </c>
      <c r="G1507" t="s">
        <v>45</v>
      </c>
      <c r="H1507" s="24">
        <v>121</v>
      </c>
      <c r="I1507" t="str">
        <f>IF(H1507&lt;=0,"",LOOKUP(H1507,'Regras e Parâmetros'!$B$4:$B$7,'Regras e Parâmetros'!$A$4:$A$7))</f>
        <v>Bronze</v>
      </c>
      <c r="J1507" t="s">
        <v>6456</v>
      </c>
      <c r="K1507" t="s">
        <v>8</v>
      </c>
    </row>
    <row r="1508" spans="1:12" x14ac:dyDescent="0.3">
      <c r="A1508" t="s">
        <v>911</v>
      </c>
      <c r="B1508" s="5" t="s">
        <v>6965</v>
      </c>
      <c r="C1508" t="s">
        <v>6456</v>
      </c>
      <c r="D1508" t="s">
        <v>817</v>
      </c>
      <c r="E1508" t="s">
        <v>912</v>
      </c>
      <c r="F1508" s="1">
        <v>44674</v>
      </c>
      <c r="G1508" t="s">
        <v>100</v>
      </c>
      <c r="H1508" s="24">
        <v>8473</v>
      </c>
      <c r="I1508" t="str">
        <f>IF(H1508&lt;=0,"",LOOKUP(H1508,'Regras e Parâmetros'!$B$4:$B$7,'Regras e Parâmetros'!$A$4:$A$7))</f>
        <v>Ouro</v>
      </c>
      <c r="J1508" t="s">
        <v>6456</v>
      </c>
    </row>
    <row r="1509" spans="1:12" x14ac:dyDescent="0.3">
      <c r="A1509" t="s">
        <v>419</v>
      </c>
      <c r="B1509" s="5" t="s">
        <v>6683</v>
      </c>
      <c r="C1509" t="s">
        <v>6456</v>
      </c>
      <c r="D1509" t="s">
        <v>420</v>
      </c>
      <c r="E1509" t="s">
        <v>421</v>
      </c>
      <c r="F1509" s="1">
        <v>44493</v>
      </c>
      <c r="G1509" t="s">
        <v>51</v>
      </c>
      <c r="H1509" s="24">
        <v>230</v>
      </c>
      <c r="I1509" t="str">
        <f>IF(H1509&lt;=0,"",LOOKUP(H1509,'Regras e Parâmetros'!$B$4:$B$7,'Regras e Parâmetros'!$A$4:$A$7))</f>
        <v>Bronze</v>
      </c>
      <c r="J1509" t="s">
        <v>6747</v>
      </c>
      <c r="L1509" t="s">
        <v>9792</v>
      </c>
    </row>
    <row r="1510" spans="1:12" x14ac:dyDescent="0.3">
      <c r="A1510" t="s">
        <v>419</v>
      </c>
      <c r="B1510" s="5" t="s">
        <v>9728</v>
      </c>
      <c r="C1510" t="s">
        <v>6456</v>
      </c>
      <c r="D1510" t="s">
        <v>5844</v>
      </c>
      <c r="E1510" t="s">
        <v>10120</v>
      </c>
      <c r="F1510" s="1">
        <v>46252</v>
      </c>
      <c r="G1510" t="s">
        <v>45</v>
      </c>
      <c r="H1510" s="24">
        <v>0</v>
      </c>
      <c r="I1510" t="str">
        <f>IF(H1510&lt;=0,"",LOOKUP(H1510,'Regras e Parâmetros'!$B$4:$B$7,'Regras e Parâmetros'!$A$4:$A$7))</f>
        <v/>
      </c>
      <c r="J1510" t="s">
        <v>6456</v>
      </c>
      <c r="K1510" t="s">
        <v>8</v>
      </c>
      <c r="L1510" t="s">
        <v>9883</v>
      </c>
    </row>
    <row r="1511" spans="1:12" x14ac:dyDescent="0.3">
      <c r="A1511" t="s">
        <v>2365</v>
      </c>
      <c r="B1511" s="5" t="s">
        <v>7785</v>
      </c>
      <c r="C1511" t="s">
        <v>6456</v>
      </c>
      <c r="D1511" t="s">
        <v>2366</v>
      </c>
      <c r="E1511" t="s">
        <v>7786</v>
      </c>
      <c r="F1511" s="1">
        <v>45154</v>
      </c>
      <c r="G1511" t="s">
        <v>18</v>
      </c>
      <c r="H1511" s="24">
        <v>1536</v>
      </c>
      <c r="I1511" t="str">
        <f>IF(H1511&lt;=0,"",LOOKUP(H1511,'Regras e Parâmetros'!$B$4:$B$7,'Regras e Parâmetros'!$A$4:$A$7))</f>
        <v>Prata</v>
      </c>
      <c r="J1511" t="s">
        <v>6747</v>
      </c>
    </row>
    <row r="1512" spans="1:12" x14ac:dyDescent="0.3">
      <c r="A1512" t="s">
        <v>1174</v>
      </c>
      <c r="B1512" s="5" t="s">
        <v>7037</v>
      </c>
      <c r="C1512" t="s">
        <v>6456</v>
      </c>
      <c r="D1512" t="s">
        <v>1175</v>
      </c>
      <c r="E1512" t="s">
        <v>1176</v>
      </c>
      <c r="F1512" s="1">
        <v>44727</v>
      </c>
      <c r="G1512" t="s">
        <v>51</v>
      </c>
      <c r="H1512" s="24">
        <v>2362</v>
      </c>
      <c r="I1512" t="str">
        <f>IF(H1512&lt;=0,"",LOOKUP(H1512,'Regras e Parâmetros'!$B$4:$B$7,'Regras e Parâmetros'!$A$4:$A$7))</f>
        <v>Prata</v>
      </c>
      <c r="J1512" t="s">
        <v>6456</v>
      </c>
      <c r="K1512" t="s">
        <v>10028</v>
      </c>
    </row>
    <row r="1513" spans="1:12" x14ac:dyDescent="0.3">
      <c r="A1513" t="s">
        <v>2438</v>
      </c>
      <c r="B1513" s="5" t="s">
        <v>7827</v>
      </c>
      <c r="C1513" t="s">
        <v>6456</v>
      </c>
      <c r="D1513" t="s">
        <v>2439</v>
      </c>
      <c r="E1513" t="s">
        <v>2440</v>
      </c>
      <c r="F1513" s="1">
        <v>45178</v>
      </c>
      <c r="G1513" t="s">
        <v>45</v>
      </c>
      <c r="H1513" s="24">
        <v>0</v>
      </c>
      <c r="I1513" t="str">
        <f>IF(H1513&lt;=0,"",LOOKUP(H1513,'Regras e Parâmetros'!$B$4:$B$7,'Regras e Parâmetros'!$A$4:$A$7))</f>
        <v/>
      </c>
      <c r="J1513" t="s">
        <v>6747</v>
      </c>
      <c r="L1513" t="s">
        <v>9792</v>
      </c>
    </row>
    <row r="1514" spans="1:12" x14ac:dyDescent="0.3">
      <c r="A1514" t="s">
        <v>5193</v>
      </c>
      <c r="B1514" s="5" t="s">
        <v>9321</v>
      </c>
      <c r="C1514" t="s">
        <v>6456</v>
      </c>
      <c r="D1514" t="s">
        <v>5194</v>
      </c>
      <c r="E1514" t="s">
        <v>9322</v>
      </c>
      <c r="F1514" s="1">
        <v>46054</v>
      </c>
      <c r="G1514" t="s">
        <v>45</v>
      </c>
      <c r="H1514" s="24">
        <v>0</v>
      </c>
      <c r="I1514" t="str">
        <f>IF(H1514&lt;=0,"",LOOKUP(H1514,'Regras e Parâmetros'!$B$4:$B$7,'Regras e Parâmetros'!$A$4:$A$7))</f>
        <v/>
      </c>
      <c r="J1514" t="s">
        <v>6747</v>
      </c>
      <c r="K1514" t="s">
        <v>177</v>
      </c>
      <c r="L1514" t="s">
        <v>9884</v>
      </c>
    </row>
    <row r="1515" spans="1:12" x14ac:dyDescent="0.3">
      <c r="A1515" t="s">
        <v>6502</v>
      </c>
      <c r="B1515" s="5" t="s">
        <v>6503</v>
      </c>
      <c r="C1515" t="s">
        <v>6456</v>
      </c>
      <c r="D1515" t="s">
        <v>90</v>
      </c>
      <c r="E1515" t="s">
        <v>10121</v>
      </c>
      <c r="F1515" s="1">
        <v>44376</v>
      </c>
      <c r="G1515" t="s">
        <v>51</v>
      </c>
      <c r="H1515" s="24">
        <v>11438</v>
      </c>
      <c r="I1515" t="str">
        <f>IF(H1515&lt;=0,"",LOOKUP(H1515,'Regras e Parâmetros'!$B$4:$B$7,'Regras e Parâmetros'!$A$4:$A$7))</f>
        <v>Vip</v>
      </c>
      <c r="J1515" t="s">
        <v>6747</v>
      </c>
    </row>
    <row r="1516" spans="1:12" x14ac:dyDescent="0.3">
      <c r="A1516" t="s">
        <v>2805</v>
      </c>
      <c r="B1516" s="5" t="s">
        <v>8021</v>
      </c>
      <c r="C1516" t="s">
        <v>6456</v>
      </c>
      <c r="D1516" t="s">
        <v>2806</v>
      </c>
      <c r="E1516" t="s">
        <v>8022</v>
      </c>
      <c r="F1516" s="1">
        <v>45313</v>
      </c>
      <c r="G1516" t="s">
        <v>22</v>
      </c>
      <c r="H1516" s="24">
        <v>3234</v>
      </c>
      <c r="I1516" t="str">
        <f>IF(H1516&lt;=0,"",LOOKUP(H1516,'Regras e Parâmetros'!$B$4:$B$7,'Regras e Parâmetros'!$A$4:$A$7))</f>
        <v>Prata</v>
      </c>
      <c r="J1516" t="s">
        <v>6747</v>
      </c>
    </row>
    <row r="1517" spans="1:12" x14ac:dyDescent="0.3">
      <c r="A1517" t="s">
        <v>4938</v>
      </c>
      <c r="B1517" s="5" t="s">
        <v>9206</v>
      </c>
      <c r="C1517" t="s">
        <v>6456</v>
      </c>
      <c r="D1517" t="s">
        <v>4939</v>
      </c>
      <c r="E1517" t="s">
        <v>9207</v>
      </c>
      <c r="F1517" s="1">
        <v>45992</v>
      </c>
      <c r="G1517" t="s">
        <v>18</v>
      </c>
      <c r="H1517" s="24">
        <v>0</v>
      </c>
      <c r="I1517" t="str">
        <f>IF(H1517&lt;=0,"",LOOKUP(H1517,'Regras e Parâmetros'!$B$4:$B$7,'Regras e Parâmetros'!$A$4:$A$7))</f>
        <v/>
      </c>
      <c r="J1517" t="s">
        <v>6456</v>
      </c>
      <c r="L1517" t="s">
        <v>9883</v>
      </c>
    </row>
    <row r="1518" spans="1:12" x14ac:dyDescent="0.3">
      <c r="A1518" t="s">
        <v>4091</v>
      </c>
      <c r="B1518" s="5" t="s">
        <v>4092</v>
      </c>
      <c r="C1518" t="s">
        <v>6456</v>
      </c>
      <c r="D1518" t="s">
        <v>4093</v>
      </c>
      <c r="E1518" t="s">
        <v>4094</v>
      </c>
      <c r="F1518" s="1">
        <v>45741</v>
      </c>
      <c r="G1518" t="s">
        <v>51</v>
      </c>
      <c r="H1518" s="24">
        <v>0</v>
      </c>
      <c r="I1518" t="str">
        <f>IF(H1518&lt;=0,"",LOOKUP(H1518,'Regras e Parâmetros'!$B$4:$B$7,'Regras e Parâmetros'!$A$4:$A$7))</f>
        <v/>
      </c>
      <c r="J1518" t="s">
        <v>6456</v>
      </c>
      <c r="L1518" t="s">
        <v>9883</v>
      </c>
    </row>
    <row r="1519" spans="1:12" x14ac:dyDescent="0.3">
      <c r="A1519" t="s">
        <v>3909</v>
      </c>
      <c r="B1519" s="5" t="s">
        <v>8621</v>
      </c>
      <c r="C1519" t="s">
        <v>6456</v>
      </c>
      <c r="D1519" t="s">
        <v>3910</v>
      </c>
      <c r="E1519" t="s">
        <v>8622</v>
      </c>
      <c r="F1519" s="1">
        <v>45693</v>
      </c>
      <c r="G1519" t="s">
        <v>45</v>
      </c>
      <c r="H1519" s="24">
        <v>0</v>
      </c>
      <c r="I1519" t="str">
        <f>IF(H1519&lt;=0,"",LOOKUP(H1519,'Regras e Parâmetros'!$B$4:$B$7,'Regras e Parâmetros'!$A$4:$A$7))</f>
        <v/>
      </c>
      <c r="J1519" t="s">
        <v>9790</v>
      </c>
      <c r="L1519" t="s">
        <v>9883</v>
      </c>
    </row>
    <row r="1520" spans="1:12" x14ac:dyDescent="0.3">
      <c r="A1520" t="s">
        <v>845</v>
      </c>
      <c r="B1520" s="5" t="s">
        <v>6925</v>
      </c>
      <c r="C1520" t="s">
        <v>6456</v>
      </c>
      <c r="D1520" t="s">
        <v>846</v>
      </c>
      <c r="E1520" t="s">
        <v>6926</v>
      </c>
      <c r="F1520" s="1">
        <v>44647</v>
      </c>
      <c r="G1520" t="s">
        <v>100</v>
      </c>
      <c r="H1520" s="24">
        <v>1484</v>
      </c>
      <c r="I1520" t="str">
        <f>IF(H1520&lt;=0,"",LOOKUP(H1520,'Regras e Parâmetros'!$B$4:$B$7,'Regras e Parâmetros'!$A$4:$A$7))</f>
        <v>Bronze</v>
      </c>
      <c r="J1520" t="s">
        <v>6747</v>
      </c>
    </row>
    <row r="1521" spans="1:12" x14ac:dyDescent="0.3">
      <c r="A1521" t="s">
        <v>2998</v>
      </c>
      <c r="B1521" s="5" t="s">
        <v>8110</v>
      </c>
      <c r="C1521" t="s">
        <v>6456</v>
      </c>
      <c r="D1521" t="s">
        <v>2999</v>
      </c>
      <c r="E1521" t="s">
        <v>3000</v>
      </c>
      <c r="F1521" s="1">
        <v>45389</v>
      </c>
      <c r="G1521" t="s">
        <v>18</v>
      </c>
      <c r="H1521" s="24">
        <v>520</v>
      </c>
      <c r="I1521" t="str">
        <f>IF(H1521&lt;=0,"",LOOKUP(H1521,'Regras e Parâmetros'!$B$4:$B$7,'Regras e Parâmetros'!$A$4:$A$7))</f>
        <v>Bronze</v>
      </c>
      <c r="J1521" t="s">
        <v>6456</v>
      </c>
    </row>
    <row r="1522" spans="1:12" x14ac:dyDescent="0.3">
      <c r="A1522" t="s">
        <v>4418</v>
      </c>
      <c r="B1522" s="5" t="s">
        <v>8893</v>
      </c>
      <c r="C1522" t="s">
        <v>6456</v>
      </c>
      <c r="D1522" t="s">
        <v>4419</v>
      </c>
      <c r="E1522" t="s">
        <v>8894</v>
      </c>
      <c r="F1522" s="1">
        <v>45842</v>
      </c>
      <c r="G1522" t="s">
        <v>45</v>
      </c>
      <c r="H1522" s="24">
        <v>0</v>
      </c>
      <c r="I1522" t="str">
        <f>IF(H1522&lt;=0,"",LOOKUP(H1522,'Regras e Parâmetros'!$B$4:$B$7,'Regras e Parâmetros'!$A$4:$A$7))</f>
        <v/>
      </c>
      <c r="J1522" t="s">
        <v>6747</v>
      </c>
      <c r="L1522" t="s">
        <v>9883</v>
      </c>
    </row>
    <row r="1523" spans="1:12" x14ac:dyDescent="0.3">
      <c r="A1523" t="s">
        <v>9579</v>
      </c>
      <c r="B1523" s="5" t="s">
        <v>5597</v>
      </c>
      <c r="C1523" t="s">
        <v>6456</v>
      </c>
      <c r="D1523" t="s">
        <v>6015</v>
      </c>
      <c r="E1523" t="s">
        <v>9580</v>
      </c>
      <c r="F1523" s="1">
        <v>46181</v>
      </c>
      <c r="G1523" t="s">
        <v>51</v>
      </c>
      <c r="H1523" s="24">
        <v>0</v>
      </c>
      <c r="I1523" t="str">
        <f>IF(H1523&lt;=0,"",LOOKUP(H1523,'Regras e Parâmetros'!$B$4:$B$7,'Regras e Parâmetros'!$A$4:$A$7))</f>
        <v/>
      </c>
      <c r="J1523" t="s">
        <v>9790</v>
      </c>
      <c r="K1523" t="s">
        <v>9929</v>
      </c>
      <c r="L1523" t="s">
        <v>9883</v>
      </c>
    </row>
    <row r="1524" spans="1:12" x14ac:dyDescent="0.3">
      <c r="A1524" t="s">
        <v>702</v>
      </c>
      <c r="B1524" s="5" t="s">
        <v>6837</v>
      </c>
      <c r="C1524" t="s">
        <v>6456</v>
      </c>
      <c r="D1524" t="s">
        <v>703</v>
      </c>
      <c r="E1524" t="s">
        <v>6838</v>
      </c>
      <c r="F1524" s="1">
        <v>44593</v>
      </c>
      <c r="G1524" t="s">
        <v>22</v>
      </c>
      <c r="H1524" s="24">
        <v>15000</v>
      </c>
      <c r="I1524" t="str">
        <f>IF(H1524&lt;=0,"",LOOKUP(H1524,'Regras e Parâmetros'!$B$4:$B$7,'Regras e Parâmetros'!$A$4:$A$7))</f>
        <v>Vip</v>
      </c>
      <c r="J1524" t="s">
        <v>6456</v>
      </c>
      <c r="K1524" t="s">
        <v>187</v>
      </c>
    </row>
    <row r="1525" spans="1:12" x14ac:dyDescent="0.3">
      <c r="A1525" t="s">
        <v>5465</v>
      </c>
      <c r="B1525" s="5" t="s">
        <v>5466</v>
      </c>
      <c r="C1525" t="s">
        <v>6747</v>
      </c>
      <c r="D1525" t="s">
        <v>5467</v>
      </c>
      <c r="E1525" t="s">
        <v>5468</v>
      </c>
      <c r="F1525" s="1">
        <v>46149</v>
      </c>
      <c r="G1525" t="s">
        <v>22</v>
      </c>
      <c r="H1525" s="24">
        <v>0</v>
      </c>
      <c r="I1525" t="str">
        <f>IF(H1525&lt;=0,"",LOOKUP(H1525,'Regras e Parâmetros'!$B$4:$B$7,'Regras e Parâmetros'!$A$4:$A$7))</f>
        <v/>
      </c>
      <c r="J1525" t="s">
        <v>9790</v>
      </c>
      <c r="L1525" t="s">
        <v>10242</v>
      </c>
    </row>
    <row r="1526" spans="1:12" x14ac:dyDescent="0.3">
      <c r="A1526" t="s">
        <v>1813</v>
      </c>
      <c r="B1526" s="5" t="s">
        <v>7471</v>
      </c>
      <c r="C1526" t="s">
        <v>6456</v>
      </c>
      <c r="D1526" t="s">
        <v>1814</v>
      </c>
      <c r="E1526" t="s">
        <v>1815</v>
      </c>
      <c r="F1526" s="1">
        <v>44977</v>
      </c>
      <c r="G1526" t="s">
        <v>110</v>
      </c>
      <c r="H1526" s="24">
        <v>358</v>
      </c>
      <c r="I1526" t="str">
        <f>IF(H1526&lt;=0,"",LOOKUP(H1526,'Regras e Parâmetros'!$B$4:$B$7,'Regras e Parâmetros'!$A$4:$A$7))</f>
        <v>Bronze</v>
      </c>
      <c r="J1526" t="s">
        <v>6456</v>
      </c>
    </row>
    <row r="1527" spans="1:12" x14ac:dyDescent="0.3">
      <c r="A1527" t="s">
        <v>9381</v>
      </c>
      <c r="B1527" s="5" t="s">
        <v>9382</v>
      </c>
      <c r="C1527" t="s">
        <v>6456</v>
      </c>
      <c r="D1527" t="s">
        <v>5238</v>
      </c>
      <c r="E1527" t="s">
        <v>5239</v>
      </c>
      <c r="F1527" s="1">
        <v>46084</v>
      </c>
      <c r="G1527" t="s">
        <v>110</v>
      </c>
      <c r="H1527" s="24">
        <v>0</v>
      </c>
      <c r="I1527" t="str">
        <f>IF(H1527&lt;=0,"",LOOKUP(H1527,'Regras e Parâmetros'!$B$4:$B$7,'Regras e Parâmetros'!$A$4:$A$7))</f>
        <v/>
      </c>
      <c r="J1527" t="s">
        <v>6747</v>
      </c>
      <c r="L1527" t="s">
        <v>9883</v>
      </c>
    </row>
    <row r="1528" spans="1:12" x14ac:dyDescent="0.3">
      <c r="A1528" t="s">
        <v>1177</v>
      </c>
      <c r="B1528" s="5" t="s">
        <v>7064</v>
      </c>
      <c r="C1528" t="s">
        <v>6456</v>
      </c>
      <c r="D1528" t="s">
        <v>1178</v>
      </c>
      <c r="E1528" t="s">
        <v>7065</v>
      </c>
      <c r="F1528" s="1">
        <v>44742</v>
      </c>
      <c r="G1528" t="s">
        <v>45</v>
      </c>
      <c r="H1528" s="24">
        <v>1879</v>
      </c>
      <c r="I1528" t="str">
        <f>IF(H1528&lt;=0,"",LOOKUP(H1528,'Regras e Parâmetros'!$B$4:$B$7,'Regras e Parâmetros'!$A$4:$A$7))</f>
        <v>Prata</v>
      </c>
      <c r="J1528" t="s">
        <v>6456</v>
      </c>
      <c r="K1528" t="s">
        <v>72</v>
      </c>
    </row>
    <row r="1529" spans="1:12" x14ac:dyDescent="0.3">
      <c r="A1529" t="s">
        <v>2656</v>
      </c>
      <c r="B1529" s="5" t="s">
        <v>7949</v>
      </c>
      <c r="C1529" t="s">
        <v>6456</v>
      </c>
      <c r="D1529" t="s">
        <v>2657</v>
      </c>
      <c r="E1529" t="s">
        <v>7950</v>
      </c>
      <c r="F1529" s="1">
        <v>45248</v>
      </c>
      <c r="G1529" t="s">
        <v>110</v>
      </c>
      <c r="H1529" s="24">
        <v>1100</v>
      </c>
      <c r="I1529" t="str">
        <f>IF(H1529&lt;=0,"",LOOKUP(H1529,'Regras e Parâmetros'!$B$4:$B$7,'Regras e Parâmetros'!$A$4:$A$7))</f>
        <v>Bronze</v>
      </c>
      <c r="J1529" t="s">
        <v>9790</v>
      </c>
      <c r="L1529" t="s">
        <v>9793</v>
      </c>
    </row>
    <row r="1530" spans="1:12" x14ac:dyDescent="0.3">
      <c r="A1530" t="s">
        <v>3311</v>
      </c>
      <c r="B1530" s="5" t="s">
        <v>3312</v>
      </c>
      <c r="C1530" t="s">
        <v>6456</v>
      </c>
      <c r="D1530" t="s">
        <v>3313</v>
      </c>
      <c r="E1530" t="s">
        <v>3314</v>
      </c>
      <c r="F1530" s="1">
        <v>45504</v>
      </c>
      <c r="G1530" t="s">
        <v>22</v>
      </c>
      <c r="H1530" s="24">
        <v>469</v>
      </c>
      <c r="I1530" t="str">
        <f>IF(H1530&lt;=0,"",LOOKUP(H1530,'Regras e Parâmetros'!$B$4:$B$7,'Regras e Parâmetros'!$A$4:$A$7))</f>
        <v>Bronze</v>
      </c>
      <c r="J1530" t="s">
        <v>6747</v>
      </c>
      <c r="L1530" t="s">
        <v>9792</v>
      </c>
    </row>
    <row r="1531" spans="1:12" x14ac:dyDescent="0.3">
      <c r="A1531" t="s">
        <v>8014</v>
      </c>
      <c r="B1531" s="5" t="s">
        <v>8015</v>
      </c>
      <c r="C1531" t="s">
        <v>6456</v>
      </c>
      <c r="D1531" t="s">
        <v>2798</v>
      </c>
      <c r="E1531" t="s">
        <v>8016</v>
      </c>
      <c r="F1531" s="1">
        <v>45309</v>
      </c>
      <c r="G1531" t="s">
        <v>110</v>
      </c>
      <c r="H1531" s="24">
        <v>4791</v>
      </c>
      <c r="I1531" t="str">
        <f>IF(H1531&lt;=0,"",LOOKUP(H1531,'Regras e Parâmetros'!$B$4:$B$7,'Regras e Parâmetros'!$A$4:$A$7))</f>
        <v>Prata</v>
      </c>
      <c r="J1531" t="s">
        <v>6456</v>
      </c>
      <c r="K1531" t="s">
        <v>8</v>
      </c>
    </row>
    <row r="1532" spans="1:12" x14ac:dyDescent="0.3">
      <c r="A1532" t="s">
        <v>3673</v>
      </c>
      <c r="B1532" s="5" t="s">
        <v>8458</v>
      </c>
      <c r="C1532" t="s">
        <v>6456</v>
      </c>
      <c r="D1532" t="s">
        <v>3674</v>
      </c>
      <c r="E1532" t="s">
        <v>3675</v>
      </c>
      <c r="F1532" s="1">
        <v>45614</v>
      </c>
      <c r="G1532" t="s">
        <v>45</v>
      </c>
      <c r="H1532" s="24">
        <v>3620</v>
      </c>
      <c r="I1532" t="str">
        <f>IF(H1532&lt;=0,"",LOOKUP(H1532,'Regras e Parâmetros'!$B$4:$B$7,'Regras e Parâmetros'!$A$4:$A$7))</f>
        <v>Prata</v>
      </c>
      <c r="J1532" t="s">
        <v>9790</v>
      </c>
    </row>
    <row r="1533" spans="1:12" x14ac:dyDescent="0.3">
      <c r="A1533" t="s">
        <v>2882</v>
      </c>
      <c r="B1533" s="5" t="s">
        <v>8059</v>
      </c>
      <c r="C1533" t="s">
        <v>6456</v>
      </c>
      <c r="D1533" t="s">
        <v>2883</v>
      </c>
      <c r="E1533" t="s">
        <v>8060</v>
      </c>
      <c r="F1533" s="1">
        <v>45351</v>
      </c>
      <c r="G1533" t="s">
        <v>45</v>
      </c>
      <c r="H1533" s="24">
        <v>651</v>
      </c>
      <c r="I1533" t="str">
        <f>IF(H1533&lt;=0,"",LOOKUP(H1533,'Regras e Parâmetros'!$B$4:$B$7,'Regras e Parâmetros'!$A$4:$A$7))</f>
        <v>Bronze</v>
      </c>
      <c r="J1533" t="s">
        <v>9790</v>
      </c>
      <c r="K1533" t="s">
        <v>33</v>
      </c>
    </row>
    <row r="1534" spans="1:12" x14ac:dyDescent="0.3">
      <c r="A1534" t="s">
        <v>7255</v>
      </c>
      <c r="B1534" s="5" t="s">
        <v>1432</v>
      </c>
      <c r="C1534" t="s">
        <v>6456</v>
      </c>
      <c r="D1534" t="s">
        <v>1433</v>
      </c>
      <c r="E1534" t="s">
        <v>1434</v>
      </c>
      <c r="F1534" s="1">
        <v>44865</v>
      </c>
      <c r="G1534" t="s">
        <v>51</v>
      </c>
      <c r="H1534" s="24">
        <v>380</v>
      </c>
      <c r="I1534" t="str">
        <f>IF(H1534&lt;=0,"",LOOKUP(H1534,'Regras e Parâmetros'!$B$4:$B$7,'Regras e Parâmetros'!$A$4:$A$7))</f>
        <v>Bronze</v>
      </c>
      <c r="J1534" t="s">
        <v>6456</v>
      </c>
    </row>
    <row r="1535" spans="1:12" x14ac:dyDescent="0.3">
      <c r="A1535" t="s">
        <v>4714</v>
      </c>
      <c r="B1535" s="5" t="s">
        <v>4715</v>
      </c>
      <c r="C1535" t="s">
        <v>6456</v>
      </c>
      <c r="D1535" t="s">
        <v>4716</v>
      </c>
      <c r="E1535" t="s">
        <v>9090</v>
      </c>
      <c r="F1535" s="1">
        <v>45932</v>
      </c>
      <c r="G1535" t="s">
        <v>18</v>
      </c>
      <c r="H1535" s="24">
        <v>0</v>
      </c>
      <c r="I1535" t="str">
        <f>IF(H1535&lt;=0,"",LOOKUP(H1535,'Regras e Parâmetros'!$B$4:$B$7,'Regras e Parâmetros'!$A$4:$A$7))</f>
        <v/>
      </c>
      <c r="J1535" t="s">
        <v>9790</v>
      </c>
      <c r="K1535" t="s">
        <v>44</v>
      </c>
      <c r="L1535" t="s">
        <v>9883</v>
      </c>
    </row>
    <row r="1536" spans="1:12" x14ac:dyDescent="0.3">
      <c r="A1536" t="s">
        <v>8753</v>
      </c>
      <c r="B1536" s="5" t="s">
        <v>8754</v>
      </c>
      <c r="C1536" t="s">
        <v>6456</v>
      </c>
      <c r="D1536" t="s">
        <v>4155</v>
      </c>
      <c r="E1536" t="s">
        <v>4156</v>
      </c>
      <c r="F1536" s="1">
        <v>45760</v>
      </c>
      <c r="G1536" t="s">
        <v>110</v>
      </c>
      <c r="H1536" s="24">
        <v>0</v>
      </c>
      <c r="I1536" t="str">
        <f>IF(H1536&lt;=0,"",LOOKUP(H1536,'Regras e Parâmetros'!$B$4:$B$7,'Regras e Parâmetros'!$A$4:$A$7))</f>
        <v/>
      </c>
      <c r="J1536" t="s">
        <v>6456</v>
      </c>
      <c r="L1536" t="s">
        <v>9883</v>
      </c>
    </row>
    <row r="1537" spans="1:12" x14ac:dyDescent="0.3">
      <c r="A1537" t="s">
        <v>3670</v>
      </c>
      <c r="B1537" s="5" t="s">
        <v>8453</v>
      </c>
      <c r="C1537" t="s">
        <v>6456</v>
      </c>
      <c r="D1537" t="s">
        <v>3671</v>
      </c>
      <c r="E1537" t="s">
        <v>8454</v>
      </c>
      <c r="F1537" s="1">
        <v>45613</v>
      </c>
      <c r="G1537" t="s">
        <v>51</v>
      </c>
      <c r="H1537" s="24">
        <v>177</v>
      </c>
      <c r="I1537" t="str">
        <f>IF(H1537&lt;=0,"",LOOKUP(H1537,'Regras e Parâmetros'!$B$4:$B$7,'Regras e Parâmetros'!$A$4:$A$7))</f>
        <v>Bronze</v>
      </c>
      <c r="J1537" t="s">
        <v>6747</v>
      </c>
    </row>
    <row r="1538" spans="1:12" x14ac:dyDescent="0.3">
      <c r="A1538" t="s">
        <v>8689</v>
      </c>
      <c r="B1538" s="5" t="s">
        <v>4048</v>
      </c>
      <c r="C1538" t="s">
        <v>6456</v>
      </c>
      <c r="D1538" t="s">
        <v>4049</v>
      </c>
      <c r="E1538" t="s">
        <v>4050</v>
      </c>
      <c r="F1538" s="1">
        <v>45731</v>
      </c>
      <c r="G1538" t="s">
        <v>110</v>
      </c>
      <c r="H1538" s="24">
        <v>0</v>
      </c>
      <c r="I1538" t="str">
        <f>IF(H1538&lt;=0,"",LOOKUP(H1538,'Regras e Parâmetros'!$B$4:$B$7,'Regras e Parâmetros'!$A$4:$A$7))</f>
        <v/>
      </c>
      <c r="J1538" t="s">
        <v>6747</v>
      </c>
      <c r="L1538" t="s">
        <v>9886</v>
      </c>
    </row>
    <row r="1539" spans="1:12" x14ac:dyDescent="0.3">
      <c r="A1539" t="s">
        <v>5412</v>
      </c>
      <c r="B1539" s="5" t="s">
        <v>9482</v>
      </c>
      <c r="C1539" t="s">
        <v>6456</v>
      </c>
      <c r="D1539" t="s">
        <v>5413</v>
      </c>
      <c r="E1539" t="s">
        <v>9483</v>
      </c>
      <c r="F1539" s="1">
        <v>46131</v>
      </c>
      <c r="G1539" t="s">
        <v>110</v>
      </c>
      <c r="H1539" s="24">
        <v>0</v>
      </c>
      <c r="I1539" t="str">
        <f>IF(H1539&lt;=0,"",LOOKUP(H1539,'Regras e Parâmetros'!$B$4:$B$7,'Regras e Parâmetros'!$A$4:$A$7))</f>
        <v/>
      </c>
      <c r="J1539" t="s">
        <v>9790</v>
      </c>
      <c r="K1539" t="s">
        <v>177</v>
      </c>
      <c r="L1539" t="s">
        <v>9883</v>
      </c>
    </row>
    <row r="1540" spans="1:12" x14ac:dyDescent="0.3">
      <c r="A1540" t="s">
        <v>5078</v>
      </c>
      <c r="B1540" s="5" t="s">
        <v>9286</v>
      </c>
      <c r="C1540" t="s">
        <v>6456</v>
      </c>
      <c r="D1540" t="s">
        <v>5079</v>
      </c>
      <c r="E1540" t="s">
        <v>5080</v>
      </c>
      <c r="F1540" s="1">
        <v>46039</v>
      </c>
      <c r="G1540" t="s">
        <v>45</v>
      </c>
      <c r="H1540" s="24">
        <v>0</v>
      </c>
      <c r="I1540" t="str">
        <f>IF(H1540&lt;=0,"",LOOKUP(H1540,'Regras e Parâmetros'!$B$4:$B$7,'Regras e Parâmetros'!$A$4:$A$7))</f>
        <v/>
      </c>
      <c r="J1540" t="s">
        <v>6747</v>
      </c>
      <c r="L1540" t="s">
        <v>9886</v>
      </c>
    </row>
    <row r="1541" spans="1:12" x14ac:dyDescent="0.3">
      <c r="A1541" t="s">
        <v>6777</v>
      </c>
      <c r="B1541" s="5" t="s">
        <v>6062</v>
      </c>
      <c r="C1541" t="s">
        <v>6456</v>
      </c>
      <c r="D1541" t="s">
        <v>597</v>
      </c>
      <c r="E1541" t="s">
        <v>598</v>
      </c>
      <c r="F1541" s="1">
        <v>44557</v>
      </c>
      <c r="G1541" t="s">
        <v>110</v>
      </c>
      <c r="H1541" s="24">
        <v>543</v>
      </c>
      <c r="I1541" t="str">
        <f>IF(H1541&lt;=0,"",LOOKUP(H1541,'Regras e Parâmetros'!$B$4:$B$7,'Regras e Parâmetros'!$A$4:$A$7))</f>
        <v>Bronze</v>
      </c>
      <c r="J1541" t="s">
        <v>6747</v>
      </c>
    </row>
    <row r="1542" spans="1:12" x14ac:dyDescent="0.3">
      <c r="A1542" t="s">
        <v>873</v>
      </c>
      <c r="B1542" s="5" t="s">
        <v>6948</v>
      </c>
      <c r="C1542" t="s">
        <v>6456</v>
      </c>
      <c r="D1542" t="s">
        <v>874</v>
      </c>
      <c r="E1542" t="s">
        <v>6949</v>
      </c>
      <c r="F1542" s="1">
        <v>44654</v>
      </c>
      <c r="G1542" t="s">
        <v>100</v>
      </c>
      <c r="H1542" s="24">
        <v>666</v>
      </c>
      <c r="I1542" t="str">
        <f>IF(H1542&lt;=0,"",LOOKUP(H1542,'Regras e Parâmetros'!$B$4:$B$7,'Regras e Parâmetros'!$A$4:$A$7))</f>
        <v>Bronze</v>
      </c>
      <c r="J1542" t="s">
        <v>6747</v>
      </c>
    </row>
    <row r="1543" spans="1:12" x14ac:dyDescent="0.3">
      <c r="A1543" t="s">
        <v>744</v>
      </c>
      <c r="B1543" s="5" t="s">
        <v>6863</v>
      </c>
      <c r="C1543" t="s">
        <v>6456</v>
      </c>
      <c r="D1543" t="s">
        <v>746</v>
      </c>
      <c r="E1543" t="s">
        <v>747</v>
      </c>
      <c r="F1543" s="1">
        <v>44609</v>
      </c>
      <c r="G1543" t="s">
        <v>18</v>
      </c>
      <c r="H1543" s="24">
        <v>3200</v>
      </c>
      <c r="I1543" t="str">
        <f>IF(H1543&lt;=0,"",LOOKUP(H1543,'Regras e Parâmetros'!$B$4:$B$7,'Regras e Parâmetros'!$A$4:$A$7))</f>
        <v>Prata</v>
      </c>
      <c r="J1543" t="s">
        <v>9790</v>
      </c>
      <c r="K1543" t="s">
        <v>177</v>
      </c>
      <c r="L1543" t="s">
        <v>9793</v>
      </c>
    </row>
    <row r="1544" spans="1:12" x14ac:dyDescent="0.3">
      <c r="A1544" t="s">
        <v>5197</v>
      </c>
      <c r="B1544" s="5" t="s">
        <v>9358</v>
      </c>
      <c r="C1544" t="s">
        <v>6456</v>
      </c>
      <c r="D1544" t="s">
        <v>5771</v>
      </c>
      <c r="E1544" t="s">
        <v>9359</v>
      </c>
      <c r="F1544" s="1">
        <v>46072</v>
      </c>
      <c r="G1544" t="s">
        <v>45</v>
      </c>
      <c r="H1544" s="24">
        <v>0</v>
      </c>
      <c r="I1544" t="str">
        <f>IF(H1544&lt;=0,"",LOOKUP(H1544,'Regras e Parâmetros'!$B$4:$B$7,'Regras e Parâmetros'!$A$4:$A$7))</f>
        <v/>
      </c>
      <c r="J1544" t="s">
        <v>6747</v>
      </c>
      <c r="K1544" t="s">
        <v>9919</v>
      </c>
      <c r="L1544" t="s">
        <v>9883</v>
      </c>
    </row>
    <row r="1545" spans="1:12" x14ac:dyDescent="0.3">
      <c r="A1545" t="s">
        <v>6466</v>
      </c>
      <c r="B1545" s="5" t="s">
        <v>6467</v>
      </c>
      <c r="C1545" t="s">
        <v>6456</v>
      </c>
      <c r="D1545" t="s">
        <v>10</v>
      </c>
      <c r="E1545" t="s">
        <v>11</v>
      </c>
      <c r="F1545" s="1">
        <v>44351</v>
      </c>
      <c r="G1545" t="s">
        <v>45</v>
      </c>
      <c r="H1545" s="24">
        <v>4279</v>
      </c>
      <c r="I1545" t="str">
        <f>IF(H1545&lt;=0,"",LOOKUP(H1545,'Regras e Parâmetros'!$B$4:$B$7,'Regras e Parâmetros'!$A$4:$A$7))</f>
        <v>Prata</v>
      </c>
      <c r="J1545" t="s">
        <v>9790</v>
      </c>
    </row>
    <row r="1546" spans="1:12" x14ac:dyDescent="0.3">
      <c r="A1546" t="s">
        <v>5757</v>
      </c>
      <c r="B1546" s="5" t="s">
        <v>9673</v>
      </c>
      <c r="C1546" t="s">
        <v>6456</v>
      </c>
      <c r="D1546" t="s">
        <v>5758</v>
      </c>
      <c r="E1546" t="s">
        <v>9674</v>
      </c>
      <c r="F1546" s="1">
        <v>46234</v>
      </c>
      <c r="G1546" t="s">
        <v>51</v>
      </c>
      <c r="H1546" s="24">
        <v>0</v>
      </c>
      <c r="I1546" t="str">
        <f>IF(H1546&lt;=0,"",LOOKUP(H1546,'Regras e Parâmetros'!$B$4:$B$7,'Regras e Parâmetros'!$A$4:$A$7))</f>
        <v/>
      </c>
      <c r="J1546" t="s">
        <v>6747</v>
      </c>
      <c r="L1546" t="s">
        <v>9883</v>
      </c>
    </row>
    <row r="1547" spans="1:12" x14ac:dyDescent="0.3">
      <c r="A1547" t="s">
        <v>1473</v>
      </c>
      <c r="B1547" s="5" t="s">
        <v>1474</v>
      </c>
      <c r="C1547" t="s">
        <v>6456</v>
      </c>
      <c r="D1547" t="s">
        <v>1475</v>
      </c>
      <c r="E1547" t="s">
        <v>7282</v>
      </c>
      <c r="F1547" s="1">
        <v>44877</v>
      </c>
      <c r="G1547" t="s">
        <v>110</v>
      </c>
      <c r="H1547" s="24">
        <v>0</v>
      </c>
      <c r="I1547" t="str">
        <f>IF(H1547&lt;=0,"",LOOKUP(H1547,'Regras e Parâmetros'!$B$4:$B$7,'Regras e Parâmetros'!$A$4:$A$7))</f>
        <v/>
      </c>
      <c r="J1547" t="s">
        <v>6456</v>
      </c>
    </row>
    <row r="1548" spans="1:12" x14ac:dyDescent="0.3">
      <c r="A1548" t="s">
        <v>1473</v>
      </c>
      <c r="B1548" s="5" t="s">
        <v>9608</v>
      </c>
      <c r="C1548" t="s">
        <v>6456</v>
      </c>
      <c r="D1548" t="s">
        <v>5655</v>
      </c>
      <c r="E1548" t="s">
        <v>9609</v>
      </c>
      <c r="F1548" s="1">
        <v>46204</v>
      </c>
      <c r="G1548" t="s">
        <v>18</v>
      </c>
      <c r="H1548" s="24">
        <v>0</v>
      </c>
      <c r="I1548" t="str">
        <f>IF(H1548&lt;=0,"",LOOKUP(H1548,'Regras e Parâmetros'!$B$4:$B$7,'Regras e Parâmetros'!$A$4:$A$7))</f>
        <v/>
      </c>
      <c r="J1548" t="s">
        <v>6747</v>
      </c>
      <c r="K1548" t="s">
        <v>708</v>
      </c>
      <c r="L1548" t="s">
        <v>9883</v>
      </c>
    </row>
    <row r="1549" spans="1:12" x14ac:dyDescent="0.3">
      <c r="A1549" t="s">
        <v>645</v>
      </c>
      <c r="B1549" s="5" t="s">
        <v>6803</v>
      </c>
      <c r="C1549" t="s">
        <v>6456</v>
      </c>
      <c r="D1549" t="s">
        <v>646</v>
      </c>
      <c r="E1549" t="s">
        <v>6804</v>
      </c>
      <c r="F1549" s="1">
        <v>44574</v>
      </c>
      <c r="G1549" t="s">
        <v>22</v>
      </c>
      <c r="H1549" s="24">
        <v>2930</v>
      </c>
      <c r="I1549" t="str">
        <f>IF(H1549&lt;=0,"",LOOKUP(H1549,'Regras e Parâmetros'!$B$4:$B$7,'Regras e Parâmetros'!$A$4:$A$7))</f>
        <v>Prata</v>
      </c>
      <c r="J1549" t="s">
        <v>6456</v>
      </c>
    </row>
    <row r="1550" spans="1:12" x14ac:dyDescent="0.3">
      <c r="A1550" t="s">
        <v>645</v>
      </c>
      <c r="B1550" s="5" t="s">
        <v>7797</v>
      </c>
      <c r="C1550" t="s">
        <v>6456</v>
      </c>
      <c r="D1550" t="s">
        <v>3729</v>
      </c>
      <c r="E1550" t="s">
        <v>7798</v>
      </c>
      <c r="F1550" s="1">
        <v>45157</v>
      </c>
      <c r="G1550" t="s">
        <v>45</v>
      </c>
      <c r="H1550" s="24">
        <v>185</v>
      </c>
      <c r="I1550" t="str">
        <f>IF(H1550&lt;=0,"",LOOKUP(H1550,'Regras e Parâmetros'!$B$4:$B$7,'Regras e Parâmetros'!$A$4:$A$7))</f>
        <v>Bronze</v>
      </c>
      <c r="J1550" t="s">
        <v>6747</v>
      </c>
      <c r="K1550" t="s">
        <v>9847</v>
      </c>
    </row>
    <row r="1551" spans="1:12" x14ac:dyDescent="0.3">
      <c r="A1551" t="s">
        <v>9256</v>
      </c>
      <c r="B1551" s="5" t="s">
        <v>5032</v>
      </c>
      <c r="C1551" t="s">
        <v>6456</v>
      </c>
      <c r="D1551" t="s">
        <v>5033</v>
      </c>
      <c r="E1551" t="s">
        <v>10122</v>
      </c>
      <c r="F1551" s="1">
        <v>46021</v>
      </c>
      <c r="G1551" t="s">
        <v>110</v>
      </c>
      <c r="H1551" s="24">
        <v>0</v>
      </c>
      <c r="I1551" t="str">
        <f>IF(H1551&lt;=0,"",LOOKUP(H1551,'Regras e Parâmetros'!$B$4:$B$7,'Regras e Parâmetros'!$A$4:$A$7))</f>
        <v/>
      </c>
      <c r="J1551" t="s">
        <v>9790</v>
      </c>
      <c r="L1551" t="s">
        <v>9883</v>
      </c>
    </row>
    <row r="1552" spans="1:12" x14ac:dyDescent="0.3">
      <c r="A1552" t="s">
        <v>4318</v>
      </c>
      <c r="B1552" s="5" t="s">
        <v>8841</v>
      </c>
      <c r="C1552" t="s">
        <v>6456</v>
      </c>
      <c r="D1552" t="s">
        <v>4319</v>
      </c>
      <c r="E1552" t="s">
        <v>4320</v>
      </c>
      <c r="F1552" s="1">
        <v>45815</v>
      </c>
      <c r="G1552" t="s">
        <v>45</v>
      </c>
      <c r="H1552" s="24">
        <v>0</v>
      </c>
      <c r="I1552" t="str">
        <f>IF(H1552&lt;=0,"",LOOKUP(H1552,'Regras e Parâmetros'!$B$4:$B$7,'Regras e Parâmetros'!$A$4:$A$7))</f>
        <v/>
      </c>
      <c r="J1552" t="s">
        <v>6747</v>
      </c>
      <c r="L1552" t="s">
        <v>9883</v>
      </c>
    </row>
    <row r="1553" spans="1:12" x14ac:dyDescent="0.3">
      <c r="A1553" t="s">
        <v>4818</v>
      </c>
      <c r="B1553" s="5" t="s">
        <v>9132</v>
      </c>
      <c r="C1553" t="s">
        <v>6456</v>
      </c>
      <c r="D1553" t="s">
        <v>4819</v>
      </c>
      <c r="E1553" t="s">
        <v>4820</v>
      </c>
      <c r="F1553" s="1">
        <v>45956</v>
      </c>
      <c r="G1553" t="s">
        <v>18</v>
      </c>
      <c r="H1553" s="24">
        <v>0</v>
      </c>
      <c r="I1553" t="str">
        <f>IF(H1553&lt;=0,"",LOOKUP(H1553,'Regras e Parâmetros'!$B$4:$B$7,'Regras e Parâmetros'!$A$4:$A$7))</f>
        <v/>
      </c>
      <c r="J1553" t="s">
        <v>9790</v>
      </c>
      <c r="L1553" t="s">
        <v>9883</v>
      </c>
    </row>
    <row r="1554" spans="1:12" x14ac:dyDescent="0.3">
      <c r="A1554" t="s">
        <v>6017</v>
      </c>
      <c r="B1554" s="5" t="s">
        <v>3161</v>
      </c>
      <c r="C1554" t="s">
        <v>6456</v>
      </c>
      <c r="D1554" t="s">
        <v>3162</v>
      </c>
      <c r="E1554" t="s">
        <v>3163</v>
      </c>
      <c r="F1554" s="1">
        <v>45454</v>
      </c>
      <c r="G1554" t="s">
        <v>18</v>
      </c>
      <c r="H1554" s="24">
        <v>2030</v>
      </c>
      <c r="I1554" t="str">
        <f>IF(H1554&lt;=0,"",LOOKUP(H1554,'Regras e Parâmetros'!$B$4:$B$7,'Regras e Parâmetros'!$A$4:$A$7))</f>
        <v>Prata</v>
      </c>
      <c r="J1554" t="s">
        <v>9790</v>
      </c>
      <c r="L1554" t="s">
        <v>9792</v>
      </c>
    </row>
    <row r="1555" spans="1:12" x14ac:dyDescent="0.3">
      <c r="A1555" t="s">
        <v>6017</v>
      </c>
      <c r="B1555" s="5" t="s">
        <v>6018</v>
      </c>
      <c r="C1555" t="s">
        <v>6456</v>
      </c>
      <c r="D1555" t="s">
        <v>6019</v>
      </c>
      <c r="E1555" t="s">
        <v>9667</v>
      </c>
      <c r="F1555" s="1">
        <v>46231</v>
      </c>
      <c r="G1555" t="s">
        <v>110</v>
      </c>
      <c r="H1555" s="24">
        <v>0</v>
      </c>
      <c r="I1555" t="str">
        <f>IF(H1555&lt;=0,"",LOOKUP(H1555,'Regras e Parâmetros'!$B$4:$B$7,'Regras e Parâmetros'!$A$4:$A$7))</f>
        <v/>
      </c>
      <c r="J1555" t="s">
        <v>6456</v>
      </c>
      <c r="K1555" t="s">
        <v>9938</v>
      </c>
      <c r="L1555" t="s">
        <v>9883</v>
      </c>
    </row>
    <row r="1556" spans="1:12" x14ac:dyDescent="0.3">
      <c r="A1556" t="s">
        <v>4321</v>
      </c>
      <c r="B1556" s="5" t="s">
        <v>4953</v>
      </c>
      <c r="C1556" t="s">
        <v>6456</v>
      </c>
      <c r="D1556" t="s">
        <v>4954</v>
      </c>
      <c r="E1556" t="s">
        <v>8842</v>
      </c>
      <c r="F1556" s="1">
        <v>45815</v>
      </c>
      <c r="G1556" t="s">
        <v>22</v>
      </c>
      <c r="H1556" s="24">
        <v>0</v>
      </c>
      <c r="I1556" t="str">
        <f>IF(H1556&lt;=0,"",LOOKUP(H1556,'Regras e Parâmetros'!$B$4:$B$7,'Regras e Parâmetros'!$A$4:$A$7))</f>
        <v/>
      </c>
      <c r="J1556" t="s">
        <v>6747</v>
      </c>
      <c r="K1556" t="s">
        <v>9898</v>
      </c>
      <c r="L1556" t="s">
        <v>9883</v>
      </c>
    </row>
    <row r="1557" spans="1:12" x14ac:dyDescent="0.3">
      <c r="A1557" t="s">
        <v>165</v>
      </c>
      <c r="B1557" s="5" t="s">
        <v>6546</v>
      </c>
      <c r="C1557" t="s">
        <v>6456</v>
      </c>
      <c r="D1557" t="s">
        <v>166</v>
      </c>
      <c r="E1557" t="s">
        <v>6547</v>
      </c>
      <c r="F1557" s="1">
        <v>44400</v>
      </c>
      <c r="G1557" t="s">
        <v>22</v>
      </c>
      <c r="H1557" s="24">
        <v>1392</v>
      </c>
      <c r="I1557" t="str">
        <f>IF(H1557&lt;=0,"",LOOKUP(H1557,'Regras e Parâmetros'!$B$4:$B$7,'Regras e Parâmetros'!$A$4:$A$7))</f>
        <v>Bronze</v>
      </c>
      <c r="J1557" t="s">
        <v>6456</v>
      </c>
    </row>
    <row r="1558" spans="1:12" x14ac:dyDescent="0.3">
      <c r="A1558" t="s">
        <v>1179</v>
      </c>
      <c r="B1558" s="5" t="s">
        <v>7031</v>
      </c>
      <c r="C1558" t="s">
        <v>6456</v>
      </c>
      <c r="D1558" t="s">
        <v>1180</v>
      </c>
      <c r="E1558" t="s">
        <v>1181</v>
      </c>
      <c r="F1558" s="1">
        <v>44723</v>
      </c>
      <c r="G1558" t="s">
        <v>45</v>
      </c>
      <c r="H1558" s="24">
        <v>945</v>
      </c>
      <c r="I1558" t="str">
        <f>IF(H1558&lt;=0,"",LOOKUP(H1558,'Regras e Parâmetros'!$B$4:$B$7,'Regras e Parâmetros'!$A$4:$A$7))</f>
        <v>Bronze</v>
      </c>
      <c r="J1558" t="s">
        <v>9790</v>
      </c>
    </row>
    <row r="1559" spans="1:12" x14ac:dyDescent="0.3">
      <c r="A1559" t="s">
        <v>9100</v>
      </c>
      <c r="B1559" s="5" t="s">
        <v>9101</v>
      </c>
      <c r="C1559" t="s">
        <v>6456</v>
      </c>
      <c r="D1559" t="s">
        <v>4736</v>
      </c>
      <c r="E1559" t="s">
        <v>4737</v>
      </c>
      <c r="F1559" s="1">
        <v>45937</v>
      </c>
      <c r="G1559" t="s">
        <v>45</v>
      </c>
      <c r="H1559" s="24">
        <v>0</v>
      </c>
      <c r="I1559" t="str">
        <f>IF(H1559&lt;=0,"",LOOKUP(H1559,'Regras e Parâmetros'!$B$4:$B$7,'Regras e Parâmetros'!$A$4:$A$7))</f>
        <v/>
      </c>
      <c r="J1559" t="s">
        <v>9790</v>
      </c>
      <c r="L1559" t="s">
        <v>9883</v>
      </c>
    </row>
    <row r="1560" spans="1:12" x14ac:dyDescent="0.3">
      <c r="A1560" t="s">
        <v>1182</v>
      </c>
      <c r="B1560" s="5" t="s">
        <v>7069</v>
      </c>
      <c r="C1560" t="s">
        <v>6456</v>
      </c>
      <c r="D1560" t="s">
        <v>1183</v>
      </c>
      <c r="E1560" t="s">
        <v>1184</v>
      </c>
      <c r="F1560" s="1">
        <v>44743</v>
      </c>
      <c r="G1560" t="s">
        <v>22</v>
      </c>
      <c r="H1560" s="24">
        <v>634</v>
      </c>
      <c r="I1560" t="str">
        <f>IF(H1560&lt;=0,"",LOOKUP(H1560,'Regras e Parâmetros'!$B$4:$B$7,'Regras e Parâmetros'!$A$4:$A$7))</f>
        <v>Bronze</v>
      </c>
      <c r="J1560" t="s">
        <v>6747</v>
      </c>
      <c r="L1560" t="s">
        <v>9792</v>
      </c>
    </row>
    <row r="1561" spans="1:12" x14ac:dyDescent="0.3">
      <c r="A1561" t="s">
        <v>2618</v>
      </c>
      <c r="B1561" s="5" t="s">
        <v>7909</v>
      </c>
      <c r="C1561" t="s">
        <v>6456</v>
      </c>
      <c r="D1561" t="s">
        <v>2619</v>
      </c>
      <c r="E1561" t="s">
        <v>7910</v>
      </c>
      <c r="F1561" s="1">
        <v>45231</v>
      </c>
      <c r="G1561" t="s">
        <v>110</v>
      </c>
      <c r="H1561" s="24">
        <v>214</v>
      </c>
      <c r="I1561" t="str">
        <f>IF(H1561&lt;=0,"",LOOKUP(H1561,'Regras e Parâmetros'!$B$4:$B$7,'Regras e Parâmetros'!$A$4:$A$7))</f>
        <v>Bronze</v>
      </c>
      <c r="J1561" t="s">
        <v>9790</v>
      </c>
      <c r="L1561" t="s">
        <v>9791</v>
      </c>
    </row>
    <row r="1562" spans="1:12" x14ac:dyDescent="0.3">
      <c r="A1562" t="s">
        <v>4981</v>
      </c>
      <c r="B1562" s="5" t="s">
        <v>9226</v>
      </c>
      <c r="C1562" t="s">
        <v>6456</v>
      </c>
      <c r="D1562" t="s">
        <v>4982</v>
      </c>
      <c r="E1562" t="s">
        <v>9227</v>
      </c>
      <c r="F1562" s="1">
        <v>46005</v>
      </c>
      <c r="G1562" t="s">
        <v>110</v>
      </c>
      <c r="H1562" s="24">
        <v>0</v>
      </c>
      <c r="I1562" t="str">
        <f>IF(H1562&lt;=0,"",LOOKUP(H1562,'Regras e Parâmetros'!$B$4:$B$7,'Regras e Parâmetros'!$A$4:$A$7))</f>
        <v/>
      </c>
      <c r="J1562" t="s">
        <v>9790</v>
      </c>
      <c r="L1562" t="s">
        <v>9883</v>
      </c>
    </row>
    <row r="1563" spans="1:12" x14ac:dyDescent="0.3">
      <c r="A1563" t="s">
        <v>7725</v>
      </c>
      <c r="B1563" s="5" t="s">
        <v>7726</v>
      </c>
      <c r="C1563" t="s">
        <v>6456</v>
      </c>
      <c r="D1563" t="s">
        <v>2259</v>
      </c>
      <c r="E1563" t="s">
        <v>2260</v>
      </c>
      <c r="F1563" s="1">
        <v>45127</v>
      </c>
      <c r="G1563" t="s">
        <v>18</v>
      </c>
      <c r="H1563" s="24">
        <v>1750</v>
      </c>
      <c r="I1563" t="str">
        <f>IF(H1563&lt;=0,"",LOOKUP(H1563,'Regras e Parâmetros'!$B$4:$B$7,'Regras e Parâmetros'!$A$4:$A$7))</f>
        <v>Prata</v>
      </c>
      <c r="J1563" t="s">
        <v>6456</v>
      </c>
      <c r="K1563" t="s">
        <v>187</v>
      </c>
    </row>
    <row r="1564" spans="1:12" x14ac:dyDescent="0.3">
      <c r="A1564" t="s">
        <v>5930</v>
      </c>
      <c r="B1564" s="5" t="s">
        <v>9770</v>
      </c>
      <c r="C1564" t="s">
        <v>6456</v>
      </c>
      <c r="D1564" t="s">
        <v>5931</v>
      </c>
      <c r="E1564" t="s">
        <v>9771</v>
      </c>
      <c r="F1564" s="1">
        <v>46272</v>
      </c>
      <c r="G1564" t="s">
        <v>45</v>
      </c>
      <c r="H1564" s="24">
        <v>0</v>
      </c>
      <c r="I1564" t="str">
        <f>IF(H1564&lt;=0,"",LOOKUP(H1564,'Regras e Parâmetros'!$B$4:$B$7,'Regras e Parâmetros'!$A$4:$A$7))</f>
        <v/>
      </c>
      <c r="J1564" t="s">
        <v>6747</v>
      </c>
      <c r="L1564" t="s">
        <v>9883</v>
      </c>
    </row>
    <row r="1565" spans="1:12" x14ac:dyDescent="0.3">
      <c r="A1565" t="s">
        <v>3845</v>
      </c>
      <c r="B1565" s="5" t="s">
        <v>8563</v>
      </c>
      <c r="C1565" t="s">
        <v>6456</v>
      </c>
      <c r="D1565" t="s">
        <v>3846</v>
      </c>
      <c r="E1565" t="s">
        <v>8564</v>
      </c>
      <c r="F1565" s="1">
        <v>45678</v>
      </c>
      <c r="G1565" t="s">
        <v>110</v>
      </c>
      <c r="H1565" s="24">
        <v>0</v>
      </c>
      <c r="I1565" t="str">
        <f>IF(H1565&lt;=0,"",LOOKUP(H1565,'Regras e Parâmetros'!$B$4:$B$7,'Regras e Parâmetros'!$A$4:$A$7))</f>
        <v/>
      </c>
      <c r="J1565" t="s">
        <v>6747</v>
      </c>
      <c r="L1565" t="s">
        <v>9883</v>
      </c>
    </row>
    <row r="1566" spans="1:12" x14ac:dyDescent="0.3">
      <c r="A1566" t="s">
        <v>453</v>
      </c>
      <c r="B1566" s="5" t="s">
        <v>6702</v>
      </c>
      <c r="C1566" t="s">
        <v>6456</v>
      </c>
      <c r="D1566" t="s">
        <v>454</v>
      </c>
      <c r="E1566" t="s">
        <v>455</v>
      </c>
      <c r="F1566" s="1">
        <v>44504</v>
      </c>
      <c r="G1566" t="s">
        <v>45</v>
      </c>
      <c r="H1566" s="24">
        <v>1659</v>
      </c>
      <c r="I1566" t="str">
        <f>IF(H1566&lt;=0,"",LOOKUP(H1566,'Regras e Parâmetros'!$B$4:$B$7,'Regras e Parâmetros'!$A$4:$A$7))</f>
        <v>Prata</v>
      </c>
      <c r="J1566" t="s">
        <v>9790</v>
      </c>
    </row>
    <row r="1567" spans="1:12" x14ac:dyDescent="0.3">
      <c r="A1567" t="s">
        <v>3432</v>
      </c>
      <c r="B1567" s="5" t="s">
        <v>8323</v>
      </c>
      <c r="C1567" t="s">
        <v>6456</v>
      </c>
      <c r="D1567" t="s">
        <v>3433</v>
      </c>
      <c r="E1567" t="s">
        <v>8324</v>
      </c>
      <c r="F1567" s="1">
        <v>45536</v>
      </c>
      <c r="G1567" t="s">
        <v>51</v>
      </c>
      <c r="H1567" s="24">
        <v>0</v>
      </c>
      <c r="I1567" t="str">
        <f>IF(H1567&lt;=0,"",LOOKUP(H1567,'Regras e Parâmetros'!$B$4:$B$7,'Regras e Parâmetros'!$A$4:$A$7))</f>
        <v/>
      </c>
      <c r="J1567" t="s">
        <v>9790</v>
      </c>
      <c r="L1567" t="s">
        <v>9791</v>
      </c>
    </row>
    <row r="1568" spans="1:12" x14ac:dyDescent="0.3">
      <c r="A1568" t="s">
        <v>4324</v>
      </c>
      <c r="B1568" s="5" t="s">
        <v>8845</v>
      </c>
      <c r="C1568" t="s">
        <v>6456</v>
      </c>
      <c r="D1568" t="s">
        <v>4325</v>
      </c>
      <c r="E1568" t="s">
        <v>4326</v>
      </c>
      <c r="F1568" s="1">
        <v>45816</v>
      </c>
      <c r="G1568" t="s">
        <v>18</v>
      </c>
      <c r="H1568" s="24">
        <v>0</v>
      </c>
      <c r="I1568" t="str">
        <f>IF(H1568&lt;=0,"",LOOKUP(H1568,'Regras e Parâmetros'!$B$4:$B$7,'Regras e Parâmetros'!$A$4:$A$7))</f>
        <v/>
      </c>
      <c r="J1568" t="s">
        <v>6456</v>
      </c>
      <c r="L1568" t="s">
        <v>9886</v>
      </c>
    </row>
    <row r="1569" spans="1:12" x14ac:dyDescent="0.3">
      <c r="A1569" t="s">
        <v>6881</v>
      </c>
      <c r="B1569" s="5" t="s">
        <v>6882</v>
      </c>
      <c r="C1569" t="s">
        <v>6456</v>
      </c>
      <c r="D1569" t="s">
        <v>766</v>
      </c>
      <c r="E1569" t="s">
        <v>6883</v>
      </c>
      <c r="F1569" s="1">
        <v>44618</v>
      </c>
      <c r="G1569" t="s">
        <v>110</v>
      </c>
      <c r="H1569" s="24">
        <v>2000</v>
      </c>
      <c r="I1569" t="str">
        <f>IF(H1569&lt;=0,"",LOOKUP(H1569,'Regras e Parâmetros'!$B$4:$B$7,'Regras e Parâmetros'!$A$4:$A$7))</f>
        <v>Prata</v>
      </c>
      <c r="J1569" t="s">
        <v>9790</v>
      </c>
      <c r="K1569" t="s">
        <v>33</v>
      </c>
      <c r="L1569" t="s">
        <v>9793</v>
      </c>
    </row>
    <row r="1570" spans="1:12" x14ac:dyDescent="0.3">
      <c r="A1570" t="s">
        <v>5621</v>
      </c>
      <c r="B1570" s="5" t="s">
        <v>5622</v>
      </c>
      <c r="C1570" t="s">
        <v>6456</v>
      </c>
      <c r="D1570" t="s">
        <v>5623</v>
      </c>
      <c r="E1570" t="s">
        <v>5624</v>
      </c>
      <c r="F1570" s="1">
        <v>46197</v>
      </c>
      <c r="G1570" t="s">
        <v>110</v>
      </c>
      <c r="H1570" s="24">
        <v>0</v>
      </c>
      <c r="I1570" t="str">
        <f>IF(H1570&lt;=0,"",LOOKUP(H1570,'Regras e Parâmetros'!$B$4:$B$7,'Regras e Parâmetros'!$A$4:$A$7))</f>
        <v/>
      </c>
      <c r="J1570" t="s">
        <v>9790</v>
      </c>
      <c r="L1570" t="s">
        <v>9883</v>
      </c>
    </row>
    <row r="1571" spans="1:12" x14ac:dyDescent="0.3">
      <c r="A1571" t="s">
        <v>5699</v>
      </c>
      <c r="B1571" s="5" t="s">
        <v>5700</v>
      </c>
      <c r="C1571" t="s">
        <v>6456</v>
      </c>
      <c r="D1571" t="s">
        <v>5701</v>
      </c>
      <c r="E1571" t="s">
        <v>5702</v>
      </c>
      <c r="F1571" s="1">
        <v>46217</v>
      </c>
      <c r="G1571" t="s">
        <v>110</v>
      </c>
      <c r="H1571" s="24">
        <v>0</v>
      </c>
      <c r="I1571" t="str">
        <f>IF(H1571&lt;=0,"",LOOKUP(H1571,'Regras e Parâmetros'!$B$4:$B$7,'Regras e Parâmetros'!$A$4:$A$7))</f>
        <v/>
      </c>
      <c r="J1571" t="s">
        <v>9790</v>
      </c>
      <c r="K1571" t="s">
        <v>72</v>
      </c>
      <c r="L1571" t="s">
        <v>9883</v>
      </c>
    </row>
    <row r="1572" spans="1:12" x14ac:dyDescent="0.3">
      <c r="A1572" t="s">
        <v>3830</v>
      </c>
      <c r="B1572" s="5" t="s">
        <v>8556</v>
      </c>
      <c r="C1572" t="s">
        <v>6456</v>
      </c>
      <c r="D1572" t="s">
        <v>3831</v>
      </c>
      <c r="E1572" t="s">
        <v>3832</v>
      </c>
      <c r="F1572" s="1">
        <v>45672</v>
      </c>
      <c r="G1572" t="s">
        <v>100</v>
      </c>
      <c r="H1572" s="24">
        <v>0</v>
      </c>
      <c r="I1572" t="str">
        <f>IF(H1572&lt;=0,"",LOOKUP(H1572,'Regras e Parâmetros'!$B$4:$B$7,'Regras e Parâmetros'!$A$4:$A$7))</f>
        <v/>
      </c>
      <c r="J1572" t="s">
        <v>9790</v>
      </c>
      <c r="K1572" t="s">
        <v>187</v>
      </c>
      <c r="L1572" t="s">
        <v>9883</v>
      </c>
    </row>
    <row r="1573" spans="1:12" x14ac:dyDescent="0.3">
      <c r="A1573" t="s">
        <v>5878</v>
      </c>
      <c r="B1573" s="5" t="s">
        <v>9743</v>
      </c>
      <c r="C1573" t="s">
        <v>6456</v>
      </c>
      <c r="D1573" t="s">
        <v>5879</v>
      </c>
      <c r="E1573" t="s">
        <v>5880</v>
      </c>
      <c r="F1573" s="1">
        <v>46263</v>
      </c>
      <c r="G1573" t="s">
        <v>22</v>
      </c>
      <c r="H1573" s="24">
        <v>0</v>
      </c>
      <c r="I1573" t="str">
        <f>IF(H1573&lt;=0,"",LOOKUP(H1573,'Regras e Parâmetros'!$B$4:$B$7,'Regras e Parâmetros'!$A$4:$A$7))</f>
        <v/>
      </c>
      <c r="J1573" t="s">
        <v>6456</v>
      </c>
      <c r="L1573" t="s">
        <v>9883</v>
      </c>
    </row>
    <row r="1574" spans="1:12" x14ac:dyDescent="0.3">
      <c r="A1574" t="s">
        <v>7557</v>
      </c>
      <c r="B1574" s="5" t="s">
        <v>1956</v>
      </c>
      <c r="C1574" t="s">
        <v>6456</v>
      </c>
      <c r="D1574" t="s">
        <v>1957</v>
      </c>
      <c r="E1574" t="s">
        <v>7558</v>
      </c>
      <c r="F1574" s="1">
        <v>45030</v>
      </c>
      <c r="G1574" t="s">
        <v>51</v>
      </c>
      <c r="H1574" s="24">
        <v>1211</v>
      </c>
      <c r="I1574" t="str">
        <f>IF(H1574&lt;=0,"",LOOKUP(H1574,'Regras e Parâmetros'!$B$4:$B$7,'Regras e Parâmetros'!$A$4:$A$7))</f>
        <v>Bronze</v>
      </c>
      <c r="J1574" t="s">
        <v>9790</v>
      </c>
    </row>
    <row r="1575" spans="1:12" x14ac:dyDescent="0.3">
      <c r="A1575" t="s">
        <v>5737</v>
      </c>
      <c r="B1575" s="5" t="s">
        <v>9615</v>
      </c>
      <c r="C1575" t="s">
        <v>6456</v>
      </c>
      <c r="D1575" t="s">
        <v>5738</v>
      </c>
      <c r="E1575" t="s">
        <v>5739</v>
      </c>
      <c r="F1575" s="1">
        <v>46204</v>
      </c>
      <c r="G1575" t="s">
        <v>45</v>
      </c>
      <c r="H1575" s="24">
        <v>0</v>
      </c>
      <c r="I1575" t="str">
        <f>IF(H1575&lt;=0,"",LOOKUP(H1575,'Regras e Parâmetros'!$B$4:$B$7,'Regras e Parâmetros'!$A$4:$A$7))</f>
        <v/>
      </c>
      <c r="J1575" t="s">
        <v>6456</v>
      </c>
      <c r="K1575" t="s">
        <v>8</v>
      </c>
      <c r="L1575" t="s">
        <v>9891</v>
      </c>
    </row>
    <row r="1576" spans="1:12" x14ac:dyDescent="0.3">
      <c r="A1576" t="s">
        <v>9271</v>
      </c>
      <c r="B1576" s="5" t="s">
        <v>5045</v>
      </c>
      <c r="C1576" t="s">
        <v>6456</v>
      </c>
      <c r="D1576" t="s">
        <v>5046</v>
      </c>
      <c r="E1576" t="s">
        <v>9272</v>
      </c>
      <c r="F1576" s="1">
        <v>46028</v>
      </c>
      <c r="G1576" t="s">
        <v>22</v>
      </c>
      <c r="H1576" s="24">
        <v>0</v>
      </c>
      <c r="I1576" t="str">
        <f>IF(H1576&lt;=0,"",LOOKUP(H1576,'Regras e Parâmetros'!$B$4:$B$7,'Regras e Parâmetros'!$A$4:$A$7))</f>
        <v/>
      </c>
      <c r="J1576" t="s">
        <v>9790</v>
      </c>
      <c r="K1576" t="s">
        <v>44</v>
      </c>
      <c r="L1576" t="s">
        <v>9883</v>
      </c>
    </row>
    <row r="1577" spans="1:12" x14ac:dyDescent="0.3">
      <c r="A1577" t="s">
        <v>4596</v>
      </c>
      <c r="B1577" s="5" t="s">
        <v>9007</v>
      </c>
      <c r="C1577" t="s">
        <v>6456</v>
      </c>
      <c r="D1577" t="s">
        <v>4598</v>
      </c>
      <c r="E1577" t="s">
        <v>9008</v>
      </c>
      <c r="F1577" s="1">
        <v>45894</v>
      </c>
      <c r="G1577" t="s">
        <v>100</v>
      </c>
      <c r="H1577" s="24">
        <v>0</v>
      </c>
      <c r="I1577" t="str">
        <f>IF(H1577&lt;=0,"",LOOKUP(H1577,'Regras e Parâmetros'!$B$4:$B$7,'Regras e Parâmetros'!$A$4:$A$7))</f>
        <v/>
      </c>
      <c r="J1577" t="s">
        <v>6456</v>
      </c>
      <c r="L1577" t="s">
        <v>9883</v>
      </c>
    </row>
    <row r="1578" spans="1:12" x14ac:dyDescent="0.3">
      <c r="A1578" t="s">
        <v>4180</v>
      </c>
      <c r="B1578" s="5" t="s">
        <v>4181</v>
      </c>
      <c r="C1578" t="s">
        <v>6456</v>
      </c>
      <c r="D1578" t="s">
        <v>4182</v>
      </c>
      <c r="E1578" t="s">
        <v>8768</v>
      </c>
      <c r="F1578" s="1">
        <v>45770</v>
      </c>
      <c r="G1578" t="s">
        <v>45</v>
      </c>
      <c r="H1578" s="24">
        <v>0</v>
      </c>
      <c r="I1578" t="str">
        <f>IF(H1578&lt;=0,"",LOOKUP(H1578,'Regras e Parâmetros'!$B$4:$B$7,'Regras e Parâmetros'!$A$4:$A$7))</f>
        <v/>
      </c>
      <c r="J1578" t="s">
        <v>9790</v>
      </c>
      <c r="L1578" t="s">
        <v>9883</v>
      </c>
    </row>
    <row r="1579" spans="1:12" x14ac:dyDescent="0.3">
      <c r="A1579" t="s">
        <v>4684</v>
      </c>
      <c r="B1579" s="5" t="s">
        <v>9058</v>
      </c>
      <c r="C1579" t="s">
        <v>6456</v>
      </c>
      <c r="D1579" t="s">
        <v>4685</v>
      </c>
      <c r="E1579" t="s">
        <v>9059</v>
      </c>
      <c r="F1579" s="1">
        <v>45926</v>
      </c>
      <c r="G1579" t="s">
        <v>45</v>
      </c>
      <c r="H1579" s="24">
        <v>0</v>
      </c>
      <c r="I1579" t="str">
        <f>IF(H1579&lt;=0,"",LOOKUP(H1579,'Regras e Parâmetros'!$B$4:$B$7,'Regras e Parâmetros'!$A$4:$A$7))</f>
        <v/>
      </c>
      <c r="J1579" t="s">
        <v>9790</v>
      </c>
      <c r="K1579" t="s">
        <v>72</v>
      </c>
      <c r="L1579" t="s">
        <v>9883</v>
      </c>
    </row>
    <row r="1580" spans="1:12" x14ac:dyDescent="0.3">
      <c r="A1580" t="s">
        <v>2866</v>
      </c>
      <c r="B1580" s="5" t="s">
        <v>2867</v>
      </c>
      <c r="C1580" t="s">
        <v>6456</v>
      </c>
      <c r="D1580" t="s">
        <v>2868</v>
      </c>
      <c r="E1580" t="s">
        <v>2869</v>
      </c>
      <c r="F1580" s="1">
        <v>45347</v>
      </c>
      <c r="G1580" t="s">
        <v>110</v>
      </c>
      <c r="H1580" s="24">
        <v>373</v>
      </c>
      <c r="I1580" t="str">
        <f>IF(H1580&lt;=0,"",LOOKUP(H1580,'Regras e Parâmetros'!$B$4:$B$7,'Regras e Parâmetros'!$A$4:$A$7))</f>
        <v>Bronze</v>
      </c>
      <c r="J1580" t="s">
        <v>6456</v>
      </c>
    </row>
    <row r="1581" spans="1:12" x14ac:dyDescent="0.3">
      <c r="A1581" t="s">
        <v>3542</v>
      </c>
      <c r="B1581" s="5" t="s">
        <v>3543</v>
      </c>
      <c r="C1581" t="s">
        <v>6456</v>
      </c>
      <c r="D1581" t="s">
        <v>3544</v>
      </c>
      <c r="E1581" t="s">
        <v>3545</v>
      </c>
      <c r="F1581" s="1">
        <v>45580</v>
      </c>
      <c r="G1581" t="s">
        <v>51</v>
      </c>
      <c r="H1581" s="24">
        <v>249</v>
      </c>
      <c r="I1581" t="str">
        <f>IF(H1581&lt;=0,"",LOOKUP(H1581,'Regras e Parâmetros'!$B$4:$B$7,'Regras e Parâmetros'!$A$4:$A$7))</f>
        <v>Bronze</v>
      </c>
      <c r="J1581" t="s">
        <v>9790</v>
      </c>
      <c r="K1581" t="s">
        <v>8</v>
      </c>
    </row>
    <row r="1582" spans="1:12" x14ac:dyDescent="0.3">
      <c r="A1582" t="s">
        <v>3542</v>
      </c>
      <c r="B1582" s="5" t="s">
        <v>8864</v>
      </c>
      <c r="C1582" t="s">
        <v>6456</v>
      </c>
      <c r="D1582" t="s">
        <v>8865</v>
      </c>
      <c r="E1582" t="s">
        <v>8866</v>
      </c>
      <c r="F1582" s="1">
        <v>45829</v>
      </c>
      <c r="G1582" t="s">
        <v>45</v>
      </c>
      <c r="H1582" s="24">
        <v>0</v>
      </c>
      <c r="I1582" t="str">
        <f>IF(H1582&lt;=0,"",LOOKUP(H1582,'Regras e Parâmetros'!$B$4:$B$7,'Regras e Parâmetros'!$A$4:$A$7))</f>
        <v/>
      </c>
      <c r="J1582" t="s">
        <v>9790</v>
      </c>
      <c r="K1582" t="s">
        <v>187</v>
      </c>
      <c r="L1582" t="s">
        <v>9883</v>
      </c>
    </row>
    <row r="1583" spans="1:12" x14ac:dyDescent="0.3">
      <c r="A1583" t="s">
        <v>7321</v>
      </c>
      <c r="B1583" s="5" t="s">
        <v>7322</v>
      </c>
      <c r="C1583" t="s">
        <v>6456</v>
      </c>
      <c r="D1583" t="s">
        <v>1559</v>
      </c>
      <c r="E1583" t="s">
        <v>7323</v>
      </c>
      <c r="F1583" s="1">
        <v>44895</v>
      </c>
      <c r="G1583" t="s">
        <v>18</v>
      </c>
      <c r="H1583" s="24">
        <v>0</v>
      </c>
      <c r="I1583" t="str">
        <f>IF(H1583&lt;=0,"",LOOKUP(H1583,'Regras e Parâmetros'!$B$4:$B$7,'Regras e Parâmetros'!$A$4:$A$7))</f>
        <v/>
      </c>
      <c r="J1583" t="s">
        <v>6747</v>
      </c>
    </row>
    <row r="1584" spans="1:12" x14ac:dyDescent="0.3">
      <c r="A1584" t="s">
        <v>8970</v>
      </c>
      <c r="B1584" s="5" t="s">
        <v>8971</v>
      </c>
      <c r="C1584" t="s">
        <v>6456</v>
      </c>
      <c r="D1584" t="s">
        <v>4537</v>
      </c>
      <c r="E1584" t="s">
        <v>8972</v>
      </c>
      <c r="F1584" s="1">
        <v>45880</v>
      </c>
      <c r="G1584" t="s">
        <v>51</v>
      </c>
      <c r="H1584" s="24">
        <v>0</v>
      </c>
      <c r="I1584" t="str">
        <f>IF(H1584&lt;=0,"",LOOKUP(H1584,'Regras e Parâmetros'!$B$4:$B$7,'Regras e Parâmetros'!$A$4:$A$7))</f>
        <v/>
      </c>
      <c r="J1584" t="s">
        <v>6747</v>
      </c>
      <c r="L1584" t="s">
        <v>9883</v>
      </c>
    </row>
    <row r="1585" spans="1:12" x14ac:dyDescent="0.3">
      <c r="A1585" t="s">
        <v>5674</v>
      </c>
      <c r="B1585" s="5" t="s">
        <v>9627</v>
      </c>
      <c r="C1585" t="s">
        <v>6456</v>
      </c>
      <c r="D1585" t="s">
        <v>5675</v>
      </c>
      <c r="E1585" t="s">
        <v>9628</v>
      </c>
      <c r="F1585" s="1">
        <v>46210</v>
      </c>
      <c r="G1585" t="s">
        <v>45</v>
      </c>
      <c r="H1585" s="24">
        <v>0</v>
      </c>
      <c r="I1585" t="str">
        <f>IF(H1585&lt;=0,"",LOOKUP(H1585,'Regras e Parâmetros'!$B$4:$B$7,'Regras e Parâmetros'!$A$4:$A$7))</f>
        <v/>
      </c>
      <c r="J1585" t="s">
        <v>9790</v>
      </c>
      <c r="K1585" t="s">
        <v>8</v>
      </c>
      <c r="L1585" t="s">
        <v>9883</v>
      </c>
    </row>
    <row r="1586" spans="1:12" x14ac:dyDescent="0.3">
      <c r="A1586" t="s">
        <v>1396</v>
      </c>
      <c r="B1586" s="5" t="s">
        <v>7180</v>
      </c>
      <c r="C1586" t="s">
        <v>6456</v>
      </c>
      <c r="D1586" t="s">
        <v>1397</v>
      </c>
      <c r="E1586" t="s">
        <v>1398</v>
      </c>
      <c r="F1586" s="1">
        <v>44835</v>
      </c>
      <c r="G1586" t="s">
        <v>22</v>
      </c>
      <c r="H1586" s="24">
        <v>213</v>
      </c>
      <c r="I1586" t="str">
        <f>IF(H1586&lt;=0,"",LOOKUP(H1586,'Regras e Parâmetros'!$B$4:$B$7,'Regras e Parâmetros'!$A$4:$A$7))</f>
        <v>Bronze</v>
      </c>
      <c r="J1586" t="s">
        <v>6456</v>
      </c>
      <c r="L1586" t="s">
        <v>9791</v>
      </c>
    </row>
    <row r="1587" spans="1:12" x14ac:dyDescent="0.3">
      <c r="A1587" t="s">
        <v>3199</v>
      </c>
      <c r="B1587" s="5" t="s">
        <v>8206</v>
      </c>
      <c r="C1587" t="s">
        <v>6456</v>
      </c>
      <c r="D1587" t="s">
        <v>3200</v>
      </c>
      <c r="E1587" t="s">
        <v>8207</v>
      </c>
      <c r="F1587" s="1">
        <v>45462</v>
      </c>
      <c r="G1587" t="s">
        <v>18</v>
      </c>
      <c r="H1587" s="24">
        <v>208</v>
      </c>
      <c r="I1587" t="str">
        <f>IF(H1587&lt;=0,"",LOOKUP(H1587,'Regras e Parâmetros'!$B$4:$B$7,'Regras e Parâmetros'!$A$4:$A$7))</f>
        <v>Bronze</v>
      </c>
      <c r="J1587" t="s">
        <v>6747</v>
      </c>
    </row>
    <row r="1588" spans="1:12" x14ac:dyDescent="0.3">
      <c r="A1588" t="s">
        <v>5195</v>
      </c>
      <c r="B1588" s="5" t="s">
        <v>5196</v>
      </c>
      <c r="C1588" t="s">
        <v>6456</v>
      </c>
      <c r="D1588" t="s">
        <v>5979</v>
      </c>
      <c r="E1588" t="s">
        <v>9357</v>
      </c>
      <c r="F1588" s="1">
        <v>46071</v>
      </c>
      <c r="G1588" t="s">
        <v>18</v>
      </c>
      <c r="H1588" s="24">
        <v>0</v>
      </c>
      <c r="I1588" t="str">
        <f>IF(H1588&lt;=0,"",LOOKUP(H1588,'Regras e Parâmetros'!$B$4:$B$7,'Regras e Parâmetros'!$A$4:$A$7))</f>
        <v/>
      </c>
      <c r="J1588" t="s">
        <v>6456</v>
      </c>
      <c r="K1588" t="s">
        <v>9918</v>
      </c>
      <c r="L1588" t="s">
        <v>9883</v>
      </c>
    </row>
    <row r="1589" spans="1:12" x14ac:dyDescent="0.3">
      <c r="A1589" t="s">
        <v>6615</v>
      </c>
      <c r="B1589" s="5" t="s">
        <v>304</v>
      </c>
      <c r="C1589" t="s">
        <v>6456</v>
      </c>
      <c r="D1589" t="s">
        <v>305</v>
      </c>
      <c r="E1589" t="s">
        <v>6616</v>
      </c>
      <c r="F1589" s="1">
        <v>44448</v>
      </c>
      <c r="G1589" t="s">
        <v>45</v>
      </c>
      <c r="H1589" s="24">
        <v>1200</v>
      </c>
      <c r="I1589" t="str">
        <f>IF(H1589&lt;=0,"",LOOKUP(H1589,'Regras e Parâmetros'!$B$4:$B$7,'Regras e Parâmetros'!$A$4:$A$7))</f>
        <v>Bronze</v>
      </c>
      <c r="J1589" t="s">
        <v>6456</v>
      </c>
      <c r="K1589" t="s">
        <v>72</v>
      </c>
      <c r="L1589" t="s">
        <v>9793</v>
      </c>
    </row>
    <row r="1590" spans="1:12" x14ac:dyDescent="0.3">
      <c r="A1590" t="s">
        <v>2316</v>
      </c>
      <c r="B1590" s="5" t="s">
        <v>2317</v>
      </c>
      <c r="C1590" t="s">
        <v>6456</v>
      </c>
      <c r="D1590" t="s">
        <v>2318</v>
      </c>
      <c r="E1590" t="s">
        <v>2319</v>
      </c>
      <c r="F1590" s="1">
        <v>45141</v>
      </c>
      <c r="G1590" t="s">
        <v>22</v>
      </c>
      <c r="H1590" s="24">
        <v>1233</v>
      </c>
      <c r="I1590" t="str">
        <f>IF(H1590&lt;=0,"",LOOKUP(H1590,'Regras e Parâmetros'!$B$4:$B$7,'Regras e Parâmetros'!$A$4:$A$7))</f>
        <v>Bronze</v>
      </c>
      <c r="J1590" t="s">
        <v>6747</v>
      </c>
    </row>
    <row r="1591" spans="1:12" x14ac:dyDescent="0.3">
      <c r="A1591" t="s">
        <v>2316</v>
      </c>
      <c r="B1591" s="5" t="s">
        <v>4014</v>
      </c>
      <c r="C1591" t="s">
        <v>6456</v>
      </c>
      <c r="D1591" t="s">
        <v>4015</v>
      </c>
      <c r="E1591" t="s">
        <v>4016</v>
      </c>
      <c r="F1591" s="1">
        <v>45720</v>
      </c>
      <c r="G1591" t="s">
        <v>22</v>
      </c>
      <c r="H1591" s="24">
        <v>0</v>
      </c>
      <c r="I1591" t="str">
        <f>IF(H1591&lt;=0,"",LOOKUP(H1591,'Regras e Parâmetros'!$B$4:$B$7,'Regras e Parâmetros'!$A$4:$A$7))</f>
        <v/>
      </c>
      <c r="J1591" t="s">
        <v>6747</v>
      </c>
      <c r="L1591" t="s">
        <v>9883</v>
      </c>
    </row>
    <row r="1592" spans="1:12" x14ac:dyDescent="0.3">
      <c r="A1592" t="s">
        <v>443</v>
      </c>
      <c r="B1592" s="5" t="s">
        <v>6228</v>
      </c>
      <c r="C1592" t="s">
        <v>6456</v>
      </c>
      <c r="D1592" t="s">
        <v>445</v>
      </c>
      <c r="E1592" t="s">
        <v>6696</v>
      </c>
      <c r="F1592" s="1">
        <v>44501</v>
      </c>
      <c r="G1592" t="s">
        <v>51</v>
      </c>
      <c r="H1592" s="24">
        <v>10033</v>
      </c>
      <c r="I1592" t="str">
        <f>IF(H1592&lt;=0,"",LOOKUP(H1592,'Regras e Parâmetros'!$B$4:$B$7,'Regras e Parâmetros'!$A$4:$A$7))</f>
        <v>Vip</v>
      </c>
      <c r="J1592" t="s">
        <v>6456</v>
      </c>
    </row>
    <row r="1593" spans="1:12" x14ac:dyDescent="0.3">
      <c r="A1593" t="s">
        <v>412</v>
      </c>
      <c r="B1593" s="5" t="s">
        <v>6675</v>
      </c>
      <c r="C1593" t="s">
        <v>6456</v>
      </c>
      <c r="D1593" t="s">
        <v>1809</v>
      </c>
      <c r="E1593" t="s">
        <v>6676</v>
      </c>
      <c r="F1593" s="1">
        <v>44491</v>
      </c>
      <c r="G1593" t="s">
        <v>51</v>
      </c>
      <c r="H1593" s="24">
        <v>6348</v>
      </c>
      <c r="I1593" t="str">
        <f>IF(H1593&lt;=0,"",LOOKUP(H1593,'Regras e Parâmetros'!$B$4:$B$7,'Regras e Parâmetros'!$A$4:$A$7))</f>
        <v>Ouro</v>
      </c>
      <c r="J1593" t="s">
        <v>6456</v>
      </c>
      <c r="K1593" t="s">
        <v>9799</v>
      </c>
    </row>
    <row r="1594" spans="1:12" x14ac:dyDescent="0.3">
      <c r="A1594" t="s">
        <v>7918</v>
      </c>
      <c r="B1594" s="5" t="s">
        <v>2603</v>
      </c>
      <c r="C1594" t="s">
        <v>6456</v>
      </c>
      <c r="D1594" t="s">
        <v>7919</v>
      </c>
      <c r="E1594" t="s">
        <v>2604</v>
      </c>
      <c r="F1594" s="1">
        <v>45237</v>
      </c>
      <c r="G1594" t="s">
        <v>110</v>
      </c>
      <c r="H1594" s="24">
        <v>343</v>
      </c>
      <c r="I1594" t="str">
        <f>IF(H1594&lt;=0,"",LOOKUP(H1594,'Regras e Parâmetros'!$B$4:$B$7,'Regras e Parâmetros'!$A$4:$A$7))</f>
        <v>Bronze</v>
      </c>
      <c r="J1594" t="s">
        <v>6747</v>
      </c>
      <c r="L1594" t="s">
        <v>9792</v>
      </c>
    </row>
    <row r="1595" spans="1:12" x14ac:dyDescent="0.3">
      <c r="A1595" t="s">
        <v>5910</v>
      </c>
      <c r="B1595" s="5" t="s">
        <v>9766</v>
      </c>
      <c r="C1595" t="s">
        <v>6456</v>
      </c>
      <c r="D1595" t="s">
        <v>5911</v>
      </c>
      <c r="E1595" t="s">
        <v>5912</v>
      </c>
      <c r="F1595" s="1">
        <v>46270</v>
      </c>
      <c r="G1595" t="s">
        <v>100</v>
      </c>
      <c r="H1595" s="24">
        <v>0</v>
      </c>
      <c r="I1595" t="str">
        <f>IF(H1595&lt;=0,"",LOOKUP(H1595,'Regras e Parâmetros'!$B$4:$B$7,'Regras e Parâmetros'!$A$4:$A$7))</f>
        <v/>
      </c>
      <c r="J1595" t="s">
        <v>9790</v>
      </c>
      <c r="L1595" t="s">
        <v>9883</v>
      </c>
    </row>
    <row r="1596" spans="1:12" x14ac:dyDescent="0.3">
      <c r="A1596" t="s">
        <v>2945</v>
      </c>
      <c r="B1596" s="5" t="s">
        <v>8092</v>
      </c>
      <c r="C1596" t="s">
        <v>6456</v>
      </c>
      <c r="D1596" t="s">
        <v>2946</v>
      </c>
      <c r="E1596" t="s">
        <v>2947</v>
      </c>
      <c r="F1596" s="1">
        <v>45377</v>
      </c>
      <c r="G1596" t="s">
        <v>110</v>
      </c>
      <c r="H1596" s="24">
        <v>536</v>
      </c>
      <c r="I1596" t="str">
        <f>IF(H1596&lt;=0,"",LOOKUP(H1596,'Regras e Parâmetros'!$B$4:$B$7,'Regras e Parâmetros'!$A$4:$A$7))</f>
        <v>Bronze</v>
      </c>
      <c r="J1596" t="s">
        <v>6747</v>
      </c>
      <c r="L1596" t="s">
        <v>9792</v>
      </c>
    </row>
    <row r="1597" spans="1:12" x14ac:dyDescent="0.3">
      <c r="A1597" t="s">
        <v>2467</v>
      </c>
      <c r="B1597" s="5" t="s">
        <v>7840</v>
      </c>
      <c r="C1597" t="s">
        <v>6456</v>
      </c>
      <c r="D1597" t="s">
        <v>2468</v>
      </c>
      <c r="E1597" t="s">
        <v>2469</v>
      </c>
      <c r="F1597" s="1">
        <v>45187</v>
      </c>
      <c r="G1597" t="s">
        <v>51</v>
      </c>
      <c r="H1597" s="24">
        <v>15000</v>
      </c>
      <c r="I1597" t="str">
        <f>IF(H1597&lt;=0,"",LOOKUP(H1597,'Regras e Parâmetros'!$B$4:$B$7,'Regras e Parâmetros'!$A$4:$A$7))</f>
        <v>Vip</v>
      </c>
      <c r="J1597" t="s">
        <v>9790</v>
      </c>
      <c r="K1597" t="s">
        <v>44</v>
      </c>
      <c r="L1597" t="s">
        <v>9793</v>
      </c>
    </row>
    <row r="1598" spans="1:12" x14ac:dyDescent="0.3">
      <c r="A1598" t="s">
        <v>5104</v>
      </c>
      <c r="B1598" s="5" t="s">
        <v>9301</v>
      </c>
      <c r="C1598" t="s">
        <v>6456</v>
      </c>
      <c r="D1598" t="s">
        <v>5105</v>
      </c>
      <c r="E1598" t="s">
        <v>5106</v>
      </c>
      <c r="F1598" s="1">
        <v>46048</v>
      </c>
      <c r="G1598" t="s">
        <v>22</v>
      </c>
      <c r="H1598" s="24">
        <v>0</v>
      </c>
      <c r="I1598" t="str">
        <f>IF(H1598&lt;=0,"",LOOKUP(H1598,'Regras e Parâmetros'!$B$4:$B$7,'Regras e Parâmetros'!$A$4:$A$7))</f>
        <v/>
      </c>
      <c r="J1598" t="s">
        <v>6456</v>
      </c>
      <c r="L1598" t="s">
        <v>9883</v>
      </c>
    </row>
    <row r="1599" spans="1:12" x14ac:dyDescent="0.3">
      <c r="A1599" t="s">
        <v>611</v>
      </c>
      <c r="B1599" s="5" t="s">
        <v>6780</v>
      </c>
      <c r="C1599" t="s">
        <v>6456</v>
      </c>
      <c r="D1599" t="s">
        <v>612</v>
      </c>
      <c r="E1599" t="s">
        <v>6781</v>
      </c>
      <c r="F1599" s="1">
        <v>44561</v>
      </c>
      <c r="G1599" t="s">
        <v>100</v>
      </c>
      <c r="H1599" s="24">
        <v>3114</v>
      </c>
      <c r="I1599" t="str">
        <f>IF(H1599&lt;=0,"",LOOKUP(H1599,'Regras e Parâmetros'!$B$4:$B$7,'Regras e Parâmetros'!$A$4:$A$7))</f>
        <v>Prata</v>
      </c>
      <c r="J1599" t="s">
        <v>9790</v>
      </c>
    </row>
    <row r="1600" spans="1:12" x14ac:dyDescent="0.3">
      <c r="A1600" t="s">
        <v>5294</v>
      </c>
      <c r="B1600" s="5" t="s">
        <v>9424</v>
      </c>
      <c r="C1600" t="s">
        <v>6456</v>
      </c>
      <c r="D1600" t="s">
        <v>5295</v>
      </c>
      <c r="E1600" t="s">
        <v>9425</v>
      </c>
      <c r="F1600" s="1">
        <v>46105</v>
      </c>
      <c r="G1600" t="s">
        <v>45</v>
      </c>
      <c r="H1600" s="24">
        <v>0</v>
      </c>
      <c r="I1600" t="str">
        <f>IF(H1600&lt;=0,"",LOOKUP(H1600,'Regras e Parâmetros'!$B$4:$B$7,'Regras e Parâmetros'!$A$4:$A$7))</f>
        <v/>
      </c>
      <c r="J1600" t="s">
        <v>6456</v>
      </c>
      <c r="L1600" t="s">
        <v>9883</v>
      </c>
    </row>
    <row r="1601" spans="1:12" x14ac:dyDescent="0.3">
      <c r="A1601" t="s">
        <v>9772</v>
      </c>
      <c r="B1601" s="5" t="s">
        <v>5935</v>
      </c>
      <c r="C1601" t="s">
        <v>6456</v>
      </c>
      <c r="D1601" t="s">
        <v>5936</v>
      </c>
      <c r="E1601" t="s">
        <v>5937</v>
      </c>
      <c r="F1601" s="1">
        <v>46272</v>
      </c>
      <c r="G1601" t="s">
        <v>51</v>
      </c>
      <c r="H1601" s="24">
        <v>0</v>
      </c>
      <c r="I1601" t="str">
        <f>IF(H1601&lt;=0,"",LOOKUP(H1601,'Regras e Parâmetros'!$B$4:$B$7,'Regras e Parâmetros'!$A$4:$A$7))</f>
        <v/>
      </c>
      <c r="J1601" t="s">
        <v>9790</v>
      </c>
      <c r="L1601" t="s">
        <v>9883</v>
      </c>
    </row>
    <row r="1602" spans="1:12" x14ac:dyDescent="0.3">
      <c r="A1602" t="s">
        <v>9603</v>
      </c>
      <c r="B1602" s="5" t="s">
        <v>9604</v>
      </c>
      <c r="C1602" t="s">
        <v>6456</v>
      </c>
      <c r="D1602" t="s">
        <v>5644</v>
      </c>
      <c r="E1602" t="s">
        <v>5645</v>
      </c>
      <c r="F1602" s="1">
        <v>46202</v>
      </c>
      <c r="G1602" t="s">
        <v>100</v>
      </c>
      <c r="H1602" s="24">
        <v>0</v>
      </c>
      <c r="I1602" t="str">
        <f>IF(H1602&lt;=0,"",LOOKUP(H1602,'Regras e Parâmetros'!$B$4:$B$7,'Regras e Parâmetros'!$A$4:$A$7))</f>
        <v/>
      </c>
      <c r="J1602" t="s">
        <v>9790</v>
      </c>
      <c r="L1602" t="s">
        <v>9886</v>
      </c>
    </row>
    <row r="1603" spans="1:12" x14ac:dyDescent="0.3">
      <c r="A1603" t="s">
        <v>8409</v>
      </c>
      <c r="B1603" s="5" t="s">
        <v>8410</v>
      </c>
      <c r="C1603" t="s">
        <v>6456</v>
      </c>
      <c r="D1603" t="s">
        <v>3600</v>
      </c>
      <c r="E1603" t="s">
        <v>8411</v>
      </c>
      <c r="F1603" s="1">
        <v>45596</v>
      </c>
      <c r="G1603" t="s">
        <v>45</v>
      </c>
      <c r="H1603" s="24">
        <v>1214</v>
      </c>
      <c r="I1603" t="str">
        <f>IF(H1603&lt;=0,"",LOOKUP(H1603,'Regras e Parâmetros'!$B$4:$B$7,'Regras e Parâmetros'!$A$4:$A$7))</f>
        <v>Bronze</v>
      </c>
      <c r="J1603" t="s">
        <v>6747</v>
      </c>
    </row>
    <row r="1604" spans="1:12" x14ac:dyDescent="0.3">
      <c r="A1604" t="s">
        <v>1386</v>
      </c>
      <c r="B1604" s="5" t="s">
        <v>6072</v>
      </c>
      <c r="C1604" t="s">
        <v>6456</v>
      </c>
      <c r="D1604" t="s">
        <v>1387</v>
      </c>
      <c r="E1604" t="s">
        <v>7231</v>
      </c>
      <c r="F1604" s="1">
        <v>44853</v>
      </c>
      <c r="G1604" t="s">
        <v>51</v>
      </c>
      <c r="H1604" s="24">
        <v>2332</v>
      </c>
      <c r="I1604" t="str">
        <f>IF(H1604&lt;=0,"",LOOKUP(H1604,'Regras e Parâmetros'!$B$4:$B$7,'Regras e Parâmetros'!$A$4:$A$7))</f>
        <v>Prata</v>
      </c>
      <c r="J1604" t="s">
        <v>9790</v>
      </c>
    </row>
    <row r="1605" spans="1:12" x14ac:dyDescent="0.3">
      <c r="A1605" t="s">
        <v>3019</v>
      </c>
      <c r="B1605" s="5" t="s">
        <v>8120</v>
      </c>
      <c r="C1605" t="s">
        <v>6456</v>
      </c>
      <c r="D1605" t="s">
        <v>3020</v>
      </c>
      <c r="E1605" t="s">
        <v>8121</v>
      </c>
      <c r="F1605" s="1">
        <v>45398</v>
      </c>
      <c r="G1605" t="s">
        <v>18</v>
      </c>
      <c r="H1605" s="24">
        <v>1647</v>
      </c>
      <c r="I1605" t="str">
        <f>IF(H1605&lt;=0,"",LOOKUP(H1605,'Regras e Parâmetros'!$B$4:$B$7,'Regras e Parâmetros'!$A$4:$A$7))</f>
        <v>Prata</v>
      </c>
      <c r="J1605" t="s">
        <v>9790</v>
      </c>
    </row>
    <row r="1606" spans="1:12" x14ac:dyDescent="0.3">
      <c r="A1606" t="s">
        <v>1312</v>
      </c>
      <c r="B1606" s="5" t="s">
        <v>7142</v>
      </c>
      <c r="C1606" t="s">
        <v>6456</v>
      </c>
      <c r="D1606" t="s">
        <v>1313</v>
      </c>
      <c r="E1606" t="s">
        <v>7143</v>
      </c>
      <c r="F1606" s="1">
        <v>44805</v>
      </c>
      <c r="G1606" t="s">
        <v>22</v>
      </c>
      <c r="H1606" s="24">
        <v>15000</v>
      </c>
      <c r="I1606" t="str">
        <f>IF(H1606&lt;=0,"",LOOKUP(H1606,'Regras e Parâmetros'!$B$4:$B$7,'Regras e Parâmetros'!$A$4:$A$7))</f>
        <v>Vip</v>
      </c>
      <c r="J1606" t="s">
        <v>6456</v>
      </c>
      <c r="L1606" t="s">
        <v>9791</v>
      </c>
    </row>
    <row r="1607" spans="1:12" x14ac:dyDescent="0.3">
      <c r="A1607" t="s">
        <v>2081</v>
      </c>
      <c r="B1607" s="5" t="s">
        <v>7615</v>
      </c>
      <c r="C1607" t="s">
        <v>6456</v>
      </c>
      <c r="D1607" t="s">
        <v>2082</v>
      </c>
      <c r="E1607" t="s">
        <v>2083</v>
      </c>
      <c r="F1607" s="1">
        <v>45070</v>
      </c>
      <c r="G1607" t="s">
        <v>110</v>
      </c>
      <c r="H1607" s="24">
        <v>7069</v>
      </c>
      <c r="I1607" t="str">
        <f>IF(H1607&lt;=0,"",LOOKUP(H1607,'Regras e Parâmetros'!$B$4:$B$7,'Regras e Parâmetros'!$A$4:$A$7))</f>
        <v>Ouro</v>
      </c>
      <c r="J1607" t="s">
        <v>9790</v>
      </c>
      <c r="L1607" t="s">
        <v>9792</v>
      </c>
    </row>
    <row r="1608" spans="1:12" x14ac:dyDescent="0.3">
      <c r="A1608" t="s">
        <v>4857</v>
      </c>
      <c r="B1608" s="5" t="s">
        <v>9159</v>
      </c>
      <c r="C1608" t="s">
        <v>6456</v>
      </c>
      <c r="D1608" t="s">
        <v>4859</v>
      </c>
      <c r="E1608" t="s">
        <v>9160</v>
      </c>
      <c r="F1608" s="1">
        <v>45969</v>
      </c>
      <c r="G1608" t="s">
        <v>51</v>
      </c>
      <c r="H1608" s="24">
        <v>0</v>
      </c>
      <c r="I1608" t="str">
        <f>IF(H1608&lt;=0,"",LOOKUP(H1608,'Regras e Parâmetros'!$B$4:$B$7,'Regras e Parâmetros'!$A$4:$A$7))</f>
        <v/>
      </c>
      <c r="J1608" t="s">
        <v>6747</v>
      </c>
      <c r="L1608" t="s">
        <v>9883</v>
      </c>
    </row>
    <row r="1609" spans="1:12" x14ac:dyDescent="0.3">
      <c r="A1609" t="s">
        <v>4172</v>
      </c>
      <c r="B1609" s="5" t="s">
        <v>8760</v>
      </c>
      <c r="C1609" t="s">
        <v>6456</v>
      </c>
      <c r="D1609" t="s">
        <v>4173</v>
      </c>
      <c r="E1609" t="s">
        <v>4174</v>
      </c>
      <c r="F1609" s="1">
        <v>45765</v>
      </c>
      <c r="G1609" t="s">
        <v>22</v>
      </c>
      <c r="H1609" s="24">
        <v>0</v>
      </c>
      <c r="I1609" t="str">
        <f>IF(H1609&lt;=0,"",LOOKUP(H1609,'Regras e Parâmetros'!$B$4:$B$7,'Regras e Parâmetros'!$A$4:$A$7))</f>
        <v/>
      </c>
      <c r="J1609" t="s">
        <v>6747</v>
      </c>
      <c r="L1609" t="s">
        <v>9886</v>
      </c>
    </row>
    <row r="1610" spans="1:12" x14ac:dyDescent="0.3">
      <c r="A1610" t="s">
        <v>9774</v>
      </c>
      <c r="B1610" s="5" t="s">
        <v>9775</v>
      </c>
      <c r="C1610" t="s">
        <v>6456</v>
      </c>
      <c r="D1610" t="s">
        <v>5940</v>
      </c>
      <c r="E1610" t="s">
        <v>9776</v>
      </c>
      <c r="F1610" s="1">
        <v>46274</v>
      </c>
      <c r="G1610" t="s">
        <v>18</v>
      </c>
      <c r="H1610" s="24">
        <v>0</v>
      </c>
      <c r="I1610" t="str">
        <f>IF(H1610&lt;=0,"",LOOKUP(H1610,'Regras e Parâmetros'!$B$4:$B$7,'Regras e Parâmetros'!$A$4:$A$7))</f>
        <v/>
      </c>
      <c r="J1610" t="s">
        <v>6456</v>
      </c>
      <c r="L1610" t="s">
        <v>9883</v>
      </c>
    </row>
    <row r="1611" spans="1:12" x14ac:dyDescent="0.3">
      <c r="A1611" t="s">
        <v>7727</v>
      </c>
      <c r="B1611" s="5" t="s">
        <v>7728</v>
      </c>
      <c r="C1611" t="s">
        <v>6456</v>
      </c>
      <c r="D1611" t="s">
        <v>2261</v>
      </c>
      <c r="E1611" t="s">
        <v>10123</v>
      </c>
      <c r="F1611" s="1">
        <v>45127</v>
      </c>
      <c r="G1611" t="s">
        <v>18</v>
      </c>
      <c r="H1611" s="24">
        <v>15000</v>
      </c>
      <c r="I1611" t="str">
        <f>IF(H1611&lt;=0,"",LOOKUP(H1611,'Regras e Parâmetros'!$B$4:$B$7,'Regras e Parâmetros'!$A$4:$A$7))</f>
        <v>Vip</v>
      </c>
      <c r="J1611" t="s">
        <v>9790</v>
      </c>
    </row>
    <row r="1612" spans="1:12" x14ac:dyDescent="0.3">
      <c r="A1612" t="s">
        <v>3133</v>
      </c>
      <c r="B1612" s="5" t="s">
        <v>8174</v>
      </c>
      <c r="C1612" t="s">
        <v>6456</v>
      </c>
      <c r="D1612" t="s">
        <v>3134</v>
      </c>
      <c r="E1612" t="s">
        <v>8175</v>
      </c>
      <c r="F1612" s="1">
        <v>45443</v>
      </c>
      <c r="G1612" t="s">
        <v>110</v>
      </c>
      <c r="H1612" s="24">
        <v>248</v>
      </c>
      <c r="I1612" t="str">
        <f>IF(H1612&lt;=0,"",LOOKUP(H1612,'Regras e Parâmetros'!$B$4:$B$7,'Regras e Parâmetros'!$A$4:$A$7))</f>
        <v>Bronze</v>
      </c>
      <c r="J1612" t="s">
        <v>6456</v>
      </c>
      <c r="K1612" t="s">
        <v>708</v>
      </c>
    </row>
    <row r="1613" spans="1:12" x14ac:dyDescent="0.3">
      <c r="A1613" t="s">
        <v>2807</v>
      </c>
      <c r="B1613" s="5" t="s">
        <v>8023</v>
      </c>
      <c r="C1613" t="s">
        <v>6456</v>
      </c>
      <c r="D1613" t="s">
        <v>2808</v>
      </c>
      <c r="E1613" t="s">
        <v>2809</v>
      </c>
      <c r="F1613" s="1">
        <v>45313</v>
      </c>
      <c r="G1613" t="s">
        <v>51</v>
      </c>
      <c r="H1613" s="24">
        <v>832</v>
      </c>
      <c r="I1613" t="str">
        <f>IF(H1613&lt;=0,"",LOOKUP(H1613,'Regras e Parâmetros'!$B$4:$B$7,'Regras e Parâmetros'!$A$4:$A$7))</f>
        <v>Bronze</v>
      </c>
      <c r="J1613" t="s">
        <v>6747</v>
      </c>
      <c r="K1613" t="s">
        <v>708</v>
      </c>
      <c r="L1613" t="s">
        <v>9792</v>
      </c>
    </row>
    <row r="1614" spans="1:12" x14ac:dyDescent="0.3">
      <c r="A1614" t="s">
        <v>5089</v>
      </c>
      <c r="B1614" s="5" t="s">
        <v>9291</v>
      </c>
      <c r="C1614" t="s">
        <v>6456</v>
      </c>
      <c r="D1614" t="s">
        <v>5090</v>
      </c>
      <c r="E1614" t="s">
        <v>9292</v>
      </c>
      <c r="F1614" s="1">
        <v>46042</v>
      </c>
      <c r="G1614" t="s">
        <v>51</v>
      </c>
      <c r="H1614" s="24">
        <v>0</v>
      </c>
      <c r="I1614" t="str">
        <f>IF(H1614&lt;=0,"",LOOKUP(H1614,'Regras e Parâmetros'!$B$4:$B$7,'Regras e Parâmetros'!$A$4:$A$7))</f>
        <v/>
      </c>
      <c r="J1614" t="s">
        <v>9790</v>
      </c>
      <c r="L1614" t="s">
        <v>9883</v>
      </c>
    </row>
    <row r="1615" spans="1:12" x14ac:dyDescent="0.3">
      <c r="A1615" t="s">
        <v>7904</v>
      </c>
      <c r="B1615" s="5" t="s">
        <v>7905</v>
      </c>
      <c r="C1615" t="s">
        <v>6456</v>
      </c>
      <c r="D1615" t="s">
        <v>2580</v>
      </c>
      <c r="E1615" t="s">
        <v>2581</v>
      </c>
      <c r="F1615" s="1">
        <v>45228</v>
      </c>
      <c r="G1615" t="s">
        <v>110</v>
      </c>
      <c r="H1615" s="24">
        <v>854</v>
      </c>
      <c r="I1615" t="str">
        <f>IF(H1615&lt;=0,"",LOOKUP(H1615,'Regras e Parâmetros'!$B$4:$B$7,'Regras e Parâmetros'!$A$4:$A$7))</f>
        <v>Bronze</v>
      </c>
      <c r="J1615" t="s">
        <v>6456</v>
      </c>
      <c r="L1615" t="s">
        <v>9792</v>
      </c>
    </row>
    <row r="1616" spans="1:12" x14ac:dyDescent="0.3">
      <c r="A1616" t="s">
        <v>6659</v>
      </c>
      <c r="B1616" s="5" t="s">
        <v>6660</v>
      </c>
      <c r="C1616" t="s">
        <v>6456</v>
      </c>
      <c r="D1616" t="s">
        <v>384</v>
      </c>
      <c r="E1616" t="s">
        <v>6661</v>
      </c>
      <c r="F1616" s="1">
        <v>44479</v>
      </c>
      <c r="G1616" t="s">
        <v>45</v>
      </c>
      <c r="H1616" s="24">
        <v>202</v>
      </c>
      <c r="I1616" t="str">
        <f>IF(H1616&lt;=0,"",LOOKUP(H1616,'Regras e Parâmetros'!$B$4:$B$7,'Regras e Parâmetros'!$A$4:$A$7))</f>
        <v>Bronze</v>
      </c>
      <c r="J1616" t="s">
        <v>6456</v>
      </c>
    </row>
    <row r="1617" spans="1:12" x14ac:dyDescent="0.3">
      <c r="A1617" t="s">
        <v>5957</v>
      </c>
      <c r="B1617" s="5" t="s">
        <v>5958</v>
      </c>
      <c r="C1617" t="s">
        <v>6456</v>
      </c>
      <c r="D1617" t="s">
        <v>5959</v>
      </c>
      <c r="E1617" t="s">
        <v>5960</v>
      </c>
      <c r="F1617" s="1">
        <v>46277</v>
      </c>
      <c r="G1617" t="s">
        <v>18</v>
      </c>
      <c r="H1617" s="24">
        <v>0</v>
      </c>
      <c r="I1617" t="str">
        <f>IF(H1617&lt;=0,"",LOOKUP(H1617,'Regras e Parâmetros'!$B$4:$B$7,'Regras e Parâmetros'!$A$4:$A$7))</f>
        <v/>
      </c>
      <c r="J1617" t="s">
        <v>9790</v>
      </c>
      <c r="L1617" t="s">
        <v>9886</v>
      </c>
    </row>
    <row r="1618" spans="1:12" x14ac:dyDescent="0.3">
      <c r="A1618" t="s">
        <v>70</v>
      </c>
      <c r="B1618" s="5" t="s">
        <v>6459</v>
      </c>
      <c r="C1618" t="s">
        <v>6456</v>
      </c>
      <c r="D1618" t="s">
        <v>71</v>
      </c>
      <c r="E1618" t="s">
        <v>6460</v>
      </c>
      <c r="F1618" s="1">
        <v>44348</v>
      </c>
      <c r="G1618" t="s">
        <v>18</v>
      </c>
      <c r="H1618" s="24">
        <v>0</v>
      </c>
      <c r="I1618" t="str">
        <f>IF(H1618&lt;=0,"",LOOKUP(H1618,'Regras e Parâmetros'!$B$4:$B$7,'Regras e Parâmetros'!$A$4:$A$7))</f>
        <v/>
      </c>
      <c r="J1618" t="s">
        <v>9790</v>
      </c>
      <c r="K1618" t="s">
        <v>72</v>
      </c>
      <c r="L1618" t="s">
        <v>9791</v>
      </c>
    </row>
    <row r="1619" spans="1:12" x14ac:dyDescent="0.3">
      <c r="A1619" t="s">
        <v>4983</v>
      </c>
      <c r="B1619" s="5" t="s">
        <v>9228</v>
      </c>
      <c r="C1619" t="s">
        <v>6456</v>
      </c>
      <c r="D1619" t="s">
        <v>4984</v>
      </c>
      <c r="E1619" t="s">
        <v>9229</v>
      </c>
      <c r="F1619" s="1">
        <v>46007</v>
      </c>
      <c r="G1619" t="s">
        <v>51</v>
      </c>
      <c r="H1619" s="24">
        <v>0</v>
      </c>
      <c r="I1619" t="str">
        <f>IF(H1619&lt;=0,"",LOOKUP(H1619,'Regras e Parâmetros'!$B$4:$B$7,'Regras e Parâmetros'!$A$4:$A$7))</f>
        <v/>
      </c>
      <c r="J1619" t="s">
        <v>6747</v>
      </c>
      <c r="L1619" t="s">
        <v>9883</v>
      </c>
    </row>
    <row r="1620" spans="1:12" x14ac:dyDescent="0.3">
      <c r="A1620" t="s">
        <v>1890</v>
      </c>
      <c r="B1620" s="5" t="s">
        <v>7517</v>
      </c>
      <c r="C1620" t="s">
        <v>6456</v>
      </c>
      <c r="D1620" t="s">
        <v>1891</v>
      </c>
      <c r="E1620" t="s">
        <v>1892</v>
      </c>
      <c r="F1620" s="1">
        <v>45007</v>
      </c>
      <c r="G1620" t="s">
        <v>51</v>
      </c>
      <c r="H1620" s="24">
        <v>3600</v>
      </c>
      <c r="I1620" t="str">
        <f>IF(H1620&lt;=0,"",LOOKUP(H1620,'Regras e Parâmetros'!$B$4:$B$7,'Regras e Parâmetros'!$A$4:$A$7))</f>
        <v>Prata</v>
      </c>
      <c r="J1620" t="s">
        <v>6456</v>
      </c>
      <c r="L1620" t="s">
        <v>9793</v>
      </c>
    </row>
    <row r="1621" spans="1:12" x14ac:dyDescent="0.3">
      <c r="A1621" t="s">
        <v>2373</v>
      </c>
      <c r="B1621" s="5" t="s">
        <v>2374</v>
      </c>
      <c r="C1621" t="s">
        <v>6456</v>
      </c>
      <c r="D1621" t="s">
        <v>3928</v>
      </c>
      <c r="E1621" t="s">
        <v>3929</v>
      </c>
      <c r="F1621" s="1">
        <v>45155</v>
      </c>
      <c r="G1621" t="s">
        <v>18</v>
      </c>
      <c r="H1621" s="24">
        <v>1986</v>
      </c>
      <c r="I1621" t="str">
        <f>IF(H1621&lt;=0,"",LOOKUP(H1621,'Regras e Parâmetros'!$B$4:$B$7,'Regras e Parâmetros'!$A$4:$A$7))</f>
        <v>Prata</v>
      </c>
      <c r="J1621" t="s">
        <v>6747</v>
      </c>
      <c r="K1621" t="s">
        <v>9845</v>
      </c>
      <c r="L1621" t="s">
        <v>9839</v>
      </c>
    </row>
    <row r="1622" spans="1:12" x14ac:dyDescent="0.3">
      <c r="A1622" t="s">
        <v>7757</v>
      </c>
      <c r="B1622" s="5" t="s">
        <v>7758</v>
      </c>
      <c r="C1622" t="s">
        <v>6456</v>
      </c>
      <c r="D1622" t="s">
        <v>2310</v>
      </c>
      <c r="E1622" t="s">
        <v>7759</v>
      </c>
      <c r="F1622" s="1">
        <v>45138</v>
      </c>
      <c r="G1622" t="s">
        <v>110</v>
      </c>
      <c r="H1622" s="24">
        <v>1487</v>
      </c>
      <c r="I1622" t="str">
        <f>IF(H1622&lt;=0,"",LOOKUP(H1622,'Regras e Parâmetros'!$B$4:$B$7,'Regras e Parâmetros'!$A$4:$A$7))</f>
        <v>Bronze</v>
      </c>
      <c r="J1622" t="s">
        <v>6747</v>
      </c>
      <c r="K1622" t="s">
        <v>708</v>
      </c>
    </row>
    <row r="1623" spans="1:12" x14ac:dyDescent="0.3">
      <c r="A1623" t="s">
        <v>8803</v>
      </c>
      <c r="B1623" s="5" t="s">
        <v>4244</v>
      </c>
      <c r="C1623" t="s">
        <v>6456</v>
      </c>
      <c r="D1623" t="s">
        <v>4245</v>
      </c>
      <c r="E1623" t="s">
        <v>4246</v>
      </c>
      <c r="F1623" s="1">
        <v>45789</v>
      </c>
      <c r="G1623" t="s">
        <v>100</v>
      </c>
      <c r="H1623" s="24">
        <v>0</v>
      </c>
      <c r="I1623" t="str">
        <f>IF(H1623&lt;=0,"",LOOKUP(H1623,'Regras e Parâmetros'!$B$4:$B$7,'Regras e Parâmetros'!$A$4:$A$7))</f>
        <v/>
      </c>
      <c r="J1623" t="s">
        <v>9790</v>
      </c>
      <c r="K1623" t="s">
        <v>177</v>
      </c>
      <c r="L1623" t="s">
        <v>9883</v>
      </c>
    </row>
    <row r="1624" spans="1:12" x14ac:dyDescent="0.3">
      <c r="A1624" t="s">
        <v>3888</v>
      </c>
      <c r="B1624" s="5" t="s">
        <v>8596</v>
      </c>
      <c r="C1624" t="s">
        <v>6456</v>
      </c>
      <c r="D1624" t="s">
        <v>3889</v>
      </c>
      <c r="E1624" t="s">
        <v>3890</v>
      </c>
      <c r="F1624" s="1">
        <v>45689</v>
      </c>
      <c r="G1624" t="s">
        <v>51</v>
      </c>
      <c r="H1624" s="24">
        <v>0</v>
      </c>
      <c r="I1624" t="str">
        <f>IF(H1624&lt;=0,"",LOOKUP(H1624,'Regras e Parâmetros'!$B$4:$B$7,'Regras e Parâmetros'!$A$4:$A$7))</f>
        <v/>
      </c>
      <c r="J1624" t="s">
        <v>9790</v>
      </c>
      <c r="K1624" t="s">
        <v>33</v>
      </c>
      <c r="L1624" t="s">
        <v>9883</v>
      </c>
    </row>
    <row r="1625" spans="1:12" x14ac:dyDescent="0.3">
      <c r="A1625" t="s">
        <v>4051</v>
      </c>
      <c r="B1625" s="5" t="s">
        <v>4052</v>
      </c>
      <c r="C1625" t="s">
        <v>6456</v>
      </c>
      <c r="D1625" t="s">
        <v>4053</v>
      </c>
      <c r="E1625" t="s">
        <v>4054</v>
      </c>
      <c r="F1625" s="1">
        <v>45731</v>
      </c>
      <c r="G1625" t="s">
        <v>51</v>
      </c>
      <c r="H1625" s="24">
        <v>0</v>
      </c>
      <c r="I1625" t="str">
        <f>IF(H1625&lt;=0,"",LOOKUP(H1625,'Regras e Parâmetros'!$B$4:$B$7,'Regras e Parâmetros'!$A$4:$A$7))</f>
        <v/>
      </c>
      <c r="J1625" t="s">
        <v>9790</v>
      </c>
      <c r="L1625" t="s">
        <v>9883</v>
      </c>
    </row>
    <row r="1626" spans="1:12" x14ac:dyDescent="0.3">
      <c r="A1626" t="s">
        <v>1679</v>
      </c>
      <c r="B1626" s="5" t="s">
        <v>7399</v>
      </c>
      <c r="C1626" t="s">
        <v>6456</v>
      </c>
      <c r="D1626" t="s">
        <v>1680</v>
      </c>
      <c r="E1626" t="s">
        <v>7400</v>
      </c>
      <c r="F1626" s="1">
        <v>44935</v>
      </c>
      <c r="G1626" t="s">
        <v>22</v>
      </c>
      <c r="H1626" s="24">
        <v>312</v>
      </c>
      <c r="I1626" t="str">
        <f>IF(H1626&lt;=0,"",LOOKUP(H1626,'Regras e Parâmetros'!$B$4:$B$7,'Regras e Parâmetros'!$A$4:$A$7))</f>
        <v>Bronze</v>
      </c>
      <c r="J1626" t="s">
        <v>6456</v>
      </c>
    </row>
    <row r="1627" spans="1:12" x14ac:dyDescent="0.3">
      <c r="A1627" t="s">
        <v>5026</v>
      </c>
      <c r="B1627" s="5" t="s">
        <v>9255</v>
      </c>
      <c r="C1627" t="s">
        <v>6456</v>
      </c>
      <c r="D1627" t="s">
        <v>5027</v>
      </c>
      <c r="E1627" t="s">
        <v>5028</v>
      </c>
      <c r="F1627" s="1">
        <v>46018</v>
      </c>
      <c r="G1627" t="s">
        <v>110</v>
      </c>
      <c r="H1627" s="24">
        <v>0</v>
      </c>
      <c r="I1627" t="str">
        <f>IF(H1627&lt;=0,"",LOOKUP(H1627,'Regras e Parâmetros'!$B$4:$B$7,'Regras e Parâmetros'!$A$4:$A$7))</f>
        <v/>
      </c>
      <c r="J1627" t="s">
        <v>9790</v>
      </c>
      <c r="L1627" t="s">
        <v>9886</v>
      </c>
    </row>
    <row r="1628" spans="1:12" x14ac:dyDescent="0.3">
      <c r="A1628" t="s">
        <v>1652</v>
      </c>
      <c r="B1628" s="5" t="s">
        <v>1653</v>
      </c>
      <c r="C1628" t="s">
        <v>6456</v>
      </c>
      <c r="D1628" t="s">
        <v>1654</v>
      </c>
      <c r="E1628" t="s">
        <v>7382</v>
      </c>
      <c r="F1628" s="1">
        <v>44927</v>
      </c>
      <c r="G1628" t="s">
        <v>22</v>
      </c>
      <c r="H1628" s="24">
        <v>3970</v>
      </c>
      <c r="I1628" t="str">
        <f>IF(H1628&lt;=0,"",LOOKUP(H1628,'Regras e Parâmetros'!$B$4:$B$7,'Regras e Parâmetros'!$A$4:$A$7))</f>
        <v>Prata</v>
      </c>
      <c r="J1628" t="s">
        <v>6456</v>
      </c>
      <c r="L1628" t="s">
        <v>9791</v>
      </c>
    </row>
    <row r="1629" spans="1:12" x14ac:dyDescent="0.3">
      <c r="A1629" t="s">
        <v>8788</v>
      </c>
      <c r="B1629" s="5" t="s">
        <v>8789</v>
      </c>
      <c r="C1629" t="s">
        <v>6456</v>
      </c>
      <c r="D1629" t="s">
        <v>4228</v>
      </c>
      <c r="E1629" t="s">
        <v>8790</v>
      </c>
      <c r="F1629" s="1">
        <v>45780</v>
      </c>
      <c r="G1629" t="s">
        <v>45</v>
      </c>
      <c r="H1629" s="24">
        <v>0</v>
      </c>
      <c r="I1629" t="str">
        <f>IF(H1629&lt;=0,"",LOOKUP(H1629,'Regras e Parâmetros'!$B$4:$B$7,'Regras e Parâmetros'!$A$4:$A$7))</f>
        <v/>
      </c>
      <c r="J1629" t="s">
        <v>6747</v>
      </c>
      <c r="L1629" t="s">
        <v>9883</v>
      </c>
    </row>
    <row r="1630" spans="1:12" x14ac:dyDescent="0.3">
      <c r="A1630" t="s">
        <v>3591</v>
      </c>
      <c r="B1630" s="5" t="s">
        <v>5745</v>
      </c>
      <c r="C1630" t="s">
        <v>6456</v>
      </c>
      <c r="D1630" t="s">
        <v>5746</v>
      </c>
      <c r="E1630" t="s">
        <v>5747</v>
      </c>
      <c r="F1630" s="1">
        <v>45591</v>
      </c>
      <c r="G1630" t="s">
        <v>51</v>
      </c>
      <c r="H1630" s="24">
        <v>12</v>
      </c>
      <c r="I1630" t="str">
        <f>IF(H1630&lt;=0,"",LOOKUP(H1630,'Regras e Parâmetros'!$B$4:$B$7,'Regras e Parâmetros'!$A$4:$A$7))</f>
        <v>Bronze</v>
      </c>
      <c r="J1630" t="s">
        <v>9790</v>
      </c>
      <c r="K1630" t="s">
        <v>9875</v>
      </c>
      <c r="L1630" t="s">
        <v>9839</v>
      </c>
    </row>
    <row r="1631" spans="1:12" x14ac:dyDescent="0.3">
      <c r="A1631" t="s">
        <v>2425</v>
      </c>
      <c r="B1631" s="5" t="s">
        <v>2426</v>
      </c>
      <c r="C1631" t="s">
        <v>6456</v>
      </c>
      <c r="D1631" t="s">
        <v>2427</v>
      </c>
      <c r="E1631" t="s">
        <v>7824</v>
      </c>
      <c r="F1631" s="1">
        <v>45173</v>
      </c>
      <c r="G1631" t="s">
        <v>110</v>
      </c>
      <c r="H1631" s="24">
        <v>493</v>
      </c>
      <c r="I1631" t="str">
        <f>IF(H1631&lt;=0,"",LOOKUP(H1631,'Regras e Parâmetros'!$B$4:$B$7,'Regras e Parâmetros'!$A$4:$A$7))</f>
        <v>Bronze</v>
      </c>
      <c r="J1631" t="s">
        <v>6747</v>
      </c>
    </row>
    <row r="1632" spans="1:12" x14ac:dyDescent="0.3">
      <c r="A1632" t="s">
        <v>9333</v>
      </c>
      <c r="B1632" s="5" t="s">
        <v>5158</v>
      </c>
      <c r="C1632" t="s">
        <v>6456</v>
      </c>
      <c r="D1632" t="s">
        <v>5159</v>
      </c>
      <c r="E1632" t="s">
        <v>5160</v>
      </c>
      <c r="F1632" s="1">
        <v>46058</v>
      </c>
      <c r="G1632" t="s">
        <v>51</v>
      </c>
      <c r="H1632" s="24">
        <v>0</v>
      </c>
      <c r="I1632" t="str">
        <f>IF(H1632&lt;=0,"",LOOKUP(H1632,'Regras e Parâmetros'!$B$4:$B$7,'Regras e Parâmetros'!$A$4:$A$7))</f>
        <v/>
      </c>
      <c r="J1632" t="s">
        <v>9790</v>
      </c>
      <c r="K1632" t="s">
        <v>44</v>
      </c>
      <c r="L1632" t="s">
        <v>9883</v>
      </c>
    </row>
    <row r="1633" spans="1:12" x14ac:dyDescent="0.3">
      <c r="A1633" t="s">
        <v>2107</v>
      </c>
      <c r="B1633" s="5" t="s">
        <v>2108</v>
      </c>
      <c r="C1633" t="s">
        <v>6456</v>
      </c>
      <c r="D1633" t="s">
        <v>2109</v>
      </c>
      <c r="E1633" t="s">
        <v>2110</v>
      </c>
      <c r="F1633" s="1">
        <v>45081</v>
      </c>
      <c r="G1633" t="s">
        <v>100</v>
      </c>
      <c r="H1633" s="24">
        <v>2513</v>
      </c>
      <c r="I1633" t="str">
        <f>IF(H1633&lt;=0,"",LOOKUP(H1633,'Regras e Parâmetros'!$B$4:$B$7,'Regras e Parâmetros'!$A$4:$A$7))</f>
        <v>Prata</v>
      </c>
      <c r="J1633" t="s">
        <v>6456</v>
      </c>
    </row>
    <row r="1634" spans="1:12" x14ac:dyDescent="0.3">
      <c r="A1634" t="s">
        <v>9455</v>
      </c>
      <c r="B1634" s="5" t="s">
        <v>5340</v>
      </c>
      <c r="C1634" t="s">
        <v>6456</v>
      </c>
      <c r="D1634" t="s">
        <v>5341</v>
      </c>
      <c r="E1634" t="s">
        <v>9456</v>
      </c>
      <c r="F1634" s="1">
        <v>46114</v>
      </c>
      <c r="G1634" t="s">
        <v>18</v>
      </c>
      <c r="H1634" s="24">
        <v>0</v>
      </c>
      <c r="I1634" t="str">
        <f>IF(H1634&lt;=0,"",LOOKUP(H1634,'Regras e Parâmetros'!$B$4:$B$7,'Regras e Parâmetros'!$A$4:$A$7))</f>
        <v/>
      </c>
      <c r="J1634" t="s">
        <v>9790</v>
      </c>
      <c r="K1634" t="s">
        <v>708</v>
      </c>
      <c r="L1634" t="s">
        <v>9883</v>
      </c>
    </row>
    <row r="1635" spans="1:12" x14ac:dyDescent="0.3">
      <c r="A1635" t="s">
        <v>9621</v>
      </c>
      <c r="B1635" s="5" t="s">
        <v>9622</v>
      </c>
      <c r="C1635" t="s">
        <v>6456</v>
      </c>
      <c r="D1635" t="s">
        <v>5665</v>
      </c>
      <c r="E1635" t="s">
        <v>5666</v>
      </c>
      <c r="F1635" s="1">
        <v>46208</v>
      </c>
      <c r="G1635" t="s">
        <v>45</v>
      </c>
      <c r="H1635" s="24">
        <v>0</v>
      </c>
      <c r="I1635" t="str">
        <f>IF(H1635&lt;=0,"",LOOKUP(H1635,'Regras e Parâmetros'!$B$4:$B$7,'Regras e Parâmetros'!$A$4:$A$7))</f>
        <v/>
      </c>
      <c r="J1635" t="s">
        <v>9790</v>
      </c>
      <c r="L1635" t="s">
        <v>9886</v>
      </c>
    </row>
    <row r="1636" spans="1:12" x14ac:dyDescent="0.3">
      <c r="A1636" t="s">
        <v>5446</v>
      </c>
      <c r="B1636" s="5" t="s">
        <v>5447</v>
      </c>
      <c r="C1636" t="s">
        <v>6456</v>
      </c>
      <c r="D1636" t="s">
        <v>5448</v>
      </c>
      <c r="E1636" t="s">
        <v>5449</v>
      </c>
      <c r="F1636" s="1">
        <v>46145</v>
      </c>
      <c r="G1636" t="s">
        <v>110</v>
      </c>
      <c r="H1636" s="24">
        <v>0</v>
      </c>
      <c r="I1636" t="str">
        <f>IF(H1636&lt;=0,"",LOOKUP(H1636,'Regras e Parâmetros'!$B$4:$B$7,'Regras e Parâmetros'!$A$4:$A$7))</f>
        <v/>
      </c>
      <c r="J1636" t="s">
        <v>9790</v>
      </c>
      <c r="L1636" t="s">
        <v>9883</v>
      </c>
    </row>
    <row r="1637" spans="1:12" x14ac:dyDescent="0.3">
      <c r="A1637" t="s">
        <v>621</v>
      </c>
      <c r="B1637" s="5" t="s">
        <v>6792</v>
      </c>
      <c r="C1637" t="s">
        <v>6456</v>
      </c>
      <c r="D1637" t="s">
        <v>622</v>
      </c>
      <c r="E1637" t="s">
        <v>6793</v>
      </c>
      <c r="F1637" s="1">
        <v>44566</v>
      </c>
      <c r="G1637" t="s">
        <v>100</v>
      </c>
      <c r="H1637" s="24">
        <v>2828</v>
      </c>
      <c r="I1637" t="str">
        <f>IF(H1637&lt;=0,"",LOOKUP(H1637,'Regras e Parâmetros'!$B$4:$B$7,'Regras e Parâmetros'!$A$4:$A$7))</f>
        <v>Prata</v>
      </c>
      <c r="J1637" t="s">
        <v>6747</v>
      </c>
    </row>
    <row r="1638" spans="1:12" x14ac:dyDescent="0.3">
      <c r="A1638" t="s">
        <v>2986</v>
      </c>
      <c r="B1638" s="5" t="s">
        <v>2987</v>
      </c>
      <c r="C1638" t="s">
        <v>6456</v>
      </c>
      <c r="D1638" t="s">
        <v>2988</v>
      </c>
      <c r="E1638" t="s">
        <v>2989</v>
      </c>
      <c r="F1638" s="1">
        <v>45386</v>
      </c>
      <c r="G1638" t="s">
        <v>45</v>
      </c>
      <c r="H1638" s="24">
        <v>348</v>
      </c>
      <c r="I1638" t="str">
        <f>IF(H1638&lt;=0,"",LOOKUP(H1638,'Regras e Parâmetros'!$B$4:$B$7,'Regras e Parâmetros'!$A$4:$A$7))</f>
        <v>Bronze</v>
      </c>
      <c r="J1638" t="s">
        <v>6456</v>
      </c>
    </row>
    <row r="1639" spans="1:12" x14ac:dyDescent="0.3">
      <c r="A1639" t="s">
        <v>465</v>
      </c>
      <c r="B1639" s="5" t="s">
        <v>748</v>
      </c>
      <c r="C1639" t="s">
        <v>6456</v>
      </c>
      <c r="D1639" t="s">
        <v>749</v>
      </c>
      <c r="E1639" t="s">
        <v>6709</v>
      </c>
      <c r="F1639" s="1">
        <v>44509</v>
      </c>
      <c r="G1639" t="s">
        <v>18</v>
      </c>
      <c r="H1639" s="24">
        <v>0</v>
      </c>
      <c r="I1639" t="str">
        <f>IF(H1639&lt;=0,"",LOOKUP(H1639,'Regras e Parâmetros'!$B$4:$B$7,'Regras e Parâmetros'!$A$4:$A$7))</f>
        <v/>
      </c>
      <c r="J1639" t="s">
        <v>6456</v>
      </c>
      <c r="K1639" t="s">
        <v>9800</v>
      </c>
    </row>
    <row r="1640" spans="1:12" x14ac:dyDescent="0.3">
      <c r="A1640" t="s">
        <v>5896</v>
      </c>
      <c r="B1640" s="5" t="s">
        <v>9757</v>
      </c>
      <c r="C1640" t="s">
        <v>6456</v>
      </c>
      <c r="D1640" t="s">
        <v>9758</v>
      </c>
      <c r="E1640" t="s">
        <v>5897</v>
      </c>
      <c r="F1640" s="1">
        <v>46267</v>
      </c>
      <c r="G1640" t="s">
        <v>45</v>
      </c>
      <c r="H1640" s="24">
        <v>0</v>
      </c>
      <c r="I1640" t="str">
        <f>IF(H1640&lt;=0,"",LOOKUP(H1640,'Regras e Parâmetros'!$B$4:$B$7,'Regras e Parâmetros'!$A$4:$A$7))</f>
        <v/>
      </c>
      <c r="J1640" t="s">
        <v>9790</v>
      </c>
      <c r="K1640" t="s">
        <v>187</v>
      </c>
      <c r="L1640" t="s">
        <v>9883</v>
      </c>
    </row>
    <row r="1641" spans="1:12" x14ac:dyDescent="0.3">
      <c r="A1641" t="s">
        <v>7232</v>
      </c>
      <c r="B1641" s="5" t="s">
        <v>1388</v>
      </c>
      <c r="C1641" t="s">
        <v>6456</v>
      </c>
      <c r="D1641" t="s">
        <v>1389</v>
      </c>
      <c r="E1641" t="s">
        <v>7233</v>
      </c>
      <c r="F1641" s="1">
        <v>44853</v>
      </c>
      <c r="G1641" t="s">
        <v>51</v>
      </c>
      <c r="H1641" s="24">
        <v>8226</v>
      </c>
      <c r="I1641" t="str">
        <f>IF(H1641&lt;=0,"",LOOKUP(H1641,'Regras e Parâmetros'!$B$4:$B$7,'Regras e Parâmetros'!$A$4:$A$7))</f>
        <v>Ouro</v>
      </c>
      <c r="J1641" t="s">
        <v>9790</v>
      </c>
    </row>
    <row r="1642" spans="1:12" x14ac:dyDescent="0.3">
      <c r="A1642" t="s">
        <v>6003</v>
      </c>
      <c r="B1642" s="5" t="s">
        <v>6004</v>
      </c>
      <c r="C1642" t="s">
        <v>6456</v>
      </c>
      <c r="D1642" t="s">
        <v>6005</v>
      </c>
      <c r="E1642" t="s">
        <v>9583</v>
      </c>
      <c r="F1642" s="1">
        <v>46183</v>
      </c>
      <c r="G1642" t="s">
        <v>51</v>
      </c>
      <c r="H1642" s="24">
        <v>0</v>
      </c>
      <c r="I1642" t="str">
        <f>IF(H1642&lt;=0,"",LOOKUP(H1642,'Regras e Parâmetros'!$B$4:$B$7,'Regras e Parâmetros'!$A$4:$A$7))</f>
        <v/>
      </c>
      <c r="J1642" t="s">
        <v>6456</v>
      </c>
      <c r="K1642" t="s">
        <v>9930</v>
      </c>
      <c r="L1642" t="s">
        <v>9883</v>
      </c>
    </row>
    <row r="1643" spans="1:12" x14ac:dyDescent="0.3">
      <c r="A1643" t="s">
        <v>3147</v>
      </c>
      <c r="B1643" s="5" t="s">
        <v>3148</v>
      </c>
      <c r="C1643" t="s">
        <v>6456</v>
      </c>
      <c r="D1643" t="s">
        <v>3149</v>
      </c>
      <c r="E1643" t="s">
        <v>10124</v>
      </c>
      <c r="F1643" s="1">
        <v>45444</v>
      </c>
      <c r="G1643" t="s">
        <v>51</v>
      </c>
      <c r="H1643" s="24">
        <v>734</v>
      </c>
      <c r="I1643" t="str">
        <f>IF(H1643&lt;=0,"",LOOKUP(H1643,'Regras e Parâmetros'!$B$4:$B$7,'Regras e Parâmetros'!$A$4:$A$7))</f>
        <v>Bronze</v>
      </c>
      <c r="J1643" t="s">
        <v>6456</v>
      </c>
      <c r="L1643" t="s">
        <v>9791</v>
      </c>
    </row>
    <row r="1644" spans="1:12" x14ac:dyDescent="0.3">
      <c r="A1644" t="s">
        <v>4861</v>
      </c>
      <c r="B1644" s="5" t="s">
        <v>4862</v>
      </c>
      <c r="C1644" t="s">
        <v>6456</v>
      </c>
      <c r="D1644" t="s">
        <v>4863</v>
      </c>
      <c r="E1644" t="s">
        <v>4864</v>
      </c>
      <c r="F1644" s="1">
        <v>45971</v>
      </c>
      <c r="G1644" t="s">
        <v>22</v>
      </c>
      <c r="H1644" s="24">
        <v>0</v>
      </c>
      <c r="I1644" t="str">
        <f>IF(H1644&lt;=0,"",LOOKUP(H1644,'Regras e Parâmetros'!$B$4:$B$7,'Regras e Parâmetros'!$A$4:$A$7))</f>
        <v/>
      </c>
      <c r="J1644" t="s">
        <v>9790</v>
      </c>
      <c r="K1644" t="s">
        <v>708</v>
      </c>
      <c r="L1644" t="s">
        <v>9883</v>
      </c>
    </row>
    <row r="1645" spans="1:12" x14ac:dyDescent="0.3">
      <c r="A1645" t="s">
        <v>1710</v>
      </c>
      <c r="B1645" s="5" t="s">
        <v>6032</v>
      </c>
      <c r="C1645" t="s">
        <v>6456</v>
      </c>
      <c r="E1645" t="s">
        <v>7416</v>
      </c>
      <c r="F1645" s="1">
        <v>44946</v>
      </c>
      <c r="G1645" t="s">
        <v>45</v>
      </c>
      <c r="H1645" s="24">
        <v>6800</v>
      </c>
      <c r="I1645" t="str">
        <f>IF(H1645&lt;=0,"",LOOKUP(H1645,'Regras e Parâmetros'!$B$4:$B$7,'Regras e Parâmetros'!$A$4:$A$7))</f>
        <v>Ouro</v>
      </c>
      <c r="J1645" t="s">
        <v>6456</v>
      </c>
      <c r="L1645" t="s">
        <v>9833</v>
      </c>
    </row>
    <row r="1646" spans="1:12" x14ac:dyDescent="0.3">
      <c r="A1646" t="s">
        <v>8812</v>
      </c>
      <c r="B1646" s="5" t="s">
        <v>8813</v>
      </c>
      <c r="C1646" t="s">
        <v>6456</v>
      </c>
      <c r="D1646" t="s">
        <v>4269</v>
      </c>
      <c r="E1646" t="s">
        <v>4270</v>
      </c>
      <c r="F1646" s="1">
        <v>45796</v>
      </c>
      <c r="G1646" t="s">
        <v>18</v>
      </c>
      <c r="H1646" s="24">
        <v>0</v>
      </c>
      <c r="I1646" t="str">
        <f>IF(H1646&lt;=0,"",LOOKUP(H1646,'Regras e Parâmetros'!$B$4:$B$7,'Regras e Parâmetros'!$A$4:$A$7))</f>
        <v/>
      </c>
      <c r="J1646" t="s">
        <v>6456</v>
      </c>
      <c r="L1646" t="s">
        <v>9883</v>
      </c>
    </row>
    <row r="1647" spans="1:12" x14ac:dyDescent="0.3">
      <c r="A1647" t="s">
        <v>3902</v>
      </c>
      <c r="B1647" s="5" t="s">
        <v>8612</v>
      </c>
      <c r="C1647" t="s">
        <v>6456</v>
      </c>
      <c r="D1647" t="s">
        <v>3903</v>
      </c>
      <c r="E1647" t="s">
        <v>8613</v>
      </c>
      <c r="F1647" s="1">
        <v>45692</v>
      </c>
      <c r="G1647" t="s">
        <v>45</v>
      </c>
      <c r="H1647" s="24">
        <v>0</v>
      </c>
      <c r="I1647" t="str">
        <f>IF(H1647&lt;=0,"",LOOKUP(H1647,'Regras e Parâmetros'!$B$4:$B$7,'Regras e Parâmetros'!$A$4:$A$7))</f>
        <v/>
      </c>
      <c r="J1647" t="s">
        <v>6747</v>
      </c>
      <c r="L1647" t="s">
        <v>9883</v>
      </c>
    </row>
    <row r="1648" spans="1:12" x14ac:dyDescent="0.3">
      <c r="A1648" t="s">
        <v>5304</v>
      </c>
      <c r="B1648" s="5" t="s">
        <v>5305</v>
      </c>
      <c r="C1648" t="s">
        <v>6747</v>
      </c>
      <c r="D1648" t="s">
        <v>5306</v>
      </c>
      <c r="E1648" t="s">
        <v>9428</v>
      </c>
      <c r="F1648" s="1">
        <v>46107</v>
      </c>
      <c r="G1648" t="s">
        <v>18</v>
      </c>
      <c r="H1648" s="24">
        <v>0</v>
      </c>
      <c r="I1648" t="str">
        <f>IF(H1648&lt;=0,"",LOOKUP(H1648,'Regras e Parâmetros'!$B$4:$B$7,'Regras e Parâmetros'!$A$4:$A$7))</f>
        <v/>
      </c>
      <c r="J1648" t="s">
        <v>9790</v>
      </c>
      <c r="L1648" t="s">
        <v>10242</v>
      </c>
    </row>
    <row r="1649" spans="1:12" x14ac:dyDescent="0.3">
      <c r="A1649" t="s">
        <v>1435</v>
      </c>
      <c r="B1649" s="5" t="s">
        <v>7181</v>
      </c>
      <c r="C1649" t="s">
        <v>6456</v>
      </c>
      <c r="D1649" t="s">
        <v>1436</v>
      </c>
      <c r="E1649" t="s">
        <v>7182</v>
      </c>
      <c r="F1649" s="1">
        <v>44835</v>
      </c>
      <c r="G1649" t="s">
        <v>18</v>
      </c>
      <c r="H1649" s="24">
        <v>3239</v>
      </c>
      <c r="I1649" t="str">
        <f>IF(H1649&lt;=0,"",LOOKUP(H1649,'Regras e Parâmetros'!$B$4:$B$7,'Regras e Parâmetros'!$A$4:$A$7))</f>
        <v>Prata</v>
      </c>
      <c r="J1649" t="s">
        <v>6456</v>
      </c>
      <c r="L1649" t="s">
        <v>9791</v>
      </c>
    </row>
    <row r="1650" spans="1:12" x14ac:dyDescent="0.3">
      <c r="A1650" t="s">
        <v>342</v>
      </c>
      <c r="B1650" s="5" t="s">
        <v>6632</v>
      </c>
      <c r="C1650" t="s">
        <v>6456</v>
      </c>
      <c r="D1650" t="s">
        <v>343</v>
      </c>
      <c r="E1650" t="s">
        <v>6633</v>
      </c>
      <c r="F1650" s="1">
        <v>44460</v>
      </c>
      <c r="G1650" t="s">
        <v>100</v>
      </c>
      <c r="H1650" s="24">
        <v>115</v>
      </c>
      <c r="I1650" t="str">
        <f>IF(H1650&lt;=0,"",LOOKUP(H1650,'Regras e Parâmetros'!$B$4:$B$7,'Regras e Parâmetros'!$A$4:$A$7))</f>
        <v>Bronze</v>
      </c>
      <c r="J1650" t="s">
        <v>6747</v>
      </c>
    </row>
    <row r="1651" spans="1:12" x14ac:dyDescent="0.3">
      <c r="A1651" t="s">
        <v>3456</v>
      </c>
      <c r="B1651" s="5" t="s">
        <v>3457</v>
      </c>
      <c r="C1651" t="s">
        <v>6456</v>
      </c>
      <c r="D1651" t="s">
        <v>3458</v>
      </c>
      <c r="E1651" t="s">
        <v>3459</v>
      </c>
      <c r="F1651" s="1">
        <v>45551</v>
      </c>
      <c r="G1651" t="s">
        <v>100</v>
      </c>
      <c r="H1651" s="24">
        <v>627</v>
      </c>
      <c r="I1651" t="str">
        <f>IF(H1651&lt;=0,"",LOOKUP(H1651,'Regras e Parâmetros'!$B$4:$B$7,'Regras e Parâmetros'!$A$4:$A$7))</f>
        <v>Bronze</v>
      </c>
      <c r="J1651" t="s">
        <v>9790</v>
      </c>
      <c r="L1651" t="s">
        <v>9792</v>
      </c>
    </row>
    <row r="1652" spans="1:12" x14ac:dyDescent="0.3">
      <c r="A1652" t="s">
        <v>277</v>
      </c>
      <c r="B1652" s="5" t="s">
        <v>6556</v>
      </c>
      <c r="C1652" t="s">
        <v>6456</v>
      </c>
      <c r="D1652" t="s">
        <v>278</v>
      </c>
      <c r="E1652" t="s">
        <v>279</v>
      </c>
      <c r="F1652" s="1">
        <v>44409</v>
      </c>
      <c r="G1652" t="s">
        <v>18</v>
      </c>
      <c r="H1652" s="24">
        <v>1143</v>
      </c>
      <c r="I1652" t="str">
        <f>IF(H1652&lt;=0,"",LOOKUP(H1652,'Regras e Parâmetros'!$B$4:$B$7,'Regras e Parâmetros'!$A$4:$A$7))</f>
        <v>Bronze</v>
      </c>
      <c r="J1652" t="s">
        <v>6747</v>
      </c>
      <c r="L1652" t="s">
        <v>9791</v>
      </c>
    </row>
    <row r="1653" spans="1:12" x14ac:dyDescent="0.3">
      <c r="A1653" t="s">
        <v>7738</v>
      </c>
      <c r="B1653" s="5" t="s">
        <v>2280</v>
      </c>
      <c r="C1653" t="s">
        <v>6456</v>
      </c>
      <c r="D1653" t="s">
        <v>2281</v>
      </c>
      <c r="E1653" t="s">
        <v>2282</v>
      </c>
      <c r="F1653" s="1">
        <v>45132</v>
      </c>
      <c r="G1653" t="s">
        <v>51</v>
      </c>
      <c r="H1653" s="24">
        <v>416</v>
      </c>
      <c r="I1653" t="str">
        <f>IF(H1653&lt;=0,"",LOOKUP(H1653,'Regras e Parâmetros'!$B$4:$B$7,'Regras e Parâmetros'!$A$4:$A$7))</f>
        <v>Bronze</v>
      </c>
      <c r="J1653" t="s">
        <v>9790</v>
      </c>
      <c r="K1653" t="s">
        <v>708</v>
      </c>
    </row>
    <row r="1654" spans="1:12" x14ac:dyDescent="0.3">
      <c r="A1654" t="s">
        <v>6935</v>
      </c>
      <c r="B1654" s="5" t="s">
        <v>6936</v>
      </c>
      <c r="C1654" t="s">
        <v>6456</v>
      </c>
      <c r="D1654" t="s">
        <v>859</v>
      </c>
      <c r="E1654" t="s">
        <v>860</v>
      </c>
      <c r="F1654" s="1">
        <v>44650</v>
      </c>
      <c r="G1654" t="s">
        <v>110</v>
      </c>
      <c r="H1654" s="24">
        <v>6700</v>
      </c>
      <c r="I1654" t="str">
        <f>IF(H1654&lt;=0,"",LOOKUP(H1654,'Regras e Parâmetros'!$B$4:$B$7,'Regras e Parâmetros'!$A$4:$A$7))</f>
        <v>Ouro</v>
      </c>
      <c r="J1654" t="s">
        <v>6747</v>
      </c>
      <c r="K1654" t="s">
        <v>708</v>
      </c>
      <c r="L1654" t="s">
        <v>9793</v>
      </c>
    </row>
    <row r="1655" spans="1:12" x14ac:dyDescent="0.3">
      <c r="A1655" t="s">
        <v>8488</v>
      </c>
      <c r="B1655" s="5" t="s">
        <v>8489</v>
      </c>
      <c r="C1655" t="s">
        <v>6456</v>
      </c>
      <c r="D1655" t="s">
        <v>3738</v>
      </c>
      <c r="E1655" t="s">
        <v>3739</v>
      </c>
      <c r="F1655" s="1">
        <v>45638</v>
      </c>
      <c r="G1655" t="s">
        <v>51</v>
      </c>
      <c r="H1655" s="24">
        <v>2277</v>
      </c>
      <c r="I1655" t="str">
        <f>IF(H1655&lt;=0,"",LOOKUP(H1655,'Regras e Parâmetros'!$B$4:$B$7,'Regras e Parâmetros'!$A$4:$A$7))</f>
        <v>Prata</v>
      </c>
      <c r="J1655" t="s">
        <v>9790</v>
      </c>
      <c r="L1655" t="s">
        <v>9792</v>
      </c>
    </row>
    <row r="1656" spans="1:12" x14ac:dyDescent="0.3">
      <c r="A1656" t="s">
        <v>5762</v>
      </c>
      <c r="B1656" s="5" t="s">
        <v>9676</v>
      </c>
      <c r="C1656" t="s">
        <v>6456</v>
      </c>
      <c r="D1656" t="s">
        <v>5763</v>
      </c>
      <c r="E1656" t="s">
        <v>9677</v>
      </c>
      <c r="F1656" s="1">
        <v>46234</v>
      </c>
      <c r="G1656" t="s">
        <v>51</v>
      </c>
      <c r="H1656" s="24">
        <v>0</v>
      </c>
      <c r="I1656" t="str">
        <f>IF(H1656&lt;=0,"",LOOKUP(H1656,'Regras e Parâmetros'!$B$4:$B$7,'Regras e Parâmetros'!$A$4:$A$7))</f>
        <v/>
      </c>
      <c r="J1656" t="s">
        <v>9790</v>
      </c>
      <c r="L1656" t="s">
        <v>9883</v>
      </c>
    </row>
    <row r="1657" spans="1:12" x14ac:dyDescent="0.3">
      <c r="A1657" t="s">
        <v>5764</v>
      </c>
      <c r="B1657" s="5" t="s">
        <v>9678</v>
      </c>
      <c r="C1657" t="s">
        <v>6456</v>
      </c>
      <c r="D1657" t="s">
        <v>5765</v>
      </c>
      <c r="E1657" t="s">
        <v>9679</v>
      </c>
      <c r="F1657" s="1">
        <v>46234</v>
      </c>
      <c r="G1657" t="s">
        <v>51</v>
      </c>
      <c r="H1657" s="24">
        <v>0</v>
      </c>
      <c r="I1657" t="str">
        <f>IF(H1657&lt;=0,"",LOOKUP(H1657,'Regras e Parâmetros'!$B$4:$B$7,'Regras e Parâmetros'!$A$4:$A$7))</f>
        <v/>
      </c>
      <c r="J1657" t="s">
        <v>6747</v>
      </c>
      <c r="L1657" t="s">
        <v>9883</v>
      </c>
    </row>
    <row r="1658" spans="1:12" x14ac:dyDescent="0.3">
      <c r="A1658" t="s">
        <v>5789</v>
      </c>
      <c r="B1658" s="5" t="s">
        <v>9700</v>
      </c>
      <c r="C1658" t="s">
        <v>6456</v>
      </c>
      <c r="D1658" t="s">
        <v>5790</v>
      </c>
      <c r="E1658" t="s">
        <v>5791</v>
      </c>
      <c r="F1658" s="1">
        <v>46237</v>
      </c>
      <c r="G1658" t="s">
        <v>100</v>
      </c>
      <c r="H1658" s="24">
        <v>0</v>
      </c>
      <c r="I1658" t="str">
        <f>IF(H1658&lt;=0,"",LOOKUP(H1658,'Regras e Parâmetros'!$B$4:$B$7,'Regras e Parâmetros'!$A$4:$A$7))</f>
        <v/>
      </c>
      <c r="J1658" t="s">
        <v>9790</v>
      </c>
      <c r="L1658" t="s">
        <v>9883</v>
      </c>
    </row>
    <row r="1659" spans="1:12" x14ac:dyDescent="0.3">
      <c r="A1659" t="s">
        <v>4897</v>
      </c>
      <c r="B1659" s="5" t="s">
        <v>9184</v>
      </c>
      <c r="C1659" t="s">
        <v>6456</v>
      </c>
      <c r="D1659" t="s">
        <v>4898</v>
      </c>
      <c r="E1659" t="s">
        <v>4899</v>
      </c>
      <c r="F1659" s="1">
        <v>45983</v>
      </c>
      <c r="G1659" t="s">
        <v>45</v>
      </c>
      <c r="H1659" s="24">
        <v>0</v>
      </c>
      <c r="I1659" t="str">
        <f>IF(H1659&lt;=0,"",LOOKUP(H1659,'Regras e Parâmetros'!$B$4:$B$7,'Regras e Parâmetros'!$A$4:$A$7))</f>
        <v/>
      </c>
      <c r="J1659" t="s">
        <v>6456</v>
      </c>
      <c r="K1659" t="s">
        <v>8</v>
      </c>
      <c r="L1659" t="s">
        <v>9883</v>
      </c>
    </row>
    <row r="1660" spans="1:12" x14ac:dyDescent="0.3">
      <c r="A1660" t="s">
        <v>4933</v>
      </c>
      <c r="B1660" s="5" t="s">
        <v>9203</v>
      </c>
      <c r="C1660" t="s">
        <v>6456</v>
      </c>
      <c r="D1660" t="s">
        <v>4934</v>
      </c>
      <c r="E1660" t="s">
        <v>9204</v>
      </c>
      <c r="F1660" s="1">
        <v>45992</v>
      </c>
      <c r="G1660" t="s">
        <v>100</v>
      </c>
      <c r="H1660" s="24">
        <v>0</v>
      </c>
      <c r="I1660" t="str">
        <f>IF(H1660&lt;=0,"",LOOKUP(H1660,'Regras e Parâmetros'!$B$4:$B$7,'Regras e Parâmetros'!$A$4:$A$7))</f>
        <v/>
      </c>
      <c r="J1660" t="s">
        <v>6456</v>
      </c>
      <c r="L1660" t="s">
        <v>9883</v>
      </c>
    </row>
    <row r="1661" spans="1:12" x14ac:dyDescent="0.3">
      <c r="A1661" t="s">
        <v>7721</v>
      </c>
      <c r="B1661" s="5" t="s">
        <v>7722</v>
      </c>
      <c r="C1661" t="s">
        <v>6456</v>
      </c>
      <c r="D1661" t="s">
        <v>2254</v>
      </c>
      <c r="E1661" t="s">
        <v>2255</v>
      </c>
      <c r="F1661" s="1">
        <v>45127</v>
      </c>
      <c r="G1661" t="s">
        <v>51</v>
      </c>
      <c r="H1661" s="24">
        <v>1300</v>
      </c>
      <c r="I1661" t="str">
        <f>IF(H1661&lt;=0,"",LOOKUP(H1661,'Regras e Parâmetros'!$B$4:$B$7,'Regras e Parâmetros'!$A$4:$A$7))</f>
        <v>Bronze</v>
      </c>
      <c r="J1661" t="s">
        <v>6747</v>
      </c>
      <c r="L1661" t="s">
        <v>9792</v>
      </c>
    </row>
    <row r="1662" spans="1:12" x14ac:dyDescent="0.3">
      <c r="A1662" t="s">
        <v>1185</v>
      </c>
      <c r="B1662" s="5" t="s">
        <v>1186</v>
      </c>
      <c r="C1662" t="s">
        <v>6456</v>
      </c>
      <c r="D1662" t="s">
        <v>1187</v>
      </c>
      <c r="E1662" t="s">
        <v>1188</v>
      </c>
      <c r="F1662" s="1">
        <v>44764</v>
      </c>
      <c r="G1662" t="s">
        <v>51</v>
      </c>
      <c r="H1662" s="24">
        <v>436</v>
      </c>
      <c r="I1662" t="str">
        <f>IF(H1662&lt;=0,"",LOOKUP(H1662,'Regras e Parâmetros'!$B$4:$B$7,'Regras e Parâmetros'!$A$4:$A$7))</f>
        <v>Bronze</v>
      </c>
      <c r="J1662" t="s">
        <v>9790</v>
      </c>
      <c r="L1662" t="s">
        <v>9792</v>
      </c>
    </row>
    <row r="1663" spans="1:12" x14ac:dyDescent="0.3">
      <c r="A1663" t="s">
        <v>9654</v>
      </c>
      <c r="B1663" s="5" t="s">
        <v>9655</v>
      </c>
      <c r="C1663" t="s">
        <v>6456</v>
      </c>
      <c r="D1663" t="s">
        <v>6002</v>
      </c>
      <c r="E1663" t="s">
        <v>9656</v>
      </c>
      <c r="F1663" s="1">
        <v>46226</v>
      </c>
      <c r="G1663" t="s">
        <v>51</v>
      </c>
      <c r="H1663" s="24">
        <v>0</v>
      </c>
      <c r="I1663" t="str">
        <f>IF(H1663&lt;=0,"",LOOKUP(H1663,'Regras e Parâmetros'!$B$4:$B$7,'Regras e Parâmetros'!$A$4:$A$7))</f>
        <v/>
      </c>
      <c r="J1663" t="s">
        <v>6747</v>
      </c>
      <c r="K1663" t="s">
        <v>9936</v>
      </c>
      <c r="L1663" t="s">
        <v>9883</v>
      </c>
    </row>
    <row r="1664" spans="1:12" x14ac:dyDescent="0.3">
      <c r="A1664" t="s">
        <v>1480</v>
      </c>
      <c r="B1664" s="5" t="s">
        <v>7283</v>
      </c>
      <c r="C1664" t="s">
        <v>6456</v>
      </c>
      <c r="D1664" t="s">
        <v>1481</v>
      </c>
      <c r="E1664" t="s">
        <v>1482</v>
      </c>
      <c r="F1664" s="1">
        <v>44878</v>
      </c>
      <c r="G1664" t="s">
        <v>22</v>
      </c>
      <c r="H1664" s="24">
        <v>623</v>
      </c>
      <c r="I1664" t="str">
        <f>IF(H1664&lt;=0,"",LOOKUP(H1664,'Regras e Parâmetros'!$B$4:$B$7,'Regras e Parâmetros'!$A$4:$A$7))</f>
        <v>Bronze</v>
      </c>
      <c r="J1664" t="s">
        <v>6747</v>
      </c>
    </row>
    <row r="1665" spans="1:12" x14ac:dyDescent="0.3">
      <c r="A1665" t="s">
        <v>2025</v>
      </c>
      <c r="B1665" s="5" t="s">
        <v>7586</v>
      </c>
      <c r="C1665" t="s">
        <v>6456</v>
      </c>
      <c r="D1665" t="s">
        <v>2026</v>
      </c>
      <c r="E1665" t="s">
        <v>2027</v>
      </c>
      <c r="F1665" s="1">
        <v>45051</v>
      </c>
      <c r="G1665" t="s">
        <v>51</v>
      </c>
      <c r="H1665" s="24">
        <v>232</v>
      </c>
      <c r="I1665" t="str">
        <f>IF(H1665&lt;=0,"",LOOKUP(H1665,'Regras e Parâmetros'!$B$4:$B$7,'Regras e Parâmetros'!$A$4:$A$7))</f>
        <v>Bronze</v>
      </c>
      <c r="J1665" t="s">
        <v>6747</v>
      </c>
      <c r="K1665" t="s">
        <v>177</v>
      </c>
      <c r="L1665" t="s">
        <v>9792</v>
      </c>
    </row>
    <row r="1666" spans="1:12" x14ac:dyDescent="0.3">
      <c r="A1666" t="s">
        <v>9697</v>
      </c>
      <c r="B1666" s="5" t="s">
        <v>9698</v>
      </c>
      <c r="C1666" t="s">
        <v>6456</v>
      </c>
      <c r="D1666" t="s">
        <v>5779</v>
      </c>
      <c r="E1666" t="s">
        <v>5780</v>
      </c>
      <c r="F1666" s="1">
        <v>46236</v>
      </c>
      <c r="G1666" t="s">
        <v>22</v>
      </c>
      <c r="H1666" s="24">
        <v>0</v>
      </c>
      <c r="I1666" t="str">
        <f>IF(H1666&lt;=0,"",LOOKUP(H1666,'Regras e Parâmetros'!$B$4:$B$7,'Regras e Parâmetros'!$A$4:$A$7))</f>
        <v/>
      </c>
      <c r="J1666" t="s">
        <v>6456</v>
      </c>
      <c r="L1666" t="s">
        <v>9883</v>
      </c>
    </row>
    <row r="1667" spans="1:12" x14ac:dyDescent="0.3">
      <c r="A1667" t="s">
        <v>3748</v>
      </c>
      <c r="B1667" s="5" t="s">
        <v>8492</v>
      </c>
      <c r="C1667" t="s">
        <v>6456</v>
      </c>
      <c r="D1667" t="s">
        <v>3749</v>
      </c>
      <c r="E1667" t="s">
        <v>3750</v>
      </c>
      <c r="F1667" s="1">
        <v>45642</v>
      </c>
      <c r="G1667" t="s">
        <v>100</v>
      </c>
      <c r="H1667" s="24">
        <v>1284</v>
      </c>
      <c r="I1667" t="str">
        <f>IF(H1667&lt;=0,"",LOOKUP(H1667,'Regras e Parâmetros'!$B$4:$B$7,'Regras e Parâmetros'!$A$4:$A$7))</f>
        <v>Bronze</v>
      </c>
      <c r="J1667" t="s">
        <v>6747</v>
      </c>
    </row>
    <row r="1668" spans="1:12" x14ac:dyDescent="0.3">
      <c r="A1668" t="s">
        <v>245</v>
      </c>
      <c r="B1668" s="5" t="s">
        <v>246</v>
      </c>
      <c r="C1668" t="s">
        <v>6456</v>
      </c>
      <c r="D1668" t="s">
        <v>247</v>
      </c>
      <c r="E1668" t="s">
        <v>6583</v>
      </c>
      <c r="F1668" s="1">
        <v>44433</v>
      </c>
      <c r="G1668" t="s">
        <v>110</v>
      </c>
      <c r="H1668" s="24">
        <v>5199</v>
      </c>
      <c r="I1668" t="str">
        <f>IF(H1668&lt;=0,"",LOOKUP(H1668,'Regras e Parâmetros'!$B$4:$B$7,'Regras e Parâmetros'!$A$4:$A$7))</f>
        <v>Ouro</v>
      </c>
      <c r="J1668" t="s">
        <v>9790</v>
      </c>
      <c r="K1668" t="s">
        <v>187</v>
      </c>
    </row>
    <row r="1669" spans="1:12" x14ac:dyDescent="0.3">
      <c r="A1669" t="s">
        <v>212</v>
      </c>
      <c r="B1669" s="5" t="s">
        <v>213</v>
      </c>
      <c r="C1669" t="s">
        <v>6456</v>
      </c>
      <c r="D1669" t="s">
        <v>214</v>
      </c>
      <c r="E1669" t="s">
        <v>6570</v>
      </c>
      <c r="F1669" s="1">
        <v>44419</v>
      </c>
      <c r="G1669" t="s">
        <v>45</v>
      </c>
      <c r="H1669" s="24">
        <v>1400</v>
      </c>
      <c r="I1669" t="str">
        <f>IF(H1669&lt;=0,"",LOOKUP(H1669,'Regras e Parâmetros'!$B$4:$B$7,'Regras e Parâmetros'!$A$4:$A$7))</f>
        <v>Bronze</v>
      </c>
      <c r="J1669" t="s">
        <v>6456</v>
      </c>
      <c r="L1669" t="s">
        <v>9793</v>
      </c>
    </row>
    <row r="1670" spans="1:12" x14ac:dyDescent="0.3">
      <c r="A1670" t="s">
        <v>8404</v>
      </c>
      <c r="B1670" s="5" t="s">
        <v>8405</v>
      </c>
      <c r="C1670" t="s">
        <v>6456</v>
      </c>
      <c r="D1670" t="s">
        <v>3592</v>
      </c>
      <c r="E1670" t="s">
        <v>3593</v>
      </c>
      <c r="F1670" s="1">
        <v>45593</v>
      </c>
      <c r="G1670" t="s">
        <v>22</v>
      </c>
      <c r="H1670" s="24">
        <v>871</v>
      </c>
      <c r="I1670" t="str">
        <f>IF(H1670&lt;=0,"",LOOKUP(H1670,'Regras e Parâmetros'!$B$4:$B$7,'Regras e Parâmetros'!$A$4:$A$7))</f>
        <v>Bronze</v>
      </c>
      <c r="J1670" t="s">
        <v>6747</v>
      </c>
      <c r="K1670" t="s">
        <v>187</v>
      </c>
    </row>
    <row r="1671" spans="1:12" x14ac:dyDescent="0.3">
      <c r="A1671" t="s">
        <v>4322</v>
      </c>
      <c r="B1671" s="5" t="s">
        <v>7459</v>
      </c>
      <c r="C1671" t="s">
        <v>6456</v>
      </c>
      <c r="D1671" t="s">
        <v>1792</v>
      </c>
      <c r="E1671" t="s">
        <v>1793</v>
      </c>
      <c r="F1671" s="1">
        <v>44970</v>
      </c>
      <c r="G1671" t="s">
        <v>100</v>
      </c>
      <c r="H1671" s="24">
        <v>1490</v>
      </c>
      <c r="I1671" t="str">
        <f>IF(H1671&lt;=0,"",LOOKUP(H1671,'Regras e Parâmetros'!$B$4:$B$7,'Regras e Parâmetros'!$A$4:$A$7))</f>
        <v>Bronze</v>
      </c>
      <c r="J1671" t="s">
        <v>9790</v>
      </c>
      <c r="K1671" t="s">
        <v>177</v>
      </c>
    </row>
    <row r="1672" spans="1:12" x14ac:dyDescent="0.3">
      <c r="A1672" t="s">
        <v>4322</v>
      </c>
      <c r="B1672" s="5" t="s">
        <v>8843</v>
      </c>
      <c r="C1672" t="s">
        <v>6456</v>
      </c>
      <c r="D1672" t="s">
        <v>4323</v>
      </c>
      <c r="E1672" t="s">
        <v>8844</v>
      </c>
      <c r="F1672" s="1">
        <v>45816</v>
      </c>
      <c r="G1672" t="s">
        <v>100</v>
      </c>
      <c r="H1672" s="24">
        <v>0</v>
      </c>
      <c r="I1672" t="str">
        <f>IF(H1672&lt;=0,"",LOOKUP(H1672,'Regras e Parâmetros'!$B$4:$B$7,'Regras e Parâmetros'!$A$4:$A$7))</f>
        <v/>
      </c>
      <c r="J1672" t="s">
        <v>6456</v>
      </c>
      <c r="L1672" t="s">
        <v>9883</v>
      </c>
    </row>
    <row r="1673" spans="1:12" x14ac:dyDescent="0.3">
      <c r="A1673" t="s">
        <v>8505</v>
      </c>
      <c r="B1673" s="5" t="s">
        <v>8506</v>
      </c>
      <c r="C1673" t="s">
        <v>6456</v>
      </c>
      <c r="D1673" t="s">
        <v>3768</v>
      </c>
      <c r="E1673" t="s">
        <v>8507</v>
      </c>
      <c r="F1673" s="1">
        <v>45652</v>
      </c>
      <c r="G1673" t="s">
        <v>18</v>
      </c>
      <c r="H1673" s="24">
        <v>366</v>
      </c>
      <c r="I1673" t="str">
        <f>IF(H1673&lt;=0,"",LOOKUP(H1673,'Regras e Parâmetros'!$B$4:$B$7,'Regras e Parâmetros'!$A$4:$A$7))</f>
        <v>Bronze</v>
      </c>
      <c r="J1673" t="s">
        <v>9790</v>
      </c>
    </row>
    <row r="1674" spans="1:12" x14ac:dyDescent="0.3">
      <c r="A1674" t="s">
        <v>2234</v>
      </c>
      <c r="B1674" s="5" t="s">
        <v>7708</v>
      </c>
      <c r="C1674" t="s">
        <v>6456</v>
      </c>
      <c r="D1674" t="s">
        <v>2235</v>
      </c>
      <c r="E1674" t="s">
        <v>7709</v>
      </c>
      <c r="F1674" s="1">
        <v>45120</v>
      </c>
      <c r="G1674" t="s">
        <v>22</v>
      </c>
      <c r="H1674" s="24">
        <v>15000</v>
      </c>
      <c r="I1674" t="str">
        <f>IF(H1674&lt;=0,"",LOOKUP(H1674,'Regras e Parâmetros'!$B$4:$B$7,'Regras e Parâmetros'!$A$4:$A$7))</f>
        <v>Vip</v>
      </c>
      <c r="J1674" t="s">
        <v>9790</v>
      </c>
    </row>
    <row r="1675" spans="1:12" x14ac:dyDescent="0.3">
      <c r="A1675" t="s">
        <v>1189</v>
      </c>
      <c r="B1675" s="5" t="s">
        <v>9952</v>
      </c>
      <c r="C1675" t="s">
        <v>6456</v>
      </c>
      <c r="D1675" t="s">
        <v>1190</v>
      </c>
      <c r="E1675" t="s">
        <v>1191</v>
      </c>
      <c r="F1675" s="1">
        <v>44799</v>
      </c>
      <c r="G1675" t="s">
        <v>45</v>
      </c>
      <c r="H1675" s="24">
        <v>4500</v>
      </c>
      <c r="I1675" t="str">
        <f>IF(H1675&lt;=0,"",LOOKUP(H1675,'Regras e Parâmetros'!$B$4:$B$7,'Regras e Parâmetros'!$A$4:$A$7))</f>
        <v>Prata</v>
      </c>
      <c r="J1675" t="s">
        <v>6747</v>
      </c>
      <c r="K1675" t="s">
        <v>10055</v>
      </c>
      <c r="L1675" t="s">
        <v>9793</v>
      </c>
    </row>
    <row r="1676" spans="1:12" x14ac:dyDescent="0.3">
      <c r="A1676" t="s">
        <v>6910</v>
      </c>
      <c r="B1676" s="5" t="s">
        <v>824</v>
      </c>
      <c r="C1676" t="s">
        <v>6456</v>
      </c>
      <c r="D1676" t="s">
        <v>825</v>
      </c>
      <c r="E1676" t="s">
        <v>6911</v>
      </c>
      <c r="F1676" s="1">
        <v>44640</v>
      </c>
      <c r="G1676" t="s">
        <v>45</v>
      </c>
      <c r="H1676" s="24">
        <v>1767</v>
      </c>
      <c r="I1676" t="str">
        <f>IF(H1676&lt;=0,"",LOOKUP(H1676,'Regras e Parâmetros'!$B$4:$B$7,'Regras e Parâmetros'!$A$4:$A$7))</f>
        <v>Prata</v>
      </c>
      <c r="J1676" t="s">
        <v>9790</v>
      </c>
    </row>
    <row r="1677" spans="1:12" x14ac:dyDescent="0.3">
      <c r="A1677" t="s">
        <v>4738</v>
      </c>
      <c r="B1677" s="5" t="s">
        <v>4739</v>
      </c>
      <c r="C1677" t="s">
        <v>6456</v>
      </c>
      <c r="D1677" t="s">
        <v>4740</v>
      </c>
      <c r="E1677" t="s">
        <v>4741</v>
      </c>
      <c r="F1677" s="1">
        <v>45938</v>
      </c>
      <c r="G1677" t="s">
        <v>22</v>
      </c>
      <c r="H1677" s="24">
        <v>0</v>
      </c>
      <c r="I1677" t="str">
        <f>IF(H1677&lt;=0,"",LOOKUP(H1677,'Regras e Parâmetros'!$B$4:$B$7,'Regras e Parâmetros'!$A$4:$A$7))</f>
        <v/>
      </c>
      <c r="J1677" t="s">
        <v>9790</v>
      </c>
      <c r="L1677" t="s">
        <v>9886</v>
      </c>
    </row>
    <row r="1678" spans="1:12" x14ac:dyDescent="0.3">
      <c r="A1678" t="s">
        <v>3695</v>
      </c>
      <c r="B1678" s="5" t="s">
        <v>8464</v>
      </c>
      <c r="C1678" t="s">
        <v>6456</v>
      </c>
      <c r="D1678" t="s">
        <v>2041</v>
      </c>
      <c r="E1678" t="s">
        <v>3696</v>
      </c>
      <c r="F1678" s="1">
        <v>45620</v>
      </c>
      <c r="G1678" t="s">
        <v>51</v>
      </c>
      <c r="H1678" s="24">
        <v>4609</v>
      </c>
      <c r="I1678" t="str">
        <f>IF(H1678&lt;=0,"",LOOKUP(H1678,'Regras e Parâmetros'!$B$4:$B$7,'Regras e Parâmetros'!$A$4:$A$7))</f>
        <v>Prata</v>
      </c>
      <c r="J1678" t="s">
        <v>6456</v>
      </c>
    </row>
    <row r="1679" spans="1:12" x14ac:dyDescent="0.3">
      <c r="A1679" t="s">
        <v>5043</v>
      </c>
      <c r="B1679" s="5" t="s">
        <v>9269</v>
      </c>
      <c r="C1679" t="s">
        <v>6456</v>
      </c>
      <c r="D1679" t="s">
        <v>5044</v>
      </c>
      <c r="E1679" t="s">
        <v>9270</v>
      </c>
      <c r="F1679" s="1">
        <v>46027</v>
      </c>
      <c r="G1679" t="s">
        <v>110</v>
      </c>
      <c r="H1679" s="24">
        <v>0</v>
      </c>
      <c r="I1679" t="str">
        <f>IF(H1679&lt;=0,"",LOOKUP(H1679,'Regras e Parâmetros'!$B$4:$B$7,'Regras e Parâmetros'!$A$4:$A$7))</f>
        <v/>
      </c>
      <c r="J1679" t="s">
        <v>9790</v>
      </c>
      <c r="K1679" t="s">
        <v>72</v>
      </c>
      <c r="L1679" t="s">
        <v>9883</v>
      </c>
    </row>
    <row r="1680" spans="1:12" x14ac:dyDescent="0.3">
      <c r="A1680" t="s">
        <v>2138</v>
      </c>
      <c r="B1680" s="5" t="s">
        <v>7664</v>
      </c>
      <c r="C1680" t="s">
        <v>6456</v>
      </c>
      <c r="D1680" t="s">
        <v>2139</v>
      </c>
      <c r="E1680" t="s">
        <v>7665</v>
      </c>
      <c r="F1680" s="1">
        <v>45095</v>
      </c>
      <c r="G1680" t="s">
        <v>51</v>
      </c>
      <c r="H1680" s="24">
        <v>441</v>
      </c>
      <c r="I1680" t="str">
        <f>IF(H1680&lt;=0,"",LOOKUP(H1680,'Regras e Parâmetros'!$B$4:$B$7,'Regras e Parâmetros'!$A$4:$A$7))</f>
        <v>Bronze</v>
      </c>
      <c r="J1680" t="s">
        <v>6747</v>
      </c>
    </row>
    <row r="1681" spans="1:12" x14ac:dyDescent="0.3">
      <c r="A1681" t="s">
        <v>7458</v>
      </c>
      <c r="B1681" s="5" t="s">
        <v>1789</v>
      </c>
      <c r="C1681" t="s">
        <v>6456</v>
      </c>
      <c r="D1681" t="s">
        <v>1790</v>
      </c>
      <c r="E1681" t="s">
        <v>1791</v>
      </c>
      <c r="F1681" s="1">
        <v>44968</v>
      </c>
      <c r="G1681" t="s">
        <v>110</v>
      </c>
      <c r="H1681" s="24">
        <v>2039</v>
      </c>
      <c r="I1681" t="str">
        <f>IF(H1681&lt;=0,"",LOOKUP(H1681,'Regras e Parâmetros'!$B$4:$B$7,'Regras e Parâmetros'!$A$4:$A$7))</f>
        <v>Prata</v>
      </c>
      <c r="J1681" t="s">
        <v>6456</v>
      </c>
      <c r="K1681" t="s">
        <v>177</v>
      </c>
    </row>
    <row r="1682" spans="1:12" x14ac:dyDescent="0.3">
      <c r="A1682" t="s">
        <v>919</v>
      </c>
      <c r="B1682" s="5" t="s">
        <v>6942</v>
      </c>
      <c r="C1682" t="s">
        <v>6456</v>
      </c>
      <c r="D1682" t="s">
        <v>920</v>
      </c>
      <c r="E1682" t="s">
        <v>921</v>
      </c>
      <c r="F1682" s="1">
        <v>44652</v>
      </c>
      <c r="G1682" t="s">
        <v>110</v>
      </c>
      <c r="H1682" s="24">
        <v>2830</v>
      </c>
      <c r="I1682" t="str">
        <f>IF(H1682&lt;=0,"",LOOKUP(H1682,'Regras e Parâmetros'!$B$4:$B$7,'Regras e Parâmetros'!$A$4:$A$7))</f>
        <v>Prata</v>
      </c>
      <c r="J1682" t="s">
        <v>6456</v>
      </c>
      <c r="L1682" t="s">
        <v>9791</v>
      </c>
    </row>
    <row r="1683" spans="1:12" x14ac:dyDescent="0.3">
      <c r="A1683" t="s">
        <v>1758</v>
      </c>
      <c r="B1683" s="5" t="s">
        <v>1759</v>
      </c>
      <c r="C1683" t="s">
        <v>6456</v>
      </c>
      <c r="D1683" t="s">
        <v>1760</v>
      </c>
      <c r="E1683" t="s">
        <v>7437</v>
      </c>
      <c r="F1683" s="1">
        <v>44957</v>
      </c>
      <c r="G1683" t="s">
        <v>22</v>
      </c>
      <c r="H1683" s="24">
        <v>6405</v>
      </c>
      <c r="I1683" t="str">
        <f>IF(H1683&lt;=0,"",LOOKUP(H1683,'Regras e Parâmetros'!$B$4:$B$7,'Regras e Parâmetros'!$A$4:$A$7))</f>
        <v>Ouro</v>
      </c>
      <c r="J1683" t="s">
        <v>9790</v>
      </c>
    </row>
    <row r="1684" spans="1:12" x14ac:dyDescent="0.3">
      <c r="A1684" t="s">
        <v>8705</v>
      </c>
      <c r="B1684" s="5" t="s">
        <v>8706</v>
      </c>
      <c r="C1684" t="s">
        <v>6456</v>
      </c>
      <c r="D1684" t="s">
        <v>4082</v>
      </c>
      <c r="E1684" t="s">
        <v>8707</v>
      </c>
      <c r="F1684" s="1">
        <v>45738</v>
      </c>
      <c r="G1684" t="s">
        <v>18</v>
      </c>
      <c r="H1684" s="24">
        <v>0</v>
      </c>
      <c r="I1684" t="str">
        <f>IF(H1684&lt;=0,"",LOOKUP(H1684,'Regras e Parâmetros'!$B$4:$B$7,'Regras e Parâmetros'!$A$4:$A$7))</f>
        <v/>
      </c>
      <c r="J1684" t="s">
        <v>9790</v>
      </c>
      <c r="K1684" t="s">
        <v>177</v>
      </c>
      <c r="L1684" t="s">
        <v>9883</v>
      </c>
    </row>
    <row r="1685" spans="1:12" x14ac:dyDescent="0.3">
      <c r="A1685" t="s">
        <v>1405</v>
      </c>
      <c r="B1685" s="5" t="s">
        <v>7239</v>
      </c>
      <c r="C1685" t="s">
        <v>6456</v>
      </c>
      <c r="D1685" t="s">
        <v>1406</v>
      </c>
      <c r="E1685" t="s">
        <v>7240</v>
      </c>
      <c r="F1685" s="1">
        <v>44856</v>
      </c>
      <c r="G1685" t="s">
        <v>45</v>
      </c>
      <c r="H1685" s="24">
        <v>7059</v>
      </c>
      <c r="I1685" t="str">
        <f>IF(H1685&lt;=0,"",LOOKUP(H1685,'Regras e Parâmetros'!$B$4:$B$7,'Regras e Parâmetros'!$A$4:$A$7))</f>
        <v>Ouro</v>
      </c>
      <c r="J1685" t="s">
        <v>9790</v>
      </c>
    </row>
    <row r="1686" spans="1:12" x14ac:dyDescent="0.3">
      <c r="A1686" t="s">
        <v>466</v>
      </c>
      <c r="B1686" s="5" t="s">
        <v>467</v>
      </c>
      <c r="C1686" t="s">
        <v>6456</v>
      </c>
      <c r="D1686" t="s">
        <v>468</v>
      </c>
      <c r="E1686" t="s">
        <v>6710</v>
      </c>
      <c r="F1686" s="1">
        <v>44509</v>
      </c>
      <c r="G1686" t="s">
        <v>18</v>
      </c>
      <c r="H1686" s="24">
        <v>1184</v>
      </c>
      <c r="I1686" t="str">
        <f>IF(H1686&lt;=0,"",LOOKUP(H1686,'Regras e Parâmetros'!$B$4:$B$7,'Regras e Parâmetros'!$A$4:$A$7))</f>
        <v>Bronze</v>
      </c>
      <c r="J1686" t="s">
        <v>6456</v>
      </c>
    </row>
    <row r="1687" spans="1:12" x14ac:dyDescent="0.3">
      <c r="A1687" t="s">
        <v>466</v>
      </c>
      <c r="B1687" s="5" t="s">
        <v>7276</v>
      </c>
      <c r="C1687" t="s">
        <v>6456</v>
      </c>
      <c r="D1687" t="s">
        <v>1464</v>
      </c>
      <c r="E1687" t="s">
        <v>7277</v>
      </c>
      <c r="F1687" s="1">
        <v>44874</v>
      </c>
      <c r="G1687" t="s">
        <v>51</v>
      </c>
      <c r="H1687" s="24">
        <v>3346</v>
      </c>
      <c r="I1687" t="str">
        <f>IF(H1687&lt;=0,"",LOOKUP(H1687,'Regras e Parâmetros'!$B$4:$B$7,'Regras e Parâmetros'!$A$4:$A$7))</f>
        <v>Prata</v>
      </c>
      <c r="J1687" t="s">
        <v>6456</v>
      </c>
    </row>
    <row r="1688" spans="1:12" x14ac:dyDescent="0.3">
      <c r="A1688" t="s">
        <v>3466</v>
      </c>
      <c r="B1688" s="5" t="s">
        <v>8345</v>
      </c>
      <c r="C1688" t="s">
        <v>6456</v>
      </c>
      <c r="D1688" t="s">
        <v>3467</v>
      </c>
      <c r="E1688" t="s">
        <v>8346</v>
      </c>
      <c r="F1688" s="1">
        <v>45556</v>
      </c>
      <c r="G1688" t="s">
        <v>45</v>
      </c>
      <c r="H1688" s="24">
        <v>751</v>
      </c>
      <c r="I1688" t="str">
        <f>IF(H1688&lt;=0,"",LOOKUP(H1688,'Regras e Parâmetros'!$B$4:$B$7,'Regras e Parâmetros'!$A$4:$A$7))</f>
        <v>Bronze</v>
      </c>
      <c r="J1688" t="s">
        <v>9790</v>
      </c>
    </row>
    <row r="1689" spans="1:12" x14ac:dyDescent="0.3">
      <c r="A1689" t="s">
        <v>2353</v>
      </c>
      <c r="B1689" s="5" t="s">
        <v>7778</v>
      </c>
      <c r="C1689" t="s">
        <v>6456</v>
      </c>
      <c r="D1689" t="s">
        <v>303</v>
      </c>
      <c r="E1689" t="s">
        <v>7779</v>
      </c>
      <c r="F1689" s="1">
        <v>45152</v>
      </c>
      <c r="G1689" t="s">
        <v>22</v>
      </c>
      <c r="H1689" s="24">
        <v>307</v>
      </c>
      <c r="I1689" t="str">
        <f>IF(H1689&lt;=0,"",LOOKUP(H1689,'Regras e Parâmetros'!$B$4:$B$7,'Regras e Parâmetros'!$A$4:$A$7))</f>
        <v>Bronze</v>
      </c>
      <c r="J1689" t="s">
        <v>9790</v>
      </c>
    </row>
    <row r="1690" spans="1:12" x14ac:dyDescent="0.3">
      <c r="A1690" t="s">
        <v>3259</v>
      </c>
      <c r="B1690" s="5" t="s">
        <v>8243</v>
      </c>
      <c r="C1690" t="s">
        <v>6456</v>
      </c>
      <c r="D1690" t="s">
        <v>3260</v>
      </c>
      <c r="E1690" t="s">
        <v>3261</v>
      </c>
      <c r="F1690" s="1">
        <v>45483</v>
      </c>
      <c r="G1690" t="s">
        <v>110</v>
      </c>
      <c r="H1690" s="24">
        <v>744</v>
      </c>
      <c r="I1690" t="str">
        <f>IF(H1690&lt;=0,"",LOOKUP(H1690,'Regras e Parâmetros'!$B$4:$B$7,'Regras e Parâmetros'!$A$4:$A$7))</f>
        <v>Bronze</v>
      </c>
      <c r="J1690" t="s">
        <v>9790</v>
      </c>
    </row>
    <row r="1691" spans="1:12" x14ac:dyDescent="0.3">
      <c r="A1691" t="s">
        <v>9017</v>
      </c>
      <c r="B1691" s="5" t="s">
        <v>9018</v>
      </c>
      <c r="C1691" t="s">
        <v>6456</v>
      </c>
      <c r="D1691" t="s">
        <v>4619</v>
      </c>
      <c r="E1691" t="s">
        <v>9019</v>
      </c>
      <c r="F1691" s="1">
        <v>45901</v>
      </c>
      <c r="G1691" t="s">
        <v>51</v>
      </c>
      <c r="H1691" s="24">
        <v>0</v>
      </c>
      <c r="I1691" t="str">
        <f>IF(H1691&lt;=0,"",LOOKUP(H1691,'Regras e Parâmetros'!$B$4:$B$7,'Regras e Parâmetros'!$A$4:$A$7))</f>
        <v/>
      </c>
      <c r="J1691" t="s">
        <v>6747</v>
      </c>
      <c r="L1691" t="s">
        <v>9883</v>
      </c>
    </row>
    <row r="1692" spans="1:12" x14ac:dyDescent="0.3">
      <c r="A1692" t="s">
        <v>8678</v>
      </c>
      <c r="B1692" s="5" t="s">
        <v>8679</v>
      </c>
      <c r="C1692" t="s">
        <v>6456</v>
      </c>
      <c r="D1692" t="s">
        <v>4036</v>
      </c>
      <c r="E1692" t="s">
        <v>4037</v>
      </c>
      <c r="F1692" s="1">
        <v>45728</v>
      </c>
      <c r="G1692" t="s">
        <v>18</v>
      </c>
      <c r="H1692" s="24">
        <v>0</v>
      </c>
      <c r="I1692" t="str">
        <f>IF(H1692&lt;=0,"",LOOKUP(H1692,'Regras e Parâmetros'!$B$4:$B$7,'Regras e Parâmetros'!$A$4:$A$7))</f>
        <v/>
      </c>
      <c r="J1692" t="s">
        <v>6456</v>
      </c>
      <c r="L1692" t="s">
        <v>9883</v>
      </c>
    </row>
    <row r="1693" spans="1:12" x14ac:dyDescent="0.3">
      <c r="A1693" t="s">
        <v>2031</v>
      </c>
      <c r="B1693" s="5" t="s">
        <v>2032</v>
      </c>
      <c r="C1693" t="s">
        <v>6456</v>
      </c>
      <c r="D1693" t="s">
        <v>2033</v>
      </c>
      <c r="E1693" t="s">
        <v>7587</v>
      </c>
      <c r="F1693" s="1">
        <v>45052</v>
      </c>
      <c r="G1693" t="s">
        <v>51</v>
      </c>
      <c r="H1693" s="24">
        <v>8664</v>
      </c>
      <c r="I1693" t="str">
        <f>IF(H1693&lt;=0,"",LOOKUP(H1693,'Regras e Parâmetros'!$B$4:$B$7,'Regras e Parâmetros'!$A$4:$A$7))</f>
        <v>Ouro</v>
      </c>
      <c r="J1693" t="s">
        <v>6747</v>
      </c>
      <c r="K1693" t="s">
        <v>708</v>
      </c>
    </row>
    <row r="1694" spans="1:12" x14ac:dyDescent="0.3">
      <c r="A1694" t="s">
        <v>7753</v>
      </c>
      <c r="B1694" s="5" t="s">
        <v>2302</v>
      </c>
      <c r="C1694" t="s">
        <v>6456</v>
      </c>
      <c r="D1694" t="s">
        <v>2303</v>
      </c>
      <c r="E1694" t="s">
        <v>7754</v>
      </c>
      <c r="F1694" s="1">
        <v>45136</v>
      </c>
      <c r="G1694" t="s">
        <v>110</v>
      </c>
      <c r="H1694" s="24">
        <v>549</v>
      </c>
      <c r="I1694" t="str">
        <f>IF(H1694&lt;=0,"",LOOKUP(H1694,'Regras e Parâmetros'!$B$4:$B$7,'Regras e Parâmetros'!$A$4:$A$7))</f>
        <v>Bronze</v>
      </c>
      <c r="J1694" t="s">
        <v>6456</v>
      </c>
    </row>
    <row r="1695" spans="1:12" x14ac:dyDescent="0.3">
      <c r="A1695" t="s">
        <v>6970</v>
      </c>
      <c r="B1695" s="5" t="s">
        <v>6971</v>
      </c>
      <c r="C1695" t="s">
        <v>6456</v>
      </c>
      <c r="D1695" t="s">
        <v>922</v>
      </c>
      <c r="E1695" t="s">
        <v>923</v>
      </c>
      <c r="F1695" s="1">
        <v>44679</v>
      </c>
      <c r="G1695" t="s">
        <v>45</v>
      </c>
      <c r="H1695" s="24">
        <v>9787</v>
      </c>
      <c r="I1695" t="str">
        <f>IF(H1695&lt;=0,"",LOOKUP(H1695,'Regras e Parâmetros'!$B$4:$B$7,'Regras e Parâmetros'!$A$4:$A$7))</f>
        <v>Ouro</v>
      </c>
      <c r="J1695" t="s">
        <v>9790</v>
      </c>
      <c r="L1695" t="s">
        <v>9792</v>
      </c>
    </row>
    <row r="1696" spans="1:12" x14ac:dyDescent="0.3">
      <c r="A1696" t="s">
        <v>3122</v>
      </c>
      <c r="B1696" s="5" t="s">
        <v>3123</v>
      </c>
      <c r="C1696" t="s">
        <v>6456</v>
      </c>
      <c r="D1696" t="s">
        <v>3124</v>
      </c>
      <c r="E1696" t="s">
        <v>3125</v>
      </c>
      <c r="F1696" s="1">
        <v>45435</v>
      </c>
      <c r="G1696" t="s">
        <v>51</v>
      </c>
      <c r="H1696" s="24">
        <v>2141</v>
      </c>
      <c r="I1696" t="str">
        <f>IF(H1696&lt;=0,"",LOOKUP(H1696,'Regras e Parâmetros'!$B$4:$B$7,'Regras e Parâmetros'!$A$4:$A$7))</f>
        <v>Prata</v>
      </c>
      <c r="J1696" t="s">
        <v>9790</v>
      </c>
      <c r="L1696" t="s">
        <v>9792</v>
      </c>
    </row>
    <row r="1697" spans="1:12" x14ac:dyDescent="0.3">
      <c r="A1697" t="s">
        <v>1877</v>
      </c>
      <c r="B1697" s="5" t="s">
        <v>1878</v>
      </c>
      <c r="C1697" t="s">
        <v>6456</v>
      </c>
      <c r="D1697" t="s">
        <v>1879</v>
      </c>
      <c r="E1697" t="s">
        <v>7514</v>
      </c>
      <c r="F1697" s="1">
        <v>45003</v>
      </c>
      <c r="G1697" t="s">
        <v>18</v>
      </c>
      <c r="H1697" s="24">
        <v>408</v>
      </c>
      <c r="I1697" t="str">
        <f>IF(H1697&lt;=0,"",LOOKUP(H1697,'Regras e Parâmetros'!$B$4:$B$7,'Regras e Parâmetros'!$A$4:$A$7))</f>
        <v>Bronze</v>
      </c>
      <c r="J1697" t="s">
        <v>9790</v>
      </c>
      <c r="K1697" t="s">
        <v>8</v>
      </c>
    </row>
    <row r="1698" spans="1:12" x14ac:dyDescent="0.3">
      <c r="A1698" t="s">
        <v>2455</v>
      </c>
      <c r="B1698" s="5" t="s">
        <v>7835</v>
      </c>
      <c r="C1698" t="s">
        <v>6456</v>
      </c>
      <c r="D1698" t="s">
        <v>2456</v>
      </c>
      <c r="E1698" t="s">
        <v>2457</v>
      </c>
      <c r="F1698" s="1">
        <v>45183</v>
      </c>
      <c r="G1698" t="s">
        <v>51</v>
      </c>
      <c r="H1698" s="24">
        <v>437</v>
      </c>
      <c r="I1698" t="str">
        <f>IF(H1698&lt;=0,"",LOOKUP(H1698,'Regras e Parâmetros'!$B$4:$B$7,'Regras e Parâmetros'!$A$4:$A$7))</f>
        <v>Bronze</v>
      </c>
      <c r="J1698" t="s">
        <v>6456</v>
      </c>
    </row>
    <row r="1699" spans="1:12" x14ac:dyDescent="0.3">
      <c r="A1699" t="s">
        <v>599</v>
      </c>
      <c r="B1699" s="5" t="s">
        <v>600</v>
      </c>
      <c r="C1699" t="s">
        <v>6456</v>
      </c>
      <c r="D1699" t="s">
        <v>601</v>
      </c>
      <c r="E1699" t="s">
        <v>602</v>
      </c>
      <c r="F1699" s="1">
        <v>44559</v>
      </c>
      <c r="G1699" t="s">
        <v>110</v>
      </c>
      <c r="H1699" s="24">
        <v>3256</v>
      </c>
      <c r="I1699" t="str">
        <f>IF(H1699&lt;=0,"",LOOKUP(H1699,'Regras e Parâmetros'!$B$4:$B$7,'Regras e Parâmetros'!$A$4:$A$7))</f>
        <v>Prata</v>
      </c>
      <c r="J1699" t="s">
        <v>9790</v>
      </c>
    </row>
    <row r="1700" spans="1:12" x14ac:dyDescent="0.3">
      <c r="A1700" t="s">
        <v>2995</v>
      </c>
      <c r="B1700" s="5" t="s">
        <v>6617</v>
      </c>
      <c r="C1700" t="s">
        <v>6456</v>
      </c>
      <c r="D1700" t="s">
        <v>309</v>
      </c>
      <c r="E1700" t="s">
        <v>310</v>
      </c>
      <c r="F1700" s="1">
        <v>44449</v>
      </c>
      <c r="G1700" t="s">
        <v>51</v>
      </c>
      <c r="H1700" s="24">
        <v>1113</v>
      </c>
      <c r="I1700" t="str">
        <f>IF(H1700&lt;=0,"",LOOKUP(H1700,'Regras e Parâmetros'!$B$4:$B$7,'Regras e Parâmetros'!$A$4:$A$7))</f>
        <v>Bronze</v>
      </c>
      <c r="J1700" t="s">
        <v>9790</v>
      </c>
      <c r="K1700" t="s">
        <v>10028</v>
      </c>
    </row>
    <row r="1701" spans="1:12" x14ac:dyDescent="0.3">
      <c r="A1701" t="s">
        <v>2995</v>
      </c>
      <c r="B1701" s="5" t="s">
        <v>8109</v>
      </c>
      <c r="C1701" t="s">
        <v>6456</v>
      </c>
      <c r="D1701" t="s">
        <v>2996</v>
      </c>
      <c r="E1701" t="s">
        <v>2997</v>
      </c>
      <c r="F1701" s="1">
        <v>45389</v>
      </c>
      <c r="G1701" t="s">
        <v>45</v>
      </c>
      <c r="H1701" s="24">
        <v>724</v>
      </c>
      <c r="I1701" t="str">
        <f>IF(H1701&lt;=0,"",LOOKUP(H1701,'Regras e Parâmetros'!$B$4:$B$7,'Regras e Parâmetros'!$A$4:$A$7))</f>
        <v>Bronze</v>
      </c>
      <c r="J1701" t="s">
        <v>6456</v>
      </c>
    </row>
    <row r="1702" spans="1:12" x14ac:dyDescent="0.3">
      <c r="A1702" t="s">
        <v>937</v>
      </c>
      <c r="B1702" s="5" t="s">
        <v>938</v>
      </c>
      <c r="C1702" t="s">
        <v>6456</v>
      </c>
      <c r="D1702" t="s">
        <v>939</v>
      </c>
      <c r="E1702" t="s">
        <v>6979</v>
      </c>
      <c r="F1702" s="1">
        <v>44686</v>
      </c>
      <c r="G1702" t="s">
        <v>100</v>
      </c>
      <c r="H1702" s="24">
        <v>2055</v>
      </c>
      <c r="I1702" t="str">
        <f>IF(H1702&lt;=0,"",LOOKUP(H1702,'Regras e Parâmetros'!$B$4:$B$7,'Regras e Parâmetros'!$A$4:$A$7))</f>
        <v>Prata</v>
      </c>
      <c r="J1702" t="s">
        <v>9790</v>
      </c>
    </row>
    <row r="1703" spans="1:12" x14ac:dyDescent="0.3">
      <c r="A1703" t="s">
        <v>1329</v>
      </c>
      <c r="B1703" s="5" t="s">
        <v>7183</v>
      </c>
      <c r="C1703" t="s">
        <v>6456</v>
      </c>
      <c r="D1703" t="s">
        <v>1331</v>
      </c>
      <c r="E1703" t="s">
        <v>7184</v>
      </c>
      <c r="F1703" s="1">
        <v>44838</v>
      </c>
      <c r="G1703" t="s">
        <v>100</v>
      </c>
      <c r="H1703" s="24">
        <v>1886</v>
      </c>
      <c r="I1703" t="str">
        <f>IF(H1703&lt;=0,"",LOOKUP(H1703,'Regras e Parâmetros'!$B$4:$B$7,'Regras e Parâmetros'!$A$4:$A$7))</f>
        <v>Prata</v>
      </c>
      <c r="J1703" t="s">
        <v>9790</v>
      </c>
    </row>
    <row r="1704" spans="1:12" x14ac:dyDescent="0.3">
      <c r="A1704" t="s">
        <v>5515</v>
      </c>
      <c r="B1704" s="5" t="s">
        <v>7353</v>
      </c>
      <c r="C1704" t="s">
        <v>6456</v>
      </c>
      <c r="D1704" t="s">
        <v>1610</v>
      </c>
      <c r="E1704" t="s">
        <v>7354</v>
      </c>
      <c r="F1704" s="1">
        <v>44911</v>
      </c>
      <c r="G1704" t="s">
        <v>51</v>
      </c>
      <c r="H1704" s="24">
        <v>0</v>
      </c>
      <c r="I1704" t="str">
        <f>IF(H1704&lt;=0,"",LOOKUP(H1704,'Regras e Parâmetros'!$B$4:$B$7,'Regras e Parâmetros'!$A$4:$A$7))</f>
        <v/>
      </c>
      <c r="J1704" t="s">
        <v>6456</v>
      </c>
      <c r="K1704" t="s">
        <v>187</v>
      </c>
    </row>
    <row r="1705" spans="1:12" x14ac:dyDescent="0.3">
      <c r="A1705" t="s">
        <v>5515</v>
      </c>
      <c r="B1705" s="5" t="s">
        <v>9527</v>
      </c>
      <c r="C1705" t="s">
        <v>6456</v>
      </c>
      <c r="D1705" t="s">
        <v>5516</v>
      </c>
      <c r="E1705" t="s">
        <v>9528</v>
      </c>
      <c r="F1705" s="1">
        <v>46163</v>
      </c>
      <c r="G1705" t="s">
        <v>18</v>
      </c>
      <c r="H1705" s="24">
        <v>0</v>
      </c>
      <c r="I1705" t="str">
        <f>IF(H1705&lt;=0,"",LOOKUP(H1705,'Regras e Parâmetros'!$B$4:$B$7,'Regras e Parâmetros'!$A$4:$A$7))</f>
        <v/>
      </c>
      <c r="J1705" t="s">
        <v>6456</v>
      </c>
      <c r="L1705" t="s">
        <v>9883</v>
      </c>
    </row>
    <row r="1706" spans="1:12" x14ac:dyDescent="0.3">
      <c r="A1706" t="s">
        <v>3428</v>
      </c>
      <c r="B1706" s="5" t="s">
        <v>8332</v>
      </c>
      <c r="C1706" t="s">
        <v>6456</v>
      </c>
      <c r="D1706" t="s">
        <v>3429</v>
      </c>
      <c r="E1706" t="s">
        <v>8333</v>
      </c>
      <c r="F1706" s="1">
        <v>45542</v>
      </c>
      <c r="G1706" t="s">
        <v>100</v>
      </c>
      <c r="H1706" s="24">
        <v>364</v>
      </c>
      <c r="I1706" t="str">
        <f>IF(H1706&lt;=0,"",LOOKUP(H1706,'Regras e Parâmetros'!$B$4:$B$7,'Regras e Parâmetros'!$A$4:$A$7))</f>
        <v>Bronze</v>
      </c>
      <c r="J1706" t="s">
        <v>6747</v>
      </c>
    </row>
    <row r="1707" spans="1:12" x14ac:dyDescent="0.3">
      <c r="A1707" t="s">
        <v>371</v>
      </c>
      <c r="B1707" s="5" t="s">
        <v>372</v>
      </c>
      <c r="C1707" t="s">
        <v>6456</v>
      </c>
      <c r="D1707" t="s">
        <v>373</v>
      </c>
      <c r="E1707" t="s">
        <v>374</v>
      </c>
      <c r="F1707" s="1">
        <v>44473</v>
      </c>
      <c r="G1707" t="s">
        <v>51</v>
      </c>
      <c r="H1707" s="24">
        <v>684</v>
      </c>
      <c r="I1707" t="str">
        <f>IF(H1707&lt;=0,"",LOOKUP(H1707,'Regras e Parâmetros'!$B$4:$B$7,'Regras e Parâmetros'!$A$4:$A$7))</f>
        <v>Bronze</v>
      </c>
      <c r="J1707" t="s">
        <v>6747</v>
      </c>
      <c r="K1707" t="s">
        <v>33</v>
      </c>
    </row>
    <row r="1708" spans="1:12" x14ac:dyDescent="0.3">
      <c r="A1708" t="s">
        <v>1192</v>
      </c>
      <c r="B1708" s="5" t="s">
        <v>7073</v>
      </c>
      <c r="C1708" t="s">
        <v>6456</v>
      </c>
      <c r="D1708" t="s">
        <v>1193</v>
      </c>
      <c r="E1708" t="s">
        <v>1194</v>
      </c>
      <c r="F1708" s="1">
        <v>44748</v>
      </c>
      <c r="G1708" t="s">
        <v>18</v>
      </c>
      <c r="H1708" s="24">
        <v>1700</v>
      </c>
      <c r="I1708" t="str">
        <f>IF(H1708&lt;=0,"",LOOKUP(H1708,'Regras e Parâmetros'!$B$4:$B$7,'Regras e Parâmetros'!$A$4:$A$7))</f>
        <v>Prata</v>
      </c>
      <c r="J1708" t="s">
        <v>9790</v>
      </c>
      <c r="L1708" t="s">
        <v>9795</v>
      </c>
    </row>
    <row r="1709" spans="1:12" x14ac:dyDescent="0.3">
      <c r="A1709" t="s">
        <v>1192</v>
      </c>
      <c r="B1709" s="5" t="s">
        <v>8007</v>
      </c>
      <c r="C1709" t="s">
        <v>6456</v>
      </c>
      <c r="D1709" t="s">
        <v>2779</v>
      </c>
      <c r="E1709" t="s">
        <v>2780</v>
      </c>
      <c r="F1709" s="1">
        <v>45300</v>
      </c>
      <c r="G1709" t="s">
        <v>110</v>
      </c>
      <c r="H1709" s="24">
        <v>5453</v>
      </c>
      <c r="I1709" t="str">
        <f>IF(H1709&lt;=0,"",LOOKUP(H1709,'Regras e Parâmetros'!$B$4:$B$7,'Regras e Parâmetros'!$A$4:$A$7))</f>
        <v>Ouro</v>
      </c>
      <c r="J1709" t="s">
        <v>9790</v>
      </c>
    </row>
    <row r="1710" spans="1:12" x14ac:dyDescent="0.3">
      <c r="A1710" t="s">
        <v>1192</v>
      </c>
      <c r="B1710" s="5" t="s">
        <v>4232</v>
      </c>
      <c r="C1710" t="s">
        <v>6456</v>
      </c>
      <c r="D1710" t="s">
        <v>8792</v>
      </c>
      <c r="E1710" t="s">
        <v>8793</v>
      </c>
      <c r="F1710" s="1">
        <v>45782</v>
      </c>
      <c r="G1710" t="s">
        <v>51</v>
      </c>
      <c r="H1710" s="24">
        <v>0</v>
      </c>
      <c r="I1710" t="str">
        <f>IF(H1710&lt;=0,"",LOOKUP(H1710,'Regras e Parâmetros'!$B$4:$B$7,'Regras e Parâmetros'!$A$4:$A$7))</f>
        <v/>
      </c>
      <c r="J1710" t="s">
        <v>6456</v>
      </c>
      <c r="L1710" t="s">
        <v>9883</v>
      </c>
    </row>
    <row r="1711" spans="1:12" x14ac:dyDescent="0.3">
      <c r="A1711" t="s">
        <v>7085</v>
      </c>
      <c r="B1711" s="5" t="s">
        <v>7086</v>
      </c>
      <c r="C1711" t="s">
        <v>6456</v>
      </c>
      <c r="D1711" t="s">
        <v>1195</v>
      </c>
      <c r="E1711" t="s">
        <v>7087</v>
      </c>
      <c r="F1711" s="1">
        <v>44764</v>
      </c>
      <c r="G1711" t="s">
        <v>51</v>
      </c>
      <c r="H1711" s="24">
        <v>818</v>
      </c>
      <c r="I1711" t="str">
        <f>IF(H1711&lt;=0,"",LOOKUP(H1711,'Regras e Parâmetros'!$B$4:$B$7,'Regras e Parâmetros'!$A$4:$A$7))</f>
        <v>Bronze</v>
      </c>
      <c r="J1711" t="s">
        <v>9790</v>
      </c>
    </row>
    <row r="1712" spans="1:12" x14ac:dyDescent="0.3">
      <c r="A1712" t="s">
        <v>2308</v>
      </c>
      <c r="B1712" s="5" t="s">
        <v>6069</v>
      </c>
      <c r="C1712" t="s">
        <v>6456</v>
      </c>
      <c r="D1712" t="s">
        <v>2309</v>
      </c>
      <c r="E1712" t="s">
        <v>7756</v>
      </c>
      <c r="F1712" s="1">
        <v>45137</v>
      </c>
      <c r="G1712" t="s">
        <v>45</v>
      </c>
      <c r="H1712" s="24">
        <v>845</v>
      </c>
      <c r="I1712" t="str">
        <f>IF(H1712&lt;=0,"",LOOKUP(H1712,'Regras e Parâmetros'!$B$4:$B$7,'Regras e Parâmetros'!$A$4:$A$7))</f>
        <v>Bronze</v>
      </c>
      <c r="J1712" t="s">
        <v>6456</v>
      </c>
      <c r="K1712" t="s">
        <v>72</v>
      </c>
    </row>
    <row r="1713" spans="1:12" x14ac:dyDescent="0.3">
      <c r="A1713" t="s">
        <v>2939</v>
      </c>
      <c r="B1713" s="5" t="s">
        <v>2940</v>
      </c>
      <c r="C1713" t="s">
        <v>6456</v>
      </c>
      <c r="D1713" t="s">
        <v>2941</v>
      </c>
      <c r="E1713" t="s">
        <v>8090</v>
      </c>
      <c r="F1713" s="1">
        <v>45377</v>
      </c>
      <c r="G1713" t="s">
        <v>110</v>
      </c>
      <c r="H1713" s="24">
        <v>736</v>
      </c>
      <c r="I1713" t="str">
        <f>IF(H1713&lt;=0,"",LOOKUP(H1713,'Regras e Parâmetros'!$B$4:$B$7,'Regras e Parâmetros'!$A$4:$A$7))</f>
        <v>Bronze</v>
      </c>
      <c r="J1713" t="s">
        <v>9790</v>
      </c>
    </row>
    <row r="1714" spans="1:12" x14ac:dyDescent="0.3">
      <c r="A1714" t="s">
        <v>5224</v>
      </c>
      <c r="B1714" s="5" t="s">
        <v>5225</v>
      </c>
      <c r="C1714" t="s">
        <v>6456</v>
      </c>
      <c r="D1714" t="s">
        <v>5226</v>
      </c>
      <c r="E1714" t="s">
        <v>5227</v>
      </c>
      <c r="F1714" s="1">
        <v>46081</v>
      </c>
      <c r="G1714" t="s">
        <v>100</v>
      </c>
      <c r="H1714" s="24">
        <v>0</v>
      </c>
      <c r="I1714" t="str">
        <f>IF(H1714&lt;=0,"",LOOKUP(H1714,'Regras e Parâmetros'!$B$4:$B$7,'Regras e Parâmetros'!$A$4:$A$7))</f>
        <v/>
      </c>
      <c r="J1714" t="s">
        <v>9790</v>
      </c>
      <c r="L1714" t="s">
        <v>9886</v>
      </c>
    </row>
    <row r="1715" spans="1:12" x14ac:dyDescent="0.3">
      <c r="A1715" t="s">
        <v>5714</v>
      </c>
      <c r="B1715" s="5" t="s">
        <v>6928</v>
      </c>
      <c r="C1715" t="s">
        <v>6456</v>
      </c>
      <c r="D1715" t="s">
        <v>850</v>
      </c>
      <c r="E1715" t="s">
        <v>6929</v>
      </c>
      <c r="F1715" s="1">
        <v>44647</v>
      </c>
      <c r="G1715" t="s">
        <v>51</v>
      </c>
      <c r="H1715" s="24">
        <v>512</v>
      </c>
      <c r="I1715" t="str">
        <f>IF(H1715&lt;=0,"",LOOKUP(H1715,'Regras e Parâmetros'!$B$4:$B$7,'Regras e Parâmetros'!$A$4:$A$7))</f>
        <v>Bronze</v>
      </c>
      <c r="J1715" t="s">
        <v>6747</v>
      </c>
    </row>
    <row r="1716" spans="1:12" x14ac:dyDescent="0.3">
      <c r="A1716" t="s">
        <v>5714</v>
      </c>
      <c r="B1716" s="5" t="s">
        <v>9649</v>
      </c>
      <c r="C1716" t="s">
        <v>6456</v>
      </c>
      <c r="D1716" t="s">
        <v>6008</v>
      </c>
      <c r="E1716" t="s">
        <v>5715</v>
      </c>
      <c r="F1716" s="1">
        <v>46221</v>
      </c>
      <c r="G1716" t="s">
        <v>100</v>
      </c>
      <c r="H1716" s="24">
        <v>0</v>
      </c>
      <c r="I1716" t="str">
        <f>IF(H1716&lt;=0,"",LOOKUP(H1716,'Regras e Parâmetros'!$B$4:$B$7,'Regras e Parâmetros'!$A$4:$A$7))</f>
        <v/>
      </c>
      <c r="J1716" t="s">
        <v>9790</v>
      </c>
      <c r="K1716" t="s">
        <v>9935</v>
      </c>
      <c r="L1716" t="s">
        <v>9883</v>
      </c>
    </row>
    <row r="1717" spans="1:12" x14ac:dyDescent="0.3">
      <c r="A1717" t="s">
        <v>5660</v>
      </c>
      <c r="B1717" s="5" t="s">
        <v>9619</v>
      </c>
      <c r="C1717" t="s">
        <v>6456</v>
      </c>
      <c r="D1717" t="s">
        <v>5661</v>
      </c>
      <c r="E1717" t="s">
        <v>10125</v>
      </c>
      <c r="F1717" s="1">
        <v>46206</v>
      </c>
      <c r="G1717" t="s">
        <v>22</v>
      </c>
      <c r="H1717" s="24">
        <v>0</v>
      </c>
      <c r="I1717" t="str">
        <f>IF(H1717&lt;=0,"",LOOKUP(H1717,'Regras e Parâmetros'!$B$4:$B$7,'Regras e Parâmetros'!$A$4:$A$7))</f>
        <v/>
      </c>
      <c r="J1717" t="s">
        <v>6747</v>
      </c>
      <c r="L1717" t="s">
        <v>10152</v>
      </c>
    </row>
    <row r="1718" spans="1:12" x14ac:dyDescent="0.3">
      <c r="A1718" t="s">
        <v>4183</v>
      </c>
      <c r="B1718" s="5" t="s">
        <v>4184</v>
      </c>
      <c r="C1718" t="s">
        <v>6456</v>
      </c>
      <c r="D1718" t="s">
        <v>4185</v>
      </c>
      <c r="E1718" t="s">
        <v>10126</v>
      </c>
      <c r="F1718" s="1">
        <v>45771</v>
      </c>
      <c r="G1718" t="s">
        <v>22</v>
      </c>
      <c r="H1718" s="24">
        <v>0</v>
      </c>
      <c r="I1718" t="str">
        <f>IF(H1718&lt;=0,"",LOOKUP(H1718,'Regras e Parâmetros'!$B$4:$B$7,'Regras e Parâmetros'!$A$4:$A$7))</f>
        <v/>
      </c>
      <c r="J1718" t="s">
        <v>9790</v>
      </c>
      <c r="L1718" t="s">
        <v>9883</v>
      </c>
    </row>
    <row r="1719" spans="1:12" x14ac:dyDescent="0.3">
      <c r="A1719" t="s">
        <v>497</v>
      </c>
      <c r="B1719" s="5" t="s">
        <v>498</v>
      </c>
      <c r="C1719" t="s">
        <v>6456</v>
      </c>
      <c r="D1719" t="s">
        <v>499</v>
      </c>
      <c r="E1719" t="s">
        <v>500</v>
      </c>
      <c r="F1719" s="1">
        <v>44520</v>
      </c>
      <c r="G1719" t="s">
        <v>100</v>
      </c>
      <c r="H1719" s="24">
        <v>15000</v>
      </c>
      <c r="I1719" t="str">
        <f>IF(H1719&lt;=0,"",LOOKUP(H1719,'Regras e Parâmetros'!$B$4:$B$7,'Regras e Parâmetros'!$A$4:$A$7))</f>
        <v>Vip</v>
      </c>
      <c r="J1719" t="s">
        <v>9790</v>
      </c>
      <c r="K1719" t="s">
        <v>10028</v>
      </c>
    </row>
    <row r="1720" spans="1:12" x14ac:dyDescent="0.3">
      <c r="A1720" t="s">
        <v>497</v>
      </c>
      <c r="B1720" s="5" t="s">
        <v>4500</v>
      </c>
      <c r="C1720" t="s">
        <v>6456</v>
      </c>
      <c r="D1720" t="s">
        <v>4501</v>
      </c>
      <c r="E1720" t="s">
        <v>8944</v>
      </c>
      <c r="F1720" s="1">
        <v>45865</v>
      </c>
      <c r="G1720" t="s">
        <v>51</v>
      </c>
      <c r="H1720" s="24">
        <v>0</v>
      </c>
      <c r="I1720" t="str">
        <f>IF(H1720&lt;=0,"",LOOKUP(H1720,'Regras e Parâmetros'!$B$4:$B$7,'Regras e Parâmetros'!$A$4:$A$7))</f>
        <v/>
      </c>
      <c r="J1720" t="s">
        <v>9790</v>
      </c>
      <c r="L1720" t="s">
        <v>9883</v>
      </c>
    </row>
    <row r="1721" spans="1:12" x14ac:dyDescent="0.3">
      <c r="A1721" t="s">
        <v>5472</v>
      </c>
      <c r="B1721" s="5" t="s">
        <v>9508</v>
      </c>
      <c r="C1721" t="s">
        <v>6456</v>
      </c>
      <c r="D1721" t="s">
        <v>5473</v>
      </c>
      <c r="E1721" t="s">
        <v>5474</v>
      </c>
      <c r="F1721" s="1">
        <v>46150</v>
      </c>
      <c r="G1721" t="s">
        <v>45</v>
      </c>
      <c r="H1721" s="24">
        <v>0</v>
      </c>
      <c r="I1721" t="str">
        <f>IF(H1721&lt;=0,"",LOOKUP(H1721,'Regras e Parâmetros'!$B$4:$B$7,'Regras e Parâmetros'!$A$4:$A$7))</f>
        <v/>
      </c>
      <c r="J1721" t="s">
        <v>6456</v>
      </c>
      <c r="L1721" t="s">
        <v>9883</v>
      </c>
    </row>
    <row r="1722" spans="1:12" x14ac:dyDescent="0.3">
      <c r="A1722" t="s">
        <v>2276</v>
      </c>
      <c r="B1722" s="5" t="s">
        <v>2277</v>
      </c>
      <c r="C1722" t="s">
        <v>6456</v>
      </c>
      <c r="D1722" t="s">
        <v>2278</v>
      </c>
      <c r="E1722" t="s">
        <v>7737</v>
      </c>
      <c r="F1722" s="1">
        <v>45132</v>
      </c>
      <c r="G1722" t="s">
        <v>22</v>
      </c>
      <c r="H1722" s="24">
        <v>4150</v>
      </c>
      <c r="I1722" t="str">
        <f>IF(H1722&lt;=0,"",LOOKUP(H1722,'Regras e Parâmetros'!$B$4:$B$7,'Regras e Parâmetros'!$A$4:$A$7))</f>
        <v>Prata</v>
      </c>
      <c r="J1722" t="s">
        <v>9790</v>
      </c>
    </row>
    <row r="1723" spans="1:12" x14ac:dyDescent="0.3">
      <c r="A1723" t="s">
        <v>7262</v>
      </c>
      <c r="B1723" s="5" t="s">
        <v>7263</v>
      </c>
      <c r="C1723" t="s">
        <v>6456</v>
      </c>
      <c r="D1723" t="s">
        <v>1560</v>
      </c>
      <c r="E1723" t="s">
        <v>1561</v>
      </c>
      <c r="F1723" s="1">
        <v>44866</v>
      </c>
      <c r="G1723" t="s">
        <v>45</v>
      </c>
      <c r="H1723" s="24">
        <v>5086</v>
      </c>
      <c r="I1723" t="str">
        <f>IF(H1723&lt;=0,"",LOOKUP(H1723,'Regras e Parâmetros'!$B$4:$B$7,'Regras e Parâmetros'!$A$4:$A$7))</f>
        <v>Ouro</v>
      </c>
      <c r="J1723" t="s">
        <v>9790</v>
      </c>
      <c r="L1723" t="s">
        <v>9791</v>
      </c>
    </row>
    <row r="1724" spans="1:12" x14ac:dyDescent="0.3">
      <c r="A1724" t="s">
        <v>7588</v>
      </c>
      <c r="B1724" s="5" t="s">
        <v>7589</v>
      </c>
      <c r="C1724" t="s">
        <v>6456</v>
      </c>
      <c r="D1724" t="s">
        <v>2034</v>
      </c>
      <c r="E1724" t="s">
        <v>2035</v>
      </c>
      <c r="F1724" s="1">
        <v>45053</v>
      </c>
      <c r="G1724" t="s">
        <v>22</v>
      </c>
      <c r="H1724" s="24">
        <v>1309</v>
      </c>
      <c r="I1724" t="str">
        <f>IF(H1724&lt;=0,"",LOOKUP(H1724,'Regras e Parâmetros'!$B$4:$B$7,'Regras e Parâmetros'!$A$4:$A$7))</f>
        <v>Bronze</v>
      </c>
      <c r="J1724" t="s">
        <v>6747</v>
      </c>
    </row>
    <row r="1725" spans="1:12" x14ac:dyDescent="0.3">
      <c r="A1725" t="s">
        <v>5041</v>
      </c>
      <c r="B1725" s="5" t="s">
        <v>9267</v>
      </c>
      <c r="C1725" t="s">
        <v>6456</v>
      </c>
      <c r="D1725" t="s">
        <v>5042</v>
      </c>
      <c r="E1725" t="s">
        <v>9268</v>
      </c>
      <c r="F1725" s="1">
        <v>46025</v>
      </c>
      <c r="G1725" t="s">
        <v>110</v>
      </c>
      <c r="H1725" s="24">
        <v>0</v>
      </c>
      <c r="I1725" t="str">
        <f>IF(H1725&lt;=0,"",LOOKUP(H1725,'Regras e Parâmetros'!$B$4:$B$7,'Regras e Parâmetros'!$A$4:$A$7))</f>
        <v/>
      </c>
      <c r="J1725" t="s">
        <v>9790</v>
      </c>
      <c r="K1725" t="s">
        <v>708</v>
      </c>
      <c r="L1725" t="s">
        <v>9883</v>
      </c>
    </row>
    <row r="1726" spans="1:12" x14ac:dyDescent="0.3">
      <c r="A1726" t="s">
        <v>5595</v>
      </c>
      <c r="B1726" s="5" t="s">
        <v>9577</v>
      </c>
      <c r="C1726" t="s">
        <v>6456</v>
      </c>
      <c r="D1726" t="s">
        <v>5596</v>
      </c>
      <c r="E1726" t="s">
        <v>9578</v>
      </c>
      <c r="F1726" s="1">
        <v>46181</v>
      </c>
      <c r="G1726" t="s">
        <v>51</v>
      </c>
      <c r="H1726" s="24">
        <v>0</v>
      </c>
      <c r="I1726" t="str">
        <f>IF(H1726&lt;=0,"",LOOKUP(H1726,'Regras e Parâmetros'!$B$4:$B$7,'Regras e Parâmetros'!$A$4:$A$7))</f>
        <v/>
      </c>
      <c r="J1726" t="s">
        <v>9790</v>
      </c>
      <c r="K1726" t="s">
        <v>187</v>
      </c>
      <c r="L1726" t="s">
        <v>9883</v>
      </c>
    </row>
    <row r="1727" spans="1:12" x14ac:dyDescent="0.3">
      <c r="A1727" t="s">
        <v>5134</v>
      </c>
      <c r="B1727" s="5" t="s">
        <v>5135</v>
      </c>
      <c r="C1727" t="s">
        <v>6456</v>
      </c>
      <c r="D1727" t="s">
        <v>5136</v>
      </c>
      <c r="E1727" t="s">
        <v>9314</v>
      </c>
      <c r="F1727" s="1">
        <v>46054</v>
      </c>
      <c r="G1727" t="s">
        <v>100</v>
      </c>
      <c r="H1727" s="24">
        <v>0</v>
      </c>
      <c r="I1727" t="str">
        <f>IF(H1727&lt;=0,"",LOOKUP(H1727,'Regras e Parâmetros'!$B$4:$B$7,'Regras e Parâmetros'!$A$4:$A$7))</f>
        <v/>
      </c>
      <c r="J1727" t="s">
        <v>9790</v>
      </c>
      <c r="L1727" t="s">
        <v>9883</v>
      </c>
    </row>
    <row r="1728" spans="1:12" x14ac:dyDescent="0.3">
      <c r="A1728" t="s">
        <v>4365</v>
      </c>
      <c r="B1728" s="5" t="s">
        <v>8860</v>
      </c>
      <c r="C1728" t="s">
        <v>6456</v>
      </c>
      <c r="D1728" t="s">
        <v>4366</v>
      </c>
      <c r="E1728" t="s">
        <v>8861</v>
      </c>
      <c r="F1728" s="1">
        <v>45828</v>
      </c>
      <c r="G1728" t="s">
        <v>18</v>
      </c>
      <c r="H1728" s="24">
        <v>0</v>
      </c>
      <c r="I1728" t="str">
        <f>IF(H1728&lt;=0,"",LOOKUP(H1728,'Regras e Parâmetros'!$B$4:$B$7,'Regras e Parâmetros'!$A$4:$A$7))</f>
        <v/>
      </c>
      <c r="J1728" t="s">
        <v>6456</v>
      </c>
      <c r="L1728" t="s">
        <v>9883</v>
      </c>
    </row>
    <row r="1729" spans="1:12" x14ac:dyDescent="0.3">
      <c r="A1729" t="s">
        <v>5847</v>
      </c>
      <c r="B1729" s="5" t="s">
        <v>9729</v>
      </c>
      <c r="C1729" t="s">
        <v>6456</v>
      </c>
      <c r="D1729" t="s">
        <v>5848</v>
      </c>
      <c r="E1729" t="s">
        <v>9730</v>
      </c>
      <c r="F1729" s="1">
        <v>46254</v>
      </c>
      <c r="G1729" t="s">
        <v>18</v>
      </c>
      <c r="H1729" s="24">
        <v>0</v>
      </c>
      <c r="I1729" t="str">
        <f>IF(H1729&lt;=0,"",LOOKUP(H1729,'Regras e Parâmetros'!$B$4:$B$7,'Regras e Parâmetros'!$A$4:$A$7))</f>
        <v/>
      </c>
      <c r="J1729" t="s">
        <v>6747</v>
      </c>
      <c r="L1729" t="s">
        <v>9883</v>
      </c>
    </row>
    <row r="1730" spans="1:12" x14ac:dyDescent="0.3">
      <c r="A1730" t="s">
        <v>3057</v>
      </c>
      <c r="B1730" s="5" t="s">
        <v>8136</v>
      </c>
      <c r="C1730" t="s">
        <v>6456</v>
      </c>
      <c r="E1730" t="s">
        <v>8137</v>
      </c>
      <c r="F1730" s="1">
        <v>45412</v>
      </c>
      <c r="G1730" t="s">
        <v>18</v>
      </c>
      <c r="H1730" s="24">
        <v>0</v>
      </c>
      <c r="I1730" t="str">
        <f>IF(H1730&lt;=0,"",LOOKUP(H1730,'Regras e Parâmetros'!$B$4:$B$7,'Regras e Parâmetros'!$A$4:$A$7))</f>
        <v/>
      </c>
      <c r="J1730" t="s">
        <v>9790</v>
      </c>
      <c r="K1730" t="s">
        <v>44</v>
      </c>
      <c r="L1730" t="s">
        <v>9804</v>
      </c>
    </row>
    <row r="1731" spans="1:12" x14ac:dyDescent="0.3">
      <c r="A1731" t="s">
        <v>7227</v>
      </c>
      <c r="B1731" s="5" t="s">
        <v>3086</v>
      </c>
      <c r="C1731" t="s">
        <v>6456</v>
      </c>
      <c r="D1731" t="s">
        <v>3087</v>
      </c>
      <c r="E1731" t="s">
        <v>7228</v>
      </c>
      <c r="F1731" s="1">
        <v>44852</v>
      </c>
      <c r="G1731" t="s">
        <v>110</v>
      </c>
      <c r="H1731" s="24">
        <v>1781</v>
      </c>
      <c r="I1731" t="str">
        <f>IF(H1731&lt;=0,"",LOOKUP(H1731,'Regras e Parâmetros'!$B$4:$B$7,'Regras e Parâmetros'!$A$4:$A$7))</f>
        <v>Prata</v>
      </c>
      <c r="J1731" t="s">
        <v>6456</v>
      </c>
      <c r="K1731" t="s">
        <v>9828</v>
      </c>
    </row>
    <row r="1732" spans="1:12" x14ac:dyDescent="0.3">
      <c r="A1732" t="s">
        <v>5557</v>
      </c>
      <c r="B1732" s="5" t="s">
        <v>9555</v>
      </c>
      <c r="C1732" t="s">
        <v>6456</v>
      </c>
      <c r="D1732" t="s">
        <v>5558</v>
      </c>
      <c r="E1732" t="s">
        <v>5559</v>
      </c>
      <c r="F1732" s="1">
        <v>46171</v>
      </c>
      <c r="G1732" t="s">
        <v>22</v>
      </c>
      <c r="H1732" s="24">
        <v>0</v>
      </c>
      <c r="I1732" t="str">
        <f>IF(H1732&lt;=0,"",LOOKUP(H1732,'Regras e Parâmetros'!$B$4:$B$7,'Regras e Parâmetros'!$A$4:$A$7))</f>
        <v/>
      </c>
      <c r="J1732" t="s">
        <v>6456</v>
      </c>
      <c r="L1732" t="s">
        <v>9886</v>
      </c>
    </row>
    <row r="1733" spans="1:12" x14ac:dyDescent="0.3">
      <c r="A1733" t="s">
        <v>8501</v>
      </c>
      <c r="B1733" s="5" t="s">
        <v>3764</v>
      </c>
      <c r="C1733" t="s">
        <v>6747</v>
      </c>
      <c r="D1733" t="s">
        <v>3765</v>
      </c>
      <c r="E1733" t="s">
        <v>8502</v>
      </c>
      <c r="F1733" s="1">
        <v>45647</v>
      </c>
      <c r="G1733" t="s">
        <v>18</v>
      </c>
      <c r="H1733" s="24">
        <v>2966</v>
      </c>
      <c r="I1733" t="str">
        <f>IF(H1733&lt;=0,"",LOOKUP(H1733,'Regras e Parâmetros'!$B$4:$B$7,'Regras e Parâmetros'!$A$4:$A$7))</f>
        <v>Prata</v>
      </c>
      <c r="J1733" t="s">
        <v>6747</v>
      </c>
      <c r="K1733" t="s">
        <v>177</v>
      </c>
      <c r="L1733" t="s">
        <v>10240</v>
      </c>
    </row>
    <row r="1734" spans="1:12" x14ac:dyDescent="0.3">
      <c r="A1734" t="s">
        <v>7391</v>
      </c>
      <c r="B1734" s="5" t="s">
        <v>1667</v>
      </c>
      <c r="C1734" t="s">
        <v>6456</v>
      </c>
      <c r="D1734" t="s">
        <v>1668</v>
      </c>
      <c r="E1734" t="s">
        <v>7392</v>
      </c>
      <c r="F1734" s="1">
        <v>44930</v>
      </c>
      <c r="G1734" t="s">
        <v>22</v>
      </c>
      <c r="H1734" s="24">
        <v>3048</v>
      </c>
      <c r="I1734" t="str">
        <f>IF(H1734&lt;=0,"",LOOKUP(H1734,'Regras e Parâmetros'!$B$4:$B$7,'Regras e Parâmetros'!$A$4:$A$7))</f>
        <v>Prata</v>
      </c>
      <c r="J1734" t="s">
        <v>6456</v>
      </c>
    </row>
    <row r="1735" spans="1:12" x14ac:dyDescent="0.3">
      <c r="A1735" t="s">
        <v>4653</v>
      </c>
      <c r="B1735" s="5" t="s">
        <v>9038</v>
      </c>
      <c r="C1735" t="s">
        <v>6456</v>
      </c>
      <c r="D1735" t="s">
        <v>4654</v>
      </c>
      <c r="E1735" t="s">
        <v>9039</v>
      </c>
      <c r="F1735" s="1">
        <v>45912</v>
      </c>
      <c r="G1735" t="s">
        <v>100</v>
      </c>
      <c r="H1735" s="24">
        <v>0</v>
      </c>
      <c r="I1735" t="str">
        <f>IF(H1735&lt;=0,"",LOOKUP(H1735,'Regras e Parâmetros'!$B$4:$B$7,'Regras e Parâmetros'!$A$4:$A$7))</f>
        <v/>
      </c>
      <c r="J1735" t="s">
        <v>9790</v>
      </c>
      <c r="L1735" t="s">
        <v>9883</v>
      </c>
    </row>
    <row r="1736" spans="1:12" x14ac:dyDescent="0.3">
      <c r="A1736" t="s">
        <v>1196</v>
      </c>
      <c r="B1736" s="5" t="s">
        <v>7167</v>
      </c>
      <c r="C1736" t="s">
        <v>6456</v>
      </c>
      <c r="D1736" t="s">
        <v>1197</v>
      </c>
      <c r="E1736" t="s">
        <v>1198</v>
      </c>
      <c r="F1736" s="1">
        <v>44826</v>
      </c>
      <c r="G1736" t="s">
        <v>100</v>
      </c>
      <c r="H1736" s="24">
        <v>1150</v>
      </c>
      <c r="I1736" t="str">
        <f>IF(H1736&lt;=0,"",LOOKUP(H1736,'Regras e Parâmetros'!$B$4:$B$7,'Regras e Parâmetros'!$A$4:$A$7))</f>
        <v>Bronze</v>
      </c>
      <c r="J1736" t="s">
        <v>6456</v>
      </c>
      <c r="L1736" t="s">
        <v>9792</v>
      </c>
    </row>
    <row r="1737" spans="1:12" x14ac:dyDescent="0.3">
      <c r="A1737" t="s">
        <v>7719</v>
      </c>
      <c r="B1737" s="5" t="s">
        <v>7720</v>
      </c>
      <c r="C1737" t="s">
        <v>6456</v>
      </c>
      <c r="D1737" t="s">
        <v>2252</v>
      </c>
      <c r="E1737" t="s">
        <v>2253</v>
      </c>
      <c r="F1737" s="1">
        <v>45124</v>
      </c>
      <c r="G1737" t="s">
        <v>110</v>
      </c>
      <c r="H1737" s="24">
        <v>312</v>
      </c>
      <c r="I1737" t="str">
        <f>IF(H1737&lt;=0,"",LOOKUP(H1737,'Regras e Parâmetros'!$B$4:$B$7,'Regras e Parâmetros'!$A$4:$A$7))</f>
        <v>Bronze</v>
      </c>
      <c r="J1737" t="s">
        <v>6456</v>
      </c>
    </row>
    <row r="1738" spans="1:12" x14ac:dyDescent="0.3">
      <c r="A1738" t="s">
        <v>3252</v>
      </c>
      <c r="B1738" s="5" t="s">
        <v>3253</v>
      </c>
      <c r="C1738" t="s">
        <v>6456</v>
      </c>
      <c r="D1738" t="s">
        <v>3254</v>
      </c>
      <c r="E1738" t="s">
        <v>3255</v>
      </c>
      <c r="F1738" s="1">
        <v>45481</v>
      </c>
      <c r="G1738" t="s">
        <v>22</v>
      </c>
      <c r="H1738" s="24">
        <v>15000</v>
      </c>
      <c r="I1738" t="str">
        <f>IF(H1738&lt;=0,"",LOOKUP(H1738,'Regras e Parâmetros'!$B$4:$B$7,'Regras e Parâmetros'!$A$4:$A$7))</f>
        <v>Vip</v>
      </c>
      <c r="J1738" t="s">
        <v>6456</v>
      </c>
      <c r="L1738" t="s">
        <v>9793</v>
      </c>
    </row>
    <row r="1739" spans="1:12" x14ac:dyDescent="0.3">
      <c r="A1739" t="s">
        <v>3252</v>
      </c>
      <c r="B1739" s="5" t="s">
        <v>4273</v>
      </c>
      <c r="C1739" t="s">
        <v>6456</v>
      </c>
      <c r="D1739" t="s">
        <v>4274</v>
      </c>
      <c r="E1739" t="s">
        <v>4275</v>
      </c>
      <c r="F1739" s="1">
        <v>45799</v>
      </c>
      <c r="G1739" t="s">
        <v>45</v>
      </c>
      <c r="H1739" s="24">
        <v>0</v>
      </c>
      <c r="I1739" t="str">
        <f>IF(H1739&lt;=0,"",LOOKUP(H1739,'Regras e Parâmetros'!$B$4:$B$7,'Regras e Parâmetros'!$A$4:$A$7))</f>
        <v/>
      </c>
      <c r="J1739" t="s">
        <v>9790</v>
      </c>
      <c r="L1739" t="s">
        <v>9883</v>
      </c>
    </row>
    <row r="1740" spans="1:12" x14ac:dyDescent="0.3">
      <c r="A1740" t="s">
        <v>7213</v>
      </c>
      <c r="B1740" s="5" t="s">
        <v>1367</v>
      </c>
      <c r="C1740" t="s">
        <v>6456</v>
      </c>
      <c r="D1740" t="s">
        <v>7214</v>
      </c>
      <c r="E1740" t="s">
        <v>7215</v>
      </c>
      <c r="F1740" s="1">
        <v>44848</v>
      </c>
      <c r="G1740" t="s">
        <v>51</v>
      </c>
      <c r="H1740" s="24">
        <v>2008</v>
      </c>
      <c r="I1740" t="str">
        <f>IF(H1740&lt;=0,"",LOOKUP(H1740,'Regras e Parâmetros'!$B$4:$B$7,'Regras e Parâmetros'!$A$4:$A$7))</f>
        <v>Prata</v>
      </c>
      <c r="J1740" t="s">
        <v>6747</v>
      </c>
      <c r="K1740" t="s">
        <v>187</v>
      </c>
    </row>
    <row r="1741" spans="1:12" x14ac:dyDescent="0.3">
      <c r="A1741" t="s">
        <v>4928</v>
      </c>
      <c r="B1741" s="5" t="s">
        <v>9200</v>
      </c>
      <c r="C1741" t="s">
        <v>6456</v>
      </c>
      <c r="D1741" t="s">
        <v>4929</v>
      </c>
      <c r="E1741" t="s">
        <v>9201</v>
      </c>
      <c r="F1741" s="1">
        <v>45990</v>
      </c>
      <c r="G1741" t="s">
        <v>18</v>
      </c>
      <c r="H1741" s="24">
        <v>0</v>
      </c>
      <c r="I1741" t="str">
        <f>IF(H1741&lt;=0,"",LOOKUP(H1741,'Regras e Parâmetros'!$B$4:$B$7,'Regras e Parâmetros'!$A$4:$A$7))</f>
        <v/>
      </c>
      <c r="J1741" t="s">
        <v>9790</v>
      </c>
      <c r="L1741" t="s">
        <v>9883</v>
      </c>
    </row>
    <row r="1742" spans="1:12" x14ac:dyDescent="0.3">
      <c r="A1742" t="s">
        <v>5394</v>
      </c>
      <c r="B1742" s="5" t="s">
        <v>9471</v>
      </c>
      <c r="C1742" t="s">
        <v>6456</v>
      </c>
      <c r="D1742" t="s">
        <v>5395</v>
      </c>
      <c r="E1742" t="s">
        <v>5396</v>
      </c>
      <c r="F1742" s="1">
        <v>46128</v>
      </c>
      <c r="G1742" t="s">
        <v>100</v>
      </c>
      <c r="H1742" s="24">
        <v>0</v>
      </c>
      <c r="I1742" t="str">
        <f>IF(H1742&lt;=0,"",LOOKUP(H1742,'Regras e Parâmetros'!$B$4:$B$7,'Regras e Parâmetros'!$A$4:$A$7))</f>
        <v/>
      </c>
      <c r="J1742" t="s">
        <v>9790</v>
      </c>
      <c r="L1742" t="s">
        <v>9883</v>
      </c>
    </row>
    <row r="1743" spans="1:12" x14ac:dyDescent="0.3">
      <c r="A1743" t="s">
        <v>8052</v>
      </c>
      <c r="B1743" s="5" t="s">
        <v>8053</v>
      </c>
      <c r="C1743" t="s">
        <v>6456</v>
      </c>
      <c r="D1743" t="s">
        <v>2864</v>
      </c>
      <c r="E1743" t="s">
        <v>2865</v>
      </c>
      <c r="F1743" s="1">
        <v>45344</v>
      </c>
      <c r="G1743" t="s">
        <v>51</v>
      </c>
      <c r="H1743" s="24">
        <v>3100</v>
      </c>
      <c r="I1743" t="str">
        <f>IF(H1743&lt;=0,"",LOOKUP(H1743,'Regras e Parâmetros'!$B$4:$B$7,'Regras e Parâmetros'!$A$4:$A$7))</f>
        <v>Prata</v>
      </c>
      <c r="J1743" t="s">
        <v>6747</v>
      </c>
      <c r="L1743" t="s">
        <v>9793</v>
      </c>
    </row>
    <row r="1744" spans="1:12" x14ac:dyDescent="0.3">
      <c r="A1744" t="s">
        <v>7378</v>
      </c>
      <c r="B1744" s="5" t="s">
        <v>7379</v>
      </c>
      <c r="C1744" t="s">
        <v>6456</v>
      </c>
      <c r="D1744" t="s">
        <v>1648</v>
      </c>
      <c r="E1744" t="s">
        <v>1649</v>
      </c>
      <c r="F1744" s="1">
        <v>44926</v>
      </c>
      <c r="G1744" t="s">
        <v>110</v>
      </c>
      <c r="H1744" s="24">
        <v>1568</v>
      </c>
      <c r="I1744" t="str">
        <f>IF(H1744&lt;=0,"",LOOKUP(H1744,'Regras e Parâmetros'!$B$4:$B$7,'Regras e Parâmetros'!$A$4:$A$7))</f>
        <v>Prata</v>
      </c>
      <c r="J1744" t="s">
        <v>6747</v>
      </c>
    </row>
    <row r="1745" spans="1:12" x14ac:dyDescent="0.3">
      <c r="A1745" t="s">
        <v>1199</v>
      </c>
      <c r="B1745" s="5" t="s">
        <v>1200</v>
      </c>
      <c r="C1745" t="s">
        <v>6456</v>
      </c>
      <c r="D1745" t="s">
        <v>1201</v>
      </c>
      <c r="E1745" t="s">
        <v>1202</v>
      </c>
      <c r="F1745" s="1">
        <v>44774</v>
      </c>
      <c r="G1745" t="s">
        <v>110</v>
      </c>
      <c r="H1745" s="24">
        <v>7077</v>
      </c>
      <c r="I1745" t="str">
        <f>IF(H1745&lt;=0,"",LOOKUP(H1745,'Regras e Parâmetros'!$B$4:$B$7,'Regras e Parâmetros'!$A$4:$A$7))</f>
        <v>Ouro</v>
      </c>
      <c r="J1745" t="s">
        <v>9790</v>
      </c>
    </row>
    <row r="1746" spans="1:12" x14ac:dyDescent="0.3">
      <c r="A1746" t="s">
        <v>1203</v>
      </c>
      <c r="B1746" s="5" t="s">
        <v>7129</v>
      </c>
      <c r="C1746" t="s">
        <v>6456</v>
      </c>
      <c r="D1746" t="s">
        <v>1204</v>
      </c>
      <c r="E1746" t="s">
        <v>1205</v>
      </c>
      <c r="F1746" s="1">
        <v>44797</v>
      </c>
      <c r="G1746" t="s">
        <v>45</v>
      </c>
      <c r="H1746" s="24">
        <v>5892</v>
      </c>
      <c r="I1746" t="str">
        <f>IF(H1746&lt;=0,"",LOOKUP(H1746,'Regras e Parâmetros'!$B$4:$B$7,'Regras e Parâmetros'!$A$4:$A$7))</f>
        <v>Ouro</v>
      </c>
      <c r="J1746" t="s">
        <v>6747</v>
      </c>
    </row>
    <row r="1747" spans="1:12" x14ac:dyDescent="0.3">
      <c r="A1747" t="s">
        <v>4130</v>
      </c>
      <c r="B1747" s="5" t="s">
        <v>8739</v>
      </c>
      <c r="C1747" t="s">
        <v>6456</v>
      </c>
      <c r="D1747" t="s">
        <v>4131</v>
      </c>
      <c r="E1747" t="s">
        <v>8740</v>
      </c>
      <c r="F1747" s="1">
        <v>45753</v>
      </c>
      <c r="G1747" t="s">
        <v>100</v>
      </c>
      <c r="H1747" s="24">
        <v>0</v>
      </c>
      <c r="I1747" t="str">
        <f>IF(H1747&lt;=0,"",LOOKUP(H1747,'Regras e Parâmetros'!$B$4:$B$7,'Regras e Parâmetros'!$A$4:$A$7))</f>
        <v/>
      </c>
      <c r="J1747" t="s">
        <v>9790</v>
      </c>
      <c r="K1747" t="s">
        <v>708</v>
      </c>
      <c r="L1747" t="s">
        <v>9883</v>
      </c>
    </row>
    <row r="1748" spans="1:12" x14ac:dyDescent="0.3">
      <c r="A1748" t="s">
        <v>7723</v>
      </c>
      <c r="B1748" s="5" t="s">
        <v>2257</v>
      </c>
      <c r="C1748" t="s">
        <v>6456</v>
      </c>
      <c r="D1748" t="s">
        <v>7724</v>
      </c>
      <c r="E1748" t="s">
        <v>2258</v>
      </c>
      <c r="F1748" s="1">
        <v>45127</v>
      </c>
      <c r="G1748" t="s">
        <v>45</v>
      </c>
      <c r="H1748" s="24">
        <v>3084</v>
      </c>
      <c r="I1748" t="str">
        <f>IF(H1748&lt;=0,"",LOOKUP(H1748,'Regras e Parâmetros'!$B$4:$B$7,'Regras e Parâmetros'!$A$4:$A$7))</f>
        <v>Prata</v>
      </c>
      <c r="J1748" t="s">
        <v>6456</v>
      </c>
    </row>
    <row r="1749" spans="1:12" x14ac:dyDescent="0.3">
      <c r="A1749" t="s">
        <v>2567</v>
      </c>
      <c r="B1749" s="5" t="s">
        <v>7899</v>
      </c>
      <c r="C1749" t="s">
        <v>6456</v>
      </c>
      <c r="D1749" t="s">
        <v>4217</v>
      </c>
      <c r="E1749" t="s">
        <v>2568</v>
      </c>
      <c r="F1749" s="1">
        <v>45219</v>
      </c>
      <c r="G1749" t="s">
        <v>51</v>
      </c>
      <c r="H1749" s="24">
        <v>165</v>
      </c>
      <c r="I1749" t="str">
        <f>IF(H1749&lt;=0,"",LOOKUP(H1749,'Regras e Parâmetros'!$B$4:$B$7,'Regras e Parâmetros'!$A$4:$A$7))</f>
        <v>Bronze</v>
      </c>
      <c r="J1749" t="s">
        <v>6747</v>
      </c>
      <c r="K1749" t="s">
        <v>9849</v>
      </c>
      <c r="L1749" t="s">
        <v>9839</v>
      </c>
    </row>
    <row r="1750" spans="1:12" x14ac:dyDescent="0.3">
      <c r="A1750" t="s">
        <v>2567</v>
      </c>
      <c r="B1750" s="5" t="s">
        <v>9127</v>
      </c>
      <c r="C1750" t="s">
        <v>6456</v>
      </c>
      <c r="D1750" t="s">
        <v>4798</v>
      </c>
      <c r="E1750" t="s">
        <v>4799</v>
      </c>
      <c r="F1750" s="1">
        <v>45950</v>
      </c>
      <c r="G1750" t="s">
        <v>22</v>
      </c>
      <c r="H1750" s="24">
        <v>0</v>
      </c>
      <c r="I1750" t="str">
        <f>IF(H1750&lt;=0,"",LOOKUP(H1750,'Regras e Parâmetros'!$B$4:$B$7,'Regras e Parâmetros'!$A$4:$A$7))</f>
        <v/>
      </c>
      <c r="J1750" t="s">
        <v>6747</v>
      </c>
      <c r="K1750" t="s">
        <v>708</v>
      </c>
      <c r="L1750" t="s">
        <v>9883</v>
      </c>
    </row>
    <row r="1751" spans="1:12" x14ac:dyDescent="0.3">
      <c r="A1751" t="s">
        <v>4854</v>
      </c>
      <c r="B1751" s="5" t="s">
        <v>9158</v>
      </c>
      <c r="C1751" t="s">
        <v>6456</v>
      </c>
      <c r="D1751" t="s">
        <v>4855</v>
      </c>
      <c r="E1751" t="s">
        <v>4856</v>
      </c>
      <c r="F1751" s="1">
        <v>45969</v>
      </c>
      <c r="G1751" t="s">
        <v>45</v>
      </c>
      <c r="H1751" s="24">
        <v>0</v>
      </c>
      <c r="I1751" t="str">
        <f>IF(H1751&lt;=0,"",LOOKUP(H1751,'Regras e Parâmetros'!$B$4:$B$7,'Regras e Parâmetros'!$A$4:$A$7))</f>
        <v/>
      </c>
      <c r="J1751" t="s">
        <v>6456</v>
      </c>
      <c r="L1751" t="s">
        <v>9883</v>
      </c>
    </row>
    <row r="1752" spans="1:12" x14ac:dyDescent="0.3">
      <c r="A1752" t="s">
        <v>4554</v>
      </c>
      <c r="B1752" s="5" t="s">
        <v>8954</v>
      </c>
      <c r="C1752" t="s">
        <v>6456</v>
      </c>
      <c r="D1752" t="s">
        <v>4555</v>
      </c>
      <c r="E1752" t="s">
        <v>8955</v>
      </c>
      <c r="F1752" s="1">
        <v>45870</v>
      </c>
      <c r="G1752" t="s">
        <v>18</v>
      </c>
      <c r="H1752" s="24">
        <v>0</v>
      </c>
      <c r="I1752" t="str">
        <f>IF(H1752&lt;=0,"",LOOKUP(H1752,'Regras e Parâmetros'!$B$4:$B$7,'Regras e Parâmetros'!$A$4:$A$7))</f>
        <v/>
      </c>
      <c r="J1752" t="s">
        <v>6747</v>
      </c>
      <c r="K1752" t="s">
        <v>33</v>
      </c>
      <c r="L1752" t="s">
        <v>9884</v>
      </c>
    </row>
    <row r="1753" spans="1:12" x14ac:dyDescent="0.3">
      <c r="A1753" t="s">
        <v>5512</v>
      </c>
      <c r="B1753" s="5" t="s">
        <v>9526</v>
      </c>
      <c r="C1753" t="s">
        <v>6456</v>
      </c>
      <c r="D1753" t="s">
        <v>5513</v>
      </c>
      <c r="E1753" t="s">
        <v>5514</v>
      </c>
      <c r="F1753" s="1">
        <v>46163</v>
      </c>
      <c r="G1753" t="s">
        <v>100</v>
      </c>
      <c r="H1753" s="24">
        <v>0</v>
      </c>
      <c r="I1753" t="str">
        <f>IF(H1753&lt;=0,"",LOOKUP(H1753,'Regras e Parâmetros'!$B$4:$B$7,'Regras e Parâmetros'!$A$4:$A$7))</f>
        <v/>
      </c>
      <c r="J1753" t="s">
        <v>6747</v>
      </c>
      <c r="L1753" t="s">
        <v>9883</v>
      </c>
    </row>
    <row r="1754" spans="1:12" x14ac:dyDescent="0.3">
      <c r="A1754" t="s">
        <v>3987</v>
      </c>
      <c r="B1754" s="5" t="s">
        <v>8653</v>
      </c>
      <c r="C1754" t="s">
        <v>6456</v>
      </c>
      <c r="D1754" t="s">
        <v>3988</v>
      </c>
      <c r="E1754" t="s">
        <v>3989</v>
      </c>
      <c r="F1754" s="1">
        <v>45716</v>
      </c>
      <c r="G1754" t="s">
        <v>18</v>
      </c>
      <c r="H1754" s="24">
        <v>0</v>
      </c>
      <c r="I1754" t="str">
        <f>IF(H1754&lt;=0,"",LOOKUP(H1754,'Regras e Parâmetros'!$B$4:$B$7,'Regras e Parâmetros'!$A$4:$A$7))</f>
        <v/>
      </c>
      <c r="J1754" t="s">
        <v>6456</v>
      </c>
      <c r="K1754" t="s">
        <v>177</v>
      </c>
      <c r="L1754" t="s">
        <v>9883</v>
      </c>
    </row>
    <row r="1755" spans="1:12" x14ac:dyDescent="0.3">
      <c r="A1755" t="s">
        <v>2264</v>
      </c>
      <c r="B1755" s="5" t="s">
        <v>6070</v>
      </c>
      <c r="C1755" t="s">
        <v>6456</v>
      </c>
      <c r="D1755" t="s">
        <v>2265</v>
      </c>
      <c r="E1755" t="s">
        <v>2266</v>
      </c>
      <c r="F1755" s="1">
        <v>45128</v>
      </c>
      <c r="G1755" t="s">
        <v>18</v>
      </c>
      <c r="H1755" s="24">
        <v>2703</v>
      </c>
      <c r="I1755" t="str">
        <f>IF(H1755&lt;=0,"",LOOKUP(H1755,'Regras e Parâmetros'!$B$4:$B$7,'Regras e Parâmetros'!$A$4:$A$7))</f>
        <v>Prata</v>
      </c>
      <c r="J1755" t="s">
        <v>6747</v>
      </c>
      <c r="K1755" t="s">
        <v>33</v>
      </c>
    </row>
    <row r="1756" spans="1:12" x14ac:dyDescent="0.3">
      <c r="A1756" t="s">
        <v>5330</v>
      </c>
      <c r="B1756" s="5" t="s">
        <v>5331</v>
      </c>
      <c r="C1756" t="s">
        <v>6456</v>
      </c>
      <c r="D1756" t="s">
        <v>5332</v>
      </c>
      <c r="E1756" t="s">
        <v>9442</v>
      </c>
      <c r="F1756" s="1">
        <v>46112</v>
      </c>
      <c r="G1756" t="s">
        <v>51</v>
      </c>
      <c r="H1756" s="24">
        <v>0</v>
      </c>
      <c r="I1756" t="str">
        <f>IF(H1756&lt;=0,"",LOOKUP(H1756,'Regras e Parâmetros'!$B$4:$B$7,'Regras e Parâmetros'!$A$4:$A$7))</f>
        <v/>
      </c>
      <c r="J1756" t="s">
        <v>6747</v>
      </c>
      <c r="K1756" t="s">
        <v>708</v>
      </c>
      <c r="L1756" t="s">
        <v>9883</v>
      </c>
    </row>
    <row r="1757" spans="1:12" x14ac:dyDescent="0.3">
      <c r="A1757" t="s">
        <v>8691</v>
      </c>
      <c r="B1757" s="5" t="s">
        <v>4060</v>
      </c>
      <c r="C1757" t="s">
        <v>6456</v>
      </c>
      <c r="D1757" t="s">
        <v>4061</v>
      </c>
      <c r="E1757" t="s">
        <v>8692</v>
      </c>
      <c r="F1757" s="1">
        <v>45733</v>
      </c>
      <c r="G1757" t="s">
        <v>110</v>
      </c>
      <c r="H1757" s="24">
        <v>0</v>
      </c>
      <c r="I1757" t="str">
        <f>IF(H1757&lt;=0,"",LOOKUP(H1757,'Regras e Parâmetros'!$B$4:$B$7,'Regras e Parâmetros'!$A$4:$A$7))</f>
        <v/>
      </c>
      <c r="J1757" t="s">
        <v>9790</v>
      </c>
      <c r="L1757" t="s">
        <v>9883</v>
      </c>
    </row>
    <row r="1758" spans="1:12" x14ac:dyDescent="0.3">
      <c r="A1758" t="s">
        <v>532</v>
      </c>
      <c r="B1758" s="5" t="s">
        <v>6735</v>
      </c>
      <c r="C1758" t="s">
        <v>6456</v>
      </c>
      <c r="D1758" t="s">
        <v>533</v>
      </c>
      <c r="E1758" t="s">
        <v>6736</v>
      </c>
      <c r="F1758" s="1">
        <v>44530</v>
      </c>
      <c r="G1758" t="s">
        <v>45</v>
      </c>
      <c r="H1758" s="24">
        <v>0</v>
      </c>
      <c r="I1758" t="str">
        <f>IF(H1758&lt;=0,"",LOOKUP(H1758,'Regras e Parâmetros'!$B$4:$B$7,'Regras e Parâmetros'!$A$4:$A$7))</f>
        <v/>
      </c>
      <c r="J1758" t="s">
        <v>9790</v>
      </c>
    </row>
    <row r="1759" spans="1:12" x14ac:dyDescent="0.3">
      <c r="A1759" t="s">
        <v>335</v>
      </c>
      <c r="B1759" s="5" t="s">
        <v>6625</v>
      </c>
      <c r="C1759" t="s">
        <v>6456</v>
      </c>
      <c r="D1759" t="s">
        <v>336</v>
      </c>
      <c r="E1759" t="s">
        <v>337</v>
      </c>
      <c r="F1759" s="1">
        <v>44458</v>
      </c>
      <c r="G1759" t="s">
        <v>45</v>
      </c>
      <c r="H1759" s="24">
        <v>411</v>
      </c>
      <c r="I1759" t="str">
        <f>IF(H1759&lt;=0,"",LOOKUP(H1759,'Regras e Parâmetros'!$B$4:$B$7,'Regras e Parâmetros'!$A$4:$A$7))</f>
        <v>Bronze</v>
      </c>
      <c r="J1759" t="s">
        <v>9790</v>
      </c>
      <c r="K1759" t="s">
        <v>33</v>
      </c>
    </row>
    <row r="1760" spans="1:12" x14ac:dyDescent="0.3">
      <c r="A1760" t="s">
        <v>8513</v>
      </c>
      <c r="B1760" s="5" t="s">
        <v>3779</v>
      </c>
      <c r="C1760" t="s">
        <v>6456</v>
      </c>
      <c r="D1760" t="s">
        <v>3780</v>
      </c>
      <c r="E1760" t="s">
        <v>8514</v>
      </c>
      <c r="F1760" s="1">
        <v>45657</v>
      </c>
      <c r="G1760" t="s">
        <v>45</v>
      </c>
      <c r="H1760" s="24">
        <v>56</v>
      </c>
      <c r="I1760" t="str">
        <f>IF(H1760&lt;=0,"",LOOKUP(H1760,'Regras e Parâmetros'!$B$4:$B$7,'Regras e Parâmetros'!$A$4:$A$7))</f>
        <v>Bronze</v>
      </c>
      <c r="J1760" t="s">
        <v>6456</v>
      </c>
      <c r="K1760" t="s">
        <v>44</v>
      </c>
    </row>
    <row r="1761" spans="1:12" x14ac:dyDescent="0.3">
      <c r="A1761" t="s">
        <v>4488</v>
      </c>
      <c r="B1761" s="5" t="s">
        <v>8933</v>
      </c>
      <c r="C1761" t="s">
        <v>6456</v>
      </c>
      <c r="D1761" t="s">
        <v>4489</v>
      </c>
      <c r="E1761" t="s">
        <v>4490</v>
      </c>
      <c r="F1761" s="1">
        <v>45860</v>
      </c>
      <c r="G1761" t="s">
        <v>51</v>
      </c>
      <c r="H1761" s="24">
        <v>0</v>
      </c>
      <c r="I1761" t="str">
        <f>IF(H1761&lt;=0,"",LOOKUP(H1761,'Regras e Parâmetros'!$B$4:$B$7,'Regras e Parâmetros'!$A$4:$A$7))</f>
        <v/>
      </c>
      <c r="J1761" t="s">
        <v>9790</v>
      </c>
      <c r="L1761" t="s">
        <v>9883</v>
      </c>
    </row>
    <row r="1762" spans="1:12" x14ac:dyDescent="0.3">
      <c r="A1762" t="s">
        <v>1785</v>
      </c>
      <c r="B1762" s="5" t="s">
        <v>7454</v>
      </c>
      <c r="C1762" t="s">
        <v>6456</v>
      </c>
      <c r="D1762" t="s">
        <v>1786</v>
      </c>
      <c r="E1762" t="s">
        <v>7455</v>
      </c>
      <c r="F1762" s="1">
        <v>44967</v>
      </c>
      <c r="G1762" t="s">
        <v>45</v>
      </c>
      <c r="H1762" s="24">
        <v>1028</v>
      </c>
      <c r="I1762" t="str">
        <f>IF(H1762&lt;=0,"",LOOKUP(H1762,'Regras e Parâmetros'!$B$4:$B$7,'Regras e Parâmetros'!$A$4:$A$7))</f>
        <v>Bronze</v>
      </c>
      <c r="J1762" t="s">
        <v>6456</v>
      </c>
    </row>
    <row r="1763" spans="1:12" x14ac:dyDescent="0.3">
      <c r="A1763" t="s">
        <v>9461</v>
      </c>
      <c r="B1763" s="5" t="s">
        <v>9462</v>
      </c>
      <c r="C1763" t="s">
        <v>6456</v>
      </c>
      <c r="D1763" t="s">
        <v>5372</v>
      </c>
      <c r="E1763" t="s">
        <v>5373</v>
      </c>
      <c r="F1763" s="1">
        <v>46124</v>
      </c>
      <c r="G1763" t="s">
        <v>51</v>
      </c>
      <c r="H1763" s="24">
        <v>0</v>
      </c>
      <c r="I1763" t="str">
        <f>IF(H1763&lt;=0,"",LOOKUP(H1763,'Regras e Parâmetros'!$B$4:$B$7,'Regras e Parâmetros'!$A$4:$A$7))</f>
        <v/>
      </c>
      <c r="J1763" t="s">
        <v>9790</v>
      </c>
      <c r="L1763" t="s">
        <v>9886</v>
      </c>
    </row>
    <row r="1764" spans="1:12" x14ac:dyDescent="0.3">
      <c r="A1764" t="s">
        <v>4577</v>
      </c>
      <c r="B1764" s="5" t="s">
        <v>4578</v>
      </c>
      <c r="C1764" t="s">
        <v>6456</v>
      </c>
      <c r="D1764" t="s">
        <v>4579</v>
      </c>
      <c r="E1764" t="s">
        <v>9001</v>
      </c>
      <c r="F1764" s="1">
        <v>45890</v>
      </c>
      <c r="G1764" t="s">
        <v>51</v>
      </c>
      <c r="H1764" s="24">
        <v>0</v>
      </c>
      <c r="I1764" t="str">
        <f>IF(H1764&lt;=0,"",LOOKUP(H1764,'Regras e Parâmetros'!$B$4:$B$7,'Regras e Parâmetros'!$A$4:$A$7))</f>
        <v/>
      </c>
      <c r="J1764" t="s">
        <v>9790</v>
      </c>
      <c r="L1764" t="s">
        <v>9883</v>
      </c>
    </row>
    <row r="1765" spans="1:12" x14ac:dyDescent="0.3">
      <c r="A1765" t="s">
        <v>6486</v>
      </c>
      <c r="B1765" s="5" t="s">
        <v>61</v>
      </c>
      <c r="C1765" t="s">
        <v>6456</v>
      </c>
      <c r="D1765" t="s">
        <v>62</v>
      </c>
      <c r="E1765" t="s">
        <v>63</v>
      </c>
      <c r="F1765" s="1">
        <v>44365</v>
      </c>
      <c r="G1765" t="s">
        <v>100</v>
      </c>
      <c r="H1765" s="24">
        <v>15000</v>
      </c>
      <c r="I1765" t="str">
        <f>IF(H1765&lt;=0,"",LOOKUP(H1765,'Regras e Parâmetros'!$B$4:$B$7,'Regras e Parâmetros'!$A$4:$A$7))</f>
        <v>Vip</v>
      </c>
      <c r="J1765" t="s">
        <v>9790</v>
      </c>
    </row>
    <row r="1766" spans="1:12" x14ac:dyDescent="0.3">
      <c r="A1766" t="s">
        <v>3992</v>
      </c>
      <c r="B1766" s="5" t="s">
        <v>8656</v>
      </c>
      <c r="C1766" t="s">
        <v>6456</v>
      </c>
      <c r="D1766" t="s">
        <v>3993</v>
      </c>
      <c r="E1766" t="s">
        <v>8657</v>
      </c>
      <c r="F1766" s="1">
        <v>45716</v>
      </c>
      <c r="G1766" t="s">
        <v>51</v>
      </c>
      <c r="H1766" s="24">
        <v>0</v>
      </c>
      <c r="I1766" t="str">
        <f>IF(H1766&lt;=0,"",LOOKUP(H1766,'Regras e Parâmetros'!$B$4:$B$7,'Regras e Parâmetros'!$A$4:$A$7))</f>
        <v/>
      </c>
      <c r="J1766" t="s">
        <v>6456</v>
      </c>
      <c r="L1766" t="s">
        <v>9883</v>
      </c>
    </row>
    <row r="1767" spans="1:12" x14ac:dyDescent="0.3">
      <c r="A1767" t="s">
        <v>862</v>
      </c>
      <c r="B1767" s="5" t="s">
        <v>6940</v>
      </c>
      <c r="C1767" t="s">
        <v>6456</v>
      </c>
      <c r="D1767" t="s">
        <v>864</v>
      </c>
      <c r="E1767" t="s">
        <v>10127</v>
      </c>
      <c r="F1767" s="1">
        <v>44652</v>
      </c>
      <c r="G1767" t="s">
        <v>45</v>
      </c>
      <c r="H1767" s="24">
        <v>15000</v>
      </c>
      <c r="I1767" t="str">
        <f>IF(H1767&lt;=0,"",LOOKUP(H1767,'Regras e Parâmetros'!$B$4:$B$7,'Regras e Parâmetros'!$A$4:$A$7))</f>
        <v>Vip</v>
      </c>
      <c r="J1767" t="s">
        <v>6456</v>
      </c>
      <c r="L1767" t="s">
        <v>9793</v>
      </c>
    </row>
    <row r="1768" spans="1:12" x14ac:dyDescent="0.3">
      <c r="A1768" t="s">
        <v>5348</v>
      </c>
      <c r="B1768" s="5" t="s">
        <v>5349</v>
      </c>
      <c r="C1768" t="s">
        <v>6456</v>
      </c>
      <c r="D1768" t="s">
        <v>5997</v>
      </c>
      <c r="E1768" t="s">
        <v>9458</v>
      </c>
      <c r="F1768" s="1">
        <v>46117</v>
      </c>
      <c r="G1768" t="s">
        <v>45</v>
      </c>
      <c r="H1768" s="24">
        <v>0</v>
      </c>
      <c r="I1768" t="str">
        <f>IF(H1768&lt;=0,"",LOOKUP(H1768,'Regras e Parâmetros'!$B$4:$B$7,'Regras e Parâmetros'!$A$4:$A$7))</f>
        <v/>
      </c>
      <c r="J1768" t="s">
        <v>9790</v>
      </c>
      <c r="K1768" t="s">
        <v>9925</v>
      </c>
      <c r="L1768" t="s">
        <v>9883</v>
      </c>
    </row>
    <row r="1769" spans="1:12" x14ac:dyDescent="0.3">
      <c r="A1769" t="s">
        <v>8921</v>
      </c>
      <c r="B1769" s="5" t="s">
        <v>4467</v>
      </c>
      <c r="C1769" t="s">
        <v>6456</v>
      </c>
      <c r="D1769" t="s">
        <v>4468</v>
      </c>
      <c r="E1769" t="s">
        <v>4469</v>
      </c>
      <c r="F1769" s="1">
        <v>45859</v>
      </c>
      <c r="G1769" t="s">
        <v>45</v>
      </c>
      <c r="H1769" s="24">
        <v>0</v>
      </c>
      <c r="I1769" t="str">
        <f>IF(H1769&lt;=0,"",LOOKUP(H1769,'Regras e Parâmetros'!$B$4:$B$7,'Regras e Parâmetros'!$A$4:$A$7))</f>
        <v/>
      </c>
      <c r="J1769" t="s">
        <v>6747</v>
      </c>
      <c r="K1769" t="s">
        <v>72</v>
      </c>
      <c r="L1769" t="s">
        <v>9883</v>
      </c>
    </row>
    <row r="1770" spans="1:12" x14ac:dyDescent="0.3">
      <c r="A1770" t="s">
        <v>2262</v>
      </c>
      <c r="B1770" s="5" t="s">
        <v>7729</v>
      </c>
      <c r="C1770" t="s">
        <v>6456</v>
      </c>
      <c r="D1770" t="s">
        <v>2263</v>
      </c>
      <c r="E1770" t="s">
        <v>7730</v>
      </c>
      <c r="F1770" s="1">
        <v>45127</v>
      </c>
      <c r="G1770" t="s">
        <v>18</v>
      </c>
      <c r="H1770" s="24">
        <v>3929</v>
      </c>
      <c r="I1770" t="str">
        <f>IF(H1770&lt;=0,"",LOOKUP(H1770,'Regras e Parâmetros'!$B$4:$B$7,'Regras e Parâmetros'!$A$4:$A$7))</f>
        <v>Prata</v>
      </c>
      <c r="J1770" t="s">
        <v>6747</v>
      </c>
    </row>
    <row r="1771" spans="1:12" x14ac:dyDescent="0.3">
      <c r="A1771" t="s">
        <v>3503</v>
      </c>
      <c r="B1771" s="5" t="s">
        <v>8363</v>
      </c>
      <c r="C1771" t="s">
        <v>6456</v>
      </c>
      <c r="D1771" t="s">
        <v>3504</v>
      </c>
      <c r="E1771" t="s">
        <v>8364</v>
      </c>
      <c r="F1771" s="1">
        <v>45568</v>
      </c>
      <c r="G1771" t="s">
        <v>18</v>
      </c>
      <c r="H1771" s="24">
        <v>359</v>
      </c>
      <c r="I1771" t="str">
        <f>IF(H1771&lt;=0,"",LOOKUP(H1771,'Regras e Parâmetros'!$B$4:$B$7,'Regras e Parâmetros'!$A$4:$A$7))</f>
        <v>Bronze</v>
      </c>
      <c r="J1771" t="s">
        <v>9790</v>
      </c>
    </row>
    <row r="1772" spans="1:12" x14ac:dyDescent="0.3">
      <c r="A1772" t="s">
        <v>7816</v>
      </c>
      <c r="B1772" s="5" t="s">
        <v>7817</v>
      </c>
      <c r="C1772" t="s">
        <v>6456</v>
      </c>
      <c r="D1772" t="s">
        <v>2437</v>
      </c>
      <c r="E1772" t="s">
        <v>7818</v>
      </c>
      <c r="F1772" s="1">
        <v>45170</v>
      </c>
      <c r="G1772" t="s">
        <v>51</v>
      </c>
      <c r="H1772" s="24">
        <v>701</v>
      </c>
      <c r="I1772" t="str">
        <f>IF(H1772&lt;=0,"",LOOKUP(H1772,'Regras e Parâmetros'!$B$4:$B$7,'Regras e Parâmetros'!$A$4:$A$7))</f>
        <v>Bronze</v>
      </c>
      <c r="J1772" t="s">
        <v>6747</v>
      </c>
      <c r="L1772" t="s">
        <v>9791</v>
      </c>
    </row>
    <row r="1773" spans="1:12" x14ac:dyDescent="0.3">
      <c r="A1773" t="s">
        <v>8821</v>
      </c>
      <c r="B1773" s="5" t="s">
        <v>4291</v>
      </c>
      <c r="C1773" t="s">
        <v>6456</v>
      </c>
      <c r="D1773" t="s">
        <v>4292</v>
      </c>
      <c r="E1773" t="s">
        <v>4293</v>
      </c>
      <c r="F1773" s="1">
        <v>45803</v>
      </c>
      <c r="G1773" t="s">
        <v>110</v>
      </c>
      <c r="H1773" s="24">
        <v>0</v>
      </c>
      <c r="I1773" t="str">
        <f>IF(H1773&lt;=0,"",LOOKUP(H1773,'Regras e Parâmetros'!$B$4:$B$7,'Regras e Parâmetros'!$A$4:$A$7))</f>
        <v/>
      </c>
      <c r="J1773" t="s">
        <v>6747</v>
      </c>
      <c r="L1773" t="s">
        <v>9883</v>
      </c>
    </row>
    <row r="1774" spans="1:12" x14ac:dyDescent="0.3">
      <c r="A1774" t="s">
        <v>7349</v>
      </c>
      <c r="B1774" s="5" t="s">
        <v>6038</v>
      </c>
      <c r="C1774" t="s">
        <v>6456</v>
      </c>
      <c r="D1774" t="s">
        <v>1605</v>
      </c>
      <c r="E1774" t="s">
        <v>1606</v>
      </c>
      <c r="F1774" s="1">
        <v>44906</v>
      </c>
      <c r="G1774" t="s">
        <v>51</v>
      </c>
      <c r="H1774" s="24">
        <v>403</v>
      </c>
      <c r="I1774" t="str">
        <f>IF(H1774&lt;=0,"",LOOKUP(H1774,'Regras e Parâmetros'!$B$4:$B$7,'Regras e Parâmetros'!$A$4:$A$7))</f>
        <v>Bronze</v>
      </c>
      <c r="J1774" t="s">
        <v>6456</v>
      </c>
      <c r="L1774" t="s">
        <v>9792</v>
      </c>
    </row>
    <row r="1775" spans="1:12" x14ac:dyDescent="0.3">
      <c r="A1775" t="s">
        <v>3555</v>
      </c>
      <c r="B1775" s="5" t="s">
        <v>3556</v>
      </c>
      <c r="C1775" t="s">
        <v>6456</v>
      </c>
      <c r="D1775" t="s">
        <v>3557</v>
      </c>
      <c r="E1775" t="s">
        <v>3558</v>
      </c>
      <c r="F1775" s="1">
        <v>45583</v>
      </c>
      <c r="G1775" t="s">
        <v>110</v>
      </c>
      <c r="H1775" s="24">
        <v>122</v>
      </c>
      <c r="I1775" t="str">
        <f>IF(H1775&lt;=0,"",LOOKUP(H1775,'Regras e Parâmetros'!$B$4:$B$7,'Regras e Parâmetros'!$A$4:$A$7))</f>
        <v>Bronze</v>
      </c>
      <c r="J1775" t="s">
        <v>9790</v>
      </c>
    </row>
    <row r="1776" spans="1:12" x14ac:dyDescent="0.3">
      <c r="A1776" t="s">
        <v>3029</v>
      </c>
      <c r="B1776" s="5" t="s">
        <v>3030</v>
      </c>
      <c r="C1776" t="s">
        <v>6747</v>
      </c>
      <c r="D1776" t="s">
        <v>3031</v>
      </c>
      <c r="E1776" t="s">
        <v>3032</v>
      </c>
      <c r="F1776" s="1">
        <v>45401</v>
      </c>
      <c r="G1776" t="s">
        <v>100</v>
      </c>
      <c r="H1776" s="24">
        <v>860</v>
      </c>
      <c r="I1776" t="str">
        <f>IF(H1776&lt;=0,"",LOOKUP(H1776,'Regras e Parâmetros'!$B$4:$B$7,'Regras e Parâmetros'!$A$4:$A$7))</f>
        <v>Bronze</v>
      </c>
      <c r="J1776" t="s">
        <v>6747</v>
      </c>
      <c r="L1776" t="s">
        <v>10244</v>
      </c>
    </row>
    <row r="1777" spans="1:12" x14ac:dyDescent="0.3">
      <c r="A1777" t="s">
        <v>3505</v>
      </c>
      <c r="B1777" s="5" t="s">
        <v>3506</v>
      </c>
      <c r="C1777" t="s">
        <v>6456</v>
      </c>
      <c r="D1777" t="s">
        <v>3507</v>
      </c>
      <c r="E1777" t="s">
        <v>3508</v>
      </c>
      <c r="F1777" s="1">
        <v>45569</v>
      </c>
      <c r="G1777" t="s">
        <v>110</v>
      </c>
      <c r="H1777" s="24">
        <v>428</v>
      </c>
      <c r="I1777" t="str">
        <f>IF(H1777&lt;=0,"",LOOKUP(H1777,'Regras e Parâmetros'!$B$4:$B$7,'Regras e Parâmetros'!$A$4:$A$7))</f>
        <v>Bronze</v>
      </c>
      <c r="J1777" t="s">
        <v>9790</v>
      </c>
      <c r="L1777" t="s">
        <v>9792</v>
      </c>
    </row>
    <row r="1778" spans="1:12" x14ac:dyDescent="0.3">
      <c r="A1778" t="s">
        <v>2061</v>
      </c>
      <c r="B1778" s="5" t="s">
        <v>2062</v>
      </c>
      <c r="C1778" t="s">
        <v>6456</v>
      </c>
      <c r="D1778" t="s">
        <v>2063</v>
      </c>
      <c r="E1778" t="s">
        <v>2064</v>
      </c>
      <c r="F1778" s="1">
        <v>45062</v>
      </c>
      <c r="G1778" t="s">
        <v>110</v>
      </c>
      <c r="H1778" s="24">
        <v>0</v>
      </c>
      <c r="I1778" t="str">
        <f>IF(H1778&lt;=0,"",LOOKUP(H1778,'Regras e Parâmetros'!$B$4:$B$7,'Regras e Parâmetros'!$A$4:$A$7))</f>
        <v/>
      </c>
      <c r="J1778" t="s">
        <v>9790</v>
      </c>
    </row>
    <row r="1779" spans="1:12" x14ac:dyDescent="0.3">
      <c r="A1779" t="s">
        <v>139</v>
      </c>
      <c r="B1779" s="5" t="s">
        <v>6531</v>
      </c>
      <c r="C1779" t="s">
        <v>6456</v>
      </c>
      <c r="D1779" t="s">
        <v>140</v>
      </c>
      <c r="E1779" t="s">
        <v>141</v>
      </c>
      <c r="F1779" s="1">
        <v>44393</v>
      </c>
      <c r="G1779" t="s">
        <v>22</v>
      </c>
      <c r="H1779" s="24">
        <v>15000</v>
      </c>
      <c r="I1779" t="str">
        <f>IF(H1779&lt;=0,"",LOOKUP(H1779,'Regras e Parâmetros'!$B$4:$B$7,'Regras e Parâmetros'!$A$4:$A$7))</f>
        <v>Vip</v>
      </c>
      <c r="J1779" t="s">
        <v>9790</v>
      </c>
    </row>
    <row r="1780" spans="1:12" x14ac:dyDescent="0.3">
      <c r="A1780" t="s">
        <v>2115</v>
      </c>
      <c r="B1780" s="5" t="s">
        <v>7650</v>
      </c>
      <c r="C1780" t="s">
        <v>6456</v>
      </c>
      <c r="D1780" t="s">
        <v>2117</v>
      </c>
      <c r="E1780" t="s">
        <v>7651</v>
      </c>
      <c r="F1780" s="1">
        <v>45083</v>
      </c>
      <c r="G1780" t="s">
        <v>45</v>
      </c>
      <c r="H1780" s="24">
        <v>1037</v>
      </c>
      <c r="I1780" t="str">
        <f>IF(H1780&lt;=0,"",LOOKUP(H1780,'Regras e Parâmetros'!$B$4:$B$7,'Regras e Parâmetros'!$A$4:$A$7))</f>
        <v>Bronze</v>
      </c>
      <c r="J1780" t="s">
        <v>9790</v>
      </c>
      <c r="K1780" t="s">
        <v>8</v>
      </c>
    </row>
    <row r="1781" spans="1:12" x14ac:dyDescent="0.3">
      <c r="A1781" t="s">
        <v>2098</v>
      </c>
      <c r="B1781" s="5" t="s">
        <v>7630</v>
      </c>
      <c r="C1781" t="s">
        <v>6456</v>
      </c>
      <c r="D1781" t="s">
        <v>2099</v>
      </c>
      <c r="E1781" t="s">
        <v>7631</v>
      </c>
      <c r="F1781" s="1">
        <v>45077</v>
      </c>
      <c r="G1781" t="s">
        <v>45</v>
      </c>
      <c r="H1781" s="24">
        <v>4030</v>
      </c>
      <c r="I1781" t="str">
        <f>IF(H1781&lt;=0,"",LOOKUP(H1781,'Regras e Parâmetros'!$B$4:$B$7,'Regras e Parâmetros'!$A$4:$A$7))</f>
        <v>Prata</v>
      </c>
      <c r="J1781" t="s">
        <v>9790</v>
      </c>
    </row>
    <row r="1782" spans="1:12" x14ac:dyDescent="0.3">
      <c r="A1782" t="s">
        <v>5292</v>
      </c>
      <c r="B1782" s="5" t="s">
        <v>9423</v>
      </c>
      <c r="C1782" t="s">
        <v>6456</v>
      </c>
      <c r="D1782" t="s">
        <v>4389</v>
      </c>
      <c r="E1782" t="s">
        <v>5293</v>
      </c>
      <c r="F1782" s="1">
        <v>46104</v>
      </c>
      <c r="G1782" t="s">
        <v>110</v>
      </c>
      <c r="H1782" s="24">
        <v>0</v>
      </c>
      <c r="I1782" t="str">
        <f>IF(H1782&lt;=0,"",LOOKUP(H1782,'Regras e Parâmetros'!$B$4:$B$7,'Regras e Parâmetros'!$A$4:$A$7))</f>
        <v/>
      </c>
      <c r="J1782" t="s">
        <v>9790</v>
      </c>
      <c r="L1782" t="s">
        <v>9883</v>
      </c>
    </row>
    <row r="1783" spans="1:12" x14ac:dyDescent="0.3">
      <c r="A1783" t="s">
        <v>4248</v>
      </c>
      <c r="B1783" s="5" t="s">
        <v>8804</v>
      </c>
      <c r="C1783" t="s">
        <v>6456</v>
      </c>
      <c r="D1783" t="s">
        <v>5056</v>
      </c>
      <c r="E1783" t="s">
        <v>4250</v>
      </c>
      <c r="F1783" s="1">
        <v>45791</v>
      </c>
      <c r="G1783" t="s">
        <v>51</v>
      </c>
      <c r="H1783" s="24">
        <v>0</v>
      </c>
      <c r="I1783" t="str">
        <f>IF(H1783&lt;=0,"",LOOKUP(H1783,'Regras e Parâmetros'!$B$4:$B$7,'Regras e Parâmetros'!$A$4:$A$7))</f>
        <v/>
      </c>
      <c r="J1783" t="s">
        <v>6747</v>
      </c>
      <c r="K1783" t="s">
        <v>9896</v>
      </c>
      <c r="L1783" t="s">
        <v>9883</v>
      </c>
    </row>
    <row r="1784" spans="1:12" x14ac:dyDescent="0.3">
      <c r="A1784" t="s">
        <v>3324</v>
      </c>
      <c r="B1784" s="5" t="s">
        <v>8276</v>
      </c>
      <c r="C1784" t="s">
        <v>6456</v>
      </c>
      <c r="D1784" t="s">
        <v>3325</v>
      </c>
      <c r="E1784" t="s">
        <v>3326</v>
      </c>
      <c r="F1784" s="1">
        <v>45507</v>
      </c>
      <c r="G1784" t="s">
        <v>18</v>
      </c>
      <c r="H1784" s="24">
        <v>251</v>
      </c>
      <c r="I1784" t="str">
        <f>IF(H1784&lt;=0,"",LOOKUP(H1784,'Regras e Parâmetros'!$B$4:$B$7,'Regras e Parâmetros'!$A$4:$A$7))</f>
        <v>Bronze</v>
      </c>
      <c r="J1784" t="s">
        <v>6747</v>
      </c>
    </row>
    <row r="1785" spans="1:12" x14ac:dyDescent="0.3">
      <c r="A1785" t="s">
        <v>9534</v>
      </c>
      <c r="B1785" s="5" t="s">
        <v>5532</v>
      </c>
      <c r="C1785" t="s">
        <v>6456</v>
      </c>
      <c r="D1785" t="s">
        <v>9535</v>
      </c>
      <c r="E1785" t="s">
        <v>9536</v>
      </c>
      <c r="F1785" s="1">
        <v>46165</v>
      </c>
      <c r="G1785" t="s">
        <v>45</v>
      </c>
      <c r="H1785" s="24">
        <v>0</v>
      </c>
      <c r="I1785" t="str">
        <f>IF(H1785&lt;=0,"",LOOKUP(H1785,'Regras e Parâmetros'!$B$4:$B$7,'Regras e Parâmetros'!$A$4:$A$7))</f>
        <v/>
      </c>
      <c r="J1785" t="s">
        <v>6456</v>
      </c>
      <c r="L1785" t="s">
        <v>9883</v>
      </c>
    </row>
    <row r="1786" spans="1:12" x14ac:dyDescent="0.3">
      <c r="A1786" t="s">
        <v>558</v>
      </c>
      <c r="B1786" s="5" t="s">
        <v>6753</v>
      </c>
      <c r="C1786" t="s">
        <v>6456</v>
      </c>
      <c r="D1786" t="s">
        <v>559</v>
      </c>
      <c r="E1786" t="s">
        <v>6754</v>
      </c>
      <c r="F1786" s="1">
        <v>44539</v>
      </c>
      <c r="G1786" t="s">
        <v>45</v>
      </c>
      <c r="H1786" s="24">
        <v>3868</v>
      </c>
      <c r="I1786" t="str">
        <f>IF(H1786&lt;=0,"",LOOKUP(H1786,'Regras e Parâmetros'!$B$4:$B$7,'Regras e Parâmetros'!$A$4:$A$7))</f>
        <v>Prata</v>
      </c>
      <c r="J1786" t="s">
        <v>9790</v>
      </c>
    </row>
    <row r="1787" spans="1:12" x14ac:dyDescent="0.3">
      <c r="A1787" t="s">
        <v>652</v>
      </c>
      <c r="B1787" s="5" t="s">
        <v>6782</v>
      </c>
      <c r="C1787" t="s">
        <v>6456</v>
      </c>
      <c r="D1787" t="s">
        <v>653</v>
      </c>
      <c r="E1787" t="s">
        <v>654</v>
      </c>
      <c r="F1787" s="1">
        <v>44562</v>
      </c>
      <c r="G1787" t="s">
        <v>51</v>
      </c>
      <c r="H1787" s="24">
        <v>2161</v>
      </c>
      <c r="I1787" t="str">
        <f>IF(H1787&lt;=0,"",LOOKUP(H1787,'Regras e Parâmetros'!$B$4:$B$7,'Regras e Parâmetros'!$A$4:$A$7))</f>
        <v>Prata</v>
      </c>
      <c r="J1787" t="s">
        <v>9790</v>
      </c>
      <c r="L1787" t="s">
        <v>9791</v>
      </c>
    </row>
    <row r="1788" spans="1:12" x14ac:dyDescent="0.3">
      <c r="A1788" t="s">
        <v>1687</v>
      </c>
      <c r="B1788" s="5" t="s">
        <v>7405</v>
      </c>
      <c r="C1788" t="s">
        <v>6456</v>
      </c>
      <c r="D1788" t="s">
        <v>1688</v>
      </c>
      <c r="E1788" t="s">
        <v>1689</v>
      </c>
      <c r="F1788" s="1">
        <v>44937</v>
      </c>
      <c r="G1788" t="s">
        <v>100</v>
      </c>
      <c r="H1788" s="24">
        <v>5858</v>
      </c>
      <c r="I1788" t="str">
        <f>IF(H1788&lt;=0,"",LOOKUP(H1788,'Regras e Parâmetros'!$B$4:$B$7,'Regras e Parâmetros'!$A$4:$A$7))</f>
        <v>Ouro</v>
      </c>
      <c r="J1788" t="s">
        <v>9790</v>
      </c>
      <c r="L1788" t="s">
        <v>9792</v>
      </c>
    </row>
    <row r="1789" spans="1:12" x14ac:dyDescent="0.3">
      <c r="A1789" t="s">
        <v>5614</v>
      </c>
      <c r="B1789" s="5" t="s">
        <v>9591</v>
      </c>
      <c r="C1789" t="s">
        <v>6456</v>
      </c>
      <c r="D1789" t="s">
        <v>5615</v>
      </c>
      <c r="E1789" t="s">
        <v>9592</v>
      </c>
      <c r="F1789" s="1">
        <v>46189</v>
      </c>
      <c r="G1789" t="s">
        <v>110</v>
      </c>
      <c r="H1789" s="24">
        <v>0</v>
      </c>
      <c r="I1789" t="str">
        <f>IF(H1789&lt;=0,"",LOOKUP(H1789,'Regras e Parâmetros'!$B$4:$B$7,'Regras e Parâmetros'!$A$4:$A$7))</f>
        <v/>
      </c>
      <c r="J1789" t="s">
        <v>6747</v>
      </c>
      <c r="L1789" t="s">
        <v>9883</v>
      </c>
    </row>
    <row r="1790" spans="1:12" x14ac:dyDescent="0.3">
      <c r="A1790" t="s">
        <v>1763</v>
      </c>
      <c r="B1790" s="5" t="s">
        <v>7441</v>
      </c>
      <c r="C1790" t="s">
        <v>6456</v>
      </c>
      <c r="D1790" t="s">
        <v>1764</v>
      </c>
      <c r="E1790" t="s">
        <v>1765</v>
      </c>
      <c r="F1790" s="1">
        <v>44960</v>
      </c>
      <c r="G1790" t="s">
        <v>51</v>
      </c>
      <c r="H1790" s="24">
        <v>792</v>
      </c>
      <c r="I1790" t="str">
        <f>IF(H1790&lt;=0,"",LOOKUP(H1790,'Regras e Parâmetros'!$B$4:$B$7,'Regras e Parâmetros'!$A$4:$A$7))</f>
        <v>Bronze</v>
      </c>
      <c r="J1790" t="s">
        <v>9790</v>
      </c>
      <c r="L1790" t="s">
        <v>9792</v>
      </c>
    </row>
    <row r="1791" spans="1:12" x14ac:dyDescent="0.3">
      <c r="A1791" t="s">
        <v>5206</v>
      </c>
      <c r="B1791" s="5" t="s">
        <v>5207</v>
      </c>
      <c r="C1791" t="s">
        <v>6456</v>
      </c>
      <c r="D1791" t="s">
        <v>753</v>
      </c>
      <c r="E1791" t="s">
        <v>5208</v>
      </c>
      <c r="F1791" s="1">
        <v>46074</v>
      </c>
      <c r="G1791" t="s">
        <v>45</v>
      </c>
      <c r="H1791" s="24">
        <v>0</v>
      </c>
      <c r="I1791" t="str">
        <f>IF(H1791&lt;=0,"",LOOKUP(H1791,'Regras e Parâmetros'!$B$4:$B$7,'Regras e Parâmetros'!$A$4:$A$7))</f>
        <v/>
      </c>
      <c r="J1791" t="s">
        <v>9790</v>
      </c>
      <c r="K1791" t="s">
        <v>177</v>
      </c>
      <c r="L1791" t="s">
        <v>9886</v>
      </c>
    </row>
    <row r="1792" spans="1:12" x14ac:dyDescent="0.3">
      <c r="A1792" t="s">
        <v>2492</v>
      </c>
      <c r="B1792" s="5" t="s">
        <v>2493</v>
      </c>
      <c r="C1792" t="s">
        <v>6456</v>
      </c>
      <c r="D1792" t="s">
        <v>2494</v>
      </c>
      <c r="E1792" t="s">
        <v>7857</v>
      </c>
      <c r="F1792" s="1">
        <v>45200</v>
      </c>
      <c r="G1792" t="s">
        <v>45</v>
      </c>
      <c r="H1792" s="24">
        <v>425</v>
      </c>
      <c r="I1792" t="str">
        <f>IF(H1792&lt;=0,"",LOOKUP(H1792,'Regras e Parâmetros'!$B$4:$B$7,'Regras e Parâmetros'!$A$4:$A$7))</f>
        <v>Bronze</v>
      </c>
      <c r="J1792" t="s">
        <v>9790</v>
      </c>
      <c r="L1792" t="s">
        <v>9791</v>
      </c>
    </row>
    <row r="1793" spans="1:12" x14ac:dyDescent="0.3">
      <c r="A1793" t="s">
        <v>4787</v>
      </c>
      <c r="B1793" s="5" t="s">
        <v>9082</v>
      </c>
      <c r="C1793" t="s">
        <v>6456</v>
      </c>
      <c r="D1793" t="s">
        <v>4788</v>
      </c>
      <c r="E1793" t="s">
        <v>9083</v>
      </c>
      <c r="F1793" s="1">
        <v>45931</v>
      </c>
      <c r="G1793" t="s">
        <v>110</v>
      </c>
      <c r="H1793" s="24">
        <v>0</v>
      </c>
      <c r="I1793" t="str">
        <f>IF(H1793&lt;=0,"",LOOKUP(H1793,'Regras e Parâmetros'!$B$4:$B$7,'Regras e Parâmetros'!$A$4:$A$7))</f>
        <v/>
      </c>
      <c r="J1793" t="s">
        <v>9790</v>
      </c>
      <c r="L1793" t="s">
        <v>9884</v>
      </c>
    </row>
    <row r="1794" spans="1:12" x14ac:dyDescent="0.3">
      <c r="A1794" t="s">
        <v>6879</v>
      </c>
      <c r="B1794" s="5" t="s">
        <v>6880</v>
      </c>
      <c r="C1794" t="s">
        <v>6456</v>
      </c>
      <c r="D1794" t="s">
        <v>764</v>
      </c>
      <c r="E1794" t="s">
        <v>765</v>
      </c>
      <c r="F1794" s="1">
        <v>44617</v>
      </c>
      <c r="G1794" t="s">
        <v>51</v>
      </c>
      <c r="H1794" s="24">
        <v>999</v>
      </c>
      <c r="I1794" t="str">
        <f>IF(H1794&lt;=0,"",LOOKUP(H1794,'Regras e Parâmetros'!$B$4:$B$7,'Regras e Parâmetros'!$A$4:$A$7))</f>
        <v>Bronze</v>
      </c>
      <c r="J1794" t="s">
        <v>9790</v>
      </c>
    </row>
    <row r="1795" spans="1:12" x14ac:dyDescent="0.3">
      <c r="A1795" t="s">
        <v>4287</v>
      </c>
      <c r="B1795" s="5" t="s">
        <v>4288</v>
      </c>
      <c r="C1795" t="s">
        <v>6456</v>
      </c>
      <c r="D1795" t="s">
        <v>4289</v>
      </c>
      <c r="E1795" t="s">
        <v>4290</v>
      </c>
      <c r="F1795" s="1">
        <v>45803</v>
      </c>
      <c r="G1795" t="s">
        <v>100</v>
      </c>
      <c r="H1795" s="24">
        <v>0</v>
      </c>
      <c r="I1795" t="str">
        <f>IF(H1795&lt;=0,"",LOOKUP(H1795,'Regras e Parâmetros'!$B$4:$B$7,'Regras e Parâmetros'!$A$4:$A$7))</f>
        <v/>
      </c>
      <c r="J1795" t="s">
        <v>6747</v>
      </c>
      <c r="L1795" t="s">
        <v>9886</v>
      </c>
    </row>
    <row r="1796" spans="1:12" x14ac:dyDescent="0.3">
      <c r="A1796" t="s">
        <v>3840</v>
      </c>
      <c r="B1796" s="5" t="s">
        <v>3841</v>
      </c>
      <c r="C1796" t="s">
        <v>6747</v>
      </c>
      <c r="D1796" t="s">
        <v>3842</v>
      </c>
      <c r="E1796" t="s">
        <v>3843</v>
      </c>
      <c r="F1796" s="1">
        <v>45676</v>
      </c>
      <c r="G1796" t="s">
        <v>45</v>
      </c>
      <c r="H1796" s="24">
        <v>0</v>
      </c>
      <c r="I1796" t="str">
        <f>IF(H1796&lt;=0,"",LOOKUP(H1796,'Regras e Parâmetros'!$B$4:$B$7,'Regras e Parâmetros'!$A$4:$A$7))</f>
        <v/>
      </c>
      <c r="J1796" t="s">
        <v>9790</v>
      </c>
      <c r="L1796" t="s">
        <v>10242</v>
      </c>
    </row>
    <row r="1797" spans="1:12" x14ac:dyDescent="0.3">
      <c r="A1797" t="s">
        <v>7993</v>
      </c>
      <c r="B1797" s="5" t="s">
        <v>3483</v>
      </c>
      <c r="C1797" t="s">
        <v>6456</v>
      </c>
      <c r="D1797" t="s">
        <v>3484</v>
      </c>
      <c r="E1797" t="s">
        <v>3485</v>
      </c>
      <c r="F1797" s="1">
        <v>45285</v>
      </c>
      <c r="G1797" t="s">
        <v>51</v>
      </c>
      <c r="H1797" s="24">
        <v>395</v>
      </c>
      <c r="I1797" t="str">
        <f>IF(H1797&lt;=0,"",LOOKUP(H1797,'Regras e Parâmetros'!$B$4:$B$7,'Regras e Parâmetros'!$A$4:$A$7))</f>
        <v>Bronze</v>
      </c>
      <c r="J1797" t="s">
        <v>6747</v>
      </c>
      <c r="K1797" t="s">
        <v>9853</v>
      </c>
    </row>
    <row r="1798" spans="1:12" x14ac:dyDescent="0.3">
      <c r="A1798" t="s">
        <v>894</v>
      </c>
      <c r="B1798" s="5" t="s">
        <v>6955</v>
      </c>
      <c r="C1798" t="s">
        <v>6456</v>
      </c>
      <c r="D1798" t="s">
        <v>895</v>
      </c>
      <c r="E1798" t="s">
        <v>6956</v>
      </c>
      <c r="F1798" s="1">
        <v>44665</v>
      </c>
      <c r="G1798" t="s">
        <v>18</v>
      </c>
      <c r="H1798" s="24">
        <v>1725</v>
      </c>
      <c r="I1798" t="str">
        <f>IF(H1798&lt;=0,"",LOOKUP(H1798,'Regras e Parâmetros'!$B$4:$B$7,'Regras e Parâmetros'!$A$4:$A$7))</f>
        <v>Prata</v>
      </c>
      <c r="J1798" t="s">
        <v>9790</v>
      </c>
    </row>
    <row r="1799" spans="1:12" x14ac:dyDescent="0.3">
      <c r="A1799" t="s">
        <v>4025</v>
      </c>
      <c r="B1799" s="5" t="s">
        <v>8673</v>
      </c>
      <c r="C1799" t="s">
        <v>6456</v>
      </c>
      <c r="D1799" t="s">
        <v>4026</v>
      </c>
      <c r="E1799" t="s">
        <v>10128</v>
      </c>
      <c r="F1799" s="1">
        <v>45726</v>
      </c>
      <c r="G1799" t="s">
        <v>45</v>
      </c>
      <c r="H1799" s="24">
        <v>0</v>
      </c>
      <c r="I1799" t="str">
        <f>IF(H1799&lt;=0,"",LOOKUP(H1799,'Regras e Parâmetros'!$B$4:$B$7,'Regras e Parâmetros'!$A$4:$A$7))</f>
        <v/>
      </c>
      <c r="J1799" t="s">
        <v>9790</v>
      </c>
      <c r="L1799" t="s">
        <v>9883</v>
      </c>
    </row>
    <row r="1800" spans="1:12" x14ac:dyDescent="0.3">
      <c r="A1800" t="s">
        <v>2552</v>
      </c>
      <c r="B1800" s="5" t="s">
        <v>6095</v>
      </c>
      <c r="C1800" t="s">
        <v>6456</v>
      </c>
      <c r="D1800" t="s">
        <v>2553</v>
      </c>
      <c r="E1800" t="s">
        <v>2554</v>
      </c>
      <c r="F1800" s="1">
        <v>45213</v>
      </c>
      <c r="G1800" t="s">
        <v>18</v>
      </c>
      <c r="H1800" s="24">
        <v>0</v>
      </c>
      <c r="I1800" t="str">
        <f>IF(H1800&lt;=0,"",LOOKUP(H1800,'Regras e Parâmetros'!$B$4:$B$7,'Regras e Parâmetros'!$A$4:$A$7))</f>
        <v/>
      </c>
      <c r="J1800" t="s">
        <v>6747</v>
      </c>
    </row>
    <row r="1801" spans="1:12" x14ac:dyDescent="0.3">
      <c r="A1801" t="s">
        <v>5806</v>
      </c>
      <c r="B1801" s="5" t="s">
        <v>5807</v>
      </c>
      <c r="C1801" t="s">
        <v>6456</v>
      </c>
      <c r="D1801" t="s">
        <v>5808</v>
      </c>
      <c r="E1801" t="s">
        <v>5809</v>
      </c>
      <c r="F1801" s="1">
        <v>46244</v>
      </c>
      <c r="G1801" t="s">
        <v>18</v>
      </c>
      <c r="H1801" s="24">
        <v>0</v>
      </c>
      <c r="I1801" t="str">
        <f>IF(H1801&lt;=0,"",LOOKUP(H1801,'Regras e Parâmetros'!$B$4:$B$7,'Regras e Parâmetros'!$A$4:$A$7))</f>
        <v/>
      </c>
      <c r="J1801" t="s">
        <v>6747</v>
      </c>
      <c r="K1801" t="s">
        <v>187</v>
      </c>
      <c r="L1801" t="s">
        <v>9883</v>
      </c>
    </row>
    <row r="1802" spans="1:12" x14ac:dyDescent="0.3">
      <c r="A1802" t="s">
        <v>7012</v>
      </c>
      <c r="B1802" s="5" t="s">
        <v>7013</v>
      </c>
      <c r="C1802" t="s">
        <v>6456</v>
      </c>
      <c r="D1802" t="s">
        <v>7014</v>
      </c>
      <c r="E1802" t="s">
        <v>7015</v>
      </c>
      <c r="F1802" s="1">
        <v>44710</v>
      </c>
      <c r="G1802" t="s">
        <v>18</v>
      </c>
      <c r="H1802" s="24">
        <v>15000</v>
      </c>
      <c r="I1802" t="str">
        <f>IF(H1802&lt;=0,"",LOOKUP(H1802,'Regras e Parâmetros'!$B$4:$B$7,'Regras e Parâmetros'!$A$4:$A$7))</f>
        <v>Vip</v>
      </c>
      <c r="J1802" t="s">
        <v>6456</v>
      </c>
      <c r="K1802" t="s">
        <v>177</v>
      </c>
    </row>
    <row r="1803" spans="1:12" x14ac:dyDescent="0.3">
      <c r="A1803" t="s">
        <v>1753</v>
      </c>
      <c r="B1803" s="5" t="s">
        <v>6200</v>
      </c>
      <c r="C1803" t="s">
        <v>6456</v>
      </c>
      <c r="D1803" t="s">
        <v>1754</v>
      </c>
      <c r="E1803" t="s">
        <v>10129</v>
      </c>
      <c r="F1803" s="1">
        <v>44927</v>
      </c>
      <c r="G1803" t="s">
        <v>22</v>
      </c>
      <c r="H1803" s="24">
        <v>4880</v>
      </c>
      <c r="I1803" t="str">
        <f>IF(H1803&lt;=0,"",LOOKUP(H1803,'Regras e Parâmetros'!$B$4:$B$7,'Regras e Parâmetros'!$A$4:$A$7))</f>
        <v>Prata</v>
      </c>
      <c r="J1803" t="s">
        <v>9790</v>
      </c>
      <c r="K1803" t="s">
        <v>44</v>
      </c>
      <c r="L1803" t="s">
        <v>9791</v>
      </c>
    </row>
    <row r="1804" spans="1:12" x14ac:dyDescent="0.3">
      <c r="A1804" t="s">
        <v>3447</v>
      </c>
      <c r="B1804" s="5" t="s">
        <v>8340</v>
      </c>
      <c r="C1804" t="s">
        <v>6456</v>
      </c>
      <c r="D1804" t="s">
        <v>3448</v>
      </c>
      <c r="E1804" t="s">
        <v>8341</v>
      </c>
      <c r="F1804" s="1">
        <v>45550</v>
      </c>
      <c r="G1804" t="s">
        <v>18</v>
      </c>
      <c r="H1804" s="24">
        <v>3826</v>
      </c>
      <c r="I1804" t="str">
        <f>IF(H1804&lt;=0,"",LOOKUP(H1804,'Regras e Parâmetros'!$B$4:$B$7,'Regras e Parâmetros'!$A$4:$A$7))</f>
        <v>Prata</v>
      </c>
      <c r="J1804" t="s">
        <v>9790</v>
      </c>
    </row>
    <row r="1805" spans="1:12" x14ac:dyDescent="0.3">
      <c r="A1805" t="s">
        <v>3356</v>
      </c>
      <c r="B1805" s="5" t="s">
        <v>8294</v>
      </c>
      <c r="C1805" t="s">
        <v>6456</v>
      </c>
      <c r="D1805" t="s">
        <v>3357</v>
      </c>
      <c r="E1805" t="s">
        <v>8295</v>
      </c>
      <c r="F1805" s="1">
        <v>45514</v>
      </c>
      <c r="G1805" t="s">
        <v>110</v>
      </c>
      <c r="H1805" s="24">
        <v>1492</v>
      </c>
      <c r="I1805" t="str">
        <f>IF(H1805&lt;=0,"",LOOKUP(H1805,'Regras e Parâmetros'!$B$4:$B$7,'Regras e Parâmetros'!$A$4:$A$7))</f>
        <v>Bronze</v>
      </c>
      <c r="J1805" t="s">
        <v>6747</v>
      </c>
    </row>
    <row r="1806" spans="1:12" x14ac:dyDescent="0.3">
      <c r="A1806" t="s">
        <v>52</v>
      </c>
      <c r="B1806" s="5" t="s">
        <v>53</v>
      </c>
      <c r="C1806" t="s">
        <v>6456</v>
      </c>
      <c r="D1806" t="s">
        <v>54</v>
      </c>
      <c r="E1806" t="s">
        <v>6484</v>
      </c>
      <c r="F1806" s="1">
        <v>44364</v>
      </c>
      <c r="G1806" t="s">
        <v>51</v>
      </c>
      <c r="H1806" s="24">
        <v>0</v>
      </c>
      <c r="I1806" t="str">
        <f>IF(H1806&lt;=0,"",LOOKUP(H1806,'Regras e Parâmetros'!$B$4:$B$7,'Regras e Parâmetros'!$A$4:$A$7))</f>
        <v/>
      </c>
      <c r="J1806" t="s">
        <v>6456</v>
      </c>
      <c r="K1806" t="s">
        <v>8</v>
      </c>
    </row>
    <row r="1807" spans="1:12" x14ac:dyDescent="0.3">
      <c r="A1807" t="s">
        <v>485</v>
      </c>
      <c r="B1807" s="5" t="s">
        <v>6718</v>
      </c>
      <c r="C1807" t="s">
        <v>6456</v>
      </c>
      <c r="D1807" t="s">
        <v>486</v>
      </c>
      <c r="E1807" t="s">
        <v>487</v>
      </c>
      <c r="F1807" s="1">
        <v>44513</v>
      </c>
      <c r="G1807" t="s">
        <v>18</v>
      </c>
      <c r="H1807" s="24">
        <v>246</v>
      </c>
      <c r="I1807" t="str">
        <f>IF(H1807&lt;=0,"",LOOKUP(H1807,'Regras e Parâmetros'!$B$4:$B$7,'Regras e Parâmetros'!$A$4:$A$7))</f>
        <v>Bronze</v>
      </c>
      <c r="J1807" t="s">
        <v>6747</v>
      </c>
      <c r="K1807" t="s">
        <v>187</v>
      </c>
      <c r="L1807" t="s">
        <v>9792</v>
      </c>
    </row>
    <row r="1808" spans="1:12" x14ac:dyDescent="0.3">
      <c r="A1808" t="s">
        <v>8636</v>
      </c>
      <c r="B1808" s="5" t="s">
        <v>8637</v>
      </c>
      <c r="C1808" t="s">
        <v>6456</v>
      </c>
      <c r="D1808" t="s">
        <v>3944</v>
      </c>
      <c r="E1808" t="s">
        <v>3945</v>
      </c>
      <c r="F1808" s="1">
        <v>45701</v>
      </c>
      <c r="G1808" t="s">
        <v>45</v>
      </c>
      <c r="H1808" s="24">
        <v>0</v>
      </c>
      <c r="I1808" t="str">
        <f>IF(H1808&lt;=0,"",LOOKUP(H1808,'Regras e Parâmetros'!$B$4:$B$7,'Regras e Parâmetros'!$A$4:$A$7))</f>
        <v/>
      </c>
      <c r="J1808" t="s">
        <v>6456</v>
      </c>
      <c r="L1808" t="s">
        <v>9886</v>
      </c>
    </row>
    <row r="1809" spans="1:12" x14ac:dyDescent="0.3">
      <c r="A1809" t="s">
        <v>9161</v>
      </c>
      <c r="B1809" s="5" t="s">
        <v>9162</v>
      </c>
      <c r="C1809" t="s">
        <v>6456</v>
      </c>
      <c r="D1809" t="s">
        <v>4860</v>
      </c>
      <c r="E1809" t="s">
        <v>9163</v>
      </c>
      <c r="F1809" s="1">
        <v>45970</v>
      </c>
      <c r="G1809" t="s">
        <v>51</v>
      </c>
      <c r="H1809" s="24">
        <v>0</v>
      </c>
      <c r="I1809" t="str">
        <f>IF(H1809&lt;=0,"",LOOKUP(H1809,'Regras e Parâmetros'!$B$4:$B$7,'Regras e Parâmetros'!$A$4:$A$7))</f>
        <v/>
      </c>
      <c r="J1809" t="s">
        <v>9790</v>
      </c>
      <c r="L1809" t="s">
        <v>9883</v>
      </c>
    </row>
    <row r="1810" spans="1:12" x14ac:dyDescent="0.3">
      <c r="A1810" t="s">
        <v>9161</v>
      </c>
      <c r="B1810" s="5" t="s">
        <v>9686</v>
      </c>
      <c r="C1810" t="s">
        <v>6456</v>
      </c>
      <c r="D1810" t="s">
        <v>5785</v>
      </c>
      <c r="E1810" t="s">
        <v>9687</v>
      </c>
      <c r="F1810" s="1">
        <v>46235</v>
      </c>
      <c r="G1810" t="s">
        <v>110</v>
      </c>
      <c r="H1810" s="24">
        <v>0</v>
      </c>
      <c r="I1810" t="str">
        <f>IF(H1810&lt;=0,"",LOOKUP(H1810,'Regras e Parâmetros'!$B$4:$B$7,'Regras e Parâmetros'!$A$4:$A$7))</f>
        <v/>
      </c>
      <c r="J1810" t="s">
        <v>9790</v>
      </c>
      <c r="L1810" t="s">
        <v>9884</v>
      </c>
    </row>
    <row r="1811" spans="1:12" x14ac:dyDescent="0.3">
      <c r="A1811" t="s">
        <v>4150</v>
      </c>
      <c r="B1811" s="5" t="s">
        <v>8750</v>
      </c>
      <c r="C1811" t="s">
        <v>6456</v>
      </c>
      <c r="D1811" t="s">
        <v>4151</v>
      </c>
      <c r="E1811" t="s">
        <v>8751</v>
      </c>
      <c r="F1811" s="1">
        <v>45758</v>
      </c>
      <c r="G1811" t="s">
        <v>100</v>
      </c>
      <c r="H1811" s="24">
        <v>0</v>
      </c>
      <c r="I1811" t="str">
        <f>IF(H1811&lt;=0,"",LOOKUP(H1811,'Regras e Parâmetros'!$B$4:$B$7,'Regras e Parâmetros'!$A$4:$A$7))</f>
        <v/>
      </c>
      <c r="J1811" t="s">
        <v>6747</v>
      </c>
      <c r="L1811" t="s">
        <v>9883</v>
      </c>
    </row>
    <row r="1812" spans="1:12" x14ac:dyDescent="0.3">
      <c r="A1812" t="s">
        <v>667</v>
      </c>
      <c r="B1812" s="5" t="s">
        <v>6814</v>
      </c>
      <c r="C1812" t="s">
        <v>6456</v>
      </c>
      <c r="D1812" t="s">
        <v>668</v>
      </c>
      <c r="E1812" t="s">
        <v>669</v>
      </c>
      <c r="F1812" s="1">
        <v>44577</v>
      </c>
      <c r="G1812" t="s">
        <v>45</v>
      </c>
      <c r="H1812" s="24">
        <v>0</v>
      </c>
      <c r="I1812" t="str">
        <f>IF(H1812&lt;=0,"",LOOKUP(H1812,'Regras e Parâmetros'!$B$4:$B$7,'Regras e Parâmetros'!$A$4:$A$7))</f>
        <v/>
      </c>
      <c r="J1812" t="s">
        <v>9790</v>
      </c>
    </row>
    <row r="1813" spans="1:12" x14ac:dyDescent="0.3">
      <c r="A1813" t="s">
        <v>7090</v>
      </c>
      <c r="B1813" s="5" t="s">
        <v>1206</v>
      </c>
      <c r="C1813" t="s">
        <v>6456</v>
      </c>
      <c r="D1813" t="s">
        <v>1207</v>
      </c>
      <c r="E1813" t="s">
        <v>7091</v>
      </c>
      <c r="F1813" s="1">
        <v>44765</v>
      </c>
      <c r="G1813" t="s">
        <v>51</v>
      </c>
      <c r="H1813" s="24">
        <v>1001</v>
      </c>
      <c r="I1813" t="str">
        <f>IF(H1813&lt;=0,"",LOOKUP(H1813,'Regras e Parâmetros'!$B$4:$B$7,'Regras e Parâmetros'!$A$4:$A$7))</f>
        <v>Bronze</v>
      </c>
      <c r="J1813" t="s">
        <v>6747</v>
      </c>
    </row>
    <row r="1814" spans="1:12" x14ac:dyDescent="0.3">
      <c r="A1814" t="s">
        <v>2694</v>
      </c>
      <c r="B1814" s="5" t="s">
        <v>2695</v>
      </c>
      <c r="C1814" t="s">
        <v>6456</v>
      </c>
      <c r="D1814" t="s">
        <v>2696</v>
      </c>
      <c r="E1814" t="s">
        <v>2697</v>
      </c>
      <c r="F1814" s="1">
        <v>45261</v>
      </c>
      <c r="G1814" t="s">
        <v>51</v>
      </c>
      <c r="H1814" s="24">
        <v>877</v>
      </c>
      <c r="I1814" t="str">
        <f>IF(H1814&lt;=0,"",LOOKUP(H1814,'Regras e Parâmetros'!$B$4:$B$7,'Regras e Parâmetros'!$A$4:$A$7))</f>
        <v>Bronze</v>
      </c>
      <c r="J1814" t="s">
        <v>6747</v>
      </c>
      <c r="L1814" t="s">
        <v>9791</v>
      </c>
    </row>
    <row r="1815" spans="1:12" x14ac:dyDescent="0.3">
      <c r="A1815" t="s">
        <v>5113</v>
      </c>
      <c r="B1815" s="5" t="s">
        <v>9304</v>
      </c>
      <c r="C1815" t="s">
        <v>6456</v>
      </c>
      <c r="D1815" t="s">
        <v>5114</v>
      </c>
      <c r="E1815" t="s">
        <v>9305</v>
      </c>
      <c r="F1815" s="1">
        <v>46048</v>
      </c>
      <c r="G1815" t="s">
        <v>51</v>
      </c>
      <c r="H1815" s="24">
        <v>0</v>
      </c>
      <c r="I1815" t="str">
        <f>IF(H1815&lt;=0,"",LOOKUP(H1815,'Regras e Parâmetros'!$B$4:$B$7,'Regras e Parâmetros'!$A$4:$A$7))</f>
        <v/>
      </c>
      <c r="J1815" t="s">
        <v>9790</v>
      </c>
      <c r="L1815" t="s">
        <v>9883</v>
      </c>
    </row>
    <row r="1816" spans="1:12" x14ac:dyDescent="0.3">
      <c r="A1816" t="s">
        <v>178</v>
      </c>
      <c r="B1816" s="5" t="s">
        <v>179</v>
      </c>
      <c r="C1816" t="s">
        <v>6456</v>
      </c>
      <c r="D1816" t="s">
        <v>180</v>
      </c>
      <c r="E1816" t="s">
        <v>181</v>
      </c>
      <c r="F1816" s="1">
        <v>44401</v>
      </c>
      <c r="G1816" t="s">
        <v>45</v>
      </c>
      <c r="H1816" s="24">
        <v>1087</v>
      </c>
      <c r="I1816" t="str">
        <f>IF(H1816&lt;=0,"",LOOKUP(H1816,'Regras e Parâmetros'!$B$4:$B$7,'Regras e Parâmetros'!$A$4:$A$7))</f>
        <v>Bronze</v>
      </c>
      <c r="J1816" t="s">
        <v>6456</v>
      </c>
      <c r="K1816" t="s">
        <v>33</v>
      </c>
    </row>
    <row r="1817" spans="1:12" x14ac:dyDescent="0.3">
      <c r="A1817" t="s">
        <v>9120</v>
      </c>
      <c r="B1817" s="5" t="s">
        <v>4780</v>
      </c>
      <c r="C1817" t="s">
        <v>6456</v>
      </c>
      <c r="D1817" t="s">
        <v>4781</v>
      </c>
      <c r="E1817" t="s">
        <v>9121</v>
      </c>
      <c r="F1817" s="1">
        <v>45949</v>
      </c>
      <c r="G1817" t="s">
        <v>51</v>
      </c>
      <c r="H1817" s="24">
        <v>0</v>
      </c>
      <c r="I1817" t="str">
        <f>IF(H1817&lt;=0,"",LOOKUP(H1817,'Regras e Parâmetros'!$B$4:$B$7,'Regras e Parâmetros'!$A$4:$A$7))</f>
        <v/>
      </c>
      <c r="J1817" t="s">
        <v>9790</v>
      </c>
      <c r="K1817" t="s">
        <v>72</v>
      </c>
      <c r="L1817" t="s">
        <v>9883</v>
      </c>
    </row>
    <row r="1818" spans="1:12" x14ac:dyDescent="0.3">
      <c r="A1818" t="s">
        <v>2878</v>
      </c>
      <c r="B1818" s="5" t="s">
        <v>8058</v>
      </c>
      <c r="C1818" t="s">
        <v>6456</v>
      </c>
      <c r="D1818" t="s">
        <v>2880</v>
      </c>
      <c r="E1818" t="s">
        <v>2881</v>
      </c>
      <c r="F1818" s="1">
        <v>45351</v>
      </c>
      <c r="G1818" t="s">
        <v>51</v>
      </c>
      <c r="H1818" s="24">
        <v>0</v>
      </c>
      <c r="I1818" t="str">
        <f>IF(H1818&lt;=0,"",LOOKUP(H1818,'Regras e Parâmetros'!$B$4:$B$7,'Regras e Parâmetros'!$A$4:$A$7))</f>
        <v/>
      </c>
      <c r="J1818" t="s">
        <v>6747</v>
      </c>
    </row>
    <row r="1819" spans="1:12" x14ac:dyDescent="0.3">
      <c r="A1819" t="s">
        <v>4071</v>
      </c>
      <c r="B1819" s="5" t="s">
        <v>8696</v>
      </c>
      <c r="C1819" t="s">
        <v>6456</v>
      </c>
      <c r="D1819" t="s">
        <v>4072</v>
      </c>
      <c r="E1819" t="s">
        <v>8697</v>
      </c>
      <c r="F1819" s="1">
        <v>45735</v>
      </c>
      <c r="G1819" t="s">
        <v>51</v>
      </c>
      <c r="H1819" s="24">
        <v>0</v>
      </c>
      <c r="I1819" t="str">
        <f>IF(H1819&lt;=0,"",LOOKUP(H1819,'Regras e Parâmetros'!$B$4:$B$7,'Regras e Parâmetros'!$A$4:$A$7))</f>
        <v/>
      </c>
      <c r="J1819" t="s">
        <v>6456</v>
      </c>
      <c r="L1819" t="s">
        <v>9883</v>
      </c>
    </row>
    <row r="1820" spans="1:12" x14ac:dyDescent="0.3">
      <c r="A1820" t="s">
        <v>2574</v>
      </c>
      <c r="B1820" s="5" t="s">
        <v>6037</v>
      </c>
      <c r="C1820" t="s">
        <v>6456</v>
      </c>
      <c r="D1820" t="s">
        <v>2575</v>
      </c>
      <c r="E1820" t="s">
        <v>7902</v>
      </c>
      <c r="F1820" s="1">
        <v>45224</v>
      </c>
      <c r="G1820" t="s">
        <v>51</v>
      </c>
      <c r="H1820" s="24">
        <v>3595</v>
      </c>
      <c r="I1820" t="str">
        <f>IF(H1820&lt;=0,"",LOOKUP(H1820,'Regras e Parâmetros'!$B$4:$B$7,'Regras e Parâmetros'!$A$4:$A$7))</f>
        <v>Prata</v>
      </c>
      <c r="J1820" t="s">
        <v>9790</v>
      </c>
    </row>
    <row r="1821" spans="1:12" x14ac:dyDescent="0.3">
      <c r="A1821" t="s">
        <v>3373</v>
      </c>
      <c r="B1821" s="5" t="s">
        <v>8302</v>
      </c>
      <c r="C1821" t="s">
        <v>6456</v>
      </c>
      <c r="D1821" t="s">
        <v>3374</v>
      </c>
      <c r="E1821" t="s">
        <v>8303</v>
      </c>
      <c r="F1821" s="1">
        <v>45518</v>
      </c>
      <c r="G1821" t="s">
        <v>51</v>
      </c>
      <c r="H1821" s="24">
        <v>1217</v>
      </c>
      <c r="I1821" t="str">
        <f>IF(H1821&lt;=0,"",LOOKUP(H1821,'Regras e Parâmetros'!$B$4:$B$7,'Regras e Parâmetros'!$A$4:$A$7))</f>
        <v>Bronze</v>
      </c>
      <c r="J1821" t="s">
        <v>9790</v>
      </c>
      <c r="K1821" t="s">
        <v>8</v>
      </c>
    </row>
    <row r="1822" spans="1:12" x14ac:dyDescent="0.3">
      <c r="A1822" t="s">
        <v>9091</v>
      </c>
      <c r="B1822" s="5" t="s">
        <v>9092</v>
      </c>
      <c r="C1822" t="s">
        <v>6456</v>
      </c>
      <c r="D1822" t="s">
        <v>4717</v>
      </c>
      <c r="E1822" t="s">
        <v>9093</v>
      </c>
      <c r="F1822" s="1">
        <v>45933</v>
      </c>
      <c r="G1822" t="s">
        <v>45</v>
      </c>
      <c r="H1822" s="24">
        <v>0</v>
      </c>
      <c r="I1822" t="str">
        <f>IF(H1822&lt;=0,"",LOOKUP(H1822,'Regras e Parâmetros'!$B$4:$B$7,'Regras e Parâmetros'!$A$4:$A$7))</f>
        <v/>
      </c>
      <c r="J1822" t="s">
        <v>6747</v>
      </c>
      <c r="L1822" t="s">
        <v>9883</v>
      </c>
    </row>
    <row r="1823" spans="1:12" x14ac:dyDescent="0.3">
      <c r="A1823" t="s">
        <v>5151</v>
      </c>
      <c r="B1823" s="5" t="s">
        <v>9330</v>
      </c>
      <c r="C1823" t="s">
        <v>6456</v>
      </c>
      <c r="D1823" t="s">
        <v>5152</v>
      </c>
      <c r="E1823" t="s">
        <v>9331</v>
      </c>
      <c r="F1823" s="1">
        <v>46056</v>
      </c>
      <c r="G1823" t="s">
        <v>51</v>
      </c>
      <c r="H1823" s="24">
        <v>0</v>
      </c>
      <c r="I1823" t="str">
        <f>IF(H1823&lt;=0,"",LOOKUP(H1823,'Regras e Parâmetros'!$B$4:$B$7,'Regras e Parâmetros'!$A$4:$A$7))</f>
        <v/>
      </c>
      <c r="J1823" t="s">
        <v>6456</v>
      </c>
      <c r="L1823" t="s">
        <v>9883</v>
      </c>
    </row>
    <row r="1824" spans="1:12" x14ac:dyDescent="0.3">
      <c r="A1824" t="s">
        <v>2512</v>
      </c>
      <c r="B1824" s="5" t="s">
        <v>7873</v>
      </c>
      <c r="C1824" t="s">
        <v>6456</v>
      </c>
      <c r="D1824" t="s">
        <v>2513</v>
      </c>
      <c r="E1824" t="s">
        <v>2514</v>
      </c>
      <c r="F1824" s="1">
        <v>45207</v>
      </c>
      <c r="G1824" t="s">
        <v>51</v>
      </c>
      <c r="H1824" s="24">
        <v>4866</v>
      </c>
      <c r="I1824" t="str">
        <f>IF(H1824&lt;=0,"",LOOKUP(H1824,'Regras e Parâmetros'!$B$4:$B$7,'Regras e Parâmetros'!$A$4:$A$7))</f>
        <v>Prata</v>
      </c>
      <c r="J1824" t="s">
        <v>9790</v>
      </c>
    </row>
    <row r="1825" spans="1:12" x14ac:dyDescent="0.3">
      <c r="A1825" t="s">
        <v>788</v>
      </c>
      <c r="B1825" s="5" t="s">
        <v>6893</v>
      </c>
      <c r="C1825" t="s">
        <v>6456</v>
      </c>
      <c r="D1825" t="s">
        <v>789</v>
      </c>
      <c r="E1825" t="s">
        <v>6894</v>
      </c>
      <c r="F1825" s="1">
        <v>44624</v>
      </c>
      <c r="G1825" t="s">
        <v>51</v>
      </c>
      <c r="H1825" s="24">
        <v>414</v>
      </c>
      <c r="I1825" t="str">
        <f>IF(H1825&lt;=0,"",LOOKUP(H1825,'Regras e Parâmetros'!$B$4:$B$7,'Regras e Parâmetros'!$A$4:$A$7))</f>
        <v>Bronze</v>
      </c>
      <c r="J1825" t="s">
        <v>6456</v>
      </c>
    </row>
    <row r="1826" spans="1:12" x14ac:dyDescent="0.3">
      <c r="A1826" t="s">
        <v>507</v>
      </c>
      <c r="B1826" s="5" t="s">
        <v>6728</v>
      </c>
      <c r="C1826" t="s">
        <v>6456</v>
      </c>
      <c r="D1826" t="s">
        <v>508</v>
      </c>
      <c r="E1826" t="s">
        <v>509</v>
      </c>
      <c r="F1826" s="1">
        <v>44521</v>
      </c>
      <c r="G1826" t="s">
        <v>18</v>
      </c>
      <c r="H1826" s="24">
        <v>1607</v>
      </c>
      <c r="I1826" t="str">
        <f>IF(H1826&lt;=0,"",LOOKUP(H1826,'Regras e Parâmetros'!$B$4:$B$7,'Regras e Parâmetros'!$A$4:$A$7))</f>
        <v>Prata</v>
      </c>
      <c r="J1826" t="s">
        <v>9790</v>
      </c>
      <c r="L1826" t="s">
        <v>9792</v>
      </c>
    </row>
    <row r="1827" spans="1:12" x14ac:dyDescent="0.3">
      <c r="A1827" t="s">
        <v>507</v>
      </c>
      <c r="B1827" s="5" t="s">
        <v>1986</v>
      </c>
      <c r="C1827" t="s">
        <v>6456</v>
      </c>
      <c r="D1827" t="s">
        <v>1987</v>
      </c>
      <c r="E1827" t="s">
        <v>1988</v>
      </c>
      <c r="F1827" s="1">
        <v>45038</v>
      </c>
      <c r="G1827" t="s">
        <v>45</v>
      </c>
      <c r="H1827" s="24">
        <v>650</v>
      </c>
      <c r="I1827" t="str">
        <f>IF(H1827&lt;=0,"",LOOKUP(H1827,'Regras e Parâmetros'!$B$4:$B$7,'Regras e Parâmetros'!$A$4:$A$7))</f>
        <v>Bronze</v>
      </c>
      <c r="J1827" t="s">
        <v>9790</v>
      </c>
    </row>
    <row r="1828" spans="1:12" x14ac:dyDescent="0.3">
      <c r="A1828" t="s">
        <v>312</v>
      </c>
      <c r="B1828" s="5" t="s">
        <v>313</v>
      </c>
      <c r="C1828" t="s">
        <v>6456</v>
      </c>
      <c r="D1828" t="s">
        <v>314</v>
      </c>
      <c r="E1828" t="s">
        <v>315</v>
      </c>
      <c r="F1828" s="1">
        <v>44451</v>
      </c>
      <c r="G1828" t="s">
        <v>45</v>
      </c>
      <c r="H1828" s="24">
        <v>1100</v>
      </c>
      <c r="I1828" t="str">
        <f>IF(H1828&lt;=0,"",LOOKUP(H1828,'Regras e Parâmetros'!$B$4:$B$7,'Regras e Parâmetros'!$A$4:$A$7))</f>
        <v>Bronze</v>
      </c>
      <c r="J1828" t="s">
        <v>6747</v>
      </c>
      <c r="L1828" t="s">
        <v>9793</v>
      </c>
    </row>
    <row r="1829" spans="1:12" x14ac:dyDescent="0.3">
      <c r="A1829" t="s">
        <v>346</v>
      </c>
      <c r="B1829" s="5" t="s">
        <v>6635</v>
      </c>
      <c r="C1829" t="s">
        <v>6456</v>
      </c>
      <c r="D1829" t="s">
        <v>896</v>
      </c>
      <c r="E1829" t="s">
        <v>6636</v>
      </c>
      <c r="F1829" s="1">
        <v>44462</v>
      </c>
      <c r="G1829" t="s">
        <v>51</v>
      </c>
      <c r="H1829" s="24">
        <v>545</v>
      </c>
      <c r="I1829" t="str">
        <f>IF(H1829&lt;=0,"",LOOKUP(H1829,'Regras e Parâmetros'!$B$4:$B$7,'Regras e Parâmetros'!$A$4:$A$7))</f>
        <v>Bronze</v>
      </c>
      <c r="J1829" t="s">
        <v>6747</v>
      </c>
      <c r="K1829" t="s">
        <v>9797</v>
      </c>
    </row>
    <row r="1830" spans="1:12" x14ac:dyDescent="0.3">
      <c r="A1830" t="s">
        <v>1208</v>
      </c>
      <c r="B1830" s="5" t="s">
        <v>7019</v>
      </c>
      <c r="C1830" t="s">
        <v>6456</v>
      </c>
      <c r="D1830" t="s">
        <v>1209</v>
      </c>
      <c r="E1830" t="s">
        <v>1210</v>
      </c>
      <c r="F1830" s="1">
        <v>44713</v>
      </c>
      <c r="G1830" t="s">
        <v>51</v>
      </c>
      <c r="H1830" s="24">
        <v>15000</v>
      </c>
      <c r="I1830" t="str">
        <f>IF(H1830&lt;=0,"",LOOKUP(H1830,'Regras e Parâmetros'!$B$4:$B$7,'Regras e Parâmetros'!$A$4:$A$7))</f>
        <v>Vip</v>
      </c>
      <c r="J1830" t="s">
        <v>6747</v>
      </c>
      <c r="L1830" t="s">
        <v>9791</v>
      </c>
    </row>
    <row r="1831" spans="1:12" x14ac:dyDescent="0.3">
      <c r="A1831" t="s">
        <v>1208</v>
      </c>
      <c r="B1831" s="5" t="s">
        <v>7528</v>
      </c>
      <c r="C1831" t="s">
        <v>6456</v>
      </c>
      <c r="D1831" t="s">
        <v>1909</v>
      </c>
      <c r="E1831" t="s">
        <v>1910</v>
      </c>
      <c r="F1831" s="1">
        <v>45014</v>
      </c>
      <c r="G1831" t="s">
        <v>18</v>
      </c>
      <c r="H1831" s="24">
        <v>5700</v>
      </c>
      <c r="I1831" t="str">
        <f>IF(H1831&lt;=0,"",LOOKUP(H1831,'Regras e Parâmetros'!$B$4:$B$7,'Regras e Parâmetros'!$A$4:$A$7))</f>
        <v>Ouro</v>
      </c>
      <c r="J1831" t="s">
        <v>6747</v>
      </c>
      <c r="L1831" t="s">
        <v>9795</v>
      </c>
    </row>
    <row r="1832" spans="1:12" x14ac:dyDescent="0.3">
      <c r="A1832" t="s">
        <v>1208</v>
      </c>
      <c r="B1832" s="5" t="s">
        <v>9365</v>
      </c>
      <c r="C1832" t="s">
        <v>6456</v>
      </c>
      <c r="D1832" t="s">
        <v>5211</v>
      </c>
      <c r="E1832" t="s">
        <v>9366</v>
      </c>
      <c r="F1832" s="1">
        <v>46077</v>
      </c>
      <c r="G1832" t="s">
        <v>45</v>
      </c>
      <c r="H1832" s="24">
        <v>0</v>
      </c>
      <c r="I1832" t="str">
        <f>IF(H1832&lt;=0,"",LOOKUP(H1832,'Regras e Parâmetros'!$B$4:$B$7,'Regras e Parâmetros'!$A$4:$A$7))</f>
        <v/>
      </c>
      <c r="J1832" t="s">
        <v>9790</v>
      </c>
      <c r="L1832" t="s">
        <v>9883</v>
      </c>
    </row>
    <row r="1833" spans="1:12" x14ac:dyDescent="0.3">
      <c r="A1833" t="s">
        <v>8684</v>
      </c>
      <c r="B1833" s="5" t="s">
        <v>4042</v>
      </c>
      <c r="C1833" t="s">
        <v>6747</v>
      </c>
      <c r="D1833" t="s">
        <v>4043</v>
      </c>
      <c r="E1833" t="s">
        <v>10130</v>
      </c>
      <c r="F1833" s="1">
        <v>45729</v>
      </c>
      <c r="G1833" t="s">
        <v>18</v>
      </c>
      <c r="H1833" s="24">
        <v>0</v>
      </c>
      <c r="I1833" t="str">
        <f>IF(H1833&lt;=0,"",LOOKUP(H1833,'Regras e Parâmetros'!$B$4:$B$7,'Regras e Parâmetros'!$A$4:$A$7))</f>
        <v/>
      </c>
      <c r="J1833" t="s">
        <v>9790</v>
      </c>
      <c r="L1833" t="s">
        <v>10242</v>
      </c>
    </row>
    <row r="1834" spans="1:12" x14ac:dyDescent="0.3">
      <c r="A1834" t="s">
        <v>5496</v>
      </c>
      <c r="B1834" s="5" t="s">
        <v>5497</v>
      </c>
      <c r="C1834" t="s">
        <v>6456</v>
      </c>
      <c r="D1834" t="s">
        <v>5498</v>
      </c>
      <c r="E1834" t="s">
        <v>5499</v>
      </c>
      <c r="F1834" s="1">
        <v>46157</v>
      </c>
      <c r="G1834" t="s">
        <v>45</v>
      </c>
      <c r="H1834" s="24">
        <v>0</v>
      </c>
      <c r="I1834" t="str">
        <f>IF(H1834&lt;=0,"",LOOKUP(H1834,'Regras e Parâmetros'!$B$4:$B$7,'Regras e Parâmetros'!$A$4:$A$7))</f>
        <v/>
      </c>
      <c r="J1834" t="s">
        <v>6747</v>
      </c>
      <c r="L1834" t="s">
        <v>9883</v>
      </c>
    </row>
    <row r="1835" spans="1:12" x14ac:dyDescent="0.3">
      <c r="A1835" t="s">
        <v>5606</v>
      </c>
      <c r="B1835" s="5" t="s">
        <v>5607</v>
      </c>
      <c r="C1835" t="s">
        <v>6456</v>
      </c>
      <c r="D1835" t="s">
        <v>5608</v>
      </c>
      <c r="E1835" t="s">
        <v>5609</v>
      </c>
      <c r="F1835" s="1">
        <v>46188</v>
      </c>
      <c r="G1835" t="s">
        <v>51</v>
      </c>
      <c r="H1835" s="24">
        <v>0</v>
      </c>
      <c r="I1835" t="str">
        <f>IF(H1835&lt;=0,"",LOOKUP(H1835,'Regras e Parâmetros'!$B$4:$B$7,'Regras e Parâmetros'!$A$4:$A$7))</f>
        <v/>
      </c>
      <c r="J1835" t="s">
        <v>6747</v>
      </c>
      <c r="L1835" t="s">
        <v>9883</v>
      </c>
    </row>
    <row r="1836" spans="1:12" x14ac:dyDescent="0.3">
      <c r="A1836" t="s">
        <v>1590</v>
      </c>
      <c r="B1836" s="5" t="s">
        <v>7340</v>
      </c>
      <c r="C1836" t="s">
        <v>6456</v>
      </c>
      <c r="D1836" t="s">
        <v>1591</v>
      </c>
      <c r="E1836" t="s">
        <v>7341</v>
      </c>
      <c r="F1836" s="1">
        <v>44903</v>
      </c>
      <c r="G1836" t="s">
        <v>18</v>
      </c>
      <c r="H1836" s="24">
        <v>387</v>
      </c>
      <c r="I1836" t="str">
        <f>IF(H1836&lt;=0,"",LOOKUP(H1836,'Regras e Parâmetros'!$B$4:$B$7,'Regras e Parâmetros'!$A$4:$A$7))</f>
        <v>Bronze</v>
      </c>
      <c r="J1836" t="s">
        <v>9790</v>
      </c>
    </row>
    <row r="1837" spans="1:12" x14ac:dyDescent="0.3">
      <c r="A1837" t="s">
        <v>9472</v>
      </c>
      <c r="B1837" s="5" t="s">
        <v>9473</v>
      </c>
      <c r="C1837" t="s">
        <v>6456</v>
      </c>
      <c r="D1837" t="s">
        <v>5397</v>
      </c>
      <c r="E1837" t="s">
        <v>5398</v>
      </c>
      <c r="F1837" s="1">
        <v>46129</v>
      </c>
      <c r="G1837" t="s">
        <v>51</v>
      </c>
      <c r="H1837" s="24">
        <v>0</v>
      </c>
      <c r="I1837" t="str">
        <f>IF(H1837&lt;=0,"",LOOKUP(H1837,'Regras e Parâmetros'!$B$4:$B$7,'Regras e Parâmetros'!$A$4:$A$7))</f>
        <v/>
      </c>
      <c r="J1837" t="s">
        <v>6456</v>
      </c>
      <c r="L1837" t="s">
        <v>9886</v>
      </c>
    </row>
    <row r="1838" spans="1:12" x14ac:dyDescent="0.3">
      <c r="A1838" t="s">
        <v>8077</v>
      </c>
      <c r="B1838" s="5" t="s">
        <v>8078</v>
      </c>
      <c r="C1838" t="s">
        <v>6456</v>
      </c>
      <c r="D1838" t="s">
        <v>2913</v>
      </c>
      <c r="E1838" t="s">
        <v>8079</v>
      </c>
      <c r="F1838" s="1">
        <v>45361</v>
      </c>
      <c r="G1838" t="s">
        <v>45</v>
      </c>
      <c r="H1838" s="24">
        <v>0</v>
      </c>
      <c r="I1838" t="str">
        <f>IF(H1838&lt;=0,"",LOOKUP(H1838,'Regras e Parâmetros'!$B$4:$B$7,'Regras e Parâmetros'!$A$4:$A$7))</f>
        <v/>
      </c>
      <c r="J1838" t="s">
        <v>9790</v>
      </c>
    </row>
    <row r="1839" spans="1:12" x14ac:dyDescent="0.3">
      <c r="A1839" t="s">
        <v>4681</v>
      </c>
      <c r="B1839" s="5" t="s">
        <v>9057</v>
      </c>
      <c r="C1839" t="s">
        <v>6456</v>
      </c>
      <c r="D1839" t="s">
        <v>4682</v>
      </c>
      <c r="E1839" t="s">
        <v>4683</v>
      </c>
      <c r="F1839" s="1">
        <v>45923</v>
      </c>
      <c r="G1839" t="s">
        <v>51</v>
      </c>
      <c r="H1839" s="24">
        <v>0</v>
      </c>
      <c r="I1839" t="str">
        <f>IF(H1839&lt;=0,"",LOOKUP(H1839,'Regras e Parâmetros'!$B$4:$B$7,'Regras e Parâmetros'!$A$4:$A$7))</f>
        <v/>
      </c>
      <c r="J1839" t="s">
        <v>6456</v>
      </c>
      <c r="L1839" t="s">
        <v>9883</v>
      </c>
    </row>
    <row r="1840" spans="1:12" x14ac:dyDescent="0.3">
      <c r="A1840" t="s">
        <v>1868</v>
      </c>
      <c r="B1840" s="5" t="s">
        <v>7511</v>
      </c>
      <c r="C1840" t="s">
        <v>6456</v>
      </c>
      <c r="D1840" t="s">
        <v>1869</v>
      </c>
      <c r="E1840" t="s">
        <v>1870</v>
      </c>
      <c r="F1840" s="1">
        <v>45000</v>
      </c>
      <c r="G1840" t="s">
        <v>18</v>
      </c>
      <c r="H1840" s="24">
        <v>922</v>
      </c>
      <c r="I1840" t="str">
        <f>IF(H1840&lt;=0,"",LOOKUP(H1840,'Regras e Parâmetros'!$B$4:$B$7,'Regras e Parâmetros'!$A$4:$A$7))</f>
        <v>Bronze</v>
      </c>
      <c r="J1840" t="s">
        <v>9790</v>
      </c>
    </row>
    <row r="1841" spans="1:12" x14ac:dyDescent="0.3">
      <c r="A1841" t="s">
        <v>1211</v>
      </c>
      <c r="B1841" s="5" t="s">
        <v>7033</v>
      </c>
      <c r="C1841" t="s">
        <v>6456</v>
      </c>
      <c r="D1841" t="s">
        <v>1212</v>
      </c>
      <c r="E1841" t="s">
        <v>7034</v>
      </c>
      <c r="F1841" s="1">
        <v>44726</v>
      </c>
      <c r="G1841" t="s">
        <v>45</v>
      </c>
      <c r="H1841" s="24">
        <v>4489</v>
      </c>
      <c r="I1841" t="str">
        <f>IF(H1841&lt;=0,"",LOOKUP(H1841,'Regras e Parâmetros'!$B$4:$B$7,'Regras e Parâmetros'!$A$4:$A$7))</f>
        <v>Prata</v>
      </c>
      <c r="J1841" t="s">
        <v>6456</v>
      </c>
    </row>
    <row r="1842" spans="1:12" x14ac:dyDescent="0.3">
      <c r="A1842" t="s">
        <v>1211</v>
      </c>
      <c r="B1842" s="5" t="s">
        <v>9079</v>
      </c>
      <c r="C1842" t="s">
        <v>6456</v>
      </c>
      <c r="D1842" t="s">
        <v>4747</v>
      </c>
      <c r="E1842" t="s">
        <v>9080</v>
      </c>
      <c r="F1842" s="1">
        <v>45931</v>
      </c>
      <c r="G1842" t="s">
        <v>45</v>
      </c>
      <c r="H1842" s="24">
        <v>0</v>
      </c>
      <c r="I1842" t="str">
        <f>IF(H1842&lt;=0,"",LOOKUP(H1842,'Regras e Parâmetros'!$B$4:$B$7,'Regras e Parâmetros'!$A$4:$A$7))</f>
        <v/>
      </c>
      <c r="J1842" t="s">
        <v>6747</v>
      </c>
      <c r="L1842" t="s">
        <v>9884</v>
      </c>
    </row>
    <row r="1843" spans="1:12" x14ac:dyDescent="0.3">
      <c r="A1843" t="s">
        <v>408</v>
      </c>
      <c r="B1843" s="5" t="s">
        <v>6649</v>
      </c>
      <c r="C1843" t="s">
        <v>6456</v>
      </c>
      <c r="D1843" t="s">
        <v>409</v>
      </c>
      <c r="E1843" t="s">
        <v>10131</v>
      </c>
      <c r="F1843" s="1">
        <v>44470</v>
      </c>
      <c r="G1843" t="s">
        <v>18</v>
      </c>
      <c r="H1843" s="24">
        <v>1300</v>
      </c>
      <c r="I1843" t="str">
        <f>IF(H1843&lt;=0,"",LOOKUP(H1843,'Regras e Parâmetros'!$B$4:$B$7,'Regras e Parâmetros'!$A$4:$A$7))</f>
        <v>Bronze</v>
      </c>
      <c r="J1843" t="s">
        <v>6747</v>
      </c>
      <c r="K1843" t="s">
        <v>8</v>
      </c>
      <c r="L1843" t="s">
        <v>9812</v>
      </c>
    </row>
    <row r="1844" spans="1:12" x14ac:dyDescent="0.3">
      <c r="A1844" t="s">
        <v>6821</v>
      </c>
      <c r="B1844" s="5" t="s">
        <v>6822</v>
      </c>
      <c r="C1844" t="s">
        <v>6456</v>
      </c>
      <c r="D1844" t="s">
        <v>681</v>
      </c>
      <c r="E1844" t="s">
        <v>6823</v>
      </c>
      <c r="F1844" s="1">
        <v>44584</v>
      </c>
      <c r="G1844" t="s">
        <v>18</v>
      </c>
      <c r="H1844" s="24">
        <v>6491</v>
      </c>
      <c r="I1844" t="str">
        <f>IF(H1844&lt;=0,"",LOOKUP(H1844,'Regras e Parâmetros'!$B$4:$B$7,'Regras e Parâmetros'!$A$4:$A$7))</f>
        <v>Ouro</v>
      </c>
      <c r="J1844" t="s">
        <v>9790</v>
      </c>
      <c r="K1844" t="s">
        <v>44</v>
      </c>
    </row>
    <row r="1845" spans="1:12" x14ac:dyDescent="0.3">
      <c r="A1845" t="s">
        <v>2127</v>
      </c>
      <c r="B1845" s="5" t="s">
        <v>2128</v>
      </c>
      <c r="C1845" t="s">
        <v>6456</v>
      </c>
      <c r="D1845" t="s">
        <v>2129</v>
      </c>
      <c r="E1845" t="s">
        <v>2130</v>
      </c>
      <c r="F1845" s="1">
        <v>45087</v>
      </c>
      <c r="G1845" t="s">
        <v>45</v>
      </c>
      <c r="H1845" s="24">
        <v>376</v>
      </c>
      <c r="I1845" t="str">
        <f>IF(H1845&lt;=0,"",LOOKUP(H1845,'Regras e Parâmetros'!$B$4:$B$7,'Regras e Parâmetros'!$A$4:$A$7))</f>
        <v>Bronze</v>
      </c>
      <c r="J1845" t="s">
        <v>6747</v>
      </c>
      <c r="K1845" t="s">
        <v>10028</v>
      </c>
    </row>
    <row r="1846" spans="1:12" x14ac:dyDescent="0.3">
      <c r="A1846" t="s">
        <v>7196</v>
      </c>
      <c r="B1846" s="5" t="s">
        <v>7197</v>
      </c>
      <c r="C1846" t="s">
        <v>6456</v>
      </c>
      <c r="D1846" t="s">
        <v>1347</v>
      </c>
      <c r="E1846" t="s">
        <v>1348</v>
      </c>
      <c r="F1846" s="1">
        <v>44841</v>
      </c>
      <c r="G1846" t="s">
        <v>18</v>
      </c>
      <c r="H1846" s="24">
        <v>564</v>
      </c>
      <c r="I1846" t="str">
        <f>IF(H1846&lt;=0,"",LOOKUP(H1846,'Regras e Parâmetros'!$B$4:$B$7,'Regras e Parâmetros'!$A$4:$A$7))</f>
        <v>Bronze</v>
      </c>
      <c r="J1846" t="s">
        <v>6456</v>
      </c>
    </row>
    <row r="1847" spans="1:12" x14ac:dyDescent="0.3">
      <c r="A1847" t="s">
        <v>6607</v>
      </c>
      <c r="B1847" s="5" t="s">
        <v>6608</v>
      </c>
      <c r="C1847" t="s">
        <v>6456</v>
      </c>
      <c r="D1847" t="s">
        <v>297</v>
      </c>
      <c r="E1847" t="s">
        <v>6609</v>
      </c>
      <c r="F1847" s="1">
        <v>44444</v>
      </c>
      <c r="G1847" t="s">
        <v>100</v>
      </c>
      <c r="H1847" s="24">
        <v>1609</v>
      </c>
      <c r="I1847" t="str">
        <f>IF(H1847&lt;=0,"",LOOKUP(H1847,'Regras e Parâmetros'!$B$4:$B$7,'Regras e Parâmetros'!$A$4:$A$7))</f>
        <v>Prata</v>
      </c>
      <c r="J1847" t="s">
        <v>6747</v>
      </c>
    </row>
    <row r="1848" spans="1:12" x14ac:dyDescent="0.3">
      <c r="A1848" t="s">
        <v>6607</v>
      </c>
      <c r="B1848" s="5" t="s">
        <v>6827</v>
      </c>
      <c r="C1848" t="s">
        <v>6456</v>
      </c>
      <c r="D1848" t="s">
        <v>687</v>
      </c>
      <c r="E1848" t="s">
        <v>688</v>
      </c>
      <c r="F1848" s="1">
        <v>44587</v>
      </c>
      <c r="G1848" t="s">
        <v>18</v>
      </c>
      <c r="H1848" s="24">
        <v>1375</v>
      </c>
      <c r="I1848" t="str">
        <f>IF(H1848&lt;=0,"",LOOKUP(H1848,'Regras e Parâmetros'!$B$4:$B$7,'Regras e Parâmetros'!$A$4:$A$7))</f>
        <v>Bronze</v>
      </c>
      <c r="J1848" t="s">
        <v>6747</v>
      </c>
      <c r="L1848" t="s">
        <v>9792</v>
      </c>
    </row>
    <row r="1849" spans="1:12" x14ac:dyDescent="0.3">
      <c r="A1849" t="s">
        <v>5819</v>
      </c>
      <c r="B1849" s="5" t="s">
        <v>5820</v>
      </c>
      <c r="C1849" t="s">
        <v>6456</v>
      </c>
      <c r="D1849" t="s">
        <v>5821</v>
      </c>
      <c r="E1849" t="s">
        <v>10132</v>
      </c>
      <c r="F1849" s="1">
        <v>46246</v>
      </c>
      <c r="G1849" t="s">
        <v>45</v>
      </c>
      <c r="H1849" s="24">
        <v>0</v>
      </c>
      <c r="I1849" t="str">
        <f>IF(H1849&lt;=0,"",LOOKUP(H1849,'Regras e Parâmetros'!$B$4:$B$7,'Regras e Parâmetros'!$A$4:$A$7))</f>
        <v/>
      </c>
      <c r="J1849" t="s">
        <v>6456</v>
      </c>
      <c r="L1849" t="s">
        <v>10152</v>
      </c>
    </row>
    <row r="1850" spans="1:12" x14ac:dyDescent="0.3">
      <c r="A1850" t="s">
        <v>5881</v>
      </c>
      <c r="B1850" s="5" t="s">
        <v>9744</v>
      </c>
      <c r="C1850" t="s">
        <v>6456</v>
      </c>
      <c r="D1850" t="s">
        <v>5882</v>
      </c>
      <c r="E1850" t="s">
        <v>9745</v>
      </c>
      <c r="F1850" s="1">
        <v>46263</v>
      </c>
      <c r="G1850" t="s">
        <v>51</v>
      </c>
      <c r="H1850" s="24">
        <v>0</v>
      </c>
      <c r="I1850" t="str">
        <f>IF(H1850&lt;=0,"",LOOKUP(H1850,'Regras e Parâmetros'!$B$4:$B$7,'Regras e Parâmetros'!$A$4:$A$7))</f>
        <v/>
      </c>
      <c r="J1850" t="s">
        <v>9790</v>
      </c>
      <c r="L1850" t="s">
        <v>9883</v>
      </c>
    </row>
    <row r="1851" spans="1:12" x14ac:dyDescent="0.3">
      <c r="A1851" t="s">
        <v>7122</v>
      </c>
      <c r="B1851" s="5" t="s">
        <v>7123</v>
      </c>
      <c r="C1851" t="s">
        <v>6456</v>
      </c>
      <c r="D1851" t="s">
        <v>1213</v>
      </c>
      <c r="E1851" t="s">
        <v>7124</v>
      </c>
      <c r="F1851" s="1">
        <v>44789</v>
      </c>
      <c r="G1851" t="s">
        <v>22</v>
      </c>
      <c r="H1851" s="24">
        <v>4100</v>
      </c>
      <c r="I1851" t="str">
        <f>IF(H1851&lt;=0,"",LOOKUP(H1851,'Regras e Parâmetros'!$B$4:$B$7,'Regras e Parâmetros'!$A$4:$A$7))</f>
        <v>Prata</v>
      </c>
      <c r="J1851" t="s">
        <v>6747</v>
      </c>
      <c r="L1851" t="s">
        <v>9793</v>
      </c>
    </row>
    <row r="1852" spans="1:12" x14ac:dyDescent="0.3">
      <c r="A1852" t="s">
        <v>7122</v>
      </c>
      <c r="B1852" s="5" t="s">
        <v>2740</v>
      </c>
      <c r="C1852" t="s">
        <v>6456</v>
      </c>
      <c r="D1852" t="s">
        <v>2741</v>
      </c>
      <c r="E1852" t="s">
        <v>2742</v>
      </c>
      <c r="F1852" s="1">
        <v>45261</v>
      </c>
      <c r="G1852" t="s">
        <v>110</v>
      </c>
      <c r="H1852" s="24">
        <v>920</v>
      </c>
      <c r="I1852" t="str">
        <f>IF(H1852&lt;=0,"",LOOKUP(H1852,'Regras e Parâmetros'!$B$4:$B$7,'Regras e Parâmetros'!$A$4:$A$7))</f>
        <v>Bronze</v>
      </c>
      <c r="J1852" t="s">
        <v>9790</v>
      </c>
      <c r="K1852" t="s">
        <v>187</v>
      </c>
      <c r="L1852" t="s">
        <v>9791</v>
      </c>
    </row>
    <row r="1853" spans="1:12" x14ac:dyDescent="0.3">
      <c r="A1853" t="s">
        <v>8890</v>
      </c>
      <c r="B1853" s="5" t="s">
        <v>4415</v>
      </c>
      <c r="C1853" t="s">
        <v>6456</v>
      </c>
      <c r="D1853" t="s">
        <v>4620</v>
      </c>
      <c r="E1853" t="s">
        <v>4621</v>
      </c>
      <c r="F1853" s="1">
        <v>45841</v>
      </c>
      <c r="G1853" t="s">
        <v>51</v>
      </c>
      <c r="H1853" s="24">
        <v>0</v>
      </c>
      <c r="I1853" t="str">
        <f>IF(H1853&lt;=0,"",LOOKUP(H1853,'Regras e Parâmetros'!$B$4:$B$7,'Regras e Parâmetros'!$A$4:$A$7))</f>
        <v/>
      </c>
      <c r="J1853" t="s">
        <v>6456</v>
      </c>
      <c r="K1853" t="s">
        <v>9899</v>
      </c>
      <c r="L1853" t="s">
        <v>9883</v>
      </c>
    </row>
    <row r="1854" spans="1:12" x14ac:dyDescent="0.3">
      <c r="A1854" t="s">
        <v>4895</v>
      </c>
      <c r="B1854" s="5" t="s">
        <v>9183</v>
      </c>
      <c r="C1854" t="s">
        <v>6456</v>
      </c>
      <c r="D1854" t="s">
        <v>4896</v>
      </c>
      <c r="E1854" t="s">
        <v>10133</v>
      </c>
      <c r="F1854" s="1">
        <v>45981</v>
      </c>
      <c r="G1854" t="s">
        <v>51</v>
      </c>
      <c r="H1854" s="24">
        <v>0</v>
      </c>
      <c r="I1854" t="str">
        <f>IF(H1854&lt;=0,"",LOOKUP(H1854,'Regras e Parâmetros'!$B$4:$B$7,'Regras e Parâmetros'!$A$4:$A$7))</f>
        <v/>
      </c>
      <c r="J1854" t="s">
        <v>6456</v>
      </c>
      <c r="L1854" t="s">
        <v>9883</v>
      </c>
    </row>
    <row r="1855" spans="1:12" x14ac:dyDescent="0.3">
      <c r="A1855" t="s">
        <v>3088</v>
      </c>
      <c r="B1855" s="5" t="s">
        <v>3089</v>
      </c>
      <c r="C1855" t="s">
        <v>6456</v>
      </c>
      <c r="D1855" t="s">
        <v>3090</v>
      </c>
      <c r="E1855" t="s">
        <v>8155</v>
      </c>
      <c r="F1855" s="1">
        <v>45424</v>
      </c>
      <c r="G1855" t="s">
        <v>51</v>
      </c>
      <c r="H1855" s="24">
        <v>116</v>
      </c>
      <c r="I1855" t="str">
        <f>IF(H1855&lt;=0,"",LOOKUP(H1855,'Regras e Parâmetros'!$B$4:$B$7,'Regras e Parâmetros'!$A$4:$A$7))</f>
        <v>Bronze</v>
      </c>
      <c r="J1855" t="s">
        <v>6456</v>
      </c>
    </row>
    <row r="1856" spans="1:12" x14ac:dyDescent="0.3">
      <c r="A1856" t="s">
        <v>2848</v>
      </c>
      <c r="B1856" s="5" t="s">
        <v>8045</v>
      </c>
      <c r="C1856" t="s">
        <v>6456</v>
      </c>
      <c r="D1856" t="s">
        <v>2849</v>
      </c>
      <c r="E1856" t="s">
        <v>2850</v>
      </c>
      <c r="F1856" s="1">
        <v>45335</v>
      </c>
      <c r="G1856" t="s">
        <v>45</v>
      </c>
      <c r="H1856" s="24">
        <v>960</v>
      </c>
      <c r="I1856" t="str">
        <f>IF(H1856&lt;=0,"",LOOKUP(H1856,'Regras e Parâmetros'!$B$4:$B$7,'Regras e Parâmetros'!$A$4:$A$7))</f>
        <v>Bronze</v>
      </c>
      <c r="J1856" t="s">
        <v>6747</v>
      </c>
      <c r="L1856" t="s">
        <v>9792</v>
      </c>
    </row>
    <row r="1857" spans="1:12" x14ac:dyDescent="0.3">
      <c r="A1857" t="s">
        <v>6663</v>
      </c>
      <c r="B1857" s="5" t="s">
        <v>388</v>
      </c>
      <c r="C1857" t="s">
        <v>6456</v>
      </c>
      <c r="D1857" t="s">
        <v>389</v>
      </c>
      <c r="E1857" t="s">
        <v>390</v>
      </c>
      <c r="F1857" s="1">
        <v>44481</v>
      </c>
      <c r="G1857" t="s">
        <v>51</v>
      </c>
      <c r="H1857" s="24">
        <v>2371</v>
      </c>
      <c r="I1857" t="str">
        <f>IF(H1857&lt;=0,"",LOOKUP(H1857,'Regras e Parâmetros'!$B$4:$B$7,'Regras e Parâmetros'!$A$4:$A$7))</f>
        <v>Prata</v>
      </c>
      <c r="J1857" t="s">
        <v>6747</v>
      </c>
      <c r="K1857" t="s">
        <v>177</v>
      </c>
      <c r="L1857" t="s">
        <v>9792</v>
      </c>
    </row>
    <row r="1858" spans="1:12" x14ac:dyDescent="0.3">
      <c r="A1858" t="s">
        <v>700</v>
      </c>
      <c r="B1858" s="5" t="s">
        <v>6835</v>
      </c>
      <c r="C1858" t="s">
        <v>6456</v>
      </c>
      <c r="D1858" t="s">
        <v>701</v>
      </c>
      <c r="E1858" t="s">
        <v>6836</v>
      </c>
      <c r="F1858" s="1">
        <v>44591</v>
      </c>
      <c r="G1858" t="s">
        <v>18</v>
      </c>
      <c r="H1858" s="24">
        <v>1850</v>
      </c>
      <c r="I1858" t="str">
        <f>IF(H1858&lt;=0,"",LOOKUP(H1858,'Regras e Parâmetros'!$B$4:$B$7,'Regras e Parâmetros'!$A$4:$A$7))</f>
        <v>Prata</v>
      </c>
      <c r="J1858" t="s">
        <v>6456</v>
      </c>
    </row>
    <row r="1859" spans="1:12" x14ac:dyDescent="0.3">
      <c r="A1859" t="s">
        <v>46</v>
      </c>
      <c r="B1859" s="5" t="s">
        <v>6481</v>
      </c>
      <c r="C1859" t="s">
        <v>6456</v>
      </c>
      <c r="D1859" t="s">
        <v>47</v>
      </c>
      <c r="E1859" t="s">
        <v>48</v>
      </c>
      <c r="F1859" s="1">
        <v>44362</v>
      </c>
      <c r="G1859" t="s">
        <v>45</v>
      </c>
      <c r="H1859" s="24">
        <v>0</v>
      </c>
      <c r="I1859" t="str">
        <f>IF(H1859&lt;=0,"",LOOKUP(H1859,'Regras e Parâmetros'!$B$4:$B$7,'Regras e Parâmetros'!$A$4:$A$7))</f>
        <v/>
      </c>
      <c r="J1859" t="s">
        <v>6456</v>
      </c>
    </row>
    <row r="1860" spans="1:12" x14ac:dyDescent="0.3">
      <c r="A1860" t="s">
        <v>2683</v>
      </c>
      <c r="B1860" s="5" t="s">
        <v>2684</v>
      </c>
      <c r="C1860" t="s">
        <v>6456</v>
      </c>
      <c r="D1860" t="s">
        <v>2685</v>
      </c>
      <c r="E1860" t="s">
        <v>7961</v>
      </c>
      <c r="F1860" s="1">
        <v>45254</v>
      </c>
      <c r="G1860" t="s">
        <v>22</v>
      </c>
      <c r="H1860" s="24">
        <v>2797</v>
      </c>
      <c r="I1860" t="str">
        <f>IF(H1860&lt;=0,"",LOOKUP(H1860,'Regras e Parâmetros'!$B$4:$B$7,'Regras e Parâmetros'!$A$4:$A$7))</f>
        <v>Prata</v>
      </c>
      <c r="J1860" t="s">
        <v>9790</v>
      </c>
    </row>
    <row r="1861" spans="1:12" x14ac:dyDescent="0.3">
      <c r="A1861" t="s">
        <v>840</v>
      </c>
      <c r="B1861" s="5" t="s">
        <v>841</v>
      </c>
      <c r="C1861" t="s">
        <v>6456</v>
      </c>
      <c r="D1861" t="s">
        <v>842</v>
      </c>
      <c r="E1861" t="s">
        <v>6922</v>
      </c>
      <c r="F1861" s="1">
        <v>44645</v>
      </c>
      <c r="G1861" t="s">
        <v>51</v>
      </c>
      <c r="H1861" s="24">
        <v>881</v>
      </c>
      <c r="I1861" t="str">
        <f>IF(H1861&lt;=0,"",LOOKUP(H1861,'Regras e Parâmetros'!$B$4:$B$7,'Regras e Parâmetros'!$A$4:$A$7))</f>
        <v>Bronze</v>
      </c>
      <c r="J1861" t="s">
        <v>6456</v>
      </c>
      <c r="K1861" t="s">
        <v>187</v>
      </c>
    </row>
    <row r="1862" spans="1:12" x14ac:dyDescent="0.3">
      <c r="A1862" t="s">
        <v>1214</v>
      </c>
      <c r="B1862" s="5" t="s">
        <v>1215</v>
      </c>
      <c r="C1862" t="s">
        <v>6456</v>
      </c>
      <c r="D1862" t="s">
        <v>1216</v>
      </c>
      <c r="E1862" t="s">
        <v>7051</v>
      </c>
      <c r="F1862" s="1">
        <v>44732</v>
      </c>
      <c r="G1862" t="s">
        <v>45</v>
      </c>
      <c r="H1862" s="24">
        <v>10141</v>
      </c>
      <c r="I1862" t="str">
        <f>IF(H1862&lt;=0,"",LOOKUP(H1862,'Regras e Parâmetros'!$B$4:$B$7,'Regras e Parâmetros'!$A$4:$A$7))</f>
        <v>Vip</v>
      </c>
      <c r="J1862" t="s">
        <v>6747</v>
      </c>
    </row>
    <row r="1863" spans="1:12" x14ac:dyDescent="0.3">
      <c r="A1863" t="s">
        <v>2290</v>
      </c>
      <c r="B1863" s="5" t="s">
        <v>2291</v>
      </c>
      <c r="C1863" t="s">
        <v>6456</v>
      </c>
      <c r="D1863" t="s">
        <v>2292</v>
      </c>
      <c r="E1863" t="s">
        <v>2293</v>
      </c>
      <c r="F1863" s="1">
        <v>45135</v>
      </c>
      <c r="G1863" t="s">
        <v>18</v>
      </c>
      <c r="H1863" s="24">
        <v>12510</v>
      </c>
      <c r="I1863" t="str">
        <f>IF(H1863&lt;=0,"",LOOKUP(H1863,'Regras e Parâmetros'!$B$4:$B$7,'Regras e Parâmetros'!$A$4:$A$7))</f>
        <v>Vip</v>
      </c>
      <c r="J1863" t="s">
        <v>6456</v>
      </c>
      <c r="K1863" t="s">
        <v>177</v>
      </c>
    </row>
    <row r="1864" spans="1:12" x14ac:dyDescent="0.3">
      <c r="A1864" t="s">
        <v>9230</v>
      </c>
      <c r="B1864" s="5" t="s">
        <v>9231</v>
      </c>
      <c r="C1864" t="s">
        <v>6456</v>
      </c>
      <c r="D1864" t="s">
        <v>4985</v>
      </c>
      <c r="E1864" t="s">
        <v>10134</v>
      </c>
      <c r="F1864" s="1">
        <v>46008</v>
      </c>
      <c r="G1864" t="s">
        <v>18</v>
      </c>
      <c r="H1864" s="24">
        <v>0</v>
      </c>
      <c r="I1864" t="str">
        <f>IF(H1864&lt;=0,"",LOOKUP(H1864,'Regras e Parâmetros'!$B$4:$B$7,'Regras e Parâmetros'!$A$4:$A$7))</f>
        <v/>
      </c>
      <c r="J1864" t="s">
        <v>6456</v>
      </c>
      <c r="L1864" t="s">
        <v>9883</v>
      </c>
    </row>
    <row r="1865" spans="1:12" x14ac:dyDescent="0.3">
      <c r="A1865" t="s">
        <v>4757</v>
      </c>
      <c r="B1865" s="5" t="s">
        <v>9108</v>
      </c>
      <c r="C1865" t="s">
        <v>6456</v>
      </c>
      <c r="D1865" t="s">
        <v>4758</v>
      </c>
      <c r="E1865" t="s">
        <v>4759</v>
      </c>
      <c r="F1865" s="1">
        <v>45944</v>
      </c>
      <c r="G1865" t="s">
        <v>45</v>
      </c>
      <c r="H1865" s="24">
        <v>0</v>
      </c>
      <c r="I1865" t="str">
        <f>IF(H1865&lt;=0,"",LOOKUP(H1865,'Regras e Parâmetros'!$B$4:$B$7,'Regras e Parâmetros'!$A$4:$A$7))</f>
        <v/>
      </c>
      <c r="J1865" t="s">
        <v>6747</v>
      </c>
      <c r="L1865" t="s">
        <v>9883</v>
      </c>
    </row>
    <row r="1866" spans="1:12" x14ac:dyDescent="0.3">
      <c r="A1866" t="s">
        <v>2363</v>
      </c>
      <c r="B1866" s="5" t="s">
        <v>7783</v>
      </c>
      <c r="C1866" t="s">
        <v>6456</v>
      </c>
      <c r="D1866" t="s">
        <v>2364</v>
      </c>
      <c r="E1866" t="s">
        <v>7784</v>
      </c>
      <c r="F1866" s="1">
        <v>45154</v>
      </c>
      <c r="G1866" t="s">
        <v>18</v>
      </c>
      <c r="H1866" s="24">
        <v>59</v>
      </c>
      <c r="I1866" t="str">
        <f>IF(H1866&lt;=0,"",LOOKUP(H1866,'Regras e Parâmetros'!$B$4:$B$7,'Regras e Parâmetros'!$A$4:$A$7))</f>
        <v>Bronze</v>
      </c>
      <c r="J1866" t="s">
        <v>6456</v>
      </c>
      <c r="K1866" t="s">
        <v>72</v>
      </c>
    </row>
    <row r="1867" spans="1:12" x14ac:dyDescent="0.3">
      <c r="A1867" t="s">
        <v>2620</v>
      </c>
      <c r="B1867" s="5" t="s">
        <v>2621</v>
      </c>
      <c r="C1867" t="s">
        <v>6456</v>
      </c>
      <c r="D1867" t="s">
        <v>2622</v>
      </c>
      <c r="E1867" t="s">
        <v>7929</v>
      </c>
      <c r="F1867" s="1">
        <v>45241</v>
      </c>
      <c r="G1867" t="s">
        <v>45</v>
      </c>
      <c r="H1867" s="24">
        <v>551</v>
      </c>
      <c r="I1867" t="str">
        <f>IF(H1867&lt;=0,"",LOOKUP(H1867,'Regras e Parâmetros'!$B$4:$B$7,'Regras e Parâmetros'!$A$4:$A$7))</f>
        <v>Bronze</v>
      </c>
      <c r="J1867" t="s">
        <v>9790</v>
      </c>
    </row>
    <row r="1868" spans="1:12" x14ac:dyDescent="0.3">
      <c r="A1868" t="s">
        <v>8535</v>
      </c>
      <c r="B1868" s="5" t="s">
        <v>8536</v>
      </c>
      <c r="C1868" t="s">
        <v>6456</v>
      </c>
      <c r="D1868" t="s">
        <v>3801</v>
      </c>
      <c r="E1868" t="s">
        <v>8537</v>
      </c>
      <c r="F1868" s="1">
        <v>45663</v>
      </c>
      <c r="G1868" t="s">
        <v>22</v>
      </c>
      <c r="H1868" s="24">
        <v>0</v>
      </c>
      <c r="I1868" t="str">
        <f>IF(H1868&lt;=0,"",LOOKUP(H1868,'Regras e Parâmetros'!$B$4:$B$7,'Regras e Parâmetros'!$A$4:$A$7))</f>
        <v/>
      </c>
      <c r="J1868" t="s">
        <v>6456</v>
      </c>
      <c r="L1868" t="s">
        <v>9883</v>
      </c>
    </row>
    <row r="1869" spans="1:12" x14ac:dyDescent="0.3">
      <c r="A1869" t="s">
        <v>3283</v>
      </c>
      <c r="B1869" s="5" t="s">
        <v>8254</v>
      </c>
      <c r="C1869" t="s">
        <v>6456</v>
      </c>
      <c r="D1869" t="s">
        <v>3284</v>
      </c>
      <c r="E1869" t="s">
        <v>8255</v>
      </c>
      <c r="F1869" s="1">
        <v>45492</v>
      </c>
      <c r="G1869" t="s">
        <v>51</v>
      </c>
      <c r="H1869" s="24">
        <v>149</v>
      </c>
      <c r="I1869" t="str">
        <f>IF(H1869&lt;=0,"",LOOKUP(H1869,'Regras e Parâmetros'!$B$4:$B$7,'Regras e Parâmetros'!$A$4:$A$7))</f>
        <v>Bronze</v>
      </c>
      <c r="J1869" t="s">
        <v>6456</v>
      </c>
    </row>
    <row r="1870" spans="1:12" x14ac:dyDescent="0.3">
      <c r="A1870" t="s">
        <v>4832</v>
      </c>
      <c r="B1870" s="5" t="s">
        <v>9087</v>
      </c>
      <c r="C1870" t="s">
        <v>6456</v>
      </c>
      <c r="D1870" t="s">
        <v>4833</v>
      </c>
      <c r="E1870" t="s">
        <v>10135</v>
      </c>
      <c r="F1870" s="1">
        <v>45931</v>
      </c>
      <c r="G1870" t="s">
        <v>22</v>
      </c>
      <c r="H1870" s="24">
        <v>0</v>
      </c>
      <c r="I1870" t="str">
        <f>IF(H1870&lt;=0,"",LOOKUP(H1870,'Regras e Parâmetros'!$B$4:$B$7,'Regras e Parâmetros'!$A$4:$A$7))</f>
        <v/>
      </c>
      <c r="J1870" t="s">
        <v>9790</v>
      </c>
      <c r="L1870" t="s">
        <v>9884</v>
      </c>
    </row>
    <row r="1871" spans="1:12" x14ac:dyDescent="0.3">
      <c r="A1871" t="s">
        <v>3380</v>
      </c>
      <c r="B1871" s="5" t="s">
        <v>8306</v>
      </c>
      <c r="C1871" t="s">
        <v>6456</v>
      </c>
      <c r="D1871" t="s">
        <v>3381</v>
      </c>
      <c r="E1871" t="s">
        <v>8307</v>
      </c>
      <c r="F1871" s="1">
        <v>45519</v>
      </c>
      <c r="G1871" t="s">
        <v>51</v>
      </c>
      <c r="H1871" s="24">
        <v>418</v>
      </c>
      <c r="I1871" t="str">
        <f>IF(H1871&lt;=0,"",LOOKUP(H1871,'Regras e Parâmetros'!$B$4:$B$7,'Regras e Parâmetros'!$A$4:$A$7))</f>
        <v>Bronze</v>
      </c>
      <c r="J1871" t="s">
        <v>6747</v>
      </c>
      <c r="K1871" t="s">
        <v>187</v>
      </c>
    </row>
    <row r="1872" spans="1:12" x14ac:dyDescent="0.3">
      <c r="A1872" t="s">
        <v>4957</v>
      </c>
      <c r="B1872" s="5" t="s">
        <v>9218</v>
      </c>
      <c r="C1872" t="s">
        <v>6456</v>
      </c>
      <c r="D1872" t="s">
        <v>6021</v>
      </c>
      <c r="E1872" t="s">
        <v>4958</v>
      </c>
      <c r="F1872" s="1">
        <v>46000</v>
      </c>
      <c r="G1872" t="s">
        <v>45</v>
      </c>
      <c r="H1872" s="24">
        <v>0</v>
      </c>
      <c r="I1872" t="str">
        <f>IF(H1872&lt;=0,"",LOOKUP(H1872,'Regras e Parâmetros'!$B$4:$B$7,'Regras e Parâmetros'!$A$4:$A$7))</f>
        <v/>
      </c>
      <c r="J1872" t="s">
        <v>9790</v>
      </c>
      <c r="K1872" t="s">
        <v>9914</v>
      </c>
      <c r="L1872" t="s">
        <v>9883</v>
      </c>
    </row>
    <row r="1873" spans="1:12" x14ac:dyDescent="0.3">
      <c r="A1873" t="s">
        <v>2654</v>
      </c>
      <c r="B1873" s="5" t="s">
        <v>7947</v>
      </c>
      <c r="C1873" t="s">
        <v>6456</v>
      </c>
      <c r="D1873" t="s">
        <v>2655</v>
      </c>
      <c r="E1873" t="s">
        <v>7948</v>
      </c>
      <c r="F1873" s="1">
        <v>45248</v>
      </c>
      <c r="G1873" t="s">
        <v>45</v>
      </c>
      <c r="H1873" s="24">
        <v>231</v>
      </c>
      <c r="I1873" t="str">
        <f>IF(H1873&lt;=0,"",LOOKUP(H1873,'Regras e Parâmetros'!$B$4:$B$7,'Regras e Parâmetros'!$A$4:$A$7))</f>
        <v>Bronze</v>
      </c>
      <c r="J1873" t="s">
        <v>6747</v>
      </c>
    </row>
    <row r="1874" spans="1:12" x14ac:dyDescent="0.3">
      <c r="A1874" t="s">
        <v>2433</v>
      </c>
      <c r="B1874" s="5" t="s">
        <v>7826</v>
      </c>
      <c r="C1874" t="s">
        <v>6456</v>
      </c>
      <c r="D1874" t="s">
        <v>2435</v>
      </c>
      <c r="E1874" t="s">
        <v>2436</v>
      </c>
      <c r="F1874" s="1">
        <v>45177</v>
      </c>
      <c r="G1874" t="s">
        <v>45</v>
      </c>
      <c r="H1874" s="24">
        <v>169</v>
      </c>
      <c r="I1874" t="str">
        <f>IF(H1874&lt;=0,"",LOOKUP(H1874,'Regras e Parâmetros'!$B$4:$B$7,'Regras e Parâmetros'!$A$4:$A$7))</f>
        <v>Bronze</v>
      </c>
      <c r="J1874" t="s">
        <v>9790</v>
      </c>
      <c r="K1874" t="s">
        <v>10032</v>
      </c>
      <c r="L1874" t="s">
        <v>9792</v>
      </c>
    </row>
    <row r="1875" spans="1:12" x14ac:dyDescent="0.3">
      <c r="A1875" t="s">
        <v>7339</v>
      </c>
      <c r="B1875" s="5" t="s">
        <v>1585</v>
      </c>
      <c r="C1875" t="s">
        <v>6456</v>
      </c>
      <c r="D1875" t="s">
        <v>1586</v>
      </c>
      <c r="E1875" t="s">
        <v>1587</v>
      </c>
      <c r="F1875" s="1">
        <v>44902</v>
      </c>
      <c r="G1875" t="s">
        <v>22</v>
      </c>
      <c r="H1875" s="24">
        <v>2815</v>
      </c>
      <c r="I1875" t="str">
        <f>IF(H1875&lt;=0,"",LOOKUP(H1875,'Regras e Parâmetros'!$B$4:$B$7,'Regras e Parâmetros'!$A$4:$A$7))</f>
        <v>Prata</v>
      </c>
      <c r="J1875" t="s">
        <v>6456</v>
      </c>
      <c r="K1875" t="s">
        <v>10030</v>
      </c>
      <c r="L1875" t="s">
        <v>9792</v>
      </c>
    </row>
    <row r="1876" spans="1:12" x14ac:dyDescent="0.3">
      <c r="A1876" t="s">
        <v>7959</v>
      </c>
      <c r="B1876" s="5" t="s">
        <v>2672</v>
      </c>
      <c r="C1876" t="s">
        <v>6456</v>
      </c>
      <c r="D1876" t="s">
        <v>2673</v>
      </c>
      <c r="E1876" t="s">
        <v>2674</v>
      </c>
      <c r="F1876" s="1">
        <v>45252</v>
      </c>
      <c r="G1876" t="s">
        <v>51</v>
      </c>
      <c r="H1876" s="24">
        <v>392</v>
      </c>
      <c r="I1876" t="str">
        <f>IF(H1876&lt;=0,"",LOOKUP(H1876,'Regras e Parâmetros'!$B$4:$B$7,'Regras e Parâmetros'!$A$4:$A$7))</f>
        <v>Bronze</v>
      </c>
      <c r="J1876" t="s">
        <v>6747</v>
      </c>
    </row>
    <row r="1877" spans="1:12" x14ac:dyDescent="0.3">
      <c r="A1877" t="s">
        <v>7329</v>
      </c>
      <c r="B1877" s="5" t="s">
        <v>7330</v>
      </c>
      <c r="C1877" t="s">
        <v>6456</v>
      </c>
      <c r="D1877" t="s">
        <v>1568</v>
      </c>
      <c r="E1877" t="s">
        <v>7331</v>
      </c>
      <c r="F1877" s="1">
        <v>44898</v>
      </c>
      <c r="G1877" t="s">
        <v>18</v>
      </c>
      <c r="H1877" s="24">
        <v>261</v>
      </c>
      <c r="I1877" t="str">
        <f>IF(H1877&lt;=0,"",LOOKUP(H1877,'Regras e Parâmetros'!$B$4:$B$7,'Regras e Parâmetros'!$A$4:$A$7))</f>
        <v>Bronze</v>
      </c>
      <c r="J1877" t="s">
        <v>6747</v>
      </c>
      <c r="K1877" t="s">
        <v>10028</v>
      </c>
    </row>
    <row r="1878" spans="1:12" x14ac:dyDescent="0.3">
      <c r="A1878" t="s">
        <v>4098</v>
      </c>
      <c r="B1878" s="5" t="s">
        <v>8709</v>
      </c>
      <c r="C1878" t="s">
        <v>6456</v>
      </c>
      <c r="D1878" t="s">
        <v>4099</v>
      </c>
      <c r="E1878" t="s">
        <v>4100</v>
      </c>
      <c r="F1878" s="1">
        <v>45743</v>
      </c>
      <c r="G1878" t="s">
        <v>45</v>
      </c>
      <c r="H1878" s="24">
        <v>0</v>
      </c>
      <c r="I1878" t="str">
        <f>IF(H1878&lt;=0,"",LOOKUP(H1878,'Regras e Parâmetros'!$B$4:$B$7,'Regras e Parâmetros'!$A$4:$A$7))</f>
        <v/>
      </c>
      <c r="J1878" t="s">
        <v>9790</v>
      </c>
      <c r="K1878" t="s">
        <v>177</v>
      </c>
      <c r="L1878" t="s">
        <v>9886</v>
      </c>
    </row>
    <row r="1879" spans="1:12" x14ac:dyDescent="0.3">
      <c r="A1879" t="s">
        <v>2335</v>
      </c>
      <c r="B1879" s="5" t="s">
        <v>7773</v>
      </c>
      <c r="C1879" t="s">
        <v>6456</v>
      </c>
      <c r="D1879" t="s">
        <v>2336</v>
      </c>
      <c r="E1879" t="s">
        <v>2337</v>
      </c>
      <c r="F1879" s="1">
        <v>45148</v>
      </c>
      <c r="G1879" t="s">
        <v>51</v>
      </c>
      <c r="H1879" s="24">
        <v>1541</v>
      </c>
      <c r="I1879" t="str">
        <f>IF(H1879&lt;=0,"",LOOKUP(H1879,'Regras e Parâmetros'!$B$4:$B$7,'Regras e Parâmetros'!$A$4:$A$7))</f>
        <v>Prata</v>
      </c>
      <c r="J1879" t="s">
        <v>6747</v>
      </c>
    </row>
    <row r="1880" spans="1:12" x14ac:dyDescent="0.3">
      <c r="A1880" t="s">
        <v>3012</v>
      </c>
      <c r="B1880" s="5" t="s">
        <v>8115</v>
      </c>
      <c r="C1880" t="s">
        <v>6456</v>
      </c>
      <c r="D1880" t="s">
        <v>3013</v>
      </c>
      <c r="E1880" t="s">
        <v>8116</v>
      </c>
      <c r="F1880" s="1">
        <v>45394</v>
      </c>
      <c r="G1880" t="s">
        <v>45</v>
      </c>
      <c r="H1880" s="24">
        <v>200</v>
      </c>
      <c r="I1880" t="str">
        <f>IF(H1880&lt;=0,"",LOOKUP(H1880,'Regras e Parâmetros'!$B$4:$B$7,'Regras e Parâmetros'!$A$4:$A$7))</f>
        <v>Bronze</v>
      </c>
      <c r="J1880" t="s">
        <v>6456</v>
      </c>
    </row>
    <row r="1881" spans="1:12" x14ac:dyDescent="0.3">
      <c r="A1881" t="s">
        <v>9394</v>
      </c>
      <c r="B1881" s="5" t="s">
        <v>9395</v>
      </c>
      <c r="C1881" t="s">
        <v>6456</v>
      </c>
      <c r="D1881" t="s">
        <v>5252</v>
      </c>
      <c r="E1881" t="s">
        <v>5253</v>
      </c>
      <c r="F1881" s="1">
        <v>46091</v>
      </c>
      <c r="G1881" t="s">
        <v>22</v>
      </c>
      <c r="H1881" s="24">
        <v>0</v>
      </c>
      <c r="I1881" t="str">
        <f>IF(H1881&lt;=0,"",LOOKUP(H1881,'Regras e Parâmetros'!$B$4:$B$7,'Regras e Parâmetros'!$A$4:$A$7))</f>
        <v/>
      </c>
      <c r="J1881" t="s">
        <v>9790</v>
      </c>
      <c r="L1881" t="s">
        <v>9886</v>
      </c>
    </row>
    <row r="1882" spans="1:12" x14ac:dyDescent="0.3">
      <c r="A1882" t="s">
        <v>4399</v>
      </c>
      <c r="B1882" s="5" t="s">
        <v>8878</v>
      </c>
      <c r="C1882" t="s">
        <v>6456</v>
      </c>
      <c r="D1882" t="s">
        <v>4400</v>
      </c>
      <c r="E1882" t="s">
        <v>8879</v>
      </c>
      <c r="F1882" s="1">
        <v>45836</v>
      </c>
      <c r="G1882" t="s">
        <v>45</v>
      </c>
      <c r="H1882" s="24">
        <v>0</v>
      </c>
      <c r="I1882" t="str">
        <f>IF(H1882&lt;=0,"",LOOKUP(H1882,'Regras e Parâmetros'!$B$4:$B$7,'Regras e Parâmetros'!$A$4:$A$7))</f>
        <v/>
      </c>
      <c r="J1882" t="s">
        <v>6747</v>
      </c>
      <c r="L1882" t="s">
        <v>9883</v>
      </c>
    </row>
    <row r="1883" spans="1:12" x14ac:dyDescent="0.3">
      <c r="A1883" t="s">
        <v>9486</v>
      </c>
      <c r="B1883" s="5" t="s">
        <v>5415</v>
      </c>
      <c r="C1883" t="s">
        <v>6456</v>
      </c>
      <c r="D1883" t="s">
        <v>5416</v>
      </c>
      <c r="E1883" t="s">
        <v>9487</v>
      </c>
      <c r="F1883" s="1">
        <v>46131</v>
      </c>
      <c r="G1883" t="s">
        <v>45</v>
      </c>
      <c r="H1883" s="24">
        <v>0</v>
      </c>
      <c r="I1883" t="str">
        <f>IF(H1883&lt;=0,"",LOOKUP(H1883,'Regras e Parâmetros'!$B$4:$B$7,'Regras e Parâmetros'!$A$4:$A$7))</f>
        <v/>
      </c>
      <c r="J1883" t="s">
        <v>9790</v>
      </c>
      <c r="K1883" t="s">
        <v>187</v>
      </c>
      <c r="L1883" t="s">
        <v>9883</v>
      </c>
    </row>
    <row r="1884" spans="1:12" x14ac:dyDescent="0.3">
      <c r="A1884" t="s">
        <v>3370</v>
      </c>
      <c r="B1884" s="5" t="s">
        <v>8268</v>
      </c>
      <c r="C1884" t="s">
        <v>6456</v>
      </c>
      <c r="D1884" t="s">
        <v>3371</v>
      </c>
      <c r="E1884" t="s">
        <v>3372</v>
      </c>
      <c r="F1884" s="1">
        <v>45505</v>
      </c>
      <c r="G1884" t="s">
        <v>51</v>
      </c>
      <c r="H1884" s="24">
        <v>96</v>
      </c>
      <c r="I1884" t="str">
        <f>IF(H1884&lt;=0,"",LOOKUP(H1884,'Regras e Parâmetros'!$B$4:$B$7,'Regras e Parâmetros'!$A$4:$A$7))</f>
        <v>Bronze</v>
      </c>
      <c r="J1884" t="s">
        <v>9790</v>
      </c>
      <c r="L1884" t="s">
        <v>9791</v>
      </c>
    </row>
    <row r="1885" spans="1:12" x14ac:dyDescent="0.3">
      <c r="A1885" t="s">
        <v>776</v>
      </c>
      <c r="B1885" s="5" t="s">
        <v>6891</v>
      </c>
      <c r="C1885" t="s">
        <v>6456</v>
      </c>
      <c r="D1885" t="s">
        <v>777</v>
      </c>
      <c r="E1885" t="s">
        <v>6892</v>
      </c>
      <c r="F1885" s="1">
        <v>44622</v>
      </c>
      <c r="G1885" t="s">
        <v>51</v>
      </c>
      <c r="H1885" s="24">
        <v>1369</v>
      </c>
      <c r="I1885" t="str">
        <f>IF(H1885&lt;=0,"",LOOKUP(H1885,'Regras e Parâmetros'!$B$4:$B$7,'Regras e Parâmetros'!$A$4:$A$7))</f>
        <v>Bronze</v>
      </c>
      <c r="J1885" t="s">
        <v>6456</v>
      </c>
    </row>
    <row r="1886" spans="1:12" x14ac:dyDescent="0.3">
      <c r="A1886" t="s">
        <v>5648</v>
      </c>
      <c r="B1886" s="5" t="s">
        <v>5649</v>
      </c>
      <c r="C1886" t="s">
        <v>6456</v>
      </c>
      <c r="D1886" t="s">
        <v>5650</v>
      </c>
      <c r="E1886" t="s">
        <v>9607</v>
      </c>
      <c r="F1886" s="1">
        <v>46203</v>
      </c>
      <c r="G1886" t="s">
        <v>18</v>
      </c>
      <c r="H1886" s="24">
        <v>0</v>
      </c>
      <c r="I1886" t="str">
        <f>IF(H1886&lt;=0,"",LOOKUP(H1886,'Regras e Parâmetros'!$B$4:$B$7,'Regras e Parâmetros'!$A$4:$A$7))</f>
        <v/>
      </c>
      <c r="J1886" t="s">
        <v>9790</v>
      </c>
      <c r="K1886" t="s">
        <v>33</v>
      </c>
      <c r="L1886" t="s">
        <v>9883</v>
      </c>
    </row>
    <row r="1887" spans="1:12" x14ac:dyDescent="0.3">
      <c r="A1887" t="s">
        <v>2647</v>
      </c>
      <c r="B1887" s="5" t="s">
        <v>2648</v>
      </c>
      <c r="C1887" t="s">
        <v>6747</v>
      </c>
      <c r="D1887" t="s">
        <v>2649</v>
      </c>
      <c r="E1887" t="s">
        <v>7946</v>
      </c>
      <c r="F1887" s="1">
        <v>45247</v>
      </c>
      <c r="G1887" t="s">
        <v>51</v>
      </c>
      <c r="H1887" s="24">
        <v>156</v>
      </c>
      <c r="I1887" t="str">
        <f>IF(H1887&lt;=0,"",LOOKUP(H1887,'Regras e Parâmetros'!$B$4:$B$7,'Regras e Parâmetros'!$A$4:$A$7))</f>
        <v>Bronze</v>
      </c>
      <c r="J1887" t="s">
        <v>6747</v>
      </c>
      <c r="L1887" t="s">
        <v>10240</v>
      </c>
    </row>
    <row r="1888" spans="1:12" x14ac:dyDescent="0.3">
      <c r="A1888" t="s">
        <v>2343</v>
      </c>
      <c r="B1888" s="5" t="s">
        <v>2344</v>
      </c>
      <c r="C1888" t="s">
        <v>6456</v>
      </c>
      <c r="D1888" t="s">
        <v>2345</v>
      </c>
      <c r="E1888" t="s">
        <v>7776</v>
      </c>
      <c r="F1888" s="1">
        <v>45150</v>
      </c>
      <c r="G1888" t="s">
        <v>51</v>
      </c>
      <c r="H1888" s="24">
        <v>31</v>
      </c>
      <c r="I1888" t="str">
        <f>IF(H1888&lt;=0,"",LOOKUP(H1888,'Regras e Parâmetros'!$B$4:$B$7,'Regras e Parâmetros'!$A$4:$A$7))</f>
        <v>Bronze</v>
      </c>
      <c r="J1888" t="s">
        <v>9790</v>
      </c>
    </row>
    <row r="1889" spans="1:12" x14ac:dyDescent="0.3">
      <c r="A1889" t="s">
        <v>1830</v>
      </c>
      <c r="B1889" s="5" t="s">
        <v>7481</v>
      </c>
      <c r="C1889" t="s">
        <v>6456</v>
      </c>
      <c r="D1889" t="s">
        <v>1831</v>
      </c>
      <c r="E1889" t="s">
        <v>1832</v>
      </c>
      <c r="F1889" s="1">
        <v>44984</v>
      </c>
      <c r="G1889" t="s">
        <v>51</v>
      </c>
      <c r="H1889" s="24">
        <v>3661</v>
      </c>
      <c r="I1889" t="str">
        <f>IF(H1889&lt;=0,"",LOOKUP(H1889,'Regras e Parâmetros'!$B$4:$B$7,'Regras e Parâmetros'!$A$4:$A$7))</f>
        <v>Prata</v>
      </c>
      <c r="J1889" t="s">
        <v>9790</v>
      </c>
      <c r="L1889" t="s">
        <v>9792</v>
      </c>
    </row>
    <row r="1890" spans="1:12" x14ac:dyDescent="0.3">
      <c r="A1890" t="s">
        <v>7522</v>
      </c>
      <c r="B1890" s="5" t="s">
        <v>7523</v>
      </c>
      <c r="C1890" t="s">
        <v>6456</v>
      </c>
      <c r="D1890" t="s">
        <v>1903</v>
      </c>
      <c r="E1890" t="s">
        <v>1904</v>
      </c>
      <c r="F1890" s="1">
        <v>45012</v>
      </c>
      <c r="G1890" t="s">
        <v>51</v>
      </c>
      <c r="H1890" s="24">
        <v>8886</v>
      </c>
      <c r="I1890" t="str">
        <f>IF(H1890&lt;=0,"",LOOKUP(H1890,'Regras e Parâmetros'!$B$4:$B$7,'Regras e Parâmetros'!$A$4:$A$7))</f>
        <v>Ouro</v>
      </c>
      <c r="J1890" t="s">
        <v>9790</v>
      </c>
    </row>
    <row r="1891" spans="1:12" x14ac:dyDescent="0.3">
      <c r="A1891" t="s">
        <v>2445</v>
      </c>
      <c r="B1891" s="5" t="s">
        <v>7829</v>
      </c>
      <c r="C1891" t="s">
        <v>6456</v>
      </c>
      <c r="D1891" t="s">
        <v>2446</v>
      </c>
      <c r="E1891" t="s">
        <v>7830</v>
      </c>
      <c r="F1891" s="1">
        <v>45181</v>
      </c>
      <c r="G1891" t="s">
        <v>22</v>
      </c>
      <c r="H1891" s="24">
        <v>238</v>
      </c>
      <c r="I1891" t="str">
        <f>IF(H1891&lt;=0,"",LOOKUP(H1891,'Regras e Parâmetros'!$B$4:$B$7,'Regras e Parâmetros'!$A$4:$A$7))</f>
        <v>Bronze</v>
      </c>
      <c r="J1891" t="s">
        <v>6747</v>
      </c>
    </row>
    <row r="1892" spans="1:12" x14ac:dyDescent="0.3">
      <c r="A1892" t="s">
        <v>2895</v>
      </c>
      <c r="B1892" s="5" t="s">
        <v>8069</v>
      </c>
      <c r="C1892" t="s">
        <v>6456</v>
      </c>
      <c r="D1892" t="s">
        <v>2896</v>
      </c>
      <c r="E1892" t="s">
        <v>2897</v>
      </c>
      <c r="F1892" s="1">
        <v>45359</v>
      </c>
      <c r="G1892" t="s">
        <v>51</v>
      </c>
      <c r="H1892" s="24">
        <v>205</v>
      </c>
      <c r="I1892" t="str">
        <f>IF(H1892&lt;=0,"",LOOKUP(H1892,'Regras e Parâmetros'!$B$4:$B$7,'Regras e Parâmetros'!$A$4:$A$7))</f>
        <v>Bronze</v>
      </c>
      <c r="J1892" t="s">
        <v>6456</v>
      </c>
      <c r="K1892" t="s">
        <v>708</v>
      </c>
    </row>
    <row r="1893" spans="1:12" x14ac:dyDescent="0.3">
      <c r="A1893" t="s">
        <v>4605</v>
      </c>
      <c r="B1893" s="5" t="s">
        <v>9011</v>
      </c>
      <c r="C1893" t="s">
        <v>6456</v>
      </c>
      <c r="D1893" t="s">
        <v>4606</v>
      </c>
      <c r="E1893" t="s">
        <v>4607</v>
      </c>
      <c r="F1893" s="1">
        <v>45896</v>
      </c>
      <c r="G1893" t="s">
        <v>22</v>
      </c>
      <c r="H1893" s="24">
        <v>0</v>
      </c>
      <c r="I1893" t="str">
        <f>IF(H1893&lt;=0,"",LOOKUP(H1893,'Regras e Parâmetros'!$B$4:$B$7,'Regras e Parâmetros'!$A$4:$A$7))</f>
        <v/>
      </c>
      <c r="J1893" t="s">
        <v>6747</v>
      </c>
      <c r="L1893" t="s">
        <v>9883</v>
      </c>
    </row>
    <row r="1894" spans="1:12" x14ac:dyDescent="0.3">
      <c r="A1894" t="s">
        <v>4605</v>
      </c>
      <c r="B1894" s="5" t="s">
        <v>9519</v>
      </c>
      <c r="C1894" t="s">
        <v>6456</v>
      </c>
      <c r="D1894" t="s">
        <v>5494</v>
      </c>
      <c r="E1894" t="s">
        <v>5495</v>
      </c>
      <c r="F1894" s="1">
        <v>46157</v>
      </c>
      <c r="G1894" t="s">
        <v>45</v>
      </c>
      <c r="H1894" s="24">
        <v>0</v>
      </c>
      <c r="I1894" t="str">
        <f>IF(H1894&lt;=0,"",LOOKUP(H1894,'Regras e Parâmetros'!$B$4:$B$7,'Regras e Parâmetros'!$A$4:$A$7))</f>
        <v/>
      </c>
      <c r="J1894" t="s">
        <v>9790</v>
      </c>
      <c r="K1894" t="s">
        <v>177</v>
      </c>
      <c r="L1894" t="s">
        <v>9883</v>
      </c>
    </row>
    <row r="1895" spans="1:12" x14ac:dyDescent="0.3">
      <c r="A1895" t="s">
        <v>5972</v>
      </c>
      <c r="B1895" s="5" t="s">
        <v>9787</v>
      </c>
      <c r="C1895" t="s">
        <v>6456</v>
      </c>
      <c r="D1895" t="s">
        <v>5973</v>
      </c>
      <c r="E1895" t="s">
        <v>5974</v>
      </c>
      <c r="F1895" s="1">
        <v>46280</v>
      </c>
      <c r="G1895" t="s">
        <v>51</v>
      </c>
      <c r="H1895" s="24">
        <v>0</v>
      </c>
      <c r="I1895" t="str">
        <f>IF(H1895&lt;=0,"",LOOKUP(H1895,'Regras e Parâmetros'!$B$4:$B$7,'Regras e Parâmetros'!$A$4:$A$7))</f>
        <v/>
      </c>
      <c r="J1895" t="s">
        <v>6747</v>
      </c>
      <c r="L1895" t="s">
        <v>9883</v>
      </c>
    </row>
    <row r="1896" spans="1:12" x14ac:dyDescent="0.3">
      <c r="A1896" t="s">
        <v>7317</v>
      </c>
      <c r="B1896" s="5" t="s">
        <v>7318</v>
      </c>
      <c r="C1896" t="s">
        <v>6456</v>
      </c>
      <c r="D1896" t="s">
        <v>1556</v>
      </c>
      <c r="E1896" t="s">
        <v>7319</v>
      </c>
      <c r="F1896" s="1">
        <v>44893</v>
      </c>
      <c r="G1896" t="s">
        <v>100</v>
      </c>
      <c r="H1896" s="24">
        <v>2333</v>
      </c>
      <c r="I1896" t="str">
        <f>IF(H1896&lt;=0,"",LOOKUP(H1896,'Regras e Parâmetros'!$B$4:$B$7,'Regras e Parâmetros'!$A$4:$A$7))</f>
        <v>Prata</v>
      </c>
      <c r="J1896" t="s">
        <v>6747</v>
      </c>
    </row>
    <row r="1897" spans="1:12" x14ac:dyDescent="0.3">
      <c r="A1897" t="s">
        <v>4027</v>
      </c>
      <c r="B1897" s="5" t="s">
        <v>8674</v>
      </c>
      <c r="C1897" t="s">
        <v>6456</v>
      </c>
      <c r="D1897" t="s">
        <v>4028</v>
      </c>
      <c r="E1897" t="s">
        <v>8675</v>
      </c>
      <c r="F1897" s="1">
        <v>45726</v>
      </c>
      <c r="G1897" t="s">
        <v>110</v>
      </c>
      <c r="H1897" s="24">
        <v>0</v>
      </c>
      <c r="I1897" t="str">
        <f>IF(H1897&lt;=0,"",LOOKUP(H1897,'Regras e Parâmetros'!$B$4:$B$7,'Regras e Parâmetros'!$A$4:$A$7))</f>
        <v/>
      </c>
      <c r="J1897" t="s">
        <v>9790</v>
      </c>
      <c r="L1897" t="s">
        <v>9883</v>
      </c>
    </row>
    <row r="1898" spans="1:12" x14ac:dyDescent="0.3">
      <c r="A1898" t="s">
        <v>4103</v>
      </c>
      <c r="B1898" s="5" t="s">
        <v>4104</v>
      </c>
      <c r="C1898" t="s">
        <v>6456</v>
      </c>
      <c r="D1898" t="s">
        <v>4105</v>
      </c>
      <c r="E1898" t="s">
        <v>8712</v>
      </c>
      <c r="F1898" s="1">
        <v>45745</v>
      </c>
      <c r="G1898" t="s">
        <v>110</v>
      </c>
      <c r="H1898" s="24">
        <v>0</v>
      </c>
      <c r="I1898" t="str">
        <f>IF(H1898&lt;=0,"",LOOKUP(H1898,'Regras e Parâmetros'!$B$4:$B$7,'Regras e Parâmetros'!$A$4:$A$7))</f>
        <v/>
      </c>
      <c r="J1898" t="s">
        <v>9790</v>
      </c>
      <c r="L1898" t="s">
        <v>9883</v>
      </c>
    </row>
    <row r="1899" spans="1:12" x14ac:dyDescent="0.3">
      <c r="A1899" t="s">
        <v>5852</v>
      </c>
      <c r="B1899" s="5" t="s">
        <v>9731</v>
      </c>
      <c r="C1899" t="s">
        <v>6456</v>
      </c>
      <c r="D1899" t="s">
        <v>5853</v>
      </c>
      <c r="E1899" t="s">
        <v>9732</v>
      </c>
      <c r="F1899" s="1">
        <v>46255</v>
      </c>
      <c r="G1899" t="s">
        <v>22</v>
      </c>
      <c r="H1899" s="24">
        <v>0</v>
      </c>
      <c r="I1899" t="str">
        <f>IF(H1899&lt;=0,"",LOOKUP(H1899,'Regras e Parâmetros'!$B$4:$B$7,'Regras e Parâmetros'!$A$4:$A$7))</f>
        <v/>
      </c>
      <c r="J1899" t="s">
        <v>9790</v>
      </c>
      <c r="L1899" t="s">
        <v>9883</v>
      </c>
    </row>
    <row r="1900" spans="1:12" x14ac:dyDescent="0.3">
      <c r="A1900" t="s">
        <v>144</v>
      </c>
      <c r="B1900" s="5" t="s">
        <v>145</v>
      </c>
      <c r="C1900" t="s">
        <v>6456</v>
      </c>
      <c r="D1900" t="s">
        <v>146</v>
      </c>
      <c r="E1900" t="s">
        <v>6535</v>
      </c>
      <c r="F1900" s="1">
        <v>44394</v>
      </c>
      <c r="G1900" t="s">
        <v>22</v>
      </c>
      <c r="H1900" s="24">
        <v>11848</v>
      </c>
      <c r="I1900" t="str">
        <f>IF(H1900&lt;=0,"",LOOKUP(H1900,'Regras e Parâmetros'!$B$4:$B$7,'Regras e Parâmetros'!$A$4:$A$7))</f>
        <v>Vip</v>
      </c>
      <c r="J1900" t="s">
        <v>6456</v>
      </c>
    </row>
    <row r="1901" spans="1:12" x14ac:dyDescent="0.3">
      <c r="A1901" t="s">
        <v>7968</v>
      </c>
      <c r="B1901" s="5" t="s">
        <v>2700</v>
      </c>
      <c r="C1901" t="s">
        <v>6456</v>
      </c>
      <c r="D1901" t="s">
        <v>2701</v>
      </c>
      <c r="E1901" t="s">
        <v>2702</v>
      </c>
      <c r="F1901" s="1">
        <v>45261</v>
      </c>
      <c r="G1901" t="s">
        <v>18</v>
      </c>
      <c r="H1901" s="24">
        <v>218</v>
      </c>
      <c r="I1901" t="str">
        <f>IF(H1901&lt;=0,"",LOOKUP(H1901,'Regras e Parâmetros'!$B$4:$B$7,'Regras e Parâmetros'!$A$4:$A$7))</f>
        <v>Bronze</v>
      </c>
      <c r="J1901" t="s">
        <v>6747</v>
      </c>
      <c r="K1901" t="s">
        <v>708</v>
      </c>
      <c r="L1901" t="s">
        <v>9789</v>
      </c>
    </row>
    <row r="1902" spans="1:12" x14ac:dyDescent="0.3">
      <c r="A1902" t="s">
        <v>4106</v>
      </c>
      <c r="B1902" s="5" t="s">
        <v>8713</v>
      </c>
      <c r="C1902" t="s">
        <v>6456</v>
      </c>
      <c r="D1902" t="s">
        <v>4107</v>
      </c>
      <c r="E1902" t="s">
        <v>8714</v>
      </c>
      <c r="F1902" s="1">
        <v>45745</v>
      </c>
      <c r="G1902" t="s">
        <v>51</v>
      </c>
      <c r="H1902" s="24">
        <v>0</v>
      </c>
      <c r="I1902" t="str">
        <f>IF(H1902&lt;=0,"",LOOKUP(H1902,'Regras e Parâmetros'!$B$4:$B$7,'Regras e Parâmetros'!$A$4:$A$7))</f>
        <v/>
      </c>
      <c r="J1902" t="s">
        <v>6456</v>
      </c>
      <c r="L1902" t="s">
        <v>9883</v>
      </c>
    </row>
    <row r="1903" spans="1:12" x14ac:dyDescent="0.3">
      <c r="A1903" t="s">
        <v>8384</v>
      </c>
      <c r="B1903" s="5" t="s">
        <v>8385</v>
      </c>
      <c r="C1903" t="s">
        <v>6456</v>
      </c>
      <c r="D1903" t="s">
        <v>3559</v>
      </c>
      <c r="E1903" t="s">
        <v>3560</v>
      </c>
      <c r="F1903" s="1">
        <v>45584</v>
      </c>
      <c r="G1903" t="s">
        <v>18</v>
      </c>
      <c r="H1903" s="24">
        <v>401</v>
      </c>
      <c r="I1903" t="str">
        <f>IF(H1903&lt;=0,"",LOOKUP(H1903,'Regras e Parâmetros'!$B$4:$B$7,'Regras e Parâmetros'!$A$4:$A$7))</f>
        <v>Bronze</v>
      </c>
      <c r="J1903" t="s">
        <v>6456</v>
      </c>
    </row>
    <row r="1904" spans="1:12" x14ac:dyDescent="0.3">
      <c r="A1904" t="s">
        <v>3489</v>
      </c>
      <c r="B1904" s="5" t="s">
        <v>8352</v>
      </c>
      <c r="C1904" t="s">
        <v>6456</v>
      </c>
      <c r="D1904" t="s">
        <v>3490</v>
      </c>
      <c r="E1904" t="s">
        <v>3491</v>
      </c>
      <c r="F1904" s="1">
        <v>45566</v>
      </c>
      <c r="G1904" t="s">
        <v>110</v>
      </c>
      <c r="H1904" s="24">
        <v>1451</v>
      </c>
      <c r="I1904" t="str">
        <f>IF(H1904&lt;=0,"",LOOKUP(H1904,'Regras e Parâmetros'!$B$4:$B$7,'Regras e Parâmetros'!$A$4:$A$7))</f>
        <v>Bronze</v>
      </c>
      <c r="J1904" t="s">
        <v>9790</v>
      </c>
      <c r="K1904" t="s">
        <v>177</v>
      </c>
    </row>
    <row r="1905" spans="1:12" x14ac:dyDescent="0.3">
      <c r="A1905" t="s">
        <v>5961</v>
      </c>
      <c r="B1905" s="5" t="s">
        <v>5962</v>
      </c>
      <c r="C1905" t="s">
        <v>6456</v>
      </c>
      <c r="D1905" t="s">
        <v>5963</v>
      </c>
      <c r="E1905" t="s">
        <v>9785</v>
      </c>
      <c r="F1905" s="1">
        <v>46277</v>
      </c>
      <c r="G1905" t="s">
        <v>100</v>
      </c>
      <c r="H1905" s="24">
        <v>0</v>
      </c>
      <c r="I1905" t="str">
        <f>IF(H1905&lt;=0,"",LOOKUP(H1905,'Regras e Parâmetros'!$B$4:$B$7,'Regras e Parâmetros'!$A$4:$A$7))</f>
        <v/>
      </c>
      <c r="J1905" t="s">
        <v>6747</v>
      </c>
      <c r="L1905" t="s">
        <v>9883</v>
      </c>
    </row>
    <row r="1906" spans="1:12" x14ac:dyDescent="0.3">
      <c r="A1906" t="s">
        <v>6733</v>
      </c>
      <c r="B1906" s="5" t="s">
        <v>522</v>
      </c>
      <c r="C1906" t="s">
        <v>6456</v>
      </c>
      <c r="D1906" t="s">
        <v>523</v>
      </c>
      <c r="E1906" t="s">
        <v>524</v>
      </c>
      <c r="F1906" s="1">
        <v>44527</v>
      </c>
      <c r="G1906" t="s">
        <v>110</v>
      </c>
      <c r="H1906" s="24">
        <v>769</v>
      </c>
      <c r="I1906" t="str">
        <f>IF(H1906&lt;=0,"",LOOKUP(H1906,'Regras e Parâmetros'!$B$4:$B$7,'Regras e Parâmetros'!$A$4:$A$7))</f>
        <v>Bronze</v>
      </c>
      <c r="J1906" t="s">
        <v>6456</v>
      </c>
      <c r="K1906" t="s">
        <v>44</v>
      </c>
    </row>
    <row r="1907" spans="1:12" x14ac:dyDescent="0.3">
      <c r="A1907" t="s">
        <v>5941</v>
      </c>
      <c r="B1907" s="5" t="s">
        <v>9777</v>
      </c>
      <c r="C1907" t="s">
        <v>6456</v>
      </c>
      <c r="D1907" t="s">
        <v>5942</v>
      </c>
      <c r="E1907" t="s">
        <v>5943</v>
      </c>
      <c r="F1907" s="1">
        <v>46274</v>
      </c>
      <c r="G1907" t="s">
        <v>22</v>
      </c>
      <c r="H1907" s="24">
        <v>0</v>
      </c>
      <c r="I1907" t="str">
        <f>IF(H1907&lt;=0,"",LOOKUP(H1907,'Regras e Parâmetros'!$B$4:$B$7,'Regras e Parâmetros'!$A$4:$A$7))</f>
        <v/>
      </c>
      <c r="J1907" t="s">
        <v>6747</v>
      </c>
      <c r="L1907" t="s">
        <v>9883</v>
      </c>
    </row>
    <row r="1908" spans="1:12" x14ac:dyDescent="0.3">
      <c r="A1908" t="s">
        <v>9751</v>
      </c>
      <c r="B1908" s="5" t="s">
        <v>9752</v>
      </c>
      <c r="C1908" t="s">
        <v>6456</v>
      </c>
      <c r="E1908" t="s">
        <v>5893</v>
      </c>
      <c r="F1908" s="1">
        <v>46265</v>
      </c>
      <c r="G1908" t="s">
        <v>22</v>
      </c>
      <c r="H1908" s="24">
        <v>0</v>
      </c>
      <c r="I1908" t="str">
        <f>IF(H1908&lt;=0,"",LOOKUP(H1908,'Regras e Parâmetros'!$B$4:$B$7,'Regras e Parâmetros'!$A$4:$A$7))</f>
        <v/>
      </c>
      <c r="J1908" t="s">
        <v>6747</v>
      </c>
      <c r="L1908" t="s">
        <v>9933</v>
      </c>
    </row>
    <row r="1909" spans="1:12" x14ac:dyDescent="0.3">
      <c r="A1909" t="s">
        <v>6603</v>
      </c>
      <c r="B1909" s="5" t="s">
        <v>6604</v>
      </c>
      <c r="C1909" t="s">
        <v>6456</v>
      </c>
      <c r="D1909" t="s">
        <v>293</v>
      </c>
      <c r="E1909" t="s">
        <v>6605</v>
      </c>
      <c r="F1909" s="1">
        <v>44443</v>
      </c>
      <c r="G1909" t="s">
        <v>18</v>
      </c>
      <c r="H1909" s="24">
        <v>8750</v>
      </c>
      <c r="I1909" t="str">
        <f>IF(H1909&lt;=0,"",LOOKUP(H1909,'Regras e Parâmetros'!$B$4:$B$7,'Regras e Parâmetros'!$A$4:$A$7))</f>
        <v>Ouro</v>
      </c>
      <c r="J1909" t="s">
        <v>9790</v>
      </c>
    </row>
    <row r="1910" spans="1:12" x14ac:dyDescent="0.3">
      <c r="A1910" t="s">
        <v>2046</v>
      </c>
      <c r="B1910" s="5" t="s">
        <v>7594</v>
      </c>
      <c r="C1910" t="s">
        <v>6456</v>
      </c>
      <c r="D1910" t="s">
        <v>2047</v>
      </c>
      <c r="E1910" t="s">
        <v>2048</v>
      </c>
      <c r="F1910" s="1">
        <v>45055</v>
      </c>
      <c r="G1910" t="s">
        <v>45</v>
      </c>
      <c r="H1910" s="24">
        <v>0</v>
      </c>
      <c r="I1910" t="str">
        <f>IF(H1910&lt;=0,"",LOOKUP(H1910,'Regras e Parâmetros'!$B$4:$B$7,'Regras e Parâmetros'!$A$4:$A$7))</f>
        <v/>
      </c>
      <c r="J1910" t="s">
        <v>6456</v>
      </c>
    </row>
    <row r="1911" spans="1:12" x14ac:dyDescent="0.3">
      <c r="A1911" t="s">
        <v>729</v>
      </c>
      <c r="B1911" s="5" t="s">
        <v>730</v>
      </c>
      <c r="C1911" t="s">
        <v>6456</v>
      </c>
      <c r="D1911" t="s">
        <v>731</v>
      </c>
      <c r="E1911" t="s">
        <v>6860</v>
      </c>
      <c r="F1911" s="1">
        <v>44604</v>
      </c>
      <c r="G1911" t="s">
        <v>18</v>
      </c>
      <c r="H1911" s="24">
        <v>15000</v>
      </c>
      <c r="I1911" t="str">
        <f>IF(H1911&lt;=0,"",LOOKUP(H1911,'Regras e Parâmetros'!$B$4:$B$7,'Regras e Parâmetros'!$A$4:$A$7))</f>
        <v>Vip</v>
      </c>
      <c r="J1911" t="s">
        <v>6747</v>
      </c>
    </row>
    <row r="1912" spans="1:12" x14ac:dyDescent="0.3">
      <c r="A1912" t="s">
        <v>4262</v>
      </c>
      <c r="B1912" s="5" t="s">
        <v>2983</v>
      </c>
      <c r="C1912" t="s">
        <v>6456</v>
      </c>
      <c r="D1912" t="s">
        <v>2984</v>
      </c>
      <c r="E1912" t="s">
        <v>2985</v>
      </c>
      <c r="F1912" s="1">
        <v>45385</v>
      </c>
      <c r="G1912" t="s">
        <v>51</v>
      </c>
      <c r="H1912" s="24">
        <v>139</v>
      </c>
      <c r="I1912" t="str">
        <f>IF(H1912&lt;=0,"",LOOKUP(H1912,'Regras e Parâmetros'!$B$4:$B$7,'Regras e Parâmetros'!$A$4:$A$7))</f>
        <v>Bronze</v>
      </c>
      <c r="J1912" t="s">
        <v>6747</v>
      </c>
    </row>
    <row r="1913" spans="1:12" x14ac:dyDescent="0.3">
      <c r="A1913" t="s">
        <v>4262</v>
      </c>
      <c r="B1913" s="5" t="s">
        <v>8783</v>
      </c>
      <c r="C1913" t="s">
        <v>6456</v>
      </c>
      <c r="E1913" t="s">
        <v>8784</v>
      </c>
      <c r="F1913" s="1">
        <v>45778</v>
      </c>
      <c r="G1913" t="s">
        <v>22</v>
      </c>
      <c r="H1913" s="24">
        <v>0</v>
      </c>
      <c r="I1913" t="str">
        <f>IF(H1913&lt;=0,"",LOOKUP(H1913,'Regras e Parâmetros'!$B$4:$B$7,'Regras e Parâmetros'!$A$4:$A$7))</f>
        <v/>
      </c>
      <c r="J1913" t="s">
        <v>6456</v>
      </c>
      <c r="L1913" t="s">
        <v>10153</v>
      </c>
    </row>
    <row r="1914" spans="1:12" x14ac:dyDescent="0.3">
      <c r="A1914" t="s">
        <v>2768</v>
      </c>
      <c r="B1914" s="5" t="s">
        <v>2769</v>
      </c>
      <c r="C1914" t="s">
        <v>6456</v>
      </c>
      <c r="D1914" t="s">
        <v>2770</v>
      </c>
      <c r="E1914" t="s">
        <v>8002</v>
      </c>
      <c r="F1914" s="1">
        <v>45298</v>
      </c>
      <c r="G1914" t="s">
        <v>22</v>
      </c>
      <c r="H1914" s="24">
        <v>3064</v>
      </c>
      <c r="I1914" t="str">
        <f>IF(H1914&lt;=0,"",LOOKUP(H1914,'Regras e Parâmetros'!$B$4:$B$7,'Regras e Parâmetros'!$A$4:$A$7))</f>
        <v>Prata</v>
      </c>
      <c r="J1914" t="s">
        <v>6747</v>
      </c>
      <c r="K1914" t="s">
        <v>708</v>
      </c>
    </row>
    <row r="1915" spans="1:12" x14ac:dyDescent="0.3">
      <c r="A1915" t="s">
        <v>2557</v>
      </c>
      <c r="B1915" s="5" t="s">
        <v>7892</v>
      </c>
      <c r="C1915" t="s">
        <v>6456</v>
      </c>
      <c r="D1915" t="s">
        <v>2558</v>
      </c>
      <c r="E1915" t="s">
        <v>2559</v>
      </c>
      <c r="F1915" s="1">
        <v>45215</v>
      </c>
      <c r="G1915" t="s">
        <v>45</v>
      </c>
      <c r="H1915" s="24">
        <v>224</v>
      </c>
      <c r="I1915" t="str">
        <f>IF(H1915&lt;=0,"",LOOKUP(H1915,'Regras e Parâmetros'!$B$4:$B$7,'Regras e Parâmetros'!$A$4:$A$7))</f>
        <v>Bronze</v>
      </c>
      <c r="J1915" t="s">
        <v>9790</v>
      </c>
      <c r="K1915" t="s">
        <v>72</v>
      </c>
      <c r="L1915" t="s">
        <v>9792</v>
      </c>
    </row>
    <row r="1916" spans="1:12" x14ac:dyDescent="0.3">
      <c r="A1916" t="s">
        <v>8524</v>
      </c>
      <c r="B1916" s="5" t="s">
        <v>8525</v>
      </c>
      <c r="C1916" t="s">
        <v>6456</v>
      </c>
      <c r="D1916" t="s">
        <v>3808</v>
      </c>
      <c r="E1916" t="s">
        <v>8526</v>
      </c>
      <c r="F1916" s="1">
        <v>45658</v>
      </c>
      <c r="G1916" t="s">
        <v>51</v>
      </c>
      <c r="H1916" s="24">
        <v>0</v>
      </c>
      <c r="I1916" t="str">
        <f>IF(H1916&lt;=0,"",LOOKUP(H1916,'Regras e Parâmetros'!$B$4:$B$7,'Regras e Parâmetros'!$A$4:$A$7))</f>
        <v/>
      </c>
      <c r="J1916" t="s">
        <v>9790</v>
      </c>
      <c r="K1916" t="s">
        <v>72</v>
      </c>
      <c r="L1916" t="s">
        <v>9884</v>
      </c>
    </row>
    <row r="1917" spans="1:12" x14ac:dyDescent="0.3">
      <c r="A1917" t="s">
        <v>1217</v>
      </c>
      <c r="B1917" s="5" t="s">
        <v>1218</v>
      </c>
      <c r="C1917" t="s">
        <v>6456</v>
      </c>
      <c r="D1917" t="s">
        <v>1219</v>
      </c>
      <c r="E1917" t="s">
        <v>1220</v>
      </c>
      <c r="F1917" s="1">
        <v>44750</v>
      </c>
      <c r="G1917" t="s">
        <v>22</v>
      </c>
      <c r="H1917" s="24">
        <v>2397</v>
      </c>
      <c r="I1917" t="str">
        <f>IF(H1917&lt;=0,"",LOOKUP(H1917,'Regras e Parâmetros'!$B$4:$B$7,'Regras e Parâmetros'!$A$4:$A$7))</f>
        <v>Prata</v>
      </c>
      <c r="J1917" t="s">
        <v>6747</v>
      </c>
      <c r="L1917" t="s">
        <v>9792</v>
      </c>
    </row>
    <row r="1918" spans="1:12" x14ac:dyDescent="0.3">
      <c r="A1918" t="s">
        <v>2206</v>
      </c>
      <c r="B1918" s="5" t="s">
        <v>7699</v>
      </c>
      <c r="C1918" t="s">
        <v>6456</v>
      </c>
      <c r="D1918" t="s">
        <v>2207</v>
      </c>
      <c r="E1918" t="s">
        <v>7700</v>
      </c>
      <c r="F1918" s="1">
        <v>45111</v>
      </c>
      <c r="G1918" t="s">
        <v>51</v>
      </c>
      <c r="H1918" s="24">
        <v>12947</v>
      </c>
      <c r="I1918" t="str">
        <f>IF(H1918&lt;=0,"",LOOKUP(H1918,'Regras e Parâmetros'!$B$4:$B$7,'Regras e Parâmetros'!$A$4:$A$7))</f>
        <v>Vip</v>
      </c>
      <c r="J1918" t="s">
        <v>6456</v>
      </c>
      <c r="K1918" t="s">
        <v>187</v>
      </c>
    </row>
    <row r="1919" spans="1:12" x14ac:dyDescent="0.3">
      <c r="A1919" t="s">
        <v>4691</v>
      </c>
      <c r="B1919" s="5" t="s">
        <v>9063</v>
      </c>
      <c r="C1919" t="s">
        <v>6456</v>
      </c>
      <c r="D1919" t="s">
        <v>4692</v>
      </c>
      <c r="E1919" t="s">
        <v>4693</v>
      </c>
      <c r="F1919" s="1">
        <v>45927</v>
      </c>
      <c r="G1919" t="s">
        <v>18</v>
      </c>
      <c r="H1919" s="24">
        <v>0</v>
      </c>
      <c r="I1919" t="str">
        <f>IF(H1919&lt;=0,"",LOOKUP(H1919,'Regras e Parâmetros'!$B$4:$B$7,'Regras e Parâmetros'!$A$4:$A$7))</f>
        <v/>
      </c>
      <c r="J1919" t="s">
        <v>9790</v>
      </c>
      <c r="L1919" t="s">
        <v>9883</v>
      </c>
    </row>
    <row r="1920" spans="1:12" x14ac:dyDescent="0.3">
      <c r="A1920" t="s">
        <v>5086</v>
      </c>
      <c r="B1920" s="5" t="s">
        <v>5087</v>
      </c>
      <c r="C1920" t="s">
        <v>6747</v>
      </c>
      <c r="D1920" t="s">
        <v>5088</v>
      </c>
      <c r="E1920" t="s">
        <v>9290</v>
      </c>
      <c r="F1920" s="1">
        <v>46041</v>
      </c>
      <c r="G1920" t="s">
        <v>51</v>
      </c>
      <c r="H1920" s="24">
        <v>0</v>
      </c>
      <c r="I1920" t="str">
        <f>IF(H1920&lt;=0,"",LOOKUP(H1920,'Regras e Parâmetros'!$B$4:$B$7,'Regras e Parâmetros'!$A$4:$A$7))</f>
        <v/>
      </c>
      <c r="J1920" t="s">
        <v>6747</v>
      </c>
      <c r="L1920" t="s">
        <v>10242</v>
      </c>
    </row>
    <row r="1921" spans="1:12" x14ac:dyDescent="0.3">
      <c r="A1921" t="s">
        <v>8219</v>
      </c>
      <c r="B1921" s="5" t="s">
        <v>3279</v>
      </c>
      <c r="C1921" t="s">
        <v>6456</v>
      </c>
      <c r="D1921" t="s">
        <v>4247</v>
      </c>
      <c r="E1921" t="s">
        <v>8220</v>
      </c>
      <c r="F1921" s="1">
        <v>45474</v>
      </c>
      <c r="G1921" t="s">
        <v>45</v>
      </c>
      <c r="H1921" s="24">
        <v>649</v>
      </c>
      <c r="I1921" t="str">
        <f>IF(H1921&lt;=0,"",LOOKUP(H1921,'Regras e Parâmetros'!$B$4:$B$7,'Regras e Parâmetros'!$A$4:$A$7))</f>
        <v>Bronze</v>
      </c>
      <c r="J1921" t="s">
        <v>9790</v>
      </c>
      <c r="K1921" t="s">
        <v>9863</v>
      </c>
      <c r="L1921" t="s">
        <v>9864</v>
      </c>
    </row>
    <row r="1922" spans="1:12" x14ac:dyDescent="0.3">
      <c r="A1922" t="s">
        <v>1221</v>
      </c>
      <c r="B1922" s="5" t="s">
        <v>7027</v>
      </c>
      <c r="C1922" t="s">
        <v>6456</v>
      </c>
      <c r="D1922" t="s">
        <v>1222</v>
      </c>
      <c r="E1922" t="s">
        <v>7028</v>
      </c>
      <c r="F1922" s="1">
        <v>44720</v>
      </c>
      <c r="G1922" t="s">
        <v>110</v>
      </c>
      <c r="H1922" s="24">
        <v>3307</v>
      </c>
      <c r="I1922" t="str">
        <f>IF(H1922&lt;=0,"",LOOKUP(H1922,'Regras e Parâmetros'!$B$4:$B$7,'Regras e Parâmetros'!$A$4:$A$7))</f>
        <v>Prata</v>
      </c>
      <c r="J1922" t="s">
        <v>9790</v>
      </c>
    </row>
    <row r="1923" spans="1:12" x14ac:dyDescent="0.3">
      <c r="A1923" t="s">
        <v>4209</v>
      </c>
      <c r="B1923" s="5" t="s">
        <v>4210</v>
      </c>
      <c r="C1923" t="s">
        <v>6456</v>
      </c>
      <c r="D1923" t="s">
        <v>4211</v>
      </c>
      <c r="E1923" t="s">
        <v>4212</v>
      </c>
      <c r="F1923" s="1">
        <v>45777</v>
      </c>
      <c r="G1923" t="s">
        <v>45</v>
      </c>
      <c r="H1923" s="24">
        <v>0</v>
      </c>
      <c r="I1923" t="str">
        <f>IF(H1923&lt;=0,"",LOOKUP(H1923,'Regras e Parâmetros'!$B$4:$B$7,'Regras e Parâmetros'!$A$4:$A$7))</f>
        <v/>
      </c>
      <c r="J1923" t="s">
        <v>9790</v>
      </c>
      <c r="L1923" t="s">
        <v>9886</v>
      </c>
    </row>
    <row r="1924" spans="1:12" x14ac:dyDescent="0.3">
      <c r="A1924" t="s">
        <v>8961</v>
      </c>
      <c r="B1924" s="5" t="s">
        <v>8962</v>
      </c>
      <c r="C1924" t="s">
        <v>6456</v>
      </c>
      <c r="D1924" t="s">
        <v>4526</v>
      </c>
      <c r="E1924" t="s">
        <v>4527</v>
      </c>
      <c r="F1924" s="1">
        <v>45876</v>
      </c>
      <c r="G1924" t="s">
        <v>51</v>
      </c>
      <c r="H1924" s="24">
        <v>0</v>
      </c>
      <c r="I1924" t="str">
        <f>IF(H1924&lt;=0,"",LOOKUP(H1924,'Regras e Parâmetros'!$B$4:$B$7,'Regras e Parâmetros'!$A$4:$A$7))</f>
        <v/>
      </c>
      <c r="J1924" t="s">
        <v>6747</v>
      </c>
      <c r="L1924" t="s">
        <v>9883</v>
      </c>
    </row>
    <row r="1925" spans="1:12" x14ac:dyDescent="0.3">
      <c r="A1925" t="s">
        <v>1223</v>
      </c>
      <c r="B1925" s="5" t="s">
        <v>7016</v>
      </c>
      <c r="C1925" t="s">
        <v>6456</v>
      </c>
      <c r="D1925" t="s">
        <v>1224</v>
      </c>
      <c r="E1925" t="s">
        <v>10136</v>
      </c>
      <c r="F1925" s="1">
        <v>44710</v>
      </c>
      <c r="G1925" t="s">
        <v>45</v>
      </c>
      <c r="H1925" s="24">
        <v>1310</v>
      </c>
      <c r="I1925" t="str">
        <f>IF(H1925&lt;=0,"",LOOKUP(H1925,'Regras e Parâmetros'!$B$4:$B$7,'Regras e Parâmetros'!$A$4:$A$7))</f>
        <v>Bronze</v>
      </c>
      <c r="J1925" t="s">
        <v>6747</v>
      </c>
    </row>
    <row r="1926" spans="1:12" x14ac:dyDescent="0.3">
      <c r="A1926" t="s">
        <v>2705</v>
      </c>
      <c r="B1926" s="5" t="s">
        <v>7975</v>
      </c>
      <c r="C1926" t="s">
        <v>6456</v>
      </c>
      <c r="D1926" t="s">
        <v>2706</v>
      </c>
      <c r="E1926" t="s">
        <v>2707</v>
      </c>
      <c r="F1926" s="1">
        <v>45267</v>
      </c>
      <c r="G1926" t="s">
        <v>45</v>
      </c>
      <c r="H1926" s="24">
        <v>2263</v>
      </c>
      <c r="I1926" t="str">
        <f>IF(H1926&lt;=0,"",LOOKUP(H1926,'Regras e Parâmetros'!$B$4:$B$7,'Regras e Parâmetros'!$A$4:$A$7))</f>
        <v>Prata</v>
      </c>
      <c r="J1926" t="s">
        <v>6456</v>
      </c>
      <c r="K1926" t="s">
        <v>10028</v>
      </c>
      <c r="L1926" t="s">
        <v>9792</v>
      </c>
    </row>
    <row r="1927" spans="1:12" x14ac:dyDescent="0.3">
      <c r="A1927" t="s">
        <v>2705</v>
      </c>
      <c r="B1927" s="5" t="s">
        <v>9212</v>
      </c>
      <c r="C1927" t="s">
        <v>6456</v>
      </c>
      <c r="D1927" t="s">
        <v>4943</v>
      </c>
      <c r="E1927" t="s">
        <v>4944</v>
      </c>
      <c r="F1927" s="1">
        <v>45996</v>
      </c>
      <c r="G1927" t="s">
        <v>22</v>
      </c>
      <c r="H1927" s="24">
        <v>0</v>
      </c>
      <c r="I1927" t="str">
        <f>IF(H1927&lt;=0,"",LOOKUP(H1927,'Regras e Parâmetros'!$B$4:$B$7,'Regras e Parâmetros'!$A$4:$A$7))</f>
        <v/>
      </c>
      <c r="J1927" t="s">
        <v>9790</v>
      </c>
      <c r="L1927" t="s">
        <v>9886</v>
      </c>
    </row>
    <row r="1928" spans="1:12" x14ac:dyDescent="0.3">
      <c r="A1928" t="s">
        <v>2123</v>
      </c>
      <c r="B1928" s="5" t="s">
        <v>7654</v>
      </c>
      <c r="C1928" t="s">
        <v>6456</v>
      </c>
      <c r="D1928" t="s">
        <v>2474</v>
      </c>
      <c r="E1928" t="s">
        <v>7655</v>
      </c>
      <c r="F1928" s="1">
        <v>45086</v>
      </c>
      <c r="G1928" t="s">
        <v>18</v>
      </c>
      <c r="H1928" s="24">
        <v>655</v>
      </c>
      <c r="I1928" t="str">
        <f>IF(H1928&lt;=0,"",LOOKUP(H1928,'Regras e Parâmetros'!$B$4:$B$7,'Regras e Parâmetros'!$A$4:$A$7))</f>
        <v>Bronze</v>
      </c>
      <c r="J1928" t="s">
        <v>6456</v>
      </c>
      <c r="K1928" t="s">
        <v>9842</v>
      </c>
    </row>
    <row r="1929" spans="1:12" x14ac:dyDescent="0.3">
      <c r="A1929" t="s">
        <v>9430</v>
      </c>
      <c r="B1929" s="5" t="s">
        <v>5310</v>
      </c>
      <c r="C1929" t="s">
        <v>6456</v>
      </c>
      <c r="D1929" t="s">
        <v>5311</v>
      </c>
      <c r="E1929" t="s">
        <v>9431</v>
      </c>
      <c r="F1929" s="1">
        <v>46109</v>
      </c>
      <c r="G1929" t="s">
        <v>22</v>
      </c>
      <c r="H1929" s="24">
        <v>0</v>
      </c>
      <c r="I1929" t="str">
        <f>IF(H1929&lt;=0,"",LOOKUP(H1929,'Regras e Parâmetros'!$B$4:$B$7,'Regras e Parâmetros'!$A$4:$A$7))</f>
        <v/>
      </c>
      <c r="J1929" t="s">
        <v>6747</v>
      </c>
      <c r="L1929" t="s">
        <v>9883</v>
      </c>
    </row>
    <row r="1930" spans="1:12" x14ac:dyDescent="0.3">
      <c r="A1930" t="s">
        <v>6637</v>
      </c>
      <c r="B1930" s="5" t="s">
        <v>6638</v>
      </c>
      <c r="C1930" t="s">
        <v>6456</v>
      </c>
      <c r="D1930" t="s">
        <v>347</v>
      </c>
      <c r="E1930" t="s">
        <v>348</v>
      </c>
      <c r="F1930" s="1">
        <v>44463</v>
      </c>
      <c r="G1930" t="s">
        <v>45</v>
      </c>
      <c r="H1930" s="24">
        <v>3595</v>
      </c>
      <c r="I1930" t="str">
        <f>IF(H1930&lt;=0,"",LOOKUP(H1930,'Regras e Parâmetros'!$B$4:$B$7,'Regras e Parâmetros'!$A$4:$A$7))</f>
        <v>Prata</v>
      </c>
      <c r="J1930" t="s">
        <v>6456</v>
      </c>
    </row>
    <row r="1931" spans="1:12" x14ac:dyDescent="0.3">
      <c r="A1931" t="s">
        <v>8744</v>
      </c>
      <c r="B1931" s="5" t="s">
        <v>8745</v>
      </c>
      <c r="C1931" t="s">
        <v>6456</v>
      </c>
      <c r="D1931" t="s">
        <v>4137</v>
      </c>
      <c r="E1931" t="s">
        <v>8746</v>
      </c>
      <c r="F1931" s="1">
        <v>45753</v>
      </c>
      <c r="G1931" t="s">
        <v>45</v>
      </c>
      <c r="H1931" s="24">
        <v>0</v>
      </c>
      <c r="I1931" t="str">
        <f>IF(H1931&lt;=0,"",LOOKUP(H1931,'Regras e Parâmetros'!$B$4:$B$7,'Regras e Parâmetros'!$A$4:$A$7))</f>
        <v/>
      </c>
      <c r="J1931" t="s">
        <v>6456</v>
      </c>
      <c r="L1931" t="s">
        <v>9883</v>
      </c>
    </row>
    <row r="1932" spans="1:12" x14ac:dyDescent="0.3">
      <c r="A1932" t="s">
        <v>3802</v>
      </c>
      <c r="B1932" s="5" t="s">
        <v>8523</v>
      </c>
      <c r="C1932" t="s">
        <v>6456</v>
      </c>
      <c r="D1932" t="s">
        <v>3803</v>
      </c>
      <c r="E1932" t="s">
        <v>3804</v>
      </c>
      <c r="F1932" s="1">
        <v>45658</v>
      </c>
      <c r="G1932" t="s">
        <v>110</v>
      </c>
      <c r="H1932" s="24">
        <v>0</v>
      </c>
      <c r="I1932" t="str">
        <f>IF(H1932&lt;=0,"",LOOKUP(H1932,'Regras e Parâmetros'!$B$4:$B$7,'Regras e Parâmetros'!$A$4:$A$7))</f>
        <v/>
      </c>
      <c r="J1932" t="s">
        <v>9790</v>
      </c>
      <c r="K1932" t="s">
        <v>72</v>
      </c>
      <c r="L1932" t="s">
        <v>9884</v>
      </c>
    </row>
    <row r="1933" spans="1:12" x14ac:dyDescent="0.3">
      <c r="A1933" t="s">
        <v>4531</v>
      </c>
      <c r="B1933" s="5" t="s">
        <v>8952</v>
      </c>
      <c r="C1933" t="s">
        <v>6456</v>
      </c>
      <c r="D1933" t="s">
        <v>4532</v>
      </c>
      <c r="E1933" t="s">
        <v>8953</v>
      </c>
      <c r="F1933" s="1">
        <v>45870</v>
      </c>
      <c r="G1933" t="s">
        <v>100</v>
      </c>
      <c r="H1933" s="24">
        <v>0</v>
      </c>
      <c r="I1933" t="str">
        <f>IF(H1933&lt;=0,"",LOOKUP(H1933,'Regras e Parâmetros'!$B$4:$B$7,'Regras e Parâmetros'!$A$4:$A$7))</f>
        <v/>
      </c>
      <c r="J1933" t="s">
        <v>9790</v>
      </c>
      <c r="L1933" t="s">
        <v>9884</v>
      </c>
    </row>
    <row r="1934" spans="1:12" x14ac:dyDescent="0.3">
      <c r="A1934" t="s">
        <v>5268</v>
      </c>
      <c r="B1934" s="5" t="s">
        <v>7126</v>
      </c>
      <c r="C1934" t="s">
        <v>6456</v>
      </c>
      <c r="D1934" t="s">
        <v>1225</v>
      </c>
      <c r="E1934" t="s">
        <v>1226</v>
      </c>
      <c r="F1934" s="1">
        <v>44792</v>
      </c>
      <c r="G1934" t="s">
        <v>110</v>
      </c>
      <c r="H1934" s="24">
        <v>6443</v>
      </c>
      <c r="I1934" t="str">
        <f>IF(H1934&lt;=0,"",LOOKUP(H1934,'Regras e Parâmetros'!$B$4:$B$7,'Regras e Parâmetros'!$A$4:$A$7))</f>
        <v>Ouro</v>
      </c>
      <c r="J1934" t="s">
        <v>6456</v>
      </c>
      <c r="K1934" t="s">
        <v>33</v>
      </c>
      <c r="L1934" t="s">
        <v>9792</v>
      </c>
    </row>
    <row r="1935" spans="1:12" x14ac:dyDescent="0.3">
      <c r="A1935" t="s">
        <v>5268</v>
      </c>
      <c r="B1935" s="5" t="s">
        <v>9408</v>
      </c>
      <c r="C1935" t="s">
        <v>6456</v>
      </c>
      <c r="D1935" t="s">
        <v>5269</v>
      </c>
      <c r="E1935" t="s">
        <v>10137</v>
      </c>
      <c r="F1935" s="1">
        <v>46099</v>
      </c>
      <c r="G1935" t="s">
        <v>110</v>
      </c>
      <c r="H1935" s="24">
        <v>0</v>
      </c>
      <c r="I1935" t="str">
        <f>IF(H1935&lt;=0,"",LOOKUP(H1935,'Regras e Parâmetros'!$B$4:$B$7,'Regras e Parâmetros'!$A$4:$A$7))</f>
        <v/>
      </c>
      <c r="J1935" t="s">
        <v>9790</v>
      </c>
      <c r="L1935" t="s">
        <v>9883</v>
      </c>
    </row>
    <row r="1936" spans="1:12" x14ac:dyDescent="0.3">
      <c r="A1936" t="s">
        <v>5067</v>
      </c>
      <c r="B1936" s="5" t="s">
        <v>5068</v>
      </c>
      <c r="C1936" t="s">
        <v>6456</v>
      </c>
      <c r="D1936" t="s">
        <v>5069</v>
      </c>
      <c r="E1936" t="s">
        <v>9282</v>
      </c>
      <c r="F1936" s="1">
        <v>46037</v>
      </c>
      <c r="G1936" t="s">
        <v>22</v>
      </c>
      <c r="H1936" s="24">
        <v>0</v>
      </c>
      <c r="I1936" t="str">
        <f>IF(H1936&lt;=0,"",LOOKUP(H1936,'Regras e Parâmetros'!$B$4:$B$7,'Regras e Parâmetros'!$A$4:$A$7))</f>
        <v/>
      </c>
      <c r="J1936" t="s">
        <v>9790</v>
      </c>
      <c r="L1936" t="s">
        <v>9883</v>
      </c>
    </row>
    <row r="1937" spans="1:12" x14ac:dyDescent="0.3">
      <c r="A1937" t="s">
        <v>261</v>
      </c>
      <c r="B1937" s="5" t="s">
        <v>262</v>
      </c>
      <c r="C1937" t="s">
        <v>6456</v>
      </c>
      <c r="D1937" t="s">
        <v>263</v>
      </c>
      <c r="E1937" t="s">
        <v>264</v>
      </c>
      <c r="F1937" s="1">
        <v>44437</v>
      </c>
      <c r="G1937" t="s">
        <v>51</v>
      </c>
      <c r="H1937" s="24">
        <v>1696</v>
      </c>
      <c r="I1937" t="str">
        <f>IF(H1937&lt;=0,"",LOOKUP(H1937,'Regras e Parâmetros'!$B$4:$B$7,'Regras e Parâmetros'!$A$4:$A$7))</f>
        <v>Prata</v>
      </c>
      <c r="J1937" t="s">
        <v>9790</v>
      </c>
      <c r="K1937" t="s">
        <v>8</v>
      </c>
    </row>
    <row r="1938" spans="1:12" x14ac:dyDescent="0.3">
      <c r="A1938" t="s">
        <v>3293</v>
      </c>
      <c r="B1938" s="5" t="s">
        <v>8263</v>
      </c>
      <c r="C1938" t="s">
        <v>6456</v>
      </c>
      <c r="D1938" t="s">
        <v>3294</v>
      </c>
      <c r="E1938" t="s">
        <v>3295</v>
      </c>
      <c r="F1938" s="1">
        <v>45498</v>
      </c>
      <c r="G1938" t="s">
        <v>22</v>
      </c>
      <c r="H1938" s="24">
        <v>0</v>
      </c>
      <c r="I1938" t="str">
        <f>IF(H1938&lt;=0,"",LOOKUP(H1938,'Regras e Parâmetros'!$B$4:$B$7,'Regras e Parâmetros'!$A$4:$A$7))</f>
        <v/>
      </c>
      <c r="J1938" t="s">
        <v>9790</v>
      </c>
      <c r="L1938" t="s">
        <v>9792</v>
      </c>
    </row>
    <row r="1939" spans="1:12" x14ac:dyDescent="0.3">
      <c r="A1939" t="s">
        <v>6490</v>
      </c>
      <c r="B1939" s="5" t="s">
        <v>6491</v>
      </c>
      <c r="C1939" t="s">
        <v>6456</v>
      </c>
      <c r="D1939" t="s">
        <v>76</v>
      </c>
      <c r="E1939" t="s">
        <v>6492</v>
      </c>
      <c r="F1939" s="1">
        <v>44371</v>
      </c>
      <c r="G1939" t="s">
        <v>51</v>
      </c>
      <c r="H1939" s="24">
        <v>3827</v>
      </c>
      <c r="I1939" t="str">
        <f>IF(H1939&lt;=0,"",LOOKUP(H1939,'Regras e Parâmetros'!$B$4:$B$7,'Regras e Parâmetros'!$A$4:$A$7))</f>
        <v>Prata</v>
      </c>
      <c r="J1939" t="s">
        <v>9790</v>
      </c>
    </row>
    <row r="1940" spans="1:12" x14ac:dyDescent="0.3">
      <c r="A1940" t="s">
        <v>2154</v>
      </c>
      <c r="B1940" s="5" t="s">
        <v>7670</v>
      </c>
      <c r="C1940" t="s">
        <v>6456</v>
      </c>
      <c r="D1940" t="s">
        <v>2155</v>
      </c>
      <c r="E1940" t="s">
        <v>2156</v>
      </c>
      <c r="F1940" s="1">
        <v>45098</v>
      </c>
      <c r="G1940" t="s">
        <v>51</v>
      </c>
      <c r="H1940" s="24">
        <v>827</v>
      </c>
      <c r="I1940" t="str">
        <f>IF(H1940&lt;=0,"",LOOKUP(H1940,'Regras e Parâmetros'!$B$4:$B$7,'Regras e Parâmetros'!$A$4:$A$7))</f>
        <v>Bronze</v>
      </c>
      <c r="J1940" t="s">
        <v>9790</v>
      </c>
      <c r="K1940" t="s">
        <v>33</v>
      </c>
    </row>
    <row r="1941" spans="1:12" x14ac:dyDescent="0.3">
      <c r="A1941" t="s">
        <v>1920</v>
      </c>
      <c r="B1941" s="5" t="s">
        <v>7532</v>
      </c>
      <c r="C1941" t="s">
        <v>6456</v>
      </c>
      <c r="D1941" t="s">
        <v>1921</v>
      </c>
      <c r="E1941" t="s">
        <v>1922</v>
      </c>
      <c r="F1941" s="1">
        <v>45017</v>
      </c>
      <c r="G1941" t="s">
        <v>51</v>
      </c>
      <c r="H1941" s="24">
        <v>10152</v>
      </c>
      <c r="I1941" t="str">
        <f>IF(H1941&lt;=0,"",LOOKUP(H1941,'Regras e Parâmetros'!$B$4:$B$7,'Regras e Parâmetros'!$A$4:$A$7))</f>
        <v>Vip</v>
      </c>
      <c r="J1941" t="s">
        <v>6456</v>
      </c>
    </row>
    <row r="1942" spans="1:12" x14ac:dyDescent="0.3">
      <c r="A1942" t="s">
        <v>2378</v>
      </c>
      <c r="B1942" s="5" t="s">
        <v>6182</v>
      </c>
      <c r="C1942" t="s">
        <v>6456</v>
      </c>
      <c r="D1942" t="s">
        <v>2379</v>
      </c>
      <c r="E1942" t="s">
        <v>2380</v>
      </c>
      <c r="F1942" s="1">
        <v>45156</v>
      </c>
      <c r="G1942" t="s">
        <v>22</v>
      </c>
      <c r="H1942" s="24">
        <v>3452</v>
      </c>
      <c r="I1942" t="str">
        <f>IF(H1942&lt;=0,"",LOOKUP(H1942,'Regras e Parâmetros'!$B$4:$B$7,'Regras e Parâmetros'!$A$4:$A$7))</f>
        <v>Prata</v>
      </c>
      <c r="J1942" t="s">
        <v>9790</v>
      </c>
      <c r="L1942" t="s">
        <v>9792</v>
      </c>
    </row>
    <row r="1943" spans="1:12" x14ac:dyDescent="0.3">
      <c r="A1943" t="s">
        <v>6586</v>
      </c>
      <c r="B1943" s="5" t="s">
        <v>256</v>
      </c>
      <c r="C1943" t="s">
        <v>6456</v>
      </c>
      <c r="D1943" t="s">
        <v>257</v>
      </c>
      <c r="E1943" t="s">
        <v>6587</v>
      </c>
      <c r="F1943" s="1">
        <v>44437</v>
      </c>
      <c r="G1943" t="s">
        <v>45</v>
      </c>
      <c r="H1943" s="24">
        <v>9849</v>
      </c>
      <c r="I1943" t="str">
        <f>IF(H1943&lt;=0,"",LOOKUP(H1943,'Regras e Parâmetros'!$B$4:$B$7,'Regras e Parâmetros'!$A$4:$A$7))</f>
        <v>Ouro</v>
      </c>
      <c r="J1943" t="s">
        <v>9790</v>
      </c>
    </row>
    <row r="1944" spans="1:12" x14ac:dyDescent="0.3">
      <c r="A1944" t="s">
        <v>193</v>
      </c>
      <c r="B1944" s="5" t="s">
        <v>194</v>
      </c>
      <c r="C1944" t="s">
        <v>6456</v>
      </c>
      <c r="D1944" t="s">
        <v>195</v>
      </c>
      <c r="E1944" t="s">
        <v>196</v>
      </c>
      <c r="F1944" s="1">
        <v>44414</v>
      </c>
      <c r="G1944" t="s">
        <v>18</v>
      </c>
      <c r="H1944" s="24">
        <v>4003</v>
      </c>
      <c r="I1944" t="str">
        <f>IF(H1944&lt;=0,"",LOOKUP(H1944,'Regras e Parâmetros'!$B$4:$B$7,'Regras e Parâmetros'!$A$4:$A$7))</f>
        <v>Prata</v>
      </c>
      <c r="J1944" t="s">
        <v>6747</v>
      </c>
    </row>
    <row r="1945" spans="1:12" x14ac:dyDescent="0.3">
      <c r="A1945" t="s">
        <v>7479</v>
      </c>
      <c r="B1945" s="5" t="s">
        <v>1828</v>
      </c>
      <c r="C1945" t="s">
        <v>6456</v>
      </c>
      <c r="D1945" t="s">
        <v>1829</v>
      </c>
      <c r="E1945" t="s">
        <v>7480</v>
      </c>
      <c r="F1945" s="1">
        <v>44982</v>
      </c>
      <c r="G1945" t="s">
        <v>45</v>
      </c>
      <c r="H1945" s="24">
        <v>1760</v>
      </c>
      <c r="I1945" t="str">
        <f>IF(H1945&lt;=0,"",LOOKUP(H1945,'Regras e Parâmetros'!$B$4:$B$7,'Regras e Parâmetros'!$A$4:$A$7))</f>
        <v>Prata</v>
      </c>
      <c r="J1945" t="s">
        <v>9790</v>
      </c>
      <c r="K1945" t="s">
        <v>72</v>
      </c>
    </row>
    <row r="1946" spans="1:12" x14ac:dyDescent="0.3">
      <c r="A1946" t="s">
        <v>2170</v>
      </c>
      <c r="B1946" s="5" t="s">
        <v>2171</v>
      </c>
      <c r="C1946" t="s">
        <v>6456</v>
      </c>
      <c r="D1946" t="s">
        <v>2172</v>
      </c>
      <c r="E1946" t="s">
        <v>7681</v>
      </c>
      <c r="F1946" s="1">
        <v>45103</v>
      </c>
      <c r="G1946" t="s">
        <v>18</v>
      </c>
      <c r="H1946" s="24">
        <v>10991</v>
      </c>
      <c r="I1946" t="str">
        <f>IF(H1946&lt;=0,"",LOOKUP(H1946,'Regras e Parâmetros'!$B$4:$B$7,'Regras e Parâmetros'!$A$4:$A$7))</f>
        <v>Vip</v>
      </c>
      <c r="J1946" t="s">
        <v>6456</v>
      </c>
    </row>
    <row r="1947" spans="1:12" x14ac:dyDescent="0.3">
      <c r="A1947" t="s">
        <v>401</v>
      </c>
      <c r="B1947" s="5" t="s">
        <v>402</v>
      </c>
      <c r="C1947" t="s">
        <v>6456</v>
      </c>
      <c r="D1947" t="s">
        <v>403</v>
      </c>
      <c r="E1947" t="s">
        <v>6668</v>
      </c>
      <c r="F1947" s="1">
        <v>44485</v>
      </c>
      <c r="G1947" t="s">
        <v>110</v>
      </c>
      <c r="H1947" s="24">
        <v>0</v>
      </c>
      <c r="I1947" t="str">
        <f>IF(H1947&lt;=0,"",LOOKUP(H1947,'Regras e Parâmetros'!$B$4:$B$7,'Regras e Parâmetros'!$A$4:$A$7))</f>
        <v/>
      </c>
      <c r="J1947" t="s">
        <v>6747</v>
      </c>
    </row>
    <row r="1948" spans="1:12" x14ac:dyDescent="0.3">
      <c r="A1948" t="s">
        <v>1227</v>
      </c>
      <c r="B1948" s="5" t="s">
        <v>7081</v>
      </c>
      <c r="C1948" t="s">
        <v>6456</v>
      </c>
      <c r="D1948" t="s">
        <v>1228</v>
      </c>
      <c r="E1948" t="s">
        <v>1229</v>
      </c>
      <c r="F1948" s="1">
        <v>44751</v>
      </c>
      <c r="G1948" t="s">
        <v>45</v>
      </c>
      <c r="H1948" s="24">
        <v>3722</v>
      </c>
      <c r="I1948" t="str">
        <f>IF(H1948&lt;=0,"",LOOKUP(H1948,'Regras e Parâmetros'!$B$4:$B$7,'Regras e Parâmetros'!$A$4:$A$7))</f>
        <v>Prata</v>
      </c>
      <c r="J1948" t="s">
        <v>6747</v>
      </c>
    </row>
    <row r="1949" spans="1:12" x14ac:dyDescent="0.3">
      <c r="A1949" t="s">
        <v>3820</v>
      </c>
      <c r="B1949" s="5" t="s">
        <v>8550</v>
      </c>
      <c r="C1949" t="s">
        <v>6456</v>
      </c>
      <c r="D1949" t="s">
        <v>3821</v>
      </c>
      <c r="E1949" t="s">
        <v>3822</v>
      </c>
      <c r="F1949" s="1">
        <v>45669</v>
      </c>
      <c r="G1949" t="s">
        <v>110</v>
      </c>
      <c r="H1949" s="24">
        <v>0</v>
      </c>
      <c r="I1949" t="str">
        <f>IF(H1949&lt;=0,"",LOOKUP(H1949,'Regras e Parâmetros'!$B$4:$B$7,'Regras e Parâmetros'!$A$4:$A$7))</f>
        <v/>
      </c>
      <c r="J1949" t="s">
        <v>9790</v>
      </c>
      <c r="L1949" t="s">
        <v>9883</v>
      </c>
    </row>
    <row r="1950" spans="1:12" x14ac:dyDescent="0.3">
      <c r="A1950" t="s">
        <v>8810</v>
      </c>
      <c r="B1950" s="5" t="s">
        <v>8811</v>
      </c>
      <c r="C1950" t="s">
        <v>6456</v>
      </c>
      <c r="D1950" t="s">
        <v>4263</v>
      </c>
      <c r="E1950" t="s">
        <v>4264</v>
      </c>
      <c r="F1950" s="1">
        <v>45794</v>
      </c>
      <c r="G1950" t="s">
        <v>45</v>
      </c>
      <c r="H1950" s="24">
        <v>0</v>
      </c>
      <c r="I1950" t="str">
        <f>IF(H1950&lt;=0,"",LOOKUP(H1950,'Regras e Parâmetros'!$B$4:$B$7,'Regras e Parâmetros'!$A$4:$A$7))</f>
        <v/>
      </c>
      <c r="J1950" t="s">
        <v>9790</v>
      </c>
      <c r="L1950" t="s">
        <v>9883</v>
      </c>
    </row>
    <row r="1951" spans="1:12" x14ac:dyDescent="0.3">
      <c r="A1951" t="s">
        <v>3859</v>
      </c>
      <c r="B1951" s="5" t="s">
        <v>8580</v>
      </c>
      <c r="C1951" t="s">
        <v>6456</v>
      </c>
      <c r="D1951" t="s">
        <v>3860</v>
      </c>
      <c r="E1951" t="s">
        <v>3861</v>
      </c>
      <c r="F1951" s="1">
        <v>45682</v>
      </c>
      <c r="G1951" t="s">
        <v>51</v>
      </c>
      <c r="H1951" s="24">
        <v>0</v>
      </c>
      <c r="I1951" t="str">
        <f>IF(H1951&lt;=0,"",LOOKUP(H1951,'Regras e Parâmetros'!$B$4:$B$7,'Regras e Parâmetros'!$A$4:$A$7))</f>
        <v/>
      </c>
      <c r="J1951" t="s">
        <v>9790</v>
      </c>
      <c r="L1951" t="s">
        <v>9883</v>
      </c>
    </row>
    <row r="1952" spans="1:12" x14ac:dyDescent="0.3">
      <c r="A1952" t="s">
        <v>3921</v>
      </c>
      <c r="B1952" s="5" t="s">
        <v>8625</v>
      </c>
      <c r="C1952" t="s">
        <v>6456</v>
      </c>
      <c r="D1952" t="s">
        <v>5148</v>
      </c>
      <c r="E1952" t="s">
        <v>8626</v>
      </c>
      <c r="F1952" s="1">
        <v>45696</v>
      </c>
      <c r="G1952" t="s">
        <v>110</v>
      </c>
      <c r="H1952" s="24">
        <v>0</v>
      </c>
      <c r="I1952" t="str">
        <f>IF(H1952&lt;=0,"",LOOKUP(H1952,'Regras e Parâmetros'!$B$4:$B$7,'Regras e Parâmetros'!$A$4:$A$7))</f>
        <v/>
      </c>
      <c r="J1952" t="s">
        <v>9790</v>
      </c>
      <c r="K1952" t="s">
        <v>9889</v>
      </c>
      <c r="L1952" t="s">
        <v>9883</v>
      </c>
    </row>
    <row r="1953" spans="1:12" x14ac:dyDescent="0.3">
      <c r="A1953" t="s">
        <v>6832</v>
      </c>
      <c r="B1953" s="5" t="s">
        <v>6833</v>
      </c>
      <c r="C1953" t="s">
        <v>6456</v>
      </c>
      <c r="D1953" t="s">
        <v>699</v>
      </c>
      <c r="E1953" t="s">
        <v>6834</v>
      </c>
      <c r="F1953" s="1">
        <v>44590</v>
      </c>
      <c r="G1953" t="s">
        <v>51</v>
      </c>
      <c r="H1953" s="24">
        <v>3296</v>
      </c>
      <c r="I1953" t="str">
        <f>IF(H1953&lt;=0,"",LOOKUP(H1953,'Regras e Parâmetros'!$B$4:$B$7,'Regras e Parâmetros'!$A$4:$A$7))</f>
        <v>Prata</v>
      </c>
      <c r="J1953" t="s">
        <v>9790</v>
      </c>
    </row>
    <row r="1954" spans="1:12" x14ac:dyDescent="0.3">
      <c r="A1954" t="s">
        <v>1669</v>
      </c>
      <c r="B1954" s="5" t="s">
        <v>1670</v>
      </c>
      <c r="C1954" t="s">
        <v>6456</v>
      </c>
      <c r="D1954" t="s">
        <v>1671</v>
      </c>
      <c r="E1954" t="s">
        <v>7393</v>
      </c>
      <c r="F1954" s="1">
        <v>44931</v>
      </c>
      <c r="G1954" t="s">
        <v>110</v>
      </c>
      <c r="H1954" s="24">
        <v>1072</v>
      </c>
      <c r="I1954" t="str">
        <f>IF(H1954&lt;=0,"",LOOKUP(H1954,'Regras e Parâmetros'!$B$4:$B$7,'Regras e Parâmetros'!$A$4:$A$7))</f>
        <v>Bronze</v>
      </c>
      <c r="J1954" t="s">
        <v>6747</v>
      </c>
    </row>
    <row r="1955" spans="1:12" x14ac:dyDescent="0.3">
      <c r="A1955" t="s">
        <v>672</v>
      </c>
      <c r="B1955" s="5" t="s">
        <v>673</v>
      </c>
      <c r="C1955" t="s">
        <v>6456</v>
      </c>
      <c r="D1955" t="s">
        <v>674</v>
      </c>
      <c r="E1955" t="s">
        <v>6783</v>
      </c>
      <c r="F1955" s="1">
        <v>44562</v>
      </c>
      <c r="G1955" t="s">
        <v>45</v>
      </c>
      <c r="H1955" s="24">
        <v>499</v>
      </c>
      <c r="I1955" t="str">
        <f>IF(H1955&lt;=0,"",LOOKUP(H1955,'Regras e Parâmetros'!$B$4:$B$7,'Regras e Parâmetros'!$A$4:$A$7))</f>
        <v>Bronze</v>
      </c>
      <c r="J1955" t="s">
        <v>6747</v>
      </c>
      <c r="K1955" t="s">
        <v>72</v>
      </c>
      <c r="L1955" t="s">
        <v>9791</v>
      </c>
    </row>
    <row r="1956" spans="1:12" x14ac:dyDescent="0.3">
      <c r="A1956" t="s">
        <v>5383</v>
      </c>
      <c r="B1956" s="5" t="s">
        <v>5384</v>
      </c>
      <c r="C1956" t="s">
        <v>6456</v>
      </c>
      <c r="D1956" t="s">
        <v>5385</v>
      </c>
      <c r="E1956" t="s">
        <v>9465</v>
      </c>
      <c r="F1956" s="1">
        <v>46125</v>
      </c>
      <c r="G1956" t="s">
        <v>45</v>
      </c>
      <c r="H1956" s="24">
        <v>0</v>
      </c>
      <c r="I1956" t="str">
        <f>IF(H1956&lt;=0,"",LOOKUP(H1956,'Regras e Parâmetros'!$B$4:$B$7,'Regras e Parâmetros'!$A$4:$A$7))</f>
        <v/>
      </c>
      <c r="J1956" t="s">
        <v>6747</v>
      </c>
      <c r="L1956" t="s">
        <v>9883</v>
      </c>
    </row>
    <row r="1957" spans="1:12" x14ac:dyDescent="0.3">
      <c r="A1957" t="s">
        <v>6519</v>
      </c>
      <c r="B1957" s="5" t="s">
        <v>6520</v>
      </c>
      <c r="C1957" t="s">
        <v>6456</v>
      </c>
      <c r="D1957" t="s">
        <v>123</v>
      </c>
      <c r="E1957" t="s">
        <v>6521</v>
      </c>
      <c r="F1957" s="1">
        <v>44387</v>
      </c>
      <c r="G1957" t="s">
        <v>45</v>
      </c>
      <c r="H1957" s="24">
        <v>1798</v>
      </c>
      <c r="I1957" t="str">
        <f>IF(H1957&lt;=0,"",LOOKUP(H1957,'Regras e Parâmetros'!$B$4:$B$7,'Regras e Parâmetros'!$A$4:$A$7))</f>
        <v>Prata</v>
      </c>
      <c r="J1957" t="s">
        <v>6456</v>
      </c>
      <c r="K1957" t="s">
        <v>44</v>
      </c>
    </row>
    <row r="1958" spans="1:12" x14ac:dyDescent="0.3">
      <c r="A1958" t="s">
        <v>4580</v>
      </c>
      <c r="B1958" s="5" t="s">
        <v>4581</v>
      </c>
      <c r="C1958" t="s">
        <v>6456</v>
      </c>
      <c r="D1958" t="s">
        <v>4582</v>
      </c>
      <c r="E1958" t="s">
        <v>4583</v>
      </c>
      <c r="F1958" s="1">
        <v>45662</v>
      </c>
      <c r="G1958" t="s">
        <v>22</v>
      </c>
      <c r="H1958" s="24">
        <v>0</v>
      </c>
      <c r="I1958" t="str">
        <f>IF(H1958&lt;=0,"",LOOKUP(H1958,'Regras e Parâmetros'!$B$4:$B$7,'Regras e Parâmetros'!$A$4:$A$7))</f>
        <v/>
      </c>
      <c r="J1958" t="s">
        <v>6747</v>
      </c>
      <c r="K1958" t="s">
        <v>9885</v>
      </c>
      <c r="L1958" t="s">
        <v>9883</v>
      </c>
    </row>
    <row r="1959" spans="1:12" x14ac:dyDescent="0.3">
      <c r="A1959" t="s">
        <v>5401</v>
      </c>
      <c r="B1959" s="5" t="s">
        <v>9476</v>
      </c>
      <c r="C1959" t="s">
        <v>6456</v>
      </c>
      <c r="D1959" t="s">
        <v>5402</v>
      </c>
      <c r="E1959" t="s">
        <v>9477</v>
      </c>
      <c r="F1959" s="1">
        <v>46130</v>
      </c>
      <c r="G1959" t="s">
        <v>45</v>
      </c>
      <c r="H1959" s="24">
        <v>0</v>
      </c>
      <c r="I1959" t="str">
        <f>IF(H1959&lt;=0,"",LOOKUP(H1959,'Regras e Parâmetros'!$B$4:$B$7,'Regras e Parâmetros'!$A$4:$A$7))</f>
        <v/>
      </c>
      <c r="J1959" t="s">
        <v>6456</v>
      </c>
      <c r="L1959" t="s">
        <v>9883</v>
      </c>
    </row>
    <row r="1960" spans="1:12" x14ac:dyDescent="0.3">
      <c r="A1960" t="s">
        <v>7632</v>
      </c>
      <c r="B1960" s="5" t="s">
        <v>2100</v>
      </c>
      <c r="C1960" t="s">
        <v>6456</v>
      </c>
      <c r="D1960" t="s">
        <v>2101</v>
      </c>
      <c r="E1960" t="s">
        <v>7633</v>
      </c>
      <c r="F1960" s="1">
        <v>45077</v>
      </c>
      <c r="G1960" t="s">
        <v>110</v>
      </c>
      <c r="H1960" s="24">
        <v>160</v>
      </c>
      <c r="I1960" t="str">
        <f>IF(H1960&lt;=0,"",LOOKUP(H1960,'Regras e Parâmetros'!$B$4:$B$7,'Regras e Parâmetros'!$A$4:$A$7))</f>
        <v>Bronze</v>
      </c>
      <c r="J1960" t="s">
        <v>6747</v>
      </c>
    </row>
    <row r="1961" spans="1:12" x14ac:dyDescent="0.3">
      <c r="A1961" t="s">
        <v>6099</v>
      </c>
      <c r="B1961" s="5" t="s">
        <v>7292</v>
      </c>
      <c r="C1961" t="s">
        <v>6456</v>
      </c>
      <c r="D1961" t="s">
        <v>1501</v>
      </c>
      <c r="E1961" t="s">
        <v>1502</v>
      </c>
      <c r="F1961" s="1">
        <v>44882</v>
      </c>
      <c r="G1961" t="s">
        <v>22</v>
      </c>
      <c r="H1961" s="24">
        <v>438</v>
      </c>
      <c r="I1961" t="str">
        <f>IF(H1961&lt;=0,"",LOOKUP(H1961,'Regras e Parâmetros'!$B$4:$B$7,'Regras e Parâmetros'!$A$4:$A$7))</f>
        <v>Bronze</v>
      </c>
      <c r="J1961" t="s">
        <v>6747</v>
      </c>
    </row>
    <row r="1962" spans="1:12" x14ac:dyDescent="0.3">
      <c r="A1962" t="s">
        <v>9098</v>
      </c>
      <c r="B1962" s="5" t="s">
        <v>4722</v>
      </c>
      <c r="C1962" t="s">
        <v>6456</v>
      </c>
      <c r="D1962" t="s">
        <v>4723</v>
      </c>
      <c r="E1962" t="s">
        <v>4724</v>
      </c>
      <c r="F1962" s="1">
        <v>45933</v>
      </c>
      <c r="G1962" t="s">
        <v>45</v>
      </c>
      <c r="H1962" s="24">
        <v>0</v>
      </c>
      <c r="I1962" t="str">
        <f>IF(H1962&lt;=0,"",LOOKUP(H1962,'Regras e Parâmetros'!$B$4:$B$7,'Regras e Parâmetros'!$A$4:$A$7))</f>
        <v/>
      </c>
      <c r="J1962" t="s">
        <v>6456</v>
      </c>
      <c r="L1962" t="s">
        <v>9886</v>
      </c>
    </row>
    <row r="1963" spans="1:12" x14ac:dyDescent="0.3">
      <c r="A1963" t="s">
        <v>280</v>
      </c>
      <c r="B1963" s="5" t="s">
        <v>6593</v>
      </c>
      <c r="C1963" t="s">
        <v>6456</v>
      </c>
      <c r="D1963" t="s">
        <v>281</v>
      </c>
      <c r="E1963" t="s">
        <v>282</v>
      </c>
      <c r="F1963" s="1">
        <v>44440</v>
      </c>
      <c r="G1963" t="s">
        <v>45</v>
      </c>
      <c r="H1963" s="24">
        <v>4815</v>
      </c>
      <c r="I1963" t="str">
        <f>IF(H1963&lt;=0,"",LOOKUP(H1963,'Regras e Parâmetros'!$B$4:$B$7,'Regras e Parâmetros'!$A$4:$A$7))</f>
        <v>Prata</v>
      </c>
      <c r="J1963" t="s">
        <v>6747</v>
      </c>
      <c r="L1963" t="s">
        <v>9792</v>
      </c>
    </row>
    <row r="1964" spans="1:12" x14ac:dyDescent="0.3">
      <c r="A1964" t="s">
        <v>280</v>
      </c>
      <c r="B1964" s="5" t="s">
        <v>9517</v>
      </c>
      <c r="C1964" t="s">
        <v>6456</v>
      </c>
      <c r="D1964" t="s">
        <v>5493</v>
      </c>
      <c r="E1964" t="s">
        <v>9518</v>
      </c>
      <c r="F1964" s="1">
        <v>46157</v>
      </c>
      <c r="G1964" t="s">
        <v>110</v>
      </c>
      <c r="H1964" s="24">
        <v>0</v>
      </c>
      <c r="I1964" t="str">
        <f>IF(H1964&lt;=0,"",LOOKUP(H1964,'Regras e Parâmetros'!$B$4:$B$7,'Regras e Parâmetros'!$A$4:$A$7))</f>
        <v/>
      </c>
      <c r="J1964" t="s">
        <v>9790</v>
      </c>
      <c r="L1964" t="s">
        <v>9883</v>
      </c>
    </row>
    <row r="1965" spans="1:12" x14ac:dyDescent="0.3">
      <c r="A1965" t="s">
        <v>8055</v>
      </c>
      <c r="B1965" s="5" t="s">
        <v>8056</v>
      </c>
      <c r="C1965" t="s">
        <v>6456</v>
      </c>
      <c r="D1965" t="s">
        <v>2877</v>
      </c>
      <c r="E1965" t="s">
        <v>8057</v>
      </c>
      <c r="F1965" s="1">
        <v>45351</v>
      </c>
      <c r="G1965" t="s">
        <v>51</v>
      </c>
      <c r="H1965" s="24">
        <v>5369</v>
      </c>
      <c r="I1965" t="str">
        <f>IF(H1965&lt;=0,"",LOOKUP(H1965,'Regras e Parâmetros'!$B$4:$B$7,'Regras e Parâmetros'!$A$4:$A$7))</f>
        <v>Ouro</v>
      </c>
      <c r="J1965" t="s">
        <v>9790</v>
      </c>
    </row>
    <row r="1966" spans="1:12" x14ac:dyDescent="0.3">
      <c r="A1966" t="s">
        <v>9538</v>
      </c>
      <c r="B1966" s="5" t="s">
        <v>9539</v>
      </c>
      <c r="C1966" t="s">
        <v>6456</v>
      </c>
      <c r="D1966" t="s">
        <v>5544</v>
      </c>
      <c r="E1966" t="s">
        <v>9540</v>
      </c>
      <c r="F1966" s="1">
        <v>46168</v>
      </c>
      <c r="G1966" t="s">
        <v>22</v>
      </c>
      <c r="H1966" s="24">
        <v>0</v>
      </c>
      <c r="I1966" t="str">
        <f>IF(H1966&lt;=0,"",LOOKUP(H1966,'Regras e Parâmetros'!$B$4:$B$7,'Regras e Parâmetros'!$A$4:$A$7))</f>
        <v/>
      </c>
      <c r="J1966" t="s">
        <v>9790</v>
      </c>
      <c r="L1966" t="s">
        <v>9883</v>
      </c>
    </row>
    <row r="1967" spans="1:12" x14ac:dyDescent="0.3">
      <c r="A1967" t="s">
        <v>8650</v>
      </c>
      <c r="B1967" s="5" t="s">
        <v>3977</v>
      </c>
      <c r="C1967" t="s">
        <v>6456</v>
      </c>
      <c r="D1967" t="s">
        <v>3978</v>
      </c>
      <c r="E1967" t="s">
        <v>3979</v>
      </c>
      <c r="F1967" s="1">
        <v>45713</v>
      </c>
      <c r="G1967" t="s">
        <v>18</v>
      </c>
      <c r="H1967" s="24">
        <v>0</v>
      </c>
      <c r="I1967" t="str">
        <f>IF(H1967&lt;=0,"",LOOKUP(H1967,'Regras e Parâmetros'!$B$4:$B$7,'Regras e Parâmetros'!$A$4:$A$7))</f>
        <v/>
      </c>
      <c r="J1967" t="s">
        <v>6456</v>
      </c>
      <c r="L1967" t="s">
        <v>9883</v>
      </c>
    </row>
    <row r="1968" spans="1:12" x14ac:dyDescent="0.3">
      <c r="A1968" t="s">
        <v>3703</v>
      </c>
      <c r="B1968" s="5" t="s">
        <v>8428</v>
      </c>
      <c r="C1968" t="s">
        <v>6456</v>
      </c>
      <c r="D1968" t="s">
        <v>3704</v>
      </c>
      <c r="E1968" t="s">
        <v>3705</v>
      </c>
      <c r="F1968" s="1">
        <v>45597</v>
      </c>
      <c r="G1968" t="s">
        <v>51</v>
      </c>
      <c r="H1968" s="24">
        <v>285</v>
      </c>
      <c r="I1968" t="str">
        <f>IF(H1968&lt;=0,"",LOOKUP(H1968,'Regras e Parâmetros'!$B$4:$B$7,'Regras e Parâmetros'!$A$4:$A$7))</f>
        <v>Bronze</v>
      </c>
      <c r="J1968" t="s">
        <v>9790</v>
      </c>
      <c r="L1968" t="s">
        <v>9791</v>
      </c>
    </row>
    <row r="1969" spans="1:12" x14ac:dyDescent="0.3">
      <c r="A1969" t="s">
        <v>4436</v>
      </c>
      <c r="B1969" s="5" t="s">
        <v>8904</v>
      </c>
      <c r="C1969" t="s">
        <v>6456</v>
      </c>
      <c r="D1969" t="s">
        <v>4437</v>
      </c>
      <c r="E1969" t="s">
        <v>8905</v>
      </c>
      <c r="F1969" s="1">
        <v>45850</v>
      </c>
      <c r="G1969" t="s">
        <v>45</v>
      </c>
      <c r="H1969" s="24">
        <v>0</v>
      </c>
      <c r="I1969" t="str">
        <f>IF(H1969&lt;=0,"",LOOKUP(H1969,'Regras e Parâmetros'!$B$4:$B$7,'Regras e Parâmetros'!$A$4:$A$7))</f>
        <v/>
      </c>
      <c r="J1969" t="s">
        <v>9790</v>
      </c>
      <c r="L1969" t="s">
        <v>9883</v>
      </c>
    </row>
    <row r="1970" spans="1:12" x14ac:dyDescent="0.3">
      <c r="A1970" t="s">
        <v>4436</v>
      </c>
      <c r="B1970" s="5" t="s">
        <v>4844</v>
      </c>
      <c r="C1970" t="s">
        <v>6456</v>
      </c>
      <c r="D1970" t="s">
        <v>4845</v>
      </c>
      <c r="E1970" t="s">
        <v>9147</v>
      </c>
      <c r="F1970" s="1">
        <v>45964</v>
      </c>
      <c r="G1970" t="s">
        <v>22</v>
      </c>
      <c r="H1970" s="24">
        <v>0</v>
      </c>
      <c r="I1970" t="str">
        <f>IF(H1970&lt;=0,"",LOOKUP(H1970,'Regras e Parâmetros'!$B$4:$B$7,'Regras e Parâmetros'!$A$4:$A$7))</f>
        <v/>
      </c>
      <c r="J1970" t="s">
        <v>6456</v>
      </c>
      <c r="K1970" t="s">
        <v>33</v>
      </c>
      <c r="L1970" t="s">
        <v>9883</v>
      </c>
    </row>
    <row r="1971" spans="1:12" x14ac:dyDescent="0.3">
      <c r="A1971" t="s">
        <v>3594</v>
      </c>
      <c r="B1971" s="5" t="s">
        <v>3595</v>
      </c>
      <c r="C1971" t="s">
        <v>6456</v>
      </c>
      <c r="D1971" t="s">
        <v>3596</v>
      </c>
      <c r="E1971" t="s">
        <v>8406</v>
      </c>
      <c r="F1971" s="1">
        <v>45594</v>
      </c>
      <c r="G1971" t="s">
        <v>18</v>
      </c>
      <c r="H1971" s="24">
        <v>132</v>
      </c>
      <c r="I1971" t="str">
        <f>IF(H1971&lt;=0,"",LOOKUP(H1971,'Regras e Parâmetros'!$B$4:$B$7,'Regras e Parâmetros'!$A$4:$A$7))</f>
        <v>Bronze</v>
      </c>
      <c r="J1971" t="s">
        <v>9790</v>
      </c>
    </row>
    <row r="1972" spans="1:12" x14ac:dyDescent="0.3">
      <c r="A1972" t="s">
        <v>773</v>
      </c>
      <c r="B1972" s="5" t="s">
        <v>6890</v>
      </c>
      <c r="C1972" t="s">
        <v>6456</v>
      </c>
      <c r="D1972" t="s">
        <v>774</v>
      </c>
      <c r="E1972" t="s">
        <v>775</v>
      </c>
      <c r="F1972" s="1">
        <v>44622</v>
      </c>
      <c r="G1972" t="s">
        <v>100</v>
      </c>
      <c r="H1972" s="24">
        <v>1021</v>
      </c>
      <c r="I1972" t="str">
        <f>IF(H1972&lt;=0,"",LOOKUP(H1972,'Regras e Parâmetros'!$B$4:$B$7,'Regras e Parâmetros'!$A$4:$A$7))</f>
        <v>Bronze</v>
      </c>
      <c r="J1972" t="s">
        <v>9790</v>
      </c>
      <c r="K1972" t="s">
        <v>72</v>
      </c>
    </row>
    <row r="1973" spans="1:12" x14ac:dyDescent="0.3">
      <c r="A1973" t="s">
        <v>2818</v>
      </c>
      <c r="B1973" s="5" t="s">
        <v>8028</v>
      </c>
      <c r="C1973" t="s">
        <v>6456</v>
      </c>
      <c r="D1973" t="s">
        <v>2820</v>
      </c>
      <c r="E1973" t="s">
        <v>8029</v>
      </c>
      <c r="F1973" s="1">
        <v>45319</v>
      </c>
      <c r="G1973" t="s">
        <v>22</v>
      </c>
      <c r="H1973" s="24">
        <v>14900</v>
      </c>
      <c r="I1973" t="str">
        <f>IF(H1973&lt;=0,"",LOOKUP(H1973,'Regras e Parâmetros'!$B$4:$B$7,'Regras e Parâmetros'!$A$4:$A$7))</f>
        <v>Vip</v>
      </c>
      <c r="J1973" t="s">
        <v>6456</v>
      </c>
      <c r="L1973" t="s">
        <v>9793</v>
      </c>
    </row>
    <row r="1974" spans="1:12" x14ac:dyDescent="0.3">
      <c r="A1974" t="s">
        <v>4259</v>
      </c>
      <c r="B1974" s="5" t="s">
        <v>4260</v>
      </c>
      <c r="C1974" t="s">
        <v>6456</v>
      </c>
      <c r="D1974" t="s">
        <v>4261</v>
      </c>
      <c r="E1974" t="s">
        <v>8809</v>
      </c>
      <c r="F1974" s="1">
        <v>45793</v>
      </c>
      <c r="G1974" t="s">
        <v>45</v>
      </c>
      <c r="H1974" s="24">
        <v>0</v>
      </c>
      <c r="I1974" t="str">
        <f>IF(H1974&lt;=0,"",LOOKUP(H1974,'Regras e Parâmetros'!$B$4:$B$7,'Regras e Parâmetros'!$A$4:$A$7))</f>
        <v/>
      </c>
      <c r="J1974" t="s">
        <v>6747</v>
      </c>
      <c r="L1974" t="s">
        <v>9883</v>
      </c>
    </row>
    <row r="1975" spans="1:12" x14ac:dyDescent="0.3">
      <c r="A1975" t="s">
        <v>97</v>
      </c>
      <c r="B1975" s="5" t="s">
        <v>6510</v>
      </c>
      <c r="C1975" t="s">
        <v>6456</v>
      </c>
      <c r="D1975" t="s">
        <v>98</v>
      </c>
      <c r="E1975" t="s">
        <v>99</v>
      </c>
      <c r="F1975" s="1">
        <v>44378</v>
      </c>
      <c r="G1975" t="s">
        <v>100</v>
      </c>
      <c r="H1975" s="24">
        <v>3584</v>
      </c>
      <c r="I1975" t="str">
        <f>IF(H1975&lt;=0,"",LOOKUP(H1975,'Regras e Parâmetros'!$B$4:$B$7,'Regras e Parâmetros'!$A$4:$A$7))</f>
        <v>Prata</v>
      </c>
      <c r="J1975" t="s">
        <v>6747</v>
      </c>
    </row>
    <row r="1976" spans="1:12" x14ac:dyDescent="0.3">
      <c r="A1976" t="s">
        <v>7790</v>
      </c>
      <c r="B1976" s="5" t="s">
        <v>2376</v>
      </c>
      <c r="C1976" t="s">
        <v>6456</v>
      </c>
      <c r="D1976" t="s">
        <v>2377</v>
      </c>
      <c r="E1976" t="s">
        <v>7791</v>
      </c>
      <c r="F1976" s="1">
        <v>45156</v>
      </c>
      <c r="G1976" t="s">
        <v>100</v>
      </c>
      <c r="H1976" s="24">
        <v>4839</v>
      </c>
      <c r="I1976" t="str">
        <f>IF(H1976&lt;=0,"",LOOKUP(H1976,'Regras e Parâmetros'!$B$4:$B$7,'Regras e Parâmetros'!$A$4:$A$7))</f>
        <v>Prata</v>
      </c>
      <c r="J1976" t="s">
        <v>6747</v>
      </c>
    </row>
    <row r="1977" spans="1:12" x14ac:dyDescent="0.3">
      <c r="A1977" t="s">
        <v>7790</v>
      </c>
      <c r="B1977" s="5" t="s">
        <v>9489</v>
      </c>
      <c r="C1977" t="s">
        <v>6456</v>
      </c>
      <c r="D1977" t="s">
        <v>5421</v>
      </c>
      <c r="E1977" t="s">
        <v>9490</v>
      </c>
      <c r="F1977" s="1">
        <v>46133</v>
      </c>
      <c r="G1977" t="s">
        <v>22</v>
      </c>
      <c r="H1977" s="24">
        <v>0</v>
      </c>
      <c r="I1977" t="str">
        <f>IF(H1977&lt;=0,"",LOOKUP(H1977,'Regras e Parâmetros'!$B$4:$B$7,'Regras e Parâmetros'!$A$4:$A$7))</f>
        <v/>
      </c>
      <c r="J1977" t="s">
        <v>9790</v>
      </c>
      <c r="L1977" t="s">
        <v>9883</v>
      </c>
    </row>
    <row r="1978" spans="1:12" x14ac:dyDescent="0.3">
      <c r="A1978" t="s">
        <v>7574</v>
      </c>
      <c r="B1978" s="5" t="s">
        <v>2009</v>
      </c>
      <c r="C1978" t="s">
        <v>6456</v>
      </c>
      <c r="D1978" t="s">
        <v>2010</v>
      </c>
      <c r="E1978" t="s">
        <v>2011</v>
      </c>
      <c r="F1978" s="1">
        <v>45045</v>
      </c>
      <c r="G1978" t="s">
        <v>51</v>
      </c>
      <c r="H1978" s="24">
        <v>79</v>
      </c>
      <c r="I1978" t="str">
        <f>IF(H1978&lt;=0,"",LOOKUP(H1978,'Regras e Parâmetros'!$B$4:$B$7,'Regras e Parâmetros'!$A$4:$A$7))</f>
        <v>Bronze</v>
      </c>
      <c r="J1978" t="s">
        <v>6456</v>
      </c>
    </row>
    <row r="1979" spans="1:12" x14ac:dyDescent="0.3">
      <c r="A1979" t="s">
        <v>831</v>
      </c>
      <c r="B1979" s="5" t="s">
        <v>6915</v>
      </c>
      <c r="C1979" t="s">
        <v>6456</v>
      </c>
      <c r="D1979" t="s">
        <v>832</v>
      </c>
      <c r="E1979" t="s">
        <v>6916</v>
      </c>
      <c r="F1979" s="1">
        <v>44643</v>
      </c>
      <c r="G1979" t="s">
        <v>45</v>
      </c>
      <c r="H1979" s="24">
        <v>291</v>
      </c>
      <c r="I1979" t="str">
        <f>IF(H1979&lt;=0,"",LOOKUP(H1979,'Regras e Parâmetros'!$B$4:$B$7,'Regras e Parâmetros'!$A$4:$A$7))</f>
        <v>Bronze</v>
      </c>
      <c r="J1979" t="s">
        <v>9790</v>
      </c>
      <c r="K1979" t="s">
        <v>44</v>
      </c>
    </row>
    <row r="1980" spans="1:12" x14ac:dyDescent="0.3">
      <c r="A1980" t="s">
        <v>6945</v>
      </c>
      <c r="B1980" s="5" t="s">
        <v>6946</v>
      </c>
      <c r="C1980" t="s">
        <v>6456</v>
      </c>
      <c r="D1980" t="s">
        <v>867</v>
      </c>
      <c r="E1980" t="s">
        <v>868</v>
      </c>
      <c r="F1980" s="1">
        <v>44653</v>
      </c>
      <c r="G1980" t="s">
        <v>100</v>
      </c>
      <c r="H1980" s="24">
        <v>3994</v>
      </c>
      <c r="I1980" t="str">
        <f>IF(H1980&lt;=0,"",LOOKUP(H1980,'Regras e Parâmetros'!$B$4:$B$7,'Regras e Parâmetros'!$A$4:$A$7))</f>
        <v>Prata</v>
      </c>
      <c r="J1980" t="s">
        <v>6747</v>
      </c>
    </row>
    <row r="1981" spans="1:12" x14ac:dyDescent="0.3">
      <c r="A1981" t="s">
        <v>4449</v>
      </c>
      <c r="B1981" s="5" t="s">
        <v>4450</v>
      </c>
      <c r="C1981" t="s">
        <v>6456</v>
      </c>
      <c r="D1981" t="s">
        <v>4451</v>
      </c>
      <c r="E1981" t="s">
        <v>8912</v>
      </c>
      <c r="F1981" s="1">
        <v>45854</v>
      </c>
      <c r="G1981" t="s">
        <v>110</v>
      </c>
      <c r="H1981" s="24">
        <v>0</v>
      </c>
      <c r="I1981" t="str">
        <f>IF(H1981&lt;=0,"",LOOKUP(H1981,'Regras e Parâmetros'!$B$4:$B$7,'Regras e Parâmetros'!$A$4:$A$7))</f>
        <v/>
      </c>
      <c r="J1981" t="s">
        <v>6747</v>
      </c>
      <c r="L1981" t="s">
        <v>9883</v>
      </c>
    </row>
    <row r="1982" spans="1:12" x14ac:dyDescent="0.3">
      <c r="A1982" t="s">
        <v>6692</v>
      </c>
      <c r="B1982" s="5" t="s">
        <v>6693</v>
      </c>
      <c r="C1982" t="s">
        <v>6456</v>
      </c>
      <c r="D1982" t="s">
        <v>437</v>
      </c>
      <c r="E1982" t="s">
        <v>6694</v>
      </c>
      <c r="F1982" s="1">
        <v>44498</v>
      </c>
      <c r="G1982" t="s">
        <v>100</v>
      </c>
      <c r="H1982" s="24">
        <v>2092</v>
      </c>
      <c r="I1982" t="str">
        <f>IF(H1982&lt;=0,"",LOOKUP(H1982,'Regras e Parâmetros'!$B$4:$B$7,'Regras e Parâmetros'!$A$4:$A$7))</f>
        <v>Prata</v>
      </c>
      <c r="J1982" t="s">
        <v>6747</v>
      </c>
      <c r="K1982" t="s">
        <v>72</v>
      </c>
    </row>
    <row r="1983" spans="1:12" x14ac:dyDescent="0.3">
      <c r="A1983" t="s">
        <v>8497</v>
      </c>
      <c r="B1983" s="5" t="s">
        <v>8498</v>
      </c>
      <c r="C1983" t="s">
        <v>6456</v>
      </c>
      <c r="D1983" t="s">
        <v>3756</v>
      </c>
      <c r="E1983" t="s">
        <v>8499</v>
      </c>
      <c r="F1983" s="1">
        <v>45646</v>
      </c>
      <c r="G1983" t="s">
        <v>51</v>
      </c>
      <c r="H1983" s="24">
        <v>168</v>
      </c>
      <c r="I1983" t="str">
        <f>IF(H1983&lt;=0,"",LOOKUP(H1983,'Regras e Parâmetros'!$B$4:$B$7,'Regras e Parâmetros'!$A$4:$A$7))</f>
        <v>Bronze</v>
      </c>
      <c r="J1983" t="s">
        <v>6456</v>
      </c>
    </row>
    <row r="1984" spans="1:12" x14ac:dyDescent="0.3">
      <c r="A1984" t="s">
        <v>9293</v>
      </c>
      <c r="B1984" s="5" t="s">
        <v>9294</v>
      </c>
      <c r="C1984" t="s">
        <v>6456</v>
      </c>
      <c r="D1984" t="s">
        <v>5091</v>
      </c>
      <c r="E1984" t="s">
        <v>9295</v>
      </c>
      <c r="F1984" s="1">
        <v>46043</v>
      </c>
      <c r="G1984" t="s">
        <v>110</v>
      </c>
      <c r="H1984" s="24">
        <v>0</v>
      </c>
      <c r="I1984" t="str">
        <f>IF(H1984&lt;=0,"",LOOKUP(H1984,'Regras e Parâmetros'!$B$4:$B$7,'Regras e Parâmetros'!$A$4:$A$7))</f>
        <v/>
      </c>
      <c r="J1984" t="s">
        <v>6747</v>
      </c>
      <c r="L1984" t="s">
        <v>9883</v>
      </c>
    </row>
    <row r="1985" spans="1:12" x14ac:dyDescent="0.3">
      <c r="A1985" t="s">
        <v>3925</v>
      </c>
      <c r="B1985" s="5" t="s">
        <v>3926</v>
      </c>
      <c r="C1985" t="s">
        <v>6456</v>
      </c>
      <c r="D1985" t="s">
        <v>3927</v>
      </c>
      <c r="E1985" t="s">
        <v>8628</v>
      </c>
      <c r="F1985" s="1">
        <v>45696</v>
      </c>
      <c r="G1985" t="s">
        <v>110</v>
      </c>
      <c r="H1985" s="24">
        <v>0</v>
      </c>
      <c r="I1985" t="str">
        <f>IF(H1985&lt;=0,"",LOOKUP(H1985,'Regras e Parâmetros'!$B$4:$B$7,'Regras e Parâmetros'!$A$4:$A$7))</f>
        <v/>
      </c>
      <c r="J1985" t="s">
        <v>9790</v>
      </c>
      <c r="L1985" t="s">
        <v>9883</v>
      </c>
    </row>
    <row r="1986" spans="1:12" x14ac:dyDescent="0.3">
      <c r="A1986" t="s">
        <v>3719</v>
      </c>
      <c r="B1986" s="5" t="s">
        <v>5985</v>
      </c>
      <c r="C1986" t="s">
        <v>6456</v>
      </c>
      <c r="D1986" t="s">
        <v>5986</v>
      </c>
      <c r="E1986" t="s">
        <v>3720</v>
      </c>
      <c r="F1986" s="1">
        <v>45627</v>
      </c>
      <c r="G1986" t="s">
        <v>45</v>
      </c>
      <c r="H1986" s="24">
        <v>625</v>
      </c>
      <c r="I1986" t="str">
        <f>IF(H1986&lt;=0,"",LOOKUP(H1986,'Regras e Parâmetros'!$B$4:$B$7,'Regras e Parâmetros'!$A$4:$A$7))</f>
        <v>Bronze</v>
      </c>
      <c r="J1986" t="s">
        <v>9790</v>
      </c>
      <c r="K1986" t="s">
        <v>9878</v>
      </c>
      <c r="L1986" t="s">
        <v>9864</v>
      </c>
    </row>
    <row r="1987" spans="1:12" x14ac:dyDescent="0.3">
      <c r="A1987" t="s">
        <v>1230</v>
      </c>
      <c r="B1987" s="5" t="s">
        <v>7110</v>
      </c>
      <c r="C1987" t="s">
        <v>6456</v>
      </c>
      <c r="D1987" t="s">
        <v>3182</v>
      </c>
      <c r="E1987" t="s">
        <v>3183</v>
      </c>
      <c r="F1987" s="1">
        <v>44774</v>
      </c>
      <c r="G1987" t="s">
        <v>100</v>
      </c>
      <c r="H1987" s="24">
        <v>442</v>
      </c>
      <c r="I1987" t="str">
        <f>IF(H1987&lt;=0,"",LOOKUP(H1987,'Regras e Parâmetros'!$B$4:$B$7,'Regras e Parâmetros'!$A$4:$A$7))</f>
        <v>Bronze</v>
      </c>
      <c r="J1987" t="s">
        <v>6747</v>
      </c>
      <c r="K1987" t="s">
        <v>9823</v>
      </c>
    </row>
    <row r="1988" spans="1:12" x14ac:dyDescent="0.3">
      <c r="A1988" t="s">
        <v>3233</v>
      </c>
      <c r="B1988" s="5" t="s">
        <v>8224</v>
      </c>
      <c r="C1988" t="s">
        <v>6456</v>
      </c>
      <c r="D1988" t="s">
        <v>3234</v>
      </c>
      <c r="E1988" t="s">
        <v>8225</v>
      </c>
      <c r="F1988" s="1">
        <v>45476</v>
      </c>
      <c r="G1988" t="s">
        <v>51</v>
      </c>
      <c r="H1988" s="24">
        <v>814</v>
      </c>
      <c r="I1988" t="str">
        <f>IF(H1988&lt;=0,"",LOOKUP(H1988,'Regras e Parâmetros'!$B$4:$B$7,'Regras e Parâmetros'!$A$4:$A$7))</f>
        <v>Bronze</v>
      </c>
      <c r="J1988" t="s">
        <v>6456</v>
      </c>
    </row>
    <row r="1989" spans="1:12" x14ac:dyDescent="0.3">
      <c r="A1989" t="s">
        <v>1935</v>
      </c>
      <c r="B1989" s="5" t="s">
        <v>1936</v>
      </c>
      <c r="C1989" t="s">
        <v>6456</v>
      </c>
      <c r="D1989" t="s">
        <v>1937</v>
      </c>
      <c r="E1989" t="s">
        <v>7551</v>
      </c>
      <c r="F1989" s="1">
        <v>45025</v>
      </c>
      <c r="G1989" t="s">
        <v>22</v>
      </c>
      <c r="H1989" s="24">
        <v>1036</v>
      </c>
      <c r="I1989" t="str">
        <f>IF(H1989&lt;=0,"",LOOKUP(H1989,'Regras e Parâmetros'!$B$4:$B$7,'Regras e Parâmetros'!$A$4:$A$7))</f>
        <v>Bronze</v>
      </c>
      <c r="J1989" t="s">
        <v>6456</v>
      </c>
    </row>
    <row r="1990" spans="1:12" x14ac:dyDescent="0.3">
      <c r="A1990" t="s">
        <v>4509</v>
      </c>
      <c r="B1990" s="5" t="s">
        <v>8958</v>
      </c>
      <c r="C1990" t="s">
        <v>6456</v>
      </c>
      <c r="D1990" t="s">
        <v>4510</v>
      </c>
      <c r="E1990" t="s">
        <v>4511</v>
      </c>
      <c r="F1990" s="1">
        <v>45871</v>
      </c>
      <c r="G1990" t="s">
        <v>22</v>
      </c>
      <c r="H1990" s="24">
        <v>0</v>
      </c>
      <c r="I1990" t="str">
        <f>IF(H1990&lt;=0,"",LOOKUP(H1990,'Regras e Parâmetros'!$B$4:$B$7,'Regras e Parâmetros'!$A$4:$A$7))</f>
        <v/>
      </c>
      <c r="J1990" t="s">
        <v>6456</v>
      </c>
      <c r="K1990" t="s">
        <v>177</v>
      </c>
      <c r="L1990" t="s">
        <v>9883</v>
      </c>
    </row>
    <row r="1991" spans="1:12" x14ac:dyDescent="0.3">
      <c r="A1991" t="s">
        <v>159</v>
      </c>
      <c r="B1991" s="5" t="s">
        <v>6544</v>
      </c>
      <c r="C1991" t="s">
        <v>6456</v>
      </c>
      <c r="D1991" t="s">
        <v>161</v>
      </c>
      <c r="E1991" t="s">
        <v>10138</v>
      </c>
      <c r="F1991" s="1">
        <v>44399</v>
      </c>
      <c r="G1991" t="s">
        <v>22</v>
      </c>
      <c r="H1991" s="24">
        <v>3247</v>
      </c>
      <c r="I1991" t="str">
        <f>IF(H1991&lt;=0,"",LOOKUP(H1991,'Regras e Parâmetros'!$B$4:$B$7,'Regras e Parâmetros'!$A$4:$A$7))</f>
        <v>Prata</v>
      </c>
      <c r="J1991" t="s">
        <v>6747</v>
      </c>
    </row>
    <row r="1992" spans="1:12" x14ac:dyDescent="0.3">
      <c r="A1992" t="s">
        <v>950</v>
      </c>
      <c r="B1992" s="5" t="s">
        <v>6985</v>
      </c>
      <c r="C1992" t="s">
        <v>6456</v>
      </c>
      <c r="D1992" t="s">
        <v>951</v>
      </c>
      <c r="E1992" t="s">
        <v>6986</v>
      </c>
      <c r="F1992" s="1">
        <v>44688</v>
      </c>
      <c r="G1992" t="s">
        <v>18</v>
      </c>
      <c r="H1992" s="24">
        <v>902</v>
      </c>
      <c r="I1992" t="str">
        <f>IF(H1992&lt;=0,"",LOOKUP(H1992,'Regras e Parâmetros'!$B$4:$B$7,'Regras e Parâmetros'!$A$4:$A$7))</f>
        <v>Bronze</v>
      </c>
      <c r="J1992" t="s">
        <v>6456</v>
      </c>
    </row>
    <row r="1993" spans="1:12" x14ac:dyDescent="0.3">
      <c r="A1993" t="s">
        <v>7365</v>
      </c>
      <c r="B1993" s="5" t="s">
        <v>7366</v>
      </c>
      <c r="C1993" t="s">
        <v>6456</v>
      </c>
      <c r="D1993" t="s">
        <v>7367</v>
      </c>
      <c r="E1993" t="s">
        <v>7368</v>
      </c>
      <c r="F1993" s="1">
        <v>44917</v>
      </c>
      <c r="G1993" t="s">
        <v>18</v>
      </c>
      <c r="H1993" s="24">
        <v>802</v>
      </c>
      <c r="I1993" t="str">
        <f>IF(H1993&lt;=0,"",LOOKUP(H1993,'Regras e Parâmetros'!$B$4:$B$7,'Regras e Parâmetros'!$A$4:$A$7))</f>
        <v>Bronze</v>
      </c>
      <c r="J1993" t="s">
        <v>6747</v>
      </c>
    </row>
    <row r="1994" spans="1:12" x14ac:dyDescent="0.3">
      <c r="A1994" t="s">
        <v>9037</v>
      </c>
      <c r="B1994" s="5" t="s">
        <v>4650</v>
      </c>
      <c r="C1994" t="s">
        <v>6456</v>
      </c>
      <c r="D1994" t="s">
        <v>4651</v>
      </c>
      <c r="E1994" t="s">
        <v>4652</v>
      </c>
      <c r="F1994" s="1">
        <v>45912</v>
      </c>
      <c r="G1994" t="s">
        <v>110</v>
      </c>
      <c r="H1994" s="24">
        <v>0</v>
      </c>
      <c r="I1994" t="str">
        <f>IF(H1994&lt;=0,"",LOOKUP(H1994,'Regras e Parâmetros'!$B$4:$B$7,'Regras e Parâmetros'!$A$4:$A$7))</f>
        <v/>
      </c>
      <c r="J1994" t="s">
        <v>6747</v>
      </c>
      <c r="L1994" t="s">
        <v>9883</v>
      </c>
    </row>
    <row r="1995" spans="1:12" x14ac:dyDescent="0.3">
      <c r="A1995" t="s">
        <v>9671</v>
      </c>
      <c r="B1995" s="5" t="s">
        <v>9672</v>
      </c>
      <c r="C1995" t="s">
        <v>6456</v>
      </c>
      <c r="D1995" t="s">
        <v>5755</v>
      </c>
      <c r="E1995" t="s">
        <v>5756</v>
      </c>
      <c r="F1995" s="1">
        <v>46234</v>
      </c>
      <c r="G1995" t="s">
        <v>110</v>
      </c>
      <c r="H1995" s="24">
        <v>0</v>
      </c>
      <c r="I1995" t="str">
        <f>IF(H1995&lt;=0,"",LOOKUP(H1995,'Regras e Parâmetros'!$B$4:$B$7,'Regras e Parâmetros'!$A$4:$A$7))</f>
        <v/>
      </c>
      <c r="J1995" t="s">
        <v>6747</v>
      </c>
      <c r="L1995" t="s">
        <v>9886</v>
      </c>
    </row>
    <row r="1996" spans="1:12" x14ac:dyDescent="0.3">
      <c r="A1996" t="s">
        <v>7858</v>
      </c>
      <c r="B1996" s="5" t="s">
        <v>6068</v>
      </c>
      <c r="C1996" t="s">
        <v>6456</v>
      </c>
      <c r="D1996" t="s">
        <v>2495</v>
      </c>
      <c r="E1996" t="s">
        <v>7859</v>
      </c>
      <c r="F1996" s="1">
        <v>45200</v>
      </c>
      <c r="G1996" t="s">
        <v>18</v>
      </c>
      <c r="H1996" s="24">
        <v>347</v>
      </c>
      <c r="I1996" t="str">
        <f>IF(H1996&lt;=0,"",LOOKUP(H1996,'Regras e Parâmetros'!$B$4:$B$7,'Regras e Parâmetros'!$A$4:$A$7))</f>
        <v>Bronze</v>
      </c>
      <c r="J1996" t="s">
        <v>6456</v>
      </c>
      <c r="L1996" t="s">
        <v>9791</v>
      </c>
    </row>
    <row r="1997" spans="1:12" x14ac:dyDescent="0.3">
      <c r="A1997" t="s">
        <v>1428</v>
      </c>
      <c r="B1997" s="5" t="s">
        <v>7251</v>
      </c>
      <c r="C1997" t="s">
        <v>6456</v>
      </c>
      <c r="D1997" t="s">
        <v>1429</v>
      </c>
      <c r="E1997" t="s">
        <v>7252</v>
      </c>
      <c r="F1997" s="1">
        <v>44864</v>
      </c>
      <c r="G1997" t="s">
        <v>45</v>
      </c>
      <c r="H1997" s="24">
        <v>1920</v>
      </c>
      <c r="I1997" t="str">
        <f>IF(H1997&lt;=0,"",LOOKUP(H1997,'Regras e Parâmetros'!$B$4:$B$7,'Regras e Parâmetros'!$A$4:$A$7))</f>
        <v>Prata</v>
      </c>
      <c r="J1997" t="s">
        <v>9790</v>
      </c>
      <c r="K1997" t="s">
        <v>177</v>
      </c>
    </row>
    <row r="1998" spans="1:12" x14ac:dyDescent="0.3">
      <c r="A1998" t="s">
        <v>1722</v>
      </c>
      <c r="B1998" s="5" t="s">
        <v>7421</v>
      </c>
      <c r="C1998" t="s">
        <v>6456</v>
      </c>
      <c r="D1998" t="s">
        <v>1723</v>
      </c>
      <c r="E1998" t="s">
        <v>1724</v>
      </c>
      <c r="F1998" s="1">
        <v>44948</v>
      </c>
      <c r="G1998" t="s">
        <v>51</v>
      </c>
      <c r="H1998" s="24">
        <v>15000</v>
      </c>
      <c r="I1998" t="str">
        <f>IF(H1998&lt;=0,"",LOOKUP(H1998,'Regras e Parâmetros'!$B$4:$B$7,'Regras e Parâmetros'!$A$4:$A$7))</f>
        <v>Vip</v>
      </c>
      <c r="J1998" t="s">
        <v>9790</v>
      </c>
      <c r="L1998" t="s">
        <v>9793</v>
      </c>
    </row>
    <row r="1999" spans="1:12" x14ac:dyDescent="0.3">
      <c r="A1999" t="s">
        <v>973</v>
      </c>
      <c r="B1999" s="5" t="s">
        <v>974</v>
      </c>
      <c r="C1999" t="s">
        <v>6456</v>
      </c>
      <c r="D1999" t="s">
        <v>975</v>
      </c>
      <c r="E1999" t="s">
        <v>976</v>
      </c>
      <c r="F1999" s="1">
        <v>44701</v>
      </c>
      <c r="G1999" t="s">
        <v>51</v>
      </c>
      <c r="H1999" s="24">
        <v>1383</v>
      </c>
      <c r="I1999" t="str">
        <f>IF(H1999&lt;=0,"",LOOKUP(H1999,'Regras e Parâmetros'!$B$4:$B$7,'Regras e Parâmetros'!$A$4:$A$7))</f>
        <v>Bronze</v>
      </c>
      <c r="J1999" t="s">
        <v>6456</v>
      </c>
      <c r="K1999" t="s">
        <v>72</v>
      </c>
      <c r="L1999" t="s">
        <v>9792</v>
      </c>
    </row>
    <row r="2000" spans="1:12" x14ac:dyDescent="0.3">
      <c r="A2000" t="s">
        <v>1231</v>
      </c>
      <c r="B2000" s="5" t="s">
        <v>7163</v>
      </c>
      <c r="C2000" t="s">
        <v>6456</v>
      </c>
      <c r="D2000" t="s">
        <v>1232</v>
      </c>
      <c r="E2000" t="s">
        <v>1233</v>
      </c>
      <c r="F2000" s="1">
        <v>44818</v>
      </c>
      <c r="G2000" t="s">
        <v>51</v>
      </c>
      <c r="H2000" s="24">
        <v>1253</v>
      </c>
      <c r="I2000" t="str">
        <f>IF(H2000&lt;=0,"",LOOKUP(H2000,'Regras e Parâmetros'!$B$4:$B$7,'Regras e Parâmetros'!$A$4:$A$7))</f>
        <v>Bronze</v>
      </c>
      <c r="J2000" t="s">
        <v>6456</v>
      </c>
    </row>
    <row r="2001" spans="1:12" x14ac:dyDescent="0.3">
      <c r="A2001" t="s">
        <v>1234</v>
      </c>
      <c r="B2001" s="5" t="s">
        <v>1235</v>
      </c>
      <c r="C2001" t="s">
        <v>6456</v>
      </c>
      <c r="D2001" t="s">
        <v>1236</v>
      </c>
      <c r="E2001" t="s">
        <v>10139</v>
      </c>
      <c r="F2001" s="1">
        <v>44729</v>
      </c>
      <c r="G2001" t="s">
        <v>18</v>
      </c>
      <c r="H2001" s="24">
        <v>1198</v>
      </c>
      <c r="I2001" t="str">
        <f>IF(H2001&lt;=0,"",LOOKUP(H2001,'Regras e Parâmetros'!$B$4:$B$7,'Regras e Parâmetros'!$A$4:$A$7))</f>
        <v>Bronze</v>
      </c>
      <c r="J2001" t="s">
        <v>6456</v>
      </c>
      <c r="K2001" t="s">
        <v>72</v>
      </c>
    </row>
    <row r="2002" spans="1:12" x14ac:dyDescent="0.3">
      <c r="A2002" t="s">
        <v>5054</v>
      </c>
      <c r="B2002" s="5" t="s">
        <v>5055</v>
      </c>
      <c r="C2002" t="s">
        <v>6456</v>
      </c>
      <c r="D2002" t="s">
        <v>5995</v>
      </c>
      <c r="E2002" t="s">
        <v>5996</v>
      </c>
      <c r="F2002" s="1">
        <v>46032</v>
      </c>
      <c r="G2002" t="s">
        <v>110</v>
      </c>
      <c r="H2002" s="24">
        <v>0</v>
      </c>
      <c r="I2002" t="str">
        <f>IF(H2002&lt;=0,"",LOOKUP(H2002,'Regras e Parâmetros'!$B$4:$B$7,'Regras e Parâmetros'!$A$4:$A$7))</f>
        <v/>
      </c>
      <c r="J2002" t="s">
        <v>9790</v>
      </c>
      <c r="K2002" t="s">
        <v>9915</v>
      </c>
      <c r="L2002" t="s">
        <v>9883</v>
      </c>
    </row>
    <row r="2003" spans="1:12" x14ac:dyDescent="0.3">
      <c r="A2003" t="s">
        <v>5478</v>
      </c>
      <c r="B2003" s="5" t="s">
        <v>9510</v>
      </c>
      <c r="C2003" t="s">
        <v>6456</v>
      </c>
      <c r="D2003" t="s">
        <v>5480</v>
      </c>
      <c r="E2003" t="s">
        <v>9511</v>
      </c>
      <c r="F2003" s="1">
        <v>46152</v>
      </c>
      <c r="G2003" t="s">
        <v>45</v>
      </c>
      <c r="H2003" s="24">
        <v>0</v>
      </c>
      <c r="I2003" t="str">
        <f>IF(H2003&lt;=0,"",LOOKUP(H2003,'Regras e Parâmetros'!$B$4:$B$7,'Regras e Parâmetros'!$A$4:$A$7))</f>
        <v/>
      </c>
      <c r="J2003" t="s">
        <v>9790</v>
      </c>
      <c r="L2003" t="s">
        <v>9883</v>
      </c>
    </row>
    <row r="2004" spans="1:12" x14ac:dyDescent="0.3">
      <c r="A2004" t="s">
        <v>5906</v>
      </c>
      <c r="B2004" s="5" t="s">
        <v>5907</v>
      </c>
      <c r="C2004" t="s">
        <v>6456</v>
      </c>
      <c r="D2004" t="s">
        <v>5908</v>
      </c>
      <c r="E2004" t="s">
        <v>5909</v>
      </c>
      <c r="F2004" s="1">
        <v>46270</v>
      </c>
      <c r="G2004" t="s">
        <v>45</v>
      </c>
      <c r="H2004" s="24">
        <v>0</v>
      </c>
      <c r="I2004" t="str">
        <f>IF(H2004&lt;=0,"",LOOKUP(H2004,'Regras e Parâmetros'!$B$4:$B$7,'Regras e Parâmetros'!$A$4:$A$7))</f>
        <v/>
      </c>
      <c r="J2004" t="s">
        <v>6747</v>
      </c>
      <c r="L2004" t="s">
        <v>9883</v>
      </c>
    </row>
    <row r="2005" spans="1:12" x14ac:dyDescent="0.3">
      <c r="A2005" t="s">
        <v>4777</v>
      </c>
      <c r="B2005" s="5" t="s">
        <v>9119</v>
      </c>
      <c r="C2005" t="s">
        <v>6456</v>
      </c>
      <c r="D2005" t="s">
        <v>4778</v>
      </c>
      <c r="E2005" t="s">
        <v>4779</v>
      </c>
      <c r="F2005" s="1">
        <v>45948</v>
      </c>
      <c r="G2005" t="s">
        <v>45</v>
      </c>
      <c r="H2005" s="24">
        <v>0</v>
      </c>
      <c r="I2005" t="str">
        <f>IF(H2005&lt;=0,"",LOOKUP(H2005,'Regras e Parâmetros'!$B$4:$B$7,'Regras e Parâmetros'!$A$4:$A$7))</f>
        <v/>
      </c>
      <c r="J2005" t="s">
        <v>6456</v>
      </c>
      <c r="L2005" t="s">
        <v>9883</v>
      </c>
    </row>
    <row r="2006" spans="1:12" x14ac:dyDescent="0.3">
      <c r="A2006" t="s">
        <v>4777</v>
      </c>
      <c r="B2006" s="5" t="s">
        <v>5602</v>
      </c>
      <c r="C2006" t="s">
        <v>6456</v>
      </c>
      <c r="D2006" t="s">
        <v>5603</v>
      </c>
      <c r="E2006" t="s">
        <v>5604</v>
      </c>
      <c r="F2006" s="1">
        <v>46174</v>
      </c>
      <c r="G2006" t="s">
        <v>51</v>
      </c>
      <c r="H2006" s="24">
        <v>0</v>
      </c>
      <c r="I2006" t="str">
        <f>IF(H2006&lt;=0,"",LOOKUP(H2006,'Regras e Parâmetros'!$B$4:$B$7,'Regras e Parâmetros'!$A$4:$A$7))</f>
        <v/>
      </c>
      <c r="J2006" t="s">
        <v>6456</v>
      </c>
      <c r="K2006" t="s">
        <v>8</v>
      </c>
      <c r="L2006" t="s">
        <v>9884</v>
      </c>
    </row>
    <row r="2007" spans="1:12" x14ac:dyDescent="0.3">
      <c r="A2007" t="s">
        <v>4602</v>
      </c>
      <c r="B2007" s="5" t="s">
        <v>9010</v>
      </c>
      <c r="C2007" t="s">
        <v>6456</v>
      </c>
      <c r="D2007" t="s">
        <v>4603</v>
      </c>
      <c r="E2007" t="s">
        <v>4604</v>
      </c>
      <c r="F2007" s="1">
        <v>45895</v>
      </c>
      <c r="G2007" t="s">
        <v>51</v>
      </c>
      <c r="H2007" s="24">
        <v>0</v>
      </c>
      <c r="I2007" t="str">
        <f>IF(H2007&lt;=0,"",LOOKUP(H2007,'Regras e Parâmetros'!$B$4:$B$7,'Regras e Parâmetros'!$A$4:$A$7))</f>
        <v/>
      </c>
      <c r="J2007" t="s">
        <v>6456</v>
      </c>
      <c r="L2007" t="s">
        <v>9883</v>
      </c>
    </row>
    <row r="2008" spans="1:12" x14ac:dyDescent="0.3">
      <c r="A2008" t="s">
        <v>5932</v>
      </c>
      <c r="B2008" s="5" t="s">
        <v>5933</v>
      </c>
      <c r="C2008" t="s">
        <v>6456</v>
      </c>
      <c r="D2008" t="s">
        <v>5934</v>
      </c>
      <c r="E2008" t="s">
        <v>9756</v>
      </c>
      <c r="F2008" s="1">
        <v>46266</v>
      </c>
      <c r="G2008" t="s">
        <v>51</v>
      </c>
      <c r="H2008" s="24">
        <v>0</v>
      </c>
      <c r="I2008" t="str">
        <f>IF(H2008&lt;=0,"",LOOKUP(H2008,'Regras e Parâmetros'!$B$4:$B$7,'Regras e Parâmetros'!$A$4:$A$7))</f>
        <v/>
      </c>
      <c r="J2008" t="s">
        <v>9790</v>
      </c>
      <c r="K2008" t="s">
        <v>8</v>
      </c>
      <c r="L2008" t="s">
        <v>9884</v>
      </c>
    </row>
    <row r="2009" spans="1:12" x14ac:dyDescent="0.3">
      <c r="A2009" t="s">
        <v>1296</v>
      </c>
      <c r="B2009" s="5" t="s">
        <v>1297</v>
      </c>
      <c r="C2009" t="s">
        <v>6456</v>
      </c>
      <c r="D2009" t="s">
        <v>1298</v>
      </c>
      <c r="E2009" t="s">
        <v>7168</v>
      </c>
      <c r="F2009" s="1">
        <v>44826</v>
      </c>
      <c r="G2009" t="s">
        <v>18</v>
      </c>
      <c r="H2009" s="24">
        <v>99</v>
      </c>
      <c r="I2009" t="str">
        <f>IF(H2009&lt;=0,"",LOOKUP(H2009,'Regras e Parâmetros'!$B$4:$B$7,'Regras e Parâmetros'!$A$4:$A$7))</f>
        <v>Bronze</v>
      </c>
      <c r="J2009" t="s">
        <v>9790</v>
      </c>
    </row>
    <row r="2010" spans="1:12" x14ac:dyDescent="0.3">
      <c r="A2010" t="s">
        <v>3100</v>
      </c>
      <c r="B2010" s="5" t="s">
        <v>8161</v>
      </c>
      <c r="C2010" t="s">
        <v>6456</v>
      </c>
      <c r="D2010" t="s">
        <v>3101</v>
      </c>
      <c r="E2010" t="s">
        <v>3102</v>
      </c>
      <c r="F2010" s="1">
        <v>45428</v>
      </c>
      <c r="G2010" t="s">
        <v>45</v>
      </c>
      <c r="H2010" s="24">
        <v>236</v>
      </c>
      <c r="I2010" t="str">
        <f>IF(H2010&lt;=0,"",LOOKUP(H2010,'Regras e Parâmetros'!$B$4:$B$7,'Regras e Parâmetros'!$A$4:$A$7))</f>
        <v>Bronze</v>
      </c>
      <c r="J2010" t="s">
        <v>6747</v>
      </c>
      <c r="K2010" t="s">
        <v>44</v>
      </c>
      <c r="L2010" t="s">
        <v>9792</v>
      </c>
    </row>
    <row r="2011" spans="1:12" x14ac:dyDescent="0.3">
      <c r="A2011" t="s">
        <v>3789</v>
      </c>
      <c r="B2011" s="5" t="s">
        <v>8532</v>
      </c>
      <c r="C2011" t="s">
        <v>6456</v>
      </c>
      <c r="D2011" t="s">
        <v>3790</v>
      </c>
      <c r="E2011" t="s">
        <v>3791</v>
      </c>
      <c r="F2011" s="1">
        <v>45661</v>
      </c>
      <c r="G2011" t="s">
        <v>110</v>
      </c>
      <c r="H2011" s="24">
        <v>0</v>
      </c>
      <c r="I2011" t="str">
        <f>IF(H2011&lt;=0,"",LOOKUP(H2011,'Regras e Parâmetros'!$B$4:$B$7,'Regras e Parâmetros'!$A$4:$A$7))</f>
        <v/>
      </c>
      <c r="J2011" t="s">
        <v>9790</v>
      </c>
      <c r="K2011" t="s">
        <v>33</v>
      </c>
      <c r="L2011" t="s">
        <v>9883</v>
      </c>
    </row>
    <row r="2012" spans="1:12" x14ac:dyDescent="0.3">
      <c r="A2012" t="s">
        <v>12</v>
      </c>
      <c r="B2012" s="5" t="s">
        <v>13</v>
      </c>
      <c r="C2012" t="s">
        <v>6456</v>
      </c>
      <c r="D2012" t="s">
        <v>14</v>
      </c>
      <c r="E2012" t="s">
        <v>6468</v>
      </c>
      <c r="F2012" s="1">
        <v>44353</v>
      </c>
      <c r="G2012" t="s">
        <v>18</v>
      </c>
      <c r="H2012" s="24">
        <v>11153</v>
      </c>
      <c r="I2012" t="str">
        <f>IF(H2012&lt;=0,"",LOOKUP(H2012,'Regras e Parâmetros'!$B$4:$B$7,'Regras e Parâmetros'!$A$4:$A$7))</f>
        <v>Vip</v>
      </c>
      <c r="J2012" t="s">
        <v>6747</v>
      </c>
    </row>
    <row r="2013" spans="1:12" x14ac:dyDescent="0.3">
      <c r="A2013" t="s">
        <v>9552</v>
      </c>
      <c r="B2013" s="5" t="s">
        <v>9553</v>
      </c>
      <c r="C2013" t="s">
        <v>6456</v>
      </c>
      <c r="D2013" t="s">
        <v>5556</v>
      </c>
      <c r="E2013" t="s">
        <v>9554</v>
      </c>
      <c r="F2013" s="1">
        <v>46170</v>
      </c>
      <c r="G2013" t="s">
        <v>22</v>
      </c>
      <c r="H2013" s="24">
        <v>0</v>
      </c>
      <c r="I2013" t="str">
        <f>IF(H2013&lt;=0,"",LOOKUP(H2013,'Regras e Parâmetros'!$B$4:$B$7,'Regras e Parâmetros'!$A$4:$A$7))</f>
        <v/>
      </c>
      <c r="J2013" t="s">
        <v>9790</v>
      </c>
      <c r="L2013" t="s">
        <v>9883</v>
      </c>
    </row>
    <row r="2014" spans="1:12" x14ac:dyDescent="0.3">
      <c r="A2014" t="s">
        <v>5696</v>
      </c>
      <c r="B2014" s="5" t="s">
        <v>9413</v>
      </c>
      <c r="C2014" t="s">
        <v>6456</v>
      </c>
      <c r="D2014" t="s">
        <v>5274</v>
      </c>
      <c r="E2014" t="s">
        <v>10140</v>
      </c>
      <c r="F2014" s="1">
        <v>46101</v>
      </c>
      <c r="G2014" t="s">
        <v>45</v>
      </c>
      <c r="H2014" s="24">
        <v>0</v>
      </c>
      <c r="I2014" t="str">
        <f>IF(H2014&lt;=0,"",LOOKUP(H2014,'Regras e Parâmetros'!$B$4:$B$7,'Regras e Parâmetros'!$A$4:$A$7))</f>
        <v/>
      </c>
      <c r="J2014" t="s">
        <v>9790</v>
      </c>
      <c r="K2014" t="s">
        <v>72</v>
      </c>
      <c r="L2014" t="s">
        <v>9883</v>
      </c>
    </row>
    <row r="2015" spans="1:12" x14ac:dyDescent="0.3">
      <c r="A2015" t="s">
        <v>5696</v>
      </c>
      <c r="B2015" s="5" t="s">
        <v>9643</v>
      </c>
      <c r="C2015" t="s">
        <v>6456</v>
      </c>
      <c r="D2015" t="s">
        <v>5697</v>
      </c>
      <c r="E2015" t="s">
        <v>5698</v>
      </c>
      <c r="F2015" s="1">
        <v>46217</v>
      </c>
      <c r="G2015" t="s">
        <v>18</v>
      </c>
      <c r="H2015" s="24">
        <v>0</v>
      </c>
      <c r="I2015" t="str">
        <f>IF(H2015&lt;=0,"",LOOKUP(H2015,'Regras e Parâmetros'!$B$4:$B$7,'Regras e Parâmetros'!$A$4:$A$7))</f>
        <v/>
      </c>
      <c r="J2015" t="s">
        <v>6456</v>
      </c>
      <c r="K2015" t="s">
        <v>44</v>
      </c>
      <c r="L2015" t="s">
        <v>9886</v>
      </c>
    </row>
    <row r="2016" spans="1:12" x14ac:dyDescent="0.3">
      <c r="A2016" t="s">
        <v>7394</v>
      </c>
      <c r="B2016" s="5" t="s">
        <v>7395</v>
      </c>
      <c r="C2016" t="s">
        <v>6456</v>
      </c>
      <c r="D2016" t="s">
        <v>1672</v>
      </c>
      <c r="E2016" t="s">
        <v>1673</v>
      </c>
      <c r="F2016" s="1">
        <v>44932</v>
      </c>
      <c r="G2016" t="s">
        <v>45</v>
      </c>
      <c r="H2016" s="24">
        <v>15000</v>
      </c>
      <c r="I2016" t="str">
        <f>IF(H2016&lt;=0,"",LOOKUP(H2016,'Regras e Parâmetros'!$B$4:$B$7,'Regras e Parâmetros'!$A$4:$A$7))</f>
        <v>Vip</v>
      </c>
      <c r="J2016" t="s">
        <v>6456</v>
      </c>
    </row>
    <row r="2017" spans="1:12" x14ac:dyDescent="0.3">
      <c r="A2017" t="s">
        <v>767</v>
      </c>
      <c r="B2017" s="5" t="s">
        <v>768</v>
      </c>
      <c r="C2017" t="s">
        <v>6456</v>
      </c>
      <c r="D2017" t="s">
        <v>769</v>
      </c>
      <c r="E2017" t="s">
        <v>770</v>
      </c>
      <c r="F2017" s="1">
        <v>44619</v>
      </c>
      <c r="G2017" t="s">
        <v>100</v>
      </c>
      <c r="H2017" s="24">
        <v>447</v>
      </c>
      <c r="I2017" t="str">
        <f>IF(H2017&lt;=0,"",LOOKUP(H2017,'Regras e Parâmetros'!$B$4:$B$7,'Regras e Parâmetros'!$A$4:$A$7))</f>
        <v>Bronze</v>
      </c>
      <c r="J2017" t="s">
        <v>9790</v>
      </c>
      <c r="L2017" t="s">
        <v>9792</v>
      </c>
    </row>
    <row r="2018" spans="1:12" x14ac:dyDescent="0.3">
      <c r="A2018" t="s">
        <v>843</v>
      </c>
      <c r="B2018" s="5" t="s">
        <v>6923</v>
      </c>
      <c r="C2018" t="s">
        <v>6456</v>
      </c>
      <c r="D2018" t="s">
        <v>844</v>
      </c>
      <c r="E2018" t="s">
        <v>6924</v>
      </c>
      <c r="F2018" s="1">
        <v>44646</v>
      </c>
      <c r="G2018" t="s">
        <v>18</v>
      </c>
      <c r="H2018" s="24">
        <v>1668</v>
      </c>
      <c r="I2018" t="str">
        <f>IF(H2018&lt;=0,"",LOOKUP(H2018,'Regras e Parâmetros'!$B$4:$B$7,'Regras e Parâmetros'!$A$4:$A$7))</f>
        <v>Prata</v>
      </c>
      <c r="J2018" t="s">
        <v>9790</v>
      </c>
    </row>
    <row r="2019" spans="1:12" x14ac:dyDescent="0.3">
      <c r="A2019" t="s">
        <v>7160</v>
      </c>
      <c r="B2019" s="5" t="s">
        <v>7161</v>
      </c>
      <c r="C2019" t="s">
        <v>6456</v>
      </c>
      <c r="D2019" t="s">
        <v>1237</v>
      </c>
      <c r="E2019" t="s">
        <v>1238</v>
      </c>
      <c r="F2019" s="1">
        <v>44817</v>
      </c>
      <c r="G2019" t="s">
        <v>45</v>
      </c>
      <c r="H2019" s="24">
        <v>207</v>
      </c>
      <c r="I2019" t="str">
        <f>IF(H2019&lt;=0,"",LOOKUP(H2019,'Regras e Parâmetros'!$B$4:$B$7,'Regras e Parâmetros'!$A$4:$A$7))</f>
        <v>Bronze</v>
      </c>
      <c r="J2019" t="s">
        <v>9790</v>
      </c>
      <c r="K2019" t="s">
        <v>177</v>
      </c>
    </row>
    <row r="2020" spans="1:12" x14ac:dyDescent="0.3">
      <c r="A2020" t="s">
        <v>2870</v>
      </c>
      <c r="B2020" s="5" t="s">
        <v>2871</v>
      </c>
      <c r="C2020" t="s">
        <v>6456</v>
      </c>
      <c r="D2020" t="s">
        <v>2872</v>
      </c>
      <c r="E2020" t="s">
        <v>10141</v>
      </c>
      <c r="F2020" s="1">
        <v>45349</v>
      </c>
      <c r="G2020" t="s">
        <v>51</v>
      </c>
      <c r="H2020" s="24">
        <v>245</v>
      </c>
      <c r="I2020" t="str">
        <f>IF(H2020&lt;=0,"",LOOKUP(H2020,'Regras e Parâmetros'!$B$4:$B$7,'Regras e Parâmetros'!$A$4:$A$7))</f>
        <v>Bronze</v>
      </c>
      <c r="J2020" t="s">
        <v>6456</v>
      </c>
    </row>
    <row r="2021" spans="1:12" x14ac:dyDescent="0.3">
      <c r="A2021" t="s">
        <v>4113</v>
      </c>
      <c r="B2021" s="5" t="s">
        <v>8721</v>
      </c>
      <c r="C2021" t="s">
        <v>6456</v>
      </c>
      <c r="D2021" t="s">
        <v>4114</v>
      </c>
      <c r="E2021" t="s">
        <v>4115</v>
      </c>
      <c r="F2021" s="1">
        <v>45747</v>
      </c>
      <c r="G2021" t="s">
        <v>22</v>
      </c>
      <c r="H2021" s="24">
        <v>0</v>
      </c>
      <c r="I2021" t="str">
        <f>IF(H2021&lt;=0,"",LOOKUP(H2021,'Regras e Parâmetros'!$B$4:$B$7,'Regras e Parâmetros'!$A$4:$A$7))</f>
        <v/>
      </c>
      <c r="J2021" t="s">
        <v>9790</v>
      </c>
      <c r="K2021" t="s">
        <v>44</v>
      </c>
      <c r="L2021" t="s">
        <v>9886</v>
      </c>
    </row>
    <row r="2022" spans="1:12" x14ac:dyDescent="0.3">
      <c r="A2022" t="s">
        <v>4003</v>
      </c>
      <c r="B2022" s="5" t="s">
        <v>8661</v>
      </c>
      <c r="C2022" t="s">
        <v>6456</v>
      </c>
      <c r="D2022" t="s">
        <v>4004</v>
      </c>
      <c r="E2022" t="s">
        <v>4005</v>
      </c>
      <c r="F2022" s="1">
        <v>45719</v>
      </c>
      <c r="G2022" t="s">
        <v>45</v>
      </c>
      <c r="H2022" s="24">
        <v>0</v>
      </c>
      <c r="I2022" t="str">
        <f>IF(H2022&lt;=0,"",LOOKUP(H2022,'Regras e Parâmetros'!$B$4:$B$7,'Regras e Parâmetros'!$A$4:$A$7))</f>
        <v/>
      </c>
      <c r="J2022" t="s">
        <v>6456</v>
      </c>
      <c r="L2022" t="s">
        <v>9883</v>
      </c>
    </row>
    <row r="2023" spans="1:12" x14ac:dyDescent="0.3">
      <c r="A2023" t="s">
        <v>1798</v>
      </c>
      <c r="B2023" s="5" t="s">
        <v>6074</v>
      </c>
      <c r="C2023" t="s">
        <v>6456</v>
      </c>
      <c r="D2023" t="s">
        <v>1799</v>
      </c>
      <c r="E2023" t="s">
        <v>7438</v>
      </c>
      <c r="F2023" s="1">
        <v>44958</v>
      </c>
      <c r="G2023" t="s">
        <v>51</v>
      </c>
      <c r="H2023" s="24">
        <v>2060</v>
      </c>
      <c r="I2023" t="str">
        <f>IF(H2023&lt;=0,"",LOOKUP(H2023,'Regras e Parâmetros'!$B$4:$B$7,'Regras e Parâmetros'!$A$4:$A$7))</f>
        <v>Prata</v>
      </c>
      <c r="J2023" t="s">
        <v>6747</v>
      </c>
      <c r="K2023" t="s">
        <v>72</v>
      </c>
      <c r="L2023" t="s">
        <v>9791</v>
      </c>
    </row>
    <row r="2024" spans="1:12" x14ac:dyDescent="0.3">
      <c r="A2024" t="s">
        <v>1945</v>
      </c>
      <c r="B2024" s="5" t="s">
        <v>7534</v>
      </c>
      <c r="C2024" t="s">
        <v>6456</v>
      </c>
      <c r="D2024" t="s">
        <v>1946</v>
      </c>
      <c r="E2024" t="s">
        <v>1947</v>
      </c>
      <c r="F2024" s="1">
        <v>45017</v>
      </c>
      <c r="G2024" t="s">
        <v>45</v>
      </c>
      <c r="H2024" s="24">
        <v>206</v>
      </c>
      <c r="I2024" t="str">
        <f>IF(H2024&lt;=0,"",LOOKUP(H2024,'Regras e Parâmetros'!$B$4:$B$7,'Regras e Parâmetros'!$A$4:$A$7))</f>
        <v>Bronze</v>
      </c>
      <c r="J2024" t="s">
        <v>6456</v>
      </c>
      <c r="L2024" t="s">
        <v>9789</v>
      </c>
    </row>
    <row r="2025" spans="1:12" x14ac:dyDescent="0.3">
      <c r="A2025" t="s">
        <v>2795</v>
      </c>
      <c r="B2025" s="5" t="s">
        <v>8013</v>
      </c>
      <c r="C2025" t="s">
        <v>6456</v>
      </c>
      <c r="D2025" t="s">
        <v>2796</v>
      </c>
      <c r="E2025" t="s">
        <v>2797</v>
      </c>
      <c r="F2025" s="1">
        <v>45308</v>
      </c>
      <c r="G2025" t="s">
        <v>45</v>
      </c>
      <c r="H2025" s="24">
        <v>851</v>
      </c>
      <c r="I2025" t="str">
        <f>IF(H2025&lt;=0,"",LOOKUP(H2025,'Regras e Parâmetros'!$B$4:$B$7,'Regras e Parâmetros'!$A$4:$A$7))</f>
        <v>Bronze</v>
      </c>
      <c r="J2025" t="s">
        <v>9790</v>
      </c>
      <c r="L2025" t="s">
        <v>9792</v>
      </c>
    </row>
    <row r="2026" spans="1:12" x14ac:dyDescent="0.3">
      <c r="A2026" t="s">
        <v>6992</v>
      </c>
      <c r="B2026" s="5" t="s">
        <v>6993</v>
      </c>
      <c r="C2026" t="s">
        <v>6456</v>
      </c>
      <c r="D2026" t="s">
        <v>959</v>
      </c>
      <c r="E2026" t="s">
        <v>960</v>
      </c>
      <c r="F2026" s="1">
        <v>44691</v>
      </c>
      <c r="G2026" t="s">
        <v>100</v>
      </c>
      <c r="H2026" s="24">
        <v>1190</v>
      </c>
      <c r="I2026" t="str">
        <f>IF(H2026&lt;=0,"",LOOKUP(H2026,'Regras e Parâmetros'!$B$4:$B$7,'Regras e Parâmetros'!$A$4:$A$7))</f>
        <v>Bronze</v>
      </c>
      <c r="J2026" t="s">
        <v>6456</v>
      </c>
    </row>
    <row r="2027" spans="1:12" x14ac:dyDescent="0.3">
      <c r="A2027" t="s">
        <v>3426</v>
      </c>
      <c r="B2027" s="5" t="s">
        <v>8330</v>
      </c>
      <c r="C2027" t="s">
        <v>6456</v>
      </c>
      <c r="D2027" t="s">
        <v>3427</v>
      </c>
      <c r="E2027" t="s">
        <v>8331</v>
      </c>
      <c r="F2027" s="1">
        <v>45542</v>
      </c>
      <c r="G2027" t="s">
        <v>45</v>
      </c>
      <c r="H2027" s="24">
        <v>1326</v>
      </c>
      <c r="I2027" t="str">
        <f>IF(H2027&lt;=0,"",LOOKUP(H2027,'Regras e Parâmetros'!$B$4:$B$7,'Regras e Parâmetros'!$A$4:$A$7))</f>
        <v>Bronze</v>
      </c>
      <c r="J2027" t="s">
        <v>9790</v>
      </c>
    </row>
    <row r="2028" spans="1:12" x14ac:dyDescent="0.3">
      <c r="A2028" t="s">
        <v>3732</v>
      </c>
      <c r="B2028" s="5" t="s">
        <v>8486</v>
      </c>
      <c r="C2028" t="s">
        <v>6456</v>
      </c>
      <c r="D2028" t="s">
        <v>3733</v>
      </c>
      <c r="E2028" t="s">
        <v>3734</v>
      </c>
      <c r="F2028" s="1">
        <v>45638</v>
      </c>
      <c r="G2028" t="s">
        <v>45</v>
      </c>
      <c r="H2028" s="24">
        <v>436</v>
      </c>
      <c r="I2028" t="str">
        <f>IF(H2028&lt;=0,"",LOOKUP(H2028,'Regras e Parâmetros'!$B$4:$B$7,'Regras e Parâmetros'!$A$4:$A$7))</f>
        <v>Bronze</v>
      </c>
      <c r="J2028" t="s">
        <v>6456</v>
      </c>
      <c r="L2028" t="s">
        <v>9792</v>
      </c>
    </row>
    <row r="2029" spans="1:12" x14ac:dyDescent="0.3">
      <c r="A2029" t="s">
        <v>8098</v>
      </c>
      <c r="B2029" s="5" t="s">
        <v>2958</v>
      </c>
      <c r="C2029" t="s">
        <v>6456</v>
      </c>
      <c r="D2029" t="s">
        <v>2959</v>
      </c>
      <c r="E2029" t="s">
        <v>8099</v>
      </c>
      <c r="F2029" s="1">
        <v>45381</v>
      </c>
      <c r="G2029" t="s">
        <v>51</v>
      </c>
      <c r="H2029" s="24">
        <v>1111</v>
      </c>
      <c r="I2029" t="str">
        <f>IF(H2029&lt;=0,"",LOOKUP(H2029,'Regras e Parâmetros'!$B$4:$B$7,'Regras e Parâmetros'!$A$4:$A$7))</f>
        <v>Bronze</v>
      </c>
      <c r="J2029" t="s">
        <v>6456</v>
      </c>
    </row>
    <row r="2030" spans="1:12" x14ac:dyDescent="0.3">
      <c r="A2030" t="s">
        <v>9088</v>
      </c>
      <c r="B2030" s="5" t="s">
        <v>9089</v>
      </c>
      <c r="C2030" t="s">
        <v>6456</v>
      </c>
      <c r="D2030" t="s">
        <v>4712</v>
      </c>
      <c r="E2030" t="s">
        <v>4713</v>
      </c>
      <c r="F2030" s="1">
        <v>45932</v>
      </c>
      <c r="G2030" t="s">
        <v>45</v>
      </c>
      <c r="H2030" s="24">
        <v>0</v>
      </c>
      <c r="I2030" t="str">
        <f>IF(H2030&lt;=0,"",LOOKUP(H2030,'Regras e Parâmetros'!$B$4:$B$7,'Regras e Parâmetros'!$A$4:$A$7))</f>
        <v/>
      </c>
      <c r="J2030" t="s">
        <v>6456</v>
      </c>
      <c r="L2030" t="s">
        <v>9886</v>
      </c>
    </row>
    <row r="2031" spans="1:12" x14ac:dyDescent="0.3">
      <c r="A2031" t="s">
        <v>6114</v>
      </c>
      <c r="B2031" s="5" t="s">
        <v>2608</v>
      </c>
      <c r="C2031" t="s">
        <v>6456</v>
      </c>
      <c r="D2031" t="s">
        <v>4190</v>
      </c>
      <c r="E2031" t="s">
        <v>2609</v>
      </c>
      <c r="F2031" s="1">
        <v>45238</v>
      </c>
      <c r="G2031" t="s">
        <v>22</v>
      </c>
      <c r="H2031" s="24">
        <v>3128</v>
      </c>
      <c r="I2031" t="str">
        <f>IF(H2031&lt;=0,"",LOOKUP(H2031,'Regras e Parâmetros'!$B$4:$B$7,'Regras e Parâmetros'!$A$4:$A$7))</f>
        <v>Prata</v>
      </c>
      <c r="J2031" t="s">
        <v>6456</v>
      </c>
      <c r="K2031" t="s">
        <v>9850</v>
      </c>
      <c r="L2031" t="s">
        <v>9839</v>
      </c>
    </row>
    <row r="2032" spans="1:12" x14ac:dyDescent="0.3">
      <c r="A2032" t="s">
        <v>909</v>
      </c>
      <c r="B2032" s="5" t="s">
        <v>6963</v>
      </c>
      <c r="C2032" t="s">
        <v>6456</v>
      </c>
      <c r="D2032" t="s">
        <v>910</v>
      </c>
      <c r="E2032" t="s">
        <v>6964</v>
      </c>
      <c r="F2032" s="1">
        <v>44672</v>
      </c>
      <c r="G2032" t="s">
        <v>45</v>
      </c>
      <c r="H2032" s="24">
        <v>1007</v>
      </c>
      <c r="I2032" t="str">
        <f>IF(H2032&lt;=0,"",LOOKUP(H2032,'Regras e Parâmetros'!$B$4:$B$7,'Regras e Parâmetros'!$A$4:$A$7))</f>
        <v>Bronze</v>
      </c>
      <c r="J2032" t="s">
        <v>9790</v>
      </c>
    </row>
    <row r="2033" spans="1:12" x14ac:dyDescent="0.3">
      <c r="A2033" t="s">
        <v>7193</v>
      </c>
      <c r="B2033" s="5" t="s">
        <v>7194</v>
      </c>
      <c r="C2033" t="s">
        <v>6456</v>
      </c>
      <c r="D2033" t="s">
        <v>1345</v>
      </c>
      <c r="E2033" t="s">
        <v>7195</v>
      </c>
      <c r="F2033" s="1">
        <v>44840</v>
      </c>
      <c r="G2033" t="s">
        <v>51</v>
      </c>
      <c r="H2033" s="24">
        <v>71</v>
      </c>
      <c r="I2033" t="str">
        <f>IF(H2033&lt;=0,"",LOOKUP(H2033,'Regras e Parâmetros'!$B$4:$B$7,'Regras e Parâmetros'!$A$4:$A$7))</f>
        <v>Bronze</v>
      </c>
      <c r="J2033" t="s">
        <v>9790</v>
      </c>
    </row>
    <row r="2034" spans="1:12" x14ac:dyDescent="0.3">
      <c r="A2034" t="s">
        <v>4299</v>
      </c>
      <c r="B2034" s="5" t="s">
        <v>4300</v>
      </c>
      <c r="C2034" t="s">
        <v>6456</v>
      </c>
      <c r="D2034" t="s">
        <v>4301</v>
      </c>
      <c r="E2034" t="s">
        <v>4302</v>
      </c>
      <c r="F2034" s="1">
        <v>45808</v>
      </c>
      <c r="G2034" t="s">
        <v>18</v>
      </c>
      <c r="H2034" s="24">
        <v>0</v>
      </c>
      <c r="I2034" t="str">
        <f>IF(H2034&lt;=0,"",LOOKUP(H2034,'Regras e Parâmetros'!$B$4:$B$7,'Regras e Parâmetros'!$A$4:$A$7))</f>
        <v/>
      </c>
      <c r="J2034" t="s">
        <v>6747</v>
      </c>
      <c r="K2034" t="s">
        <v>177</v>
      </c>
      <c r="L2034" t="s">
        <v>9886</v>
      </c>
    </row>
    <row r="2035" spans="1:12" x14ac:dyDescent="0.3">
      <c r="A2035" t="s">
        <v>689</v>
      </c>
      <c r="B2035" s="5" t="s">
        <v>690</v>
      </c>
      <c r="C2035" t="s">
        <v>6456</v>
      </c>
      <c r="D2035" t="s">
        <v>691</v>
      </c>
      <c r="E2035" t="s">
        <v>692</v>
      </c>
      <c r="F2035" s="1">
        <v>44588</v>
      </c>
      <c r="G2035" t="s">
        <v>45</v>
      </c>
      <c r="H2035" s="24">
        <v>1334</v>
      </c>
      <c r="I2035" t="str">
        <f>IF(H2035&lt;=0,"",LOOKUP(H2035,'Regras e Parâmetros'!$B$4:$B$7,'Regras e Parâmetros'!$A$4:$A$7))</f>
        <v>Bronze</v>
      </c>
      <c r="J2035" t="s">
        <v>6747</v>
      </c>
      <c r="L2035" t="s">
        <v>9792</v>
      </c>
    </row>
    <row r="2036" spans="1:12" x14ac:dyDescent="0.3">
      <c r="A2036" t="s">
        <v>8816</v>
      </c>
      <c r="B2036" s="5" t="s">
        <v>8817</v>
      </c>
      <c r="C2036" t="s">
        <v>6456</v>
      </c>
      <c r="D2036" t="s">
        <v>4276</v>
      </c>
      <c r="E2036" t="s">
        <v>4277</v>
      </c>
      <c r="F2036" s="1">
        <v>45799</v>
      </c>
      <c r="G2036" t="s">
        <v>18</v>
      </c>
      <c r="H2036" s="24">
        <v>0</v>
      </c>
      <c r="I2036" t="str">
        <f>IF(H2036&lt;=0,"",LOOKUP(H2036,'Regras e Parâmetros'!$B$4:$B$7,'Regras e Parâmetros'!$A$4:$A$7))</f>
        <v/>
      </c>
      <c r="J2036" t="s">
        <v>6747</v>
      </c>
      <c r="K2036" t="s">
        <v>177</v>
      </c>
      <c r="L2036" t="s">
        <v>9883</v>
      </c>
    </row>
    <row r="2037" spans="1:12" x14ac:dyDescent="0.3">
      <c r="A2037" t="s">
        <v>627</v>
      </c>
      <c r="B2037" s="5" t="s">
        <v>6797</v>
      </c>
      <c r="C2037" t="s">
        <v>6456</v>
      </c>
      <c r="D2037" t="s">
        <v>628</v>
      </c>
      <c r="E2037" t="s">
        <v>629</v>
      </c>
      <c r="F2037" s="1">
        <v>44568</v>
      </c>
      <c r="G2037" t="s">
        <v>18</v>
      </c>
      <c r="H2037" s="24">
        <v>1620</v>
      </c>
      <c r="I2037" t="str">
        <f>IF(H2037&lt;=0,"",LOOKUP(H2037,'Regras e Parâmetros'!$B$4:$B$7,'Regras e Parâmetros'!$A$4:$A$7))</f>
        <v>Prata</v>
      </c>
      <c r="J2037" t="s">
        <v>9790</v>
      </c>
      <c r="K2037" t="s">
        <v>187</v>
      </c>
    </row>
    <row r="2038" spans="1:12" x14ac:dyDescent="0.3">
      <c r="A2038" t="s">
        <v>2411</v>
      </c>
      <c r="B2038" s="5" t="s">
        <v>2412</v>
      </c>
      <c r="C2038" t="s">
        <v>6456</v>
      </c>
      <c r="D2038" t="s">
        <v>2413</v>
      </c>
      <c r="E2038" t="s">
        <v>7807</v>
      </c>
      <c r="F2038" s="1">
        <v>45165</v>
      </c>
      <c r="G2038" t="s">
        <v>100</v>
      </c>
      <c r="H2038" s="24">
        <v>3387</v>
      </c>
      <c r="I2038" t="str">
        <f>IF(H2038&lt;=0,"",LOOKUP(H2038,'Regras e Parâmetros'!$B$4:$B$7,'Regras e Parâmetros'!$A$4:$A$7))</f>
        <v>Prata</v>
      </c>
      <c r="J2038" t="s">
        <v>6456</v>
      </c>
    </row>
    <row r="2039" spans="1:12" x14ac:dyDescent="0.3">
      <c r="A2039" t="s">
        <v>1942</v>
      </c>
      <c r="B2039" s="5" t="s">
        <v>7533</v>
      </c>
      <c r="C2039" t="s">
        <v>6456</v>
      </c>
      <c r="D2039" t="s">
        <v>1943</v>
      </c>
      <c r="E2039" t="s">
        <v>1944</v>
      </c>
      <c r="F2039" s="1">
        <v>45017</v>
      </c>
      <c r="G2039" t="s">
        <v>51</v>
      </c>
      <c r="H2039" s="24">
        <v>15000</v>
      </c>
      <c r="I2039" t="str">
        <f>IF(H2039&lt;=0,"",LOOKUP(H2039,'Regras e Parâmetros'!$B$4:$B$7,'Regras e Parâmetros'!$A$4:$A$7))</f>
        <v>Vip</v>
      </c>
      <c r="J2039" t="s">
        <v>6456</v>
      </c>
      <c r="L2039" t="s">
        <v>9789</v>
      </c>
    </row>
    <row r="2040" spans="1:12" x14ac:dyDescent="0.3">
      <c r="A2040" t="s">
        <v>5611</v>
      </c>
      <c r="B2040" s="5" t="s">
        <v>3582</v>
      </c>
      <c r="C2040" t="s">
        <v>6456</v>
      </c>
      <c r="D2040" t="s">
        <v>3583</v>
      </c>
      <c r="E2040" t="s">
        <v>3584</v>
      </c>
      <c r="F2040" s="1">
        <v>45588</v>
      </c>
      <c r="G2040" t="s">
        <v>51</v>
      </c>
      <c r="H2040" s="24">
        <v>3080</v>
      </c>
      <c r="I2040" t="str">
        <f>IF(H2040&lt;=0,"",LOOKUP(H2040,'Regras e Parâmetros'!$B$4:$B$7,'Regras e Parâmetros'!$A$4:$A$7))</f>
        <v>Prata</v>
      </c>
      <c r="J2040" t="s">
        <v>6456</v>
      </c>
    </row>
    <row r="2041" spans="1:12" x14ac:dyDescent="0.3">
      <c r="A2041" t="s">
        <v>5611</v>
      </c>
      <c r="B2041" s="5" t="s">
        <v>5612</v>
      </c>
      <c r="C2041" t="s">
        <v>6456</v>
      </c>
      <c r="D2041" t="s">
        <v>5613</v>
      </c>
      <c r="E2041" t="s">
        <v>9590</v>
      </c>
      <c r="F2041" s="1">
        <v>46189</v>
      </c>
      <c r="G2041" t="s">
        <v>51</v>
      </c>
      <c r="H2041" s="24">
        <v>0</v>
      </c>
      <c r="I2041" t="str">
        <f>IF(H2041&lt;=0,"",LOOKUP(H2041,'Regras e Parâmetros'!$B$4:$B$7,'Regras e Parâmetros'!$A$4:$A$7))</f>
        <v/>
      </c>
      <c r="J2041" t="s">
        <v>9790</v>
      </c>
      <c r="L2041" t="s">
        <v>9883</v>
      </c>
    </row>
    <row r="2042" spans="1:12" x14ac:dyDescent="0.3">
      <c r="A2042" t="s">
        <v>3111</v>
      </c>
      <c r="B2042" s="5" t="s">
        <v>8166</v>
      </c>
      <c r="C2042" t="s">
        <v>6456</v>
      </c>
      <c r="D2042" t="s">
        <v>3112</v>
      </c>
      <c r="E2042" t="s">
        <v>3113</v>
      </c>
      <c r="F2042" s="1">
        <v>45429</v>
      </c>
      <c r="G2042" t="s">
        <v>51</v>
      </c>
      <c r="H2042" s="24">
        <v>1382</v>
      </c>
      <c r="I2042" t="str">
        <f>IF(H2042&lt;=0,"",LOOKUP(H2042,'Regras e Parâmetros'!$B$4:$B$7,'Regras e Parâmetros'!$A$4:$A$7))</f>
        <v>Bronze</v>
      </c>
      <c r="J2042" t="s">
        <v>6747</v>
      </c>
      <c r="L2042" t="s">
        <v>9792</v>
      </c>
    </row>
    <row r="2043" spans="1:12" x14ac:dyDescent="0.3">
      <c r="A2043" t="s">
        <v>3588</v>
      </c>
      <c r="B2043" s="5" t="s">
        <v>8403</v>
      </c>
      <c r="C2043" t="s">
        <v>6456</v>
      </c>
      <c r="D2043" t="s">
        <v>3589</v>
      </c>
      <c r="E2043" t="s">
        <v>3590</v>
      </c>
      <c r="F2043" s="1">
        <v>45590</v>
      </c>
      <c r="G2043" t="s">
        <v>22</v>
      </c>
      <c r="H2043" s="24">
        <v>289</v>
      </c>
      <c r="I2043" t="str">
        <f>IF(H2043&lt;=0,"",LOOKUP(H2043,'Regras e Parâmetros'!$B$4:$B$7,'Regras e Parâmetros'!$A$4:$A$7))</f>
        <v>Bronze</v>
      </c>
      <c r="J2043" t="s">
        <v>6747</v>
      </c>
    </row>
    <row r="2044" spans="1:12" x14ac:dyDescent="0.3">
      <c r="A2044" t="s">
        <v>2059</v>
      </c>
      <c r="B2044" s="5" t="s">
        <v>7600</v>
      </c>
      <c r="C2044" t="s">
        <v>6456</v>
      </c>
      <c r="D2044" t="s">
        <v>2060</v>
      </c>
      <c r="E2044" t="s">
        <v>7601</v>
      </c>
      <c r="F2044" s="1">
        <v>45062</v>
      </c>
      <c r="G2044" t="s">
        <v>45</v>
      </c>
      <c r="H2044" s="24">
        <v>0</v>
      </c>
      <c r="I2044" t="str">
        <f>IF(H2044&lt;=0,"",LOOKUP(H2044,'Regras e Parâmetros'!$B$4:$B$7,'Regras e Parâmetros'!$A$4:$A$7))</f>
        <v/>
      </c>
      <c r="J2044" t="s">
        <v>6456</v>
      </c>
      <c r="K2044" t="s">
        <v>8</v>
      </c>
    </row>
    <row r="2045" spans="1:12" x14ac:dyDescent="0.3">
      <c r="A2045" t="s">
        <v>1362</v>
      </c>
      <c r="B2045" s="5" t="s">
        <v>7210</v>
      </c>
      <c r="C2045" t="s">
        <v>6456</v>
      </c>
      <c r="D2045" t="s">
        <v>1363</v>
      </c>
      <c r="E2045" t="s">
        <v>7211</v>
      </c>
      <c r="F2045" s="1">
        <v>44846</v>
      </c>
      <c r="G2045" t="s">
        <v>51</v>
      </c>
      <c r="H2045" s="24">
        <v>0</v>
      </c>
      <c r="I2045" t="str">
        <f>IF(H2045&lt;=0,"",LOOKUP(H2045,'Regras e Parâmetros'!$B$4:$B$7,'Regras e Parâmetros'!$A$4:$A$7))</f>
        <v/>
      </c>
      <c r="J2045" t="s">
        <v>6747</v>
      </c>
    </row>
    <row r="2046" spans="1:12" x14ac:dyDescent="0.3">
      <c r="A2046" t="s">
        <v>6549</v>
      </c>
      <c r="B2046" s="5" t="s">
        <v>6550</v>
      </c>
      <c r="C2046" t="s">
        <v>6456</v>
      </c>
      <c r="D2046" t="s">
        <v>185</v>
      </c>
      <c r="E2046" t="s">
        <v>186</v>
      </c>
      <c r="F2046" s="1">
        <v>44407</v>
      </c>
      <c r="G2046" t="s">
        <v>18</v>
      </c>
      <c r="H2046" s="24">
        <v>1794</v>
      </c>
      <c r="I2046" t="str">
        <f>IF(H2046&lt;=0,"",LOOKUP(H2046,'Regras e Parâmetros'!$B$4:$B$7,'Regras e Parâmetros'!$A$4:$A$7))</f>
        <v>Prata</v>
      </c>
      <c r="J2046" t="s">
        <v>6747</v>
      </c>
      <c r="K2046" t="s">
        <v>187</v>
      </c>
    </row>
    <row r="2047" spans="1:12" x14ac:dyDescent="0.3">
      <c r="A2047" t="s">
        <v>6549</v>
      </c>
      <c r="B2047" s="5" t="s">
        <v>7469</v>
      </c>
      <c r="C2047" t="s">
        <v>6456</v>
      </c>
      <c r="D2047" t="s">
        <v>1812</v>
      </c>
      <c r="E2047" t="s">
        <v>7470</v>
      </c>
      <c r="F2047" s="1">
        <v>44977</v>
      </c>
      <c r="G2047" t="s">
        <v>18</v>
      </c>
      <c r="H2047" s="24">
        <v>228</v>
      </c>
      <c r="I2047" t="str">
        <f>IF(H2047&lt;=0,"",LOOKUP(H2047,'Regras e Parâmetros'!$B$4:$B$7,'Regras e Parâmetros'!$A$4:$A$7))</f>
        <v>Bronze</v>
      </c>
      <c r="J2047" t="s">
        <v>6456</v>
      </c>
    </row>
    <row r="2048" spans="1:12" x14ac:dyDescent="0.3">
      <c r="A2048" t="s">
        <v>9137</v>
      </c>
      <c r="B2048" s="5" t="s">
        <v>4839</v>
      </c>
      <c r="C2048" t="s">
        <v>6456</v>
      </c>
      <c r="D2048" t="s">
        <v>4840</v>
      </c>
      <c r="E2048" t="s">
        <v>9138</v>
      </c>
      <c r="F2048" s="1">
        <v>45962</v>
      </c>
      <c r="G2048" t="s">
        <v>51</v>
      </c>
      <c r="H2048" s="24">
        <v>0</v>
      </c>
      <c r="I2048" t="str">
        <f>IF(H2048&lt;=0,"",LOOKUP(H2048,'Regras e Parâmetros'!$B$4:$B$7,'Regras e Parâmetros'!$A$4:$A$7))</f>
        <v/>
      </c>
      <c r="J2048" t="s">
        <v>6747</v>
      </c>
      <c r="L2048" t="s">
        <v>9883</v>
      </c>
    </row>
    <row r="2049" spans="1:12" x14ac:dyDescent="0.3">
      <c r="A2049" t="s">
        <v>9680</v>
      </c>
      <c r="B2049" s="5" t="s">
        <v>5766</v>
      </c>
      <c r="C2049" t="s">
        <v>6456</v>
      </c>
      <c r="D2049" t="s">
        <v>5767</v>
      </c>
      <c r="E2049" t="s">
        <v>5768</v>
      </c>
      <c r="F2049" s="1">
        <v>46235</v>
      </c>
      <c r="G2049" t="s">
        <v>22</v>
      </c>
      <c r="H2049" s="24">
        <v>0</v>
      </c>
      <c r="I2049" t="str">
        <f>IF(H2049&lt;=0,"",LOOKUP(H2049,'Regras e Parâmetros'!$B$4:$B$7,'Regras e Parâmetros'!$A$4:$A$7))</f>
        <v/>
      </c>
      <c r="J2049" t="s">
        <v>9790</v>
      </c>
      <c r="L2049" t="s">
        <v>9883</v>
      </c>
    </row>
    <row r="2050" spans="1:12" x14ac:dyDescent="0.3">
      <c r="A2050" t="s">
        <v>4917</v>
      </c>
      <c r="B2050" s="5" t="s">
        <v>9192</v>
      </c>
      <c r="C2050" t="s">
        <v>6456</v>
      </c>
      <c r="D2050" t="s">
        <v>4918</v>
      </c>
      <c r="E2050" t="s">
        <v>9193</v>
      </c>
      <c r="F2050" s="1">
        <v>45985</v>
      </c>
      <c r="G2050" t="s">
        <v>110</v>
      </c>
      <c r="H2050" s="24">
        <v>0</v>
      </c>
      <c r="I2050" t="str">
        <f>IF(H2050&lt;=0,"",LOOKUP(H2050,'Regras e Parâmetros'!$B$4:$B$7,'Regras e Parâmetros'!$A$4:$A$7))</f>
        <v/>
      </c>
      <c r="J2050" t="s">
        <v>9790</v>
      </c>
      <c r="L2050" t="s">
        <v>9883</v>
      </c>
    </row>
    <row r="2051" spans="1:12" x14ac:dyDescent="0.3">
      <c r="A2051" t="s">
        <v>2774</v>
      </c>
      <c r="B2051" s="5" t="s">
        <v>8004</v>
      </c>
      <c r="C2051" t="s">
        <v>6456</v>
      </c>
      <c r="D2051" t="s">
        <v>2775</v>
      </c>
      <c r="E2051" t="s">
        <v>8005</v>
      </c>
      <c r="F2051" s="1">
        <v>45299</v>
      </c>
      <c r="G2051" t="s">
        <v>51</v>
      </c>
      <c r="H2051" s="24">
        <v>1100</v>
      </c>
      <c r="I2051" t="str">
        <f>IF(H2051&lt;=0,"",LOOKUP(H2051,'Regras e Parâmetros'!$B$4:$B$7,'Regras e Parâmetros'!$A$4:$A$7))</f>
        <v>Bronze</v>
      </c>
      <c r="J2051" t="s">
        <v>9790</v>
      </c>
      <c r="L2051" t="s">
        <v>9793</v>
      </c>
    </row>
    <row r="2052" spans="1:12" x14ac:dyDescent="0.3">
      <c r="A2052" t="s">
        <v>2038</v>
      </c>
      <c r="B2052" s="5" t="s">
        <v>7590</v>
      </c>
      <c r="C2052" t="s">
        <v>6456</v>
      </c>
      <c r="D2052" t="s">
        <v>2039</v>
      </c>
      <c r="E2052" t="s">
        <v>7591</v>
      </c>
      <c r="F2052" s="1">
        <v>45053</v>
      </c>
      <c r="G2052" t="s">
        <v>18</v>
      </c>
      <c r="H2052" s="24">
        <v>1072</v>
      </c>
      <c r="I2052" t="str">
        <f>IF(H2052&lt;=0,"",LOOKUP(H2052,'Regras e Parâmetros'!$B$4:$B$7,'Regras e Parâmetros'!$A$4:$A$7))</f>
        <v>Bronze</v>
      </c>
      <c r="J2052" t="s">
        <v>6747</v>
      </c>
    </row>
    <row r="2053" spans="1:12" x14ac:dyDescent="0.3">
      <c r="A2053" t="s">
        <v>6877</v>
      </c>
      <c r="B2053" s="5" t="s">
        <v>6086</v>
      </c>
      <c r="C2053" t="s">
        <v>6456</v>
      </c>
      <c r="D2053" t="s">
        <v>763</v>
      </c>
      <c r="E2053" t="s">
        <v>6878</v>
      </c>
      <c r="F2053" s="1">
        <v>44617</v>
      </c>
      <c r="G2053" t="s">
        <v>51</v>
      </c>
      <c r="H2053" s="24">
        <v>504</v>
      </c>
      <c r="I2053" t="str">
        <f>IF(H2053&lt;=0,"",LOOKUP(H2053,'Regras e Parâmetros'!$B$4:$B$7,'Regras e Parâmetros'!$A$4:$A$7))</f>
        <v>Bronze</v>
      </c>
      <c r="J2053" t="s">
        <v>9790</v>
      </c>
    </row>
    <row r="2054" spans="1:12" x14ac:dyDescent="0.3">
      <c r="A2054" t="s">
        <v>9287</v>
      </c>
      <c r="B2054" s="5" t="s">
        <v>9288</v>
      </c>
      <c r="C2054" t="s">
        <v>6456</v>
      </c>
      <c r="D2054" t="s">
        <v>5081</v>
      </c>
      <c r="E2054" t="s">
        <v>5082</v>
      </c>
      <c r="F2054" s="1">
        <v>46039</v>
      </c>
      <c r="G2054" t="s">
        <v>100</v>
      </c>
      <c r="H2054" s="24">
        <v>0</v>
      </c>
      <c r="I2054" t="str">
        <f>IF(H2054&lt;=0,"",LOOKUP(H2054,'Regras e Parâmetros'!$B$4:$B$7,'Regras e Parâmetros'!$A$4:$A$7))</f>
        <v/>
      </c>
      <c r="J2054" t="s">
        <v>9790</v>
      </c>
      <c r="L2054" t="s">
        <v>9883</v>
      </c>
    </row>
    <row r="2055" spans="1:12" x14ac:dyDescent="0.3">
      <c r="A2055" t="s">
        <v>4745</v>
      </c>
      <c r="B2055" s="5" t="s">
        <v>9103</v>
      </c>
      <c r="C2055" t="s">
        <v>6456</v>
      </c>
      <c r="D2055" t="s">
        <v>4746</v>
      </c>
      <c r="E2055" t="s">
        <v>9104</v>
      </c>
      <c r="F2055" s="1">
        <v>45939</v>
      </c>
      <c r="G2055" t="s">
        <v>110</v>
      </c>
      <c r="H2055" s="24">
        <v>0</v>
      </c>
      <c r="I2055" t="str">
        <f>IF(H2055&lt;=0,"",LOOKUP(H2055,'Regras e Parâmetros'!$B$4:$B$7,'Regras e Parâmetros'!$A$4:$A$7))</f>
        <v/>
      </c>
      <c r="J2055" t="s">
        <v>9790</v>
      </c>
      <c r="L2055" t="s">
        <v>9883</v>
      </c>
    </row>
    <row r="2056" spans="1:12" x14ac:dyDescent="0.3">
      <c r="A2056" t="s">
        <v>1615</v>
      </c>
      <c r="B2056" s="5" t="s">
        <v>6103</v>
      </c>
      <c r="C2056" t="s">
        <v>6456</v>
      </c>
      <c r="D2056" t="s">
        <v>265</v>
      </c>
      <c r="E2056" t="s">
        <v>266</v>
      </c>
      <c r="F2056" s="1">
        <v>44437</v>
      </c>
      <c r="G2056" t="s">
        <v>45</v>
      </c>
      <c r="H2056" s="24">
        <v>0</v>
      </c>
      <c r="I2056" t="str">
        <f>IF(H2056&lt;=0,"",LOOKUP(H2056,'Regras e Parâmetros'!$B$4:$B$7,'Regras e Parâmetros'!$A$4:$A$7))</f>
        <v/>
      </c>
      <c r="J2056" t="s">
        <v>9790</v>
      </c>
    </row>
    <row r="2057" spans="1:12" x14ac:dyDescent="0.3">
      <c r="A2057" t="s">
        <v>1615</v>
      </c>
      <c r="B2057" s="5" t="s">
        <v>7328</v>
      </c>
      <c r="C2057" t="s">
        <v>6456</v>
      </c>
      <c r="D2057" t="s">
        <v>1616</v>
      </c>
      <c r="E2057" t="s">
        <v>1617</v>
      </c>
      <c r="F2057" s="1">
        <v>44896</v>
      </c>
      <c r="G2057" t="s">
        <v>45</v>
      </c>
      <c r="H2057" s="24">
        <v>11300</v>
      </c>
      <c r="I2057" t="str">
        <f>IF(H2057&lt;=0,"",LOOKUP(H2057,'Regras e Parâmetros'!$B$4:$B$7,'Regras e Parâmetros'!$A$4:$A$7))</f>
        <v>Vip</v>
      </c>
      <c r="J2057" t="s">
        <v>6747</v>
      </c>
      <c r="K2057" t="s">
        <v>8</v>
      </c>
      <c r="L2057" t="s">
        <v>9812</v>
      </c>
    </row>
    <row r="2058" spans="1:12" x14ac:dyDescent="0.3">
      <c r="A2058" t="s">
        <v>391</v>
      </c>
      <c r="B2058" s="5" t="s">
        <v>6664</v>
      </c>
      <c r="C2058" t="s">
        <v>6456</v>
      </c>
      <c r="D2058" t="s">
        <v>392</v>
      </c>
      <c r="E2058" t="s">
        <v>393</v>
      </c>
      <c r="F2058" s="1">
        <v>44483</v>
      </c>
      <c r="G2058" t="s">
        <v>22</v>
      </c>
      <c r="H2058" s="24">
        <v>5795</v>
      </c>
      <c r="I2058" t="str">
        <f>IF(H2058&lt;=0,"",LOOKUP(H2058,'Regras e Parâmetros'!$B$4:$B$7,'Regras e Parâmetros'!$A$4:$A$7))</f>
        <v>Ouro</v>
      </c>
      <c r="J2058" t="s">
        <v>6456</v>
      </c>
      <c r="K2058" t="s">
        <v>177</v>
      </c>
    </row>
    <row r="2059" spans="1:12" x14ac:dyDescent="0.3">
      <c r="A2059" t="s">
        <v>1407</v>
      </c>
      <c r="B2059" s="5" t="s">
        <v>7241</v>
      </c>
      <c r="C2059" t="s">
        <v>6456</v>
      </c>
      <c r="D2059" t="s">
        <v>1408</v>
      </c>
      <c r="E2059" t="s">
        <v>1409</v>
      </c>
      <c r="F2059" s="1">
        <v>44858</v>
      </c>
      <c r="G2059" t="s">
        <v>51</v>
      </c>
      <c r="H2059" s="24">
        <v>1352</v>
      </c>
      <c r="I2059" t="str">
        <f>IF(H2059&lt;=0,"",LOOKUP(H2059,'Regras e Parâmetros'!$B$4:$B$7,'Regras e Parâmetros'!$A$4:$A$7))</f>
        <v>Bronze</v>
      </c>
      <c r="J2059" t="s">
        <v>6747</v>
      </c>
      <c r="L2059" t="s">
        <v>9792</v>
      </c>
    </row>
    <row r="2060" spans="1:12" x14ac:dyDescent="0.3">
      <c r="A2060" t="s">
        <v>2616</v>
      </c>
      <c r="B2060" s="5" t="s">
        <v>7927</v>
      </c>
      <c r="C2060" t="s">
        <v>6456</v>
      </c>
      <c r="D2060" t="s">
        <v>2617</v>
      </c>
      <c r="E2060" t="s">
        <v>7928</v>
      </c>
      <c r="F2060" s="1">
        <v>45240</v>
      </c>
      <c r="G2060" t="s">
        <v>18</v>
      </c>
      <c r="H2060" s="24">
        <v>674</v>
      </c>
      <c r="I2060" t="str">
        <f>IF(H2060&lt;=0,"",LOOKUP(H2060,'Regras e Parâmetros'!$B$4:$B$7,'Regras e Parâmetros'!$A$4:$A$7))</f>
        <v>Bronze</v>
      </c>
      <c r="J2060" t="s">
        <v>6456</v>
      </c>
    </row>
    <row r="2061" spans="1:12" x14ac:dyDescent="0.3">
      <c r="A2061" t="s">
        <v>8909</v>
      </c>
      <c r="B2061" s="5" t="s">
        <v>8910</v>
      </c>
      <c r="C2061" t="s">
        <v>6456</v>
      </c>
      <c r="D2061" t="s">
        <v>4444</v>
      </c>
      <c r="E2061" t="s">
        <v>4445</v>
      </c>
      <c r="F2061" s="1">
        <v>45853</v>
      </c>
      <c r="G2061" t="s">
        <v>51</v>
      </c>
      <c r="H2061" s="24">
        <v>0</v>
      </c>
      <c r="I2061" t="str">
        <f>IF(H2061&lt;=0,"",LOOKUP(H2061,'Regras e Parâmetros'!$B$4:$B$7,'Regras e Parâmetros'!$A$4:$A$7))</f>
        <v/>
      </c>
      <c r="J2061" t="s">
        <v>9790</v>
      </c>
      <c r="K2061" t="s">
        <v>72</v>
      </c>
      <c r="L2061" t="s">
        <v>9883</v>
      </c>
    </row>
    <row r="2062" spans="1:12" x14ac:dyDescent="0.3">
      <c r="A2062" t="s">
        <v>6464</v>
      </c>
      <c r="B2062" s="5" t="s">
        <v>6058</v>
      </c>
      <c r="C2062" t="s">
        <v>6456</v>
      </c>
      <c r="D2062" t="s">
        <v>9</v>
      </c>
      <c r="E2062" t="s">
        <v>6465</v>
      </c>
      <c r="F2062" s="1">
        <v>44349</v>
      </c>
      <c r="G2062" t="s">
        <v>18</v>
      </c>
      <c r="H2062" s="24">
        <v>3528</v>
      </c>
      <c r="I2062" t="str">
        <f>IF(H2062&lt;=0,"",LOOKUP(H2062,'Regras e Parâmetros'!$B$4:$B$7,'Regras e Parâmetros'!$A$4:$A$7))</f>
        <v>Prata</v>
      </c>
      <c r="J2062" t="s">
        <v>6456</v>
      </c>
    </row>
    <row r="2063" spans="1:12" x14ac:dyDescent="0.3">
      <c r="A2063" t="s">
        <v>2151</v>
      </c>
      <c r="B2063" s="5" t="s">
        <v>7669</v>
      </c>
      <c r="C2063" t="s">
        <v>6456</v>
      </c>
      <c r="D2063" t="s">
        <v>2152</v>
      </c>
      <c r="E2063" t="s">
        <v>2153</v>
      </c>
      <c r="F2063" s="1">
        <v>45098</v>
      </c>
      <c r="G2063" t="s">
        <v>51</v>
      </c>
      <c r="H2063" s="24">
        <v>671</v>
      </c>
      <c r="I2063" t="str">
        <f>IF(H2063&lt;=0,"",LOOKUP(H2063,'Regras e Parâmetros'!$B$4:$B$7,'Regras e Parâmetros'!$A$4:$A$7))</f>
        <v>Bronze</v>
      </c>
      <c r="J2063" t="s">
        <v>6747</v>
      </c>
      <c r="L2063" t="s">
        <v>9792</v>
      </c>
    </row>
    <row r="2064" spans="1:12" x14ac:dyDescent="0.3">
      <c r="A2064" t="s">
        <v>908</v>
      </c>
      <c r="B2064" s="5" t="s">
        <v>2662</v>
      </c>
      <c r="C2064" t="s">
        <v>6456</v>
      </c>
      <c r="D2064" t="s">
        <v>2663</v>
      </c>
      <c r="E2064" t="s">
        <v>6962</v>
      </c>
      <c r="F2064" s="1">
        <v>44672</v>
      </c>
      <c r="G2064" t="s">
        <v>45</v>
      </c>
      <c r="H2064" s="24">
        <v>569</v>
      </c>
      <c r="I2064" t="str">
        <f>IF(H2064&lt;=0,"",LOOKUP(H2064,'Regras e Parâmetros'!$B$4:$B$7,'Regras e Parâmetros'!$A$4:$A$7))</f>
        <v>Bronze</v>
      </c>
      <c r="J2064" t="s">
        <v>6456</v>
      </c>
      <c r="K2064" t="s">
        <v>9815</v>
      </c>
    </row>
    <row r="2065" spans="1:12" x14ac:dyDescent="0.3">
      <c r="A2065" t="s">
        <v>819</v>
      </c>
      <c r="B2065" s="5" t="s">
        <v>6907</v>
      </c>
      <c r="C2065" t="s">
        <v>6456</v>
      </c>
      <c r="D2065" t="s">
        <v>820</v>
      </c>
      <c r="E2065" t="s">
        <v>821</v>
      </c>
      <c r="F2065" s="1">
        <v>44639</v>
      </c>
      <c r="G2065" t="s">
        <v>45</v>
      </c>
      <c r="H2065" s="24">
        <v>1258</v>
      </c>
      <c r="I2065" t="str">
        <f>IF(H2065&lt;=0,"",LOOKUP(H2065,'Regras e Parâmetros'!$B$4:$B$7,'Regras e Parâmetros'!$A$4:$A$7))</f>
        <v>Bronze</v>
      </c>
      <c r="J2065" t="s">
        <v>6456</v>
      </c>
      <c r="K2065" t="s">
        <v>44</v>
      </c>
    </row>
    <row r="2066" spans="1:12" x14ac:dyDescent="0.3">
      <c r="A2066" t="s">
        <v>819</v>
      </c>
      <c r="B2066" s="5" t="s">
        <v>7852</v>
      </c>
      <c r="C2066" t="s">
        <v>6456</v>
      </c>
      <c r="D2066" t="s">
        <v>2489</v>
      </c>
      <c r="E2066" t="s">
        <v>7853</v>
      </c>
      <c r="F2066" s="1">
        <v>45196</v>
      </c>
      <c r="G2066" t="s">
        <v>45</v>
      </c>
      <c r="H2066" s="24">
        <v>0</v>
      </c>
      <c r="I2066" t="str">
        <f>IF(H2066&lt;=0,"",LOOKUP(H2066,'Regras e Parâmetros'!$B$4:$B$7,'Regras e Parâmetros'!$A$4:$A$7))</f>
        <v/>
      </c>
      <c r="J2066" t="s">
        <v>9790</v>
      </c>
      <c r="K2066" t="s">
        <v>10028</v>
      </c>
    </row>
    <row r="2067" spans="1:12" x14ac:dyDescent="0.3">
      <c r="A2067" t="s">
        <v>1523</v>
      </c>
      <c r="B2067" s="5" t="s">
        <v>7304</v>
      </c>
      <c r="C2067" t="s">
        <v>6456</v>
      </c>
      <c r="D2067" t="s">
        <v>1524</v>
      </c>
      <c r="E2067" t="s">
        <v>7305</v>
      </c>
      <c r="F2067" s="1">
        <v>44886</v>
      </c>
      <c r="G2067" t="s">
        <v>45</v>
      </c>
      <c r="H2067" s="24">
        <v>271</v>
      </c>
      <c r="I2067" t="str">
        <f>IF(H2067&lt;=0,"",LOOKUP(H2067,'Regras e Parâmetros'!$B$4:$B$7,'Regras e Parâmetros'!$A$4:$A$7))</f>
        <v>Bronze</v>
      </c>
      <c r="J2067" t="s">
        <v>9790</v>
      </c>
      <c r="K2067" t="s">
        <v>187</v>
      </c>
    </row>
    <row r="2068" spans="1:12" x14ac:dyDescent="0.3">
      <c r="A2068" t="s">
        <v>7094</v>
      </c>
      <c r="B2068" s="5" t="s">
        <v>7095</v>
      </c>
      <c r="C2068" t="s">
        <v>6456</v>
      </c>
      <c r="D2068" t="s">
        <v>1240</v>
      </c>
      <c r="E2068" t="s">
        <v>7096</v>
      </c>
      <c r="F2068" s="1">
        <v>44769</v>
      </c>
      <c r="G2068" t="s">
        <v>110</v>
      </c>
      <c r="H2068" s="24">
        <v>1225</v>
      </c>
      <c r="I2068" t="str">
        <f>IF(H2068&lt;=0,"",LOOKUP(H2068,'Regras e Parâmetros'!$B$4:$B$7,'Regras e Parâmetros'!$A$4:$A$7))</f>
        <v>Bronze</v>
      </c>
      <c r="J2068" t="s">
        <v>6456</v>
      </c>
    </row>
    <row r="2069" spans="1:12" x14ac:dyDescent="0.3">
      <c r="A2069" t="s">
        <v>435</v>
      </c>
      <c r="B2069" s="5" t="s">
        <v>6690</v>
      </c>
      <c r="C2069" t="s">
        <v>6456</v>
      </c>
      <c r="D2069" t="s">
        <v>6691</v>
      </c>
      <c r="E2069" t="s">
        <v>436</v>
      </c>
      <c r="F2069" s="1">
        <v>44498</v>
      </c>
      <c r="G2069" t="s">
        <v>51</v>
      </c>
      <c r="H2069" s="24">
        <v>947</v>
      </c>
      <c r="I2069" t="str">
        <f>IF(H2069&lt;=0,"",LOOKUP(H2069,'Regras e Parâmetros'!$B$4:$B$7,'Regras e Parâmetros'!$A$4:$A$7))</f>
        <v>Bronze</v>
      </c>
      <c r="J2069" t="s">
        <v>9790</v>
      </c>
      <c r="K2069" t="s">
        <v>44</v>
      </c>
    </row>
    <row r="2070" spans="1:12" x14ac:dyDescent="0.3">
      <c r="A2070" t="s">
        <v>3340</v>
      </c>
      <c r="B2070" s="5" t="s">
        <v>8284</v>
      </c>
      <c r="C2070" t="s">
        <v>6456</v>
      </c>
      <c r="D2070" t="s">
        <v>3341</v>
      </c>
      <c r="E2070" t="s">
        <v>8285</v>
      </c>
      <c r="F2070" s="1">
        <v>45510</v>
      </c>
      <c r="G2070" t="s">
        <v>110</v>
      </c>
      <c r="H2070" s="24">
        <v>505</v>
      </c>
      <c r="I2070" t="str">
        <f>IF(H2070&lt;=0,"",LOOKUP(H2070,'Regras e Parâmetros'!$B$4:$B$7,'Regras e Parâmetros'!$A$4:$A$7))</f>
        <v>Bronze</v>
      </c>
      <c r="J2070" t="s">
        <v>9790</v>
      </c>
    </row>
    <row r="2071" spans="1:12" x14ac:dyDescent="0.3">
      <c r="A2071" t="s">
        <v>792</v>
      </c>
      <c r="B2071" s="5" t="s">
        <v>793</v>
      </c>
      <c r="C2071" t="s">
        <v>6456</v>
      </c>
      <c r="D2071" t="s">
        <v>794</v>
      </c>
      <c r="E2071" t="s">
        <v>6897</v>
      </c>
      <c r="F2071" s="1">
        <v>44624</v>
      </c>
      <c r="G2071" t="s">
        <v>45</v>
      </c>
      <c r="H2071" s="24">
        <v>7000</v>
      </c>
      <c r="I2071" t="str">
        <f>IF(H2071&lt;=0,"",LOOKUP(H2071,'Regras e Parâmetros'!$B$4:$B$7,'Regras e Parâmetros'!$A$4:$A$7))</f>
        <v>Ouro</v>
      </c>
      <c r="J2071" t="s">
        <v>9790</v>
      </c>
      <c r="L2071" t="s">
        <v>9793</v>
      </c>
    </row>
    <row r="2072" spans="1:12" x14ac:dyDescent="0.3">
      <c r="A2072" t="s">
        <v>1548</v>
      </c>
      <c r="B2072" s="5" t="s">
        <v>1549</v>
      </c>
      <c r="C2072" t="s">
        <v>6456</v>
      </c>
      <c r="D2072" t="s">
        <v>1550</v>
      </c>
      <c r="E2072" t="s">
        <v>1551</v>
      </c>
      <c r="F2072" s="1">
        <v>44892</v>
      </c>
      <c r="G2072" t="s">
        <v>51</v>
      </c>
      <c r="H2072" s="24">
        <v>2181</v>
      </c>
      <c r="I2072" t="str">
        <f>IF(H2072&lt;=0,"",LOOKUP(H2072,'Regras e Parâmetros'!$B$4:$B$7,'Regras e Parâmetros'!$A$4:$A$7))</f>
        <v>Prata</v>
      </c>
      <c r="J2072" t="s">
        <v>9790</v>
      </c>
    </row>
    <row r="2073" spans="1:12" x14ac:dyDescent="0.3">
      <c r="A2073" t="s">
        <v>4017</v>
      </c>
      <c r="B2073" s="5" t="s">
        <v>8666</v>
      </c>
      <c r="C2073" t="s">
        <v>6456</v>
      </c>
      <c r="D2073" t="s">
        <v>4018</v>
      </c>
      <c r="E2073" t="s">
        <v>8667</v>
      </c>
      <c r="F2073" s="1">
        <v>45721</v>
      </c>
      <c r="G2073" t="s">
        <v>100</v>
      </c>
      <c r="H2073" s="24">
        <v>0</v>
      </c>
      <c r="I2073" t="str">
        <f>IF(H2073&lt;=0,"",LOOKUP(H2073,'Regras e Parâmetros'!$B$4:$B$7,'Regras e Parâmetros'!$A$4:$A$7))</f>
        <v/>
      </c>
      <c r="J2073" t="s">
        <v>6456</v>
      </c>
      <c r="L2073" t="s">
        <v>9883</v>
      </c>
    </row>
    <row r="2074" spans="1:12" x14ac:dyDescent="0.3">
      <c r="A2074" t="s">
        <v>5018</v>
      </c>
      <c r="B2074" s="5" t="s">
        <v>5019</v>
      </c>
      <c r="C2074" t="s">
        <v>6456</v>
      </c>
      <c r="D2074" t="s">
        <v>5020</v>
      </c>
      <c r="E2074" t="s">
        <v>9251</v>
      </c>
      <c r="F2074" s="1">
        <v>46017</v>
      </c>
      <c r="G2074" t="s">
        <v>110</v>
      </c>
      <c r="H2074" s="24">
        <v>0</v>
      </c>
      <c r="I2074" t="str">
        <f>IF(H2074&lt;=0,"",LOOKUP(H2074,'Regras e Parâmetros'!$B$4:$B$7,'Regras e Parâmetros'!$A$4:$A$7))</f>
        <v/>
      </c>
      <c r="J2074" t="s">
        <v>6456</v>
      </c>
      <c r="L2074" t="s">
        <v>9883</v>
      </c>
    </row>
    <row r="2075" spans="1:12" x14ac:dyDescent="0.3">
      <c r="A2075" t="s">
        <v>647</v>
      </c>
      <c r="B2075" s="5" t="s">
        <v>6076</v>
      </c>
      <c r="C2075" t="s">
        <v>6456</v>
      </c>
      <c r="D2075" t="s">
        <v>648</v>
      </c>
      <c r="E2075" t="s">
        <v>649</v>
      </c>
      <c r="F2075" s="1">
        <v>44574</v>
      </c>
      <c r="G2075" t="s">
        <v>22</v>
      </c>
      <c r="H2075" s="24">
        <v>1117</v>
      </c>
      <c r="I2075" t="str">
        <f>IF(H2075&lt;=0,"",LOOKUP(H2075,'Regras e Parâmetros'!$B$4:$B$7,'Regras e Parâmetros'!$A$4:$A$7))</f>
        <v>Bronze</v>
      </c>
      <c r="J2075" t="s">
        <v>9790</v>
      </c>
      <c r="K2075" t="s">
        <v>10028</v>
      </c>
      <c r="L2075" t="s">
        <v>9792</v>
      </c>
    </row>
    <row r="2076" spans="1:12" x14ac:dyDescent="0.3">
      <c r="A2076" t="s">
        <v>1241</v>
      </c>
      <c r="B2076" s="5" t="s">
        <v>7020</v>
      </c>
      <c r="C2076" t="s">
        <v>6456</v>
      </c>
      <c r="D2076" t="s">
        <v>1242</v>
      </c>
      <c r="E2076" t="s">
        <v>1243</v>
      </c>
      <c r="F2076" s="1">
        <v>44713</v>
      </c>
      <c r="G2076" t="s">
        <v>110</v>
      </c>
      <c r="H2076" s="24">
        <v>10683</v>
      </c>
      <c r="I2076" t="str">
        <f>IF(H2076&lt;=0,"",LOOKUP(H2076,'Regras e Parâmetros'!$B$4:$B$7,'Regras e Parâmetros'!$A$4:$A$7))</f>
        <v>Vip</v>
      </c>
      <c r="J2076" t="s">
        <v>6456</v>
      </c>
      <c r="L2076" t="s">
        <v>9791</v>
      </c>
    </row>
    <row r="2077" spans="1:12" x14ac:dyDescent="0.3">
      <c r="A2077" t="s">
        <v>4256</v>
      </c>
      <c r="B2077" s="5" t="s">
        <v>8808</v>
      </c>
      <c r="C2077" t="s">
        <v>6456</v>
      </c>
      <c r="D2077" t="s">
        <v>4257</v>
      </c>
      <c r="E2077" t="s">
        <v>4258</v>
      </c>
      <c r="F2077" s="1">
        <v>45792</v>
      </c>
      <c r="G2077" t="s">
        <v>18</v>
      </c>
      <c r="H2077" s="24">
        <v>0</v>
      </c>
      <c r="I2077" t="str">
        <f>IF(H2077&lt;=0,"",LOOKUP(H2077,'Regras e Parâmetros'!$B$4:$B$7,'Regras e Parâmetros'!$A$4:$A$7))</f>
        <v/>
      </c>
      <c r="J2077" t="s">
        <v>6456</v>
      </c>
      <c r="K2077" t="s">
        <v>44</v>
      </c>
      <c r="L2077" t="s">
        <v>9883</v>
      </c>
    </row>
    <row r="2078" spans="1:12" x14ac:dyDescent="0.3">
      <c r="A2078" t="s">
        <v>6220</v>
      </c>
      <c r="B2078" s="5" t="s">
        <v>985</v>
      </c>
      <c r="C2078" t="s">
        <v>6456</v>
      </c>
      <c r="D2078" t="s">
        <v>986</v>
      </c>
      <c r="E2078" t="s">
        <v>987</v>
      </c>
      <c r="F2078" s="1">
        <v>44705</v>
      </c>
      <c r="G2078" t="s">
        <v>110</v>
      </c>
      <c r="H2078" s="24">
        <v>8687</v>
      </c>
      <c r="I2078" t="str">
        <f>IF(H2078&lt;=0,"",LOOKUP(H2078,'Regras e Parâmetros'!$B$4:$B$7,'Regras e Parâmetros'!$A$4:$A$7))</f>
        <v>Ouro</v>
      </c>
      <c r="J2078" t="s">
        <v>9790</v>
      </c>
    </row>
    <row r="2079" spans="1:12" x14ac:dyDescent="0.3">
      <c r="A2079" t="s">
        <v>2484</v>
      </c>
      <c r="B2079" s="5" t="s">
        <v>7820</v>
      </c>
      <c r="C2079" t="s">
        <v>6456</v>
      </c>
      <c r="D2079" t="s">
        <v>2485</v>
      </c>
      <c r="E2079" t="s">
        <v>2486</v>
      </c>
      <c r="F2079" s="1">
        <v>45170</v>
      </c>
      <c r="G2079" t="s">
        <v>51</v>
      </c>
      <c r="H2079" s="24">
        <v>3232</v>
      </c>
      <c r="I2079" t="str">
        <f>IF(H2079&lt;=0,"",LOOKUP(H2079,'Regras e Parâmetros'!$B$4:$B$7,'Regras e Parâmetros'!$A$4:$A$7))</f>
        <v>Prata</v>
      </c>
      <c r="J2079" t="s">
        <v>6456</v>
      </c>
      <c r="L2079" t="s">
        <v>9791</v>
      </c>
    </row>
    <row r="2080" spans="1:12" x14ac:dyDescent="0.3">
      <c r="A2080" t="s">
        <v>2375</v>
      </c>
      <c r="B2080" s="5" t="s">
        <v>7789</v>
      </c>
      <c r="C2080" t="s">
        <v>6456</v>
      </c>
      <c r="D2080" t="s">
        <v>4083</v>
      </c>
      <c r="E2080" t="s">
        <v>4084</v>
      </c>
      <c r="F2080" s="1">
        <v>45156</v>
      </c>
      <c r="G2080" t="s">
        <v>22</v>
      </c>
      <c r="H2080" s="24">
        <v>1056</v>
      </c>
      <c r="I2080" t="str">
        <f>IF(H2080&lt;=0,"",LOOKUP(H2080,'Regras e Parâmetros'!$B$4:$B$7,'Regras e Parâmetros'!$A$4:$A$7))</f>
        <v>Bronze</v>
      </c>
      <c r="J2080" t="s">
        <v>6456</v>
      </c>
      <c r="K2080" t="s">
        <v>9846</v>
      </c>
      <c r="L2080" t="s">
        <v>9839</v>
      </c>
    </row>
    <row r="2081" spans="1:12" x14ac:dyDescent="0.3">
      <c r="A2081" t="s">
        <v>4044</v>
      </c>
      <c r="B2081" s="5" t="s">
        <v>8685</v>
      </c>
      <c r="C2081" t="s">
        <v>6456</v>
      </c>
      <c r="D2081" t="s">
        <v>4045</v>
      </c>
      <c r="E2081" t="s">
        <v>4046</v>
      </c>
      <c r="F2081" s="1">
        <v>45730</v>
      </c>
      <c r="G2081" t="s">
        <v>18</v>
      </c>
      <c r="H2081" s="24">
        <v>0</v>
      </c>
      <c r="I2081" t="str">
        <f>IF(H2081&lt;=0,"",LOOKUP(H2081,'Regras e Parâmetros'!$B$4:$B$7,'Regras e Parâmetros'!$A$4:$A$7))</f>
        <v/>
      </c>
      <c r="J2081" t="s">
        <v>9790</v>
      </c>
      <c r="L2081" t="s">
        <v>9886</v>
      </c>
    </row>
    <row r="2082" spans="1:12" x14ac:dyDescent="0.3">
      <c r="A2082" t="s">
        <v>2231</v>
      </c>
      <c r="B2082" s="5" t="s">
        <v>7707</v>
      </c>
      <c r="C2082" t="s">
        <v>6456</v>
      </c>
      <c r="D2082" t="s">
        <v>2232</v>
      </c>
      <c r="E2082" t="s">
        <v>2233</v>
      </c>
      <c r="F2082" s="1">
        <v>45120</v>
      </c>
      <c r="G2082" t="s">
        <v>51</v>
      </c>
      <c r="H2082" s="24">
        <v>320</v>
      </c>
      <c r="I2082" t="str">
        <f>IF(H2082&lt;=0,"",LOOKUP(H2082,'Regras e Parâmetros'!$B$4:$B$7,'Regras e Parâmetros'!$A$4:$A$7))</f>
        <v>Bronze</v>
      </c>
      <c r="J2082" t="s">
        <v>9790</v>
      </c>
    </row>
    <row r="2083" spans="1:12" x14ac:dyDescent="0.3">
      <c r="A2083" t="s">
        <v>4265</v>
      </c>
      <c r="B2083" s="5" t="s">
        <v>4266</v>
      </c>
      <c r="C2083" t="s">
        <v>6456</v>
      </c>
      <c r="D2083" t="s">
        <v>4267</v>
      </c>
      <c r="E2083" t="s">
        <v>4268</v>
      </c>
      <c r="F2083" s="1">
        <v>45796</v>
      </c>
      <c r="G2083" t="s">
        <v>45</v>
      </c>
      <c r="H2083" s="24">
        <v>0</v>
      </c>
      <c r="I2083" t="str">
        <f>IF(H2083&lt;=0,"",LOOKUP(H2083,'Regras e Parâmetros'!$B$4:$B$7,'Regras e Parâmetros'!$A$4:$A$7))</f>
        <v/>
      </c>
      <c r="J2083" t="s">
        <v>6747</v>
      </c>
      <c r="L2083" t="s">
        <v>9886</v>
      </c>
    </row>
    <row r="2084" spans="1:12" x14ac:dyDescent="0.3">
      <c r="A2084" t="s">
        <v>3911</v>
      </c>
      <c r="B2084" s="5" t="s">
        <v>1958</v>
      </c>
      <c r="C2084" t="s">
        <v>6456</v>
      </c>
      <c r="D2084" t="s">
        <v>1959</v>
      </c>
      <c r="E2084" t="s">
        <v>1960</v>
      </c>
      <c r="F2084" s="1">
        <v>45017</v>
      </c>
      <c r="G2084" t="s">
        <v>18</v>
      </c>
      <c r="H2084" s="24">
        <v>2200</v>
      </c>
      <c r="I2084" t="str">
        <f>IF(H2084&lt;=0,"",LOOKUP(H2084,'Regras e Parâmetros'!$B$4:$B$7,'Regras e Parâmetros'!$A$4:$A$7))</f>
        <v>Prata</v>
      </c>
      <c r="J2084" t="s">
        <v>9790</v>
      </c>
      <c r="L2084" t="s">
        <v>9812</v>
      </c>
    </row>
    <row r="2085" spans="1:12" x14ac:dyDescent="0.3">
      <c r="A2085" t="s">
        <v>3911</v>
      </c>
      <c r="B2085" s="5" t="s">
        <v>8623</v>
      </c>
      <c r="C2085" t="s">
        <v>6456</v>
      </c>
      <c r="D2085" t="s">
        <v>3912</v>
      </c>
      <c r="E2085" t="s">
        <v>8624</v>
      </c>
      <c r="F2085" s="1">
        <v>45695</v>
      </c>
      <c r="G2085" t="s">
        <v>18</v>
      </c>
      <c r="H2085" s="24">
        <v>0</v>
      </c>
      <c r="I2085" t="str">
        <f>IF(H2085&lt;=0,"",LOOKUP(H2085,'Regras e Parâmetros'!$B$4:$B$7,'Regras e Parâmetros'!$A$4:$A$7))</f>
        <v/>
      </c>
      <c r="J2085" t="s">
        <v>9790</v>
      </c>
      <c r="L2085" t="s">
        <v>9883</v>
      </c>
    </row>
    <row r="2086" spans="1:12" x14ac:dyDescent="0.3">
      <c r="A2086" t="s">
        <v>2105</v>
      </c>
      <c r="B2086" s="5" t="s">
        <v>7644</v>
      </c>
      <c r="C2086" t="s">
        <v>6456</v>
      </c>
      <c r="D2086" t="s">
        <v>2106</v>
      </c>
      <c r="E2086" t="s">
        <v>7645</v>
      </c>
      <c r="F2086" s="1">
        <v>45081</v>
      </c>
      <c r="G2086" t="s">
        <v>100</v>
      </c>
      <c r="H2086" s="24">
        <v>512</v>
      </c>
      <c r="I2086" t="str">
        <f>IF(H2086&lt;=0,"",LOOKUP(H2086,'Regras e Parâmetros'!$B$4:$B$7,'Regras e Parâmetros'!$A$4:$A$7))</f>
        <v>Bronze</v>
      </c>
      <c r="J2086" t="s">
        <v>9790</v>
      </c>
    </row>
    <row r="2087" spans="1:12" x14ac:dyDescent="0.3">
      <c r="A2087" t="s">
        <v>4420</v>
      </c>
      <c r="B2087" s="5" t="s">
        <v>8886</v>
      </c>
      <c r="C2087" t="s">
        <v>6456</v>
      </c>
      <c r="D2087" t="s">
        <v>4421</v>
      </c>
      <c r="E2087" t="s">
        <v>4422</v>
      </c>
      <c r="F2087" s="1">
        <v>45839</v>
      </c>
      <c r="G2087" t="s">
        <v>110</v>
      </c>
      <c r="H2087" s="24">
        <v>0</v>
      </c>
      <c r="I2087" t="str">
        <f>IF(H2087&lt;=0,"",LOOKUP(H2087,'Regras e Parâmetros'!$B$4:$B$7,'Regras e Parâmetros'!$A$4:$A$7))</f>
        <v/>
      </c>
      <c r="J2087" t="s">
        <v>6456</v>
      </c>
      <c r="L2087" t="s">
        <v>9884</v>
      </c>
    </row>
    <row r="2088" spans="1:12" x14ac:dyDescent="0.3">
      <c r="A2088" t="s">
        <v>7149</v>
      </c>
      <c r="B2088" s="5" t="s">
        <v>7150</v>
      </c>
      <c r="C2088" t="s">
        <v>6456</v>
      </c>
      <c r="D2088" t="s">
        <v>1244</v>
      </c>
      <c r="E2088" t="s">
        <v>1245</v>
      </c>
      <c r="F2088" s="1">
        <v>44813</v>
      </c>
      <c r="G2088" t="s">
        <v>45</v>
      </c>
      <c r="H2088" s="24">
        <v>779</v>
      </c>
      <c r="I2088" t="str">
        <f>IF(H2088&lt;=0,"",LOOKUP(H2088,'Regras e Parâmetros'!$B$4:$B$7,'Regras e Parâmetros'!$A$4:$A$7))</f>
        <v>Bronze</v>
      </c>
      <c r="J2088" t="s">
        <v>6456</v>
      </c>
    </row>
    <row r="2089" spans="1:12" x14ac:dyDescent="0.3">
      <c r="A2089" t="s">
        <v>332</v>
      </c>
      <c r="B2089" s="5" t="s">
        <v>333</v>
      </c>
      <c r="C2089" t="s">
        <v>6456</v>
      </c>
      <c r="D2089" t="s">
        <v>334</v>
      </c>
      <c r="E2089" t="s">
        <v>6596</v>
      </c>
      <c r="F2089" s="1">
        <v>44440</v>
      </c>
      <c r="G2089" t="s">
        <v>18</v>
      </c>
      <c r="H2089" s="24">
        <v>4753</v>
      </c>
      <c r="I2089" t="str">
        <f>IF(H2089&lt;=0,"",LOOKUP(H2089,'Regras e Parâmetros'!$B$4:$B$7,'Regras e Parâmetros'!$A$4:$A$7))</f>
        <v>Prata</v>
      </c>
      <c r="J2089" t="s">
        <v>9790</v>
      </c>
      <c r="L2089" t="s">
        <v>9791</v>
      </c>
    </row>
    <row r="2090" spans="1:12" x14ac:dyDescent="0.3">
      <c r="A2090" t="s">
        <v>340</v>
      </c>
      <c r="B2090" s="5" t="s">
        <v>6073</v>
      </c>
      <c r="C2090" t="s">
        <v>6456</v>
      </c>
      <c r="D2090" t="s">
        <v>341</v>
      </c>
      <c r="E2090" t="s">
        <v>6597</v>
      </c>
      <c r="F2090" s="1">
        <v>44440</v>
      </c>
      <c r="G2090" t="s">
        <v>45</v>
      </c>
      <c r="H2090" s="24">
        <v>573</v>
      </c>
      <c r="I2090" t="str">
        <f>IF(H2090&lt;=0,"",LOOKUP(H2090,'Regras e Parâmetros'!$B$4:$B$7,'Regras e Parâmetros'!$A$4:$A$7))</f>
        <v>Bronze</v>
      </c>
      <c r="J2090" t="s">
        <v>6456</v>
      </c>
      <c r="K2090" t="s">
        <v>8</v>
      </c>
      <c r="L2090" t="s">
        <v>9791</v>
      </c>
    </row>
    <row r="2091" spans="1:12" x14ac:dyDescent="0.3">
      <c r="A2091" t="s">
        <v>2383</v>
      </c>
      <c r="B2091" s="5" t="s">
        <v>2384</v>
      </c>
      <c r="C2091" t="s">
        <v>6456</v>
      </c>
      <c r="D2091" t="s">
        <v>2385</v>
      </c>
      <c r="E2091" t="s">
        <v>2386</v>
      </c>
      <c r="F2091" s="1">
        <v>45157</v>
      </c>
      <c r="G2091" t="s">
        <v>18</v>
      </c>
      <c r="H2091" s="24">
        <v>2219</v>
      </c>
      <c r="I2091" t="str">
        <f>IF(H2091&lt;=0,"",LOOKUP(H2091,'Regras e Parâmetros'!$B$4:$B$7,'Regras e Parâmetros'!$A$4:$A$7))</f>
        <v>Prata</v>
      </c>
      <c r="J2091" t="s">
        <v>6747</v>
      </c>
    </row>
    <row r="2092" spans="1:12" x14ac:dyDescent="0.3">
      <c r="A2092" t="s">
        <v>3084</v>
      </c>
      <c r="B2092" s="5" t="s">
        <v>8154</v>
      </c>
      <c r="C2092" t="s">
        <v>6456</v>
      </c>
      <c r="D2092" t="s">
        <v>4193</v>
      </c>
      <c r="E2092" t="s">
        <v>3085</v>
      </c>
      <c r="F2092" s="1">
        <v>45421</v>
      </c>
      <c r="G2092" t="s">
        <v>110</v>
      </c>
      <c r="H2092" s="24">
        <v>841</v>
      </c>
      <c r="I2092" t="str">
        <f>IF(H2092&lt;=0,"",LOOKUP(H2092,'Regras e Parâmetros'!$B$4:$B$7,'Regras e Parâmetros'!$A$4:$A$7))</f>
        <v>Bronze</v>
      </c>
      <c r="J2092" t="s">
        <v>9790</v>
      </c>
      <c r="K2092" t="s">
        <v>9859</v>
      </c>
      <c r="L2092" t="s">
        <v>9860</v>
      </c>
    </row>
    <row r="2093" spans="1:12" x14ac:dyDescent="0.3">
      <c r="A2093" t="s">
        <v>19</v>
      </c>
      <c r="B2093" s="5" t="s">
        <v>20</v>
      </c>
      <c r="C2093" t="s">
        <v>6456</v>
      </c>
      <c r="D2093" t="s">
        <v>21</v>
      </c>
      <c r="E2093" t="s">
        <v>6474</v>
      </c>
      <c r="F2093" s="1">
        <v>44354</v>
      </c>
      <c r="G2093" t="s">
        <v>22</v>
      </c>
      <c r="H2093" s="24">
        <v>0</v>
      </c>
      <c r="I2093" t="str">
        <f>IF(H2093&lt;=0,"",LOOKUP(H2093,'Regras e Parâmetros'!$B$4:$B$7,'Regras e Parâmetros'!$A$4:$A$7))</f>
        <v/>
      </c>
      <c r="J2093" t="s">
        <v>9790</v>
      </c>
      <c r="K2093" t="s">
        <v>8</v>
      </c>
    </row>
    <row r="2094" spans="1:12" x14ac:dyDescent="0.3">
      <c r="A2094" t="s">
        <v>2409</v>
      </c>
      <c r="B2094" s="5" t="s">
        <v>7805</v>
      </c>
      <c r="C2094" t="s">
        <v>6456</v>
      </c>
      <c r="D2094" t="s">
        <v>2410</v>
      </c>
      <c r="E2094" t="s">
        <v>7806</v>
      </c>
      <c r="F2094" s="1">
        <v>45164</v>
      </c>
      <c r="G2094" t="s">
        <v>51</v>
      </c>
      <c r="H2094" s="24">
        <v>824</v>
      </c>
      <c r="I2094" t="str">
        <f>IF(H2094&lt;=0,"",LOOKUP(H2094,'Regras e Parâmetros'!$B$4:$B$7,'Regras e Parâmetros'!$A$4:$A$7))</f>
        <v>Bronze</v>
      </c>
      <c r="J2094" t="s">
        <v>6456</v>
      </c>
    </row>
    <row r="2095" spans="1:12" x14ac:dyDescent="0.3">
      <c r="A2095" t="s">
        <v>4327</v>
      </c>
      <c r="B2095" s="5" t="s">
        <v>8846</v>
      </c>
      <c r="C2095" t="s">
        <v>6456</v>
      </c>
      <c r="D2095" t="s">
        <v>8847</v>
      </c>
      <c r="E2095" t="s">
        <v>4328</v>
      </c>
      <c r="F2095" s="1">
        <v>45817</v>
      </c>
      <c r="G2095" t="s">
        <v>45</v>
      </c>
      <c r="H2095" s="24">
        <v>0</v>
      </c>
      <c r="I2095" t="str">
        <f>IF(H2095&lt;=0,"",LOOKUP(H2095,'Regras e Parâmetros'!$B$4:$B$7,'Regras e Parâmetros'!$A$4:$A$7))</f>
        <v/>
      </c>
      <c r="J2095" t="s">
        <v>6747</v>
      </c>
      <c r="K2095" t="s">
        <v>708</v>
      </c>
      <c r="L2095" t="s">
        <v>9886</v>
      </c>
    </row>
    <row r="2096" spans="1:12" x14ac:dyDescent="0.3">
      <c r="A2096" t="s">
        <v>2094</v>
      </c>
      <c r="B2096" s="5" t="s">
        <v>7626</v>
      </c>
      <c r="C2096" t="s">
        <v>6456</v>
      </c>
      <c r="D2096" t="s">
        <v>7627</v>
      </c>
      <c r="E2096" t="s">
        <v>2095</v>
      </c>
      <c r="F2096" s="1">
        <v>45076</v>
      </c>
      <c r="G2096" t="s">
        <v>18</v>
      </c>
      <c r="H2096" s="24">
        <v>4554</v>
      </c>
      <c r="I2096" t="str">
        <f>IF(H2096&lt;=0,"",LOOKUP(H2096,'Regras e Parâmetros'!$B$4:$B$7,'Regras e Parâmetros'!$A$4:$A$7))</f>
        <v>Prata</v>
      </c>
      <c r="J2096" t="s">
        <v>6747</v>
      </c>
    </row>
    <row r="2097" spans="1:12" x14ac:dyDescent="0.3">
      <c r="A2097" t="s">
        <v>300</v>
      </c>
      <c r="B2097" s="5" t="s">
        <v>6612</v>
      </c>
      <c r="C2097" t="s">
        <v>6456</v>
      </c>
      <c r="D2097" t="s">
        <v>301</v>
      </c>
      <c r="E2097" t="s">
        <v>6613</v>
      </c>
      <c r="F2097" s="1">
        <v>44445</v>
      </c>
      <c r="G2097" t="s">
        <v>110</v>
      </c>
      <c r="H2097" s="24">
        <v>881</v>
      </c>
      <c r="I2097" t="str">
        <f>IF(H2097&lt;=0,"",LOOKUP(H2097,'Regras e Parâmetros'!$B$4:$B$7,'Regras e Parâmetros'!$A$4:$A$7))</f>
        <v>Bronze</v>
      </c>
      <c r="J2097" t="s">
        <v>9790</v>
      </c>
    </row>
    <row r="2098" spans="1:12" x14ac:dyDescent="0.3">
      <c r="A2098" t="s">
        <v>8494</v>
      </c>
      <c r="B2098" s="5" t="s">
        <v>8495</v>
      </c>
      <c r="C2098" t="s">
        <v>6456</v>
      </c>
      <c r="D2098" t="s">
        <v>3755</v>
      </c>
      <c r="E2098" t="s">
        <v>8496</v>
      </c>
      <c r="F2098" s="1">
        <v>45642</v>
      </c>
      <c r="G2098" t="s">
        <v>18</v>
      </c>
      <c r="H2098" s="24">
        <v>343</v>
      </c>
      <c r="I2098" t="str">
        <f>IF(H2098&lt;=0,"",LOOKUP(H2098,'Regras e Parâmetros'!$B$4:$B$7,'Regras e Parâmetros'!$A$4:$A$7))</f>
        <v>Bronze</v>
      </c>
      <c r="J2098" t="s">
        <v>6456</v>
      </c>
    </row>
    <row r="2099" spans="1:12" x14ac:dyDescent="0.3">
      <c r="A2099" t="s">
        <v>6210</v>
      </c>
      <c r="B2099" s="5" t="s">
        <v>8901</v>
      </c>
      <c r="C2099" t="s">
        <v>6456</v>
      </c>
      <c r="D2099" t="s">
        <v>4432</v>
      </c>
      <c r="E2099" t="s">
        <v>8902</v>
      </c>
      <c r="F2099" s="1">
        <v>45850</v>
      </c>
      <c r="G2099" t="s">
        <v>110</v>
      </c>
      <c r="H2099" s="24">
        <v>0</v>
      </c>
      <c r="I2099" t="str">
        <f>IF(H2099&lt;=0,"",LOOKUP(H2099,'Regras e Parâmetros'!$B$4:$B$7,'Regras e Parâmetros'!$A$4:$A$7))</f>
        <v/>
      </c>
      <c r="J2099" t="s">
        <v>6747</v>
      </c>
      <c r="L2099" t="s">
        <v>9883</v>
      </c>
    </row>
    <row r="2100" spans="1:12" x14ac:dyDescent="0.3">
      <c r="A2100" t="s">
        <v>2844</v>
      </c>
      <c r="B2100" s="5" t="s">
        <v>8042</v>
      </c>
      <c r="C2100" t="s">
        <v>6456</v>
      </c>
      <c r="D2100" t="s">
        <v>2845</v>
      </c>
      <c r="E2100" t="s">
        <v>8043</v>
      </c>
      <c r="F2100" s="1">
        <v>45332</v>
      </c>
      <c r="G2100" t="s">
        <v>45</v>
      </c>
      <c r="H2100" s="24">
        <v>414</v>
      </c>
      <c r="I2100" t="str">
        <f>IF(H2100&lt;=0,"",LOOKUP(H2100,'Regras e Parâmetros'!$B$4:$B$7,'Regras e Parâmetros'!$A$4:$A$7))</f>
        <v>Bronze</v>
      </c>
      <c r="J2100" t="s">
        <v>6456</v>
      </c>
    </row>
    <row r="2101" spans="1:12" x14ac:dyDescent="0.3">
      <c r="A2101" t="s">
        <v>2214</v>
      </c>
      <c r="B2101" s="5" t="s">
        <v>7691</v>
      </c>
      <c r="C2101" t="s">
        <v>6456</v>
      </c>
      <c r="D2101" t="s">
        <v>2215</v>
      </c>
      <c r="E2101" t="s">
        <v>2216</v>
      </c>
      <c r="F2101" s="1">
        <v>45108</v>
      </c>
      <c r="G2101" t="s">
        <v>18</v>
      </c>
      <c r="H2101" s="24">
        <v>134</v>
      </c>
      <c r="I2101" t="str">
        <f>IF(H2101&lt;=0,"",LOOKUP(H2101,'Regras e Parâmetros'!$B$4:$B$7,'Regras e Parâmetros'!$A$4:$A$7))</f>
        <v>Bronze</v>
      </c>
      <c r="J2101" t="s">
        <v>6456</v>
      </c>
      <c r="K2101" t="s">
        <v>8</v>
      </c>
      <c r="L2101" t="s">
        <v>9791</v>
      </c>
    </row>
    <row r="2102" spans="1:12" x14ac:dyDescent="0.3">
      <c r="A2102" t="s">
        <v>5345</v>
      </c>
      <c r="B2102" s="5" t="s">
        <v>5346</v>
      </c>
      <c r="C2102" t="s">
        <v>6456</v>
      </c>
      <c r="D2102" t="s">
        <v>5980</v>
      </c>
      <c r="E2102" t="s">
        <v>5347</v>
      </c>
      <c r="F2102" s="1">
        <v>46115</v>
      </c>
      <c r="G2102" t="s">
        <v>22</v>
      </c>
      <c r="H2102" s="24">
        <v>0</v>
      </c>
      <c r="I2102" t="str">
        <f>IF(H2102&lt;=0,"",LOOKUP(H2102,'Regras e Parâmetros'!$B$4:$B$7,'Regras e Parâmetros'!$A$4:$A$7))</f>
        <v/>
      </c>
      <c r="J2102" t="s">
        <v>6747</v>
      </c>
      <c r="K2102" t="s">
        <v>9924</v>
      </c>
      <c r="L2102" t="s">
        <v>9883</v>
      </c>
    </row>
    <row r="2103" spans="1:12" x14ac:dyDescent="0.3">
      <c r="A2103" t="s">
        <v>3882</v>
      </c>
      <c r="B2103" s="5" t="s">
        <v>8531</v>
      </c>
      <c r="C2103" t="s">
        <v>6456</v>
      </c>
      <c r="D2103" t="s">
        <v>3883</v>
      </c>
      <c r="E2103" t="s">
        <v>3884</v>
      </c>
      <c r="F2103" s="1">
        <v>45658</v>
      </c>
      <c r="G2103" t="s">
        <v>18</v>
      </c>
      <c r="H2103" s="24">
        <v>0</v>
      </c>
      <c r="I2103" t="str">
        <f>IF(H2103&lt;=0,"",LOOKUP(H2103,'Regras e Parâmetros'!$B$4:$B$7,'Regras e Parâmetros'!$A$4:$A$7))</f>
        <v/>
      </c>
      <c r="J2103" t="s">
        <v>6747</v>
      </c>
      <c r="L2103" t="s">
        <v>9884</v>
      </c>
    </row>
    <row r="2104" spans="1:12" x14ac:dyDescent="0.3">
      <c r="A2104" t="s">
        <v>7203</v>
      </c>
      <c r="B2104" s="5" t="s">
        <v>1356</v>
      </c>
      <c r="C2104" t="s">
        <v>6456</v>
      </c>
      <c r="D2104" t="s">
        <v>1357</v>
      </c>
      <c r="E2104" t="s">
        <v>7204</v>
      </c>
      <c r="F2104" s="1">
        <v>44842</v>
      </c>
      <c r="G2104" t="s">
        <v>18</v>
      </c>
      <c r="H2104" s="24">
        <v>757</v>
      </c>
      <c r="I2104" t="str">
        <f>IF(H2104&lt;=0,"",LOOKUP(H2104,'Regras e Parâmetros'!$B$4:$B$7,'Regras e Parâmetros'!$A$4:$A$7))</f>
        <v>Bronze</v>
      </c>
      <c r="J2104" t="s">
        <v>9790</v>
      </c>
      <c r="K2104" t="s">
        <v>33</v>
      </c>
    </row>
    <row r="2105" spans="1:12" x14ac:dyDescent="0.3">
      <c r="A2105" t="s">
        <v>2752</v>
      </c>
      <c r="B2105" s="5" t="s">
        <v>7995</v>
      </c>
      <c r="C2105" t="s">
        <v>6456</v>
      </c>
      <c r="D2105" t="s">
        <v>2754</v>
      </c>
      <c r="E2105" t="s">
        <v>7996</v>
      </c>
      <c r="F2105" s="1">
        <v>45289</v>
      </c>
      <c r="G2105" t="s">
        <v>51</v>
      </c>
      <c r="H2105" s="24">
        <v>729</v>
      </c>
      <c r="I2105" t="str">
        <f>IF(H2105&lt;=0,"",LOOKUP(H2105,'Regras e Parâmetros'!$B$4:$B$7,'Regras e Parâmetros'!$A$4:$A$7))</f>
        <v>Bronze</v>
      </c>
      <c r="J2105" t="s">
        <v>6456</v>
      </c>
    </row>
    <row r="2106" spans="1:12" x14ac:dyDescent="0.3">
      <c r="A2106" t="s">
        <v>5952</v>
      </c>
      <c r="B2106" s="5" t="s">
        <v>9782</v>
      </c>
      <c r="C2106" t="s">
        <v>6456</v>
      </c>
      <c r="D2106" t="s">
        <v>5953</v>
      </c>
      <c r="E2106" t="s">
        <v>9783</v>
      </c>
      <c r="F2106" s="1">
        <v>46276</v>
      </c>
      <c r="G2106" t="s">
        <v>22</v>
      </c>
      <c r="H2106" s="24">
        <v>0</v>
      </c>
      <c r="I2106" t="str">
        <f>IF(H2106&lt;=0,"",LOOKUP(H2106,'Regras e Parâmetros'!$B$4:$B$7,'Regras e Parâmetros'!$A$4:$A$7))</f>
        <v/>
      </c>
      <c r="J2106" t="s">
        <v>9790</v>
      </c>
      <c r="K2106" t="s">
        <v>44</v>
      </c>
      <c r="L2106" t="s">
        <v>9883</v>
      </c>
    </row>
    <row r="2107" spans="1:12" x14ac:dyDescent="0.3">
      <c r="A2107" t="s">
        <v>8805</v>
      </c>
      <c r="B2107" s="5" t="s">
        <v>8806</v>
      </c>
      <c r="C2107" t="s">
        <v>6456</v>
      </c>
      <c r="D2107" t="s">
        <v>4251</v>
      </c>
      <c r="E2107" t="s">
        <v>4252</v>
      </c>
      <c r="F2107" s="1">
        <v>45791</v>
      </c>
      <c r="G2107" t="s">
        <v>18</v>
      </c>
      <c r="H2107" s="24">
        <v>0</v>
      </c>
      <c r="I2107" t="str">
        <f>IF(H2107&lt;=0,"",LOOKUP(H2107,'Regras e Parâmetros'!$B$4:$B$7,'Regras e Parâmetros'!$A$4:$A$7))</f>
        <v/>
      </c>
      <c r="J2107" t="s">
        <v>9790</v>
      </c>
      <c r="L2107" t="s">
        <v>9886</v>
      </c>
    </row>
    <row r="2108" spans="1:12" x14ac:dyDescent="0.3">
      <c r="A2108" t="s">
        <v>5724</v>
      </c>
      <c r="B2108" s="5" t="s">
        <v>9657</v>
      </c>
      <c r="C2108" t="s">
        <v>6456</v>
      </c>
      <c r="D2108" t="s">
        <v>5725</v>
      </c>
      <c r="E2108" t="s">
        <v>5726</v>
      </c>
      <c r="F2108" s="1">
        <v>46227</v>
      </c>
      <c r="G2108" t="s">
        <v>18</v>
      </c>
      <c r="H2108" s="24">
        <v>0</v>
      </c>
      <c r="I2108" t="str">
        <f>IF(H2108&lt;=0,"",LOOKUP(H2108,'Regras e Parâmetros'!$B$4:$B$7,'Regras e Parâmetros'!$A$4:$A$7))</f>
        <v/>
      </c>
      <c r="J2108" t="s">
        <v>6456</v>
      </c>
      <c r="L2108" t="s">
        <v>9886</v>
      </c>
    </row>
    <row r="2109" spans="1:12" x14ac:dyDescent="0.3">
      <c r="A2109" t="s">
        <v>577</v>
      </c>
      <c r="B2109" s="5" t="s">
        <v>6764</v>
      </c>
      <c r="C2109" t="s">
        <v>6456</v>
      </c>
      <c r="D2109" t="s">
        <v>578</v>
      </c>
      <c r="E2109" t="s">
        <v>6765</v>
      </c>
      <c r="F2109" s="1">
        <v>44546</v>
      </c>
      <c r="G2109" t="s">
        <v>22</v>
      </c>
      <c r="H2109" s="24">
        <v>15000</v>
      </c>
      <c r="I2109" t="str">
        <f>IF(H2109&lt;=0,"",LOOKUP(H2109,'Regras e Parâmetros'!$B$4:$B$7,'Regras e Parâmetros'!$A$4:$A$7))</f>
        <v>Vip</v>
      </c>
      <c r="J2109" t="s">
        <v>9790</v>
      </c>
      <c r="L2109" t="s">
        <v>9793</v>
      </c>
    </row>
    <row r="2110" spans="1:12" x14ac:dyDescent="0.3">
      <c r="A2110" t="s">
        <v>5885</v>
      </c>
      <c r="B2110" s="5" t="s">
        <v>9748</v>
      </c>
      <c r="C2110" t="s">
        <v>6456</v>
      </c>
      <c r="D2110" t="s">
        <v>5886</v>
      </c>
      <c r="E2110" t="s">
        <v>5887</v>
      </c>
      <c r="F2110" s="1">
        <v>46264</v>
      </c>
      <c r="G2110" t="s">
        <v>18</v>
      </c>
      <c r="H2110" s="24">
        <v>0</v>
      </c>
      <c r="I2110" t="str">
        <f>IF(H2110&lt;=0,"",LOOKUP(H2110,'Regras e Parâmetros'!$B$4:$B$7,'Regras e Parâmetros'!$A$4:$A$7))</f>
        <v/>
      </c>
      <c r="J2110" t="s">
        <v>9790</v>
      </c>
      <c r="L2110" t="s">
        <v>9883</v>
      </c>
    </row>
    <row r="2111" spans="1:12" x14ac:dyDescent="0.3">
      <c r="A2111" t="s">
        <v>3646</v>
      </c>
      <c r="B2111" s="5" t="s">
        <v>8450</v>
      </c>
      <c r="C2111" t="s">
        <v>6456</v>
      </c>
      <c r="D2111" t="s">
        <v>3647</v>
      </c>
      <c r="E2111" t="s">
        <v>3648</v>
      </c>
      <c r="F2111" s="1">
        <v>45608</v>
      </c>
      <c r="G2111" t="s">
        <v>110</v>
      </c>
      <c r="H2111" s="24">
        <v>684</v>
      </c>
      <c r="I2111" t="str">
        <f>IF(H2111&lt;=0,"",LOOKUP(H2111,'Regras e Parâmetros'!$B$4:$B$7,'Regras e Parâmetros'!$A$4:$A$7))</f>
        <v>Bronze</v>
      </c>
      <c r="J2111" t="s">
        <v>6747</v>
      </c>
    </row>
    <row r="2112" spans="1:12" x14ac:dyDescent="0.3">
      <c r="A2112" t="s">
        <v>5469</v>
      </c>
      <c r="B2112" s="5" t="s">
        <v>9507</v>
      </c>
      <c r="C2112" t="s">
        <v>6456</v>
      </c>
      <c r="D2112" t="s">
        <v>5470</v>
      </c>
      <c r="E2112" t="s">
        <v>5471</v>
      </c>
      <c r="F2112" s="1">
        <v>46150</v>
      </c>
      <c r="G2112" t="s">
        <v>22</v>
      </c>
      <c r="H2112" s="24">
        <v>0</v>
      </c>
      <c r="I2112" t="str">
        <f>IF(H2112&lt;=0,"",LOOKUP(H2112,'Regras e Parâmetros'!$B$4:$B$7,'Regras e Parâmetros'!$A$4:$A$7))</f>
        <v/>
      </c>
      <c r="J2112" t="s">
        <v>6456</v>
      </c>
      <c r="L2112" t="s">
        <v>9886</v>
      </c>
    </row>
    <row r="2113" spans="1:12" x14ac:dyDescent="0.3">
      <c r="A2113" t="s">
        <v>1246</v>
      </c>
      <c r="B2113" s="5" t="s">
        <v>1247</v>
      </c>
      <c r="C2113" t="s">
        <v>6456</v>
      </c>
      <c r="D2113" t="s">
        <v>1248</v>
      </c>
      <c r="E2113" t="s">
        <v>7099</v>
      </c>
      <c r="F2113" s="1">
        <v>44770</v>
      </c>
      <c r="G2113" t="s">
        <v>100</v>
      </c>
      <c r="H2113" s="24">
        <v>6520</v>
      </c>
      <c r="I2113" t="str">
        <f>IF(H2113&lt;=0,"",LOOKUP(H2113,'Regras e Parâmetros'!$B$4:$B$7,'Regras e Parâmetros'!$A$4:$A$7))</f>
        <v>Ouro</v>
      </c>
      <c r="J2113" t="s">
        <v>6747</v>
      </c>
    </row>
    <row r="2114" spans="1:12" x14ac:dyDescent="0.3">
      <c r="A2114" t="s">
        <v>2245</v>
      </c>
      <c r="B2114" s="5" t="s">
        <v>2246</v>
      </c>
      <c r="C2114" t="s">
        <v>6456</v>
      </c>
      <c r="D2114" t="s">
        <v>2247</v>
      </c>
      <c r="E2114" t="s">
        <v>2248</v>
      </c>
      <c r="F2114" s="1">
        <v>45123</v>
      </c>
      <c r="G2114" t="s">
        <v>22</v>
      </c>
      <c r="H2114" s="24">
        <v>1600</v>
      </c>
      <c r="I2114" t="str">
        <f>IF(H2114&lt;=0,"",LOOKUP(H2114,'Regras e Parâmetros'!$B$4:$B$7,'Regras e Parâmetros'!$A$4:$A$7))</f>
        <v>Prata</v>
      </c>
      <c r="J2114" t="s">
        <v>6747</v>
      </c>
      <c r="L2114" t="s">
        <v>9793</v>
      </c>
    </row>
    <row r="2115" spans="1:12" x14ac:dyDescent="0.3">
      <c r="A2115" t="s">
        <v>6677</v>
      </c>
      <c r="B2115" s="5" t="s">
        <v>6678</v>
      </c>
      <c r="C2115" t="s">
        <v>6456</v>
      </c>
      <c r="D2115" t="s">
        <v>413</v>
      </c>
      <c r="E2115" t="s">
        <v>414</v>
      </c>
      <c r="F2115" s="1">
        <v>44492</v>
      </c>
      <c r="G2115" t="s">
        <v>45</v>
      </c>
      <c r="H2115" s="24">
        <v>9100</v>
      </c>
      <c r="I2115" t="str">
        <f>IF(H2115&lt;=0,"",LOOKUP(H2115,'Regras e Parâmetros'!$B$4:$B$7,'Regras e Parâmetros'!$A$4:$A$7))</f>
        <v>Ouro</v>
      </c>
      <c r="J2115" t="s">
        <v>6456</v>
      </c>
      <c r="L2115" t="s">
        <v>9795</v>
      </c>
    </row>
    <row r="2116" spans="1:12" x14ac:dyDescent="0.3">
      <c r="A2116" t="s">
        <v>4528</v>
      </c>
      <c r="B2116" s="5" t="s">
        <v>8950</v>
      </c>
      <c r="C2116" t="s">
        <v>6456</v>
      </c>
      <c r="D2116" t="s">
        <v>4529</v>
      </c>
      <c r="E2116" t="s">
        <v>8951</v>
      </c>
      <c r="F2116" s="1">
        <v>45870</v>
      </c>
      <c r="G2116" t="s">
        <v>18</v>
      </c>
      <c r="H2116" s="24">
        <v>0</v>
      </c>
      <c r="I2116" t="str">
        <f>IF(H2116&lt;=0,"",LOOKUP(H2116,'Regras e Parâmetros'!$B$4:$B$7,'Regras e Parâmetros'!$A$4:$A$7))</f>
        <v/>
      </c>
      <c r="J2116" t="s">
        <v>9790</v>
      </c>
      <c r="L2116" t="s">
        <v>9884</v>
      </c>
    </row>
    <row r="2117" spans="1:12" x14ac:dyDescent="0.3">
      <c r="A2117" t="s">
        <v>4410</v>
      </c>
      <c r="B2117" s="5" t="s">
        <v>8887</v>
      </c>
      <c r="C2117" t="s">
        <v>6456</v>
      </c>
      <c r="D2117" t="s">
        <v>4411</v>
      </c>
      <c r="E2117" t="s">
        <v>4412</v>
      </c>
      <c r="F2117" s="1">
        <v>45840</v>
      </c>
      <c r="G2117" t="s">
        <v>100</v>
      </c>
      <c r="H2117" s="24">
        <v>0</v>
      </c>
      <c r="I2117" t="str">
        <f>IF(H2117&lt;=0,"",LOOKUP(H2117,'Regras e Parâmetros'!$B$4:$B$7,'Regras e Parâmetros'!$A$4:$A$7))</f>
        <v/>
      </c>
      <c r="J2117" t="s">
        <v>6456</v>
      </c>
      <c r="L2117" t="s">
        <v>9883</v>
      </c>
    </row>
    <row r="2118" spans="1:12" x14ac:dyDescent="0.3">
      <c r="A2118" t="s">
        <v>3904</v>
      </c>
      <c r="B2118" s="5" t="s">
        <v>6684</v>
      </c>
      <c r="C2118" t="s">
        <v>6456</v>
      </c>
      <c r="D2118" t="s">
        <v>422</v>
      </c>
      <c r="E2118" t="s">
        <v>423</v>
      </c>
      <c r="F2118" s="1">
        <v>44493</v>
      </c>
      <c r="G2118" t="s">
        <v>51</v>
      </c>
      <c r="H2118" s="24">
        <v>0</v>
      </c>
      <c r="I2118" t="str">
        <f>IF(H2118&lt;=0,"",LOOKUP(H2118,'Regras e Parâmetros'!$B$4:$B$7,'Regras e Parâmetros'!$A$4:$A$7))</f>
        <v/>
      </c>
      <c r="J2118" t="s">
        <v>9790</v>
      </c>
      <c r="L2118" t="s">
        <v>9792</v>
      </c>
    </row>
    <row r="2119" spans="1:12" x14ac:dyDescent="0.3">
      <c r="A2119" t="s">
        <v>3904</v>
      </c>
      <c r="B2119" s="5" t="s">
        <v>8614</v>
      </c>
      <c r="C2119" t="s">
        <v>6456</v>
      </c>
      <c r="D2119" t="s">
        <v>3905</v>
      </c>
      <c r="E2119" t="s">
        <v>8615</v>
      </c>
      <c r="F2119" s="1">
        <v>45692</v>
      </c>
      <c r="G2119" t="s">
        <v>51</v>
      </c>
      <c r="H2119" s="24">
        <v>0</v>
      </c>
      <c r="I2119" t="str">
        <f>IF(H2119&lt;=0,"",LOOKUP(H2119,'Regras e Parâmetros'!$B$4:$B$7,'Regras e Parâmetros'!$A$4:$A$7))</f>
        <v/>
      </c>
      <c r="J2119" t="s">
        <v>6456</v>
      </c>
      <c r="L2119" t="s">
        <v>9883</v>
      </c>
    </row>
    <row r="2120" spans="1:12" x14ac:dyDescent="0.3">
      <c r="A2120" t="s">
        <v>1321</v>
      </c>
      <c r="B2120" s="5" t="s">
        <v>7175</v>
      </c>
      <c r="C2120" t="s">
        <v>6456</v>
      </c>
      <c r="D2120" t="s">
        <v>1322</v>
      </c>
      <c r="E2120" t="s">
        <v>1323</v>
      </c>
      <c r="F2120" s="1">
        <v>44833</v>
      </c>
      <c r="G2120" t="s">
        <v>18</v>
      </c>
      <c r="H2120" s="24">
        <v>1676</v>
      </c>
      <c r="I2120" t="str">
        <f>IF(H2120&lt;=0,"",LOOKUP(H2120,'Regras e Parâmetros'!$B$4:$B$7,'Regras e Parâmetros'!$A$4:$A$7))</f>
        <v>Prata</v>
      </c>
      <c r="J2120" t="s">
        <v>6747</v>
      </c>
    </row>
    <row r="2121" spans="1:12" x14ac:dyDescent="0.3">
      <c r="A2121" t="s">
        <v>5836</v>
      </c>
      <c r="B2121" s="5" t="s">
        <v>9724</v>
      </c>
      <c r="C2121" t="s">
        <v>6456</v>
      </c>
      <c r="D2121" t="s">
        <v>5837</v>
      </c>
      <c r="E2121" t="s">
        <v>5838</v>
      </c>
      <c r="F2121" s="1">
        <v>46251</v>
      </c>
      <c r="G2121" t="s">
        <v>110</v>
      </c>
      <c r="H2121" s="24">
        <v>0</v>
      </c>
      <c r="I2121" t="str">
        <f>IF(H2121&lt;=0,"",LOOKUP(H2121,'Regras e Parâmetros'!$B$4:$B$7,'Regras e Parâmetros'!$A$4:$A$7))</f>
        <v/>
      </c>
      <c r="J2121" t="s">
        <v>6747</v>
      </c>
      <c r="L2121" t="s">
        <v>9883</v>
      </c>
    </row>
    <row r="2122" spans="1:12" x14ac:dyDescent="0.3">
      <c r="A2122" t="s">
        <v>4846</v>
      </c>
      <c r="B2122" s="5" t="s">
        <v>4847</v>
      </c>
      <c r="C2122" t="s">
        <v>6456</v>
      </c>
      <c r="D2122" t="s">
        <v>4848</v>
      </c>
      <c r="E2122" t="s">
        <v>9148</v>
      </c>
      <c r="F2122" s="1">
        <v>45964</v>
      </c>
      <c r="G2122" t="s">
        <v>18</v>
      </c>
      <c r="H2122" s="24">
        <v>0</v>
      </c>
      <c r="I2122" t="str">
        <f>IF(H2122&lt;=0,"",LOOKUP(H2122,'Regras e Parâmetros'!$B$4:$B$7,'Regras e Parâmetros'!$A$4:$A$7))</f>
        <v/>
      </c>
      <c r="J2122" t="s">
        <v>6456</v>
      </c>
      <c r="L2122" t="s">
        <v>9883</v>
      </c>
    </row>
    <row r="2123" spans="1:12" x14ac:dyDescent="0.3">
      <c r="A2123" t="s">
        <v>608</v>
      </c>
      <c r="B2123" s="5" t="s">
        <v>6779</v>
      </c>
      <c r="C2123" t="s">
        <v>6456</v>
      </c>
      <c r="D2123" t="s">
        <v>609</v>
      </c>
      <c r="E2123" t="s">
        <v>610</v>
      </c>
      <c r="F2123" s="1">
        <v>44561</v>
      </c>
      <c r="G2123" t="s">
        <v>110</v>
      </c>
      <c r="H2123" s="24">
        <v>0</v>
      </c>
      <c r="I2123" t="str">
        <f>IF(H2123&lt;=0,"",LOOKUP(H2123,'Regras e Parâmetros'!$B$4:$B$7,'Regras e Parâmetros'!$A$4:$A$7))</f>
        <v/>
      </c>
      <c r="J2123" t="s">
        <v>6456</v>
      </c>
    </row>
    <row r="2124" spans="1:12" x14ac:dyDescent="0.3">
      <c r="A2124" t="s">
        <v>8771</v>
      </c>
      <c r="B2124" s="5" t="s">
        <v>8772</v>
      </c>
      <c r="C2124" t="s">
        <v>6456</v>
      </c>
      <c r="D2124" t="s">
        <v>4188</v>
      </c>
      <c r="E2124" t="s">
        <v>4189</v>
      </c>
      <c r="F2124" s="1">
        <v>45772</v>
      </c>
      <c r="G2124" t="s">
        <v>45</v>
      </c>
      <c r="H2124" s="24">
        <v>0</v>
      </c>
      <c r="I2124" t="str">
        <f>IF(H2124&lt;=0,"",LOOKUP(H2124,'Regras e Parâmetros'!$B$4:$B$7,'Regras e Parâmetros'!$A$4:$A$7))</f>
        <v/>
      </c>
      <c r="J2124" t="s">
        <v>9790</v>
      </c>
      <c r="K2124" t="s">
        <v>33</v>
      </c>
      <c r="L2124" t="s">
        <v>9886</v>
      </c>
    </row>
    <row r="2125" spans="1:12" x14ac:dyDescent="0.3">
      <c r="A2125" t="s">
        <v>5533</v>
      </c>
      <c r="B2125" s="5" t="s">
        <v>5534</v>
      </c>
      <c r="C2125" t="s">
        <v>6456</v>
      </c>
      <c r="D2125" t="s">
        <v>5535</v>
      </c>
      <c r="E2125" t="s">
        <v>5536</v>
      </c>
      <c r="F2125" s="1">
        <v>46143</v>
      </c>
      <c r="G2125" t="s">
        <v>45</v>
      </c>
      <c r="H2125" s="24">
        <v>0</v>
      </c>
      <c r="I2125" t="str">
        <f>IF(H2125&lt;=0,"",LOOKUP(H2125,'Regras e Parâmetros'!$B$4:$B$7,'Regras e Parâmetros'!$A$4:$A$7))</f>
        <v/>
      </c>
      <c r="J2125" t="s">
        <v>9790</v>
      </c>
      <c r="L2125" t="s">
        <v>9891</v>
      </c>
    </row>
    <row r="2126" spans="1:12" x14ac:dyDescent="0.3">
      <c r="A2126" t="s">
        <v>4297</v>
      </c>
      <c r="B2126" s="5" t="s">
        <v>8822</v>
      </c>
      <c r="C2126" t="s">
        <v>6456</v>
      </c>
      <c r="D2126" t="s">
        <v>4298</v>
      </c>
      <c r="E2126" t="s">
        <v>8823</v>
      </c>
      <c r="F2126" s="1">
        <v>45806</v>
      </c>
      <c r="G2126" t="s">
        <v>45</v>
      </c>
      <c r="H2126" s="24">
        <v>0</v>
      </c>
      <c r="I2126" t="str">
        <f>IF(H2126&lt;=0,"",LOOKUP(H2126,'Regras e Parâmetros'!$B$4:$B$7,'Regras e Parâmetros'!$A$4:$A$7))</f>
        <v/>
      </c>
      <c r="J2126" t="s">
        <v>6747</v>
      </c>
      <c r="L2126" t="s">
        <v>9883</v>
      </c>
    </row>
    <row r="2127" spans="1:12" x14ac:dyDescent="0.3">
      <c r="A2127" t="s">
        <v>357</v>
      </c>
      <c r="B2127" s="5" t="s">
        <v>6643</v>
      </c>
      <c r="C2127" t="s">
        <v>6456</v>
      </c>
      <c r="D2127" t="s">
        <v>358</v>
      </c>
      <c r="E2127" t="s">
        <v>6644</v>
      </c>
      <c r="F2127" s="1">
        <v>44466</v>
      </c>
      <c r="G2127" t="s">
        <v>100</v>
      </c>
      <c r="H2127" s="24">
        <v>1646</v>
      </c>
      <c r="I2127" t="str">
        <f>IF(H2127&lt;=0,"",LOOKUP(H2127,'Regras e Parâmetros'!$B$4:$B$7,'Regras e Parâmetros'!$A$4:$A$7))</f>
        <v>Prata</v>
      </c>
      <c r="J2127" t="s">
        <v>9790</v>
      </c>
    </row>
    <row r="2128" spans="1:12" x14ac:dyDescent="0.3">
      <c r="A2128" t="s">
        <v>4755</v>
      </c>
      <c r="B2128" s="5" t="s">
        <v>9106</v>
      </c>
      <c r="C2128" t="s">
        <v>6456</v>
      </c>
      <c r="D2128" t="s">
        <v>4756</v>
      </c>
      <c r="E2128" t="s">
        <v>9107</v>
      </c>
      <c r="F2128" s="1">
        <v>45943</v>
      </c>
      <c r="G2128" t="s">
        <v>18</v>
      </c>
      <c r="H2128" s="24">
        <v>0</v>
      </c>
      <c r="I2128" t="str">
        <f>IF(H2128&lt;=0,"",LOOKUP(H2128,'Regras e Parâmetros'!$B$4:$B$7,'Regras e Parâmetros'!$A$4:$A$7))</f>
        <v/>
      </c>
      <c r="J2128" t="s">
        <v>9790</v>
      </c>
      <c r="L2128" t="s">
        <v>9883</v>
      </c>
    </row>
    <row r="2129" spans="1:12" x14ac:dyDescent="0.3">
      <c r="A2129" t="s">
        <v>1249</v>
      </c>
      <c r="B2129" s="5" t="s">
        <v>7111</v>
      </c>
      <c r="C2129" t="s">
        <v>6456</v>
      </c>
      <c r="D2129" t="s">
        <v>1251</v>
      </c>
      <c r="E2129" t="s">
        <v>1252</v>
      </c>
      <c r="F2129" s="1">
        <v>44774</v>
      </c>
      <c r="G2129" t="s">
        <v>51</v>
      </c>
      <c r="H2129" s="24">
        <v>2441</v>
      </c>
      <c r="I2129" t="str">
        <f>IF(H2129&lt;=0,"",LOOKUP(H2129,'Regras e Parâmetros'!$B$4:$B$7,'Regras e Parâmetros'!$A$4:$A$7))</f>
        <v>Prata</v>
      </c>
      <c r="J2129" t="s">
        <v>6747</v>
      </c>
    </row>
    <row r="2130" spans="1:12" x14ac:dyDescent="0.3">
      <c r="A2130" t="s">
        <v>2903</v>
      </c>
      <c r="B2130" s="5" t="s">
        <v>8073</v>
      </c>
      <c r="C2130" t="s">
        <v>6456</v>
      </c>
      <c r="D2130" t="s">
        <v>2904</v>
      </c>
      <c r="E2130" t="s">
        <v>2905</v>
      </c>
      <c r="F2130" s="1">
        <v>45360</v>
      </c>
      <c r="G2130" t="s">
        <v>51</v>
      </c>
      <c r="H2130" s="24">
        <v>3400</v>
      </c>
      <c r="I2130" t="str">
        <f>IF(H2130&lt;=0,"",LOOKUP(H2130,'Regras e Parâmetros'!$B$4:$B$7,'Regras e Parâmetros'!$A$4:$A$7))</f>
        <v>Prata</v>
      </c>
      <c r="J2130" t="s">
        <v>9790</v>
      </c>
      <c r="L2130" t="s">
        <v>9793</v>
      </c>
    </row>
    <row r="2131" spans="1:12" x14ac:dyDescent="0.3">
      <c r="A2131" t="s">
        <v>8963</v>
      </c>
      <c r="B2131" s="5" t="s">
        <v>8964</v>
      </c>
      <c r="C2131" t="s">
        <v>6456</v>
      </c>
      <c r="D2131" t="s">
        <v>4530</v>
      </c>
      <c r="E2131" t="s">
        <v>8965</v>
      </c>
      <c r="F2131" s="1">
        <v>45877</v>
      </c>
      <c r="G2131" t="s">
        <v>110</v>
      </c>
      <c r="H2131" s="24">
        <v>0</v>
      </c>
      <c r="I2131" t="str">
        <f>IF(H2131&lt;=0,"",LOOKUP(H2131,'Regras e Parâmetros'!$B$4:$B$7,'Regras e Parâmetros'!$A$4:$A$7))</f>
        <v/>
      </c>
      <c r="J2131" t="s">
        <v>6747</v>
      </c>
      <c r="K2131" t="s">
        <v>44</v>
      </c>
      <c r="L2131" t="s">
        <v>9883</v>
      </c>
    </row>
    <row r="2132" spans="1:12" x14ac:dyDescent="0.3">
      <c r="A2132" t="s">
        <v>5012</v>
      </c>
      <c r="B2132" s="5" t="s">
        <v>9245</v>
      </c>
      <c r="C2132" t="s">
        <v>6456</v>
      </c>
      <c r="D2132" t="s">
        <v>5013</v>
      </c>
      <c r="E2132" t="s">
        <v>5014</v>
      </c>
      <c r="F2132" s="1">
        <v>46015</v>
      </c>
      <c r="G2132" t="s">
        <v>22</v>
      </c>
      <c r="H2132" s="24">
        <v>0</v>
      </c>
      <c r="I2132" t="str">
        <f>IF(H2132&lt;=0,"",LOOKUP(H2132,'Regras e Parâmetros'!$B$4:$B$7,'Regras e Parâmetros'!$A$4:$A$7))</f>
        <v/>
      </c>
      <c r="J2132" t="s">
        <v>6747</v>
      </c>
      <c r="K2132" t="s">
        <v>72</v>
      </c>
      <c r="L2132" t="s">
        <v>9883</v>
      </c>
    </row>
    <row r="2133" spans="1:12" x14ac:dyDescent="0.3">
      <c r="A2133" t="s">
        <v>1725</v>
      </c>
      <c r="B2133" s="5" t="s">
        <v>1726</v>
      </c>
      <c r="C2133" t="s">
        <v>6456</v>
      </c>
      <c r="D2133" t="s">
        <v>1727</v>
      </c>
      <c r="E2133" t="s">
        <v>1728</v>
      </c>
      <c r="F2133" s="1">
        <v>44949</v>
      </c>
      <c r="G2133" t="s">
        <v>18</v>
      </c>
      <c r="H2133" s="24">
        <v>126</v>
      </c>
      <c r="I2133" t="str">
        <f>IF(H2133&lt;=0,"",LOOKUP(H2133,'Regras e Parâmetros'!$B$4:$B$7,'Regras e Parâmetros'!$A$4:$A$7))</f>
        <v>Bronze</v>
      </c>
      <c r="J2133" t="s">
        <v>9790</v>
      </c>
    </row>
    <row r="2134" spans="1:12" x14ac:dyDescent="0.3">
      <c r="A2134" t="s">
        <v>897</v>
      </c>
      <c r="B2134" s="5" t="s">
        <v>898</v>
      </c>
      <c r="C2134" t="s">
        <v>6456</v>
      </c>
      <c r="D2134" t="s">
        <v>899</v>
      </c>
      <c r="E2134" t="s">
        <v>900</v>
      </c>
      <c r="F2134" s="1">
        <v>44666</v>
      </c>
      <c r="G2134" t="s">
        <v>100</v>
      </c>
      <c r="H2134" s="24">
        <v>1800</v>
      </c>
      <c r="I2134" t="str">
        <f>IF(H2134&lt;=0,"",LOOKUP(H2134,'Regras e Parâmetros'!$B$4:$B$7,'Regras e Parâmetros'!$A$4:$A$7))</f>
        <v>Prata</v>
      </c>
      <c r="J2134" t="s">
        <v>6747</v>
      </c>
      <c r="L2134" t="s">
        <v>9795</v>
      </c>
    </row>
    <row r="2135" spans="1:12" x14ac:dyDescent="0.3">
      <c r="A2135" t="s">
        <v>7245</v>
      </c>
      <c r="B2135" s="5" t="s">
        <v>7246</v>
      </c>
      <c r="C2135" t="s">
        <v>6456</v>
      </c>
      <c r="D2135" t="s">
        <v>1414</v>
      </c>
      <c r="E2135" t="s">
        <v>1415</v>
      </c>
      <c r="F2135" s="1">
        <v>44862</v>
      </c>
      <c r="G2135" t="s">
        <v>45</v>
      </c>
      <c r="H2135" s="24">
        <v>467</v>
      </c>
      <c r="I2135" t="str">
        <f>IF(H2135&lt;=0,"",LOOKUP(H2135,'Regras e Parâmetros'!$B$4:$B$7,'Regras e Parâmetros'!$A$4:$A$7))</f>
        <v>Bronze</v>
      </c>
      <c r="J2135" t="s">
        <v>9790</v>
      </c>
      <c r="K2135" t="s">
        <v>10028</v>
      </c>
    </row>
    <row r="2136" spans="1:12" x14ac:dyDescent="0.3">
      <c r="A2136" t="s">
        <v>1384</v>
      </c>
      <c r="B2136" s="5" t="s">
        <v>7229</v>
      </c>
      <c r="C2136" t="s">
        <v>6456</v>
      </c>
      <c r="D2136" t="s">
        <v>1385</v>
      </c>
      <c r="E2136" t="s">
        <v>7230</v>
      </c>
      <c r="F2136" s="1">
        <v>44852</v>
      </c>
      <c r="G2136" t="s">
        <v>51</v>
      </c>
      <c r="H2136" s="24">
        <v>505</v>
      </c>
      <c r="I2136" t="str">
        <f>IF(H2136&lt;=0,"",LOOKUP(H2136,'Regras e Parâmetros'!$B$4:$B$7,'Regras e Parâmetros'!$A$4:$A$7))</f>
        <v>Bronze</v>
      </c>
      <c r="J2136" t="s">
        <v>9790</v>
      </c>
    </row>
    <row r="2137" spans="1:12" x14ac:dyDescent="0.3">
      <c r="A2137" t="s">
        <v>1420</v>
      </c>
      <c r="B2137" s="5" t="s">
        <v>1421</v>
      </c>
      <c r="C2137" t="s">
        <v>6456</v>
      </c>
      <c r="D2137" t="s">
        <v>1422</v>
      </c>
      <c r="E2137" t="s">
        <v>10142</v>
      </c>
      <c r="F2137" s="1">
        <v>44862</v>
      </c>
      <c r="G2137" t="s">
        <v>18</v>
      </c>
      <c r="H2137" s="24">
        <v>576</v>
      </c>
      <c r="I2137" t="str">
        <f>IF(H2137&lt;=0,"",LOOKUP(H2137,'Regras e Parâmetros'!$B$4:$B$7,'Regras e Parâmetros'!$A$4:$A$7))</f>
        <v>Bronze</v>
      </c>
      <c r="J2137" t="s">
        <v>9790</v>
      </c>
      <c r="L2137" t="s">
        <v>10149</v>
      </c>
    </row>
    <row r="2138" spans="1:12" x14ac:dyDescent="0.3">
      <c r="A2138" t="s">
        <v>7692</v>
      </c>
      <c r="B2138" s="5" t="s">
        <v>2197</v>
      </c>
      <c r="C2138" t="s">
        <v>6456</v>
      </c>
      <c r="D2138" t="s">
        <v>2198</v>
      </c>
      <c r="E2138" t="s">
        <v>2199</v>
      </c>
      <c r="F2138" s="1">
        <v>45109</v>
      </c>
      <c r="G2138" t="s">
        <v>51</v>
      </c>
      <c r="H2138" s="24">
        <v>1013</v>
      </c>
      <c r="I2138" t="str">
        <f>IF(H2138&lt;=0,"",LOOKUP(H2138,'Regras e Parâmetros'!$B$4:$B$7,'Regras e Parâmetros'!$A$4:$A$7))</f>
        <v>Bronze</v>
      </c>
      <c r="J2138" t="s">
        <v>9790</v>
      </c>
    </row>
    <row r="2139" spans="1:12" x14ac:dyDescent="0.3">
      <c r="A2139" t="s">
        <v>7692</v>
      </c>
      <c r="B2139" s="5" t="s">
        <v>2712</v>
      </c>
      <c r="C2139" t="s">
        <v>6456</v>
      </c>
      <c r="D2139" t="s">
        <v>2713</v>
      </c>
      <c r="E2139" t="s">
        <v>2714</v>
      </c>
      <c r="F2139" s="1">
        <v>45270</v>
      </c>
      <c r="G2139" t="s">
        <v>100</v>
      </c>
      <c r="H2139" s="24">
        <v>3904</v>
      </c>
      <c r="I2139" t="str">
        <f>IF(H2139&lt;=0,"",LOOKUP(H2139,'Regras e Parâmetros'!$B$4:$B$7,'Regras e Parâmetros'!$A$4:$A$7))</f>
        <v>Prata</v>
      </c>
      <c r="J2139" t="s">
        <v>6747</v>
      </c>
      <c r="L2139" t="s">
        <v>9792</v>
      </c>
    </row>
    <row r="2140" spans="1:12" x14ac:dyDescent="0.3">
      <c r="A2140" t="s">
        <v>9763</v>
      </c>
      <c r="B2140" s="5" t="s">
        <v>9764</v>
      </c>
      <c r="C2140" t="s">
        <v>6456</v>
      </c>
      <c r="D2140" t="s">
        <v>5905</v>
      </c>
      <c r="E2140" t="s">
        <v>9765</v>
      </c>
      <c r="F2140" s="1">
        <v>46268</v>
      </c>
      <c r="G2140" t="s">
        <v>100</v>
      </c>
      <c r="H2140" s="24">
        <v>0</v>
      </c>
      <c r="I2140" t="str">
        <f>IF(H2140&lt;=0,"",LOOKUP(H2140,'Regras e Parâmetros'!$B$4:$B$7,'Regras e Parâmetros'!$A$4:$A$7))</f>
        <v/>
      </c>
      <c r="J2140" t="s">
        <v>6747</v>
      </c>
      <c r="K2140" t="s">
        <v>708</v>
      </c>
      <c r="L2140" t="s">
        <v>9883</v>
      </c>
    </row>
    <row r="2141" spans="1:12" x14ac:dyDescent="0.3">
      <c r="A2141" t="s">
        <v>274</v>
      </c>
      <c r="B2141" s="5" t="s">
        <v>275</v>
      </c>
      <c r="C2141" t="s">
        <v>6456</v>
      </c>
      <c r="D2141" t="s">
        <v>276</v>
      </c>
      <c r="E2141" t="s">
        <v>6592</v>
      </c>
      <c r="F2141" s="1">
        <v>44439</v>
      </c>
      <c r="G2141" t="s">
        <v>110</v>
      </c>
      <c r="H2141" s="24">
        <v>1124</v>
      </c>
      <c r="I2141" t="str">
        <f>IF(H2141&lt;=0,"",LOOKUP(H2141,'Regras e Parâmetros'!$B$4:$B$7,'Regras e Parâmetros'!$A$4:$A$7))</f>
        <v>Bronze</v>
      </c>
      <c r="J2141" t="s">
        <v>6747</v>
      </c>
    </row>
    <row r="2142" spans="1:12" x14ac:dyDescent="0.3">
      <c r="A2142" t="s">
        <v>3967</v>
      </c>
      <c r="B2142" s="5" t="s">
        <v>3968</v>
      </c>
      <c r="C2142" t="s">
        <v>6456</v>
      </c>
      <c r="D2142" t="s">
        <v>3969</v>
      </c>
      <c r="E2142" t="s">
        <v>8642</v>
      </c>
      <c r="F2142" s="1">
        <v>45709</v>
      </c>
      <c r="G2142" t="s">
        <v>110</v>
      </c>
      <c r="H2142" s="24">
        <v>0</v>
      </c>
      <c r="I2142" t="str">
        <f>IF(H2142&lt;=0,"",LOOKUP(H2142,'Regras e Parâmetros'!$B$4:$B$7,'Regras e Parâmetros'!$A$4:$A$7))</f>
        <v/>
      </c>
      <c r="J2142" t="s">
        <v>6747</v>
      </c>
      <c r="L2142" t="s">
        <v>9883</v>
      </c>
    </row>
    <row r="2143" spans="1:12" x14ac:dyDescent="0.3">
      <c r="A2143" t="s">
        <v>6852</v>
      </c>
      <c r="B2143" s="5" t="s">
        <v>6853</v>
      </c>
      <c r="C2143" t="s">
        <v>6456</v>
      </c>
      <c r="D2143" t="s">
        <v>2036</v>
      </c>
      <c r="E2143" t="s">
        <v>2037</v>
      </c>
      <c r="F2143" s="1">
        <v>44597</v>
      </c>
      <c r="G2143" t="s">
        <v>110</v>
      </c>
      <c r="H2143" s="24">
        <v>6795</v>
      </c>
      <c r="I2143" t="str">
        <f>IF(H2143&lt;=0,"",LOOKUP(H2143,'Regras e Parâmetros'!$B$4:$B$7,'Regras e Parâmetros'!$A$4:$A$7))</f>
        <v>Ouro</v>
      </c>
      <c r="J2143" t="s">
        <v>6456</v>
      </c>
      <c r="K2143" t="s">
        <v>9808</v>
      </c>
    </row>
    <row r="2144" spans="1:12" x14ac:dyDescent="0.3">
      <c r="A2144" t="s">
        <v>8593</v>
      </c>
      <c r="B2144" s="5" t="s">
        <v>8594</v>
      </c>
      <c r="C2144" t="s">
        <v>6456</v>
      </c>
      <c r="D2144" t="s">
        <v>3887</v>
      </c>
      <c r="E2144" t="s">
        <v>8595</v>
      </c>
      <c r="F2144" s="1">
        <v>45688</v>
      </c>
      <c r="G2144" t="s">
        <v>51</v>
      </c>
      <c r="H2144" s="24">
        <v>0</v>
      </c>
      <c r="I2144" t="str">
        <f>IF(H2144&lt;=0,"",LOOKUP(H2144,'Regras e Parâmetros'!$B$4:$B$7,'Regras e Parâmetros'!$A$4:$A$7))</f>
        <v/>
      </c>
      <c r="J2144" t="s">
        <v>9790</v>
      </c>
      <c r="L2144" t="s">
        <v>9883</v>
      </c>
    </row>
    <row r="2145" spans="1:12" x14ac:dyDescent="0.3">
      <c r="A2145" t="s">
        <v>8973</v>
      </c>
      <c r="B2145" s="5" t="s">
        <v>8974</v>
      </c>
      <c r="C2145" t="s">
        <v>6456</v>
      </c>
      <c r="E2145" t="s">
        <v>4540</v>
      </c>
      <c r="F2145" s="1">
        <v>45881</v>
      </c>
      <c r="G2145" t="s">
        <v>45</v>
      </c>
      <c r="H2145" s="24">
        <v>0</v>
      </c>
      <c r="I2145" t="str">
        <f>IF(H2145&lt;=0,"",LOOKUP(H2145,'Regras e Parâmetros'!$B$4:$B$7,'Regras e Parâmetros'!$A$4:$A$7))</f>
        <v/>
      </c>
      <c r="J2145" t="s">
        <v>9790</v>
      </c>
      <c r="L2145" t="s">
        <v>9902</v>
      </c>
    </row>
    <row r="2146" spans="1:12" x14ac:dyDescent="0.3">
      <c r="A2146" t="s">
        <v>7854</v>
      </c>
      <c r="B2146" s="5" t="s">
        <v>7855</v>
      </c>
      <c r="C2146" t="s">
        <v>6456</v>
      </c>
      <c r="D2146" t="s">
        <v>2490</v>
      </c>
      <c r="E2146" t="s">
        <v>7856</v>
      </c>
      <c r="F2146" s="1">
        <v>45197</v>
      </c>
      <c r="G2146" t="s">
        <v>22</v>
      </c>
      <c r="H2146" s="24">
        <v>1886</v>
      </c>
      <c r="I2146" t="str">
        <f>IF(H2146&lt;=0,"",LOOKUP(H2146,'Regras e Parâmetros'!$B$4:$B$7,'Regras e Parâmetros'!$A$4:$A$7))</f>
        <v>Prata</v>
      </c>
      <c r="J2146" t="s">
        <v>9790</v>
      </c>
      <c r="K2146" t="s">
        <v>187</v>
      </c>
    </row>
    <row r="2147" spans="1:12" x14ac:dyDescent="0.3">
      <c r="A2147" t="s">
        <v>3449</v>
      </c>
      <c r="B2147" s="5" t="s">
        <v>3450</v>
      </c>
      <c r="C2147" t="s">
        <v>6456</v>
      </c>
      <c r="D2147" t="s">
        <v>3451</v>
      </c>
      <c r="E2147" t="s">
        <v>3452</v>
      </c>
      <c r="F2147" s="1">
        <v>45550</v>
      </c>
      <c r="G2147" t="s">
        <v>51</v>
      </c>
      <c r="H2147" s="24">
        <v>410</v>
      </c>
      <c r="I2147" t="str">
        <f>IF(H2147&lt;=0,"",LOOKUP(H2147,'Regras e Parâmetros'!$B$4:$B$7,'Regras e Parâmetros'!$A$4:$A$7))</f>
        <v>Bronze</v>
      </c>
      <c r="J2147" t="s">
        <v>6456</v>
      </c>
    </row>
    <row r="2148" spans="1:12" x14ac:dyDescent="0.3">
      <c r="A2148" t="s">
        <v>833</v>
      </c>
      <c r="B2148" s="5" t="s">
        <v>6917</v>
      </c>
      <c r="C2148" t="s">
        <v>6456</v>
      </c>
      <c r="D2148" t="s">
        <v>834</v>
      </c>
      <c r="E2148" t="s">
        <v>6918</v>
      </c>
      <c r="F2148" s="1">
        <v>44643</v>
      </c>
      <c r="G2148" t="s">
        <v>51</v>
      </c>
      <c r="H2148" s="24">
        <v>0</v>
      </c>
      <c r="I2148" t="str">
        <f>IF(H2148&lt;=0,"",LOOKUP(H2148,'Regras e Parâmetros'!$B$4:$B$7,'Regras e Parâmetros'!$A$4:$A$7))</f>
        <v/>
      </c>
      <c r="J2148" t="s">
        <v>6747</v>
      </c>
    </row>
    <row r="2149" spans="1:12" x14ac:dyDescent="0.3">
      <c r="A2149" t="s">
        <v>2631</v>
      </c>
      <c r="B2149" s="5" t="s">
        <v>2632</v>
      </c>
      <c r="C2149" t="s">
        <v>6456</v>
      </c>
      <c r="D2149" t="s">
        <v>2633</v>
      </c>
      <c r="E2149" t="s">
        <v>7938</v>
      </c>
      <c r="F2149" s="1">
        <v>45245</v>
      </c>
      <c r="G2149" t="s">
        <v>51</v>
      </c>
      <c r="H2149" s="24">
        <v>1800</v>
      </c>
      <c r="I2149" t="str">
        <f>IF(H2149&lt;=0,"",LOOKUP(H2149,'Regras e Parâmetros'!$B$4:$B$7,'Regras e Parâmetros'!$A$4:$A$7))</f>
        <v>Prata</v>
      </c>
      <c r="J2149" t="s">
        <v>6456</v>
      </c>
      <c r="L2149" t="s">
        <v>9793</v>
      </c>
    </row>
    <row r="2150" spans="1:12" x14ac:dyDescent="0.3">
      <c r="A2150" t="s">
        <v>5706</v>
      </c>
      <c r="B2150" s="5" t="s">
        <v>9645</v>
      </c>
      <c r="C2150" t="s">
        <v>6456</v>
      </c>
      <c r="D2150" t="s">
        <v>5707</v>
      </c>
      <c r="E2150" t="s">
        <v>5708</v>
      </c>
      <c r="F2150" s="1">
        <v>46217</v>
      </c>
      <c r="G2150" t="s">
        <v>18</v>
      </c>
      <c r="H2150" s="24">
        <v>0</v>
      </c>
      <c r="I2150" t="str">
        <f>IF(H2150&lt;=0,"",LOOKUP(H2150,'Regras e Parâmetros'!$B$4:$B$7,'Regras e Parâmetros'!$A$4:$A$7))</f>
        <v/>
      </c>
      <c r="J2150" t="s">
        <v>9790</v>
      </c>
      <c r="L2150" t="s">
        <v>9883</v>
      </c>
    </row>
    <row r="2151" spans="1:12" x14ac:dyDescent="0.3">
      <c r="A2151" t="s">
        <v>1467</v>
      </c>
      <c r="B2151" s="5" t="s">
        <v>7280</v>
      </c>
      <c r="C2151" t="s">
        <v>6456</v>
      </c>
      <c r="D2151" t="s">
        <v>1468</v>
      </c>
      <c r="E2151" t="s">
        <v>1469</v>
      </c>
      <c r="F2151" s="1">
        <v>44876</v>
      </c>
      <c r="G2151" t="s">
        <v>22</v>
      </c>
      <c r="H2151" s="24">
        <v>717</v>
      </c>
      <c r="I2151" t="str">
        <f>IF(H2151&lt;=0,"",LOOKUP(H2151,'Regras e Parâmetros'!$B$4:$B$7,'Regras e Parâmetros'!$A$4:$A$7))</f>
        <v>Bronze</v>
      </c>
      <c r="J2151" t="s">
        <v>6456</v>
      </c>
      <c r="L2151" t="s">
        <v>9792</v>
      </c>
    </row>
    <row r="2152" spans="1:12" x14ac:dyDescent="0.3">
      <c r="A2152" t="s">
        <v>7636</v>
      </c>
      <c r="B2152" s="5" t="s">
        <v>7637</v>
      </c>
      <c r="C2152" t="s">
        <v>6456</v>
      </c>
      <c r="D2152" t="s">
        <v>7638</v>
      </c>
      <c r="E2152" t="s">
        <v>7639</v>
      </c>
      <c r="F2152" s="1">
        <v>45078</v>
      </c>
      <c r="G2152" t="s">
        <v>51</v>
      </c>
      <c r="H2152" s="24">
        <v>1195</v>
      </c>
      <c r="I2152" t="str">
        <f>IF(H2152&lt;=0,"",LOOKUP(H2152,'Regras e Parâmetros'!$B$4:$B$7,'Regras e Parâmetros'!$A$4:$A$7))</f>
        <v>Bronze</v>
      </c>
      <c r="J2152" t="s">
        <v>9790</v>
      </c>
      <c r="K2152" t="s">
        <v>708</v>
      </c>
      <c r="L2152" t="s">
        <v>9791</v>
      </c>
    </row>
    <row r="2153" spans="1:12" x14ac:dyDescent="0.3">
      <c r="A2153" t="s">
        <v>9075</v>
      </c>
      <c r="B2153" s="5" t="s">
        <v>4706</v>
      </c>
      <c r="C2153" t="s">
        <v>6456</v>
      </c>
      <c r="D2153" t="s">
        <v>4707</v>
      </c>
      <c r="E2153" t="s">
        <v>9076</v>
      </c>
      <c r="F2153" s="1">
        <v>45931</v>
      </c>
      <c r="G2153" t="s">
        <v>110</v>
      </c>
      <c r="H2153" s="24">
        <v>0</v>
      </c>
      <c r="I2153" t="str">
        <f>IF(H2153&lt;=0,"",LOOKUP(H2153,'Regras e Parâmetros'!$B$4:$B$7,'Regras e Parâmetros'!$A$4:$A$7))</f>
        <v/>
      </c>
      <c r="J2153" t="s">
        <v>9790</v>
      </c>
      <c r="L2153" t="s">
        <v>9883</v>
      </c>
    </row>
    <row r="2154" spans="1:12" x14ac:dyDescent="0.3">
      <c r="A2154" t="s">
        <v>1253</v>
      </c>
      <c r="B2154" s="5" t="s">
        <v>7021</v>
      </c>
      <c r="C2154" t="s">
        <v>6456</v>
      </c>
      <c r="D2154" t="s">
        <v>1254</v>
      </c>
      <c r="E2154" t="s">
        <v>7022</v>
      </c>
      <c r="F2154" s="1">
        <v>44714</v>
      </c>
      <c r="G2154" t="s">
        <v>110</v>
      </c>
      <c r="H2154" s="24">
        <v>3300</v>
      </c>
      <c r="I2154" t="str">
        <f>IF(H2154&lt;=0,"",LOOKUP(H2154,'Regras e Parâmetros'!$B$4:$B$7,'Regras e Parâmetros'!$A$4:$A$7))</f>
        <v>Prata</v>
      </c>
      <c r="J2154" t="s">
        <v>9790</v>
      </c>
      <c r="L2154" t="s">
        <v>9793</v>
      </c>
    </row>
    <row r="2155" spans="1:12" x14ac:dyDescent="0.3">
      <c r="A2155" t="s">
        <v>2623</v>
      </c>
      <c r="B2155" s="5" t="s">
        <v>7930</v>
      </c>
      <c r="C2155" t="s">
        <v>6456</v>
      </c>
      <c r="D2155" t="s">
        <v>2624</v>
      </c>
      <c r="E2155" t="s">
        <v>7931</v>
      </c>
      <c r="F2155" s="1">
        <v>45244</v>
      </c>
      <c r="G2155" t="s">
        <v>110</v>
      </c>
      <c r="H2155" s="24">
        <v>245</v>
      </c>
      <c r="I2155" t="str">
        <f>IF(H2155&lt;=0,"",LOOKUP(H2155,'Regras e Parâmetros'!$B$4:$B$7,'Regras e Parâmetros'!$A$4:$A$7))</f>
        <v>Bronze</v>
      </c>
      <c r="J2155" t="s">
        <v>6456</v>
      </c>
      <c r="K2155" t="s">
        <v>10028</v>
      </c>
    </row>
    <row r="2156" spans="1:12" x14ac:dyDescent="0.3">
      <c r="A2156" t="s">
        <v>1810</v>
      </c>
      <c r="B2156" s="5" t="s">
        <v>7467</v>
      </c>
      <c r="C2156" t="s">
        <v>6456</v>
      </c>
      <c r="D2156" t="s">
        <v>1811</v>
      </c>
      <c r="E2156" t="s">
        <v>7468</v>
      </c>
      <c r="F2156" s="1">
        <v>44977</v>
      </c>
      <c r="G2156" t="s">
        <v>110</v>
      </c>
      <c r="H2156" s="24">
        <v>3056</v>
      </c>
      <c r="I2156" t="str">
        <f>IF(H2156&lt;=0,"",LOOKUP(H2156,'Regras e Parâmetros'!$B$4:$B$7,'Regras e Parâmetros'!$A$4:$A$7))</f>
        <v>Prata</v>
      </c>
      <c r="J2156" t="s">
        <v>9790</v>
      </c>
    </row>
    <row r="2157" spans="1:12" x14ac:dyDescent="0.3">
      <c r="A2157" t="s">
        <v>3108</v>
      </c>
      <c r="B2157" s="5" t="s">
        <v>3109</v>
      </c>
      <c r="C2157" t="s">
        <v>6456</v>
      </c>
      <c r="D2157" t="s">
        <v>3110</v>
      </c>
      <c r="E2157" t="s">
        <v>8165</v>
      </c>
      <c r="F2157" s="1">
        <v>45429</v>
      </c>
      <c r="G2157" t="s">
        <v>45</v>
      </c>
      <c r="H2157" s="24">
        <v>730</v>
      </c>
      <c r="I2157" t="str">
        <f>IF(H2157&lt;=0,"",LOOKUP(H2157,'Regras e Parâmetros'!$B$4:$B$7,'Regras e Parâmetros'!$A$4:$A$7))</f>
        <v>Bronze</v>
      </c>
      <c r="J2157" t="s">
        <v>9790</v>
      </c>
    </row>
    <row r="2158" spans="1:12" x14ac:dyDescent="0.3">
      <c r="A2158" t="s">
        <v>3068</v>
      </c>
      <c r="B2158" s="5" t="s">
        <v>3069</v>
      </c>
      <c r="C2158" t="s">
        <v>6456</v>
      </c>
      <c r="D2158" t="s">
        <v>1855</v>
      </c>
      <c r="E2158" t="s">
        <v>3070</v>
      </c>
      <c r="F2158" s="1">
        <v>45414</v>
      </c>
      <c r="G2158" t="s">
        <v>51</v>
      </c>
      <c r="H2158" s="24">
        <v>426</v>
      </c>
      <c r="I2158" t="str">
        <f>IF(H2158&lt;=0,"",LOOKUP(H2158,'Regras e Parâmetros'!$B$4:$B$7,'Regras e Parâmetros'!$A$4:$A$7))</f>
        <v>Bronze</v>
      </c>
      <c r="J2158" t="s">
        <v>9790</v>
      </c>
    </row>
    <row r="2159" spans="1:12" x14ac:dyDescent="0.3">
      <c r="A2159" t="s">
        <v>5482</v>
      </c>
      <c r="B2159" s="5" t="s">
        <v>5483</v>
      </c>
      <c r="C2159" t="s">
        <v>6456</v>
      </c>
      <c r="D2159" t="s">
        <v>5484</v>
      </c>
      <c r="E2159" t="s">
        <v>5485</v>
      </c>
      <c r="F2159" s="1">
        <v>46152</v>
      </c>
      <c r="G2159" t="s">
        <v>110</v>
      </c>
      <c r="H2159" s="24">
        <v>0</v>
      </c>
      <c r="I2159" t="str">
        <f>IF(H2159&lt;=0,"",LOOKUP(H2159,'Regras e Parâmetros'!$B$4:$B$7,'Regras e Parâmetros'!$A$4:$A$7))</f>
        <v/>
      </c>
      <c r="J2159" t="s">
        <v>9790</v>
      </c>
      <c r="L2159" t="s">
        <v>9883</v>
      </c>
    </row>
    <row r="2160" spans="1:12" x14ac:dyDescent="0.3">
      <c r="A2160" t="s">
        <v>3538</v>
      </c>
      <c r="B2160" s="5" t="s">
        <v>3539</v>
      </c>
      <c r="C2160" t="s">
        <v>6456</v>
      </c>
      <c r="D2160" t="s">
        <v>3540</v>
      </c>
      <c r="E2160" t="s">
        <v>3541</v>
      </c>
      <c r="F2160" s="1">
        <v>45580</v>
      </c>
      <c r="G2160" t="s">
        <v>51</v>
      </c>
      <c r="H2160" s="24">
        <v>0</v>
      </c>
      <c r="I2160" t="str">
        <f>IF(H2160&lt;=0,"",LOOKUP(H2160,'Regras e Parâmetros'!$B$4:$B$7,'Regras e Parâmetros'!$A$4:$A$7))</f>
        <v/>
      </c>
      <c r="J2160" t="s">
        <v>6747</v>
      </c>
    </row>
    <row r="2161" spans="1:12" x14ac:dyDescent="0.3">
      <c r="A2161" t="s">
        <v>501</v>
      </c>
      <c r="B2161" s="5" t="s">
        <v>6725</v>
      </c>
      <c r="C2161" t="s">
        <v>6456</v>
      </c>
      <c r="D2161" t="s">
        <v>502</v>
      </c>
      <c r="E2161" t="s">
        <v>503</v>
      </c>
      <c r="F2161" s="1">
        <v>44520</v>
      </c>
      <c r="G2161" t="s">
        <v>45</v>
      </c>
      <c r="H2161" s="24">
        <v>1955</v>
      </c>
      <c r="I2161" t="str">
        <f>IF(H2161&lt;=0,"",LOOKUP(H2161,'Regras e Parâmetros'!$B$4:$B$7,'Regras e Parâmetros'!$A$4:$A$7))</f>
        <v>Prata</v>
      </c>
      <c r="J2161" t="s">
        <v>6747</v>
      </c>
      <c r="L2161" t="s">
        <v>9792</v>
      </c>
    </row>
    <row r="2162" spans="1:12" x14ac:dyDescent="0.3">
      <c r="A2162" t="s">
        <v>9373</v>
      </c>
      <c r="B2162" s="5" t="s">
        <v>9374</v>
      </c>
      <c r="C2162" t="s">
        <v>6456</v>
      </c>
      <c r="D2162" t="s">
        <v>5223</v>
      </c>
      <c r="E2162" t="s">
        <v>9375</v>
      </c>
      <c r="F2162" s="1">
        <v>46081</v>
      </c>
      <c r="G2162" t="s">
        <v>51</v>
      </c>
      <c r="H2162" s="24">
        <v>0</v>
      </c>
      <c r="I2162" t="str">
        <f>IF(H2162&lt;=0,"",LOOKUP(H2162,'Regras e Parâmetros'!$B$4:$B$7,'Regras e Parâmetros'!$A$4:$A$7))</f>
        <v/>
      </c>
      <c r="J2162" t="s">
        <v>9790</v>
      </c>
      <c r="L2162" t="s">
        <v>9883</v>
      </c>
    </row>
    <row r="2163" spans="1:12" x14ac:dyDescent="0.3">
      <c r="A2163" t="s">
        <v>2338</v>
      </c>
      <c r="B2163" s="5" t="s">
        <v>7774</v>
      </c>
      <c r="C2163" t="s">
        <v>6456</v>
      </c>
      <c r="D2163" t="s">
        <v>2339</v>
      </c>
      <c r="E2163" t="s">
        <v>7775</v>
      </c>
      <c r="F2163" s="1">
        <v>45148</v>
      </c>
      <c r="G2163" t="s">
        <v>45</v>
      </c>
      <c r="H2163" s="24">
        <v>1834</v>
      </c>
      <c r="I2163" t="str">
        <f>IF(H2163&lt;=0,"",LOOKUP(H2163,'Regras e Parâmetros'!$B$4:$B$7,'Regras e Parâmetros'!$A$4:$A$7))</f>
        <v>Prata</v>
      </c>
      <c r="J2163" t="s">
        <v>6456</v>
      </c>
    </row>
    <row r="2164" spans="1:12" x14ac:dyDescent="0.3">
      <c r="A2164" t="s">
        <v>3680</v>
      </c>
      <c r="B2164" s="5" t="s">
        <v>8424</v>
      </c>
      <c r="C2164" t="s">
        <v>6456</v>
      </c>
      <c r="D2164" t="s">
        <v>3681</v>
      </c>
      <c r="E2164" t="s">
        <v>8425</v>
      </c>
      <c r="F2164" s="1">
        <v>45597</v>
      </c>
      <c r="G2164" t="s">
        <v>22</v>
      </c>
      <c r="H2164" s="24">
        <v>269</v>
      </c>
      <c r="I2164" t="str">
        <f>IF(H2164&lt;=0,"",LOOKUP(H2164,'Regras e Parâmetros'!$B$4:$B$7,'Regras e Parâmetros'!$A$4:$A$7))</f>
        <v>Bronze</v>
      </c>
      <c r="J2164" t="s">
        <v>6456</v>
      </c>
      <c r="L2164" t="s">
        <v>9791</v>
      </c>
    </row>
    <row r="2165" spans="1:12" x14ac:dyDescent="0.3">
      <c r="A2165" t="s">
        <v>6458</v>
      </c>
      <c r="B2165" s="5" t="s">
        <v>58</v>
      </c>
      <c r="C2165" t="s">
        <v>6456</v>
      </c>
      <c r="D2165" t="s">
        <v>59</v>
      </c>
      <c r="E2165" t="s">
        <v>60</v>
      </c>
      <c r="F2165" s="1">
        <v>44348</v>
      </c>
      <c r="G2165" t="s">
        <v>45</v>
      </c>
      <c r="H2165" s="24">
        <v>878</v>
      </c>
      <c r="I2165" t="str">
        <f>IF(H2165&lt;=0,"",LOOKUP(H2165,'Regras e Parâmetros'!$B$4:$B$7,'Regras e Parâmetros'!$A$4:$A$7))</f>
        <v>Bronze</v>
      </c>
      <c r="J2165" t="s">
        <v>6747</v>
      </c>
      <c r="L2165" t="s">
        <v>9789</v>
      </c>
    </row>
    <row r="2166" spans="1:12" x14ac:dyDescent="0.3">
      <c r="A2166" t="s">
        <v>2088</v>
      </c>
      <c r="B2166" s="5" t="s">
        <v>2089</v>
      </c>
      <c r="C2166" t="s">
        <v>6747</v>
      </c>
      <c r="D2166" t="s">
        <v>2090</v>
      </c>
      <c r="E2166" t="s">
        <v>7620</v>
      </c>
      <c r="F2166" s="1">
        <v>45075</v>
      </c>
      <c r="G2166" t="s">
        <v>51</v>
      </c>
      <c r="H2166" s="24">
        <v>1084</v>
      </c>
      <c r="I2166" t="str">
        <f>IF(H2166&lt;=0,"",LOOKUP(H2166,'Regras e Parâmetros'!$B$4:$B$7,'Regras e Parâmetros'!$A$4:$A$7))</f>
        <v>Bronze</v>
      </c>
      <c r="J2166" t="s">
        <v>6456</v>
      </c>
      <c r="L2166" t="s">
        <v>10240</v>
      </c>
    </row>
    <row r="2167" spans="1:12" x14ac:dyDescent="0.3">
      <c r="A2167" t="s">
        <v>4622</v>
      </c>
      <c r="B2167" s="5" t="s">
        <v>9020</v>
      </c>
      <c r="C2167" t="s">
        <v>6456</v>
      </c>
      <c r="D2167" t="s">
        <v>4623</v>
      </c>
      <c r="E2167" t="s">
        <v>4624</v>
      </c>
      <c r="F2167" s="1">
        <v>45903</v>
      </c>
      <c r="G2167" t="s">
        <v>110</v>
      </c>
      <c r="H2167" s="24">
        <v>0</v>
      </c>
      <c r="I2167" t="str">
        <f>IF(H2167&lt;=0,"",LOOKUP(H2167,'Regras e Parâmetros'!$B$4:$B$7,'Regras e Parâmetros'!$A$4:$A$7))</f>
        <v/>
      </c>
      <c r="J2167" t="s">
        <v>9790</v>
      </c>
      <c r="L2167" t="s">
        <v>9883</v>
      </c>
    </row>
    <row r="2168" spans="1:12" x14ac:dyDescent="0.3">
      <c r="A2168" t="s">
        <v>4718</v>
      </c>
      <c r="B2168" s="5" t="s">
        <v>4719</v>
      </c>
      <c r="C2168" t="s">
        <v>6456</v>
      </c>
      <c r="D2168" t="s">
        <v>4720</v>
      </c>
      <c r="E2168" t="s">
        <v>9094</v>
      </c>
      <c r="F2168" s="1">
        <v>45933</v>
      </c>
      <c r="G2168" t="s">
        <v>18</v>
      </c>
      <c r="H2168" s="24">
        <v>0</v>
      </c>
      <c r="I2168" t="str">
        <f>IF(H2168&lt;=0,"",LOOKUP(H2168,'Regras e Parâmetros'!$B$4:$B$7,'Regras e Parâmetros'!$A$4:$A$7))</f>
        <v/>
      </c>
      <c r="J2168" t="s">
        <v>9790</v>
      </c>
      <c r="L2168" t="s">
        <v>9883</v>
      </c>
    </row>
    <row r="2169" spans="1:12" x14ac:dyDescent="0.3">
      <c r="A2169" t="s">
        <v>6937</v>
      </c>
      <c r="B2169" s="5" t="s">
        <v>6938</v>
      </c>
      <c r="C2169" t="s">
        <v>6456</v>
      </c>
      <c r="D2169" t="s">
        <v>861</v>
      </c>
      <c r="E2169" t="s">
        <v>6939</v>
      </c>
      <c r="F2169" s="1">
        <v>44650</v>
      </c>
      <c r="G2169" t="s">
        <v>110</v>
      </c>
      <c r="H2169" s="24">
        <v>2980</v>
      </c>
      <c r="I2169" t="str">
        <f>IF(H2169&lt;=0,"",LOOKUP(H2169,'Regras e Parâmetros'!$B$4:$B$7,'Regras e Parâmetros'!$A$4:$A$7))</f>
        <v>Prata</v>
      </c>
      <c r="J2169" t="s">
        <v>6456</v>
      </c>
    </row>
    <row r="2170" spans="1:12" x14ac:dyDescent="0.3">
      <c r="A2170" t="s">
        <v>4364</v>
      </c>
      <c r="B2170" s="5" t="s">
        <v>8828</v>
      </c>
      <c r="C2170" t="s">
        <v>6456</v>
      </c>
      <c r="D2170" t="s">
        <v>8829</v>
      </c>
      <c r="E2170" t="s">
        <v>8830</v>
      </c>
      <c r="F2170" s="1">
        <v>45809</v>
      </c>
      <c r="G2170" t="s">
        <v>45</v>
      </c>
      <c r="H2170" s="24">
        <v>0</v>
      </c>
      <c r="I2170" t="str">
        <f>IF(H2170&lt;=0,"",LOOKUP(H2170,'Regras e Parâmetros'!$B$4:$B$7,'Regras e Parâmetros'!$A$4:$A$7))</f>
        <v/>
      </c>
      <c r="J2170" t="s">
        <v>6747</v>
      </c>
      <c r="L2170" t="s">
        <v>9884</v>
      </c>
    </row>
    <row r="2171" spans="1:12" x14ac:dyDescent="0.3">
      <c r="A2171" t="s">
        <v>3897</v>
      </c>
      <c r="B2171" s="5" t="s">
        <v>8608</v>
      </c>
      <c r="C2171" t="s">
        <v>6456</v>
      </c>
      <c r="D2171" t="s">
        <v>3898</v>
      </c>
      <c r="E2171" t="s">
        <v>10143</v>
      </c>
      <c r="F2171" s="1">
        <v>45691</v>
      </c>
      <c r="G2171" t="s">
        <v>22</v>
      </c>
      <c r="H2171" s="24">
        <v>0</v>
      </c>
      <c r="I2171" t="str">
        <f>IF(H2171&lt;=0,"",LOOKUP(H2171,'Regras e Parâmetros'!$B$4:$B$7,'Regras e Parâmetros'!$A$4:$A$7))</f>
        <v/>
      </c>
      <c r="J2171" t="s">
        <v>9790</v>
      </c>
      <c r="L2171" t="s">
        <v>9883</v>
      </c>
    </row>
    <row r="2172" spans="1:12" x14ac:dyDescent="0.3">
      <c r="A2172" t="s">
        <v>7236</v>
      </c>
      <c r="B2172" s="5" t="s">
        <v>7237</v>
      </c>
      <c r="C2172" t="s">
        <v>6456</v>
      </c>
      <c r="D2172" t="s">
        <v>1394</v>
      </c>
      <c r="E2172" t="s">
        <v>1395</v>
      </c>
      <c r="F2172" s="1">
        <v>44853</v>
      </c>
      <c r="G2172" t="s">
        <v>110</v>
      </c>
      <c r="H2172" s="24">
        <v>0</v>
      </c>
      <c r="I2172" t="str">
        <f>IF(H2172&lt;=0,"",LOOKUP(H2172,'Regras e Parâmetros'!$B$4:$B$7,'Regras e Parâmetros'!$A$4:$A$7))</f>
        <v/>
      </c>
      <c r="J2172" t="s">
        <v>6747</v>
      </c>
      <c r="K2172" t="s">
        <v>187</v>
      </c>
    </row>
    <row r="2173" spans="1:12" x14ac:dyDescent="0.3">
      <c r="A2173" t="s">
        <v>2589</v>
      </c>
      <c r="B2173" s="5" t="s">
        <v>7912</v>
      </c>
      <c r="C2173" t="s">
        <v>6456</v>
      </c>
      <c r="D2173" t="s">
        <v>2590</v>
      </c>
      <c r="E2173" t="s">
        <v>7913</v>
      </c>
      <c r="F2173" s="1">
        <v>45232</v>
      </c>
      <c r="G2173" t="s">
        <v>18</v>
      </c>
      <c r="H2173" s="24">
        <v>0</v>
      </c>
      <c r="I2173" t="str">
        <f>IF(H2173&lt;=0,"",LOOKUP(H2173,'Regras e Parâmetros'!$B$4:$B$7,'Regras e Parâmetros'!$A$4:$A$7))</f>
        <v/>
      </c>
      <c r="J2173" t="s">
        <v>6747</v>
      </c>
    </row>
    <row r="2174" spans="1:12" x14ac:dyDescent="0.3">
      <c r="A2174" t="s">
        <v>2589</v>
      </c>
      <c r="B2174" s="5" t="s">
        <v>4475</v>
      </c>
      <c r="C2174" t="s">
        <v>6456</v>
      </c>
      <c r="D2174" t="s">
        <v>4476</v>
      </c>
      <c r="E2174" t="s">
        <v>4477</v>
      </c>
      <c r="F2174" s="1">
        <v>45859</v>
      </c>
      <c r="G2174" t="s">
        <v>110</v>
      </c>
      <c r="H2174" s="24">
        <v>0</v>
      </c>
      <c r="I2174" t="str">
        <f>IF(H2174&lt;=0,"",LOOKUP(H2174,'Regras e Parâmetros'!$B$4:$B$7,'Regras e Parâmetros'!$A$4:$A$7))</f>
        <v/>
      </c>
      <c r="J2174" t="s">
        <v>9790</v>
      </c>
      <c r="L2174" t="s">
        <v>9883</v>
      </c>
    </row>
    <row r="2175" spans="1:12" x14ac:dyDescent="0.3">
      <c r="A2175" t="s">
        <v>3983</v>
      </c>
      <c r="B2175" s="5" t="s">
        <v>3984</v>
      </c>
      <c r="C2175" t="s">
        <v>6456</v>
      </c>
      <c r="D2175" t="s">
        <v>3985</v>
      </c>
      <c r="E2175" t="s">
        <v>3986</v>
      </c>
      <c r="F2175" s="1">
        <v>45715</v>
      </c>
      <c r="G2175" t="s">
        <v>18</v>
      </c>
      <c r="H2175" s="24">
        <v>0</v>
      </c>
      <c r="I2175" t="str">
        <f>IF(H2175&lt;=0,"",LOOKUP(H2175,'Regras e Parâmetros'!$B$4:$B$7,'Regras e Parâmetros'!$A$4:$A$7))</f>
        <v/>
      </c>
      <c r="J2175" t="s">
        <v>6747</v>
      </c>
      <c r="L2175" t="s">
        <v>9886</v>
      </c>
    </row>
    <row r="2176" spans="1:12" x14ac:dyDescent="0.3">
      <c r="A2176" t="s">
        <v>5008</v>
      </c>
      <c r="B2176" s="5" t="s">
        <v>8386</v>
      </c>
      <c r="C2176" t="s">
        <v>6456</v>
      </c>
      <c r="D2176" t="s">
        <v>5009</v>
      </c>
      <c r="E2176" t="s">
        <v>3564</v>
      </c>
      <c r="F2176" s="1">
        <v>45584</v>
      </c>
      <c r="G2176" t="s">
        <v>45</v>
      </c>
      <c r="H2176" s="24">
        <v>0</v>
      </c>
      <c r="I2176" t="str">
        <f>IF(H2176&lt;=0,"",LOOKUP(H2176,'Regras e Parâmetros'!$B$4:$B$7,'Regras e Parâmetros'!$A$4:$A$7))</f>
        <v/>
      </c>
      <c r="J2176" t="s">
        <v>6456</v>
      </c>
      <c r="K2176" t="s">
        <v>9873</v>
      </c>
    </row>
    <row r="2177" spans="1:12" x14ac:dyDescent="0.3">
      <c r="A2177" t="s">
        <v>5008</v>
      </c>
      <c r="B2177" s="5" t="s">
        <v>3913</v>
      </c>
      <c r="C2177" t="s">
        <v>6456</v>
      </c>
      <c r="D2177" t="s">
        <v>4876</v>
      </c>
      <c r="E2177" t="s">
        <v>4877</v>
      </c>
      <c r="F2177" s="1">
        <v>45695</v>
      </c>
      <c r="G2177" t="s">
        <v>100</v>
      </c>
      <c r="H2177" s="24">
        <v>0</v>
      </c>
      <c r="I2177" t="str">
        <f>IF(H2177&lt;=0,"",LOOKUP(H2177,'Regras e Parâmetros'!$B$4:$B$7,'Regras e Parâmetros'!$A$4:$A$7))</f>
        <v/>
      </c>
      <c r="J2177" t="s">
        <v>6456</v>
      </c>
      <c r="K2177" t="s">
        <v>9888</v>
      </c>
      <c r="L2177" t="s">
        <v>9883</v>
      </c>
    </row>
    <row r="2178" spans="1:12" x14ac:dyDescent="0.3">
      <c r="A2178" t="s">
        <v>4888</v>
      </c>
      <c r="B2178" s="5" t="s">
        <v>9179</v>
      </c>
      <c r="C2178" t="s">
        <v>6456</v>
      </c>
      <c r="D2178" t="s">
        <v>4889</v>
      </c>
      <c r="E2178" t="s">
        <v>9180</v>
      </c>
      <c r="F2178" s="1">
        <v>45979</v>
      </c>
      <c r="G2178" t="s">
        <v>110</v>
      </c>
      <c r="H2178" s="24">
        <v>0</v>
      </c>
      <c r="I2178" t="str">
        <f>IF(H2178&lt;=0,"",LOOKUP(H2178,'Regras e Parâmetros'!$B$4:$B$7,'Regras e Parâmetros'!$A$4:$A$7))</f>
        <v/>
      </c>
      <c r="J2178" t="s">
        <v>9790</v>
      </c>
      <c r="L2178" t="s">
        <v>9883</v>
      </c>
    </row>
    <row r="2179" spans="1:12" x14ac:dyDescent="0.3">
      <c r="A2179" t="s">
        <v>7061</v>
      </c>
      <c r="B2179" s="5" t="s">
        <v>1255</v>
      </c>
      <c r="C2179" t="s">
        <v>6456</v>
      </c>
      <c r="D2179" t="s">
        <v>1256</v>
      </c>
      <c r="E2179" t="s">
        <v>1257</v>
      </c>
      <c r="F2179" s="1">
        <v>44741</v>
      </c>
      <c r="G2179" t="s">
        <v>110</v>
      </c>
      <c r="H2179" s="24">
        <v>5841</v>
      </c>
      <c r="I2179" t="str">
        <f>IF(H2179&lt;=0,"",LOOKUP(H2179,'Regras e Parâmetros'!$B$4:$B$7,'Regras e Parâmetros'!$A$4:$A$7))</f>
        <v>Ouro</v>
      </c>
      <c r="J2179" t="s">
        <v>9790</v>
      </c>
      <c r="L2179" t="s">
        <v>9792</v>
      </c>
    </row>
    <row r="2180" spans="1:12" x14ac:dyDescent="0.3">
      <c r="A2180" t="s">
        <v>2346</v>
      </c>
      <c r="B2180" s="5" t="s">
        <v>2347</v>
      </c>
      <c r="C2180" t="s">
        <v>6456</v>
      </c>
      <c r="D2180" t="s">
        <v>2348</v>
      </c>
      <c r="E2180" t="s">
        <v>7777</v>
      </c>
      <c r="F2180" s="1">
        <v>45150</v>
      </c>
      <c r="G2180" t="s">
        <v>110</v>
      </c>
      <c r="H2180" s="24">
        <v>407</v>
      </c>
      <c r="I2180" t="str">
        <f>IF(H2180&lt;=0,"",LOOKUP(H2180,'Regras e Parâmetros'!$B$4:$B$7,'Regras e Parâmetros'!$A$4:$A$7))</f>
        <v>Bronze</v>
      </c>
      <c r="J2180" t="s">
        <v>9790</v>
      </c>
    </row>
    <row r="2181" spans="1:12" x14ac:dyDescent="0.3">
      <c r="A2181" t="s">
        <v>8572</v>
      </c>
      <c r="B2181" s="5" t="s">
        <v>8573</v>
      </c>
      <c r="C2181" t="s">
        <v>6456</v>
      </c>
      <c r="D2181" t="s">
        <v>3852</v>
      </c>
      <c r="E2181" t="s">
        <v>8574</v>
      </c>
      <c r="F2181" s="1">
        <v>45681</v>
      </c>
      <c r="G2181" t="s">
        <v>51</v>
      </c>
      <c r="H2181" s="24">
        <v>0</v>
      </c>
      <c r="I2181" t="str">
        <f>IF(H2181&lt;=0,"",LOOKUP(H2181,'Regras e Parâmetros'!$B$4:$B$7,'Regras e Parâmetros'!$A$4:$A$7))</f>
        <v/>
      </c>
      <c r="J2181" t="s">
        <v>6747</v>
      </c>
      <c r="L2181" t="s">
        <v>9883</v>
      </c>
    </row>
    <row r="2182" spans="1:12" x14ac:dyDescent="0.3">
      <c r="A2182" t="s">
        <v>5548</v>
      </c>
      <c r="B2182" s="5" t="s">
        <v>5549</v>
      </c>
      <c r="C2182" t="s">
        <v>6456</v>
      </c>
      <c r="D2182" t="s">
        <v>5550</v>
      </c>
      <c r="E2182" t="s">
        <v>9546</v>
      </c>
      <c r="F2182" s="1">
        <v>46169</v>
      </c>
      <c r="G2182" t="s">
        <v>51</v>
      </c>
      <c r="H2182" s="24">
        <v>0</v>
      </c>
      <c r="I2182" t="str">
        <f>IF(H2182&lt;=0,"",LOOKUP(H2182,'Regras e Parâmetros'!$B$4:$B$7,'Regras e Parâmetros'!$A$4:$A$7))</f>
        <v/>
      </c>
      <c r="J2182" t="s">
        <v>6747</v>
      </c>
      <c r="K2182" t="s">
        <v>33</v>
      </c>
      <c r="L2182" t="s">
        <v>9883</v>
      </c>
    </row>
    <row r="2183" spans="1:12" x14ac:dyDescent="0.3">
      <c r="A2183" t="s">
        <v>1499</v>
      </c>
      <c r="B2183" s="5" t="s">
        <v>7290</v>
      </c>
      <c r="C2183" t="s">
        <v>6456</v>
      </c>
      <c r="D2183" t="s">
        <v>1500</v>
      </c>
      <c r="E2183" t="s">
        <v>7291</v>
      </c>
      <c r="F2183" s="1">
        <v>44881</v>
      </c>
      <c r="G2183" t="s">
        <v>18</v>
      </c>
      <c r="H2183" s="24">
        <v>15000</v>
      </c>
      <c r="I2183" t="str">
        <f>IF(H2183&lt;=0,"",LOOKUP(H2183,'Regras e Parâmetros'!$B$4:$B$7,'Regras e Parâmetros'!$A$4:$A$7))</f>
        <v>Vip</v>
      </c>
      <c r="J2183" t="s">
        <v>9790</v>
      </c>
      <c r="K2183" t="s">
        <v>10028</v>
      </c>
    </row>
    <row r="2184" spans="1:12" x14ac:dyDescent="0.3">
      <c r="A2184" t="s">
        <v>495</v>
      </c>
      <c r="B2184" s="5" t="s">
        <v>6723</v>
      </c>
      <c r="C2184" t="s">
        <v>6456</v>
      </c>
      <c r="D2184" t="s">
        <v>496</v>
      </c>
      <c r="E2184" t="s">
        <v>6724</v>
      </c>
      <c r="F2184" s="1">
        <v>44517</v>
      </c>
      <c r="G2184" t="s">
        <v>45</v>
      </c>
      <c r="H2184" s="24">
        <v>4452</v>
      </c>
      <c r="I2184" t="str">
        <f>IF(H2184&lt;=0,"",LOOKUP(H2184,'Regras e Parâmetros'!$B$4:$B$7,'Regras e Parâmetros'!$A$4:$A$7))</f>
        <v>Prata</v>
      </c>
      <c r="J2184" t="s">
        <v>6747</v>
      </c>
    </row>
    <row r="2185" spans="1:12" x14ac:dyDescent="0.3">
      <c r="A2185" t="s">
        <v>171</v>
      </c>
      <c r="B2185" s="5" t="s">
        <v>6088</v>
      </c>
      <c r="C2185" t="s">
        <v>6456</v>
      </c>
      <c r="D2185" t="s">
        <v>172</v>
      </c>
      <c r="E2185" t="s">
        <v>173</v>
      </c>
      <c r="F2185" s="1">
        <v>44401</v>
      </c>
      <c r="G2185" t="s">
        <v>110</v>
      </c>
      <c r="H2185" s="24">
        <v>465</v>
      </c>
      <c r="I2185" t="str">
        <f>IF(H2185&lt;=0,"",LOOKUP(H2185,'Regras e Parâmetros'!$B$4:$B$7,'Regras e Parâmetros'!$A$4:$A$7))</f>
        <v>Bronze</v>
      </c>
      <c r="J2185" t="s">
        <v>6456</v>
      </c>
    </row>
    <row r="2186" spans="1:12" x14ac:dyDescent="0.3">
      <c r="A2186" t="s">
        <v>8880</v>
      </c>
      <c r="B2186" s="5" t="s">
        <v>4401</v>
      </c>
      <c r="C2186" t="s">
        <v>6456</v>
      </c>
      <c r="D2186" t="s">
        <v>4402</v>
      </c>
      <c r="E2186" t="s">
        <v>4403</v>
      </c>
      <c r="F2186" s="1">
        <v>45837</v>
      </c>
      <c r="G2186" t="s">
        <v>18</v>
      </c>
      <c r="H2186" s="24">
        <v>0</v>
      </c>
      <c r="I2186" t="str">
        <f>IF(H2186&lt;=0,"",LOOKUP(H2186,'Regras e Parâmetros'!$B$4:$B$7,'Regras e Parâmetros'!$A$4:$A$7))</f>
        <v/>
      </c>
      <c r="J2186" t="s">
        <v>9790</v>
      </c>
      <c r="L2186" t="s">
        <v>9886</v>
      </c>
    </row>
    <row r="2187" spans="1:12" x14ac:dyDescent="0.3">
      <c r="A2187" t="s">
        <v>5023</v>
      </c>
      <c r="B2187" s="5" t="s">
        <v>9254</v>
      </c>
      <c r="C2187" t="s">
        <v>6456</v>
      </c>
      <c r="D2187" t="s">
        <v>5024</v>
      </c>
      <c r="E2187" t="s">
        <v>5025</v>
      </c>
      <c r="F2187" s="1">
        <v>46018</v>
      </c>
      <c r="G2187" t="s">
        <v>22</v>
      </c>
      <c r="H2187" s="24">
        <v>0</v>
      </c>
      <c r="I2187" t="str">
        <f>IF(H2187&lt;=0,"",LOOKUP(H2187,'Regras e Parâmetros'!$B$4:$B$7,'Regras e Parâmetros'!$A$4:$A$7))</f>
        <v/>
      </c>
      <c r="J2187" t="s">
        <v>6456</v>
      </c>
      <c r="K2187" t="s">
        <v>44</v>
      </c>
      <c r="L2187" t="s">
        <v>9883</v>
      </c>
    </row>
    <row r="2188" spans="1:12" x14ac:dyDescent="0.3">
      <c r="A2188" t="s">
        <v>1888</v>
      </c>
      <c r="B2188" s="5" t="s">
        <v>7490</v>
      </c>
      <c r="C2188" t="s">
        <v>6456</v>
      </c>
      <c r="D2188" t="s">
        <v>1889</v>
      </c>
      <c r="E2188" t="s">
        <v>7491</v>
      </c>
      <c r="F2188" s="1">
        <v>44986</v>
      </c>
      <c r="G2188" t="s">
        <v>110</v>
      </c>
      <c r="H2188" s="24">
        <v>5800</v>
      </c>
      <c r="I2188" t="str">
        <f>IF(H2188&lt;=0,"",LOOKUP(H2188,'Regras e Parâmetros'!$B$4:$B$7,'Regras e Parâmetros'!$A$4:$A$7))</f>
        <v>Ouro</v>
      </c>
      <c r="J2188" t="s">
        <v>9790</v>
      </c>
      <c r="L2188" t="s">
        <v>9812</v>
      </c>
    </row>
    <row r="2189" spans="1:12" x14ac:dyDescent="0.3">
      <c r="A2189" t="s">
        <v>3397</v>
      </c>
      <c r="B2189" s="5" t="s">
        <v>8316</v>
      </c>
      <c r="C2189" t="s">
        <v>6456</v>
      </c>
      <c r="D2189" t="s">
        <v>3398</v>
      </c>
      <c r="E2189" t="s">
        <v>3399</v>
      </c>
      <c r="F2189" s="1">
        <v>45531</v>
      </c>
      <c r="G2189" t="s">
        <v>110</v>
      </c>
      <c r="H2189" s="24">
        <v>474</v>
      </c>
      <c r="I2189" t="str">
        <f>IF(H2189&lt;=0,"",LOOKUP(H2189,'Regras e Parâmetros'!$B$4:$B$7,'Regras e Parâmetros'!$A$4:$A$7))</f>
        <v>Bronze</v>
      </c>
      <c r="J2189" t="s">
        <v>9790</v>
      </c>
      <c r="L2189" t="s">
        <v>9792</v>
      </c>
    </row>
    <row r="2190" spans="1:12" x14ac:dyDescent="0.3">
      <c r="A2190" t="s">
        <v>8198</v>
      </c>
      <c r="B2190" s="5" t="s">
        <v>3170</v>
      </c>
      <c r="C2190" t="s">
        <v>6456</v>
      </c>
      <c r="D2190" t="s">
        <v>8199</v>
      </c>
      <c r="E2190" t="s">
        <v>3171</v>
      </c>
      <c r="F2190" s="1">
        <v>45457</v>
      </c>
      <c r="G2190" t="s">
        <v>18</v>
      </c>
      <c r="H2190" s="24">
        <v>1162</v>
      </c>
      <c r="I2190" t="str">
        <f>IF(H2190&lt;=0,"",LOOKUP(H2190,'Regras e Parâmetros'!$B$4:$B$7,'Regras e Parâmetros'!$A$4:$A$7))</f>
        <v>Bronze</v>
      </c>
      <c r="J2190" t="s">
        <v>9790</v>
      </c>
    </row>
    <row r="2191" spans="1:12" x14ac:dyDescent="0.3">
      <c r="A2191" t="s">
        <v>3243</v>
      </c>
      <c r="B2191" s="5" t="s">
        <v>8234</v>
      </c>
      <c r="C2191" t="s">
        <v>6456</v>
      </c>
      <c r="D2191" t="s">
        <v>4035</v>
      </c>
      <c r="E2191" t="s">
        <v>8235</v>
      </c>
      <c r="F2191" s="1">
        <v>45479</v>
      </c>
      <c r="G2191" t="s">
        <v>45</v>
      </c>
      <c r="H2191" s="24">
        <v>1500</v>
      </c>
      <c r="I2191" t="str">
        <f>IF(H2191&lt;=0,"",LOOKUP(H2191,'Regras e Parâmetros'!$B$4:$B$7,'Regras e Parâmetros'!$A$4:$A$7))</f>
        <v>Bronze</v>
      </c>
      <c r="J2191" t="s">
        <v>6456</v>
      </c>
      <c r="K2191" t="s">
        <v>9866</v>
      </c>
      <c r="L2191" t="s">
        <v>9867</v>
      </c>
    </row>
    <row r="2192" spans="1:12" x14ac:dyDescent="0.3">
      <c r="A2192" t="s">
        <v>8670</v>
      </c>
      <c r="B2192" s="5" t="s">
        <v>8671</v>
      </c>
      <c r="C2192" t="s">
        <v>6456</v>
      </c>
      <c r="D2192" t="s">
        <v>4021</v>
      </c>
      <c r="E2192" t="s">
        <v>4022</v>
      </c>
      <c r="F2192" s="1">
        <v>45724</v>
      </c>
      <c r="G2192" t="s">
        <v>51</v>
      </c>
      <c r="H2192" s="24">
        <v>0</v>
      </c>
      <c r="I2192" t="str">
        <f>IF(H2192&lt;=0,"",LOOKUP(H2192,'Regras e Parâmetros'!$B$4:$B$7,'Regras e Parâmetros'!$A$4:$A$7))</f>
        <v/>
      </c>
      <c r="J2192" t="s">
        <v>6456</v>
      </c>
      <c r="L2192" t="s">
        <v>9883</v>
      </c>
    </row>
    <row r="2193" spans="1:12" x14ac:dyDescent="0.3">
      <c r="A2193" t="s">
        <v>540</v>
      </c>
      <c r="B2193" s="5" t="s">
        <v>6743</v>
      </c>
      <c r="C2193" t="s">
        <v>6456</v>
      </c>
      <c r="D2193" t="s">
        <v>541</v>
      </c>
      <c r="E2193" t="s">
        <v>542</v>
      </c>
      <c r="F2193" s="1">
        <v>44533</v>
      </c>
      <c r="G2193" t="s">
        <v>51</v>
      </c>
      <c r="H2193" s="24">
        <v>0</v>
      </c>
      <c r="I2193" t="str">
        <f>IF(H2193&lt;=0,"",LOOKUP(H2193,'Regras e Parâmetros'!$B$4:$B$7,'Regras e Parâmetros'!$A$4:$A$7))</f>
        <v/>
      </c>
      <c r="J2193" t="s">
        <v>9790</v>
      </c>
    </row>
    <row r="2194" spans="1:12" x14ac:dyDescent="0.3">
      <c r="A2194" t="s">
        <v>1258</v>
      </c>
      <c r="B2194" s="5" t="s">
        <v>1259</v>
      </c>
      <c r="C2194" t="s">
        <v>6456</v>
      </c>
      <c r="D2194" t="s">
        <v>1260</v>
      </c>
      <c r="E2194" t="s">
        <v>1261</v>
      </c>
      <c r="F2194" s="1">
        <v>44747</v>
      </c>
      <c r="G2194" t="s">
        <v>18</v>
      </c>
      <c r="H2194" s="24">
        <v>2404</v>
      </c>
      <c r="I2194" t="str">
        <f>IF(H2194&lt;=0,"",LOOKUP(H2194,'Regras e Parâmetros'!$B$4:$B$7,'Regras e Parâmetros'!$A$4:$A$7))</f>
        <v>Prata</v>
      </c>
      <c r="J2194" t="s">
        <v>6456</v>
      </c>
      <c r="K2194" t="s">
        <v>708</v>
      </c>
      <c r="L2194" t="s">
        <v>9792</v>
      </c>
    </row>
    <row r="2195" spans="1:12" x14ac:dyDescent="0.3">
      <c r="A2195" t="s">
        <v>1860</v>
      </c>
      <c r="B2195" s="5" t="s">
        <v>7504</v>
      </c>
      <c r="C2195" t="s">
        <v>6456</v>
      </c>
      <c r="D2195" t="s">
        <v>1861</v>
      </c>
      <c r="E2195" t="s">
        <v>7505</v>
      </c>
      <c r="F2195" s="1">
        <v>44994</v>
      </c>
      <c r="G2195" t="s">
        <v>45</v>
      </c>
      <c r="H2195" s="24">
        <v>959</v>
      </c>
      <c r="I2195" t="str">
        <f>IF(H2195&lt;=0,"",LOOKUP(H2195,'Regras e Parâmetros'!$B$4:$B$7,'Regras e Parâmetros'!$A$4:$A$7))</f>
        <v>Bronze</v>
      </c>
      <c r="J2195" t="s">
        <v>9790</v>
      </c>
    </row>
    <row r="2196" spans="1:12" x14ac:dyDescent="0.3">
      <c r="A2196" t="s">
        <v>4631</v>
      </c>
      <c r="B2196" s="5" t="s">
        <v>9025</v>
      </c>
      <c r="C2196" t="s">
        <v>6456</v>
      </c>
      <c r="D2196" t="s">
        <v>4632</v>
      </c>
      <c r="E2196" t="s">
        <v>9026</v>
      </c>
      <c r="F2196" s="1">
        <v>45903</v>
      </c>
      <c r="G2196" t="s">
        <v>51</v>
      </c>
      <c r="H2196" s="24">
        <v>0</v>
      </c>
      <c r="I2196" t="str">
        <f>IF(H2196&lt;=0,"",LOOKUP(H2196,'Regras e Parâmetros'!$B$4:$B$7,'Regras e Parâmetros'!$A$4:$A$7))</f>
        <v/>
      </c>
      <c r="J2196" t="s">
        <v>6747</v>
      </c>
      <c r="L2196" t="s">
        <v>9883</v>
      </c>
    </row>
    <row r="2197" spans="1:12" x14ac:dyDescent="0.3">
      <c r="A2197" t="s">
        <v>316</v>
      </c>
      <c r="B2197" s="5" t="s">
        <v>317</v>
      </c>
      <c r="C2197" t="s">
        <v>6456</v>
      </c>
      <c r="D2197" t="s">
        <v>318</v>
      </c>
      <c r="E2197" t="s">
        <v>6621</v>
      </c>
      <c r="F2197" s="1">
        <v>44451</v>
      </c>
      <c r="G2197" t="s">
        <v>45</v>
      </c>
      <c r="H2197" s="24">
        <v>1498</v>
      </c>
      <c r="I2197" t="str">
        <f>IF(H2197&lt;=0,"",LOOKUP(H2197,'Regras e Parâmetros'!$B$4:$B$7,'Regras e Parâmetros'!$A$4:$A$7))</f>
        <v>Bronze</v>
      </c>
      <c r="J2197" t="s">
        <v>6456</v>
      </c>
    </row>
    <row r="2198" spans="1:12" x14ac:dyDescent="0.3">
      <c r="A2198" t="s">
        <v>316</v>
      </c>
      <c r="B2198" s="5" t="s">
        <v>8956</v>
      </c>
      <c r="C2198" t="s">
        <v>6456</v>
      </c>
      <c r="D2198" t="s">
        <v>4508</v>
      </c>
      <c r="E2198" t="s">
        <v>8957</v>
      </c>
      <c r="F2198" s="1">
        <v>45871</v>
      </c>
      <c r="G2198" t="s">
        <v>45</v>
      </c>
      <c r="H2198" s="24">
        <v>0</v>
      </c>
      <c r="I2198" t="str">
        <f>IF(H2198&lt;=0,"",LOOKUP(H2198,'Regras e Parâmetros'!$B$4:$B$7,'Regras e Parâmetros'!$A$4:$A$7))</f>
        <v/>
      </c>
      <c r="J2198" t="s">
        <v>6456</v>
      </c>
      <c r="K2198" t="s">
        <v>708</v>
      </c>
      <c r="L2198" t="s">
        <v>9883</v>
      </c>
    </row>
    <row r="2199" spans="1:12" x14ac:dyDescent="0.3">
      <c r="A2199" t="s">
        <v>1911</v>
      </c>
      <c r="B2199" s="5" t="s">
        <v>1912</v>
      </c>
      <c r="C2199" t="s">
        <v>6456</v>
      </c>
      <c r="D2199" t="s">
        <v>1913</v>
      </c>
      <c r="E2199" t="s">
        <v>7529</v>
      </c>
      <c r="F2199" s="1">
        <v>45014</v>
      </c>
      <c r="G2199" t="s">
        <v>18</v>
      </c>
      <c r="H2199" s="24">
        <v>0</v>
      </c>
      <c r="I2199" t="str">
        <f>IF(H2199&lt;=0,"",LOOKUP(H2199,'Regras e Parâmetros'!$B$4:$B$7,'Regras e Parâmetros'!$A$4:$A$7))</f>
        <v/>
      </c>
      <c r="J2199" t="s">
        <v>9790</v>
      </c>
      <c r="K2199" t="s">
        <v>177</v>
      </c>
    </row>
    <row r="2200" spans="1:12" x14ac:dyDescent="0.3">
      <c r="A2200" t="s">
        <v>9133</v>
      </c>
      <c r="B2200" s="5" t="s">
        <v>4821</v>
      </c>
      <c r="C2200" t="s">
        <v>6456</v>
      </c>
      <c r="D2200" t="s">
        <v>4822</v>
      </c>
      <c r="E2200" t="s">
        <v>4823</v>
      </c>
      <c r="F2200" s="1">
        <v>45958</v>
      </c>
      <c r="G2200" t="s">
        <v>18</v>
      </c>
      <c r="H2200" s="24">
        <v>0</v>
      </c>
      <c r="I2200" t="str">
        <f>IF(H2200&lt;=0,"",LOOKUP(H2200,'Regras e Parâmetros'!$B$4:$B$7,'Regras e Parâmetros'!$A$4:$A$7))</f>
        <v/>
      </c>
      <c r="J2200" t="s">
        <v>9790</v>
      </c>
      <c r="L2200" t="s">
        <v>9883</v>
      </c>
    </row>
    <row r="2201" spans="1:12" x14ac:dyDescent="0.3">
      <c r="A2201" t="s">
        <v>3216</v>
      </c>
      <c r="B2201" s="5" t="s">
        <v>3217</v>
      </c>
      <c r="C2201" t="s">
        <v>6456</v>
      </c>
      <c r="D2201" t="s">
        <v>3218</v>
      </c>
      <c r="E2201" t="s">
        <v>3219</v>
      </c>
      <c r="F2201" s="1">
        <v>45469</v>
      </c>
      <c r="G2201" t="s">
        <v>110</v>
      </c>
      <c r="H2201" s="24">
        <v>352</v>
      </c>
      <c r="I2201" t="str">
        <f>IF(H2201&lt;=0,"",LOOKUP(H2201,'Regras e Parâmetros'!$B$4:$B$7,'Regras e Parâmetros'!$A$4:$A$7))</f>
        <v>Bronze</v>
      </c>
      <c r="J2201" t="s">
        <v>9790</v>
      </c>
    </row>
    <row r="2202" spans="1:12" x14ac:dyDescent="0.3">
      <c r="A2202" t="s">
        <v>2349</v>
      </c>
      <c r="B2202" s="5" t="s">
        <v>2350</v>
      </c>
      <c r="C2202" t="s">
        <v>6456</v>
      </c>
      <c r="D2202" t="s">
        <v>2351</v>
      </c>
      <c r="E2202" t="s">
        <v>2352</v>
      </c>
      <c r="F2202" s="1">
        <v>45152</v>
      </c>
      <c r="G2202" t="s">
        <v>51</v>
      </c>
      <c r="H2202" s="24">
        <v>13100</v>
      </c>
      <c r="I2202" t="str">
        <f>IF(H2202&lt;=0,"",LOOKUP(H2202,'Regras e Parâmetros'!$B$4:$B$7,'Regras e Parâmetros'!$A$4:$A$7))</f>
        <v>Vip</v>
      </c>
      <c r="J2202" t="s">
        <v>9790</v>
      </c>
      <c r="L2202" t="s">
        <v>9793</v>
      </c>
    </row>
    <row r="2203" spans="1:12" x14ac:dyDescent="0.3">
      <c r="A2203" t="s">
        <v>7936</v>
      </c>
      <c r="B2203" s="5" t="s">
        <v>2629</v>
      </c>
      <c r="C2203" t="s">
        <v>6456</v>
      </c>
      <c r="D2203" t="s">
        <v>2630</v>
      </c>
      <c r="E2203" t="s">
        <v>7937</v>
      </c>
      <c r="F2203" s="1">
        <v>45245</v>
      </c>
      <c r="G2203" t="s">
        <v>51</v>
      </c>
      <c r="H2203" s="24">
        <v>486</v>
      </c>
      <c r="I2203" t="str">
        <f>IF(H2203&lt;=0,"",LOOKUP(H2203,'Regras e Parâmetros'!$B$4:$B$7,'Regras e Parâmetros'!$A$4:$A$7))</f>
        <v>Bronze</v>
      </c>
      <c r="J2203" t="s">
        <v>6456</v>
      </c>
    </row>
    <row r="2204" spans="1:12" x14ac:dyDescent="0.3">
      <c r="A2204" t="s">
        <v>2660</v>
      </c>
      <c r="B2204" s="5" t="s">
        <v>7953</v>
      </c>
      <c r="C2204" t="s">
        <v>6456</v>
      </c>
      <c r="D2204" t="s">
        <v>2661</v>
      </c>
      <c r="E2204" t="s">
        <v>7954</v>
      </c>
      <c r="F2204" s="1">
        <v>45250</v>
      </c>
      <c r="G2204" t="s">
        <v>22</v>
      </c>
      <c r="H2204" s="24">
        <v>9930</v>
      </c>
      <c r="I2204" t="str">
        <f>IF(H2204&lt;=0,"",LOOKUP(H2204,'Regras e Parâmetros'!$B$4:$B$7,'Regras e Parâmetros'!$A$4:$A$7))</f>
        <v>Ouro</v>
      </c>
      <c r="J2204" t="s">
        <v>6747</v>
      </c>
    </row>
    <row r="2205" spans="1:12" x14ac:dyDescent="0.3">
      <c r="A2205" t="s">
        <v>2311</v>
      </c>
      <c r="B2205" s="5" t="s">
        <v>2312</v>
      </c>
      <c r="C2205" t="s">
        <v>6456</v>
      </c>
      <c r="D2205" t="s">
        <v>2313</v>
      </c>
      <c r="E2205" t="s">
        <v>7760</v>
      </c>
      <c r="F2205" s="1">
        <v>45139</v>
      </c>
      <c r="G2205" t="s">
        <v>22</v>
      </c>
      <c r="H2205" s="24">
        <v>305</v>
      </c>
      <c r="I2205" t="str">
        <f>IF(H2205&lt;=0,"",LOOKUP(H2205,'Regras e Parâmetros'!$B$4:$B$7,'Regras e Parâmetros'!$A$4:$A$7))</f>
        <v>Bronze</v>
      </c>
      <c r="J2205" t="s">
        <v>6456</v>
      </c>
    </row>
    <row r="2206" spans="1:12" x14ac:dyDescent="0.3">
      <c r="A2206" t="s">
        <v>8442</v>
      </c>
      <c r="B2206" s="5" t="s">
        <v>8443</v>
      </c>
      <c r="C2206" t="s">
        <v>6456</v>
      </c>
      <c r="D2206" t="s">
        <v>3639</v>
      </c>
      <c r="E2206" t="s">
        <v>8444</v>
      </c>
      <c r="F2206" s="1">
        <v>45606</v>
      </c>
      <c r="G2206" t="s">
        <v>51</v>
      </c>
      <c r="H2206" s="24">
        <v>95</v>
      </c>
      <c r="I2206" t="str">
        <f>IF(H2206&lt;=0,"",LOOKUP(H2206,'Regras e Parâmetros'!$B$4:$B$7,'Regras e Parâmetros'!$A$4:$A$7))</f>
        <v>Bronze</v>
      </c>
      <c r="J2206" t="s">
        <v>9790</v>
      </c>
    </row>
    <row r="2207" spans="1:12" x14ac:dyDescent="0.3">
      <c r="A2207" t="s">
        <v>3131</v>
      </c>
      <c r="B2207" s="5" t="s">
        <v>8172</v>
      </c>
      <c r="C2207" t="s">
        <v>6456</v>
      </c>
      <c r="D2207" t="s">
        <v>3132</v>
      </c>
      <c r="E2207" t="s">
        <v>8173</v>
      </c>
      <c r="F2207" s="1">
        <v>45439</v>
      </c>
      <c r="G2207" t="s">
        <v>110</v>
      </c>
      <c r="H2207" s="24">
        <v>2689</v>
      </c>
      <c r="I2207" t="str">
        <f>IF(H2207&lt;=0,"",LOOKUP(H2207,'Regras e Parâmetros'!$B$4:$B$7,'Regras e Parâmetros'!$A$4:$A$7))</f>
        <v>Prata</v>
      </c>
      <c r="J2207" t="s">
        <v>9790</v>
      </c>
    </row>
    <row r="2208" spans="1:12" x14ac:dyDescent="0.3">
      <c r="A2208" t="s">
        <v>1719</v>
      </c>
      <c r="B2208" s="5" t="s">
        <v>7420</v>
      </c>
      <c r="C2208" t="s">
        <v>6456</v>
      </c>
      <c r="D2208" t="s">
        <v>1720</v>
      </c>
      <c r="E2208" t="s">
        <v>1721</v>
      </c>
      <c r="F2208" s="1">
        <v>44948</v>
      </c>
      <c r="G2208" t="s">
        <v>110</v>
      </c>
      <c r="H2208" s="24">
        <v>0</v>
      </c>
      <c r="I2208" t="str">
        <f>IF(H2208&lt;=0,"",LOOKUP(H2208,'Regras e Parâmetros'!$B$4:$B$7,'Regras e Parâmetros'!$A$4:$A$7))</f>
        <v/>
      </c>
      <c r="J2208" t="s">
        <v>9790</v>
      </c>
      <c r="K2208" t="s">
        <v>72</v>
      </c>
    </row>
    <row r="2209" spans="1:12" x14ac:dyDescent="0.3">
      <c r="A2209" t="s">
        <v>7147</v>
      </c>
      <c r="B2209" s="5" t="s">
        <v>7148</v>
      </c>
      <c r="C2209" t="s">
        <v>6456</v>
      </c>
      <c r="D2209" t="s">
        <v>1262</v>
      </c>
      <c r="E2209" t="s">
        <v>1263</v>
      </c>
      <c r="F2209" s="1">
        <v>44812</v>
      </c>
      <c r="G2209" t="s">
        <v>100</v>
      </c>
      <c r="H2209" s="24">
        <v>2783</v>
      </c>
      <c r="I2209" t="str">
        <f>IF(H2209&lt;=0,"",LOOKUP(H2209,'Regras e Parâmetros'!$B$4:$B$7,'Regras e Parâmetros'!$A$4:$A$7))</f>
        <v>Prata</v>
      </c>
      <c r="J2209" t="s">
        <v>9790</v>
      </c>
      <c r="L2209" t="s">
        <v>9792</v>
      </c>
    </row>
    <row r="2210" spans="1:12" x14ac:dyDescent="0.3">
      <c r="A2210" t="s">
        <v>693</v>
      </c>
      <c r="B2210" s="5" t="s">
        <v>6830</v>
      </c>
      <c r="C2210" t="s">
        <v>6456</v>
      </c>
      <c r="D2210" t="s">
        <v>694</v>
      </c>
      <c r="E2210" t="s">
        <v>695</v>
      </c>
      <c r="F2210" s="1">
        <v>44589</v>
      </c>
      <c r="G2210" t="s">
        <v>100</v>
      </c>
      <c r="H2210" s="24">
        <v>15000</v>
      </c>
      <c r="I2210" t="str">
        <f>IF(H2210&lt;=0,"",LOOKUP(H2210,'Regras e Parâmetros'!$B$4:$B$7,'Regras e Parâmetros'!$A$4:$A$7))</f>
        <v>Vip</v>
      </c>
      <c r="J2210" t="s">
        <v>9790</v>
      </c>
      <c r="K2210" t="s">
        <v>44</v>
      </c>
    </row>
    <row r="2211" spans="1:12" x14ac:dyDescent="0.3">
      <c r="A2211" t="s">
        <v>2605</v>
      </c>
      <c r="B2211" s="5" t="s">
        <v>7920</v>
      </c>
      <c r="C2211" t="s">
        <v>6456</v>
      </c>
      <c r="D2211" t="s">
        <v>2606</v>
      </c>
      <c r="E2211" t="s">
        <v>2607</v>
      </c>
      <c r="F2211" s="1">
        <v>45237</v>
      </c>
      <c r="G2211" t="s">
        <v>45</v>
      </c>
      <c r="H2211" s="24">
        <v>1590</v>
      </c>
      <c r="I2211" t="str">
        <f>IF(H2211&lt;=0,"",LOOKUP(H2211,'Regras e Parâmetros'!$B$4:$B$7,'Regras e Parâmetros'!$A$4:$A$7))</f>
        <v>Prata</v>
      </c>
      <c r="J2211" t="s">
        <v>6747</v>
      </c>
    </row>
    <row r="2212" spans="1:12" x14ac:dyDescent="0.3">
      <c r="A2212" t="s">
        <v>5325</v>
      </c>
      <c r="B2212" s="5" t="s">
        <v>5326</v>
      </c>
      <c r="C2212" t="s">
        <v>6747</v>
      </c>
      <c r="D2212" t="s">
        <v>9439</v>
      </c>
      <c r="E2212" t="s">
        <v>9440</v>
      </c>
      <c r="F2212" s="1">
        <v>46112</v>
      </c>
      <c r="G2212" t="s">
        <v>18</v>
      </c>
      <c r="H2212" s="24">
        <v>0</v>
      </c>
      <c r="I2212" t="str">
        <f>IF(H2212&lt;=0,"",LOOKUP(H2212,'Regras e Parâmetros'!$B$4:$B$7,'Regras e Parâmetros'!$A$4:$A$7))</f>
        <v/>
      </c>
      <c r="J2212" t="s">
        <v>6456</v>
      </c>
      <c r="K2212" t="s">
        <v>44</v>
      </c>
      <c r="L2212" t="s">
        <v>10242</v>
      </c>
    </row>
    <row r="2213" spans="1:12" x14ac:dyDescent="0.3">
      <c r="A2213" t="s">
        <v>3364</v>
      </c>
      <c r="B2213" s="5" t="s">
        <v>8297</v>
      </c>
      <c r="C2213" t="s">
        <v>6456</v>
      </c>
      <c r="D2213" t="s">
        <v>3365</v>
      </c>
      <c r="E2213" t="s">
        <v>3366</v>
      </c>
      <c r="F2213" s="1">
        <v>45514</v>
      </c>
      <c r="G2213" t="s">
        <v>18</v>
      </c>
      <c r="H2213" s="24">
        <v>144</v>
      </c>
      <c r="I2213" t="str">
        <f>IF(H2213&lt;=0,"",LOOKUP(H2213,'Regras e Parâmetros'!$B$4:$B$7,'Regras e Parâmetros'!$A$4:$A$7))</f>
        <v>Bronze</v>
      </c>
      <c r="J2213" t="s">
        <v>6456</v>
      </c>
    </row>
    <row r="2214" spans="1:12" x14ac:dyDescent="0.3">
      <c r="A2214" t="s">
        <v>7358</v>
      </c>
      <c r="B2214" s="5" t="s">
        <v>1612</v>
      </c>
      <c r="C2214" t="s">
        <v>6456</v>
      </c>
      <c r="D2214" t="s">
        <v>1613</v>
      </c>
      <c r="E2214" t="s">
        <v>7359</v>
      </c>
      <c r="F2214" s="1">
        <v>44913</v>
      </c>
      <c r="G2214" t="s">
        <v>45</v>
      </c>
      <c r="H2214" s="24">
        <v>15000</v>
      </c>
      <c r="I2214" t="str">
        <f>IF(H2214&lt;=0,"",LOOKUP(H2214,'Regras e Parâmetros'!$B$4:$B$7,'Regras e Parâmetros'!$A$4:$A$7))</f>
        <v>Vip</v>
      </c>
      <c r="J2214" t="s">
        <v>6747</v>
      </c>
      <c r="K2214" t="s">
        <v>8</v>
      </c>
    </row>
    <row r="2215" spans="1:12" x14ac:dyDescent="0.3">
      <c r="A2215" t="s">
        <v>5562</v>
      </c>
      <c r="B2215" s="5" t="s">
        <v>9558</v>
      </c>
      <c r="C2215" t="s">
        <v>6456</v>
      </c>
      <c r="D2215" t="s">
        <v>5563</v>
      </c>
      <c r="E2215" t="s">
        <v>5564</v>
      </c>
      <c r="F2215" s="1">
        <v>46174</v>
      </c>
      <c r="G2215" t="s">
        <v>110</v>
      </c>
      <c r="H2215" s="24">
        <v>0</v>
      </c>
      <c r="I2215" t="str">
        <f>IF(H2215&lt;=0,"",LOOKUP(H2215,'Regras e Parâmetros'!$B$4:$B$7,'Regras e Parâmetros'!$A$4:$A$7))</f>
        <v/>
      </c>
      <c r="J2215" t="s">
        <v>9790</v>
      </c>
      <c r="L2215" t="s">
        <v>9883</v>
      </c>
    </row>
    <row r="2216" spans="1:12" x14ac:dyDescent="0.3">
      <c r="A2216" t="s">
        <v>5839</v>
      </c>
      <c r="B2216" s="5" t="s">
        <v>9725</v>
      </c>
      <c r="C2216" t="s">
        <v>6456</v>
      </c>
      <c r="D2216" t="s">
        <v>5840</v>
      </c>
      <c r="E2216" t="s">
        <v>9726</v>
      </c>
      <c r="F2216" s="1">
        <v>46251</v>
      </c>
      <c r="G2216" t="s">
        <v>22</v>
      </c>
      <c r="H2216" s="24">
        <v>0</v>
      </c>
      <c r="I2216" t="str">
        <f>IF(H2216&lt;=0,"",LOOKUP(H2216,'Regras e Parâmetros'!$B$4:$B$7,'Regras e Parâmetros'!$A$4:$A$7))</f>
        <v/>
      </c>
      <c r="J2216" t="s">
        <v>9790</v>
      </c>
      <c r="L2216" t="s">
        <v>9883</v>
      </c>
    </row>
    <row r="2217" spans="1:12" x14ac:dyDescent="0.3">
      <c r="A2217" t="s">
        <v>8558</v>
      </c>
      <c r="B2217" s="5" t="s">
        <v>8559</v>
      </c>
      <c r="C2217" t="s">
        <v>6456</v>
      </c>
      <c r="D2217" t="s">
        <v>3835</v>
      </c>
      <c r="E2217" t="s">
        <v>3836</v>
      </c>
      <c r="F2217" s="1">
        <v>45673</v>
      </c>
      <c r="G2217" t="s">
        <v>51</v>
      </c>
      <c r="H2217" s="24">
        <v>0</v>
      </c>
      <c r="I2217" t="str">
        <f>IF(H2217&lt;=0,"",LOOKUP(H2217,'Regras e Parâmetros'!$B$4:$B$7,'Regras e Parâmetros'!$A$4:$A$7))</f>
        <v/>
      </c>
      <c r="J2217" t="s">
        <v>6456</v>
      </c>
      <c r="L2217" t="s">
        <v>9883</v>
      </c>
    </row>
    <row r="2218" spans="1:12" x14ac:dyDescent="0.3">
      <c r="A2218" t="s">
        <v>8032</v>
      </c>
      <c r="B2218" s="5" t="s">
        <v>2823</v>
      </c>
      <c r="C2218" t="s">
        <v>6456</v>
      </c>
      <c r="D2218" t="s">
        <v>2824</v>
      </c>
      <c r="E2218" t="s">
        <v>2825</v>
      </c>
      <c r="F2218" s="1">
        <v>45320</v>
      </c>
      <c r="G2218" t="s">
        <v>22</v>
      </c>
      <c r="H2218" s="24">
        <v>315</v>
      </c>
      <c r="I2218" t="str">
        <f>IF(H2218&lt;=0,"",LOOKUP(H2218,'Regras e Parâmetros'!$B$4:$B$7,'Regras e Parâmetros'!$A$4:$A$7))</f>
        <v>Bronze</v>
      </c>
      <c r="J2218" t="s">
        <v>6747</v>
      </c>
    </row>
    <row r="2219" spans="1:12" x14ac:dyDescent="0.3">
      <c r="A2219" t="s">
        <v>1531</v>
      </c>
      <c r="B2219" s="5" t="s">
        <v>7261</v>
      </c>
      <c r="C2219" t="s">
        <v>6456</v>
      </c>
      <c r="D2219" t="s">
        <v>1533</v>
      </c>
      <c r="E2219" t="s">
        <v>1534</v>
      </c>
      <c r="F2219" s="1">
        <v>44866</v>
      </c>
      <c r="G2219" t="s">
        <v>51</v>
      </c>
      <c r="H2219" s="24">
        <v>1259</v>
      </c>
      <c r="I2219" t="str">
        <f>IF(H2219&lt;=0,"",LOOKUP(H2219,'Regras e Parâmetros'!$B$4:$B$7,'Regras e Parâmetros'!$A$4:$A$7))</f>
        <v>Bronze</v>
      </c>
      <c r="J2219" t="s">
        <v>6747</v>
      </c>
      <c r="L2219" t="s">
        <v>9789</v>
      </c>
    </row>
    <row r="2220" spans="1:12" x14ac:dyDescent="0.3">
      <c r="A2220" t="s">
        <v>7697</v>
      </c>
      <c r="B2220" s="5" t="s">
        <v>7698</v>
      </c>
      <c r="C2220" t="s">
        <v>6456</v>
      </c>
      <c r="D2220" t="s">
        <v>2204</v>
      </c>
      <c r="E2220" t="s">
        <v>2205</v>
      </c>
      <c r="F2220" s="1">
        <v>45110</v>
      </c>
      <c r="G2220" t="s">
        <v>18</v>
      </c>
      <c r="H2220" s="24">
        <v>3812</v>
      </c>
      <c r="I2220" t="str">
        <f>IF(H2220&lt;=0,"",LOOKUP(H2220,'Regras e Parâmetros'!$B$4:$B$7,'Regras e Parâmetros'!$A$4:$A$7))</f>
        <v>Prata</v>
      </c>
      <c r="J2220" t="s">
        <v>6456</v>
      </c>
    </row>
    <row r="2221" spans="1:12" x14ac:dyDescent="0.3">
      <c r="A2221" t="s">
        <v>208</v>
      </c>
      <c r="B2221" s="5" t="s">
        <v>6569</v>
      </c>
      <c r="C2221" t="s">
        <v>6456</v>
      </c>
      <c r="D2221" t="s">
        <v>210</v>
      </c>
      <c r="E2221" t="s">
        <v>211</v>
      </c>
      <c r="F2221" s="1">
        <v>44418</v>
      </c>
      <c r="G2221" t="s">
        <v>45</v>
      </c>
      <c r="H2221" s="24">
        <v>14300</v>
      </c>
      <c r="I2221" t="str">
        <f>IF(H2221&lt;=0,"",LOOKUP(H2221,'Regras e Parâmetros'!$B$4:$B$7,'Regras e Parâmetros'!$A$4:$A$7))</f>
        <v>Vip</v>
      </c>
      <c r="J2221" t="s">
        <v>9790</v>
      </c>
      <c r="L2221" t="s">
        <v>9795</v>
      </c>
    </row>
    <row r="2222" spans="1:12" x14ac:dyDescent="0.3">
      <c r="A2222" t="s">
        <v>3956</v>
      </c>
      <c r="B2222" s="5" t="s">
        <v>8639</v>
      </c>
      <c r="C2222" t="s">
        <v>6456</v>
      </c>
      <c r="D2222" t="s">
        <v>3957</v>
      </c>
      <c r="E2222" t="s">
        <v>3958</v>
      </c>
      <c r="F2222" s="1">
        <v>45704</v>
      </c>
      <c r="G2222" t="s">
        <v>22</v>
      </c>
      <c r="H2222" s="24">
        <v>0</v>
      </c>
      <c r="I2222" t="str">
        <f>IF(H2222&lt;=0,"",LOOKUP(H2222,'Regras e Parâmetros'!$B$4:$B$7,'Regras e Parâmetros'!$A$4:$A$7))</f>
        <v/>
      </c>
      <c r="J2222" t="s">
        <v>6747</v>
      </c>
      <c r="K2222" t="s">
        <v>177</v>
      </c>
      <c r="L2222" t="s">
        <v>9883</v>
      </c>
    </row>
    <row r="2223" spans="1:12" x14ac:dyDescent="0.3">
      <c r="A2223" t="s">
        <v>5350</v>
      </c>
      <c r="B2223" s="5" t="s">
        <v>5351</v>
      </c>
      <c r="C2223" t="s">
        <v>6456</v>
      </c>
      <c r="D2223" t="s">
        <v>5352</v>
      </c>
      <c r="E2223" t="s">
        <v>9459</v>
      </c>
      <c r="F2223" s="1">
        <v>46119</v>
      </c>
      <c r="G2223" t="s">
        <v>22</v>
      </c>
      <c r="H2223" s="24">
        <v>0</v>
      </c>
      <c r="I2223" t="str">
        <f>IF(H2223&lt;=0,"",LOOKUP(H2223,'Regras e Parâmetros'!$B$4:$B$7,'Regras e Parâmetros'!$A$4:$A$7))</f>
        <v/>
      </c>
      <c r="J2223" t="s">
        <v>6456</v>
      </c>
      <c r="L2223" t="s">
        <v>9883</v>
      </c>
    </row>
    <row r="2224" spans="1:12" x14ac:dyDescent="0.3">
      <c r="A2224" t="s">
        <v>4725</v>
      </c>
      <c r="B2224" s="5" t="s">
        <v>4726</v>
      </c>
      <c r="C2224" t="s">
        <v>6456</v>
      </c>
      <c r="D2224" t="s">
        <v>4727</v>
      </c>
      <c r="E2224" t="s">
        <v>4728</v>
      </c>
      <c r="F2224" s="1">
        <v>45934</v>
      </c>
      <c r="G2224" t="s">
        <v>22</v>
      </c>
      <c r="H2224" s="24">
        <v>0</v>
      </c>
      <c r="I2224" t="str">
        <f>IF(H2224&lt;=0,"",LOOKUP(H2224,'Regras e Parâmetros'!$B$4:$B$7,'Regras e Parâmetros'!$A$4:$A$7))</f>
        <v/>
      </c>
      <c r="J2224" t="s">
        <v>9790</v>
      </c>
      <c r="L2224" t="s">
        <v>9886</v>
      </c>
    </row>
    <row r="2225" spans="1:12" x14ac:dyDescent="0.3">
      <c r="A2225" t="s">
        <v>2667</v>
      </c>
      <c r="B2225" s="5" t="s">
        <v>7956</v>
      </c>
      <c r="C2225" t="s">
        <v>6456</v>
      </c>
      <c r="D2225" t="s">
        <v>2668</v>
      </c>
      <c r="E2225" t="s">
        <v>7957</v>
      </c>
      <c r="F2225" s="1">
        <v>45251</v>
      </c>
      <c r="G2225" t="s">
        <v>51</v>
      </c>
      <c r="H2225" s="24">
        <v>214</v>
      </c>
      <c r="I2225" t="str">
        <f>IF(H2225&lt;=0,"",LOOKUP(H2225,'Regras e Parâmetros'!$B$4:$B$7,'Regras e Parâmetros'!$A$4:$A$7))</f>
        <v>Bronze</v>
      </c>
      <c r="J2225" t="s">
        <v>9790</v>
      </c>
    </row>
    <row r="2226" spans="1:12" x14ac:dyDescent="0.3">
      <c r="A2226" t="s">
        <v>1264</v>
      </c>
      <c r="B2226" s="5" t="s">
        <v>1265</v>
      </c>
      <c r="C2226" t="s">
        <v>6456</v>
      </c>
      <c r="D2226" t="s">
        <v>1266</v>
      </c>
      <c r="E2226" t="s">
        <v>7055</v>
      </c>
      <c r="F2226" s="1">
        <v>44733</v>
      </c>
      <c r="G2226" t="s">
        <v>45</v>
      </c>
      <c r="H2226" s="24">
        <v>917</v>
      </c>
      <c r="I2226" t="str">
        <f>IF(H2226&lt;=0,"",LOOKUP(H2226,'Regras e Parâmetros'!$B$4:$B$7,'Regras e Parâmetros'!$A$4:$A$7))</f>
        <v>Bronze</v>
      </c>
      <c r="J2226" t="s">
        <v>9790</v>
      </c>
      <c r="K2226" t="s">
        <v>708</v>
      </c>
    </row>
    <row r="2227" spans="1:12" x14ac:dyDescent="0.3">
      <c r="A2227" t="s">
        <v>7795</v>
      </c>
      <c r="B2227" s="5" t="s">
        <v>6063</v>
      </c>
      <c r="C2227" t="s">
        <v>6456</v>
      </c>
      <c r="D2227" t="s">
        <v>2382</v>
      </c>
      <c r="E2227" t="s">
        <v>7796</v>
      </c>
      <c r="F2227" s="1">
        <v>45157</v>
      </c>
      <c r="G2227" t="s">
        <v>110</v>
      </c>
      <c r="H2227" s="24">
        <v>0</v>
      </c>
      <c r="I2227" t="str">
        <f>IF(H2227&lt;=0,"",LOOKUP(H2227,'Regras e Parâmetros'!$B$4:$B$7,'Regras e Parâmetros'!$A$4:$A$7))</f>
        <v/>
      </c>
      <c r="J2227" t="s">
        <v>6456</v>
      </c>
    </row>
    <row r="2228" spans="1:12" x14ac:dyDescent="0.3">
      <c r="A2228" t="s">
        <v>5169</v>
      </c>
      <c r="B2228" s="5" t="s">
        <v>9341</v>
      </c>
      <c r="C2228" t="s">
        <v>6456</v>
      </c>
      <c r="D2228" t="s">
        <v>5170</v>
      </c>
      <c r="E2228" t="s">
        <v>5171</v>
      </c>
      <c r="F2228" s="1">
        <v>46060</v>
      </c>
      <c r="G2228" t="s">
        <v>110</v>
      </c>
      <c r="H2228" s="24">
        <v>0</v>
      </c>
      <c r="I2228" t="str">
        <f>IF(H2228&lt;=0,"",LOOKUP(H2228,'Regras e Parâmetros'!$B$4:$B$7,'Regras e Parâmetros'!$A$4:$A$7))</f>
        <v/>
      </c>
      <c r="J2228" t="s">
        <v>9790</v>
      </c>
      <c r="L2228" t="s">
        <v>9883</v>
      </c>
    </row>
    <row r="2229" spans="1:12" x14ac:dyDescent="0.3">
      <c r="A2229" t="s">
        <v>1880</v>
      </c>
      <c r="B2229" s="5" t="s">
        <v>7515</v>
      </c>
      <c r="C2229" t="s">
        <v>6456</v>
      </c>
      <c r="D2229" t="s">
        <v>1881</v>
      </c>
      <c r="E2229" t="s">
        <v>1882</v>
      </c>
      <c r="F2229" s="1">
        <v>45004</v>
      </c>
      <c r="G2229" t="s">
        <v>51</v>
      </c>
      <c r="H2229" s="24">
        <v>401</v>
      </c>
      <c r="I2229" t="str">
        <f>IF(H2229&lt;=0,"",LOOKUP(H2229,'Regras e Parâmetros'!$B$4:$B$7,'Regras e Parâmetros'!$A$4:$A$7))</f>
        <v>Bronze</v>
      </c>
      <c r="J2229" t="s">
        <v>9790</v>
      </c>
    </row>
    <row r="2230" spans="1:12" x14ac:dyDescent="0.3">
      <c r="A2230" t="s">
        <v>5694</v>
      </c>
      <c r="B2230" s="5" t="s">
        <v>9641</v>
      </c>
      <c r="C2230" t="s">
        <v>6456</v>
      </c>
      <c r="D2230" t="s">
        <v>5695</v>
      </c>
      <c r="E2230" t="s">
        <v>9642</v>
      </c>
      <c r="F2230" s="1">
        <v>46217</v>
      </c>
      <c r="G2230" t="s">
        <v>100</v>
      </c>
      <c r="H2230" s="24">
        <v>0</v>
      </c>
      <c r="I2230" t="str">
        <f>IF(H2230&lt;=0,"",LOOKUP(H2230,'Regras e Parâmetros'!$B$4:$B$7,'Regras e Parâmetros'!$A$4:$A$7))</f>
        <v/>
      </c>
      <c r="J2230" t="s">
        <v>9790</v>
      </c>
      <c r="K2230" t="s">
        <v>72</v>
      </c>
      <c r="L2230" t="s">
        <v>9883</v>
      </c>
    </row>
    <row r="2231" spans="1:12" x14ac:dyDescent="0.3">
      <c r="A2231" t="s">
        <v>9095</v>
      </c>
      <c r="B2231" s="5" t="s">
        <v>9096</v>
      </c>
      <c r="C2231" t="s">
        <v>6456</v>
      </c>
      <c r="D2231" t="s">
        <v>4721</v>
      </c>
      <c r="E2231" t="s">
        <v>9097</v>
      </c>
      <c r="F2231" s="1">
        <v>45933</v>
      </c>
      <c r="G2231" t="s">
        <v>51</v>
      </c>
      <c r="H2231" s="24">
        <v>0</v>
      </c>
      <c r="I2231" t="str">
        <f>IF(H2231&lt;=0,"",LOOKUP(H2231,'Regras e Parâmetros'!$B$4:$B$7,'Regras e Parâmetros'!$A$4:$A$7))</f>
        <v/>
      </c>
      <c r="J2231" t="s">
        <v>6456</v>
      </c>
      <c r="L2231" t="s">
        <v>9883</v>
      </c>
    </row>
    <row r="2232" spans="1:12" x14ac:dyDescent="0.3">
      <c r="A2232" t="s">
        <v>8430</v>
      </c>
      <c r="B2232" s="5" t="s">
        <v>3612</v>
      </c>
      <c r="C2232" t="s">
        <v>6456</v>
      </c>
      <c r="D2232" t="s">
        <v>3613</v>
      </c>
      <c r="E2232" t="s">
        <v>3614</v>
      </c>
      <c r="F2232" s="1">
        <v>45598</v>
      </c>
      <c r="G2232" t="s">
        <v>100</v>
      </c>
      <c r="H2232" s="24">
        <v>876</v>
      </c>
      <c r="I2232" t="str">
        <f>IF(H2232&lt;=0,"",LOOKUP(H2232,'Regras e Parâmetros'!$B$4:$B$7,'Regras e Parâmetros'!$A$4:$A$7))</f>
        <v>Bronze</v>
      </c>
      <c r="J2232" t="s">
        <v>6456</v>
      </c>
      <c r="K2232" t="s">
        <v>72</v>
      </c>
    </row>
    <row r="2233" spans="1:12" x14ac:dyDescent="0.3">
      <c r="A2233" t="s">
        <v>8897</v>
      </c>
      <c r="B2233" s="5" t="s">
        <v>8898</v>
      </c>
      <c r="C2233" t="s">
        <v>6456</v>
      </c>
      <c r="D2233" t="s">
        <v>4425</v>
      </c>
      <c r="E2233" t="s">
        <v>4426</v>
      </c>
      <c r="F2233" s="1">
        <v>45846</v>
      </c>
      <c r="G2233" t="s">
        <v>22</v>
      </c>
      <c r="H2233" s="24">
        <v>0</v>
      </c>
      <c r="I2233" t="str">
        <f>IF(H2233&lt;=0,"",LOOKUP(H2233,'Regras e Parâmetros'!$B$4:$B$7,'Regras e Parâmetros'!$A$4:$A$7))</f>
        <v/>
      </c>
      <c r="J2233" t="s">
        <v>6747</v>
      </c>
      <c r="K2233" t="s">
        <v>187</v>
      </c>
      <c r="L2233" t="s">
        <v>9883</v>
      </c>
    </row>
    <row r="2234" spans="1:12" x14ac:dyDescent="0.3">
      <c r="A2234" t="s">
        <v>7976</v>
      </c>
      <c r="B2234" s="5" t="s">
        <v>7977</v>
      </c>
      <c r="C2234" t="s">
        <v>6456</v>
      </c>
      <c r="D2234" t="s">
        <v>2708</v>
      </c>
      <c r="E2234" t="s">
        <v>7978</v>
      </c>
      <c r="F2234" s="1">
        <v>45267</v>
      </c>
      <c r="G2234" t="s">
        <v>110</v>
      </c>
      <c r="H2234" s="24">
        <v>4569</v>
      </c>
      <c r="I2234" t="str">
        <f>IF(H2234&lt;=0,"",LOOKUP(H2234,'Regras e Parâmetros'!$B$4:$B$7,'Regras e Parâmetros'!$A$4:$A$7))</f>
        <v>Prata</v>
      </c>
      <c r="J2234" t="s">
        <v>6456</v>
      </c>
      <c r="K2234" t="s">
        <v>72</v>
      </c>
    </row>
    <row r="2235" spans="1:12" x14ac:dyDescent="0.3">
      <c r="A2235" t="s">
        <v>3303</v>
      </c>
      <c r="B2235" s="5" t="s">
        <v>3304</v>
      </c>
      <c r="C2235" t="s">
        <v>6456</v>
      </c>
      <c r="D2235" t="s">
        <v>3305</v>
      </c>
      <c r="E2235" t="s">
        <v>3306</v>
      </c>
      <c r="F2235" s="1">
        <v>45501</v>
      </c>
      <c r="G2235" t="s">
        <v>110</v>
      </c>
      <c r="H2235" s="24">
        <v>100</v>
      </c>
      <c r="I2235" t="str">
        <f>IF(H2235&lt;=0,"",LOOKUP(H2235,'Regras e Parâmetros'!$B$4:$B$7,'Regras e Parâmetros'!$A$4:$A$7))</f>
        <v>Bronze</v>
      </c>
      <c r="J2235" t="s">
        <v>6456</v>
      </c>
      <c r="K2235" t="s">
        <v>8</v>
      </c>
    </row>
    <row r="2236" spans="1:12" x14ac:dyDescent="0.3">
      <c r="A2236" t="s">
        <v>3303</v>
      </c>
      <c r="B2236" s="5" t="s">
        <v>8997</v>
      </c>
      <c r="C2236" t="s">
        <v>6456</v>
      </c>
      <c r="D2236" t="s">
        <v>6000</v>
      </c>
      <c r="E2236" t="s">
        <v>4567</v>
      </c>
      <c r="F2236" s="1">
        <v>45888</v>
      </c>
      <c r="G2236" t="s">
        <v>22</v>
      </c>
      <c r="H2236" s="24">
        <v>0</v>
      </c>
      <c r="I2236" t="str">
        <f>IF(H2236&lt;=0,"",LOOKUP(H2236,'Regras e Parâmetros'!$B$4:$B$7,'Regras e Parâmetros'!$A$4:$A$7))</f>
        <v/>
      </c>
      <c r="J2236" t="s">
        <v>6747</v>
      </c>
      <c r="K2236" t="s">
        <v>9903</v>
      </c>
      <c r="L2236" t="s">
        <v>9883</v>
      </c>
    </row>
    <row r="2237" spans="1:12" x14ac:dyDescent="0.3">
      <c r="A2237" t="s">
        <v>3021</v>
      </c>
      <c r="B2237" s="5" t="s">
        <v>8122</v>
      </c>
      <c r="C2237" t="s">
        <v>6456</v>
      </c>
      <c r="D2237" t="s">
        <v>3022</v>
      </c>
      <c r="E2237" t="s">
        <v>8123</v>
      </c>
      <c r="F2237" s="1">
        <v>45398</v>
      </c>
      <c r="G2237" t="s">
        <v>51</v>
      </c>
      <c r="H2237" s="24">
        <v>515</v>
      </c>
      <c r="I2237" t="str">
        <f>IF(H2237&lt;=0,"",LOOKUP(H2237,'Regras e Parâmetros'!$B$4:$B$7,'Regras e Parâmetros'!$A$4:$A$7))</f>
        <v>Bronze</v>
      </c>
      <c r="J2237" t="s">
        <v>6747</v>
      </c>
    </row>
    <row r="2238" spans="1:12" x14ac:dyDescent="0.3">
      <c r="A2238" t="s">
        <v>1476</v>
      </c>
      <c r="B2238" s="5" t="s">
        <v>1477</v>
      </c>
      <c r="C2238" t="s">
        <v>6456</v>
      </c>
      <c r="D2238" t="s">
        <v>1478</v>
      </c>
      <c r="E2238" t="s">
        <v>1479</v>
      </c>
      <c r="F2238" s="1">
        <v>44866</v>
      </c>
      <c r="G2238" t="s">
        <v>18</v>
      </c>
      <c r="H2238" s="24">
        <v>140</v>
      </c>
      <c r="I2238" t="str">
        <f>IF(H2238&lt;=0,"",LOOKUP(H2238,'Regras e Parâmetros'!$B$4:$B$7,'Regras e Parâmetros'!$A$4:$A$7))</f>
        <v>Bronze</v>
      </c>
      <c r="J2238" t="s">
        <v>6456</v>
      </c>
      <c r="L2238" t="s">
        <v>9791</v>
      </c>
    </row>
    <row r="2239" spans="1:12" x14ac:dyDescent="0.3">
      <c r="A2239" t="s">
        <v>4303</v>
      </c>
      <c r="B2239" s="5" t="s">
        <v>8824</v>
      </c>
      <c r="C2239" t="s">
        <v>6456</v>
      </c>
      <c r="D2239" t="s">
        <v>4304</v>
      </c>
      <c r="E2239" t="s">
        <v>4305</v>
      </c>
      <c r="F2239" s="1">
        <v>45809</v>
      </c>
      <c r="G2239" t="s">
        <v>110</v>
      </c>
      <c r="H2239" s="24">
        <v>0</v>
      </c>
      <c r="I2239" t="str">
        <f>IF(H2239&lt;=0,"",LOOKUP(H2239,'Regras e Parâmetros'!$B$4:$B$7,'Regras e Parâmetros'!$A$4:$A$7))</f>
        <v/>
      </c>
      <c r="J2239" t="s">
        <v>9790</v>
      </c>
      <c r="L2239" t="s">
        <v>9883</v>
      </c>
    </row>
    <row r="2240" spans="1:12" x14ac:dyDescent="0.3">
      <c r="A2240" t="s">
        <v>1267</v>
      </c>
      <c r="B2240" s="5" t="s">
        <v>7118</v>
      </c>
      <c r="C2240" t="s">
        <v>6456</v>
      </c>
      <c r="D2240" t="s">
        <v>1268</v>
      </c>
      <c r="E2240" t="s">
        <v>1269</v>
      </c>
      <c r="F2240" s="1">
        <v>44781</v>
      </c>
      <c r="G2240" t="s">
        <v>51</v>
      </c>
      <c r="H2240" s="24">
        <v>0</v>
      </c>
      <c r="I2240" t="str">
        <f>IF(H2240&lt;=0,"",LOOKUP(H2240,'Regras e Parâmetros'!$B$4:$B$7,'Regras e Parâmetros'!$A$4:$A$7))</f>
        <v/>
      </c>
      <c r="J2240" t="s">
        <v>6456</v>
      </c>
    </row>
    <row r="2241" spans="1:12" x14ac:dyDescent="0.3">
      <c r="A2241" t="s">
        <v>1267</v>
      </c>
      <c r="B2241" s="5" t="s">
        <v>8735</v>
      </c>
      <c r="C2241" t="s">
        <v>6456</v>
      </c>
      <c r="D2241" t="s">
        <v>4127</v>
      </c>
      <c r="E2241" t="s">
        <v>8736</v>
      </c>
      <c r="F2241" s="1">
        <v>45750</v>
      </c>
      <c r="G2241" t="s">
        <v>100</v>
      </c>
      <c r="H2241" s="24">
        <v>0</v>
      </c>
      <c r="I2241" t="str">
        <f>IF(H2241&lt;=0,"",LOOKUP(H2241,'Regras e Parâmetros'!$B$4:$B$7,'Regras e Parâmetros'!$A$4:$A$7))</f>
        <v/>
      </c>
      <c r="J2241" t="s">
        <v>6456</v>
      </c>
      <c r="K2241" t="s">
        <v>708</v>
      </c>
      <c r="L2241" t="s">
        <v>9883</v>
      </c>
    </row>
    <row r="2242" spans="1:12" x14ac:dyDescent="0.3">
      <c r="A2242" t="s">
        <v>8412</v>
      </c>
      <c r="B2242" s="5" t="s">
        <v>8413</v>
      </c>
      <c r="C2242" t="s">
        <v>6456</v>
      </c>
      <c r="D2242" t="s">
        <v>3601</v>
      </c>
      <c r="E2242" t="s">
        <v>3602</v>
      </c>
      <c r="F2242" s="1">
        <v>45596</v>
      </c>
      <c r="G2242" t="s">
        <v>45</v>
      </c>
      <c r="H2242" s="24">
        <v>76</v>
      </c>
      <c r="I2242" t="str">
        <f>IF(H2242&lt;=0,"",LOOKUP(H2242,'Regras e Parâmetros'!$B$4:$B$7,'Regras e Parâmetros'!$A$4:$A$7))</f>
        <v>Bronze</v>
      </c>
      <c r="J2242" t="s">
        <v>9790</v>
      </c>
    </row>
    <row r="2243" spans="1:12" x14ac:dyDescent="0.3">
      <c r="A2243" t="s">
        <v>4226</v>
      </c>
      <c r="B2243" s="5" t="s">
        <v>8786</v>
      </c>
      <c r="C2243" t="s">
        <v>6456</v>
      </c>
      <c r="D2243" t="s">
        <v>4227</v>
      </c>
      <c r="E2243" t="s">
        <v>8787</v>
      </c>
      <c r="F2243" s="1">
        <v>45780</v>
      </c>
      <c r="G2243" t="s">
        <v>45</v>
      </c>
      <c r="H2243" s="24">
        <v>0</v>
      </c>
      <c r="I2243" t="str">
        <f>IF(H2243&lt;=0,"",LOOKUP(H2243,'Regras e Parâmetros'!$B$4:$B$7,'Regras e Parâmetros'!$A$4:$A$7))</f>
        <v/>
      </c>
      <c r="J2243" t="s">
        <v>9790</v>
      </c>
      <c r="K2243" t="s">
        <v>44</v>
      </c>
      <c r="L2243" t="s">
        <v>9883</v>
      </c>
    </row>
    <row r="2244" spans="1:12" x14ac:dyDescent="0.3">
      <c r="A2244" t="s">
        <v>6532</v>
      </c>
      <c r="B2244" s="5" t="s">
        <v>6533</v>
      </c>
      <c r="C2244" t="s">
        <v>6456</v>
      </c>
      <c r="D2244" t="s">
        <v>143</v>
      </c>
      <c r="E2244" t="s">
        <v>6534</v>
      </c>
      <c r="F2244" s="1">
        <v>44394</v>
      </c>
      <c r="G2244" t="s">
        <v>18</v>
      </c>
      <c r="H2244" s="24">
        <v>10345</v>
      </c>
      <c r="I2244" t="str">
        <f>IF(H2244&lt;=0,"",LOOKUP(H2244,'Regras e Parâmetros'!$B$4:$B$7,'Regras e Parâmetros'!$A$4:$A$7))</f>
        <v>Vip</v>
      </c>
      <c r="J2244" t="s">
        <v>9790</v>
      </c>
    </row>
    <row r="2245" spans="1:12" x14ac:dyDescent="0.3">
      <c r="A2245" t="s">
        <v>3040</v>
      </c>
      <c r="B2245" s="5" t="s">
        <v>8131</v>
      </c>
      <c r="C2245" t="s">
        <v>6456</v>
      </c>
      <c r="D2245" t="s">
        <v>3041</v>
      </c>
      <c r="E2245" t="s">
        <v>3042</v>
      </c>
      <c r="F2245" s="1">
        <v>45405</v>
      </c>
      <c r="G2245" t="s">
        <v>22</v>
      </c>
      <c r="H2245" s="24">
        <v>736</v>
      </c>
      <c r="I2245" t="str">
        <f>IF(H2245&lt;=0,"",LOOKUP(H2245,'Regras e Parâmetros'!$B$4:$B$7,'Regras e Parâmetros'!$A$4:$A$7))</f>
        <v>Bronze</v>
      </c>
      <c r="J2245" t="s">
        <v>6456</v>
      </c>
    </row>
    <row r="2246" spans="1:12" x14ac:dyDescent="0.3">
      <c r="A2246" t="s">
        <v>736</v>
      </c>
      <c r="B2246" s="5" t="s">
        <v>737</v>
      </c>
      <c r="C2246" t="s">
        <v>6456</v>
      </c>
      <c r="D2246" t="s">
        <v>738</v>
      </c>
      <c r="E2246" t="s">
        <v>6861</v>
      </c>
      <c r="F2246" s="1">
        <v>44608</v>
      </c>
      <c r="G2246" t="s">
        <v>45</v>
      </c>
      <c r="H2246" s="24">
        <v>797</v>
      </c>
      <c r="I2246" t="str">
        <f>IF(H2246&lt;=0,"",LOOKUP(H2246,'Regras e Parâmetros'!$B$4:$B$7,'Regras e Parâmetros'!$A$4:$A$7))</f>
        <v>Bronze</v>
      </c>
      <c r="J2246" t="s">
        <v>9790</v>
      </c>
      <c r="K2246" t="s">
        <v>708</v>
      </c>
    </row>
    <row r="2247" spans="1:12" x14ac:dyDescent="0.3">
      <c r="A2247" t="s">
        <v>3267</v>
      </c>
      <c r="B2247" s="5" t="s">
        <v>3268</v>
      </c>
      <c r="C2247" t="s">
        <v>6456</v>
      </c>
      <c r="D2247" t="s">
        <v>3269</v>
      </c>
      <c r="E2247" t="s">
        <v>8246</v>
      </c>
      <c r="F2247" s="1">
        <v>45486</v>
      </c>
      <c r="G2247" t="s">
        <v>51</v>
      </c>
      <c r="H2247" s="24">
        <v>109</v>
      </c>
      <c r="I2247" t="str">
        <f>IF(H2247&lt;=0,"",LOOKUP(H2247,'Regras e Parâmetros'!$B$4:$B$7,'Regras e Parâmetros'!$A$4:$A$7))</f>
        <v>Bronze</v>
      </c>
      <c r="J2247" t="s">
        <v>6747</v>
      </c>
    </row>
    <row r="2248" spans="1:12" x14ac:dyDescent="0.3">
      <c r="A2248" t="s">
        <v>5266</v>
      </c>
      <c r="B2248" s="5" t="s">
        <v>9406</v>
      </c>
      <c r="C2248" t="s">
        <v>6456</v>
      </c>
      <c r="D2248" t="s">
        <v>5267</v>
      </c>
      <c r="E2248" t="s">
        <v>9407</v>
      </c>
      <c r="F2248" s="1">
        <v>46098</v>
      </c>
      <c r="G2248" t="s">
        <v>51</v>
      </c>
      <c r="H2248" s="24">
        <v>0</v>
      </c>
      <c r="I2248" t="str">
        <f>IF(H2248&lt;=0,"",LOOKUP(H2248,'Regras e Parâmetros'!$B$4:$B$7,'Regras e Parâmetros'!$A$4:$A$7))</f>
        <v/>
      </c>
      <c r="J2248" t="s">
        <v>6747</v>
      </c>
      <c r="L2248" t="s">
        <v>9883</v>
      </c>
    </row>
    <row r="2249" spans="1:12" x14ac:dyDescent="0.3">
      <c r="A2249" t="s">
        <v>6953</v>
      </c>
      <c r="B2249" s="5" t="s">
        <v>6954</v>
      </c>
      <c r="C2249" t="s">
        <v>6456</v>
      </c>
      <c r="D2249" t="s">
        <v>888</v>
      </c>
      <c r="E2249" t="s">
        <v>889</v>
      </c>
      <c r="F2249" s="1">
        <v>44661</v>
      </c>
      <c r="G2249" t="s">
        <v>100</v>
      </c>
      <c r="H2249" s="24">
        <v>6285</v>
      </c>
      <c r="I2249" t="str">
        <f>IF(H2249&lt;=0,"",LOOKUP(H2249,'Regras e Parâmetros'!$B$4:$B$7,'Regras e Parâmetros'!$A$4:$A$7))</f>
        <v>Ouro</v>
      </c>
      <c r="J2249" t="s">
        <v>9790</v>
      </c>
    </row>
    <row r="2250" spans="1:12" x14ac:dyDescent="0.3">
      <c r="A2250" t="s">
        <v>7860</v>
      </c>
      <c r="B2250" s="5" t="s">
        <v>7861</v>
      </c>
      <c r="C2250" t="s">
        <v>6456</v>
      </c>
      <c r="D2250" t="s">
        <v>2502</v>
      </c>
      <c r="E2250" t="s">
        <v>7862</v>
      </c>
      <c r="F2250" s="1">
        <v>45200</v>
      </c>
      <c r="G2250" t="s">
        <v>51</v>
      </c>
      <c r="H2250" s="24">
        <v>15000</v>
      </c>
      <c r="I2250" t="str">
        <f>IF(H2250&lt;=0,"",LOOKUP(H2250,'Regras e Parâmetros'!$B$4:$B$7,'Regras e Parâmetros'!$A$4:$A$7))</f>
        <v>Vip</v>
      </c>
      <c r="J2250" t="s">
        <v>9790</v>
      </c>
      <c r="L2250" t="s">
        <v>9791</v>
      </c>
    </row>
    <row r="2251" spans="1:12" x14ac:dyDescent="0.3">
      <c r="A2251" t="s">
        <v>7074</v>
      </c>
      <c r="B2251" s="5" t="s">
        <v>7075</v>
      </c>
      <c r="C2251" t="s">
        <v>6456</v>
      </c>
      <c r="D2251" t="s">
        <v>1270</v>
      </c>
      <c r="E2251" t="s">
        <v>1271</v>
      </c>
      <c r="F2251" s="1">
        <v>44748</v>
      </c>
      <c r="G2251" t="s">
        <v>45</v>
      </c>
      <c r="H2251" s="24">
        <v>554</v>
      </c>
      <c r="I2251" t="str">
        <f>IF(H2251&lt;=0,"",LOOKUP(H2251,'Regras e Parâmetros'!$B$4:$B$7,'Regras e Parâmetros'!$A$4:$A$7))</f>
        <v>Bronze</v>
      </c>
      <c r="J2251" t="s">
        <v>6747</v>
      </c>
      <c r="L2251" t="s">
        <v>9792</v>
      </c>
    </row>
    <row r="2252" spans="1:12" x14ac:dyDescent="0.3">
      <c r="A2252" t="s">
        <v>4446</v>
      </c>
      <c r="B2252" s="5" t="s">
        <v>8911</v>
      </c>
      <c r="C2252" t="s">
        <v>6456</v>
      </c>
      <c r="D2252" t="s">
        <v>4447</v>
      </c>
      <c r="E2252" t="s">
        <v>4448</v>
      </c>
      <c r="F2252" s="1">
        <v>45853</v>
      </c>
      <c r="G2252" t="s">
        <v>45</v>
      </c>
      <c r="H2252" s="24">
        <v>0</v>
      </c>
      <c r="I2252" t="str">
        <f>IF(H2252&lt;=0,"",LOOKUP(H2252,'Regras e Parâmetros'!$B$4:$B$7,'Regras e Parâmetros'!$A$4:$A$7))</f>
        <v/>
      </c>
      <c r="J2252" t="s">
        <v>6456</v>
      </c>
      <c r="K2252" t="s">
        <v>708</v>
      </c>
      <c r="L2252" t="s">
        <v>9886</v>
      </c>
    </row>
    <row r="2253" spans="1:12" x14ac:dyDescent="0.3">
      <c r="A2253" t="s">
        <v>551</v>
      </c>
      <c r="B2253" s="5" t="s">
        <v>6748</v>
      </c>
      <c r="C2253" t="s">
        <v>6456</v>
      </c>
      <c r="D2253" t="s">
        <v>552</v>
      </c>
      <c r="E2253" t="s">
        <v>6749</v>
      </c>
      <c r="F2253" s="1">
        <v>44535</v>
      </c>
      <c r="G2253" t="s">
        <v>18</v>
      </c>
      <c r="H2253" s="24">
        <v>1392</v>
      </c>
      <c r="I2253" t="str">
        <f>IF(H2253&lt;=0,"",LOOKUP(H2253,'Regras e Parâmetros'!$B$4:$B$7,'Regras e Parâmetros'!$A$4:$A$7))</f>
        <v>Bronze</v>
      </c>
      <c r="J2253" t="s">
        <v>6747</v>
      </c>
    </row>
    <row r="2254" spans="1:12" x14ac:dyDescent="0.3">
      <c r="A2254" t="s">
        <v>8941</v>
      </c>
      <c r="B2254" s="5" t="s">
        <v>4496</v>
      </c>
      <c r="C2254" t="s">
        <v>6456</v>
      </c>
      <c r="D2254" t="s">
        <v>4497</v>
      </c>
      <c r="E2254" t="s">
        <v>4498</v>
      </c>
      <c r="F2254" s="1">
        <v>45865</v>
      </c>
      <c r="G2254" t="s">
        <v>100</v>
      </c>
      <c r="H2254" s="24">
        <v>0</v>
      </c>
      <c r="I2254" t="str">
        <f>IF(H2254&lt;=0,"",LOOKUP(H2254,'Regras e Parâmetros'!$B$4:$B$7,'Regras e Parâmetros'!$A$4:$A$7))</f>
        <v/>
      </c>
      <c r="J2254" t="s">
        <v>6747</v>
      </c>
      <c r="L2254" t="s">
        <v>9883</v>
      </c>
    </row>
    <row r="2255" spans="1:12" x14ac:dyDescent="0.3">
      <c r="A2255" t="s">
        <v>7363</v>
      </c>
      <c r="B2255" s="5" t="s">
        <v>7364</v>
      </c>
      <c r="C2255" t="s">
        <v>6456</v>
      </c>
      <c r="D2255" t="s">
        <v>1622</v>
      </c>
      <c r="E2255" t="s">
        <v>1623</v>
      </c>
      <c r="F2255" s="1">
        <v>44916</v>
      </c>
      <c r="G2255" t="s">
        <v>51</v>
      </c>
      <c r="H2255" s="24">
        <v>9047</v>
      </c>
      <c r="I2255" t="str">
        <f>IF(H2255&lt;=0,"",LOOKUP(H2255,'Regras e Parâmetros'!$B$4:$B$7,'Regras e Parâmetros'!$A$4:$A$7))</f>
        <v>Ouro</v>
      </c>
      <c r="J2255" t="s">
        <v>6747</v>
      </c>
    </row>
    <row r="2256" spans="1:12" x14ac:dyDescent="0.3">
      <c r="A2256" t="s">
        <v>4571</v>
      </c>
      <c r="B2256" s="5" t="s">
        <v>4572</v>
      </c>
      <c r="C2256" t="s">
        <v>6456</v>
      </c>
      <c r="D2256" t="s">
        <v>4573</v>
      </c>
      <c r="E2256" t="s">
        <v>4574</v>
      </c>
      <c r="F2256" s="1">
        <v>45889</v>
      </c>
      <c r="G2256" t="s">
        <v>51</v>
      </c>
      <c r="H2256" s="24">
        <v>0</v>
      </c>
      <c r="I2256" t="str">
        <f>IF(H2256&lt;=0,"",LOOKUP(H2256,'Regras e Parâmetros'!$B$4:$B$7,'Regras e Parâmetros'!$A$4:$A$7))</f>
        <v/>
      </c>
      <c r="J2256" t="s">
        <v>6747</v>
      </c>
      <c r="L2256" t="s">
        <v>9883</v>
      </c>
    </row>
    <row r="2257" spans="1:12" x14ac:dyDescent="0.3">
      <c r="A2257" t="s">
        <v>1520</v>
      </c>
      <c r="B2257" s="5" t="s">
        <v>7303</v>
      </c>
      <c r="C2257" t="s">
        <v>6456</v>
      </c>
      <c r="D2257" t="s">
        <v>1521</v>
      </c>
      <c r="E2257" t="s">
        <v>1522</v>
      </c>
      <c r="F2257" s="1">
        <v>44885</v>
      </c>
      <c r="G2257" t="s">
        <v>51</v>
      </c>
      <c r="H2257" s="24">
        <v>6090</v>
      </c>
      <c r="I2257" t="str">
        <f>IF(H2257&lt;=0,"",LOOKUP(H2257,'Regras e Parâmetros'!$B$4:$B$7,'Regras e Parâmetros'!$A$4:$A$7))</f>
        <v>Ouro</v>
      </c>
      <c r="J2257" t="s">
        <v>9790</v>
      </c>
    </row>
    <row r="2258" spans="1:12" x14ac:dyDescent="0.3">
      <c r="A2258" t="s">
        <v>5802</v>
      </c>
      <c r="B2258" s="5" t="s">
        <v>9690</v>
      </c>
      <c r="C2258" t="s">
        <v>6456</v>
      </c>
      <c r="D2258" t="s">
        <v>5803</v>
      </c>
      <c r="E2258" t="s">
        <v>9691</v>
      </c>
      <c r="F2258" s="1">
        <v>46235</v>
      </c>
      <c r="G2258" t="s">
        <v>22</v>
      </c>
      <c r="H2258" s="24">
        <v>0</v>
      </c>
      <c r="I2258" t="str">
        <f>IF(H2258&lt;=0,"",LOOKUP(H2258,'Regras e Parâmetros'!$B$4:$B$7,'Regras e Parâmetros'!$A$4:$A$7))</f>
        <v/>
      </c>
      <c r="J2258" t="s">
        <v>6747</v>
      </c>
      <c r="L2258" t="s">
        <v>9884</v>
      </c>
    </row>
    <row r="2259" spans="1:12" x14ac:dyDescent="0.3">
      <c r="A2259" t="s">
        <v>5721</v>
      </c>
      <c r="B2259" s="5" t="s">
        <v>9653</v>
      </c>
      <c r="C2259" t="s">
        <v>6456</v>
      </c>
      <c r="D2259" t="s">
        <v>5722</v>
      </c>
      <c r="E2259" t="s">
        <v>5723</v>
      </c>
      <c r="F2259" s="1">
        <v>46225</v>
      </c>
      <c r="G2259" t="s">
        <v>51</v>
      </c>
      <c r="H2259" s="24">
        <v>0</v>
      </c>
      <c r="I2259" t="str">
        <f>IF(H2259&lt;=0,"",LOOKUP(H2259,'Regras e Parâmetros'!$B$4:$B$7,'Regras e Parâmetros'!$A$4:$A$7))</f>
        <v/>
      </c>
      <c r="J2259" t="s">
        <v>6456</v>
      </c>
      <c r="L2259" t="s">
        <v>9883</v>
      </c>
    </row>
    <row r="2260" spans="1:12" x14ac:dyDescent="0.3">
      <c r="A2260" t="s">
        <v>7234</v>
      </c>
      <c r="B2260" s="5" t="s">
        <v>7235</v>
      </c>
      <c r="C2260" t="s">
        <v>6456</v>
      </c>
      <c r="D2260" t="s">
        <v>1392</v>
      </c>
      <c r="E2260" t="s">
        <v>1393</v>
      </c>
      <c r="F2260" s="1">
        <v>44853</v>
      </c>
      <c r="G2260" t="s">
        <v>110</v>
      </c>
      <c r="H2260" s="24">
        <v>15000</v>
      </c>
      <c r="I2260" t="str">
        <f>IF(H2260&lt;=0,"",LOOKUP(H2260,'Regras e Parâmetros'!$B$4:$B$7,'Regras e Parâmetros'!$A$4:$A$7))</f>
        <v>Vip</v>
      </c>
      <c r="J2260" t="s">
        <v>6747</v>
      </c>
      <c r="K2260" t="s">
        <v>44</v>
      </c>
    </row>
    <row r="2261" spans="1:12" x14ac:dyDescent="0.3">
      <c r="A2261" t="s">
        <v>4123</v>
      </c>
      <c r="B2261" s="5" t="s">
        <v>4124</v>
      </c>
      <c r="C2261" t="s">
        <v>6456</v>
      </c>
      <c r="D2261" t="s">
        <v>5219</v>
      </c>
      <c r="E2261" t="s">
        <v>5220</v>
      </c>
      <c r="F2261" s="1">
        <v>45748</v>
      </c>
      <c r="G2261" t="s">
        <v>100</v>
      </c>
      <c r="H2261" s="24">
        <v>0</v>
      </c>
      <c r="I2261" t="str">
        <f>IF(H2261&lt;=0,"",LOOKUP(H2261,'Regras e Parâmetros'!$B$4:$B$7,'Regras e Parâmetros'!$A$4:$A$7))</f>
        <v/>
      </c>
      <c r="J2261" t="s">
        <v>6747</v>
      </c>
      <c r="K2261" t="s">
        <v>9894</v>
      </c>
      <c r="L2261" t="s">
        <v>9883</v>
      </c>
    </row>
    <row r="2262" spans="1:12" x14ac:dyDescent="0.3">
      <c r="A2262" t="s">
        <v>3578</v>
      </c>
      <c r="B2262" s="5" t="s">
        <v>8396</v>
      </c>
      <c r="C2262" t="s">
        <v>6456</v>
      </c>
      <c r="D2262" t="s">
        <v>3579</v>
      </c>
      <c r="E2262" t="s">
        <v>8397</v>
      </c>
      <c r="F2262" s="1">
        <v>45587</v>
      </c>
      <c r="G2262" t="s">
        <v>110</v>
      </c>
      <c r="H2262" s="24">
        <v>742</v>
      </c>
      <c r="I2262" t="str">
        <f>IF(H2262&lt;=0,"",LOOKUP(H2262,'Regras e Parâmetros'!$B$4:$B$7,'Regras e Parâmetros'!$A$4:$A$7))</f>
        <v>Bronze</v>
      </c>
      <c r="J2262" t="s">
        <v>6456</v>
      </c>
      <c r="K2262" t="s">
        <v>33</v>
      </c>
    </row>
    <row r="2263" spans="1:12" x14ac:dyDescent="0.3">
      <c r="A2263" t="s">
        <v>9704</v>
      </c>
      <c r="B2263" s="5" t="s">
        <v>9705</v>
      </c>
      <c r="C2263" t="s">
        <v>6456</v>
      </c>
      <c r="D2263" t="s">
        <v>5798</v>
      </c>
      <c r="E2263" t="s">
        <v>5799</v>
      </c>
      <c r="F2263" s="1">
        <v>46239</v>
      </c>
      <c r="G2263" t="s">
        <v>18</v>
      </c>
      <c r="H2263" s="24">
        <v>0</v>
      </c>
      <c r="I2263" t="str">
        <f>IF(H2263&lt;=0,"",LOOKUP(H2263,'Regras e Parâmetros'!$B$4:$B$7,'Regras e Parâmetros'!$A$4:$A$7))</f>
        <v/>
      </c>
      <c r="J2263" t="s">
        <v>9790</v>
      </c>
      <c r="L2263" t="s">
        <v>9883</v>
      </c>
    </row>
    <row r="2264" spans="1:12" x14ac:dyDescent="0.3">
      <c r="A2264" t="s">
        <v>3194</v>
      </c>
      <c r="B2264" s="5" t="s">
        <v>8204</v>
      </c>
      <c r="C2264" t="s">
        <v>6456</v>
      </c>
      <c r="D2264" t="s">
        <v>3195</v>
      </c>
      <c r="E2264" t="s">
        <v>3196</v>
      </c>
      <c r="F2264" s="1">
        <v>45462</v>
      </c>
      <c r="G2264" t="s">
        <v>100</v>
      </c>
      <c r="H2264" s="24">
        <v>1240</v>
      </c>
      <c r="I2264" t="str">
        <f>IF(H2264&lt;=0,"",LOOKUP(H2264,'Regras e Parâmetros'!$B$4:$B$7,'Regras e Parâmetros'!$A$4:$A$7))</f>
        <v>Bronze</v>
      </c>
      <c r="J2264" t="s">
        <v>9790</v>
      </c>
      <c r="K2264" t="s">
        <v>72</v>
      </c>
    </row>
    <row r="2265" spans="1:12" x14ac:dyDescent="0.3">
      <c r="A2265" t="s">
        <v>136</v>
      </c>
      <c r="B2265" s="5" t="s">
        <v>6529</v>
      </c>
      <c r="C2265" t="s">
        <v>6456</v>
      </c>
      <c r="D2265" t="s">
        <v>137</v>
      </c>
      <c r="E2265" t="s">
        <v>6530</v>
      </c>
      <c r="F2265" s="1">
        <v>44392</v>
      </c>
      <c r="G2265" t="s">
        <v>100</v>
      </c>
      <c r="H2265" s="24">
        <v>2982</v>
      </c>
      <c r="I2265" t="str">
        <f>IF(H2265&lt;=0,"",LOOKUP(H2265,'Regras e Parâmetros'!$B$4:$B$7,'Regras e Parâmetros'!$A$4:$A$7))</f>
        <v>Prata</v>
      </c>
      <c r="J2265" t="s">
        <v>6747</v>
      </c>
      <c r="K2265" t="s">
        <v>33</v>
      </c>
    </row>
    <row r="2266" spans="1:12" x14ac:dyDescent="0.3">
      <c r="A2266" t="s">
        <v>4236</v>
      </c>
      <c r="B2266" s="5" t="s">
        <v>4237</v>
      </c>
      <c r="C2266" t="s">
        <v>6456</v>
      </c>
      <c r="D2266" t="s">
        <v>1114</v>
      </c>
      <c r="E2266" t="s">
        <v>8796</v>
      </c>
      <c r="F2266" s="1">
        <v>45784</v>
      </c>
      <c r="G2266" t="s">
        <v>110</v>
      </c>
      <c r="H2266" s="24">
        <v>0</v>
      </c>
      <c r="I2266" t="str">
        <f>IF(H2266&lt;=0,"",LOOKUP(H2266,'Regras e Parâmetros'!$B$4:$B$7,'Regras e Parâmetros'!$A$4:$A$7))</f>
        <v/>
      </c>
      <c r="J2266" t="s">
        <v>9790</v>
      </c>
      <c r="L2266" t="s">
        <v>9883</v>
      </c>
    </row>
    <row r="2267" spans="1:12" x14ac:dyDescent="0.3">
      <c r="A2267" t="s">
        <v>459</v>
      </c>
      <c r="B2267" s="5" t="s">
        <v>6704</v>
      </c>
      <c r="C2267" t="s">
        <v>6456</v>
      </c>
      <c r="D2267" t="s">
        <v>460</v>
      </c>
      <c r="E2267" t="s">
        <v>6705</v>
      </c>
      <c r="F2267" s="1">
        <v>44507</v>
      </c>
      <c r="G2267" t="s">
        <v>51</v>
      </c>
      <c r="H2267" s="24">
        <v>1519</v>
      </c>
      <c r="I2267" t="str">
        <f>IF(H2267&lt;=0,"",LOOKUP(H2267,'Regras e Parâmetros'!$B$4:$B$7,'Regras e Parâmetros'!$A$4:$A$7))</f>
        <v>Prata</v>
      </c>
      <c r="J2267" t="s">
        <v>6456</v>
      </c>
    </row>
    <row r="2268" spans="1:12" x14ac:dyDescent="0.3">
      <c r="A2268" t="s">
        <v>5616</v>
      </c>
      <c r="B2268" s="5" t="s">
        <v>9593</v>
      </c>
      <c r="C2268" t="s">
        <v>6456</v>
      </c>
      <c r="D2268" t="s">
        <v>5617</v>
      </c>
      <c r="E2268" t="s">
        <v>9594</v>
      </c>
      <c r="F2268" s="1">
        <v>46191</v>
      </c>
      <c r="G2268" t="s">
        <v>45</v>
      </c>
      <c r="H2268" s="24">
        <v>0</v>
      </c>
      <c r="I2268" t="str">
        <f>IF(H2268&lt;=0,"",LOOKUP(H2268,'Regras e Parâmetros'!$B$4:$B$7,'Regras e Parâmetros'!$A$4:$A$7))</f>
        <v/>
      </c>
      <c r="J2268" t="s">
        <v>9790</v>
      </c>
      <c r="L2268" t="s">
        <v>9883</v>
      </c>
    </row>
    <row r="2269" spans="1:12" x14ac:dyDescent="0.3">
      <c r="A2269" t="s">
        <v>3315</v>
      </c>
      <c r="B2269" s="5" t="s">
        <v>8269</v>
      </c>
      <c r="C2269" t="s">
        <v>6456</v>
      </c>
      <c r="D2269" t="s">
        <v>3316</v>
      </c>
      <c r="E2269" t="s">
        <v>8270</v>
      </c>
      <c r="F2269" s="1">
        <v>45506</v>
      </c>
      <c r="G2269" t="s">
        <v>18</v>
      </c>
      <c r="H2269" s="24">
        <v>0</v>
      </c>
      <c r="I2269" t="str">
        <f>IF(H2269&lt;=0,"",LOOKUP(H2269,'Regras e Parâmetros'!$B$4:$B$7,'Regras e Parâmetros'!$A$4:$A$7))</f>
        <v/>
      </c>
      <c r="J2269" t="s">
        <v>6747</v>
      </c>
    </row>
    <row r="2270" spans="1:12" x14ac:dyDescent="0.3">
      <c r="A2270" t="s">
        <v>5228</v>
      </c>
      <c r="B2270" s="5" t="s">
        <v>9376</v>
      </c>
      <c r="C2270" t="s">
        <v>6456</v>
      </c>
      <c r="D2270" t="s">
        <v>5229</v>
      </c>
      <c r="E2270" t="s">
        <v>10144</v>
      </c>
      <c r="F2270" s="1">
        <v>46081</v>
      </c>
      <c r="G2270" t="s">
        <v>18</v>
      </c>
      <c r="H2270" s="24">
        <v>0</v>
      </c>
      <c r="I2270" t="str">
        <f>IF(H2270&lt;=0,"",LOOKUP(H2270,'Regras e Parâmetros'!$B$4:$B$7,'Regras e Parâmetros'!$A$4:$A$7))</f>
        <v/>
      </c>
      <c r="J2270" t="s">
        <v>6456</v>
      </c>
      <c r="L2270" t="s">
        <v>9883</v>
      </c>
    </row>
    <row r="2271" spans="1:12" x14ac:dyDescent="0.3">
      <c r="A2271" t="s">
        <v>6711</v>
      </c>
      <c r="B2271" s="5" t="s">
        <v>6712</v>
      </c>
      <c r="C2271" t="s">
        <v>6456</v>
      </c>
      <c r="D2271" t="s">
        <v>469</v>
      </c>
      <c r="E2271" t="s">
        <v>470</v>
      </c>
      <c r="F2271" s="1">
        <v>44510</v>
      </c>
      <c r="G2271" t="s">
        <v>51</v>
      </c>
      <c r="H2271" s="24">
        <v>717</v>
      </c>
      <c r="I2271" t="str">
        <f>IF(H2271&lt;=0,"",LOOKUP(H2271,'Regras e Parâmetros'!$B$4:$B$7,'Regras e Parâmetros'!$A$4:$A$7))</f>
        <v>Bronze</v>
      </c>
      <c r="J2271" t="s">
        <v>9790</v>
      </c>
    </row>
    <row r="2272" spans="1:12" x14ac:dyDescent="0.3">
      <c r="A2272" t="s">
        <v>685</v>
      </c>
      <c r="B2272" s="5" t="s">
        <v>6825</v>
      </c>
      <c r="C2272" t="s">
        <v>6456</v>
      </c>
      <c r="D2272" t="s">
        <v>686</v>
      </c>
      <c r="E2272" t="s">
        <v>6826</v>
      </c>
      <c r="F2272" s="1">
        <v>44585</v>
      </c>
      <c r="G2272" t="s">
        <v>45</v>
      </c>
      <c r="H2272" s="24">
        <v>13615</v>
      </c>
      <c r="I2272" t="str">
        <f>IF(H2272&lt;=0,"",LOOKUP(H2272,'Regras e Parâmetros'!$B$4:$B$7,'Regras e Parâmetros'!$A$4:$A$7))</f>
        <v>Vip</v>
      </c>
      <c r="J2272" t="s">
        <v>6456</v>
      </c>
      <c r="K2272" t="s">
        <v>10029</v>
      </c>
    </row>
    <row r="2273" spans="1:12" x14ac:dyDescent="0.3">
      <c r="A2273" t="s">
        <v>1272</v>
      </c>
      <c r="B2273" s="5" t="s">
        <v>6064</v>
      </c>
      <c r="C2273" t="s">
        <v>6456</v>
      </c>
      <c r="D2273" t="s">
        <v>2256</v>
      </c>
      <c r="E2273" t="s">
        <v>7044</v>
      </c>
      <c r="F2273" s="1">
        <v>44730</v>
      </c>
      <c r="G2273" t="s">
        <v>51</v>
      </c>
      <c r="H2273" s="24">
        <v>1413</v>
      </c>
      <c r="I2273" t="str">
        <f>IF(H2273&lt;=0,"",LOOKUP(H2273,'Regras e Parâmetros'!$B$4:$B$7,'Regras e Parâmetros'!$A$4:$A$7))</f>
        <v>Bronze</v>
      </c>
      <c r="J2273" t="s">
        <v>6456</v>
      </c>
      <c r="K2273" t="s">
        <v>9819</v>
      </c>
    </row>
    <row r="2274" spans="1:12" x14ac:dyDescent="0.3">
      <c r="A2274" t="s">
        <v>3334</v>
      </c>
      <c r="B2274" s="5" t="s">
        <v>8278</v>
      </c>
      <c r="C2274" t="s">
        <v>6456</v>
      </c>
      <c r="D2274" t="s">
        <v>3335</v>
      </c>
      <c r="E2274" t="s">
        <v>3336</v>
      </c>
      <c r="F2274" s="1">
        <v>45508</v>
      </c>
      <c r="G2274" t="s">
        <v>110</v>
      </c>
      <c r="H2274" s="24">
        <v>1559</v>
      </c>
      <c r="I2274" t="str">
        <f>IF(H2274&lt;=0,"",LOOKUP(H2274,'Regras e Parâmetros'!$B$4:$B$7,'Regras e Parâmetros'!$A$4:$A$7))</f>
        <v>Prata</v>
      </c>
      <c r="J2274" t="s">
        <v>9790</v>
      </c>
    </row>
    <row r="2275" spans="1:12" x14ac:dyDescent="0.3">
      <c r="A2275" t="s">
        <v>3331</v>
      </c>
      <c r="B2275" s="5" t="s">
        <v>8277</v>
      </c>
      <c r="C2275" t="s">
        <v>6456</v>
      </c>
      <c r="D2275" t="s">
        <v>3332</v>
      </c>
      <c r="E2275" t="s">
        <v>3333</v>
      </c>
      <c r="F2275" s="1">
        <v>45508</v>
      </c>
      <c r="G2275" t="s">
        <v>100</v>
      </c>
      <c r="H2275" s="24">
        <v>96</v>
      </c>
      <c r="I2275" t="str">
        <f>IF(H2275&lt;=0,"",LOOKUP(H2275,'Regras e Parâmetros'!$B$4:$B$7,'Regras e Parâmetros'!$A$4:$A$7))</f>
        <v>Bronze</v>
      </c>
      <c r="J2275" t="s">
        <v>9790</v>
      </c>
    </row>
    <row r="2276" spans="1:12" x14ac:dyDescent="0.3">
      <c r="A2276" t="s">
        <v>5286</v>
      </c>
      <c r="B2276" s="5" t="s">
        <v>9421</v>
      </c>
      <c r="C2276" t="s">
        <v>6456</v>
      </c>
      <c r="D2276" t="s">
        <v>5287</v>
      </c>
      <c r="E2276" t="s">
        <v>5288</v>
      </c>
      <c r="F2276" s="1">
        <v>46104</v>
      </c>
      <c r="G2276" t="s">
        <v>110</v>
      </c>
      <c r="H2276" s="24">
        <v>0</v>
      </c>
      <c r="I2276" t="str">
        <f>IF(H2276&lt;=0,"",LOOKUP(H2276,'Regras e Parâmetros'!$B$4:$B$7,'Regras e Parâmetros'!$A$4:$A$7))</f>
        <v/>
      </c>
      <c r="J2276" t="s">
        <v>6747</v>
      </c>
      <c r="K2276" t="s">
        <v>44</v>
      </c>
      <c r="L2276" t="s">
        <v>9883</v>
      </c>
    </row>
    <row r="2277" spans="1:12" x14ac:dyDescent="0.3">
      <c r="A2277" t="s">
        <v>9111</v>
      </c>
      <c r="B2277" s="5" t="s">
        <v>9112</v>
      </c>
      <c r="C2277" t="s">
        <v>6456</v>
      </c>
      <c r="D2277" t="s">
        <v>4762</v>
      </c>
      <c r="E2277" t="s">
        <v>4763</v>
      </c>
      <c r="F2277" s="1">
        <v>45945</v>
      </c>
      <c r="G2277" t="s">
        <v>51</v>
      </c>
      <c r="H2277" s="24">
        <v>0</v>
      </c>
      <c r="I2277" t="str">
        <f>IF(H2277&lt;=0,"",LOOKUP(H2277,'Regras e Parâmetros'!$B$4:$B$7,'Regras e Parâmetros'!$A$4:$A$7))</f>
        <v/>
      </c>
      <c r="J2277" t="s">
        <v>6456</v>
      </c>
      <c r="K2277" t="s">
        <v>187</v>
      </c>
      <c r="L2277" t="s">
        <v>9886</v>
      </c>
    </row>
    <row r="2278" spans="1:12" x14ac:dyDescent="0.3">
      <c r="A2278" t="s">
        <v>722</v>
      </c>
      <c r="B2278" s="5" t="s">
        <v>6855</v>
      </c>
      <c r="C2278" t="s">
        <v>6456</v>
      </c>
      <c r="D2278" t="s">
        <v>723</v>
      </c>
      <c r="E2278" t="s">
        <v>6856</v>
      </c>
      <c r="F2278" s="1">
        <v>44601</v>
      </c>
      <c r="G2278" t="s">
        <v>51</v>
      </c>
      <c r="H2278" s="24">
        <v>4553</v>
      </c>
      <c r="I2278" t="str">
        <f>IF(H2278&lt;=0,"",LOOKUP(H2278,'Regras e Parâmetros'!$B$4:$B$7,'Regras e Parâmetros'!$A$4:$A$7))</f>
        <v>Prata</v>
      </c>
      <c r="J2278" t="s">
        <v>6456</v>
      </c>
    </row>
    <row r="2279" spans="1:12" x14ac:dyDescent="0.3">
      <c r="A2279" t="s">
        <v>3197</v>
      </c>
      <c r="B2279" s="5" t="s">
        <v>8205</v>
      </c>
      <c r="C2279" t="s">
        <v>6456</v>
      </c>
      <c r="D2279" t="s">
        <v>3198</v>
      </c>
      <c r="E2279" t="s">
        <v>10145</v>
      </c>
      <c r="F2279" s="1">
        <v>45462</v>
      </c>
      <c r="G2279" t="s">
        <v>51</v>
      </c>
      <c r="H2279" s="24">
        <v>569</v>
      </c>
      <c r="I2279" t="str">
        <f>IF(H2279&lt;=0,"",LOOKUP(H2279,'Regras e Parâmetros'!$B$4:$B$7,'Regras e Parâmetros'!$A$4:$A$7))</f>
        <v>Bronze</v>
      </c>
      <c r="J2279" t="s">
        <v>6456</v>
      </c>
    </row>
    <row r="2280" spans="1:12" x14ac:dyDescent="0.3">
      <c r="A2280" t="s">
        <v>7921</v>
      </c>
      <c r="B2280" s="5" t="s">
        <v>7922</v>
      </c>
      <c r="C2280" t="s">
        <v>6456</v>
      </c>
      <c r="D2280" t="s">
        <v>7923</v>
      </c>
      <c r="E2280" t="s">
        <v>7924</v>
      </c>
      <c r="F2280" s="1">
        <v>45238</v>
      </c>
      <c r="G2280" t="s">
        <v>45</v>
      </c>
      <c r="H2280" s="24">
        <v>2915</v>
      </c>
      <c r="I2280" t="str">
        <f>IF(H2280&lt;=0,"",LOOKUP(H2280,'Regras e Parâmetros'!$B$4:$B$7,'Regras e Parâmetros'!$A$4:$A$7))</f>
        <v>Prata</v>
      </c>
      <c r="J2280" t="s">
        <v>6747</v>
      </c>
    </row>
    <row r="2281" spans="1:12" x14ac:dyDescent="0.3">
      <c r="A2281" t="s">
        <v>3652</v>
      </c>
      <c r="B2281" s="5" t="s">
        <v>8451</v>
      </c>
      <c r="C2281" t="s">
        <v>6456</v>
      </c>
      <c r="D2281" t="s">
        <v>3653</v>
      </c>
      <c r="E2281" t="s">
        <v>3654</v>
      </c>
      <c r="F2281" s="1">
        <v>45612</v>
      </c>
      <c r="G2281" t="s">
        <v>45</v>
      </c>
      <c r="H2281" s="24">
        <v>716</v>
      </c>
      <c r="I2281" t="str">
        <f>IF(H2281&lt;=0,"",LOOKUP(H2281,'Regras e Parâmetros'!$B$4:$B$7,'Regras e Parâmetros'!$A$4:$A$7))</f>
        <v>Bronze</v>
      </c>
      <c r="J2281" t="s">
        <v>9790</v>
      </c>
      <c r="K2281" t="s">
        <v>187</v>
      </c>
    </row>
    <row r="2282" spans="1:12" x14ac:dyDescent="0.3">
      <c r="A2282" t="s">
        <v>4085</v>
      </c>
      <c r="B2282" s="5" t="s">
        <v>8708</v>
      </c>
      <c r="C2282" t="s">
        <v>6456</v>
      </c>
      <c r="D2282" t="s">
        <v>4086</v>
      </c>
      <c r="E2282" t="s">
        <v>10146</v>
      </c>
      <c r="F2282" s="1">
        <v>45740</v>
      </c>
      <c r="G2282" t="s">
        <v>18</v>
      </c>
      <c r="H2282" s="24">
        <v>0</v>
      </c>
      <c r="I2282" t="str">
        <f>IF(H2282&lt;=0,"",LOOKUP(H2282,'Regras e Parâmetros'!$B$4:$B$7,'Regras e Parâmetros'!$A$4:$A$7))</f>
        <v/>
      </c>
      <c r="J2282" t="s">
        <v>6747</v>
      </c>
      <c r="K2282" t="s">
        <v>708</v>
      </c>
      <c r="L2282" t="s">
        <v>10152</v>
      </c>
    </row>
    <row r="2283" spans="1:12" x14ac:dyDescent="0.3">
      <c r="A2283" t="s">
        <v>3476</v>
      </c>
      <c r="B2283" s="5" t="s">
        <v>3477</v>
      </c>
      <c r="C2283" t="s">
        <v>6456</v>
      </c>
      <c r="D2283" t="s">
        <v>3478</v>
      </c>
      <c r="E2283" t="s">
        <v>8350</v>
      </c>
      <c r="F2283" s="1">
        <v>45563</v>
      </c>
      <c r="G2283" t="s">
        <v>110</v>
      </c>
      <c r="H2283" s="24">
        <v>139</v>
      </c>
      <c r="I2283" t="str">
        <f>IF(H2283&lt;=0,"",LOOKUP(H2283,'Regras e Parâmetros'!$B$4:$B$7,'Regras e Parâmetros'!$A$4:$A$7))</f>
        <v>Bronze</v>
      </c>
      <c r="J2283" t="s">
        <v>9790</v>
      </c>
    </row>
    <row r="2284" spans="1:12" x14ac:dyDescent="0.3">
      <c r="A2284" t="s">
        <v>1597</v>
      </c>
      <c r="B2284" s="5" t="s">
        <v>7345</v>
      </c>
      <c r="C2284" t="s">
        <v>6456</v>
      </c>
      <c r="D2284" t="s">
        <v>1598</v>
      </c>
      <c r="E2284" t="s">
        <v>7346</v>
      </c>
      <c r="F2284" s="1">
        <v>44905</v>
      </c>
      <c r="G2284" t="s">
        <v>51</v>
      </c>
      <c r="H2284" s="24">
        <v>3122</v>
      </c>
      <c r="I2284" t="str">
        <f>IF(H2284&lt;=0,"",LOOKUP(H2284,'Regras e Parâmetros'!$B$4:$B$7,'Regras e Parâmetros'!$A$4:$A$7))</f>
        <v>Prata</v>
      </c>
      <c r="J2284" t="s">
        <v>6456</v>
      </c>
      <c r="K2284" t="s">
        <v>8</v>
      </c>
    </row>
    <row r="2285" spans="1:12" x14ac:dyDescent="0.3">
      <c r="A2285" t="s">
        <v>438</v>
      </c>
      <c r="B2285" s="5" t="s">
        <v>6695</v>
      </c>
      <c r="C2285" t="s">
        <v>6456</v>
      </c>
      <c r="D2285" t="s">
        <v>439</v>
      </c>
      <c r="E2285" t="s">
        <v>440</v>
      </c>
      <c r="F2285" s="1">
        <v>44500</v>
      </c>
      <c r="G2285" t="s">
        <v>51</v>
      </c>
      <c r="H2285" s="24">
        <v>2100</v>
      </c>
      <c r="I2285" t="str">
        <f>IF(H2285&lt;=0,"",LOOKUP(H2285,'Regras e Parâmetros'!$B$4:$B$7,'Regras e Parâmetros'!$A$4:$A$7))</f>
        <v>Prata</v>
      </c>
      <c r="J2285" t="s">
        <v>6747</v>
      </c>
      <c r="L2285" t="s">
        <v>9795</v>
      </c>
    </row>
    <row r="2286" spans="1:12" x14ac:dyDescent="0.3">
      <c r="A2286" t="s">
        <v>8797</v>
      </c>
      <c r="B2286" s="5" t="s">
        <v>8798</v>
      </c>
      <c r="C2286" t="s">
        <v>6456</v>
      </c>
      <c r="D2286" t="s">
        <v>4238</v>
      </c>
      <c r="E2286" t="s">
        <v>8799</v>
      </c>
      <c r="F2286" s="1">
        <v>45785</v>
      </c>
      <c r="G2286" t="s">
        <v>22</v>
      </c>
      <c r="H2286" s="24">
        <v>0</v>
      </c>
      <c r="I2286" t="str">
        <f>IF(H2286&lt;=0,"",LOOKUP(H2286,'Regras e Parâmetros'!$B$4:$B$7,'Regras e Parâmetros'!$A$4:$A$7))</f>
        <v/>
      </c>
      <c r="J2286" t="s">
        <v>6456</v>
      </c>
      <c r="L2286" t="s">
        <v>9883</v>
      </c>
    </row>
    <row r="2287" spans="1:12" x14ac:dyDescent="0.3">
      <c r="A2287" t="s">
        <v>5115</v>
      </c>
      <c r="B2287" s="5" t="s">
        <v>5116</v>
      </c>
      <c r="C2287" t="s">
        <v>6456</v>
      </c>
      <c r="D2287" t="s">
        <v>5117</v>
      </c>
      <c r="E2287" t="s">
        <v>5118</v>
      </c>
      <c r="F2287" s="1">
        <v>46050</v>
      </c>
      <c r="G2287" t="s">
        <v>18</v>
      </c>
      <c r="H2287" s="24">
        <v>0</v>
      </c>
      <c r="I2287" t="str">
        <f>IF(H2287&lt;=0,"",LOOKUP(H2287,'Regras e Parâmetros'!$B$4:$B$7,'Regras e Parâmetros'!$A$4:$A$7))</f>
        <v/>
      </c>
      <c r="J2287" t="s">
        <v>9790</v>
      </c>
      <c r="K2287" t="s">
        <v>187</v>
      </c>
      <c r="L2287" t="s">
        <v>9886</v>
      </c>
    </row>
    <row r="2288" spans="1:12" x14ac:dyDescent="0.3">
      <c r="A2288" t="s">
        <v>3617</v>
      </c>
      <c r="B2288" s="5" t="s">
        <v>8433</v>
      </c>
      <c r="C2288" t="s">
        <v>6456</v>
      </c>
      <c r="D2288" t="s">
        <v>3618</v>
      </c>
      <c r="E2288" t="s">
        <v>3619</v>
      </c>
      <c r="F2288" s="1">
        <v>45600</v>
      </c>
      <c r="G2288" t="s">
        <v>51</v>
      </c>
      <c r="H2288" s="24">
        <v>861</v>
      </c>
      <c r="I2288" t="str">
        <f>IF(H2288&lt;=0,"",LOOKUP(H2288,'Regras e Parâmetros'!$B$4:$B$7,'Regras e Parâmetros'!$A$4:$A$7))</f>
        <v>Bronze</v>
      </c>
      <c r="J2288" t="s">
        <v>9790</v>
      </c>
    </row>
    <row r="2289" spans="1:12" x14ac:dyDescent="0.3">
      <c r="A2289" t="s">
        <v>2390</v>
      </c>
      <c r="B2289" s="5" t="s">
        <v>2391</v>
      </c>
      <c r="C2289" t="s">
        <v>6456</v>
      </c>
      <c r="D2289" t="s">
        <v>2392</v>
      </c>
      <c r="E2289" t="s">
        <v>7800</v>
      </c>
      <c r="F2289" s="1">
        <v>45158</v>
      </c>
      <c r="G2289" t="s">
        <v>110</v>
      </c>
      <c r="H2289" s="24">
        <v>647</v>
      </c>
      <c r="I2289" t="str">
        <f>IF(H2289&lt;=0,"",LOOKUP(H2289,'Regras e Parâmetros'!$B$4:$B$7,'Regras e Parâmetros'!$A$4:$A$7))</f>
        <v>Bronze</v>
      </c>
      <c r="J2289" t="s">
        <v>6747</v>
      </c>
    </row>
    <row r="2290" spans="1:12" x14ac:dyDescent="0.3">
      <c r="A2290" t="s">
        <v>3288</v>
      </c>
      <c r="B2290" s="5" t="s">
        <v>8260</v>
      </c>
      <c r="C2290" t="s">
        <v>6456</v>
      </c>
      <c r="D2290" t="s">
        <v>3289</v>
      </c>
      <c r="E2290" t="s">
        <v>8261</v>
      </c>
      <c r="F2290" s="1">
        <v>45495</v>
      </c>
      <c r="G2290" t="s">
        <v>45</v>
      </c>
      <c r="H2290" s="24">
        <v>109</v>
      </c>
      <c r="I2290" t="str">
        <f>IF(H2290&lt;=0,"",LOOKUP(H2290,'Regras e Parâmetros'!$B$4:$B$7,'Regras e Parâmetros'!$A$4:$A$7))</f>
        <v>Bronze</v>
      </c>
      <c r="J2290" t="s">
        <v>9790</v>
      </c>
    </row>
    <row r="2291" spans="1:12" x14ac:dyDescent="0.3">
      <c r="A2291" t="s">
        <v>3518</v>
      </c>
      <c r="B2291" s="5" t="s">
        <v>8368</v>
      </c>
      <c r="C2291" t="s">
        <v>6456</v>
      </c>
      <c r="D2291" t="s">
        <v>3519</v>
      </c>
      <c r="E2291" t="s">
        <v>8369</v>
      </c>
      <c r="F2291" s="1">
        <v>45571</v>
      </c>
      <c r="G2291" t="s">
        <v>51</v>
      </c>
      <c r="H2291" s="24">
        <v>0</v>
      </c>
      <c r="I2291" t="str">
        <f>IF(H2291&lt;=0,"",LOOKUP(H2291,'Regras e Parâmetros'!$B$4:$B$7,'Regras e Parâmetros'!$A$4:$A$7))</f>
        <v/>
      </c>
      <c r="J2291" t="s">
        <v>9790</v>
      </c>
    </row>
    <row r="2292" spans="1:12" x14ac:dyDescent="0.3">
      <c r="A2292" t="s">
        <v>2830</v>
      </c>
      <c r="B2292" s="5" t="s">
        <v>8037</v>
      </c>
      <c r="C2292" t="s">
        <v>6456</v>
      </c>
      <c r="D2292" t="s">
        <v>2831</v>
      </c>
      <c r="E2292" t="s">
        <v>2832</v>
      </c>
      <c r="F2292" s="1">
        <v>45323</v>
      </c>
      <c r="G2292" t="s">
        <v>51</v>
      </c>
      <c r="H2292" s="24">
        <v>70</v>
      </c>
      <c r="I2292" t="str">
        <f>IF(H2292&lt;=0,"",LOOKUP(H2292,'Regras e Parâmetros'!$B$4:$B$7,'Regras e Parâmetros'!$A$4:$A$7))</f>
        <v>Bronze</v>
      </c>
      <c r="J2292" t="s">
        <v>9790</v>
      </c>
      <c r="K2292" t="s">
        <v>33</v>
      </c>
      <c r="L2292" t="s">
        <v>9791</v>
      </c>
    </row>
    <row r="2293" spans="1:12" x14ac:dyDescent="0.3">
      <c r="A2293" t="s">
        <v>963</v>
      </c>
      <c r="B2293" s="5" t="s">
        <v>6997</v>
      </c>
      <c r="C2293" t="s">
        <v>6456</v>
      </c>
      <c r="D2293" t="s">
        <v>964</v>
      </c>
      <c r="E2293" t="s">
        <v>965</v>
      </c>
      <c r="F2293" s="1">
        <v>44692</v>
      </c>
      <c r="G2293" t="s">
        <v>22</v>
      </c>
      <c r="H2293" s="24">
        <v>2700</v>
      </c>
      <c r="I2293" t="str">
        <f>IF(H2293&lt;=0,"",LOOKUP(H2293,'Regras e Parâmetros'!$B$4:$B$7,'Regras e Parâmetros'!$A$4:$A$7))</f>
        <v>Prata</v>
      </c>
      <c r="J2293" t="s">
        <v>6747</v>
      </c>
      <c r="L2293" t="s">
        <v>9793</v>
      </c>
    </row>
    <row r="2294" spans="1:12" x14ac:dyDescent="0.3">
      <c r="A2294" t="s">
        <v>9387</v>
      </c>
      <c r="B2294" s="5" t="s">
        <v>9388</v>
      </c>
      <c r="C2294" t="s">
        <v>6456</v>
      </c>
      <c r="D2294" t="s">
        <v>5246</v>
      </c>
      <c r="E2294" t="s">
        <v>5247</v>
      </c>
      <c r="F2294" s="1">
        <v>46087</v>
      </c>
      <c r="G2294" t="s">
        <v>51</v>
      </c>
      <c r="H2294" s="24">
        <v>0</v>
      </c>
      <c r="I2294" t="str">
        <f>IF(H2294&lt;=0,"",LOOKUP(H2294,'Regras e Parâmetros'!$B$4:$B$7,'Regras e Parâmetros'!$A$4:$A$7))</f>
        <v/>
      </c>
      <c r="J2294" t="s">
        <v>6747</v>
      </c>
      <c r="L2294" t="s">
        <v>9886</v>
      </c>
    </row>
    <row r="2295" spans="1:12" x14ac:dyDescent="0.3">
      <c r="A2295" t="s">
        <v>8380</v>
      </c>
      <c r="B2295" s="5" t="s">
        <v>8381</v>
      </c>
      <c r="C2295" t="s">
        <v>6456</v>
      </c>
      <c r="D2295" t="s">
        <v>3551</v>
      </c>
      <c r="E2295" t="s">
        <v>3552</v>
      </c>
      <c r="F2295" s="1">
        <v>45583</v>
      </c>
      <c r="G2295" t="s">
        <v>45</v>
      </c>
      <c r="H2295" s="24">
        <v>0</v>
      </c>
      <c r="I2295" t="str">
        <f>IF(H2295&lt;=0,"",LOOKUP(H2295,'Regras e Parâmetros'!$B$4:$B$7,'Regras e Parâmetros'!$A$4:$A$7))</f>
        <v/>
      </c>
      <c r="J2295" t="s">
        <v>9790</v>
      </c>
      <c r="L2295" t="s">
        <v>9792</v>
      </c>
    </row>
    <row r="2296" spans="1:12" x14ac:dyDescent="0.3">
      <c r="A2296" t="s">
        <v>1552</v>
      </c>
      <c r="B2296" s="5" t="s">
        <v>1553</v>
      </c>
      <c r="C2296" t="s">
        <v>6456</v>
      </c>
      <c r="E2296" t="s">
        <v>1554</v>
      </c>
      <c r="F2296" s="1">
        <v>44892</v>
      </c>
      <c r="G2296" t="s">
        <v>110</v>
      </c>
      <c r="H2296" s="24">
        <v>15000</v>
      </c>
      <c r="I2296" t="str">
        <f>IF(H2296&lt;=0,"",LOOKUP(H2296,'Regras e Parâmetros'!$B$4:$B$7,'Regras e Parâmetros'!$A$4:$A$7))</f>
        <v>Vip</v>
      </c>
      <c r="J2296" t="s">
        <v>6747</v>
      </c>
      <c r="K2296" t="s">
        <v>187</v>
      </c>
      <c r="L2296" t="s">
        <v>9829</v>
      </c>
    </row>
    <row r="2297" spans="1:12" x14ac:dyDescent="0.3">
      <c r="A2297" t="s">
        <v>8298</v>
      </c>
      <c r="B2297" s="5" t="s">
        <v>8299</v>
      </c>
      <c r="C2297" t="s">
        <v>6456</v>
      </c>
      <c r="E2297" t="s">
        <v>8300</v>
      </c>
      <c r="F2297" s="1">
        <v>45515</v>
      </c>
      <c r="G2297" t="s">
        <v>45</v>
      </c>
      <c r="H2297" s="24">
        <v>885</v>
      </c>
      <c r="I2297" t="str">
        <f>IF(H2297&lt;=0,"",LOOKUP(H2297,'Regras e Parâmetros'!$B$4:$B$7,'Regras e Parâmetros'!$A$4:$A$7))</f>
        <v>Bronze</v>
      </c>
      <c r="J2297" t="s">
        <v>9790</v>
      </c>
      <c r="L2297" t="s">
        <v>9804</v>
      </c>
    </row>
    <row r="2298" spans="1:12" x14ac:dyDescent="0.3">
      <c r="A2298" t="s">
        <v>8895</v>
      </c>
      <c r="B2298" s="5" t="s">
        <v>8896</v>
      </c>
      <c r="C2298" t="s">
        <v>6456</v>
      </c>
      <c r="D2298" t="s">
        <v>4423</v>
      </c>
      <c r="E2298" t="s">
        <v>4424</v>
      </c>
      <c r="F2298" s="1">
        <v>45846</v>
      </c>
      <c r="G2298" t="s">
        <v>18</v>
      </c>
      <c r="H2298" s="24">
        <v>0</v>
      </c>
      <c r="I2298" t="str">
        <f>IF(H2298&lt;=0,"",LOOKUP(H2298,'Regras e Parâmetros'!$B$4:$B$7,'Regras e Parâmetros'!$A$4:$A$7))</f>
        <v/>
      </c>
      <c r="J2298" t="s">
        <v>6456</v>
      </c>
      <c r="L2298" t="s">
        <v>9883</v>
      </c>
    </row>
    <row r="2299" spans="1:12" x14ac:dyDescent="0.3">
      <c r="A2299" t="s">
        <v>1871</v>
      </c>
      <c r="B2299" s="5" t="s">
        <v>1872</v>
      </c>
      <c r="C2299" t="s">
        <v>6747</v>
      </c>
      <c r="D2299" t="s">
        <v>1873</v>
      </c>
      <c r="E2299" t="s">
        <v>7512</v>
      </c>
      <c r="F2299" s="1">
        <v>45003</v>
      </c>
      <c r="G2299" t="s">
        <v>51</v>
      </c>
      <c r="H2299" s="24">
        <v>154</v>
      </c>
      <c r="I2299" t="str">
        <f>IF(H2299&lt;=0,"",LOOKUP(H2299,'Regras e Parâmetros'!$B$4:$B$7,'Regras e Parâmetros'!$A$4:$A$7))</f>
        <v>Bronze</v>
      </c>
      <c r="J2299" t="s">
        <v>6456</v>
      </c>
      <c r="L2299" t="s">
        <v>10240</v>
      </c>
    </row>
    <row r="2300" spans="1:12" x14ac:dyDescent="0.3">
      <c r="A2300" t="s">
        <v>4595</v>
      </c>
      <c r="B2300" s="5" t="s">
        <v>9006</v>
      </c>
      <c r="C2300" t="s">
        <v>6456</v>
      </c>
      <c r="D2300" t="s">
        <v>4816</v>
      </c>
      <c r="E2300" t="s">
        <v>4817</v>
      </c>
      <c r="F2300" s="1">
        <v>45893</v>
      </c>
      <c r="G2300" t="s">
        <v>100</v>
      </c>
      <c r="H2300" s="24">
        <v>0</v>
      </c>
      <c r="I2300" t="str">
        <f>IF(H2300&lt;=0,"",LOOKUP(H2300,'Regras e Parâmetros'!$B$4:$B$7,'Regras e Parâmetros'!$A$4:$A$7))</f>
        <v/>
      </c>
      <c r="J2300" t="s">
        <v>6456</v>
      </c>
      <c r="K2300" t="s">
        <v>9905</v>
      </c>
      <c r="L2300" t="s">
        <v>9883</v>
      </c>
    </row>
    <row r="2301" spans="1:12" x14ac:dyDescent="0.3">
      <c r="A2301" t="s">
        <v>1273</v>
      </c>
      <c r="B2301" s="5" t="s">
        <v>7024</v>
      </c>
      <c r="C2301" t="s">
        <v>6456</v>
      </c>
      <c r="D2301" t="s">
        <v>2911</v>
      </c>
      <c r="E2301" t="s">
        <v>1274</v>
      </c>
      <c r="F2301" s="1">
        <v>44716</v>
      </c>
      <c r="G2301" t="s">
        <v>110</v>
      </c>
      <c r="H2301" s="24">
        <v>6556</v>
      </c>
      <c r="I2301" t="str">
        <f>IF(H2301&lt;=0,"",LOOKUP(H2301,'Regras e Parâmetros'!$B$4:$B$7,'Regras e Parâmetros'!$A$4:$A$7))</f>
        <v>Ouro</v>
      </c>
      <c r="J2301" t="s">
        <v>6747</v>
      </c>
      <c r="K2301" t="s">
        <v>9816</v>
      </c>
      <c r="L2301" t="s">
        <v>9793</v>
      </c>
    </row>
    <row r="2302" spans="1:12" x14ac:dyDescent="0.3">
      <c r="A2302" t="s">
        <v>2228</v>
      </c>
      <c r="B2302" s="5" t="s">
        <v>7706</v>
      </c>
      <c r="C2302" t="s">
        <v>6456</v>
      </c>
      <c r="D2302" t="s">
        <v>2229</v>
      </c>
      <c r="E2302" t="s">
        <v>2230</v>
      </c>
      <c r="F2302" s="1">
        <v>45119</v>
      </c>
      <c r="G2302" t="s">
        <v>22</v>
      </c>
      <c r="H2302" s="24">
        <v>442</v>
      </c>
      <c r="I2302" t="str">
        <f>IF(H2302&lt;=0,"",LOOKUP(H2302,'Regras e Parâmetros'!$B$4:$B$7,'Regras e Parâmetros'!$A$4:$A$7))</f>
        <v>Bronze</v>
      </c>
      <c r="J2302" t="s">
        <v>6456</v>
      </c>
    </row>
    <row r="2303" spans="1:12" x14ac:dyDescent="0.3">
      <c r="A2303" t="s">
        <v>5139</v>
      </c>
      <c r="B2303" s="5" t="s">
        <v>5140</v>
      </c>
      <c r="C2303" t="s">
        <v>6456</v>
      </c>
      <c r="D2303" t="s">
        <v>9316</v>
      </c>
      <c r="E2303" t="s">
        <v>9317</v>
      </c>
      <c r="F2303" s="1">
        <v>46054</v>
      </c>
      <c r="G2303" t="s">
        <v>22</v>
      </c>
      <c r="H2303" s="24">
        <v>0</v>
      </c>
      <c r="I2303" t="str">
        <f>IF(H2303&lt;=0,"",LOOKUP(H2303,'Regras e Parâmetros'!$B$4:$B$7,'Regras e Parâmetros'!$A$4:$A$7))</f>
        <v/>
      </c>
      <c r="J2303" t="s">
        <v>9790</v>
      </c>
      <c r="L2303" t="s">
        <v>9883</v>
      </c>
    </row>
    <row r="2304" spans="1:12" x14ac:dyDescent="0.3">
      <c r="A2304" t="s">
        <v>1275</v>
      </c>
      <c r="B2304" s="5" t="s">
        <v>1276</v>
      </c>
      <c r="C2304" t="s">
        <v>6456</v>
      </c>
      <c r="D2304" t="s">
        <v>1277</v>
      </c>
      <c r="E2304" t="s">
        <v>7120</v>
      </c>
      <c r="F2304" s="1">
        <v>44788</v>
      </c>
      <c r="G2304" t="s">
        <v>18</v>
      </c>
      <c r="H2304" s="24">
        <v>3201</v>
      </c>
      <c r="I2304" t="str">
        <f>IF(H2304&lt;=0,"",LOOKUP(H2304,'Regras e Parâmetros'!$B$4:$B$7,'Regras e Parâmetros'!$A$4:$A$7))</f>
        <v>Prata</v>
      </c>
      <c r="J2304" t="s">
        <v>9790</v>
      </c>
    </row>
    <row r="2305" spans="1:12" x14ac:dyDescent="0.3">
      <c r="A2305" t="s">
        <v>3226</v>
      </c>
      <c r="B2305" s="5" t="s">
        <v>3227</v>
      </c>
      <c r="C2305" t="s">
        <v>6456</v>
      </c>
      <c r="D2305" t="s">
        <v>3228</v>
      </c>
      <c r="E2305" t="s">
        <v>3229</v>
      </c>
      <c r="F2305" s="1">
        <v>45470</v>
      </c>
      <c r="G2305" t="s">
        <v>110</v>
      </c>
      <c r="H2305" s="24">
        <v>1425</v>
      </c>
      <c r="I2305" t="str">
        <f>IF(H2305&lt;=0,"",LOOKUP(H2305,'Regras e Parâmetros'!$B$4:$B$7,'Regras e Parâmetros'!$A$4:$A$7))</f>
        <v>Bronze</v>
      </c>
      <c r="J2305" t="s">
        <v>6456</v>
      </c>
    </row>
    <row r="2306" spans="1:12" x14ac:dyDescent="0.3">
      <c r="A2306" t="s">
        <v>9150</v>
      </c>
      <c r="B2306" s="5" t="s">
        <v>9151</v>
      </c>
      <c r="C2306" t="s">
        <v>6456</v>
      </c>
      <c r="D2306" t="s">
        <v>4850</v>
      </c>
      <c r="E2306" t="s">
        <v>9152</v>
      </c>
      <c r="F2306" s="1">
        <v>45966</v>
      </c>
      <c r="G2306" t="s">
        <v>45</v>
      </c>
      <c r="H2306" s="24">
        <v>0</v>
      </c>
      <c r="I2306" t="str">
        <f>IF(H2306&lt;=0,"",LOOKUP(H2306,'Regras e Parâmetros'!$B$4:$B$7,'Regras e Parâmetros'!$A$4:$A$7))</f>
        <v/>
      </c>
      <c r="J2306" t="s">
        <v>6747</v>
      </c>
      <c r="L2306" t="s">
        <v>9883</v>
      </c>
    </row>
    <row r="2307" spans="1:12" x14ac:dyDescent="0.3">
      <c r="A2307" t="s">
        <v>3071</v>
      </c>
      <c r="B2307" s="5" t="s">
        <v>3072</v>
      </c>
      <c r="C2307" t="s">
        <v>6456</v>
      </c>
      <c r="D2307" t="s">
        <v>3073</v>
      </c>
      <c r="E2307" t="s">
        <v>8146</v>
      </c>
      <c r="F2307" s="1">
        <v>45415</v>
      </c>
      <c r="G2307" t="s">
        <v>45</v>
      </c>
      <c r="H2307" s="24">
        <v>2042</v>
      </c>
      <c r="I2307" t="str">
        <f>IF(H2307&lt;=0,"",LOOKUP(H2307,'Regras e Parâmetros'!$B$4:$B$7,'Regras e Parâmetros'!$A$4:$A$7))</f>
        <v>Prata</v>
      </c>
      <c r="J2307" t="s">
        <v>6747</v>
      </c>
    </row>
    <row r="2308" spans="1:12" x14ac:dyDescent="0.3">
      <c r="A2308" t="s">
        <v>6726</v>
      </c>
      <c r="B2308" s="5" t="s">
        <v>6727</v>
      </c>
      <c r="C2308" t="s">
        <v>6456</v>
      </c>
      <c r="D2308" t="s">
        <v>505</v>
      </c>
      <c r="E2308" t="s">
        <v>506</v>
      </c>
      <c r="F2308" s="1">
        <v>44520</v>
      </c>
      <c r="G2308" t="s">
        <v>45</v>
      </c>
      <c r="H2308" s="24">
        <v>7129</v>
      </c>
      <c r="I2308" t="str">
        <f>IF(H2308&lt;=0,"",LOOKUP(H2308,'Regras e Parâmetros'!$B$4:$B$7,'Regras e Parâmetros'!$A$4:$A$7))</f>
        <v>Ouro</v>
      </c>
      <c r="J2308" t="s">
        <v>6747</v>
      </c>
      <c r="L2308" t="s">
        <v>9792</v>
      </c>
    </row>
    <row r="2309" spans="1:12" x14ac:dyDescent="0.3">
      <c r="A2309" t="s">
        <v>2113</v>
      </c>
      <c r="B2309" s="5" t="s">
        <v>7648</v>
      </c>
      <c r="C2309" t="s">
        <v>6456</v>
      </c>
      <c r="D2309" t="s">
        <v>2114</v>
      </c>
      <c r="E2309" t="s">
        <v>7649</v>
      </c>
      <c r="F2309" s="1">
        <v>45082</v>
      </c>
      <c r="G2309" t="s">
        <v>18</v>
      </c>
      <c r="H2309" s="24">
        <v>956</v>
      </c>
      <c r="I2309" t="str">
        <f>IF(H2309&lt;=0,"",LOOKUP(H2309,'Regras e Parâmetros'!$B$4:$B$7,'Regras e Parâmetros'!$A$4:$A$7))</f>
        <v>Bronze</v>
      </c>
      <c r="J2309" t="s">
        <v>6747</v>
      </c>
    </row>
    <row r="2310" spans="1:12" x14ac:dyDescent="0.3">
      <c r="A2310" t="s">
        <v>4805</v>
      </c>
      <c r="B2310" s="5" t="s">
        <v>9129</v>
      </c>
      <c r="C2310" t="s">
        <v>6456</v>
      </c>
      <c r="D2310" t="s">
        <v>4806</v>
      </c>
      <c r="E2310" t="s">
        <v>4807</v>
      </c>
      <c r="F2310" s="1">
        <v>45955</v>
      </c>
      <c r="G2310" t="s">
        <v>18</v>
      </c>
      <c r="H2310" s="24">
        <v>0</v>
      </c>
      <c r="I2310" t="str">
        <f>IF(H2310&lt;=0,"",LOOKUP(H2310,'Regras e Parâmetros'!$B$4:$B$7,'Regras e Parâmetros'!$A$4:$A$7))</f>
        <v/>
      </c>
      <c r="J2310" t="s">
        <v>9790</v>
      </c>
      <c r="K2310" t="s">
        <v>177</v>
      </c>
      <c r="L2310" t="s">
        <v>9883</v>
      </c>
    </row>
    <row r="2311" spans="1:12" x14ac:dyDescent="0.3">
      <c r="A2311" t="s">
        <v>2539</v>
      </c>
      <c r="B2311" s="5" t="s">
        <v>7863</v>
      </c>
      <c r="C2311" t="s">
        <v>6456</v>
      </c>
      <c r="D2311" t="s">
        <v>2540</v>
      </c>
      <c r="E2311" t="s">
        <v>2541</v>
      </c>
      <c r="F2311" s="1">
        <v>45200</v>
      </c>
      <c r="G2311" t="s">
        <v>51</v>
      </c>
      <c r="H2311" s="24">
        <v>522</v>
      </c>
      <c r="I2311" t="str">
        <f>IF(H2311&lt;=0,"",LOOKUP(H2311,'Regras e Parâmetros'!$B$4:$B$7,'Regras e Parâmetros'!$A$4:$A$7))</f>
        <v>Bronze</v>
      </c>
      <c r="J2311" t="s">
        <v>6456</v>
      </c>
      <c r="L2311" t="s">
        <v>9789</v>
      </c>
    </row>
    <row r="2312" spans="1:12" x14ac:dyDescent="0.3">
      <c r="A2312" t="s">
        <v>5520</v>
      </c>
      <c r="B2312" s="5" t="s">
        <v>9530</v>
      </c>
      <c r="C2312" t="s">
        <v>6456</v>
      </c>
      <c r="D2312" t="s">
        <v>5521</v>
      </c>
      <c r="E2312" t="s">
        <v>5522</v>
      </c>
      <c r="F2312" s="1">
        <v>46164</v>
      </c>
      <c r="G2312" t="s">
        <v>100</v>
      </c>
      <c r="H2312" s="24">
        <v>0</v>
      </c>
      <c r="I2312" t="str">
        <f>IF(H2312&lt;=0,"",LOOKUP(H2312,'Regras e Parâmetros'!$B$4:$B$7,'Regras e Parâmetros'!$A$4:$A$7))</f>
        <v/>
      </c>
      <c r="J2312" t="s">
        <v>6747</v>
      </c>
      <c r="K2312" t="s">
        <v>72</v>
      </c>
      <c r="L2312" t="s">
        <v>9886</v>
      </c>
    </row>
    <row r="2313" spans="1:12" x14ac:dyDescent="0.3">
      <c r="A2313" t="s">
        <v>4633</v>
      </c>
      <c r="B2313" s="5" t="s">
        <v>5981</v>
      </c>
      <c r="C2313" t="s">
        <v>6456</v>
      </c>
      <c r="D2313" t="s">
        <v>5982</v>
      </c>
      <c r="E2313" t="s">
        <v>4634</v>
      </c>
      <c r="F2313" s="1">
        <v>45904</v>
      </c>
      <c r="G2313" t="s">
        <v>110</v>
      </c>
      <c r="H2313" s="24">
        <v>0</v>
      </c>
      <c r="I2313" t="str">
        <f>IF(H2313&lt;=0,"",LOOKUP(H2313,'Regras e Parâmetros'!$B$4:$B$7,'Regras e Parâmetros'!$A$4:$A$7))</f>
        <v/>
      </c>
      <c r="J2313" t="s">
        <v>9790</v>
      </c>
      <c r="K2313" t="s">
        <v>9906</v>
      </c>
      <c r="L2313" t="s">
        <v>9883</v>
      </c>
    </row>
    <row r="2314" spans="1:12" x14ac:dyDescent="0.3">
      <c r="A2314" t="s">
        <v>7482</v>
      </c>
      <c r="B2314" s="5" t="s">
        <v>1833</v>
      </c>
      <c r="C2314" t="s">
        <v>6456</v>
      </c>
      <c r="D2314" t="s">
        <v>1834</v>
      </c>
      <c r="E2314" t="s">
        <v>1835</v>
      </c>
      <c r="F2314" s="1">
        <v>44986</v>
      </c>
      <c r="G2314" t="s">
        <v>110</v>
      </c>
      <c r="H2314" s="24">
        <v>1690</v>
      </c>
      <c r="I2314" t="str">
        <f>IF(H2314&lt;=0,"",LOOKUP(H2314,'Regras e Parâmetros'!$B$4:$B$7,'Regras e Parâmetros'!$A$4:$A$7))</f>
        <v>Prata</v>
      </c>
      <c r="J2314" t="s">
        <v>6747</v>
      </c>
      <c r="K2314" t="s">
        <v>44</v>
      </c>
    </row>
    <row r="2315" spans="1:12" x14ac:dyDescent="0.3">
      <c r="A2315" t="s">
        <v>6700</v>
      </c>
      <c r="B2315" s="5" t="s">
        <v>6701</v>
      </c>
      <c r="C2315" t="s">
        <v>6456</v>
      </c>
      <c r="D2315" t="s">
        <v>451</v>
      </c>
      <c r="E2315" t="s">
        <v>452</v>
      </c>
      <c r="F2315" s="1">
        <v>44503</v>
      </c>
      <c r="G2315" t="s">
        <v>45</v>
      </c>
      <c r="H2315" s="24">
        <v>2200</v>
      </c>
      <c r="I2315" t="str">
        <f>IF(H2315&lt;=0,"",LOOKUP(H2315,'Regras e Parâmetros'!$B$4:$B$7,'Regras e Parâmetros'!$A$4:$A$7))</f>
        <v>Prata</v>
      </c>
      <c r="J2315" t="s">
        <v>6747</v>
      </c>
      <c r="L2315" t="s">
        <v>9793</v>
      </c>
    </row>
    <row r="2316" spans="1:12" x14ac:dyDescent="0.3">
      <c r="A2316" t="s">
        <v>3785</v>
      </c>
      <c r="B2316" s="5" t="s">
        <v>3786</v>
      </c>
      <c r="C2316" t="s">
        <v>6456</v>
      </c>
      <c r="D2316" t="s">
        <v>3787</v>
      </c>
      <c r="E2316" t="s">
        <v>3788</v>
      </c>
      <c r="F2316" s="1">
        <v>45660</v>
      </c>
      <c r="G2316" t="s">
        <v>110</v>
      </c>
      <c r="H2316" s="24">
        <v>0</v>
      </c>
      <c r="I2316" t="str">
        <f>IF(H2316&lt;=0,"",LOOKUP(H2316,'Regras e Parâmetros'!$B$4:$B$7,'Regras e Parâmetros'!$A$4:$A$7))</f>
        <v/>
      </c>
      <c r="J2316" t="s">
        <v>9790</v>
      </c>
      <c r="K2316" t="s">
        <v>8</v>
      </c>
      <c r="L2316" t="s">
        <v>9883</v>
      </c>
    </row>
    <row r="2317" spans="1:12" x14ac:dyDescent="0.3">
      <c r="A2317" t="s">
        <v>7613</v>
      </c>
      <c r="B2317" s="5" t="s">
        <v>7614</v>
      </c>
      <c r="C2317" t="s">
        <v>6456</v>
      </c>
      <c r="D2317" t="s">
        <v>2079</v>
      </c>
      <c r="E2317" t="s">
        <v>2080</v>
      </c>
      <c r="F2317" s="1">
        <v>45069</v>
      </c>
      <c r="G2317" t="s">
        <v>18</v>
      </c>
      <c r="H2317" s="24">
        <v>139</v>
      </c>
      <c r="I2317" t="str">
        <f>IF(H2317&lt;=0,"",LOOKUP(H2317,'Regras e Parâmetros'!$B$4:$B$7,'Regras e Parâmetros'!$A$4:$A$7))</f>
        <v>Bronze</v>
      </c>
      <c r="J2317" t="s">
        <v>6456</v>
      </c>
    </row>
    <row r="2318" spans="1:12" x14ac:dyDescent="0.3">
      <c r="A2318" t="s">
        <v>6618</v>
      </c>
      <c r="B2318" s="5" t="s">
        <v>6619</v>
      </c>
      <c r="C2318" t="s">
        <v>6456</v>
      </c>
      <c r="D2318" t="s">
        <v>311</v>
      </c>
      <c r="E2318" t="s">
        <v>6620</v>
      </c>
      <c r="F2318" s="1">
        <v>44450</v>
      </c>
      <c r="G2318" t="s">
        <v>45</v>
      </c>
      <c r="H2318" s="24">
        <v>2645</v>
      </c>
      <c r="I2318" t="str">
        <f>IF(H2318&lt;=0,"",LOOKUP(H2318,'Regras e Parâmetros'!$B$4:$B$7,'Regras e Parâmetros'!$A$4:$A$7))</f>
        <v>Prata</v>
      </c>
      <c r="J2318" t="s">
        <v>6747</v>
      </c>
    </row>
    <row r="2319" spans="1:12" x14ac:dyDescent="0.3">
      <c r="A2319" t="s">
        <v>3445</v>
      </c>
      <c r="B2319" s="5" t="s">
        <v>8338</v>
      </c>
      <c r="C2319" t="s">
        <v>6456</v>
      </c>
      <c r="D2319" t="s">
        <v>3446</v>
      </c>
      <c r="E2319" t="s">
        <v>8339</v>
      </c>
      <c r="F2319" s="1">
        <v>45549</v>
      </c>
      <c r="G2319" t="s">
        <v>51</v>
      </c>
      <c r="H2319" s="24">
        <v>885</v>
      </c>
      <c r="I2319" t="str">
        <f>IF(H2319&lt;=0,"",LOOKUP(H2319,'Regras e Parâmetros'!$B$4:$B$7,'Regras e Parâmetros'!$A$4:$A$7))</f>
        <v>Bronze</v>
      </c>
      <c r="J2319" t="s">
        <v>9790</v>
      </c>
    </row>
    <row r="2320" spans="1:12" x14ac:dyDescent="0.3">
      <c r="A2320" t="s">
        <v>4087</v>
      </c>
      <c r="B2320" s="5" t="s">
        <v>4088</v>
      </c>
      <c r="C2320" t="s">
        <v>6456</v>
      </c>
      <c r="D2320" t="s">
        <v>4089</v>
      </c>
      <c r="E2320" t="s">
        <v>4090</v>
      </c>
      <c r="F2320" s="1">
        <v>45740</v>
      </c>
      <c r="G2320" t="s">
        <v>110</v>
      </c>
      <c r="H2320" s="24">
        <v>0</v>
      </c>
      <c r="I2320" t="str">
        <f>IF(H2320&lt;=0,"",LOOKUP(H2320,'Regras e Parâmetros'!$B$4:$B$7,'Regras e Parâmetros'!$A$4:$A$7))</f>
        <v/>
      </c>
      <c r="J2320" t="s">
        <v>6456</v>
      </c>
      <c r="L2320" t="s">
        <v>9883</v>
      </c>
    </row>
    <row r="2321" spans="1:12" x14ac:dyDescent="0.3">
      <c r="A2321" t="s">
        <v>754</v>
      </c>
      <c r="B2321" s="5" t="s">
        <v>6871</v>
      </c>
      <c r="C2321" t="s">
        <v>6456</v>
      </c>
      <c r="D2321" t="s">
        <v>755</v>
      </c>
      <c r="E2321" t="s">
        <v>6872</v>
      </c>
      <c r="F2321" s="1">
        <v>44612</v>
      </c>
      <c r="G2321" t="s">
        <v>45</v>
      </c>
      <c r="H2321" s="24">
        <v>3918</v>
      </c>
      <c r="I2321" t="str">
        <f>IF(H2321&lt;=0,"",LOOKUP(H2321,'Regras e Parâmetros'!$B$4:$B$7,'Regras e Parâmetros'!$A$4:$A$7))</f>
        <v>Prata</v>
      </c>
      <c r="J2321" t="s">
        <v>6747</v>
      </c>
    </row>
    <row r="2322" spans="1:12" x14ac:dyDescent="0.3">
      <c r="A2322" t="s">
        <v>7984</v>
      </c>
      <c r="B2322" s="5" t="s">
        <v>7985</v>
      </c>
      <c r="C2322" t="s">
        <v>6456</v>
      </c>
      <c r="D2322" t="s">
        <v>2719</v>
      </c>
      <c r="E2322" t="s">
        <v>2720</v>
      </c>
      <c r="F2322" s="1">
        <v>45273</v>
      </c>
      <c r="G2322" t="s">
        <v>110</v>
      </c>
      <c r="H2322" s="24">
        <v>8227</v>
      </c>
      <c r="I2322" t="str">
        <f>IF(H2322&lt;=0,"",LOOKUP(H2322,'Regras e Parâmetros'!$B$4:$B$7,'Regras e Parâmetros'!$A$4:$A$7))</f>
        <v>Ouro</v>
      </c>
      <c r="J2322" t="s">
        <v>6456</v>
      </c>
      <c r="K2322" t="s">
        <v>187</v>
      </c>
    </row>
    <row r="2323" spans="1:12" x14ac:dyDescent="0.3">
      <c r="A2323" t="s">
        <v>8349</v>
      </c>
      <c r="B2323" s="5" t="s">
        <v>3473</v>
      </c>
      <c r="C2323" t="s">
        <v>6456</v>
      </c>
      <c r="D2323" t="s">
        <v>3474</v>
      </c>
      <c r="E2323" t="s">
        <v>3475</v>
      </c>
      <c r="F2323" s="1">
        <v>45560</v>
      </c>
      <c r="G2323" t="s">
        <v>51</v>
      </c>
      <c r="H2323" s="24">
        <v>830</v>
      </c>
      <c r="I2323" t="str">
        <f>IF(H2323&lt;=0,"",LOOKUP(H2323,'Regras e Parâmetros'!$B$4:$B$7,'Regras e Parâmetros'!$A$4:$A$7))</f>
        <v>Bronze</v>
      </c>
      <c r="J2323" t="s">
        <v>6747</v>
      </c>
    </row>
    <row r="2324" spans="1:12" x14ac:dyDescent="0.3">
      <c r="A2324" t="s">
        <v>2884</v>
      </c>
      <c r="B2324" s="5" t="s">
        <v>8066</v>
      </c>
      <c r="C2324" t="s">
        <v>6456</v>
      </c>
      <c r="D2324" t="s">
        <v>2885</v>
      </c>
      <c r="E2324" t="s">
        <v>8067</v>
      </c>
      <c r="F2324" s="1">
        <v>45354</v>
      </c>
      <c r="G2324" t="s">
        <v>51</v>
      </c>
      <c r="H2324" s="24">
        <v>437</v>
      </c>
      <c r="I2324" t="str">
        <f>IF(H2324&lt;=0,"",LOOKUP(H2324,'Regras e Parâmetros'!$B$4:$B$7,'Regras e Parâmetros'!$A$4:$A$7))</f>
        <v>Bronze</v>
      </c>
      <c r="J2324" t="s">
        <v>6747</v>
      </c>
    </row>
    <row r="2325" spans="1:12" x14ac:dyDescent="0.3">
      <c r="A2325" t="s">
        <v>5703</v>
      </c>
      <c r="B2325" s="5" t="s">
        <v>9644</v>
      </c>
      <c r="C2325" t="s">
        <v>6456</v>
      </c>
      <c r="D2325" t="s">
        <v>5704</v>
      </c>
      <c r="E2325" t="s">
        <v>5705</v>
      </c>
      <c r="F2325" s="1">
        <v>46217</v>
      </c>
      <c r="G2325" t="s">
        <v>100</v>
      </c>
      <c r="H2325" s="24">
        <v>0</v>
      </c>
      <c r="I2325" t="str">
        <f>IF(H2325&lt;=0,"",LOOKUP(H2325,'Regras e Parâmetros'!$B$4:$B$7,'Regras e Parâmetros'!$A$4:$A$7))</f>
        <v/>
      </c>
      <c r="J2325" t="s">
        <v>9790</v>
      </c>
      <c r="L2325" t="s">
        <v>9883</v>
      </c>
    </row>
    <row r="2326" spans="1:12" x14ac:dyDescent="0.3">
      <c r="A2326" t="s">
        <v>3959</v>
      </c>
      <c r="B2326" s="5" t="s">
        <v>3960</v>
      </c>
      <c r="C2326" t="s">
        <v>6456</v>
      </c>
      <c r="D2326" t="s">
        <v>3961</v>
      </c>
      <c r="E2326" t="s">
        <v>8640</v>
      </c>
      <c r="F2326" s="1">
        <v>45705</v>
      </c>
      <c r="G2326" t="s">
        <v>18</v>
      </c>
      <c r="H2326" s="24">
        <v>0</v>
      </c>
      <c r="I2326" t="str">
        <f>IF(H2326&lt;=0,"",LOOKUP(H2326,'Regras e Parâmetros'!$B$4:$B$7,'Regras e Parâmetros'!$A$4:$A$7))</f>
        <v/>
      </c>
      <c r="J2326" t="s">
        <v>6747</v>
      </c>
      <c r="K2326" t="s">
        <v>187</v>
      </c>
      <c r="L2326" t="s">
        <v>9883</v>
      </c>
    </row>
    <row r="2327" spans="1:12" x14ac:dyDescent="0.3">
      <c r="A2327" t="s">
        <v>5143</v>
      </c>
      <c r="B2327" s="5" t="s">
        <v>6350</v>
      </c>
      <c r="C2327" t="s">
        <v>6456</v>
      </c>
      <c r="D2327" t="s">
        <v>5144</v>
      </c>
      <c r="E2327" t="s">
        <v>9326</v>
      </c>
      <c r="F2327" s="1">
        <v>46055</v>
      </c>
      <c r="G2327" t="s">
        <v>110</v>
      </c>
      <c r="H2327" s="24">
        <v>0</v>
      </c>
      <c r="I2327" t="str">
        <f>IF(H2327&lt;=0,"",LOOKUP(H2327,'Regras e Parâmetros'!$B$4:$B$7,'Regras e Parâmetros'!$A$4:$A$7))</f>
        <v/>
      </c>
      <c r="J2327" t="s">
        <v>6456</v>
      </c>
      <c r="K2327" t="s">
        <v>44</v>
      </c>
      <c r="L2327" t="s">
        <v>9883</v>
      </c>
    </row>
    <row r="2328" spans="1:12" x14ac:dyDescent="0.3">
      <c r="A2328" t="s">
        <v>4055</v>
      </c>
      <c r="B2328" s="5" t="s">
        <v>4056</v>
      </c>
      <c r="C2328" t="s">
        <v>6456</v>
      </c>
      <c r="D2328" t="s">
        <v>5769</v>
      </c>
      <c r="E2328" t="s">
        <v>5770</v>
      </c>
      <c r="F2328" s="1">
        <v>45732</v>
      </c>
      <c r="G2328" t="s">
        <v>110</v>
      </c>
      <c r="H2328" s="24">
        <v>0</v>
      </c>
      <c r="I2328" t="str">
        <f>IF(H2328&lt;=0,"",LOOKUP(H2328,'Regras e Parâmetros'!$B$4:$B$7,'Regras e Parâmetros'!$A$4:$A$7))</f>
        <v/>
      </c>
      <c r="J2328" t="s">
        <v>6747</v>
      </c>
      <c r="K2328" t="s">
        <v>9892</v>
      </c>
      <c r="L2328" t="s">
        <v>9883</v>
      </c>
    </row>
    <row r="2329" spans="1:12" x14ac:dyDescent="0.3">
      <c r="A2329" t="s">
        <v>1278</v>
      </c>
      <c r="B2329" s="5" t="s">
        <v>7113</v>
      </c>
      <c r="C2329" t="s">
        <v>6456</v>
      </c>
      <c r="D2329" t="s">
        <v>1279</v>
      </c>
      <c r="E2329" t="s">
        <v>7114</v>
      </c>
      <c r="F2329" s="1">
        <v>44780</v>
      </c>
      <c r="G2329" t="s">
        <v>110</v>
      </c>
      <c r="H2329" s="24">
        <v>1734</v>
      </c>
      <c r="I2329" t="str">
        <f>IF(H2329&lt;=0,"",LOOKUP(H2329,'Regras e Parâmetros'!$B$4:$B$7,'Regras e Parâmetros'!$A$4:$A$7))</f>
        <v>Prata</v>
      </c>
      <c r="J2329" t="s">
        <v>6747</v>
      </c>
    </row>
    <row r="2330" spans="1:12" x14ac:dyDescent="0.3">
      <c r="A2330" t="s">
        <v>8240</v>
      </c>
      <c r="B2330" s="5" t="s">
        <v>8241</v>
      </c>
      <c r="C2330" t="s">
        <v>6456</v>
      </c>
      <c r="D2330" t="s">
        <v>3258</v>
      </c>
      <c r="E2330" t="s">
        <v>8242</v>
      </c>
      <c r="F2330" s="1">
        <v>45483</v>
      </c>
      <c r="G2330" t="s">
        <v>51</v>
      </c>
      <c r="H2330" s="24">
        <v>4233</v>
      </c>
      <c r="I2330" t="str">
        <f>IF(H2330&lt;=0,"",LOOKUP(H2330,'Regras e Parâmetros'!$B$4:$B$7,'Regras e Parâmetros'!$A$4:$A$7))</f>
        <v>Prata</v>
      </c>
      <c r="J2330" t="s">
        <v>6456</v>
      </c>
      <c r="K2330" t="s">
        <v>33</v>
      </c>
    </row>
    <row r="2331" spans="1:12" x14ac:dyDescent="0.3">
      <c r="A2331" t="s">
        <v>5424</v>
      </c>
      <c r="B2331" s="5" t="s">
        <v>9491</v>
      </c>
      <c r="C2331" t="s">
        <v>6456</v>
      </c>
      <c r="D2331" t="s">
        <v>5425</v>
      </c>
      <c r="E2331" t="s">
        <v>9492</v>
      </c>
      <c r="F2331" s="1">
        <v>46136</v>
      </c>
      <c r="G2331" t="s">
        <v>100</v>
      </c>
      <c r="H2331" s="24">
        <v>0</v>
      </c>
      <c r="I2331" t="str">
        <f>IF(H2331&lt;=0,"",LOOKUP(H2331,'Regras e Parâmetros'!$B$4:$B$7,'Regras e Parâmetros'!$A$4:$A$7))</f>
        <v/>
      </c>
      <c r="J2331" t="s">
        <v>6456</v>
      </c>
      <c r="L2331" t="s">
        <v>9883</v>
      </c>
    </row>
    <row r="2332" spans="1:12" x14ac:dyDescent="0.3">
      <c r="A2332" t="s">
        <v>8728</v>
      </c>
      <c r="B2332" s="5" t="s">
        <v>8729</v>
      </c>
      <c r="C2332" t="s">
        <v>6456</v>
      </c>
      <c r="D2332" t="s">
        <v>4146</v>
      </c>
      <c r="E2332" t="s">
        <v>8730</v>
      </c>
      <c r="F2332" s="1">
        <v>45748</v>
      </c>
      <c r="G2332" t="s">
        <v>22</v>
      </c>
      <c r="H2332" s="24">
        <v>0</v>
      </c>
      <c r="I2332" t="str">
        <f>IF(H2332&lt;=0,"",LOOKUP(H2332,'Regras e Parâmetros'!$B$4:$B$7,'Regras e Parâmetros'!$A$4:$A$7))</f>
        <v/>
      </c>
      <c r="J2332" t="s">
        <v>9790</v>
      </c>
      <c r="L2332" t="s">
        <v>9884</v>
      </c>
    </row>
    <row r="2333" spans="1:12" x14ac:dyDescent="0.3">
      <c r="A2333" t="s">
        <v>456</v>
      </c>
      <c r="B2333" s="5" t="s">
        <v>457</v>
      </c>
      <c r="C2333" t="s">
        <v>6456</v>
      </c>
      <c r="D2333" t="s">
        <v>458</v>
      </c>
      <c r="E2333" t="s">
        <v>6703</v>
      </c>
      <c r="F2333" s="1">
        <v>44505</v>
      </c>
      <c r="G2333" t="s">
        <v>22</v>
      </c>
      <c r="H2333" s="24">
        <v>10350</v>
      </c>
      <c r="I2333" t="str">
        <f>IF(H2333&lt;=0,"",LOOKUP(H2333,'Regras e Parâmetros'!$B$4:$B$7,'Regras e Parâmetros'!$A$4:$A$7))</f>
        <v>Vip</v>
      </c>
      <c r="J2333" t="s">
        <v>9790</v>
      </c>
      <c r="K2333" t="s">
        <v>177</v>
      </c>
    </row>
    <row r="2334" spans="1:12" x14ac:dyDescent="0.3">
      <c r="A2334" t="s">
        <v>7934</v>
      </c>
      <c r="B2334" s="5" t="s">
        <v>7935</v>
      </c>
      <c r="C2334" t="s">
        <v>6456</v>
      </c>
      <c r="D2334" t="s">
        <v>2627</v>
      </c>
      <c r="E2334" t="s">
        <v>2628</v>
      </c>
      <c r="F2334" s="1">
        <v>45244</v>
      </c>
      <c r="G2334" t="s">
        <v>51</v>
      </c>
      <c r="H2334" s="24">
        <v>922</v>
      </c>
      <c r="I2334" t="str">
        <f>IF(H2334&lt;=0,"",LOOKUP(H2334,'Regras e Parâmetros'!$B$4:$B$7,'Regras e Parâmetros'!$A$4:$A$7))</f>
        <v>Bronze</v>
      </c>
      <c r="J2334" t="s">
        <v>9790</v>
      </c>
    </row>
    <row r="2335" spans="1:12" x14ac:dyDescent="0.3">
      <c r="A2335" t="s">
        <v>1571</v>
      </c>
      <c r="B2335" s="5" t="s">
        <v>1572</v>
      </c>
      <c r="C2335" t="s">
        <v>6456</v>
      </c>
      <c r="D2335" t="s">
        <v>1573</v>
      </c>
      <c r="E2335" t="s">
        <v>7334</v>
      </c>
      <c r="F2335" s="1">
        <v>44899</v>
      </c>
      <c r="G2335" t="s">
        <v>45</v>
      </c>
      <c r="H2335" s="24">
        <v>2012</v>
      </c>
      <c r="I2335" t="str">
        <f>IF(H2335&lt;=0,"",LOOKUP(H2335,'Regras e Parâmetros'!$B$4:$B$7,'Regras e Parâmetros'!$A$4:$A$7))</f>
        <v>Prata</v>
      </c>
      <c r="J2335" t="s">
        <v>9790</v>
      </c>
    </row>
    <row r="2336" spans="1:12" x14ac:dyDescent="0.3">
      <c r="A2336" t="s">
        <v>5692</v>
      </c>
      <c r="B2336" s="5" t="s">
        <v>9611</v>
      </c>
      <c r="C2336" t="s">
        <v>6456</v>
      </c>
      <c r="E2336" t="s">
        <v>9612</v>
      </c>
      <c r="F2336" s="1">
        <v>46204</v>
      </c>
      <c r="G2336" t="s">
        <v>45</v>
      </c>
      <c r="H2336" s="24">
        <v>0</v>
      </c>
      <c r="I2336" t="str">
        <f>IF(H2336&lt;=0,"",LOOKUP(H2336,'Regras e Parâmetros'!$B$4:$B$7,'Regras e Parâmetros'!$A$4:$A$7))</f>
        <v/>
      </c>
      <c r="J2336" t="s">
        <v>6747</v>
      </c>
      <c r="L2336" t="s">
        <v>9895</v>
      </c>
    </row>
    <row r="2337" spans="1:12" x14ac:dyDescent="0.3">
      <c r="A2337" t="s">
        <v>1817</v>
      </c>
      <c r="B2337" s="5" t="s">
        <v>1818</v>
      </c>
      <c r="C2337" t="s">
        <v>6456</v>
      </c>
      <c r="D2337" t="s">
        <v>1819</v>
      </c>
      <c r="E2337" t="s">
        <v>1820</v>
      </c>
      <c r="F2337" s="1">
        <v>44979</v>
      </c>
      <c r="G2337" t="s">
        <v>22</v>
      </c>
      <c r="H2337" s="24">
        <v>92</v>
      </c>
      <c r="I2337" t="str">
        <f>IF(H2337&lt;=0,"",LOOKUP(H2337,'Regras e Parâmetros'!$B$4:$B$7,'Regras e Parâmetros'!$A$4:$A$7))</f>
        <v>Bronze</v>
      </c>
      <c r="J2337" t="s">
        <v>9790</v>
      </c>
    </row>
    <row r="2338" spans="1:12" x14ac:dyDescent="0.3">
      <c r="A2338" t="s">
        <v>1280</v>
      </c>
      <c r="B2338" s="5" t="s">
        <v>7092</v>
      </c>
      <c r="C2338" t="s">
        <v>6456</v>
      </c>
      <c r="D2338" t="s">
        <v>1281</v>
      </c>
      <c r="E2338" t="s">
        <v>7093</v>
      </c>
      <c r="F2338" s="1">
        <v>44767</v>
      </c>
      <c r="G2338" t="s">
        <v>51</v>
      </c>
      <c r="H2338" s="24">
        <v>109</v>
      </c>
      <c r="I2338" t="str">
        <f>IF(H2338&lt;=0,"",LOOKUP(H2338,'Regras e Parâmetros'!$B$4:$B$7,'Regras e Parâmetros'!$A$4:$A$7))</f>
        <v>Bronze</v>
      </c>
      <c r="J2338" t="s">
        <v>6456</v>
      </c>
    </row>
    <row r="2339" spans="1:12" x14ac:dyDescent="0.3">
      <c r="A2339" t="s">
        <v>1602</v>
      </c>
      <c r="B2339" s="5" t="s">
        <v>7348</v>
      </c>
      <c r="C2339" t="s">
        <v>6456</v>
      </c>
      <c r="D2339" t="s">
        <v>1603</v>
      </c>
      <c r="E2339" t="s">
        <v>1604</v>
      </c>
      <c r="F2339" s="1">
        <v>44906</v>
      </c>
      <c r="G2339" t="s">
        <v>22</v>
      </c>
      <c r="H2339" s="24">
        <v>3477</v>
      </c>
      <c r="I2339" t="str">
        <f>IF(H2339&lt;=0,"",LOOKUP(H2339,'Regras e Parâmetros'!$B$4:$B$7,'Regras e Parâmetros'!$A$4:$A$7))</f>
        <v>Prata</v>
      </c>
      <c r="J2339" t="s">
        <v>6747</v>
      </c>
      <c r="L2339" t="s">
        <v>9792</v>
      </c>
    </row>
    <row r="2340" spans="1:12" x14ac:dyDescent="0.3">
      <c r="A2340" t="s">
        <v>1564</v>
      </c>
      <c r="B2340" s="5" t="s">
        <v>1565</v>
      </c>
      <c r="C2340" t="s">
        <v>6456</v>
      </c>
      <c r="D2340" t="s">
        <v>1566</v>
      </c>
      <c r="E2340" t="s">
        <v>1567</v>
      </c>
      <c r="F2340" s="1">
        <v>44897</v>
      </c>
      <c r="G2340" t="s">
        <v>100</v>
      </c>
      <c r="H2340" s="24">
        <v>3240</v>
      </c>
      <c r="I2340" t="str">
        <f>IF(H2340&lt;=0,"",LOOKUP(H2340,'Regras e Parâmetros'!$B$4:$B$7,'Regras e Parâmetros'!$A$4:$A$7))</f>
        <v>Prata</v>
      </c>
      <c r="J2340" t="s">
        <v>9790</v>
      </c>
      <c r="K2340" t="s">
        <v>177</v>
      </c>
      <c r="L2340" t="s">
        <v>9792</v>
      </c>
    </row>
    <row r="2341" spans="1:12" x14ac:dyDescent="0.3">
      <c r="A2341" t="s">
        <v>2761</v>
      </c>
      <c r="B2341" s="5" t="s">
        <v>2762</v>
      </c>
      <c r="C2341" t="s">
        <v>6456</v>
      </c>
      <c r="D2341" t="s">
        <v>2763</v>
      </c>
      <c r="E2341" t="s">
        <v>8000</v>
      </c>
      <c r="F2341" s="1">
        <v>45296</v>
      </c>
      <c r="G2341" t="s">
        <v>18</v>
      </c>
      <c r="H2341" s="24">
        <v>1400</v>
      </c>
      <c r="I2341" t="str">
        <f>IF(H2341&lt;=0,"",LOOKUP(H2341,'Regras e Parâmetros'!$B$4:$B$7,'Regras e Parâmetros'!$A$4:$A$7))</f>
        <v>Bronze</v>
      </c>
      <c r="J2341" t="s">
        <v>6456</v>
      </c>
      <c r="L2341" t="s">
        <v>9793</v>
      </c>
    </row>
    <row r="2342" spans="1:12" x14ac:dyDescent="0.3">
      <c r="A2342" t="s">
        <v>2452</v>
      </c>
      <c r="B2342" s="5" t="s">
        <v>2453</v>
      </c>
      <c r="C2342" t="s">
        <v>6747</v>
      </c>
      <c r="D2342" t="s">
        <v>2454</v>
      </c>
      <c r="E2342" t="s">
        <v>7834</v>
      </c>
      <c r="F2342" s="1">
        <v>45182</v>
      </c>
      <c r="G2342" t="s">
        <v>22</v>
      </c>
      <c r="H2342" s="24">
        <v>2444</v>
      </c>
      <c r="I2342" t="str">
        <f>IF(H2342&lt;=0,"",LOOKUP(H2342,'Regras e Parâmetros'!$B$4:$B$7,'Regras e Parâmetros'!$A$4:$A$7))</f>
        <v>Prata</v>
      </c>
      <c r="J2342" t="s">
        <v>6456</v>
      </c>
      <c r="L2342" t="s">
        <v>10240</v>
      </c>
    </row>
    <row r="2343" spans="1:12" x14ac:dyDescent="0.3">
      <c r="A2343" t="s">
        <v>1948</v>
      </c>
      <c r="B2343" s="5" t="s">
        <v>1949</v>
      </c>
      <c r="C2343" t="s">
        <v>6456</v>
      </c>
      <c r="D2343" t="s">
        <v>1950</v>
      </c>
      <c r="E2343" t="s">
        <v>7553</v>
      </c>
      <c r="F2343" s="1">
        <v>45029</v>
      </c>
      <c r="G2343" t="s">
        <v>45</v>
      </c>
      <c r="H2343" s="24">
        <v>4694</v>
      </c>
      <c r="I2343" t="str">
        <f>IF(H2343&lt;=0,"",LOOKUP(H2343,'Regras e Parâmetros'!$B$4:$B$7,'Regras e Parâmetros'!$A$4:$A$7))</f>
        <v>Prata</v>
      </c>
      <c r="J2343" t="s">
        <v>9790</v>
      </c>
    </row>
    <row r="2344" spans="1:12" x14ac:dyDescent="0.3">
      <c r="A2344" t="s">
        <v>8755</v>
      </c>
      <c r="B2344" s="5" t="s">
        <v>4157</v>
      </c>
      <c r="C2344" t="s">
        <v>6456</v>
      </c>
      <c r="D2344" t="s">
        <v>4158</v>
      </c>
      <c r="E2344" t="s">
        <v>4159</v>
      </c>
      <c r="F2344" s="1">
        <v>45761</v>
      </c>
      <c r="G2344" t="s">
        <v>110</v>
      </c>
      <c r="H2344" s="24">
        <v>0</v>
      </c>
      <c r="I2344" t="str">
        <f>IF(H2344&lt;=0,"",LOOKUP(H2344,'Regras e Parâmetros'!$B$4:$B$7,'Regras e Parâmetros'!$A$4:$A$7))</f>
        <v/>
      </c>
      <c r="J2344" t="s">
        <v>6456</v>
      </c>
      <c r="L2344" t="s">
        <v>9886</v>
      </c>
    </row>
    <row r="2345" spans="1:12" x14ac:dyDescent="0.3">
      <c r="A2345" t="s">
        <v>1630</v>
      </c>
      <c r="B2345" s="5" t="s">
        <v>6221</v>
      </c>
      <c r="C2345" t="s">
        <v>6456</v>
      </c>
      <c r="D2345" t="s">
        <v>1631</v>
      </c>
      <c r="E2345" t="s">
        <v>7371</v>
      </c>
      <c r="F2345" s="1">
        <v>44922</v>
      </c>
      <c r="G2345" t="s">
        <v>100</v>
      </c>
      <c r="H2345" s="24">
        <v>1763</v>
      </c>
      <c r="I2345" t="str">
        <f>IF(H2345&lt;=0,"",LOOKUP(H2345,'Regras e Parâmetros'!$B$4:$B$7,'Regras e Parâmetros'!$A$4:$A$7))</f>
        <v>Prata</v>
      </c>
      <c r="J2345" t="s">
        <v>9790</v>
      </c>
    </row>
    <row r="2346" spans="1:12" x14ac:dyDescent="0.3">
      <c r="A2346" t="s">
        <v>4073</v>
      </c>
      <c r="B2346" s="5" t="s">
        <v>4074</v>
      </c>
      <c r="C2346" t="s">
        <v>6456</v>
      </c>
      <c r="D2346" t="s">
        <v>4075</v>
      </c>
      <c r="E2346" t="s">
        <v>4076</v>
      </c>
      <c r="F2346" s="1">
        <v>45737</v>
      </c>
      <c r="G2346" t="s">
        <v>45</v>
      </c>
      <c r="H2346" s="24">
        <v>0</v>
      </c>
      <c r="I2346" t="str">
        <f>IF(H2346&lt;=0,"",LOOKUP(H2346,'Regras e Parâmetros'!$B$4:$B$7,'Regras e Parâmetros'!$A$4:$A$7))</f>
        <v/>
      </c>
      <c r="J2346" t="s">
        <v>6456</v>
      </c>
      <c r="L2346" t="s">
        <v>9883</v>
      </c>
    </row>
    <row r="2347" spans="1:12" x14ac:dyDescent="0.3">
      <c r="A2347" t="s">
        <v>8212</v>
      </c>
      <c r="B2347" s="5" t="s">
        <v>3207</v>
      </c>
      <c r="C2347" t="s">
        <v>6456</v>
      </c>
      <c r="D2347" t="s">
        <v>3208</v>
      </c>
      <c r="E2347" t="s">
        <v>8213</v>
      </c>
      <c r="F2347" s="1">
        <v>45464</v>
      </c>
      <c r="G2347" t="s">
        <v>100</v>
      </c>
      <c r="H2347" s="24">
        <v>2501</v>
      </c>
      <c r="I2347" t="str">
        <f>IF(H2347&lt;=0,"",LOOKUP(H2347,'Regras e Parâmetros'!$B$4:$B$7,'Regras e Parâmetros'!$A$4:$A$7))</f>
        <v>Prata</v>
      </c>
      <c r="J2347" t="s">
        <v>6747</v>
      </c>
    </row>
    <row r="2348" spans="1:12" x14ac:dyDescent="0.3">
      <c r="A2348" t="s">
        <v>8819</v>
      </c>
      <c r="B2348" s="5" t="s">
        <v>8820</v>
      </c>
      <c r="C2348" t="s">
        <v>6456</v>
      </c>
      <c r="D2348" t="s">
        <v>4285</v>
      </c>
      <c r="E2348" t="s">
        <v>4286</v>
      </c>
      <c r="F2348" s="1">
        <v>45800</v>
      </c>
      <c r="G2348" t="s">
        <v>45</v>
      </c>
      <c r="H2348" s="24">
        <v>0</v>
      </c>
      <c r="I2348" t="str">
        <f>IF(H2348&lt;=0,"",LOOKUP(H2348,'Regras e Parâmetros'!$B$4:$B$7,'Regras e Parâmetros'!$A$4:$A$7))</f>
        <v/>
      </c>
      <c r="J2348" t="s">
        <v>9790</v>
      </c>
      <c r="K2348" t="s">
        <v>187</v>
      </c>
      <c r="L2348" t="s">
        <v>9883</v>
      </c>
    </row>
    <row r="2349" spans="1:12" x14ac:dyDescent="0.3">
      <c r="A2349" t="s">
        <v>8979</v>
      </c>
      <c r="B2349" s="5" t="s">
        <v>8980</v>
      </c>
      <c r="C2349" t="s">
        <v>6456</v>
      </c>
      <c r="D2349" t="s">
        <v>4544</v>
      </c>
      <c r="E2349" t="s">
        <v>4545</v>
      </c>
      <c r="F2349" s="1">
        <v>45882</v>
      </c>
      <c r="G2349" t="s">
        <v>18</v>
      </c>
      <c r="H2349" s="24">
        <v>0</v>
      </c>
      <c r="I2349" t="str">
        <f>IF(H2349&lt;=0,"",LOOKUP(H2349,'Regras e Parâmetros'!$B$4:$B$7,'Regras e Parâmetros'!$A$4:$A$7))</f>
        <v/>
      </c>
      <c r="J2349" t="s">
        <v>6456</v>
      </c>
      <c r="L2349" t="s">
        <v>9886</v>
      </c>
    </row>
    <row r="2350" spans="1:12" x14ac:dyDescent="0.3">
      <c r="A2350" t="s">
        <v>4586</v>
      </c>
      <c r="B2350" s="5" t="s">
        <v>9004</v>
      </c>
      <c r="C2350" t="s">
        <v>6456</v>
      </c>
      <c r="D2350" t="s">
        <v>4587</v>
      </c>
      <c r="E2350" t="s">
        <v>4588</v>
      </c>
      <c r="F2350" s="1">
        <v>45892</v>
      </c>
      <c r="G2350" t="s">
        <v>45</v>
      </c>
      <c r="H2350" s="24">
        <v>0</v>
      </c>
      <c r="I2350" t="str">
        <f>IF(H2350&lt;=0,"",LOOKUP(H2350,'Regras e Parâmetros'!$B$4:$B$7,'Regras e Parâmetros'!$A$4:$A$7))</f>
        <v/>
      </c>
      <c r="J2350" t="s">
        <v>9790</v>
      </c>
      <c r="L2350" t="s">
        <v>9883</v>
      </c>
    </row>
    <row r="2351" spans="1:12" x14ac:dyDescent="0.3">
      <c r="A2351" t="s">
        <v>8814</v>
      </c>
      <c r="B2351" s="5" t="s">
        <v>4271</v>
      </c>
      <c r="C2351" t="s">
        <v>6456</v>
      </c>
      <c r="D2351" t="s">
        <v>4272</v>
      </c>
      <c r="E2351" t="s">
        <v>8815</v>
      </c>
      <c r="F2351" s="1">
        <v>45799</v>
      </c>
      <c r="G2351" t="s">
        <v>110</v>
      </c>
      <c r="H2351" s="24">
        <v>0</v>
      </c>
      <c r="I2351" t="str">
        <f>IF(H2351&lt;=0,"",LOOKUP(H2351,'Regras e Parâmetros'!$B$4:$B$7,'Regras e Parâmetros'!$A$4:$A$7))</f>
        <v/>
      </c>
      <c r="J2351" t="s">
        <v>9790</v>
      </c>
      <c r="L2351" t="s">
        <v>9883</v>
      </c>
    </row>
    <row r="2352" spans="1:12" x14ac:dyDescent="0.3">
      <c r="A2352" t="s">
        <v>1821</v>
      </c>
      <c r="B2352" s="5" t="s">
        <v>7474</v>
      </c>
      <c r="C2352" t="s">
        <v>6456</v>
      </c>
      <c r="D2352" t="s">
        <v>7475</v>
      </c>
      <c r="E2352" t="s">
        <v>7476</v>
      </c>
      <c r="F2352" s="1">
        <v>44980</v>
      </c>
      <c r="G2352" t="s">
        <v>45</v>
      </c>
      <c r="H2352" s="24">
        <v>1185</v>
      </c>
      <c r="I2352" t="str">
        <f>IF(H2352&lt;=0,"",LOOKUP(H2352,'Regras e Parâmetros'!$B$4:$B$7,'Regras e Parâmetros'!$A$4:$A$7))</f>
        <v>Bronze</v>
      </c>
      <c r="J2352" t="s">
        <v>6747</v>
      </c>
    </row>
    <row r="2353" spans="1:12" x14ac:dyDescent="0.3">
      <c r="A2353" t="s">
        <v>1282</v>
      </c>
      <c r="B2353" s="5" t="s">
        <v>7083</v>
      </c>
      <c r="C2353" t="s">
        <v>6456</v>
      </c>
      <c r="D2353" t="s">
        <v>1284</v>
      </c>
      <c r="E2353" t="s">
        <v>1285</v>
      </c>
      <c r="F2353" s="1">
        <v>44757</v>
      </c>
      <c r="G2353" t="s">
        <v>100</v>
      </c>
      <c r="H2353" s="24">
        <v>5359</v>
      </c>
      <c r="I2353" t="str">
        <f>IF(H2353&lt;=0,"",LOOKUP(H2353,'Regras e Parâmetros'!$B$4:$B$7,'Regras e Parâmetros'!$A$4:$A$7))</f>
        <v>Ouro</v>
      </c>
      <c r="J2353" t="s">
        <v>9790</v>
      </c>
      <c r="K2353" t="s">
        <v>72</v>
      </c>
      <c r="L2353" t="s">
        <v>9792</v>
      </c>
    </row>
    <row r="2354" spans="1:12" x14ac:dyDescent="0.3">
      <c r="A2354" t="s">
        <v>1286</v>
      </c>
      <c r="B2354" s="5" t="s">
        <v>1287</v>
      </c>
      <c r="C2354" t="s">
        <v>6456</v>
      </c>
      <c r="D2354" t="s">
        <v>1288</v>
      </c>
      <c r="E2354" t="s">
        <v>7023</v>
      </c>
      <c r="F2354" s="1">
        <v>44715</v>
      </c>
      <c r="G2354" t="s">
        <v>100</v>
      </c>
      <c r="H2354" s="24">
        <v>514</v>
      </c>
      <c r="I2354" t="str">
        <f>IF(H2354&lt;=0,"",LOOKUP(H2354,'Regras e Parâmetros'!$B$4:$B$7,'Regras e Parâmetros'!$A$4:$A$7))</f>
        <v>Bronze</v>
      </c>
      <c r="J2354" t="s">
        <v>9790</v>
      </c>
    </row>
    <row r="2355" spans="1:12" x14ac:dyDescent="0.3">
      <c r="A2355" t="s">
        <v>1465</v>
      </c>
      <c r="B2355" s="5" t="s">
        <v>7278</v>
      </c>
      <c r="C2355" t="s">
        <v>6456</v>
      </c>
      <c r="D2355" t="s">
        <v>1466</v>
      </c>
      <c r="E2355" t="s">
        <v>7279</v>
      </c>
      <c r="F2355" s="1">
        <v>44876</v>
      </c>
      <c r="G2355" t="s">
        <v>51</v>
      </c>
      <c r="H2355" s="24">
        <v>4924</v>
      </c>
      <c r="I2355" t="str">
        <f>IF(H2355&lt;=0,"",LOOKUP(H2355,'Regras e Parâmetros'!$B$4:$B$7,'Regras e Parâmetros'!$A$4:$A$7))</f>
        <v>Prata</v>
      </c>
      <c r="J2355" t="s">
        <v>6456</v>
      </c>
    </row>
    <row r="2356" spans="1:12" x14ac:dyDescent="0.3">
      <c r="A2356" t="s">
        <v>6817</v>
      </c>
      <c r="B2356" s="5" t="s">
        <v>675</v>
      </c>
      <c r="C2356" t="s">
        <v>6456</v>
      </c>
      <c r="D2356" t="s">
        <v>1289</v>
      </c>
      <c r="E2356" t="s">
        <v>676</v>
      </c>
      <c r="F2356" s="1">
        <v>44581</v>
      </c>
      <c r="G2356" t="s">
        <v>51</v>
      </c>
      <c r="H2356" s="24">
        <v>2307</v>
      </c>
      <c r="I2356" t="str">
        <f>IF(H2356&lt;=0,"",LOOKUP(H2356,'Regras e Parâmetros'!$B$4:$B$7,'Regras e Parâmetros'!$A$4:$A$7))</f>
        <v>Prata</v>
      </c>
      <c r="J2356" t="s">
        <v>9790</v>
      </c>
      <c r="K2356" t="s">
        <v>9803</v>
      </c>
      <c r="L2356" t="s">
        <v>9795</v>
      </c>
    </row>
    <row r="2357" spans="1:12" x14ac:dyDescent="0.3">
      <c r="A2357" t="s">
        <v>3126</v>
      </c>
      <c r="B2357" s="5" t="s">
        <v>8170</v>
      </c>
      <c r="C2357" t="s">
        <v>6456</v>
      </c>
      <c r="D2357" t="s">
        <v>3128</v>
      </c>
      <c r="E2357" t="s">
        <v>8171</v>
      </c>
      <c r="F2357" s="1">
        <v>45435</v>
      </c>
      <c r="G2357" t="s">
        <v>51</v>
      </c>
      <c r="H2357" s="24">
        <v>1748</v>
      </c>
      <c r="I2357" t="str">
        <f>IF(H2357&lt;=0,"",LOOKUP(H2357,'Regras e Parâmetros'!$B$4:$B$7,'Regras e Parâmetros'!$A$4:$A$7))</f>
        <v>Prata</v>
      </c>
      <c r="J2357" t="s">
        <v>9790</v>
      </c>
    </row>
    <row r="2358" spans="1:12" x14ac:dyDescent="0.3">
      <c r="A2358" t="s">
        <v>4834</v>
      </c>
      <c r="B2358" s="5" t="s">
        <v>9135</v>
      </c>
      <c r="C2358" t="s">
        <v>6456</v>
      </c>
      <c r="D2358" t="s">
        <v>4835</v>
      </c>
      <c r="E2358" t="s">
        <v>4836</v>
      </c>
      <c r="F2358" s="1">
        <v>45961</v>
      </c>
      <c r="G2358" t="s">
        <v>45</v>
      </c>
      <c r="H2358" s="24">
        <v>0</v>
      </c>
      <c r="I2358" t="str">
        <f>IF(H2358&lt;=0,"",LOOKUP(H2358,'Regras e Parâmetros'!$B$4:$B$7,'Regras e Parâmetros'!$A$4:$A$7))</f>
        <v/>
      </c>
      <c r="J2358" t="s">
        <v>6456</v>
      </c>
      <c r="L2358" t="s">
        <v>9886</v>
      </c>
    </row>
    <row r="2359" spans="1:12" x14ac:dyDescent="0.3">
      <c r="A2359" t="s">
        <v>2406</v>
      </c>
      <c r="B2359" s="5" t="s">
        <v>2407</v>
      </c>
      <c r="C2359" t="s">
        <v>6456</v>
      </c>
      <c r="D2359" t="s">
        <v>2408</v>
      </c>
      <c r="E2359" t="s">
        <v>7804</v>
      </c>
      <c r="F2359" s="1">
        <v>45163</v>
      </c>
      <c r="G2359" t="s">
        <v>100</v>
      </c>
      <c r="H2359" s="24">
        <v>218</v>
      </c>
      <c r="I2359" t="str">
        <f>IF(H2359&lt;=0,"",LOOKUP(H2359,'Regras e Parâmetros'!$B$4:$B$7,'Regras e Parâmetros'!$A$4:$A$7))</f>
        <v>Bronze</v>
      </c>
      <c r="J2359" t="s">
        <v>6456</v>
      </c>
    </row>
    <row r="2360" spans="1:12" x14ac:dyDescent="0.3">
      <c r="A2360" t="s">
        <v>3486</v>
      </c>
      <c r="B2360" s="5" t="s">
        <v>8351</v>
      </c>
      <c r="C2360" t="s">
        <v>6456</v>
      </c>
      <c r="D2360" t="s">
        <v>3487</v>
      </c>
      <c r="E2360" t="s">
        <v>3488</v>
      </c>
      <c r="F2360" s="1">
        <v>45565</v>
      </c>
      <c r="G2360" t="s">
        <v>51</v>
      </c>
      <c r="H2360" s="24">
        <v>176</v>
      </c>
      <c r="I2360" t="str">
        <f>IF(H2360&lt;=0,"",LOOKUP(H2360,'Regras e Parâmetros'!$B$4:$B$7,'Regras e Parâmetros'!$A$4:$A$7))</f>
        <v>Bronze</v>
      </c>
      <c r="J2360" t="s">
        <v>6456</v>
      </c>
    </row>
    <row r="2361" spans="1:12" x14ac:dyDescent="0.3">
      <c r="A2361" t="s">
        <v>3735</v>
      </c>
      <c r="B2361" s="5" t="s">
        <v>8487</v>
      </c>
      <c r="C2361" t="s">
        <v>6456</v>
      </c>
      <c r="D2361" t="s">
        <v>3736</v>
      </c>
      <c r="E2361" t="s">
        <v>3737</v>
      </c>
      <c r="F2361" s="1">
        <v>45638</v>
      </c>
      <c r="G2361" t="s">
        <v>18</v>
      </c>
      <c r="H2361" s="24">
        <v>62</v>
      </c>
      <c r="I2361" t="str">
        <f>IF(H2361&lt;=0,"",LOOKUP(H2361,'Regras e Parâmetros'!$B$4:$B$7,'Regras e Parâmetros'!$A$4:$A$7))</f>
        <v>Bronze</v>
      </c>
      <c r="J2361" t="s">
        <v>6456</v>
      </c>
      <c r="L2361" t="s">
        <v>9792</v>
      </c>
    </row>
    <row r="2362" spans="1:12" x14ac:dyDescent="0.3">
      <c r="A2362" t="s">
        <v>7309</v>
      </c>
      <c r="B2362" s="5" t="s">
        <v>7310</v>
      </c>
      <c r="C2362" t="s">
        <v>6456</v>
      </c>
      <c r="D2362" t="s">
        <v>1528</v>
      </c>
      <c r="E2362" t="s">
        <v>7311</v>
      </c>
      <c r="F2362" s="1">
        <v>44887</v>
      </c>
      <c r="G2362" t="s">
        <v>110</v>
      </c>
      <c r="H2362" s="24">
        <v>2285</v>
      </c>
      <c r="I2362" t="str">
        <f>IF(H2362&lt;=0,"",LOOKUP(H2362,'Regras e Parâmetros'!$B$4:$B$7,'Regras e Parâmetros'!$A$4:$A$7))</f>
        <v>Prata</v>
      </c>
      <c r="J2362" t="s">
        <v>9790</v>
      </c>
    </row>
    <row r="2363" spans="1:12" x14ac:dyDescent="0.3">
      <c r="A2363" t="s">
        <v>6805</v>
      </c>
      <c r="B2363" s="5" t="s">
        <v>650</v>
      </c>
      <c r="C2363" t="s">
        <v>6456</v>
      </c>
      <c r="D2363" t="s">
        <v>651</v>
      </c>
      <c r="E2363" t="s">
        <v>6806</v>
      </c>
      <c r="F2363" s="1">
        <v>44574</v>
      </c>
      <c r="G2363" t="s">
        <v>18</v>
      </c>
      <c r="H2363" s="24">
        <v>11081</v>
      </c>
      <c r="I2363" t="str">
        <f>IF(H2363&lt;=0,"",LOOKUP(H2363,'Regras e Parâmetros'!$B$4:$B$7,'Regras e Parâmetros'!$A$4:$A$7))</f>
        <v>Vip</v>
      </c>
      <c r="J2363" t="s">
        <v>6747</v>
      </c>
      <c r="K2363" t="s">
        <v>8</v>
      </c>
    </row>
    <row r="2364" spans="1:12" x14ac:dyDescent="0.3">
      <c r="A2364" t="s">
        <v>3322</v>
      </c>
      <c r="B2364" s="5" t="s">
        <v>8274</v>
      </c>
      <c r="C2364" t="s">
        <v>6456</v>
      </c>
      <c r="D2364" t="s">
        <v>3323</v>
      </c>
      <c r="E2364" t="s">
        <v>8275</v>
      </c>
      <c r="F2364" s="1">
        <v>45507</v>
      </c>
      <c r="G2364" t="s">
        <v>100</v>
      </c>
      <c r="H2364" s="24">
        <v>693</v>
      </c>
      <c r="I2364" t="str">
        <f>IF(H2364&lt;=0,"",LOOKUP(H2364,'Regras e Parâmetros'!$B$4:$B$7,'Regras e Parâmetros'!$A$4:$A$7))</f>
        <v>Bronze</v>
      </c>
      <c r="J2364" t="s">
        <v>6747</v>
      </c>
    </row>
    <row r="2365" spans="1:12" x14ac:dyDescent="0.3">
      <c r="A2365" t="s">
        <v>3990</v>
      </c>
      <c r="B2365" s="5" t="s">
        <v>8654</v>
      </c>
      <c r="C2365" t="s">
        <v>6456</v>
      </c>
      <c r="D2365" t="s">
        <v>3991</v>
      </c>
      <c r="E2365" t="s">
        <v>8655</v>
      </c>
      <c r="F2365" s="1">
        <v>45716</v>
      </c>
      <c r="G2365" t="s">
        <v>110</v>
      </c>
      <c r="H2365" s="24">
        <v>0</v>
      </c>
      <c r="I2365" t="str">
        <f>IF(H2365&lt;=0,"",LOOKUP(H2365,'Regras e Parâmetros'!$B$4:$B$7,'Regras e Parâmetros'!$A$4:$A$7))</f>
        <v/>
      </c>
      <c r="J2365" t="s">
        <v>6456</v>
      </c>
      <c r="K2365" t="s">
        <v>708</v>
      </c>
      <c r="L2365" t="s">
        <v>9883</v>
      </c>
    </row>
    <row r="2366" spans="1:12" x14ac:dyDescent="0.3">
      <c r="A2366" t="s">
        <v>4369</v>
      </c>
      <c r="B2366" s="5" t="s">
        <v>4370</v>
      </c>
      <c r="C2366" t="s">
        <v>6456</v>
      </c>
      <c r="D2366" t="s">
        <v>4371</v>
      </c>
      <c r="E2366" t="s">
        <v>8831</v>
      </c>
      <c r="F2366" s="1">
        <v>45809</v>
      </c>
      <c r="G2366" t="s">
        <v>51</v>
      </c>
      <c r="H2366" s="24">
        <v>0</v>
      </c>
      <c r="I2366" t="str">
        <f>IF(H2366&lt;=0,"",LOOKUP(H2366,'Regras e Parâmetros'!$B$4:$B$7,'Regras e Parâmetros'!$A$4:$A$7))</f>
        <v/>
      </c>
      <c r="J2366" t="s">
        <v>9790</v>
      </c>
      <c r="L2366" t="s">
        <v>9884</v>
      </c>
    </row>
    <row r="2367" spans="1:12" x14ac:dyDescent="0.3">
      <c r="A2367" t="s">
        <v>566</v>
      </c>
      <c r="B2367" s="5" t="s">
        <v>6759</v>
      </c>
      <c r="C2367" t="s">
        <v>6456</v>
      </c>
      <c r="D2367" t="s">
        <v>567</v>
      </c>
      <c r="E2367" t="s">
        <v>568</v>
      </c>
      <c r="F2367" s="1">
        <v>44540</v>
      </c>
      <c r="G2367" t="s">
        <v>100</v>
      </c>
      <c r="H2367" s="24">
        <v>12061</v>
      </c>
      <c r="I2367" t="str">
        <f>IF(H2367&lt;=0,"",LOOKUP(H2367,'Regras e Parâmetros'!$B$4:$B$7,'Regras e Parâmetros'!$A$4:$A$7))</f>
        <v>Vip</v>
      </c>
      <c r="J2367" t="s">
        <v>9790</v>
      </c>
    </row>
    <row r="2368" spans="1:12" x14ac:dyDescent="0.3">
      <c r="A2368" t="s">
        <v>82</v>
      </c>
      <c r="B2368" s="5" t="s">
        <v>6495</v>
      </c>
      <c r="C2368" t="s">
        <v>6456</v>
      </c>
      <c r="D2368" t="s">
        <v>83</v>
      </c>
      <c r="E2368" t="s">
        <v>84</v>
      </c>
      <c r="F2368" s="1">
        <v>44374</v>
      </c>
      <c r="G2368" t="s">
        <v>45</v>
      </c>
      <c r="H2368" s="24">
        <v>1850</v>
      </c>
      <c r="I2368" t="str">
        <f>IF(H2368&lt;=0,"",LOOKUP(H2368,'Regras e Parâmetros'!$B$4:$B$7,'Regras e Parâmetros'!$A$4:$A$7))</f>
        <v>Prata</v>
      </c>
      <c r="J2368" t="s">
        <v>6456</v>
      </c>
    </row>
    <row r="2369" spans="1:12" x14ac:dyDescent="0.3">
      <c r="A2369" t="s">
        <v>7224</v>
      </c>
      <c r="B2369" s="5" t="s">
        <v>7225</v>
      </c>
      <c r="C2369" t="s">
        <v>6456</v>
      </c>
      <c r="D2369" t="s">
        <v>1383</v>
      </c>
      <c r="E2369" t="s">
        <v>7226</v>
      </c>
      <c r="F2369" s="1">
        <v>44851</v>
      </c>
      <c r="G2369" t="s">
        <v>45</v>
      </c>
      <c r="H2369" s="24">
        <v>806</v>
      </c>
      <c r="I2369" t="str">
        <f>IF(H2369&lt;=0,"",LOOKUP(H2369,'Regras e Parâmetros'!$B$4:$B$7,'Regras e Parâmetros'!$A$4:$A$7))</f>
        <v>Bronze</v>
      </c>
      <c r="J2369" t="s">
        <v>6747</v>
      </c>
    </row>
    <row r="2370" spans="1:12" x14ac:dyDescent="0.3">
      <c r="A2370" t="s">
        <v>7224</v>
      </c>
      <c r="B2370" s="5" t="s">
        <v>7868</v>
      </c>
      <c r="C2370" t="s">
        <v>6456</v>
      </c>
      <c r="D2370" t="s">
        <v>2501</v>
      </c>
      <c r="E2370" t="s">
        <v>7869</v>
      </c>
      <c r="F2370" s="1">
        <v>45203</v>
      </c>
      <c r="G2370" t="s">
        <v>22</v>
      </c>
      <c r="H2370" s="24">
        <v>2200</v>
      </c>
      <c r="I2370" t="str">
        <f>IF(H2370&lt;=0,"",LOOKUP(H2370,'Regras e Parâmetros'!$B$4:$B$7,'Regras e Parâmetros'!$A$4:$A$7))</f>
        <v>Prata</v>
      </c>
      <c r="J2370" t="s">
        <v>6456</v>
      </c>
      <c r="L2370" t="s">
        <v>9793</v>
      </c>
    </row>
    <row r="2371" spans="1:12" x14ac:dyDescent="0.3">
      <c r="A2371" t="s">
        <v>174</v>
      </c>
      <c r="B2371" s="5" t="s">
        <v>6548</v>
      </c>
      <c r="C2371" t="s">
        <v>6456</v>
      </c>
      <c r="D2371" t="s">
        <v>175</v>
      </c>
      <c r="E2371" t="s">
        <v>176</v>
      </c>
      <c r="F2371" s="1">
        <v>44401</v>
      </c>
      <c r="G2371" t="s">
        <v>45</v>
      </c>
      <c r="H2371" s="24">
        <v>15000</v>
      </c>
      <c r="I2371" t="str">
        <f>IF(H2371&lt;=0,"",LOOKUP(H2371,'Regras e Parâmetros'!$B$4:$B$7,'Regras e Parâmetros'!$A$4:$A$7))</f>
        <v>Vip</v>
      </c>
      <c r="J2371" t="s">
        <v>6456</v>
      </c>
      <c r="K2371" t="s">
        <v>177</v>
      </c>
      <c r="L2371" t="s">
        <v>9793</v>
      </c>
    </row>
    <row r="2372" spans="1:12" x14ac:dyDescent="0.3">
      <c r="A2372" t="s">
        <v>4830</v>
      </c>
      <c r="B2372" s="5" t="s">
        <v>9134</v>
      </c>
      <c r="C2372" t="s">
        <v>6456</v>
      </c>
      <c r="D2372" t="s">
        <v>4831</v>
      </c>
      <c r="E2372" t="s">
        <v>10147</v>
      </c>
      <c r="F2372" s="1">
        <v>45960</v>
      </c>
      <c r="G2372" t="s">
        <v>22</v>
      </c>
      <c r="H2372" s="24">
        <v>0</v>
      </c>
      <c r="I2372" t="str">
        <f>IF(H2372&lt;=0,"",LOOKUP(H2372,'Regras e Parâmetros'!$B$4:$B$7,'Regras e Parâmetros'!$A$4:$A$7))</f>
        <v/>
      </c>
      <c r="J2372" t="s">
        <v>9790</v>
      </c>
      <c r="K2372" t="s">
        <v>8</v>
      </c>
      <c r="L2372" t="s">
        <v>10152</v>
      </c>
    </row>
    <row r="2373" spans="1:12" x14ac:dyDescent="0.3">
      <c r="A2373" t="s">
        <v>9109</v>
      </c>
      <c r="B2373" s="5" t="s">
        <v>9110</v>
      </c>
      <c r="C2373" t="s">
        <v>6456</v>
      </c>
      <c r="D2373" t="s">
        <v>4760</v>
      </c>
      <c r="E2373" t="s">
        <v>4761</v>
      </c>
      <c r="F2373" s="1">
        <v>45945</v>
      </c>
      <c r="G2373" t="s">
        <v>100</v>
      </c>
      <c r="H2373" s="24">
        <v>0</v>
      </c>
      <c r="I2373" t="str">
        <f>IF(H2373&lt;=0,"",LOOKUP(H2373,'Regras e Parâmetros'!$B$4:$B$7,'Regras e Parâmetros'!$A$4:$A$7))</f>
        <v/>
      </c>
      <c r="J2373" t="s">
        <v>9790</v>
      </c>
      <c r="L2373" t="s">
        <v>9883</v>
      </c>
    </row>
    <row r="2374" spans="1:12" x14ac:dyDescent="0.3">
      <c r="A2374" t="s">
        <v>4455</v>
      </c>
      <c r="B2374" s="5" t="s">
        <v>4456</v>
      </c>
      <c r="C2374" t="s">
        <v>6456</v>
      </c>
      <c r="D2374" t="s">
        <v>4457</v>
      </c>
      <c r="E2374" t="s">
        <v>8914</v>
      </c>
      <c r="F2374" s="1">
        <v>45855</v>
      </c>
      <c r="G2374" t="s">
        <v>100</v>
      </c>
      <c r="H2374" s="24">
        <v>0</v>
      </c>
      <c r="I2374" t="str">
        <f>IF(H2374&lt;=0,"",LOOKUP(H2374,'Regras e Parâmetros'!$B$4:$B$7,'Regras e Parâmetros'!$A$4:$A$7))</f>
        <v/>
      </c>
      <c r="J2374" t="s">
        <v>6747</v>
      </c>
      <c r="K2374" t="s">
        <v>708</v>
      </c>
      <c r="L2374" t="s">
        <v>9883</v>
      </c>
    </row>
    <row r="2375" spans="1:12" x14ac:dyDescent="0.3">
      <c r="A2375" t="s">
        <v>9113</v>
      </c>
      <c r="B2375" s="5" t="s">
        <v>5365</v>
      </c>
      <c r="C2375" t="s">
        <v>6456</v>
      </c>
      <c r="D2375" t="s">
        <v>5366</v>
      </c>
      <c r="E2375" t="s">
        <v>5367</v>
      </c>
      <c r="F2375" s="1">
        <v>45945</v>
      </c>
      <c r="G2375" t="s">
        <v>18</v>
      </c>
      <c r="H2375" s="24">
        <v>0</v>
      </c>
      <c r="I2375" t="str">
        <f>IF(H2375&lt;=0,"",LOOKUP(H2375,'Regras e Parâmetros'!$B$4:$B$7,'Regras e Parâmetros'!$A$4:$A$7))</f>
        <v/>
      </c>
      <c r="J2375" t="s">
        <v>6456</v>
      </c>
      <c r="K2375" t="s">
        <v>9909</v>
      </c>
      <c r="L2375" t="s">
        <v>9883</v>
      </c>
    </row>
    <row r="2376" spans="1:12" x14ac:dyDescent="0.3">
      <c r="A2376" t="s">
        <v>5636</v>
      </c>
      <c r="B2376" s="5" t="s">
        <v>6175</v>
      </c>
      <c r="C2376" t="s">
        <v>6456</v>
      </c>
      <c r="D2376" t="s">
        <v>3796</v>
      </c>
      <c r="E2376" t="s">
        <v>3797</v>
      </c>
      <c r="F2376" s="1">
        <v>45662</v>
      </c>
      <c r="G2376" t="s">
        <v>100</v>
      </c>
      <c r="H2376" s="24">
        <v>0</v>
      </c>
      <c r="I2376" t="str">
        <f>IF(H2376&lt;=0,"",LOOKUP(H2376,'Regras e Parâmetros'!$B$4:$B$7,'Regras e Parâmetros'!$A$4:$A$7))</f>
        <v/>
      </c>
      <c r="J2376" t="s">
        <v>6456</v>
      </c>
      <c r="K2376" t="s">
        <v>8</v>
      </c>
      <c r="L2376" t="s">
        <v>9883</v>
      </c>
    </row>
    <row r="2377" spans="1:12" x14ac:dyDescent="0.3">
      <c r="A2377" t="s">
        <v>5636</v>
      </c>
      <c r="B2377" s="5" t="s">
        <v>9600</v>
      </c>
      <c r="C2377" t="s">
        <v>6456</v>
      </c>
      <c r="D2377" t="s">
        <v>5637</v>
      </c>
      <c r="E2377" t="s">
        <v>5638</v>
      </c>
      <c r="F2377" s="1">
        <v>46201</v>
      </c>
      <c r="G2377" t="s">
        <v>45</v>
      </c>
      <c r="H2377" s="24">
        <v>0</v>
      </c>
      <c r="I2377" t="str">
        <f>IF(H2377&lt;=0,"",LOOKUP(H2377,'Regras e Parâmetros'!$B$4:$B$7,'Regras e Parâmetros'!$A$4:$A$7))</f>
        <v/>
      </c>
      <c r="J2377" t="s">
        <v>9790</v>
      </c>
      <c r="L2377" t="s">
        <v>9886</v>
      </c>
    </row>
    <row r="2378" spans="1:12" x14ac:dyDescent="0.3">
      <c r="A2378" t="s">
        <v>8311</v>
      </c>
      <c r="B2378" s="5" t="s">
        <v>8312</v>
      </c>
      <c r="C2378" t="s">
        <v>6456</v>
      </c>
      <c r="D2378" t="s">
        <v>3387</v>
      </c>
      <c r="E2378" t="s">
        <v>3388</v>
      </c>
      <c r="F2378" s="1">
        <v>45524</v>
      </c>
      <c r="G2378" t="s">
        <v>45</v>
      </c>
      <c r="H2378" s="24">
        <v>33</v>
      </c>
      <c r="I2378" t="str">
        <f>IF(H2378&lt;=0,"",LOOKUP(H2378,'Regras e Parâmetros'!$B$4:$B$7,'Regras e Parâmetros'!$A$4:$A$7))</f>
        <v>Bronze</v>
      </c>
      <c r="J2378" t="s">
        <v>9790</v>
      </c>
    </row>
    <row r="2379" spans="1:12" x14ac:dyDescent="0.3">
      <c r="A2379" t="s">
        <v>1907</v>
      </c>
      <c r="B2379" s="5" t="s">
        <v>7526</v>
      </c>
      <c r="C2379" t="s">
        <v>6456</v>
      </c>
      <c r="D2379" t="s">
        <v>1908</v>
      </c>
      <c r="E2379" t="s">
        <v>7527</v>
      </c>
      <c r="F2379" s="1">
        <v>45014</v>
      </c>
      <c r="G2379" t="s">
        <v>18</v>
      </c>
      <c r="H2379" s="24">
        <v>3118</v>
      </c>
      <c r="I2379" t="str">
        <f>IF(H2379&lt;=0,"",LOOKUP(H2379,'Regras e Parâmetros'!$B$4:$B$7,'Regras e Parâmetros'!$A$4:$A$7))</f>
        <v>Prata</v>
      </c>
      <c r="J2379" t="s">
        <v>9790</v>
      </c>
    </row>
    <row r="2380" spans="1:12" x14ac:dyDescent="0.3">
      <c r="A2380" t="s">
        <v>2930</v>
      </c>
      <c r="B2380" s="5" t="s">
        <v>8084</v>
      </c>
      <c r="C2380" t="s">
        <v>6456</v>
      </c>
      <c r="D2380" t="s">
        <v>2931</v>
      </c>
      <c r="E2380" t="s">
        <v>8085</v>
      </c>
      <c r="F2380" s="1">
        <v>45369</v>
      </c>
      <c r="G2380" t="s">
        <v>110</v>
      </c>
      <c r="H2380" s="24">
        <v>361</v>
      </c>
      <c r="I2380" t="str">
        <f>IF(H2380&lt;=0,"",LOOKUP(H2380,'Regras e Parâmetros'!$B$4:$B$7,'Regras e Parâmetros'!$A$4:$A$7))</f>
        <v>Bronze</v>
      </c>
      <c r="J2380" t="s">
        <v>6747</v>
      </c>
    </row>
    <row r="2381" spans="1:12" x14ac:dyDescent="0.3">
      <c r="A2381" t="s">
        <v>969</v>
      </c>
      <c r="B2381" s="5" t="s">
        <v>970</v>
      </c>
      <c r="C2381" t="s">
        <v>6456</v>
      </c>
      <c r="D2381" t="s">
        <v>971</v>
      </c>
      <c r="E2381" t="s">
        <v>972</v>
      </c>
      <c r="F2381" s="1">
        <v>44701</v>
      </c>
      <c r="G2381" t="s">
        <v>18</v>
      </c>
      <c r="H2381" s="24">
        <v>2808</v>
      </c>
      <c r="I2381" t="str">
        <f>IF(H2381&lt;=0,"",LOOKUP(H2381,'Regras e Parâmetros'!$B$4:$B$7,'Regras e Parâmetros'!$A$4:$A$7))</f>
        <v>Prata</v>
      </c>
      <c r="J2381" t="s">
        <v>6747</v>
      </c>
      <c r="L2381" t="s">
        <v>9792</v>
      </c>
    </row>
    <row r="2382" spans="1:12" x14ac:dyDescent="0.3">
      <c r="A2382" t="s">
        <v>9155</v>
      </c>
      <c r="B2382" s="5" t="s">
        <v>9156</v>
      </c>
      <c r="C2382" t="s">
        <v>6456</v>
      </c>
      <c r="D2382" t="s">
        <v>4853</v>
      </c>
      <c r="E2382" t="s">
        <v>9157</v>
      </c>
      <c r="F2382" s="1">
        <v>45968</v>
      </c>
      <c r="G2382" t="s">
        <v>51</v>
      </c>
      <c r="H2382" s="24">
        <v>0</v>
      </c>
      <c r="I2382" t="str">
        <f>IF(H2382&lt;=0,"",LOOKUP(H2382,'Regras e Parâmetros'!$B$4:$B$7,'Regras e Parâmetros'!$A$4:$A$7))</f>
        <v/>
      </c>
      <c r="J2382" t="s">
        <v>9790</v>
      </c>
      <c r="K2382" t="s">
        <v>177</v>
      </c>
      <c r="L2382" t="s">
        <v>9883</v>
      </c>
    </row>
    <row r="2383" spans="1:12" x14ac:dyDescent="0.3">
      <c r="A2383" t="s">
        <v>1842</v>
      </c>
      <c r="B2383" s="5" t="s">
        <v>7493</v>
      </c>
      <c r="C2383" t="s">
        <v>6456</v>
      </c>
      <c r="D2383" t="s">
        <v>1843</v>
      </c>
      <c r="E2383" t="s">
        <v>7494</v>
      </c>
      <c r="F2383" s="1">
        <v>44989</v>
      </c>
      <c r="G2383" t="s">
        <v>18</v>
      </c>
      <c r="H2383" s="24">
        <v>3037</v>
      </c>
      <c r="I2383" t="str">
        <f>IF(H2383&lt;=0,"",LOOKUP(H2383,'Regras e Parâmetros'!$B$4:$B$7,'Regras e Parâmetros'!$A$4:$A$7))</f>
        <v>Prata</v>
      </c>
      <c r="J2383" t="s">
        <v>9790</v>
      </c>
    </row>
    <row r="2384" spans="1:12" x14ac:dyDescent="0.3">
      <c r="A2384" t="s">
        <v>3512</v>
      </c>
      <c r="B2384" s="5" t="s">
        <v>8366</v>
      </c>
      <c r="C2384" t="s">
        <v>6456</v>
      </c>
      <c r="D2384" t="s">
        <v>3513</v>
      </c>
      <c r="E2384" t="s">
        <v>3514</v>
      </c>
      <c r="F2384" s="1">
        <v>45569</v>
      </c>
      <c r="G2384" t="s">
        <v>51</v>
      </c>
      <c r="H2384" s="24">
        <v>206</v>
      </c>
      <c r="I2384" t="str">
        <f>IF(H2384&lt;=0,"",LOOKUP(H2384,'Regras e Parâmetros'!$B$4:$B$7,'Regras e Parâmetros'!$A$4:$A$7))</f>
        <v>Bronze</v>
      </c>
      <c r="J2384" t="s">
        <v>6456</v>
      </c>
      <c r="L2384" t="s">
        <v>9792</v>
      </c>
    </row>
    <row r="2385" spans="1:12" x14ac:dyDescent="0.3">
      <c r="A2385" t="s">
        <v>8398</v>
      </c>
      <c r="B2385" s="5" t="s">
        <v>8399</v>
      </c>
      <c r="C2385" t="s">
        <v>6456</v>
      </c>
      <c r="D2385" t="s">
        <v>3585</v>
      </c>
      <c r="E2385" t="s">
        <v>3586</v>
      </c>
      <c r="F2385" s="1">
        <v>45589</v>
      </c>
      <c r="G2385" t="s">
        <v>45</v>
      </c>
      <c r="H2385" s="24">
        <v>378</v>
      </c>
      <c r="I2385" t="str">
        <f>IF(H2385&lt;=0,"",LOOKUP(H2385,'Regras e Parâmetros'!$B$4:$B$7,'Regras e Parâmetros'!$A$4:$A$7))</f>
        <v>Bronze</v>
      </c>
      <c r="J2385" t="s">
        <v>9790</v>
      </c>
      <c r="L2385" t="s">
        <v>9792</v>
      </c>
    </row>
    <row r="2386" spans="1:12" x14ac:dyDescent="0.3">
      <c r="A2386" t="s">
        <v>3535</v>
      </c>
      <c r="B2386" s="5" t="s">
        <v>8376</v>
      </c>
      <c r="C2386" t="s">
        <v>6456</v>
      </c>
      <c r="D2386" t="s">
        <v>3536</v>
      </c>
      <c r="E2386" t="s">
        <v>3537</v>
      </c>
      <c r="F2386" s="1">
        <v>45579</v>
      </c>
      <c r="G2386" t="s">
        <v>51</v>
      </c>
      <c r="H2386" s="24">
        <v>1600</v>
      </c>
      <c r="I2386" t="str">
        <f>IF(H2386&lt;=0,"",LOOKUP(H2386,'Regras e Parâmetros'!$B$4:$B$7,'Regras e Parâmetros'!$A$4:$A$7))</f>
        <v>Prata</v>
      </c>
      <c r="J2386" t="s">
        <v>6747</v>
      </c>
      <c r="L2386" t="s">
        <v>9793</v>
      </c>
    </row>
    <row r="2387" spans="1:12" x14ac:dyDescent="0.3">
      <c r="A2387" t="s">
        <v>5500</v>
      </c>
      <c r="B2387" s="5" t="s">
        <v>9520</v>
      </c>
      <c r="C2387" t="s">
        <v>6456</v>
      </c>
      <c r="D2387" t="s">
        <v>5501</v>
      </c>
      <c r="E2387" t="s">
        <v>9521</v>
      </c>
      <c r="F2387" s="1">
        <v>46157</v>
      </c>
      <c r="G2387" t="s">
        <v>45</v>
      </c>
      <c r="H2387" s="24">
        <v>0</v>
      </c>
      <c r="I2387" t="str">
        <f>IF(H2387&lt;=0,"",LOOKUP(H2387,'Regras e Parâmetros'!$B$4:$B$7,'Regras e Parâmetros'!$A$4:$A$7))</f>
        <v/>
      </c>
      <c r="J2387" t="s">
        <v>6456</v>
      </c>
      <c r="L2387" t="s">
        <v>9883</v>
      </c>
    </row>
    <row r="2388" spans="1:12" x14ac:dyDescent="0.3">
      <c r="A2388" t="s">
        <v>4977</v>
      </c>
      <c r="B2388" s="5" t="s">
        <v>9225</v>
      </c>
      <c r="C2388" t="s">
        <v>6456</v>
      </c>
      <c r="D2388" t="s">
        <v>4978</v>
      </c>
      <c r="E2388" t="s">
        <v>4979</v>
      </c>
      <c r="F2388" s="1">
        <v>46003</v>
      </c>
      <c r="G2388" t="s">
        <v>110</v>
      </c>
      <c r="H2388" s="24">
        <v>0</v>
      </c>
      <c r="I2388" t="str">
        <f>IF(H2388&lt;=0,"",LOOKUP(H2388,'Regras e Parâmetros'!$B$4:$B$7,'Regras e Parâmetros'!$A$4:$A$7))</f>
        <v/>
      </c>
      <c r="J2388" t="s">
        <v>6456</v>
      </c>
      <c r="L2388" t="s">
        <v>9883</v>
      </c>
    </row>
    <row r="2389" spans="1:12" x14ac:dyDescent="0.3">
      <c r="A2389" t="s">
        <v>7137</v>
      </c>
      <c r="B2389" s="5" t="s">
        <v>7138</v>
      </c>
      <c r="C2389" t="s">
        <v>6456</v>
      </c>
      <c r="D2389" t="s">
        <v>1291</v>
      </c>
      <c r="E2389" t="s">
        <v>1292</v>
      </c>
      <c r="F2389" s="1">
        <v>44800</v>
      </c>
      <c r="G2389" t="s">
        <v>51</v>
      </c>
      <c r="H2389" s="24">
        <v>440</v>
      </c>
      <c r="I2389" t="str">
        <f>IF(H2389&lt;=0,"",LOOKUP(H2389,'Regras e Parâmetros'!$B$4:$B$7,'Regras e Parâmetros'!$A$4:$A$7))</f>
        <v>Bronze</v>
      </c>
      <c r="J2389" t="s">
        <v>6747</v>
      </c>
    </row>
    <row r="2390" spans="1:12" x14ac:dyDescent="0.3">
      <c r="A2390" t="s">
        <v>3055</v>
      </c>
      <c r="B2390" s="5" t="s">
        <v>8135</v>
      </c>
      <c r="C2390" t="s">
        <v>6456</v>
      </c>
      <c r="D2390" t="s">
        <v>3056</v>
      </c>
      <c r="E2390" t="s">
        <v>10148</v>
      </c>
      <c r="F2390" s="1">
        <v>45411</v>
      </c>
      <c r="G2390" t="s">
        <v>51</v>
      </c>
      <c r="H2390" s="24">
        <v>1607</v>
      </c>
      <c r="I2390" t="str">
        <f>IF(H2390&lt;=0,"",LOOKUP(H2390,'Regras e Parâmetros'!$B$4:$B$7,'Regras e Parâmetros'!$A$4:$A$7))</f>
        <v>Prata</v>
      </c>
      <c r="J2390" t="s">
        <v>9790</v>
      </c>
    </row>
    <row r="2391" spans="1:12" x14ac:dyDescent="0.3">
      <c r="A2391" t="s">
        <v>9737</v>
      </c>
      <c r="B2391" s="5" t="s">
        <v>5859</v>
      </c>
      <c r="C2391" t="s">
        <v>6456</v>
      </c>
      <c r="D2391" t="s">
        <v>5860</v>
      </c>
      <c r="E2391" t="s">
        <v>9738</v>
      </c>
      <c r="F2391" s="1">
        <v>46260</v>
      </c>
      <c r="G2391" t="s">
        <v>45</v>
      </c>
      <c r="H2391" s="24">
        <v>0</v>
      </c>
      <c r="I2391" t="str">
        <f>IF(H2391&lt;=0,"",LOOKUP(H2391,'Regras e Parâmetros'!$B$4:$B$7,'Regras e Parâmetros'!$A$4:$A$7))</f>
        <v/>
      </c>
      <c r="J2391" t="s">
        <v>6747</v>
      </c>
      <c r="L2391" t="s">
        <v>9883</v>
      </c>
    </row>
    <row r="2392" spans="1:12" x14ac:dyDescent="0.3">
      <c r="A2392" t="s">
        <v>6629</v>
      </c>
      <c r="B2392" s="5" t="s">
        <v>6630</v>
      </c>
      <c r="C2392" t="s">
        <v>6456</v>
      </c>
      <c r="D2392" t="s">
        <v>339</v>
      </c>
      <c r="E2392" t="s">
        <v>6631</v>
      </c>
      <c r="F2392" s="1">
        <v>44459</v>
      </c>
      <c r="G2392" t="s">
        <v>45</v>
      </c>
      <c r="H2392" s="24">
        <v>8694</v>
      </c>
      <c r="I2392" t="str">
        <f>IF(H2392&lt;=0,"",LOOKUP(H2392,'Regras e Parâmetros'!$B$4:$B$7,'Regras e Parâmetros'!$A$4:$A$7))</f>
        <v>Ouro</v>
      </c>
      <c r="J2392" t="s">
        <v>6747</v>
      </c>
    </row>
    <row r="2393" spans="1:12" x14ac:dyDescent="0.3">
      <c r="A2393" t="s">
        <v>3962</v>
      </c>
      <c r="B2393" s="5" t="s">
        <v>1916</v>
      </c>
      <c r="C2393" t="s">
        <v>6456</v>
      </c>
      <c r="D2393" t="s">
        <v>3963</v>
      </c>
      <c r="E2393" t="s">
        <v>1917</v>
      </c>
      <c r="F2393" s="1">
        <v>45016</v>
      </c>
      <c r="G2393" t="s">
        <v>45</v>
      </c>
      <c r="H2393" s="24">
        <v>494</v>
      </c>
      <c r="I2393" t="str">
        <f>IF(H2393&lt;=0,"",LOOKUP(H2393,'Regras e Parâmetros'!$B$4:$B$7,'Regras e Parâmetros'!$A$4:$A$7))</f>
        <v>Bronze</v>
      </c>
      <c r="J2393" t="s">
        <v>6456</v>
      </c>
      <c r="K2393" t="s">
        <v>9838</v>
      </c>
      <c r="L2393" t="s">
        <v>9839</v>
      </c>
    </row>
    <row r="2394" spans="1:12" x14ac:dyDescent="0.3">
      <c r="A2394" t="s">
        <v>7056</v>
      </c>
      <c r="B2394" s="5" t="s">
        <v>1293</v>
      </c>
      <c r="C2394" t="s">
        <v>6456</v>
      </c>
      <c r="D2394" t="s">
        <v>1294</v>
      </c>
      <c r="E2394" t="s">
        <v>1295</v>
      </c>
      <c r="F2394" s="1">
        <v>44733</v>
      </c>
      <c r="G2394" t="s">
        <v>18</v>
      </c>
      <c r="H2394" s="24">
        <v>1714</v>
      </c>
      <c r="I2394" t="str">
        <f>IF(H2394&lt;=0,"",LOOKUP(H2394,'Regras e Parâmetros'!$B$4:$B$7,'Regras e Parâmetros'!$A$4:$A$7))</f>
        <v>Prata</v>
      </c>
      <c r="J2394" t="s">
        <v>6747</v>
      </c>
    </row>
    <row r="2395" spans="1:12" x14ac:dyDescent="0.3">
      <c r="A2395" t="s">
        <v>1974</v>
      </c>
      <c r="B2395" s="5" t="s">
        <v>7561</v>
      </c>
      <c r="C2395" t="s">
        <v>6456</v>
      </c>
      <c r="D2395" t="s">
        <v>1976</v>
      </c>
      <c r="E2395" t="s">
        <v>1977</v>
      </c>
      <c r="F2395" s="1">
        <v>45033</v>
      </c>
      <c r="G2395" t="s">
        <v>18</v>
      </c>
      <c r="H2395" s="24">
        <v>831</v>
      </c>
      <c r="I2395" t="str">
        <f>IF(H2395&lt;=0,"",LOOKUP(H2395,'Regras e Parâmetros'!$B$4:$B$7,'Regras e Parâmetros'!$A$4:$A$7))</f>
        <v>Bronze</v>
      </c>
      <c r="J2395" t="s">
        <v>9790</v>
      </c>
    </row>
    <row r="2396" spans="1:12" x14ac:dyDescent="0.3">
      <c r="A2396" t="s">
        <v>410</v>
      </c>
      <c r="B2396" s="5" t="s">
        <v>6673</v>
      </c>
      <c r="C2396" t="s">
        <v>6456</v>
      </c>
      <c r="D2396" t="s">
        <v>411</v>
      </c>
      <c r="E2396" t="s">
        <v>6674</v>
      </c>
      <c r="F2396" s="1">
        <v>44491</v>
      </c>
      <c r="G2396" t="s">
        <v>22</v>
      </c>
      <c r="H2396" s="24">
        <v>298</v>
      </c>
      <c r="I2396" t="str">
        <f>IF(H2396&lt;=0,"",LOOKUP(H2396,'Regras e Parâmetros'!$B$4:$B$7,'Regras e Parâmetros'!$A$4:$A$7))</f>
        <v>Bronze</v>
      </c>
      <c r="J2396" t="s">
        <v>9790</v>
      </c>
    </row>
  </sheetData>
  <autoFilter ref="A1:L2396" xr:uid="{00000000-0001-0000-0000-000000000000}">
    <sortState xmlns:xlrd2="http://schemas.microsoft.com/office/spreadsheetml/2017/richdata2" ref="A2:L2396">
      <sortCondition ref="A1:A2396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7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cols>
    <col min="1" max="1" width="12.44140625" customWidth="1"/>
    <col min="2" max="2" width="15.77734375" customWidth="1"/>
    <col min="3" max="3" width="30" customWidth="1"/>
    <col min="4" max="9" width="14.109375" customWidth="1"/>
    <col min="10" max="10" width="26.6640625" customWidth="1"/>
    <col min="11" max="11" width="55" customWidth="1"/>
  </cols>
  <sheetData>
    <row r="1" spans="1:11" ht="28.8" x14ac:dyDescent="0.3">
      <c r="A1" s="6" t="s">
        <v>9941</v>
      </c>
      <c r="B1" s="6" t="s">
        <v>6448</v>
      </c>
      <c r="C1" s="6" t="s">
        <v>9942</v>
      </c>
      <c r="D1" s="6" t="s">
        <v>9943</v>
      </c>
      <c r="E1" s="6" t="s">
        <v>9944</v>
      </c>
      <c r="F1" s="6" t="s">
        <v>9945</v>
      </c>
      <c r="G1" s="6" t="s">
        <v>9946</v>
      </c>
      <c r="H1" s="6" t="s">
        <v>9947</v>
      </c>
      <c r="I1" s="6" t="s">
        <v>9948</v>
      </c>
      <c r="J1" s="6" t="s">
        <v>9949</v>
      </c>
      <c r="K1" s="6" t="s">
        <v>6454</v>
      </c>
    </row>
    <row r="2" spans="1:11" x14ac:dyDescent="0.3">
      <c r="A2" s="1">
        <v>44927</v>
      </c>
      <c r="B2" s="5" t="s">
        <v>2846</v>
      </c>
      <c r="C2" t="str">
        <f>IF(B2="","",IFERROR(INDEX(Clientes!$A:$A,MATCH(B2,Clientes!$B:$B,0)),"(CPF não cadastrado)"))</f>
        <v>Heloísa Nascimento</v>
      </c>
      <c r="D2" s="24">
        <v>1000</v>
      </c>
      <c r="E2" s="7">
        <v>100</v>
      </c>
      <c r="F2" s="7">
        <f>D2/100*LOOKUP(A2,'Regras e Parâmetros'!$A$11:$A$12,'Regras e Parâmetros'!$B$11:$B$12)</f>
        <v>100</v>
      </c>
      <c r="G2" s="7">
        <f>E2-F2</f>
        <v>0</v>
      </c>
      <c r="H2" t="s">
        <v>18</v>
      </c>
      <c r="I2" t="s">
        <v>6078</v>
      </c>
      <c r="J2" s="5" t="s">
        <v>2846</v>
      </c>
      <c r="K2" t="s">
        <v>9791</v>
      </c>
    </row>
    <row r="3" spans="1:11" x14ac:dyDescent="0.3">
      <c r="A3" s="1">
        <v>44927</v>
      </c>
      <c r="B3" s="5" t="s">
        <v>6086</v>
      </c>
      <c r="C3" t="str">
        <f>IF(B3="","",IFERROR(INDEX(Clientes!$A:$A,MATCH(B3,Clientes!$B:$B,0)),"(CPF não cadastrado)"))</f>
        <v>Sabrina Fonseca Nascimento</v>
      </c>
      <c r="D3" s="24">
        <v>1000</v>
      </c>
      <c r="E3" s="7">
        <v>100</v>
      </c>
      <c r="F3" s="7">
        <f>D3/100*LOOKUP(A3,'Regras e Parâmetros'!$A$11:$A$12,'Regras e Parâmetros'!$B$11:$B$12)</f>
        <v>100</v>
      </c>
      <c r="G3" s="7">
        <f t="shared" ref="G3:G66" si="0">E3-F3</f>
        <v>0</v>
      </c>
      <c r="H3" t="s">
        <v>100</v>
      </c>
      <c r="I3" t="s">
        <v>6078</v>
      </c>
      <c r="J3" s="5" t="s">
        <v>9956</v>
      </c>
    </row>
    <row r="4" spans="1:11" x14ac:dyDescent="0.3">
      <c r="A4" s="1">
        <v>44939</v>
      </c>
      <c r="B4" s="5" t="s">
        <v>6086</v>
      </c>
      <c r="C4" t="str">
        <f>IF(B4="","",IFERROR(INDEX(Clientes!$A:$A,MATCH(B4,Clientes!$B:$B,0)),"(CPF não cadastrado)"))</f>
        <v>Sabrina Fonseca Nascimento</v>
      </c>
      <c r="D4" s="24">
        <v>1000</v>
      </c>
      <c r="E4" s="7">
        <v>100</v>
      </c>
      <c r="F4" s="7">
        <f>D4/100*LOOKUP(A4,'Regras e Parâmetros'!$A$11:$A$12,'Regras e Parâmetros'!$B$11:$B$12)</f>
        <v>100</v>
      </c>
      <c r="G4" s="7">
        <f t="shared" si="0"/>
        <v>0</v>
      </c>
      <c r="H4" t="s">
        <v>100</v>
      </c>
      <c r="I4" t="s">
        <v>6078</v>
      </c>
      <c r="J4" s="5" t="s">
        <v>6086</v>
      </c>
    </row>
    <row r="5" spans="1:11" x14ac:dyDescent="0.3">
      <c r="A5" s="1">
        <v>44947</v>
      </c>
      <c r="B5" s="5" t="s">
        <v>128</v>
      </c>
      <c r="C5" t="str">
        <f>IF(B5="","",IFERROR(INDEX(Clientes!$A:$A,MATCH(B5,Clientes!$B:$B,0)),"(CPF não cadastrado)"))</f>
        <v>Guilherme Peixoto</v>
      </c>
      <c r="D5" s="24">
        <v>300</v>
      </c>
      <c r="E5" s="7">
        <v>30</v>
      </c>
      <c r="F5" s="7">
        <f>D5/100*LOOKUP(A5,'Regras e Parâmetros'!$A$11:$A$12,'Regras e Parâmetros'!$B$11:$B$12)</f>
        <v>30</v>
      </c>
      <c r="G5" s="7">
        <f t="shared" si="0"/>
        <v>0</v>
      </c>
      <c r="H5" t="s">
        <v>100</v>
      </c>
      <c r="I5" t="s">
        <v>6078</v>
      </c>
      <c r="J5" s="5" t="s">
        <v>9957</v>
      </c>
    </row>
    <row r="6" spans="1:11" x14ac:dyDescent="0.3">
      <c r="A6" s="1">
        <v>44973</v>
      </c>
      <c r="B6" s="5" t="s">
        <v>7703</v>
      </c>
      <c r="C6" t="str">
        <f>IF(B6="","",IFERROR(INDEX(Clientes!$A:$A,MATCH(B6,Clientes!$B:$B,0)),"(CPF não cadastrado)"))</f>
        <v>Eduarda Ramos Cardoso</v>
      </c>
      <c r="D6" s="24">
        <v>1000</v>
      </c>
      <c r="E6" s="7">
        <v>100</v>
      </c>
      <c r="F6" s="7">
        <f>D6/100*LOOKUP(A6,'Regras e Parâmetros'!$A$11:$A$12,'Regras e Parâmetros'!$B$11:$B$12)</f>
        <v>100</v>
      </c>
      <c r="G6" s="7">
        <f t="shared" si="0"/>
        <v>0</v>
      </c>
      <c r="H6" t="s">
        <v>18</v>
      </c>
      <c r="I6" t="s">
        <v>6078</v>
      </c>
      <c r="J6" s="5" t="s">
        <v>2217</v>
      </c>
      <c r="K6" t="s">
        <v>9958</v>
      </c>
    </row>
    <row r="7" spans="1:11" x14ac:dyDescent="0.3">
      <c r="A7" s="1">
        <v>44982</v>
      </c>
      <c r="B7" s="5" t="s">
        <v>20</v>
      </c>
      <c r="C7" t="str">
        <f>IF(B7="","",IFERROR(INDEX(Clientes!$A:$A,MATCH(B7,Clientes!$B:$B,0)),"(CPF não cadastrado)"))</f>
        <v>Sofia Freitas</v>
      </c>
      <c r="D7" s="24">
        <v>1000</v>
      </c>
      <c r="E7" s="7">
        <v>100</v>
      </c>
      <c r="F7" s="7">
        <f>D7/100*LOOKUP(A7,'Regras e Parâmetros'!$A$11:$A$12,'Regras e Parâmetros'!$B$11:$B$12)</f>
        <v>100</v>
      </c>
      <c r="G7" s="7">
        <f t="shared" si="0"/>
        <v>0</v>
      </c>
      <c r="H7" t="s">
        <v>100</v>
      </c>
      <c r="I7" t="s">
        <v>6078</v>
      </c>
      <c r="J7" s="5" t="s">
        <v>19</v>
      </c>
      <c r="K7" t="s">
        <v>9958</v>
      </c>
    </row>
    <row r="8" spans="1:11" x14ac:dyDescent="0.3">
      <c r="A8" s="1">
        <v>44986</v>
      </c>
      <c r="B8" s="5" t="s">
        <v>6082</v>
      </c>
      <c r="C8" t="str">
        <f>IF(B8="","",IFERROR(INDEX(Clientes!$A:$A,MATCH(B8,Clientes!$B:$B,0)),"(CPF não cadastrado)"))</f>
        <v>Lívia Araújo Tavares</v>
      </c>
      <c r="D8" s="24">
        <v>200</v>
      </c>
      <c r="E8" s="7">
        <v>20</v>
      </c>
      <c r="F8" s="7">
        <f>D8/100*LOOKUP(A8,'Regras e Parâmetros'!$A$11:$A$12,'Regras e Parâmetros'!$B$11:$B$12)</f>
        <v>20</v>
      </c>
      <c r="G8" s="7">
        <f t="shared" si="0"/>
        <v>0</v>
      </c>
      <c r="H8" t="s">
        <v>18</v>
      </c>
      <c r="I8" t="s">
        <v>6081</v>
      </c>
      <c r="J8" s="5" t="s">
        <v>6082</v>
      </c>
      <c r="K8" t="s">
        <v>10065</v>
      </c>
    </row>
    <row r="9" spans="1:11" x14ac:dyDescent="0.3">
      <c r="A9" s="1">
        <v>44989</v>
      </c>
      <c r="B9" s="5" t="s">
        <v>8015</v>
      </c>
      <c r="C9" t="str">
        <f>IF(B9="","",IFERROR(INDEX(Clientes!$A:$A,MATCH(B9,Clientes!$B:$B,0)),"(CPF não cadastrado)"))</f>
        <v>Mariana Rezende</v>
      </c>
      <c r="D9" s="24">
        <v>100</v>
      </c>
      <c r="E9" s="7">
        <v>10</v>
      </c>
      <c r="F9" s="7">
        <f>D9/100*LOOKUP(A9,'Regras e Parâmetros'!$A$11:$A$12,'Regras e Parâmetros'!$B$11:$B$12)</f>
        <v>10</v>
      </c>
      <c r="G9" s="7">
        <f t="shared" si="0"/>
        <v>0</v>
      </c>
      <c r="H9" t="s">
        <v>22</v>
      </c>
      <c r="I9" t="s">
        <v>6087</v>
      </c>
      <c r="J9" s="5" t="s">
        <v>9959</v>
      </c>
    </row>
    <row r="10" spans="1:11" x14ac:dyDescent="0.3">
      <c r="A10" s="1">
        <v>44989</v>
      </c>
      <c r="B10" s="5" t="s">
        <v>6088</v>
      </c>
      <c r="C10" t="str">
        <f>IF(B10="","",IFERROR(INDEX(Clientes!$A:$A,MATCH(B10,Clientes!$B:$B,0)),"(CPF não cadastrado)"))</f>
        <v>Thaís Moura</v>
      </c>
      <c r="D10" s="24">
        <v>200</v>
      </c>
      <c r="E10" s="7">
        <v>20</v>
      </c>
      <c r="F10" s="7">
        <f>D10/100*LOOKUP(A10,'Regras e Parâmetros'!$A$11:$A$12,'Regras e Parâmetros'!$B$11:$B$12)</f>
        <v>20</v>
      </c>
      <c r="G10" s="7">
        <f t="shared" si="0"/>
        <v>0</v>
      </c>
      <c r="H10" t="s">
        <v>110</v>
      </c>
      <c r="I10" t="s">
        <v>6078</v>
      </c>
      <c r="J10" s="5" t="s">
        <v>6088</v>
      </c>
    </row>
    <row r="11" spans="1:11" x14ac:dyDescent="0.3">
      <c r="A11" s="1">
        <v>45000</v>
      </c>
      <c r="B11" s="5" t="s">
        <v>6089</v>
      </c>
      <c r="C11" t="str">
        <f>IF(B11="","",IFERROR(INDEX(Clientes!$A:$A,MATCH(B11,Clientes!$B:$B,0)),"(CPF não cadastrado)"))</f>
        <v>Débora Almeida</v>
      </c>
      <c r="D11" s="24">
        <v>500</v>
      </c>
      <c r="E11" s="7">
        <v>50</v>
      </c>
      <c r="F11" s="7">
        <f>D11/100*LOOKUP(A11,'Regras e Parâmetros'!$A$11:$A$12,'Regras e Parâmetros'!$B$11:$B$12)</f>
        <v>50</v>
      </c>
      <c r="G11" s="7">
        <f t="shared" si="0"/>
        <v>0</v>
      </c>
      <c r="H11" t="s">
        <v>22</v>
      </c>
      <c r="I11" t="s">
        <v>6081</v>
      </c>
      <c r="J11" s="5" t="s">
        <v>6089</v>
      </c>
    </row>
    <row r="12" spans="1:11" x14ac:dyDescent="0.3">
      <c r="A12" s="1">
        <v>45002</v>
      </c>
      <c r="B12" s="5" t="s">
        <v>7884</v>
      </c>
      <c r="C12" t="str">
        <f>IF(B12="","",IFERROR(INDEX(Clientes!$A:$A,MATCH(B12,Clientes!$B:$B,0)),"(CPF não cadastrado)"))</f>
        <v>Luana Ribeiro Nogueira</v>
      </c>
      <c r="D12" s="24">
        <v>1000</v>
      </c>
      <c r="E12" s="7">
        <v>100</v>
      </c>
      <c r="F12" s="7">
        <f>D12/100*LOOKUP(A12,'Regras e Parâmetros'!$A$11:$A$12,'Regras e Parâmetros'!$B$11:$B$12)</f>
        <v>100</v>
      </c>
      <c r="G12" s="7">
        <f t="shared" si="0"/>
        <v>0</v>
      </c>
      <c r="H12" t="s">
        <v>18</v>
      </c>
      <c r="J12" s="5" t="s">
        <v>6090</v>
      </c>
      <c r="K12" t="s">
        <v>9958</v>
      </c>
    </row>
    <row r="13" spans="1:11" x14ac:dyDescent="0.3">
      <c r="A13" s="1">
        <v>45009</v>
      </c>
      <c r="B13" s="5" t="s">
        <v>7140</v>
      </c>
      <c r="C13" t="str">
        <f>IF(B13="","",IFERROR(INDEX(Clientes!$A:$A,MATCH(B13,Clientes!$B:$B,0)),"(CPF não cadastrado)"))</f>
        <v>Cecília Batista Barros</v>
      </c>
      <c r="D13" s="24">
        <v>500</v>
      </c>
      <c r="E13" s="7">
        <v>50</v>
      </c>
      <c r="F13" s="7">
        <f>D13/100*LOOKUP(A13,'Regras e Parâmetros'!$A$11:$A$12,'Regras e Parâmetros'!$B$11:$B$12)</f>
        <v>50</v>
      </c>
      <c r="G13" s="7">
        <f t="shared" si="0"/>
        <v>0</v>
      </c>
      <c r="H13" t="s">
        <v>110</v>
      </c>
      <c r="I13" t="s">
        <v>6081</v>
      </c>
      <c r="J13" s="5" t="s">
        <v>1044</v>
      </c>
    </row>
    <row r="14" spans="1:11" x14ac:dyDescent="0.3">
      <c r="A14" s="1">
        <v>45016</v>
      </c>
      <c r="B14" s="5" t="s">
        <v>9950</v>
      </c>
      <c r="C14" t="str">
        <f>IF(B14="","",IFERROR(INDEX(Clientes!$A:$A,MATCH(B14,Clientes!$B:$B,0)),"(CPF não cadastrado)"))</f>
        <v/>
      </c>
      <c r="D14" s="24">
        <v>300</v>
      </c>
      <c r="E14" s="7">
        <v>30</v>
      </c>
      <c r="F14" s="7">
        <f>D14/100*LOOKUP(A14,'Regras e Parâmetros'!$A$11:$A$12,'Regras e Parâmetros'!$B$11:$B$12)</f>
        <v>30</v>
      </c>
      <c r="G14" s="7">
        <f t="shared" si="0"/>
        <v>0</v>
      </c>
      <c r="H14" t="s">
        <v>22</v>
      </c>
      <c r="I14" t="s">
        <v>6078</v>
      </c>
      <c r="J14" s="5" t="s">
        <v>466</v>
      </c>
      <c r="K14" t="s">
        <v>10238</v>
      </c>
    </row>
    <row r="15" spans="1:11" x14ac:dyDescent="0.3">
      <c r="A15" s="1">
        <v>45019</v>
      </c>
      <c r="B15" s="5" t="s">
        <v>9950</v>
      </c>
      <c r="C15" t="str">
        <f>IF(B15="","",IFERROR(INDEX(Clientes!$A:$A,MATCH(B15,Clientes!$B:$B,0)),"(CPF não cadastrado)"))</f>
        <v/>
      </c>
      <c r="D15" s="24">
        <v>300</v>
      </c>
      <c r="E15" s="7">
        <v>30</v>
      </c>
      <c r="F15" s="7">
        <f>D15/100*LOOKUP(A15,'Regras e Parâmetros'!$A$11:$A$12,'Regras e Parâmetros'!$B$11:$B$12)</f>
        <v>30</v>
      </c>
      <c r="G15" s="7">
        <f t="shared" si="0"/>
        <v>0</v>
      </c>
      <c r="H15" t="s">
        <v>18</v>
      </c>
      <c r="I15" t="s">
        <v>6087</v>
      </c>
      <c r="J15" s="5" t="s">
        <v>6091</v>
      </c>
      <c r="K15" t="s">
        <v>10272</v>
      </c>
    </row>
    <row r="16" spans="1:11" x14ac:dyDescent="0.3">
      <c r="A16" s="1">
        <v>45020</v>
      </c>
      <c r="B16" s="5" t="s">
        <v>333</v>
      </c>
      <c r="C16" t="str">
        <f>IF(B16="","",IFERROR(INDEX(Clientes!$A:$A,MATCH(B16,Clientes!$B:$B,0)),"(CPF não cadastrado)"))</f>
        <v>Sofia Ferreira</v>
      </c>
      <c r="D16" s="24">
        <v>200</v>
      </c>
      <c r="E16" s="7">
        <v>20</v>
      </c>
      <c r="F16" s="7">
        <f>D16/100*LOOKUP(A16,'Regras e Parâmetros'!$A$11:$A$12,'Regras e Parâmetros'!$B$11:$B$12)</f>
        <v>20</v>
      </c>
      <c r="G16" s="7">
        <f t="shared" si="0"/>
        <v>0</v>
      </c>
      <c r="H16" t="s">
        <v>100</v>
      </c>
      <c r="I16" t="s">
        <v>6145</v>
      </c>
      <c r="J16" s="5" t="s">
        <v>332</v>
      </c>
      <c r="K16" t="s">
        <v>9958</v>
      </c>
    </row>
    <row r="17" spans="1:11" x14ac:dyDescent="0.3">
      <c r="A17" s="1">
        <v>45049</v>
      </c>
      <c r="B17" s="5" t="s">
        <v>9950</v>
      </c>
      <c r="C17" t="str">
        <f>IF(B17="","",IFERROR(INDEX(Clientes!$A:$A,MATCH(B17,Clientes!$B:$B,0)),"(CPF não cadastrado)"))</f>
        <v/>
      </c>
      <c r="D17" s="24">
        <v>500</v>
      </c>
      <c r="E17" s="7">
        <v>50</v>
      </c>
      <c r="F17" s="7">
        <f>D17/100*LOOKUP(A17,'Regras e Parâmetros'!$A$11:$A$12,'Regras e Parâmetros'!$B$11:$B$12)</f>
        <v>50</v>
      </c>
      <c r="G17" s="7">
        <f t="shared" si="0"/>
        <v>0</v>
      </c>
      <c r="H17" t="s">
        <v>18</v>
      </c>
      <c r="J17" s="5" t="s">
        <v>6092</v>
      </c>
      <c r="K17" t="s">
        <v>10273</v>
      </c>
    </row>
    <row r="18" spans="1:11" x14ac:dyDescent="0.3">
      <c r="A18" s="1">
        <v>45056</v>
      </c>
      <c r="B18" s="5" t="s">
        <v>7826</v>
      </c>
      <c r="C18" t="str">
        <f>IF(B18="","",IFERROR(INDEX(Clientes!$A:$A,MATCH(B18,Clientes!$B:$B,0)),"(CPF não cadastrado)"))</f>
        <v>Priscila T. Martins</v>
      </c>
      <c r="D18" s="24">
        <v>100</v>
      </c>
      <c r="E18" s="7">
        <v>10</v>
      </c>
      <c r="F18" s="7">
        <f>D18/100*LOOKUP(A18,'Regras e Parâmetros'!$A$11:$A$12,'Regras e Parâmetros'!$B$11:$B$12)</f>
        <v>10</v>
      </c>
      <c r="G18" s="7">
        <f t="shared" si="0"/>
        <v>0</v>
      </c>
      <c r="H18" t="s">
        <v>22</v>
      </c>
      <c r="I18" t="s">
        <v>6080</v>
      </c>
      <c r="J18" s="5" t="s">
        <v>2434</v>
      </c>
    </row>
    <row r="19" spans="1:11" x14ac:dyDescent="0.3">
      <c r="A19" s="1">
        <v>45059</v>
      </c>
      <c r="B19" s="5" t="s">
        <v>7035</v>
      </c>
      <c r="C19" t="str">
        <f>IF(B19="","",IFERROR(INDEX(Clientes!$A:$A,MATCH(B19,Clientes!$B:$B,0)),"(CPF não cadastrado)"))</f>
        <v>Davi Ferreira</v>
      </c>
      <c r="D19" s="24">
        <v>300</v>
      </c>
      <c r="E19" s="7">
        <v>30</v>
      </c>
      <c r="F19" s="7">
        <f>D19/100*LOOKUP(A19,'Regras e Parâmetros'!$A$11:$A$12,'Regras e Parâmetros'!$B$11:$B$12)</f>
        <v>30</v>
      </c>
      <c r="G19" s="7">
        <f t="shared" si="0"/>
        <v>0</v>
      </c>
      <c r="H19" t="s">
        <v>110</v>
      </c>
      <c r="I19" t="s">
        <v>6078</v>
      </c>
      <c r="J19" s="5" t="s">
        <v>1061</v>
      </c>
      <c r="K19" t="s">
        <v>10060</v>
      </c>
    </row>
    <row r="20" spans="1:11" x14ac:dyDescent="0.3">
      <c r="A20" s="1">
        <v>45075</v>
      </c>
      <c r="B20" s="5" t="s">
        <v>6053</v>
      </c>
      <c r="C20" t="str">
        <f>IF(B20="","",IFERROR(INDEX(Clientes!$A:$A,MATCH(B20,Clientes!$B:$B,0)),"(CPF não cadastrado)"))</f>
        <v>Camila Lima</v>
      </c>
      <c r="D20" s="24">
        <v>100</v>
      </c>
      <c r="E20" s="7">
        <v>10</v>
      </c>
      <c r="F20" s="7">
        <f>D20/100*LOOKUP(A20,'Regras e Parâmetros'!$A$11:$A$12,'Regras e Parâmetros'!$B$11:$B$12)</f>
        <v>10</v>
      </c>
      <c r="G20" s="7">
        <f t="shared" si="0"/>
        <v>0</v>
      </c>
      <c r="H20" t="s">
        <v>110</v>
      </c>
      <c r="I20" t="s">
        <v>6080</v>
      </c>
      <c r="J20" s="5" t="s">
        <v>6093</v>
      </c>
      <c r="K20" t="s">
        <v>10061</v>
      </c>
    </row>
    <row r="21" spans="1:11" x14ac:dyDescent="0.3">
      <c r="A21" s="1">
        <v>45084</v>
      </c>
      <c r="B21" s="5" t="s">
        <v>1003</v>
      </c>
      <c r="C21" t="str">
        <f>IF(B21="","",IFERROR(INDEX(Clientes!$A:$A,MATCH(B21,Clientes!$B:$B,0)),"(CPF não cadastrado)"))</f>
        <v>Aline Teixeira Nascimento</v>
      </c>
      <c r="D21" s="24">
        <v>200</v>
      </c>
      <c r="E21" s="7">
        <v>20</v>
      </c>
      <c r="F21" s="7">
        <f>D21/100*LOOKUP(A21,'Regras e Parâmetros'!$A$11:$A$12,'Regras e Parâmetros'!$B$11:$B$12)</f>
        <v>20</v>
      </c>
      <c r="G21" s="7">
        <f t="shared" si="0"/>
        <v>0</v>
      </c>
      <c r="H21" t="s">
        <v>18</v>
      </c>
      <c r="J21" s="5" t="s">
        <v>1003</v>
      </c>
    </row>
    <row r="22" spans="1:11" x14ac:dyDescent="0.3">
      <c r="A22" s="1">
        <v>45109</v>
      </c>
      <c r="B22" s="5" t="s">
        <v>2700</v>
      </c>
      <c r="C22" t="str">
        <f>IF(B22="","",IFERROR(INDEX(Clientes!$A:$A,MATCH(B22,Clientes!$B:$B,0)),"(CPF não cadastrado)"))</f>
        <v>Rafaela Lopes Ramos</v>
      </c>
      <c r="D22" s="24">
        <v>500</v>
      </c>
      <c r="E22" s="7">
        <v>50</v>
      </c>
      <c r="F22" s="7">
        <f>D22/100*LOOKUP(A22,'Regras e Parâmetros'!$A$11:$A$12,'Regras e Parâmetros'!$B$11:$B$12)</f>
        <v>50</v>
      </c>
      <c r="G22" s="7">
        <f t="shared" si="0"/>
        <v>0</v>
      </c>
      <c r="H22" t="s">
        <v>100</v>
      </c>
      <c r="I22" t="s">
        <v>6087</v>
      </c>
      <c r="J22" s="5" t="s">
        <v>2700</v>
      </c>
    </row>
    <row r="23" spans="1:11" x14ac:dyDescent="0.3">
      <c r="A23" s="1">
        <v>45118</v>
      </c>
      <c r="B23" s="5" t="s">
        <v>6094</v>
      </c>
      <c r="C23" t="str">
        <f>IF(B23="","",IFERROR(INDEX(Clientes!$A:$A,MATCH(B23,Clientes!$B:$B,0)),"(CPF não cadastrado)"))</f>
        <v>Manuela Ferreira</v>
      </c>
      <c r="D23" s="24">
        <v>500</v>
      </c>
      <c r="E23" s="7">
        <v>50</v>
      </c>
      <c r="F23" s="7">
        <f>D23/100*LOOKUP(A23,'Regras e Parâmetros'!$A$11:$A$12,'Regras e Parâmetros'!$B$11:$B$12)</f>
        <v>50</v>
      </c>
      <c r="G23" s="7">
        <f t="shared" si="0"/>
        <v>0</v>
      </c>
      <c r="H23" t="s">
        <v>22</v>
      </c>
      <c r="I23" t="s">
        <v>6081</v>
      </c>
      <c r="J23" s="5" t="s">
        <v>6094</v>
      </c>
    </row>
    <row r="24" spans="1:11" x14ac:dyDescent="0.3">
      <c r="A24" s="1">
        <v>45129</v>
      </c>
      <c r="B24" s="5" t="s">
        <v>6095</v>
      </c>
      <c r="C24" t="str">
        <f>IF(B24="","",IFERROR(INDEX(Clientes!$A:$A,MATCH(B24,Clientes!$B:$B,0)),"(CPF não cadastrado)"))</f>
        <v>Paula Rezende</v>
      </c>
      <c r="D24" s="24">
        <v>500</v>
      </c>
      <c r="E24" s="7">
        <v>50</v>
      </c>
      <c r="F24" s="7">
        <f>D24/100*LOOKUP(A24,'Regras e Parâmetros'!$A$11:$A$12,'Regras e Parâmetros'!$B$11:$B$12)</f>
        <v>50</v>
      </c>
      <c r="G24" s="7">
        <f t="shared" si="0"/>
        <v>0</v>
      </c>
      <c r="H24" t="s">
        <v>100</v>
      </c>
      <c r="I24" t="s">
        <v>6145</v>
      </c>
      <c r="J24" s="5" t="s">
        <v>6095</v>
      </c>
    </row>
    <row r="25" spans="1:11" x14ac:dyDescent="0.3">
      <c r="A25" s="1">
        <v>45133</v>
      </c>
      <c r="B25" s="5" t="s">
        <v>6206</v>
      </c>
      <c r="C25" t="str">
        <f>IF(B25="","",IFERROR(INDEX(Clientes!$A:$A,MATCH(B25,Clientes!$B:$B,0)),"(CPF não cadastrado)"))</f>
        <v>Felipe Monteiro</v>
      </c>
      <c r="D25" s="24">
        <v>1000</v>
      </c>
      <c r="E25" s="7">
        <v>100</v>
      </c>
      <c r="F25" s="7">
        <f>D25/100*LOOKUP(A25,'Regras e Parâmetros'!$A$11:$A$12,'Regras e Parâmetros'!$B$11:$B$12)</f>
        <v>100</v>
      </c>
      <c r="G25" s="7">
        <f t="shared" si="0"/>
        <v>0</v>
      </c>
      <c r="H25" t="s">
        <v>100</v>
      </c>
      <c r="I25" t="s">
        <v>6080</v>
      </c>
      <c r="J25" s="5" t="s">
        <v>6096</v>
      </c>
      <c r="K25" t="s">
        <v>10061</v>
      </c>
    </row>
    <row r="26" spans="1:11" x14ac:dyDescent="0.3">
      <c r="A26" s="1">
        <v>45170</v>
      </c>
      <c r="B26" s="5" t="s">
        <v>6079</v>
      </c>
      <c r="C26" t="str">
        <f>IF(B26="","",IFERROR(INDEX(Clientes!$A:$A,MATCH(B26,Clientes!$B:$B,0)),"(CPF não cadastrado)"))</f>
        <v>Juliana Ribeiro Farias</v>
      </c>
      <c r="D26" s="24">
        <v>1000</v>
      </c>
      <c r="E26" s="7">
        <v>100</v>
      </c>
      <c r="F26" s="7">
        <f>D26/100*LOOKUP(A26,'Regras e Parâmetros'!$A$11:$A$12,'Regras e Parâmetros'!$B$11:$B$12)</f>
        <v>100</v>
      </c>
      <c r="G26" s="7">
        <f t="shared" si="0"/>
        <v>0</v>
      </c>
      <c r="H26" t="s">
        <v>110</v>
      </c>
      <c r="I26" t="s">
        <v>6080</v>
      </c>
      <c r="J26" s="5" t="s">
        <v>6079</v>
      </c>
      <c r="K26" t="s">
        <v>9791</v>
      </c>
    </row>
    <row r="27" spans="1:11" x14ac:dyDescent="0.3">
      <c r="A27" s="1">
        <v>45170</v>
      </c>
      <c r="B27" s="5" t="s">
        <v>6564</v>
      </c>
      <c r="C27" t="str">
        <f>IF(B27="","",IFERROR(INDEX(Clientes!$A:$A,MATCH(B27,Clientes!$B:$B,0)),"(CPF não cadastrado)"))</f>
        <v>Emanuelly Pereira Ribeiro</v>
      </c>
      <c r="D27" s="24">
        <v>300</v>
      </c>
      <c r="E27" s="7">
        <v>30</v>
      </c>
      <c r="F27" s="7">
        <f>D27/100*LOOKUP(A27,'Regras e Parâmetros'!$A$11:$A$12,'Regras e Parâmetros'!$B$11:$B$12)</f>
        <v>30</v>
      </c>
      <c r="G27" s="7">
        <f t="shared" si="0"/>
        <v>0</v>
      </c>
      <c r="H27" t="s">
        <v>110</v>
      </c>
      <c r="I27" t="s">
        <v>6081</v>
      </c>
      <c r="J27" s="5" t="s">
        <v>201</v>
      </c>
      <c r="K27" t="s">
        <v>9960</v>
      </c>
    </row>
    <row r="28" spans="1:11" x14ac:dyDescent="0.3">
      <c r="A28" s="1">
        <v>45170</v>
      </c>
      <c r="B28" s="5" t="s">
        <v>6654</v>
      </c>
      <c r="C28" t="str">
        <f>IF(B28="","",IFERROR(INDEX(Clientes!$A:$A,MATCH(B28,Clientes!$B:$B,0)),"(CPF não cadastrado)"))</f>
        <v>Daniela Rocha</v>
      </c>
      <c r="D28" s="24">
        <v>200</v>
      </c>
      <c r="E28" s="7">
        <v>20</v>
      </c>
      <c r="F28" s="7">
        <f>D28/100*LOOKUP(A28,'Regras e Parâmetros'!$A$11:$A$12,'Regras e Parâmetros'!$B$11:$B$12)</f>
        <v>20</v>
      </c>
      <c r="G28" s="7">
        <f t="shared" si="0"/>
        <v>0</v>
      </c>
      <c r="H28" t="s">
        <v>22</v>
      </c>
      <c r="I28" t="s">
        <v>6145</v>
      </c>
      <c r="J28" s="5" t="s">
        <v>6084</v>
      </c>
      <c r="K28" t="s">
        <v>10061</v>
      </c>
    </row>
    <row r="29" spans="1:11" x14ac:dyDescent="0.3">
      <c r="A29" s="1">
        <v>45170</v>
      </c>
      <c r="B29" s="5" t="s">
        <v>7078</v>
      </c>
      <c r="C29" t="str">
        <f>IF(B29="","",IFERROR(INDEX(Clientes!$A:$A,MATCH(B29,Clientes!$B:$B,0)),"(CPF não cadastrado)"))</f>
        <v>Fernanda Campos</v>
      </c>
      <c r="D29" s="24">
        <v>1000</v>
      </c>
      <c r="E29" s="7">
        <v>100</v>
      </c>
      <c r="F29" s="7">
        <f>D29/100*LOOKUP(A29,'Regras e Parâmetros'!$A$11:$A$12,'Regras e Parâmetros'!$B$11:$B$12)</f>
        <v>100</v>
      </c>
      <c r="G29" s="7">
        <f t="shared" si="0"/>
        <v>0</v>
      </c>
      <c r="H29" t="s">
        <v>18</v>
      </c>
      <c r="I29" t="s">
        <v>6078</v>
      </c>
      <c r="J29" s="5" t="s">
        <v>9961</v>
      </c>
      <c r="K29" t="s">
        <v>9791</v>
      </c>
    </row>
    <row r="30" spans="1:11" x14ac:dyDescent="0.3">
      <c r="A30" s="1">
        <v>45180</v>
      </c>
      <c r="B30" s="5" t="s">
        <v>2394</v>
      </c>
      <c r="C30" t="str">
        <f>IF(B30="","",IFERROR(INDEX(Clientes!$A:$A,MATCH(B30,Clientes!$B:$B,0)),"(CPF não cadastrado)"))</f>
        <v>Eduarda Ramos</v>
      </c>
      <c r="D30" s="24">
        <v>100</v>
      </c>
      <c r="E30" s="7">
        <v>10</v>
      </c>
      <c r="F30" s="7">
        <f>D30/100*LOOKUP(A30,'Regras e Parâmetros'!$A$11:$A$12,'Regras e Parâmetros'!$B$11:$B$12)</f>
        <v>10</v>
      </c>
      <c r="G30" s="7">
        <f t="shared" si="0"/>
        <v>0</v>
      </c>
      <c r="H30" t="s">
        <v>22</v>
      </c>
      <c r="J30" s="5" t="s">
        <v>2393</v>
      </c>
      <c r="K30" t="s">
        <v>9958</v>
      </c>
    </row>
    <row r="31" spans="1:11" x14ac:dyDescent="0.3">
      <c r="A31" s="1">
        <v>45200</v>
      </c>
      <c r="B31" s="5" t="s">
        <v>6550</v>
      </c>
      <c r="C31" t="str">
        <f>IF(B31="","",IFERROR(INDEX(Clientes!$A:$A,MATCH(B31,Clientes!$B:$B,0)),"(CPF não cadastrado)"))</f>
        <v>Sabrina Campos</v>
      </c>
      <c r="D31" s="24">
        <v>200</v>
      </c>
      <c r="E31" s="7">
        <v>20</v>
      </c>
      <c r="F31" s="7">
        <f>D31/100*LOOKUP(A31,'Regras e Parâmetros'!$A$11:$A$12,'Regras e Parâmetros'!$B$11:$B$12)</f>
        <v>20</v>
      </c>
      <c r="G31" s="7">
        <f t="shared" si="0"/>
        <v>0</v>
      </c>
      <c r="H31" t="s">
        <v>18</v>
      </c>
      <c r="J31" s="5" t="s">
        <v>6083</v>
      </c>
      <c r="K31" t="s">
        <v>10061</v>
      </c>
    </row>
    <row r="32" spans="1:11" x14ac:dyDescent="0.3">
      <c r="A32" s="1">
        <v>45209</v>
      </c>
      <c r="B32" s="5" t="s">
        <v>6097</v>
      </c>
      <c r="C32" t="str">
        <f>IF(B32="","",IFERROR(INDEX(Clientes!$A:$A,MATCH(B32,Clientes!$B:$B,0)),"(CPF não cadastrado)"))</f>
        <v>Heloísa Campos Nascimento</v>
      </c>
      <c r="D32" s="24">
        <v>1000</v>
      </c>
      <c r="E32" s="7">
        <v>100</v>
      </c>
      <c r="F32" s="7">
        <f>D32/100*LOOKUP(A32,'Regras e Parâmetros'!$A$11:$A$12,'Regras e Parâmetros'!$B$11:$B$12)</f>
        <v>100</v>
      </c>
      <c r="G32" s="7">
        <f t="shared" si="0"/>
        <v>0</v>
      </c>
      <c r="H32" t="s">
        <v>22</v>
      </c>
      <c r="I32" t="s">
        <v>6078</v>
      </c>
      <c r="J32" s="5" t="s">
        <v>6097</v>
      </c>
    </row>
    <row r="33" spans="1:11" x14ac:dyDescent="0.3">
      <c r="A33" s="1">
        <v>45218</v>
      </c>
      <c r="B33" s="5" t="s">
        <v>2744</v>
      </c>
      <c r="C33" t="str">
        <f>IF(B33="","",IFERROR(INDEX(Clientes!$A:$A,MATCH(B33,Clientes!$B:$B,0)),"(CPF não cadastrado)"))</f>
        <v>Marcelo Rocha</v>
      </c>
      <c r="D33" s="24">
        <v>300</v>
      </c>
      <c r="E33" s="7">
        <v>30</v>
      </c>
      <c r="F33" s="7">
        <f>D33/100*LOOKUP(A33,'Regras e Parâmetros'!$A$11:$A$12,'Regras e Parâmetros'!$B$11:$B$12)</f>
        <v>30</v>
      </c>
      <c r="G33" s="7">
        <f t="shared" si="0"/>
        <v>0</v>
      </c>
      <c r="H33" t="s">
        <v>110</v>
      </c>
      <c r="I33" t="s">
        <v>6145</v>
      </c>
      <c r="J33" s="5" t="s">
        <v>9962</v>
      </c>
    </row>
    <row r="34" spans="1:11" x14ac:dyDescent="0.3">
      <c r="A34" s="1">
        <v>45239</v>
      </c>
      <c r="B34" s="5" t="s">
        <v>6888</v>
      </c>
      <c r="C34" t="str">
        <f>IF(B34="","",IFERROR(INDEX(Clientes!$A:$A,MATCH(B34,Clientes!$B:$B,0)),"(CPF não cadastrado)"))</f>
        <v>Luana Pinto</v>
      </c>
      <c r="D34" s="24">
        <v>500</v>
      </c>
      <c r="E34" s="7">
        <v>50</v>
      </c>
      <c r="F34" s="7">
        <f>D34/100*LOOKUP(A34,'Regras e Parâmetros'!$A$11:$A$12,'Regras e Parâmetros'!$B$11:$B$12)</f>
        <v>50</v>
      </c>
      <c r="G34" s="7">
        <f t="shared" si="0"/>
        <v>0</v>
      </c>
      <c r="H34" t="s">
        <v>18</v>
      </c>
      <c r="I34" t="s">
        <v>6145</v>
      </c>
      <c r="J34" s="5" t="s">
        <v>803</v>
      </c>
    </row>
    <row r="35" spans="1:11" x14ac:dyDescent="0.3">
      <c r="A35" s="1">
        <v>45239</v>
      </c>
      <c r="B35" s="5" t="s">
        <v>350</v>
      </c>
      <c r="C35" t="str">
        <f>IF(B35="","",IFERROR(INDEX(Clientes!$A:$A,MATCH(B35,Clientes!$B:$B,0)),"(CPF não cadastrado)"))</f>
        <v>Juliana Soares</v>
      </c>
      <c r="D35" s="24">
        <v>200</v>
      </c>
      <c r="E35" s="7">
        <v>20</v>
      </c>
      <c r="F35" s="7">
        <f>D35/100*LOOKUP(A35,'Regras e Parâmetros'!$A$11:$A$12,'Regras e Parâmetros'!$B$11:$B$12)</f>
        <v>20</v>
      </c>
      <c r="G35" s="7">
        <f t="shared" si="0"/>
        <v>0</v>
      </c>
      <c r="H35" t="s">
        <v>18</v>
      </c>
      <c r="I35" t="s">
        <v>6078</v>
      </c>
      <c r="J35" s="5" t="s">
        <v>9963</v>
      </c>
    </row>
    <row r="36" spans="1:11" x14ac:dyDescent="0.3">
      <c r="A36" s="1">
        <v>45253</v>
      </c>
      <c r="B36" s="5" t="s">
        <v>7980</v>
      </c>
      <c r="C36" t="str">
        <f>IF(B36="","",IFERROR(INDEX(Clientes!$A:$A,MATCH(B36,Clientes!$B:$B,0)),"(CPF não cadastrado)"))</f>
        <v>Henrique Santana</v>
      </c>
      <c r="D36" s="24">
        <v>300</v>
      </c>
      <c r="E36" s="7">
        <v>30</v>
      </c>
      <c r="F36" s="7">
        <f>D36/100*LOOKUP(A36,'Regras e Parâmetros'!$A$11:$A$12,'Regras e Parâmetros'!$B$11:$B$12)</f>
        <v>30</v>
      </c>
      <c r="G36" s="7">
        <f t="shared" si="0"/>
        <v>0</v>
      </c>
      <c r="H36" t="s">
        <v>22</v>
      </c>
      <c r="I36" t="s">
        <v>6087</v>
      </c>
      <c r="J36" s="5" t="s">
        <v>2715</v>
      </c>
      <c r="K36" t="s">
        <v>9958</v>
      </c>
    </row>
    <row r="37" spans="1:11" x14ac:dyDescent="0.3">
      <c r="A37" s="1">
        <v>45285</v>
      </c>
      <c r="B37" s="5" t="s">
        <v>6638</v>
      </c>
      <c r="C37" t="str">
        <f>IF(B37="","",IFERROR(INDEX(Clientes!$A:$A,MATCH(B37,Clientes!$B:$B,0)),"(CPF não cadastrado)"))</f>
        <v>Rebeca Martins</v>
      </c>
      <c r="D37" s="24">
        <v>200</v>
      </c>
      <c r="E37" s="7">
        <v>20</v>
      </c>
      <c r="F37" s="7">
        <f>D37/100*LOOKUP(A37,'Regras e Parâmetros'!$A$11:$A$12,'Regras e Parâmetros'!$B$11:$B$12)</f>
        <v>20</v>
      </c>
      <c r="G37" s="7">
        <f t="shared" si="0"/>
        <v>0</v>
      </c>
      <c r="H37" t="s">
        <v>22</v>
      </c>
      <c r="J37" s="5" t="s">
        <v>9964</v>
      </c>
    </row>
    <row r="38" spans="1:11" x14ac:dyDescent="0.3">
      <c r="A38" s="1">
        <v>45295</v>
      </c>
      <c r="B38" s="5" t="s">
        <v>7076</v>
      </c>
      <c r="C38" t="str">
        <f>IF(B38="","",IFERROR(INDEX(Clientes!$A:$A,MATCH(B38,Clientes!$B:$B,0)),"(CPF não cadastrado)"))</f>
        <v>Lorena Rodrigues</v>
      </c>
      <c r="D38" s="24">
        <v>500</v>
      </c>
      <c r="E38" s="7">
        <v>50</v>
      </c>
      <c r="F38" s="7">
        <f>D38/100*LOOKUP(A38,'Regras e Parâmetros'!$A$11:$A$12,'Regras e Parâmetros'!$B$11:$B$12)</f>
        <v>50</v>
      </c>
      <c r="G38" s="7">
        <f t="shared" si="0"/>
        <v>0</v>
      </c>
      <c r="H38" t="s">
        <v>22</v>
      </c>
      <c r="I38" t="s">
        <v>6080</v>
      </c>
      <c r="J38" s="5" t="s">
        <v>1154</v>
      </c>
    </row>
    <row r="39" spans="1:11" x14ac:dyDescent="0.3">
      <c r="A39" s="1">
        <v>45299</v>
      </c>
      <c r="B39" s="5" t="s">
        <v>2958</v>
      </c>
      <c r="C39" t="str">
        <f>IF(B39="","",IFERROR(INDEX(Clientes!$A:$A,MATCH(B39,Clientes!$B:$B,0)),"(CPF não cadastrado)"))</f>
        <v>Rodrigo Nunes</v>
      </c>
      <c r="D39" s="24">
        <v>300</v>
      </c>
      <c r="E39" s="7">
        <v>30</v>
      </c>
      <c r="F39" s="7">
        <f>D39/100*LOOKUP(A39,'Regras e Parâmetros'!$A$11:$A$12,'Regras e Parâmetros'!$B$11:$B$12)</f>
        <v>30</v>
      </c>
      <c r="G39" s="7">
        <f t="shared" si="0"/>
        <v>0</v>
      </c>
      <c r="H39" t="s">
        <v>100</v>
      </c>
      <c r="J39" s="5" t="s">
        <v>6189</v>
      </c>
    </row>
    <row r="40" spans="1:11" x14ac:dyDescent="0.3">
      <c r="A40" s="1">
        <v>45305</v>
      </c>
      <c r="B40" s="5" t="s">
        <v>9951</v>
      </c>
      <c r="C40" t="str">
        <f>IF(B40="","",IFERROR(INDEX(Clientes!$A:$A,MATCH(B40,Clientes!$B:$B,0)),"(CPF não cadastrado)"))</f>
        <v>(CPF não cadastrado)</v>
      </c>
      <c r="D40" s="24">
        <v>500</v>
      </c>
      <c r="E40" s="7">
        <v>50</v>
      </c>
      <c r="F40" s="7">
        <f>D40/100*LOOKUP(A40,'Regras e Parâmetros'!$A$11:$A$12,'Regras e Parâmetros'!$B$11:$B$12)</f>
        <v>50</v>
      </c>
      <c r="G40" s="7">
        <f t="shared" si="0"/>
        <v>0</v>
      </c>
      <c r="H40" t="s">
        <v>100</v>
      </c>
      <c r="I40" t="s">
        <v>6078</v>
      </c>
      <c r="J40" s="5" t="s">
        <v>9965</v>
      </c>
      <c r="K40" t="s">
        <v>9966</v>
      </c>
    </row>
    <row r="41" spans="1:11" x14ac:dyDescent="0.3">
      <c r="A41" s="1">
        <v>45325</v>
      </c>
      <c r="B41" s="5" t="s">
        <v>6098</v>
      </c>
      <c r="C41" t="str">
        <f>IF(B41="","",IFERROR(INDEX(Clientes!$A:$A,MATCH(B41,Clientes!$B:$B,0)),"(CPF não cadastrado)"))</f>
        <v>Isabela Gonçalves</v>
      </c>
      <c r="D41" s="24">
        <v>300</v>
      </c>
      <c r="E41" s="7">
        <v>30</v>
      </c>
      <c r="F41" s="7">
        <f>D41/100*LOOKUP(A41,'Regras e Parâmetros'!$A$11:$A$12,'Regras e Parâmetros'!$B$11:$B$12)</f>
        <v>30</v>
      </c>
      <c r="G41" s="7">
        <f t="shared" si="0"/>
        <v>0</v>
      </c>
      <c r="H41" t="s">
        <v>18</v>
      </c>
      <c r="I41" t="s">
        <v>6087</v>
      </c>
      <c r="J41" s="5" t="s">
        <v>6098</v>
      </c>
    </row>
    <row r="42" spans="1:11" x14ac:dyDescent="0.3">
      <c r="A42" s="1">
        <v>45344</v>
      </c>
      <c r="B42" s="5" t="s">
        <v>7292</v>
      </c>
      <c r="C42" t="str">
        <f>IF(B42="","",IFERROR(INDEX(Clientes!$A:$A,MATCH(B42,Clientes!$B:$B,0)),"(CPF não cadastrado)"))</f>
        <v>Renata Barbosa Pinto</v>
      </c>
      <c r="D42" s="24">
        <v>100</v>
      </c>
      <c r="E42" s="7">
        <v>10</v>
      </c>
      <c r="F42" s="7">
        <f>D42/100*LOOKUP(A42,'Regras e Parâmetros'!$A$11:$A$12,'Regras e Parâmetros'!$B$11:$B$12)</f>
        <v>10</v>
      </c>
      <c r="G42" s="7">
        <f t="shared" si="0"/>
        <v>0</v>
      </c>
      <c r="H42" t="s">
        <v>22</v>
      </c>
      <c r="I42" t="s">
        <v>6080</v>
      </c>
      <c r="J42" s="5" t="s">
        <v>6099</v>
      </c>
      <c r="K42" t="s">
        <v>9958</v>
      </c>
    </row>
    <row r="43" spans="1:11" x14ac:dyDescent="0.3">
      <c r="A43" s="1">
        <v>45386</v>
      </c>
      <c r="B43" s="5" t="s">
        <v>2928</v>
      </c>
      <c r="C43" t="str">
        <f>IF(B43="","",IFERROR(INDEX(Clientes!$A:$A,MATCH(B43,Clientes!$B:$B,0)),"(CPF não cadastrado)"))</f>
        <v>Emanuelly A. Cardoso</v>
      </c>
      <c r="D43" s="24">
        <v>300</v>
      </c>
      <c r="E43" s="7">
        <v>30</v>
      </c>
      <c r="F43" s="7">
        <f>D43/100*LOOKUP(A43,'Regras e Parâmetros'!$A$11:$A$12,'Regras e Parâmetros'!$B$11:$B$12)</f>
        <v>30</v>
      </c>
      <c r="G43" s="7">
        <f t="shared" si="0"/>
        <v>0</v>
      </c>
      <c r="H43" t="s">
        <v>110</v>
      </c>
      <c r="J43" s="5" t="s">
        <v>9967</v>
      </c>
    </row>
    <row r="44" spans="1:11" x14ac:dyDescent="0.3">
      <c r="A44" s="1">
        <v>45443</v>
      </c>
      <c r="B44" s="5" t="s">
        <v>9950</v>
      </c>
      <c r="C44" t="str">
        <f>IF(B44="","",IFERROR(INDEX(Clientes!$A:$A,MATCH(B44,Clientes!$B:$B,0)),"(CPF não cadastrado)"))</f>
        <v/>
      </c>
      <c r="D44" s="24">
        <v>1000</v>
      </c>
      <c r="E44" s="7">
        <v>100</v>
      </c>
      <c r="F44" s="7">
        <f>D44/100*LOOKUP(A44,'Regras e Parâmetros'!$A$11:$A$12,'Regras e Parâmetros'!$B$11:$B$12)</f>
        <v>100</v>
      </c>
      <c r="G44" s="7">
        <f t="shared" si="0"/>
        <v>0</v>
      </c>
      <c r="H44" t="s">
        <v>22</v>
      </c>
      <c r="J44" s="5" t="s">
        <v>507</v>
      </c>
      <c r="K44" t="s">
        <v>10239</v>
      </c>
    </row>
    <row r="45" spans="1:11" x14ac:dyDescent="0.3">
      <c r="A45" s="1">
        <v>45474</v>
      </c>
      <c r="B45" s="5" t="s">
        <v>6100</v>
      </c>
      <c r="C45" t="str">
        <f>IF(B45="","",IFERROR(INDEX(Clientes!$A:$A,MATCH(B45,Clientes!$B:$B,0)),"(CPF não cadastrado)"))</f>
        <v>Jaqueline Vieira Lima</v>
      </c>
      <c r="D45" s="24">
        <v>300</v>
      </c>
      <c r="E45" s="7">
        <v>30</v>
      </c>
      <c r="F45" s="7">
        <f>D45/100*LOOKUP(A45,'Regras e Parâmetros'!$A$11:$A$12,'Regras e Parâmetros'!$B$11:$B$12)</f>
        <v>30</v>
      </c>
      <c r="G45" s="7">
        <f t="shared" si="0"/>
        <v>0</v>
      </c>
      <c r="H45" t="s">
        <v>100</v>
      </c>
      <c r="J45" s="5" t="s">
        <v>6100</v>
      </c>
    </row>
    <row r="46" spans="1:11" x14ac:dyDescent="0.3">
      <c r="A46" s="1">
        <v>45515</v>
      </c>
      <c r="B46" s="5" t="s">
        <v>6824</v>
      </c>
      <c r="C46" t="str">
        <f>IF(B46="","",IFERROR(INDEX(Clientes!$A:$A,MATCH(B46,Clientes!$B:$B,0)),"(CPF não cadastrado)"))</f>
        <v>Arthur Nogueira</v>
      </c>
      <c r="D46" s="24">
        <v>200</v>
      </c>
      <c r="E46" s="7">
        <v>20</v>
      </c>
      <c r="F46" s="7">
        <f>D46/100*LOOKUP(A46,'Regras e Parâmetros'!$A$11:$A$12,'Regras e Parâmetros'!$B$11:$B$12)</f>
        <v>20</v>
      </c>
      <c r="G46" s="7">
        <f t="shared" si="0"/>
        <v>0</v>
      </c>
      <c r="H46" t="s">
        <v>18</v>
      </c>
      <c r="I46" t="s">
        <v>6078</v>
      </c>
      <c r="J46" s="5" t="s">
        <v>682</v>
      </c>
      <c r="K46" t="s">
        <v>9958</v>
      </c>
    </row>
    <row r="47" spans="1:11" x14ac:dyDescent="0.3">
      <c r="A47" s="1">
        <v>45515</v>
      </c>
      <c r="B47" s="5" t="s">
        <v>6101</v>
      </c>
      <c r="C47" t="str">
        <f>IF(B47="","",IFERROR(INDEX(Clientes!$A:$A,MATCH(B47,Clientes!$B:$B,0)),"(CPF não cadastrado)"))</f>
        <v>Caio Santana Pinto</v>
      </c>
      <c r="D47" s="24">
        <v>200</v>
      </c>
      <c r="E47" s="7">
        <v>20</v>
      </c>
      <c r="F47" s="7">
        <f>D47/100*LOOKUP(A47,'Regras e Parâmetros'!$A$11:$A$12,'Regras e Parâmetros'!$B$11:$B$12)</f>
        <v>20</v>
      </c>
      <c r="G47" s="7">
        <f t="shared" si="0"/>
        <v>0</v>
      </c>
      <c r="H47" t="s">
        <v>100</v>
      </c>
      <c r="I47" t="s">
        <v>6078</v>
      </c>
      <c r="J47" s="5" t="s">
        <v>6101</v>
      </c>
    </row>
    <row r="48" spans="1:11" x14ac:dyDescent="0.3">
      <c r="A48" s="1">
        <v>45545</v>
      </c>
      <c r="B48" s="5" t="s">
        <v>6957</v>
      </c>
      <c r="C48" t="str">
        <f>IF(B48="","",IFERROR(INDEX(Clientes!$A:$A,MATCH(B48,Clientes!$B:$B,0)),"(CPF não cadastrado)"))</f>
        <v>Lívia Moreira</v>
      </c>
      <c r="D48" s="24">
        <v>200</v>
      </c>
      <c r="E48" s="7">
        <v>20</v>
      </c>
      <c r="F48" s="7">
        <f>D48/100*LOOKUP(A48,'Regras e Parâmetros'!$A$11:$A$12,'Regras e Parâmetros'!$B$11:$B$12)</f>
        <v>20</v>
      </c>
      <c r="G48" s="7">
        <f t="shared" si="0"/>
        <v>0</v>
      </c>
      <c r="H48" t="s">
        <v>18</v>
      </c>
      <c r="I48" t="s">
        <v>6145</v>
      </c>
      <c r="J48" s="5" t="s">
        <v>901</v>
      </c>
    </row>
    <row r="49" spans="1:11" x14ac:dyDescent="0.3">
      <c r="A49" s="1">
        <v>45553</v>
      </c>
      <c r="B49" s="5" t="s">
        <v>8119</v>
      </c>
      <c r="C49" t="str">
        <f>IF(B49="","",IFERROR(INDEX(Clientes!$A:$A,MATCH(B49,Clientes!$B:$B,0)),"(CPF não cadastrado)"))</f>
        <v>Alice Nogueira</v>
      </c>
      <c r="D49" s="24">
        <v>500</v>
      </c>
      <c r="E49" s="7">
        <v>50</v>
      </c>
      <c r="F49" s="7">
        <f>D49/100*LOOKUP(A49,'Regras e Parâmetros'!$A$11:$A$12,'Regras e Parâmetros'!$B$11:$B$12)</f>
        <v>50</v>
      </c>
      <c r="G49" s="7">
        <f t="shared" si="0"/>
        <v>0</v>
      </c>
      <c r="H49" t="s">
        <v>110</v>
      </c>
      <c r="I49" t="s">
        <v>6081</v>
      </c>
      <c r="J49" s="5" t="s">
        <v>4517</v>
      </c>
      <c r="K49" t="s">
        <v>10060</v>
      </c>
    </row>
    <row r="50" spans="1:11" x14ac:dyDescent="0.3">
      <c r="A50" s="1">
        <v>45556</v>
      </c>
      <c r="B50" s="5" t="s">
        <v>7755</v>
      </c>
      <c r="C50" t="str">
        <f>IF(B50="","",IFERROR(INDEX(Clientes!$A:$A,MATCH(B50,Clientes!$B:$B,0)),"(CPF não cadastrado)"))</f>
        <v>André Araújo Gonçalves</v>
      </c>
      <c r="D50" s="24">
        <v>1000</v>
      </c>
      <c r="E50" s="7">
        <v>100</v>
      </c>
      <c r="F50" s="7">
        <f>D50/100*LOOKUP(A50,'Regras e Parâmetros'!$A$11:$A$12,'Regras e Parâmetros'!$B$11:$B$12)</f>
        <v>100</v>
      </c>
      <c r="G50" s="7">
        <f t="shared" si="0"/>
        <v>0</v>
      </c>
      <c r="H50" t="s">
        <v>100</v>
      </c>
      <c r="I50" t="s">
        <v>6087</v>
      </c>
      <c r="J50" s="5" t="s">
        <v>6102</v>
      </c>
      <c r="K50" t="s">
        <v>9958</v>
      </c>
    </row>
    <row r="51" spans="1:11" x14ac:dyDescent="0.3">
      <c r="A51" s="1">
        <v>45565</v>
      </c>
      <c r="B51" s="5" t="s">
        <v>6103</v>
      </c>
      <c r="C51" t="str">
        <f>IF(B51="","",IFERROR(INDEX(Clientes!$A:$A,MATCH(B51,Clientes!$B:$B,0)),"(CPF não cadastrado)"))</f>
        <v>Sabrina Marques</v>
      </c>
      <c r="D51" s="24">
        <v>1000</v>
      </c>
      <c r="E51" s="7">
        <v>100</v>
      </c>
      <c r="F51" s="7">
        <f>D51/100*LOOKUP(A51,'Regras e Parâmetros'!$A$11:$A$12,'Regras e Parâmetros'!$B$11:$B$12)</f>
        <v>100</v>
      </c>
      <c r="G51" s="7">
        <f t="shared" si="0"/>
        <v>0</v>
      </c>
      <c r="H51" t="s">
        <v>18</v>
      </c>
      <c r="I51" t="s">
        <v>6080</v>
      </c>
      <c r="J51" s="5" t="s">
        <v>6103</v>
      </c>
    </row>
    <row r="52" spans="1:11" x14ac:dyDescent="0.3">
      <c r="A52" s="1">
        <v>45566</v>
      </c>
      <c r="B52" s="5" t="s">
        <v>7181</v>
      </c>
      <c r="C52" t="str">
        <f>IF(B52="","",IFERROR(INDEX(Clientes!$A:$A,MATCH(B52,Clientes!$B:$B,0)),"(CPF não cadastrado)"))</f>
        <v>Natália Rocha Freitas</v>
      </c>
      <c r="D52" s="24">
        <v>200</v>
      </c>
      <c r="E52" s="7">
        <v>20</v>
      </c>
      <c r="F52" s="7">
        <f>D52/100*LOOKUP(A52,'Regras e Parâmetros'!$A$11:$A$12,'Regras e Parâmetros'!$B$11:$B$12)</f>
        <v>20</v>
      </c>
      <c r="G52" s="7">
        <f t="shared" si="0"/>
        <v>0</v>
      </c>
      <c r="H52" t="s">
        <v>22</v>
      </c>
      <c r="I52" t="s">
        <v>6078</v>
      </c>
      <c r="J52" s="5" t="s">
        <v>6285</v>
      </c>
      <c r="K52" t="s">
        <v>9791</v>
      </c>
    </row>
    <row r="53" spans="1:11" x14ac:dyDescent="0.3">
      <c r="A53" s="1">
        <v>45567</v>
      </c>
      <c r="B53" s="5" t="s">
        <v>9950</v>
      </c>
      <c r="C53" t="str">
        <f>IF(B53="","",IFERROR(INDEX(Clientes!$A:$A,MATCH(B53,Clientes!$B:$B,0)),"(CPF não cadastrado)"))</f>
        <v/>
      </c>
      <c r="D53" s="24">
        <v>1000</v>
      </c>
      <c r="E53" s="7">
        <v>100</v>
      </c>
      <c r="F53" s="7">
        <f>D53/100*LOOKUP(A53,'Regras e Parâmetros'!$A$11:$A$12,'Regras e Parâmetros'!$B$11:$B$12)</f>
        <v>100</v>
      </c>
      <c r="G53" s="7">
        <f t="shared" si="0"/>
        <v>0</v>
      </c>
      <c r="H53" t="s">
        <v>22</v>
      </c>
      <c r="J53" s="5" t="s">
        <v>6104</v>
      </c>
      <c r="K53" t="s">
        <v>10272</v>
      </c>
    </row>
    <row r="54" spans="1:11" x14ac:dyDescent="0.3">
      <c r="A54" s="1">
        <v>45588</v>
      </c>
      <c r="B54" s="5" t="s">
        <v>8122</v>
      </c>
      <c r="C54" t="str">
        <f>IF(B54="","",IFERROR(INDEX(Clientes!$A:$A,MATCH(B54,Clientes!$B:$B,0)),"(CPF não cadastrado)"))</f>
        <v>Valentina Santana</v>
      </c>
      <c r="D54" s="24">
        <v>500</v>
      </c>
      <c r="E54" s="7">
        <v>50</v>
      </c>
      <c r="F54" s="7">
        <f>D54/100*LOOKUP(A54,'Regras e Parâmetros'!$A$11:$A$12,'Regras e Parâmetros'!$B$11:$B$12)</f>
        <v>50</v>
      </c>
      <c r="G54" s="7">
        <f t="shared" si="0"/>
        <v>0</v>
      </c>
      <c r="H54" t="s">
        <v>22</v>
      </c>
      <c r="I54" t="s">
        <v>6080</v>
      </c>
      <c r="J54" s="5" t="s">
        <v>3021</v>
      </c>
      <c r="K54" t="s">
        <v>9958</v>
      </c>
    </row>
    <row r="55" spans="1:11" x14ac:dyDescent="0.3">
      <c r="A55" s="1">
        <v>45597</v>
      </c>
      <c r="B55" s="5" t="s">
        <v>7076</v>
      </c>
      <c r="C55" t="str">
        <f>IF(B55="","",IFERROR(INDEX(Clientes!$A:$A,MATCH(B55,Clientes!$B:$B,0)),"(CPF não cadastrado)"))</f>
        <v>Lorena Rodrigues</v>
      </c>
      <c r="D55" s="24">
        <v>300</v>
      </c>
      <c r="E55" s="7">
        <v>30</v>
      </c>
      <c r="F55" s="7">
        <f>D55/100*LOOKUP(A55,'Regras e Parâmetros'!$A$11:$A$12,'Regras e Parâmetros'!$B$11:$B$12)</f>
        <v>30</v>
      </c>
      <c r="G55" s="7">
        <f t="shared" si="0"/>
        <v>0</v>
      </c>
      <c r="H55" t="s">
        <v>22</v>
      </c>
      <c r="J55" s="5" t="s">
        <v>1153</v>
      </c>
      <c r="K55" t="s">
        <v>9960</v>
      </c>
    </row>
    <row r="56" spans="1:11" x14ac:dyDescent="0.3">
      <c r="A56" s="1">
        <v>45597</v>
      </c>
      <c r="B56" s="5" t="s">
        <v>9950</v>
      </c>
      <c r="C56" t="str">
        <f>IF(B56="","",IFERROR(INDEX(Clientes!$A:$A,MATCH(B56,Clientes!$B:$B,0)),"(CPF não cadastrado)"))</f>
        <v/>
      </c>
      <c r="D56" s="24">
        <v>300</v>
      </c>
      <c r="E56" s="7">
        <v>30</v>
      </c>
      <c r="F56" s="7">
        <f>D56/100*LOOKUP(A56,'Regras e Parâmetros'!$A$11:$A$12,'Regras e Parâmetros'!$B$11:$B$12)</f>
        <v>30</v>
      </c>
      <c r="G56" s="7">
        <f t="shared" si="0"/>
        <v>0</v>
      </c>
      <c r="H56" t="s">
        <v>100</v>
      </c>
      <c r="I56" t="s">
        <v>6078</v>
      </c>
      <c r="J56" s="5" t="s">
        <v>6085</v>
      </c>
      <c r="K56" t="s">
        <v>10274</v>
      </c>
    </row>
    <row r="57" spans="1:11" x14ac:dyDescent="0.3">
      <c r="A57" s="1">
        <v>45600</v>
      </c>
      <c r="B57" s="5" t="s">
        <v>2022</v>
      </c>
      <c r="C57" t="str">
        <f>IF(B57="","",IFERROR(INDEX(Clientes!$A:$A,MATCH(B57,Clientes!$B:$B,0)),"(CPF não cadastrado)"))</f>
        <v>Eduarda Monteiro Teixeira</v>
      </c>
      <c r="D57" s="24">
        <v>500</v>
      </c>
      <c r="E57" s="7">
        <v>50</v>
      </c>
      <c r="F57" s="7">
        <f>D57/100*LOOKUP(A57,'Regras e Parâmetros'!$A$11:$A$12,'Regras e Parâmetros'!$B$11:$B$12)</f>
        <v>50</v>
      </c>
      <c r="G57" s="7">
        <f t="shared" si="0"/>
        <v>0</v>
      </c>
      <c r="H57" t="s">
        <v>22</v>
      </c>
      <c r="I57" t="s">
        <v>6145</v>
      </c>
      <c r="J57" s="5" t="s">
        <v>2021</v>
      </c>
      <c r="K57" t="s">
        <v>9958</v>
      </c>
    </row>
    <row r="58" spans="1:11" x14ac:dyDescent="0.3">
      <c r="A58" s="1">
        <v>45604</v>
      </c>
      <c r="B58" s="5" t="s">
        <v>9950</v>
      </c>
      <c r="C58" t="str">
        <f>IF(B58="","",IFERROR(INDEX(Clientes!$A:$A,MATCH(B58,Clientes!$B:$B,0)),"(CPF não cadastrado)"))</f>
        <v/>
      </c>
      <c r="D58" s="24">
        <v>100</v>
      </c>
      <c r="E58" s="7">
        <v>10</v>
      </c>
      <c r="F58" s="7">
        <f>D58/100*LOOKUP(A58,'Regras e Parâmetros'!$A$11:$A$12,'Regras e Parâmetros'!$B$11:$B$12)</f>
        <v>10</v>
      </c>
      <c r="G58" s="7">
        <f t="shared" si="0"/>
        <v>0</v>
      </c>
      <c r="H58" t="s">
        <v>18</v>
      </c>
      <c r="I58" t="s">
        <v>6081</v>
      </c>
      <c r="J58" s="5" t="s">
        <v>6105</v>
      </c>
      <c r="K58" t="s">
        <v>10272</v>
      </c>
    </row>
    <row r="59" spans="1:11" x14ac:dyDescent="0.3">
      <c r="A59" s="1">
        <v>45610</v>
      </c>
      <c r="B59" s="5" t="s">
        <v>9950</v>
      </c>
      <c r="C59" t="str">
        <f>IF(B59="","",IFERROR(INDEX(Clientes!$A:$A,MATCH(B59,Clientes!$B:$B,0)),"(CPF não cadastrado)"))</f>
        <v/>
      </c>
      <c r="D59" s="24">
        <v>500</v>
      </c>
      <c r="E59" s="7">
        <v>50</v>
      </c>
      <c r="F59" s="7">
        <f>D59/100*LOOKUP(A59,'Regras e Parâmetros'!$A$11:$A$12,'Regras e Parâmetros'!$B$11:$B$12)</f>
        <v>50</v>
      </c>
      <c r="G59" s="7">
        <f t="shared" si="0"/>
        <v>0</v>
      </c>
      <c r="H59" t="s">
        <v>100</v>
      </c>
      <c r="J59" s="5" t="s">
        <v>6106</v>
      </c>
      <c r="K59" t="s">
        <v>10275</v>
      </c>
    </row>
    <row r="60" spans="1:11" x14ac:dyDescent="0.3">
      <c r="A60" s="1">
        <v>45622</v>
      </c>
      <c r="B60" s="5" t="s">
        <v>6515</v>
      </c>
      <c r="C60" t="str">
        <f>IF(B60="","",IFERROR(INDEX(Clientes!$A:$A,MATCH(B60,Clientes!$B:$B,0)),"(CPF não cadastrado)"))</f>
        <v>Heloísa Ribeiro</v>
      </c>
      <c r="D60" s="24">
        <v>500</v>
      </c>
      <c r="E60" s="7">
        <v>50</v>
      </c>
      <c r="F60" s="7">
        <f>D60/100*LOOKUP(A60,'Regras e Parâmetros'!$A$11:$A$12,'Regras e Parâmetros'!$B$11:$B$12)</f>
        <v>50</v>
      </c>
      <c r="G60" s="7">
        <f t="shared" si="0"/>
        <v>0</v>
      </c>
      <c r="H60" t="s">
        <v>100</v>
      </c>
      <c r="J60" s="5" t="s">
        <v>6107</v>
      </c>
      <c r="K60" t="s">
        <v>10061</v>
      </c>
    </row>
    <row r="61" spans="1:11" x14ac:dyDescent="0.3">
      <c r="A61" s="1">
        <v>45623</v>
      </c>
      <c r="B61" s="5" t="s">
        <v>6414</v>
      </c>
      <c r="C61" t="str">
        <f>IF(B61="","",IFERROR(INDEX(Clientes!$A:$A,MATCH(B61,Clientes!$B:$B,0)),"(CPF não cadastrado)"))</f>
        <v>Henrique Almeida</v>
      </c>
      <c r="D61" s="24">
        <v>1000</v>
      </c>
      <c r="E61" s="7">
        <v>100</v>
      </c>
      <c r="F61" s="7">
        <f>D61/100*LOOKUP(A61,'Regras e Parâmetros'!$A$11:$A$12,'Regras e Parâmetros'!$B$11:$B$12)</f>
        <v>100</v>
      </c>
      <c r="G61" s="7">
        <f t="shared" si="0"/>
        <v>0</v>
      </c>
      <c r="H61" t="s">
        <v>22</v>
      </c>
      <c r="I61" t="s">
        <v>6145</v>
      </c>
      <c r="J61" s="5" t="s">
        <v>6108</v>
      </c>
      <c r="K61" t="s">
        <v>9958</v>
      </c>
    </row>
    <row r="62" spans="1:11" x14ac:dyDescent="0.3">
      <c r="A62" s="1">
        <v>45659</v>
      </c>
      <c r="B62" s="5" t="s">
        <v>841</v>
      </c>
      <c r="C62" t="str">
        <f>IF(B62="","",IFERROR(INDEX(Clientes!$A:$A,MATCH(B62,Clientes!$B:$B,0)),"(CPF não cadastrado)"))</f>
        <v>Priscila M. Cardoso</v>
      </c>
      <c r="D62" s="24">
        <v>500</v>
      </c>
      <c r="E62" s="7">
        <v>50</v>
      </c>
      <c r="F62" s="7">
        <f>D62/100*LOOKUP(A62,'Regras e Parâmetros'!$A$11:$A$12,'Regras e Parâmetros'!$B$11:$B$12)</f>
        <v>50</v>
      </c>
      <c r="G62" s="7">
        <f t="shared" si="0"/>
        <v>0</v>
      </c>
      <c r="H62" t="s">
        <v>45</v>
      </c>
      <c r="J62" s="5" t="s">
        <v>6109</v>
      </c>
      <c r="K62" t="s">
        <v>9968</v>
      </c>
    </row>
    <row r="63" spans="1:11" x14ac:dyDescent="0.3">
      <c r="A63" s="1">
        <v>45661</v>
      </c>
      <c r="B63" s="5" t="s">
        <v>962</v>
      </c>
      <c r="C63" t="str">
        <f>IF(B63="","",IFERROR(INDEX(Clientes!$A:$A,MATCH(B63,Clientes!$B:$B,0)),"(CPF não cadastrado)"))</f>
        <v>Breno Silva Farias</v>
      </c>
      <c r="D63" s="24">
        <v>2000</v>
      </c>
      <c r="E63" s="7">
        <v>200</v>
      </c>
      <c r="F63" s="7">
        <f>D63/100*LOOKUP(A63,'Regras e Parâmetros'!$A$11:$A$12,'Regras e Parâmetros'!$B$11:$B$12)</f>
        <v>200</v>
      </c>
      <c r="G63" s="7">
        <f t="shared" si="0"/>
        <v>0</v>
      </c>
      <c r="H63" t="s">
        <v>45</v>
      </c>
      <c r="J63" s="5" t="s">
        <v>6110</v>
      </c>
      <c r="K63" t="s">
        <v>9968</v>
      </c>
    </row>
    <row r="64" spans="1:11" x14ac:dyDescent="0.3">
      <c r="A64" s="1">
        <v>45662</v>
      </c>
      <c r="B64" s="5" t="s">
        <v>229</v>
      </c>
      <c r="C64" t="str">
        <f>IF(B64="","",IFERROR(INDEX(Clientes!$A:$A,MATCH(B64,Clientes!$B:$B,0)),"(CPF não cadastrado)"))</f>
        <v>Lucas Pereira Tavares</v>
      </c>
      <c r="D64" s="24">
        <v>500</v>
      </c>
      <c r="E64" s="7">
        <v>50</v>
      </c>
      <c r="F64" s="7">
        <f>D64/100*LOOKUP(A64,'Regras e Parâmetros'!$A$11:$A$12,'Regras e Parâmetros'!$B$11:$B$12)</f>
        <v>50</v>
      </c>
      <c r="G64" s="7">
        <f t="shared" si="0"/>
        <v>0</v>
      </c>
      <c r="H64" t="s">
        <v>110</v>
      </c>
      <c r="J64" s="5" t="s">
        <v>6111</v>
      </c>
      <c r="K64" t="s">
        <v>9968</v>
      </c>
    </row>
    <row r="65" spans="1:11" x14ac:dyDescent="0.3">
      <c r="A65" s="1">
        <v>45662</v>
      </c>
      <c r="B65" s="5" t="s">
        <v>7049</v>
      </c>
      <c r="C65" t="str">
        <f>IF(B65="","",IFERROR(INDEX(Clientes!$A:$A,MATCH(B65,Clientes!$B:$B,0)),"(CPF não cadastrado)"))</f>
        <v>Arthur Goncalves</v>
      </c>
      <c r="D65" s="24">
        <v>1700</v>
      </c>
      <c r="E65" s="7">
        <v>170</v>
      </c>
      <c r="F65" s="7">
        <f>D65/100*LOOKUP(A65,'Regras e Parâmetros'!$A$11:$A$12,'Regras e Parâmetros'!$B$11:$B$12)</f>
        <v>170</v>
      </c>
      <c r="G65" s="7">
        <f t="shared" si="0"/>
        <v>0</v>
      </c>
      <c r="H65" t="s">
        <v>110</v>
      </c>
      <c r="J65" s="5" t="s">
        <v>6112</v>
      </c>
      <c r="K65" t="s">
        <v>9968</v>
      </c>
    </row>
    <row r="66" spans="1:11" x14ac:dyDescent="0.3">
      <c r="A66" s="1">
        <v>45668</v>
      </c>
      <c r="B66" s="5" t="s">
        <v>7183</v>
      </c>
      <c r="C66" t="str">
        <f>IF(B66="","",IFERROR(INDEX(Clientes!$A:$A,MATCH(B66,Clientes!$B:$B,0)),"(CPF não cadastrado)"))</f>
        <v>Nicole Nunes Vieira</v>
      </c>
      <c r="D66" s="24">
        <v>300</v>
      </c>
      <c r="E66" s="7">
        <v>30</v>
      </c>
      <c r="F66" s="7">
        <f>D66/100*LOOKUP(A66,'Regras e Parâmetros'!$A$11:$A$12,'Regras e Parâmetros'!$B$11:$B$12)</f>
        <v>30</v>
      </c>
      <c r="G66" s="7">
        <f t="shared" si="0"/>
        <v>0</v>
      </c>
      <c r="H66" t="s">
        <v>18</v>
      </c>
      <c r="I66" t="s">
        <v>6125</v>
      </c>
      <c r="J66" s="5" t="s">
        <v>1329</v>
      </c>
      <c r="K66" t="s">
        <v>9969</v>
      </c>
    </row>
    <row r="67" spans="1:11" x14ac:dyDescent="0.3">
      <c r="A67" s="1">
        <v>45668</v>
      </c>
      <c r="B67" s="5" t="s">
        <v>7594</v>
      </c>
      <c r="C67" t="str">
        <f>IF(B67="","",IFERROR(INDEX(Clientes!$A:$A,MATCH(B67,Clientes!$B:$B,0)),"(CPF não cadastrado)"))</f>
        <v>Rafaela Peixoto Farias</v>
      </c>
      <c r="D67" s="24">
        <v>500</v>
      </c>
      <c r="E67" s="7">
        <v>50</v>
      </c>
      <c r="F67" s="7">
        <f>D67/100*LOOKUP(A67,'Regras e Parâmetros'!$A$11:$A$12,'Regras e Parâmetros'!$B$11:$B$12)</f>
        <v>50</v>
      </c>
      <c r="G67" s="7">
        <f t="shared" ref="G67:G130" si="1">E67-F67</f>
        <v>0</v>
      </c>
      <c r="H67" t="s">
        <v>45</v>
      </c>
      <c r="J67" s="5" t="s">
        <v>6113</v>
      </c>
      <c r="K67" t="s">
        <v>9968</v>
      </c>
    </row>
    <row r="68" spans="1:11" x14ac:dyDescent="0.3">
      <c r="A68" s="1">
        <v>45673</v>
      </c>
      <c r="B68" s="5" t="s">
        <v>6862</v>
      </c>
      <c r="C68" t="str">
        <f>IF(B68="","",IFERROR(INDEX(Clientes!$A:$A,MATCH(B68,Clientes!$B:$B,0)),"(CPF não cadastrado)"))</f>
        <v>Leonardo Carvalho Marques</v>
      </c>
      <c r="D68" s="24">
        <v>600</v>
      </c>
      <c r="E68" s="7">
        <v>60</v>
      </c>
      <c r="F68" s="7">
        <f>D68/100*LOOKUP(A68,'Regras e Parâmetros'!$A$11:$A$12,'Regras e Parâmetros'!$B$11:$B$12)</f>
        <v>60</v>
      </c>
      <c r="G68" s="7">
        <f t="shared" si="1"/>
        <v>0</v>
      </c>
      <c r="H68" t="s">
        <v>18</v>
      </c>
      <c r="J68" s="5" t="s">
        <v>740</v>
      </c>
      <c r="K68" t="s">
        <v>9968</v>
      </c>
    </row>
    <row r="69" spans="1:11" x14ac:dyDescent="0.3">
      <c r="A69" s="1">
        <v>45673</v>
      </c>
      <c r="B69" s="5" t="s">
        <v>2608</v>
      </c>
      <c r="C69" t="str">
        <f>IF(B69="","",IFERROR(INDEX(Clientes!$A:$A,MATCH(B69,Clientes!$B:$B,0)),"(CPF não cadastrado)"))</f>
        <v>Rodrigo Nunes Dias</v>
      </c>
      <c r="D69" s="24">
        <v>500</v>
      </c>
      <c r="E69" s="7">
        <v>50</v>
      </c>
      <c r="F69" s="7">
        <f>D69/100*LOOKUP(A69,'Regras e Parâmetros'!$A$11:$A$12,'Regras e Parâmetros'!$B$11:$B$12)</f>
        <v>50</v>
      </c>
      <c r="G69" s="7">
        <f t="shared" si="1"/>
        <v>0</v>
      </c>
      <c r="H69" t="s">
        <v>22</v>
      </c>
      <c r="I69" t="s">
        <v>6078</v>
      </c>
      <c r="J69" s="5" t="s">
        <v>6114</v>
      </c>
      <c r="K69" t="s">
        <v>9969</v>
      </c>
    </row>
    <row r="70" spans="1:11" x14ac:dyDescent="0.3">
      <c r="A70" s="1">
        <v>45673</v>
      </c>
      <c r="B70" s="5" t="s">
        <v>6414</v>
      </c>
      <c r="C70" t="str">
        <f>IF(B70="","",IFERROR(INDEX(Clientes!$A:$A,MATCH(B70,Clientes!$B:$B,0)),"(CPF não cadastrado)"))</f>
        <v>Henrique Almeida</v>
      </c>
      <c r="D70" s="24">
        <v>700</v>
      </c>
      <c r="E70" s="7">
        <v>70</v>
      </c>
      <c r="F70" s="7">
        <f>D70/100*LOOKUP(A70,'Regras e Parâmetros'!$A$11:$A$12,'Regras e Parâmetros'!$B$11:$B$12)</f>
        <v>70</v>
      </c>
      <c r="G70" s="7">
        <f t="shared" si="1"/>
        <v>0</v>
      </c>
      <c r="H70" t="s">
        <v>22</v>
      </c>
      <c r="J70" s="5" t="s">
        <v>88</v>
      </c>
      <c r="K70" t="s">
        <v>9968</v>
      </c>
    </row>
    <row r="71" spans="1:11" x14ac:dyDescent="0.3">
      <c r="A71" s="1">
        <v>45674</v>
      </c>
      <c r="B71" s="5" t="s">
        <v>6825</v>
      </c>
      <c r="C71" t="str">
        <f>IF(B71="","",IFERROR(INDEX(Clientes!$A:$A,MATCH(B71,Clientes!$B:$B,0)),"(CPF não cadastrado)"))</f>
        <v>Vinícius Mendes</v>
      </c>
      <c r="D71" s="24">
        <v>1000</v>
      </c>
      <c r="E71" s="7">
        <v>100</v>
      </c>
      <c r="F71" s="7">
        <f>D71/100*LOOKUP(A71,'Regras e Parâmetros'!$A$11:$A$12,'Regras e Parâmetros'!$B$11:$B$12)</f>
        <v>100</v>
      </c>
      <c r="G71" s="7">
        <f t="shared" si="1"/>
        <v>0</v>
      </c>
      <c r="H71" t="s">
        <v>18</v>
      </c>
      <c r="J71" s="5" t="s">
        <v>6036</v>
      </c>
      <c r="K71" t="s">
        <v>9968</v>
      </c>
    </row>
    <row r="72" spans="1:11" x14ac:dyDescent="0.3">
      <c r="A72" s="1">
        <v>45674</v>
      </c>
      <c r="B72" s="5" t="s">
        <v>7290</v>
      </c>
      <c r="C72" t="str">
        <f>IF(B72="","",IFERROR(INDEX(Clientes!$A:$A,MATCH(B72,Clientes!$B:$B,0)),"(CPF não cadastrado)"))</f>
        <v>Thaís Monteiro Costa</v>
      </c>
      <c r="D72" s="24">
        <v>1000</v>
      </c>
      <c r="E72" s="7">
        <v>100</v>
      </c>
      <c r="F72" s="7">
        <f>D72/100*LOOKUP(A72,'Regras e Parâmetros'!$A$11:$A$12,'Regras e Parâmetros'!$B$11:$B$12)</f>
        <v>100</v>
      </c>
      <c r="G72" s="7">
        <f t="shared" si="1"/>
        <v>0</v>
      </c>
      <c r="H72" t="s">
        <v>18</v>
      </c>
      <c r="I72" t="s">
        <v>6145</v>
      </c>
      <c r="J72" s="5" t="s">
        <v>1499</v>
      </c>
      <c r="K72" t="s">
        <v>9969</v>
      </c>
    </row>
    <row r="73" spans="1:11" x14ac:dyDescent="0.3">
      <c r="A73" s="1">
        <v>45683</v>
      </c>
      <c r="B73" s="5" t="s">
        <v>6066</v>
      </c>
      <c r="C73" t="str">
        <f>IF(B73="","",IFERROR(INDEX(Clientes!$A:$A,MATCH(B73,Clientes!$B:$B,0)),"(CPF não cadastrado)"))</f>
        <v>Gabriel Alves Teixeira</v>
      </c>
      <c r="D73" s="24">
        <v>500</v>
      </c>
      <c r="E73" s="7">
        <v>50</v>
      </c>
      <c r="F73" s="7">
        <f>D73/100*LOOKUP(A73,'Regras e Parâmetros'!$A$11:$A$12,'Regras e Parâmetros'!$B$11:$B$12)</f>
        <v>50</v>
      </c>
      <c r="G73" s="7">
        <f t="shared" si="1"/>
        <v>0</v>
      </c>
      <c r="H73" t="s">
        <v>18</v>
      </c>
      <c r="I73" t="s">
        <v>6125</v>
      </c>
      <c r="J73" s="5" t="s">
        <v>2755</v>
      </c>
      <c r="K73" t="s">
        <v>9969</v>
      </c>
    </row>
    <row r="74" spans="1:11" x14ac:dyDescent="0.3">
      <c r="A74" s="1">
        <v>45684</v>
      </c>
      <c r="B74" s="5" t="s">
        <v>7031</v>
      </c>
      <c r="C74" t="str">
        <f>IF(B74="","",IFERROR(INDEX(Clientes!$A:$A,MATCH(B74,Clientes!$B:$B,0)),"(CPF não cadastrado)"))</f>
        <v>Marina Ramos Lopes</v>
      </c>
      <c r="D74" s="24">
        <v>500</v>
      </c>
      <c r="E74" s="7">
        <v>50</v>
      </c>
      <c r="F74" s="7">
        <f>D74/100*LOOKUP(A74,'Regras e Parâmetros'!$A$11:$A$12,'Regras e Parâmetros'!$B$11:$B$12)</f>
        <v>50</v>
      </c>
      <c r="G74" s="7">
        <f t="shared" si="1"/>
        <v>0</v>
      </c>
      <c r="H74" t="s">
        <v>18</v>
      </c>
      <c r="I74" t="s">
        <v>6145</v>
      </c>
      <c r="J74" s="5" t="s">
        <v>6115</v>
      </c>
      <c r="K74" t="s">
        <v>9968</v>
      </c>
    </row>
    <row r="75" spans="1:11" x14ac:dyDescent="0.3">
      <c r="A75" s="1">
        <v>45684</v>
      </c>
      <c r="B75" s="5" t="s">
        <v>7111</v>
      </c>
      <c r="C75" t="str">
        <f>IF(B75="","",IFERROR(INDEX(Clientes!$A:$A,MATCH(B75,Clientes!$B:$B,0)),"(CPF não cadastrado)"))</f>
        <v>Tainá Monteiro Nascimento</v>
      </c>
      <c r="D75" s="24">
        <v>500</v>
      </c>
      <c r="E75" s="7">
        <v>50</v>
      </c>
      <c r="F75" s="7">
        <f>D75/100*LOOKUP(A75,'Regras e Parâmetros'!$A$11:$A$12,'Regras e Parâmetros'!$B$11:$B$12)</f>
        <v>50</v>
      </c>
      <c r="G75" s="7">
        <f t="shared" si="1"/>
        <v>0</v>
      </c>
      <c r="H75" t="s">
        <v>45</v>
      </c>
      <c r="J75" s="5" t="s">
        <v>1250</v>
      </c>
      <c r="K75" t="s">
        <v>9968</v>
      </c>
    </row>
    <row r="76" spans="1:11" x14ac:dyDescent="0.3">
      <c r="A76" s="1">
        <v>45684</v>
      </c>
      <c r="B76" s="5" t="s">
        <v>3494</v>
      </c>
      <c r="C76" t="str">
        <f>IF(B76="","",IFERROR(INDEX(Clientes!$A:$A,MATCH(B76,Clientes!$B:$B,0)),"(CPF não cadastrado)"))</f>
        <v>Caetano Fonseca Lima</v>
      </c>
      <c r="D76" s="24">
        <v>500</v>
      </c>
      <c r="E76" s="7">
        <v>50</v>
      </c>
      <c r="F76" s="7">
        <f>D76/100*LOOKUP(A76,'Regras e Parâmetros'!$A$11:$A$12,'Regras e Parâmetros'!$B$11:$B$12)</f>
        <v>50</v>
      </c>
      <c r="G76" s="7">
        <f t="shared" si="1"/>
        <v>0</v>
      </c>
      <c r="H76" t="s">
        <v>45</v>
      </c>
      <c r="J76" s="5" t="s">
        <v>6116</v>
      </c>
      <c r="K76" t="s">
        <v>9968</v>
      </c>
    </row>
    <row r="77" spans="1:11" x14ac:dyDescent="0.3">
      <c r="A77" s="1">
        <v>45685</v>
      </c>
      <c r="B77" s="5" t="s">
        <v>8170</v>
      </c>
      <c r="C77" t="str">
        <f>IF(B77="","",IFERROR(INDEX(Clientes!$A:$A,MATCH(B77,Clientes!$B:$B,0)),"(CPF não cadastrado)"))</f>
        <v>Yasmin Cardoso Nascimento</v>
      </c>
      <c r="D77" s="24">
        <v>1000</v>
      </c>
      <c r="E77" s="7">
        <v>100</v>
      </c>
      <c r="F77" s="7">
        <f>D77/100*LOOKUP(A77,'Regras e Parâmetros'!$A$11:$A$12,'Regras e Parâmetros'!$B$11:$B$12)</f>
        <v>100</v>
      </c>
      <c r="G77" s="7">
        <f t="shared" si="1"/>
        <v>0</v>
      </c>
      <c r="H77" t="s">
        <v>45</v>
      </c>
      <c r="J77" s="5" t="s">
        <v>3127</v>
      </c>
      <c r="K77" t="s">
        <v>9968</v>
      </c>
    </row>
    <row r="78" spans="1:11" x14ac:dyDescent="0.3">
      <c r="A78" s="1">
        <v>45693</v>
      </c>
      <c r="B78" s="5" t="s">
        <v>7197</v>
      </c>
      <c r="C78" t="str">
        <f>IF(B78="","",IFERROR(INDEX(Clientes!$A:$A,MATCH(B78,Clientes!$B:$B,0)),"(CPF não cadastrado)"))</f>
        <v>Pedro Rodrigues Pinto</v>
      </c>
      <c r="D78" s="24">
        <v>300</v>
      </c>
      <c r="E78" s="7">
        <v>30</v>
      </c>
      <c r="F78" s="7">
        <f>D78/100*LOOKUP(A78,'Regras e Parâmetros'!$A$11:$A$12,'Regras e Parâmetros'!$B$11:$B$12)</f>
        <v>30</v>
      </c>
      <c r="G78" s="7">
        <f t="shared" si="1"/>
        <v>0</v>
      </c>
      <c r="H78" t="s">
        <v>110</v>
      </c>
      <c r="J78" s="5" t="s">
        <v>1346</v>
      </c>
      <c r="K78" t="s">
        <v>9968</v>
      </c>
    </row>
    <row r="79" spans="1:11" x14ac:dyDescent="0.3">
      <c r="A79" s="1">
        <v>45693</v>
      </c>
      <c r="B79" s="5" t="s">
        <v>6414</v>
      </c>
      <c r="C79" t="str">
        <f>IF(B79="","",IFERROR(INDEX(Clientes!$A:$A,MATCH(B79,Clientes!$B:$B,0)),"(CPF não cadastrado)"))</f>
        <v>Henrique Almeida</v>
      </c>
      <c r="D79" s="24">
        <v>500</v>
      </c>
      <c r="E79" s="7">
        <v>50</v>
      </c>
      <c r="F79" s="7">
        <f>D79/100*LOOKUP(A79,'Regras e Parâmetros'!$A$11:$A$12,'Regras e Parâmetros'!$B$11:$B$12)</f>
        <v>50</v>
      </c>
      <c r="G79" s="7">
        <f t="shared" si="1"/>
        <v>0</v>
      </c>
      <c r="H79" t="s">
        <v>22</v>
      </c>
      <c r="J79" s="5" t="s">
        <v>88</v>
      </c>
      <c r="K79" t="s">
        <v>9968</v>
      </c>
    </row>
    <row r="80" spans="1:11" x14ac:dyDescent="0.3">
      <c r="A80" s="1">
        <v>45694</v>
      </c>
      <c r="B80" s="5" t="s">
        <v>3480</v>
      </c>
      <c r="C80" t="str">
        <f>IF(B80="","",IFERROR(INDEX(Clientes!$A:$A,MATCH(B80,Clientes!$B:$B,0)),"(CPF não cadastrado)"))</f>
        <v>Caetano Farias</v>
      </c>
      <c r="D80" s="24">
        <v>500</v>
      </c>
      <c r="E80" s="7">
        <v>50</v>
      </c>
      <c r="F80" s="7">
        <f>D80/100*LOOKUP(A80,'Regras e Parâmetros'!$A$11:$A$12,'Regras e Parâmetros'!$B$11:$B$12)</f>
        <v>50</v>
      </c>
      <c r="G80" s="7">
        <f t="shared" si="1"/>
        <v>0</v>
      </c>
      <c r="H80" t="s">
        <v>45</v>
      </c>
      <c r="J80" s="5" t="s">
        <v>6117</v>
      </c>
      <c r="K80" t="s">
        <v>9968</v>
      </c>
    </row>
    <row r="81" spans="1:11" x14ac:dyDescent="0.3">
      <c r="A81" s="1">
        <v>45696</v>
      </c>
      <c r="B81" s="5" t="s">
        <v>9952</v>
      </c>
      <c r="C81" t="str">
        <f>IF(B81="","",IFERROR(INDEX(Clientes!$A:$A,MATCH(B81,Clientes!$B:$B,0)),"(CPF não cadastrado)"))</f>
        <v>Nicolas Souza</v>
      </c>
      <c r="D81" s="24">
        <v>2000</v>
      </c>
      <c r="E81" s="7">
        <v>200</v>
      </c>
      <c r="F81" s="7">
        <f>D81/100*LOOKUP(A81,'Regras e Parâmetros'!$A$11:$A$12,'Regras e Parâmetros'!$B$11:$B$12)</f>
        <v>200</v>
      </c>
      <c r="G81" s="7">
        <f t="shared" si="1"/>
        <v>0</v>
      </c>
      <c r="H81" t="s">
        <v>110</v>
      </c>
      <c r="J81" s="5" t="s">
        <v>6118</v>
      </c>
      <c r="K81" t="s">
        <v>10065</v>
      </c>
    </row>
    <row r="82" spans="1:11" x14ac:dyDescent="0.3">
      <c r="A82" s="1">
        <v>45698</v>
      </c>
      <c r="B82" s="5" t="s">
        <v>3060</v>
      </c>
      <c r="C82" t="str">
        <f>IF(B82="","",IFERROR(INDEX(Clientes!$A:$A,MATCH(B82,Clientes!$B:$B,0)),"(CPF não cadastrado)"))</f>
        <v>Fernanda Campos Peixoto</v>
      </c>
      <c r="D82" s="24">
        <v>700</v>
      </c>
      <c r="E82" s="7">
        <v>70</v>
      </c>
      <c r="F82" s="7">
        <f>D82/100*LOOKUP(A82,'Regras e Parâmetros'!$A$11:$A$12,'Regras e Parâmetros'!$B$11:$B$12)</f>
        <v>70</v>
      </c>
      <c r="G82" s="7">
        <f t="shared" si="1"/>
        <v>0</v>
      </c>
      <c r="H82" t="s">
        <v>100</v>
      </c>
      <c r="J82" s="5" t="s">
        <v>6119</v>
      </c>
      <c r="K82" t="s">
        <v>9968</v>
      </c>
    </row>
    <row r="83" spans="1:11" x14ac:dyDescent="0.3">
      <c r="A83" s="1">
        <v>45700</v>
      </c>
      <c r="B83" s="5" t="s">
        <v>2762</v>
      </c>
      <c r="C83" t="str">
        <f>IF(B83="","",IFERROR(INDEX(Clientes!$A:$A,MATCH(B83,Clientes!$B:$B,0)),"(CPF não cadastrado)"))</f>
        <v>Wesley Nogueira Barbosa</v>
      </c>
      <c r="D83" s="24">
        <v>1400</v>
      </c>
      <c r="E83" s="7">
        <v>140</v>
      </c>
      <c r="F83" s="7">
        <f>D83/100*LOOKUP(A83,'Regras e Parâmetros'!$A$11:$A$12,'Regras e Parâmetros'!$B$11:$B$12)</f>
        <v>140</v>
      </c>
      <c r="G83" s="7">
        <f t="shared" si="1"/>
        <v>0</v>
      </c>
      <c r="H83" t="s">
        <v>18</v>
      </c>
      <c r="J83" s="5" t="s">
        <v>6120</v>
      </c>
      <c r="K83" t="s">
        <v>9968</v>
      </c>
    </row>
    <row r="84" spans="1:11" x14ac:dyDescent="0.3">
      <c r="A84" s="1">
        <v>45700</v>
      </c>
      <c r="B84" s="5" t="s">
        <v>1058</v>
      </c>
      <c r="C84" t="str">
        <f>IF(B84="","",IFERROR(INDEX(Clientes!$A:$A,MATCH(B84,Clientes!$B:$B,0)),"(CPF não cadastrado)"))</f>
        <v>Daniela Pinto Peixoto</v>
      </c>
      <c r="D84" s="24">
        <v>500</v>
      </c>
      <c r="E84" s="7">
        <v>50</v>
      </c>
      <c r="F84" s="7">
        <f>D84/100*LOOKUP(A84,'Regras e Parâmetros'!$A$11:$A$12,'Regras e Parâmetros'!$B$11:$B$12)</f>
        <v>50</v>
      </c>
      <c r="G84" s="7">
        <f t="shared" si="1"/>
        <v>0</v>
      </c>
      <c r="H84" t="s">
        <v>45</v>
      </c>
      <c r="J84" s="5" t="s">
        <v>6121</v>
      </c>
      <c r="K84" t="s">
        <v>9968</v>
      </c>
    </row>
    <row r="85" spans="1:11" x14ac:dyDescent="0.3">
      <c r="A85" s="1">
        <v>45702</v>
      </c>
      <c r="B85" s="5" t="s">
        <v>6228</v>
      </c>
      <c r="C85" t="str">
        <f>IF(B85="","",IFERROR(INDEX(Clientes!$A:$A,MATCH(B85,Clientes!$B:$B,0)),"(CPF não cadastrado)"))</f>
        <v>Melissa Mendes Moreira</v>
      </c>
      <c r="D85" s="24">
        <v>300</v>
      </c>
      <c r="E85" s="7">
        <v>30</v>
      </c>
      <c r="F85" s="7">
        <f>D85/100*LOOKUP(A85,'Regras e Parâmetros'!$A$11:$A$12,'Regras e Parâmetros'!$B$11:$B$12)</f>
        <v>30</v>
      </c>
      <c r="G85" s="7">
        <f t="shared" si="1"/>
        <v>0</v>
      </c>
      <c r="H85" t="s">
        <v>45</v>
      </c>
      <c r="J85" s="5" t="s">
        <v>444</v>
      </c>
      <c r="K85" t="s">
        <v>9968</v>
      </c>
    </row>
    <row r="86" spans="1:11" x14ac:dyDescent="0.3">
      <c r="A86" s="1">
        <v>45703</v>
      </c>
      <c r="B86" s="5" t="s">
        <v>6685</v>
      </c>
      <c r="C86" t="str">
        <f>IF(B86="","",IFERROR(INDEX(Clientes!$A:$A,MATCH(B86,Clientes!$B:$B,0)),"(CPF não cadastrado)"))</f>
        <v>Enzo Lima Costa</v>
      </c>
      <c r="D86" s="24">
        <v>500</v>
      </c>
      <c r="E86" s="7">
        <v>50</v>
      </c>
      <c r="F86" s="7">
        <f>D86/100*LOOKUP(A86,'Regras e Parâmetros'!$A$11:$A$12,'Regras e Parâmetros'!$B$11:$B$12)</f>
        <v>50</v>
      </c>
      <c r="G86" s="7">
        <f t="shared" si="1"/>
        <v>0</v>
      </c>
      <c r="H86" t="s">
        <v>22</v>
      </c>
      <c r="I86" t="s">
        <v>6078</v>
      </c>
      <c r="J86" s="5" t="s">
        <v>6122</v>
      </c>
      <c r="K86" t="s">
        <v>9969</v>
      </c>
    </row>
    <row r="87" spans="1:11" x14ac:dyDescent="0.3">
      <c r="A87" s="1">
        <v>45704</v>
      </c>
      <c r="B87" s="5" t="s">
        <v>7448</v>
      </c>
      <c r="C87" t="str">
        <f>IF(B87="","",IFERROR(INDEX(Clientes!$A:$A,MATCH(B87,Clientes!$B:$B,0)),"(CPF não cadastrado)"))</f>
        <v>Carolina Oliveira</v>
      </c>
      <c r="D87" s="24">
        <v>1000</v>
      </c>
      <c r="E87" s="7">
        <v>100</v>
      </c>
      <c r="F87" s="7">
        <f>D87/100*LOOKUP(A87,'Regras e Parâmetros'!$A$11:$A$12,'Regras e Parâmetros'!$B$11:$B$12)</f>
        <v>100</v>
      </c>
      <c r="G87" s="7">
        <f t="shared" si="1"/>
        <v>0</v>
      </c>
      <c r="H87" t="s">
        <v>45</v>
      </c>
      <c r="J87" s="5" t="s">
        <v>6123</v>
      </c>
      <c r="K87" t="s">
        <v>9968</v>
      </c>
    </row>
    <row r="88" spans="1:11" x14ac:dyDescent="0.3">
      <c r="A88" s="1">
        <v>45706</v>
      </c>
      <c r="B88" s="5" t="s">
        <v>6272</v>
      </c>
      <c r="C88" t="str">
        <f>IF(B88="","",IFERROR(INDEX(Clientes!$A:$A,MATCH(B88,Clientes!$B:$B,0)),"(CPF não cadastrado)"))</f>
        <v>Camila Alves</v>
      </c>
      <c r="D88" s="24">
        <v>300</v>
      </c>
      <c r="E88" s="7">
        <v>30</v>
      </c>
      <c r="F88" s="7">
        <f>D88/100*LOOKUP(A88,'Regras e Parâmetros'!$A$11:$A$12,'Regras e Parâmetros'!$B$11:$B$12)</f>
        <v>30</v>
      </c>
      <c r="G88" s="7">
        <f t="shared" si="1"/>
        <v>0</v>
      </c>
      <c r="H88" t="s">
        <v>18</v>
      </c>
      <c r="J88" s="5" t="s">
        <v>1717</v>
      </c>
      <c r="K88" t="s">
        <v>9968</v>
      </c>
    </row>
    <row r="89" spans="1:11" x14ac:dyDescent="0.3">
      <c r="A89" s="1">
        <v>45707</v>
      </c>
      <c r="B89" s="5" t="s">
        <v>7615</v>
      </c>
      <c r="C89" t="str">
        <f>IF(B89="","",IFERROR(INDEX(Clientes!$A:$A,MATCH(B89,Clientes!$B:$B,0)),"(CPF não cadastrado)"))</f>
        <v>Miguel Fonseca Tavares</v>
      </c>
      <c r="D89" s="24">
        <v>2000</v>
      </c>
      <c r="E89" s="7">
        <v>200</v>
      </c>
      <c r="F89" s="7">
        <f>D89/100*LOOKUP(A89,'Regras e Parâmetros'!$A$11:$A$12,'Regras e Parâmetros'!$B$11:$B$12)</f>
        <v>200</v>
      </c>
      <c r="G89" s="7">
        <f t="shared" si="1"/>
        <v>0</v>
      </c>
      <c r="H89" t="s">
        <v>18</v>
      </c>
      <c r="I89" t="s">
        <v>6125</v>
      </c>
      <c r="J89" s="5" t="s">
        <v>6124</v>
      </c>
      <c r="K89" t="s">
        <v>9968</v>
      </c>
    </row>
    <row r="90" spans="1:11" x14ac:dyDescent="0.3">
      <c r="A90" s="1">
        <v>45711</v>
      </c>
      <c r="B90" s="5" t="s">
        <v>7667</v>
      </c>
      <c r="C90" t="str">
        <f>IF(B90="","",IFERROR(INDEX(Clientes!$A:$A,MATCH(B90,Clientes!$B:$B,0)),"(CPF não cadastrado)"))</f>
        <v>Caua Moura</v>
      </c>
      <c r="D90" s="24">
        <v>300</v>
      </c>
      <c r="E90" s="7">
        <v>30</v>
      </c>
      <c r="F90" s="7">
        <f>D90/100*LOOKUP(A90,'Regras e Parâmetros'!$A$11:$A$12,'Regras e Parâmetros'!$B$11:$B$12)</f>
        <v>30</v>
      </c>
      <c r="G90" s="7">
        <f t="shared" si="1"/>
        <v>0</v>
      </c>
      <c r="H90" t="s">
        <v>22</v>
      </c>
      <c r="J90" s="5" t="s">
        <v>6126</v>
      </c>
      <c r="K90" t="s">
        <v>9968</v>
      </c>
    </row>
    <row r="91" spans="1:11" x14ac:dyDescent="0.3">
      <c r="A91" s="1">
        <v>45715</v>
      </c>
      <c r="B91" s="5" t="s">
        <v>826</v>
      </c>
      <c r="C91" t="str">
        <f>IF(B91="","",IFERROR(INDEX(Clientes!$A:$A,MATCH(B91,Clientes!$B:$B,0)),"(CPF não cadastrado)"))</f>
        <v>Gustavo Barbosa</v>
      </c>
      <c r="D91" s="24">
        <v>300</v>
      </c>
      <c r="E91" s="7">
        <v>30</v>
      </c>
      <c r="F91" s="7">
        <f>D91/100*LOOKUP(A91,'Regras e Parâmetros'!$A$11:$A$12,'Regras e Parâmetros'!$B$11:$B$12)</f>
        <v>30</v>
      </c>
      <c r="G91" s="7">
        <f t="shared" si="1"/>
        <v>0</v>
      </c>
      <c r="H91" t="s">
        <v>110</v>
      </c>
      <c r="J91" s="5" t="s">
        <v>6127</v>
      </c>
      <c r="K91" t="s">
        <v>9968</v>
      </c>
    </row>
    <row r="92" spans="1:11" x14ac:dyDescent="0.3">
      <c r="A92" s="1">
        <v>45718</v>
      </c>
      <c r="B92" s="5" t="s">
        <v>7133</v>
      </c>
      <c r="C92" t="str">
        <f>IF(B92="","",IFERROR(INDEX(Clientes!$A:$A,MATCH(B92,Clientes!$B:$B,0)),"(CPF não cadastrado)"))</f>
        <v>Alice D. Rodrigues</v>
      </c>
      <c r="D92" s="24">
        <v>500</v>
      </c>
      <c r="E92" s="7">
        <v>50</v>
      </c>
      <c r="F92" s="7">
        <f>D92/100*LOOKUP(A92,'Regras e Parâmetros'!$A$11:$A$12,'Regras e Parâmetros'!$B$11:$B$12)</f>
        <v>25</v>
      </c>
      <c r="G92" s="7">
        <f t="shared" si="1"/>
        <v>25</v>
      </c>
      <c r="H92" t="s">
        <v>22</v>
      </c>
      <c r="J92" s="5" t="s">
        <v>6128</v>
      </c>
      <c r="K92" t="s">
        <v>9968</v>
      </c>
    </row>
    <row r="93" spans="1:11" x14ac:dyDescent="0.3">
      <c r="A93" s="1">
        <v>45719</v>
      </c>
      <c r="B93" s="5" t="s">
        <v>529</v>
      </c>
      <c r="C93" t="str">
        <f>IF(B93="","",IFERROR(INDEX(Clientes!$A:$A,MATCH(B93,Clientes!$B:$B,0)),"(CPF não cadastrado)"))</f>
        <v>Enzo Ferreira Batista</v>
      </c>
      <c r="D93" s="24">
        <v>2000</v>
      </c>
      <c r="E93" s="7">
        <v>200</v>
      </c>
      <c r="F93" s="7">
        <f>D93/100*LOOKUP(A93,'Regras e Parâmetros'!$A$11:$A$12,'Regras e Parâmetros'!$B$11:$B$12)</f>
        <v>100</v>
      </c>
      <c r="G93" s="7">
        <f t="shared" si="1"/>
        <v>100</v>
      </c>
      <c r="H93" t="s">
        <v>18</v>
      </c>
      <c r="J93" s="5" t="s">
        <v>6129</v>
      </c>
      <c r="K93" t="s">
        <v>9968</v>
      </c>
    </row>
    <row r="94" spans="1:11" x14ac:dyDescent="0.3">
      <c r="A94" s="1">
        <v>45721</v>
      </c>
      <c r="B94" s="5" t="s">
        <v>8177</v>
      </c>
      <c r="C94" t="str">
        <f>IF(B94="","",IFERROR(INDEX(Clientes!$A:$A,MATCH(B94,Clientes!$B:$B,0)),"(CPF não cadastrado)"))</f>
        <v>Alice Ferreira Ribeiro</v>
      </c>
      <c r="D94" s="24">
        <v>1000</v>
      </c>
      <c r="E94" s="7">
        <v>100</v>
      </c>
      <c r="F94" s="7">
        <f>D94/100*LOOKUP(A94,'Regras e Parâmetros'!$A$11:$A$12,'Regras e Parâmetros'!$B$11:$B$12)</f>
        <v>50</v>
      </c>
      <c r="G94" s="7">
        <f t="shared" si="1"/>
        <v>50</v>
      </c>
      <c r="H94" t="s">
        <v>110</v>
      </c>
      <c r="J94" s="5" t="s">
        <v>6130</v>
      </c>
      <c r="K94" t="s">
        <v>9968</v>
      </c>
    </row>
    <row r="95" spans="1:11" x14ac:dyDescent="0.3">
      <c r="A95" s="1">
        <v>45721</v>
      </c>
      <c r="B95" s="5" t="s">
        <v>2662</v>
      </c>
      <c r="C95" t="str">
        <f>IF(B95="","",IFERROR(INDEX(Clientes!$A:$A,MATCH(B95,Clientes!$B:$B,0)),"(CPF não cadastrado)"))</f>
        <v>Sabrina Peixoto</v>
      </c>
      <c r="D95" s="24">
        <v>300</v>
      </c>
      <c r="E95" s="7">
        <v>30</v>
      </c>
      <c r="F95" s="7">
        <f>D95/100*LOOKUP(A95,'Regras e Parâmetros'!$A$11:$A$12,'Regras e Parâmetros'!$B$11:$B$12)</f>
        <v>15</v>
      </c>
      <c r="G95" s="7">
        <f t="shared" si="1"/>
        <v>15</v>
      </c>
      <c r="H95" t="s">
        <v>45</v>
      </c>
      <c r="J95" s="5" t="s">
        <v>6131</v>
      </c>
      <c r="K95" t="s">
        <v>9968</v>
      </c>
    </row>
    <row r="96" spans="1:11" x14ac:dyDescent="0.3">
      <c r="A96" s="1">
        <v>45723</v>
      </c>
      <c r="B96" s="5" t="s">
        <v>7594</v>
      </c>
      <c r="C96" t="str">
        <f>IF(B96="","",IFERROR(INDEX(Clientes!$A:$A,MATCH(B96,Clientes!$B:$B,0)),"(CPF não cadastrado)"))</f>
        <v>Rafaela Peixoto Farias</v>
      </c>
      <c r="D96" s="24">
        <v>500</v>
      </c>
      <c r="E96" s="7">
        <v>50</v>
      </c>
      <c r="F96" s="7">
        <f>D96/100*LOOKUP(A96,'Regras e Parâmetros'!$A$11:$A$12,'Regras e Parâmetros'!$B$11:$B$12)</f>
        <v>25</v>
      </c>
      <c r="G96" s="7">
        <f t="shared" si="1"/>
        <v>25</v>
      </c>
      <c r="H96" t="s">
        <v>45</v>
      </c>
      <c r="J96" s="5" t="s">
        <v>6113</v>
      </c>
      <c r="K96" t="s">
        <v>9968</v>
      </c>
    </row>
    <row r="97" spans="1:11" x14ac:dyDescent="0.3">
      <c r="A97" s="1">
        <v>45724</v>
      </c>
      <c r="B97" s="5" t="s">
        <v>6675</v>
      </c>
      <c r="C97" t="str">
        <f>IF(B97="","",IFERROR(INDEX(Clientes!$A:$A,MATCH(B97,Clientes!$B:$B,0)),"(CPF não cadastrado)"))</f>
        <v>Melissa Moreira</v>
      </c>
      <c r="D97" s="24">
        <v>1000</v>
      </c>
      <c r="E97" s="7">
        <v>100</v>
      </c>
      <c r="F97" s="7">
        <f>D97/100*LOOKUP(A97,'Regras e Parâmetros'!$A$11:$A$12,'Regras e Parâmetros'!$B$11:$B$12)</f>
        <v>50</v>
      </c>
      <c r="G97" s="7">
        <f t="shared" si="1"/>
        <v>50</v>
      </c>
      <c r="H97" t="s">
        <v>22</v>
      </c>
      <c r="J97" s="5" t="s">
        <v>6132</v>
      </c>
      <c r="K97" t="s">
        <v>9968</v>
      </c>
    </row>
    <row r="98" spans="1:11" x14ac:dyDescent="0.3">
      <c r="A98" s="1">
        <v>45725</v>
      </c>
      <c r="B98" s="5" t="s">
        <v>3480</v>
      </c>
      <c r="C98" t="str">
        <f>IF(B98="","",IFERROR(INDEX(Clientes!$A:$A,MATCH(B98,Clientes!$B:$B,0)),"(CPF não cadastrado)"))</f>
        <v>Caetano Farias</v>
      </c>
      <c r="D98" s="24">
        <v>300</v>
      </c>
      <c r="E98" s="7">
        <v>30</v>
      </c>
      <c r="F98" s="7">
        <f>D98/100*LOOKUP(A98,'Regras e Parâmetros'!$A$11:$A$12,'Regras e Parâmetros'!$B$11:$B$12)</f>
        <v>15</v>
      </c>
      <c r="G98" s="7">
        <f t="shared" si="1"/>
        <v>15</v>
      </c>
      <c r="H98" t="s">
        <v>45</v>
      </c>
      <c r="J98" s="5" t="s">
        <v>6117</v>
      </c>
      <c r="K98" t="s">
        <v>9968</v>
      </c>
    </row>
    <row r="99" spans="1:11" x14ac:dyDescent="0.3">
      <c r="A99" s="1">
        <v>45726</v>
      </c>
      <c r="B99" s="5" t="s">
        <v>2050</v>
      </c>
      <c r="C99" t="str">
        <f>IF(B99="","",IFERROR(INDEX(Clientes!$A:$A,MATCH(B99,Clientes!$B:$B,0)),"(CPF não cadastrado)"))</f>
        <v>Daniela Mendes Freitas</v>
      </c>
      <c r="D99" s="24">
        <v>1500</v>
      </c>
      <c r="E99" s="7">
        <v>150</v>
      </c>
      <c r="F99" s="7">
        <f>D99/100*LOOKUP(A99,'Regras e Parâmetros'!$A$11:$A$12,'Regras e Parâmetros'!$B$11:$B$12)</f>
        <v>75</v>
      </c>
      <c r="G99" s="7">
        <f t="shared" si="1"/>
        <v>75</v>
      </c>
      <c r="H99" t="s">
        <v>100</v>
      </c>
      <c r="J99" s="5" t="s">
        <v>6133</v>
      </c>
      <c r="K99" t="s">
        <v>9968</v>
      </c>
    </row>
    <row r="100" spans="1:11" x14ac:dyDescent="0.3">
      <c r="A100" s="1">
        <v>45727</v>
      </c>
      <c r="B100" s="5" t="s">
        <v>7998</v>
      </c>
      <c r="C100" t="str">
        <f>IF(B100="","",IFERROR(INDEX(Clientes!$A:$A,MATCH(B100,Clientes!$B:$B,0)),"(CPF não cadastrado)"))</f>
        <v>Manuela Cardoso</v>
      </c>
      <c r="D100" s="24">
        <v>1000</v>
      </c>
      <c r="E100" s="7">
        <v>100</v>
      </c>
      <c r="F100" s="7">
        <f>D100/100*LOOKUP(A100,'Regras e Parâmetros'!$A$11:$A$12,'Regras e Parâmetros'!$B$11:$B$12)</f>
        <v>50</v>
      </c>
      <c r="G100" s="7">
        <f t="shared" si="1"/>
        <v>50</v>
      </c>
      <c r="H100" t="s">
        <v>100</v>
      </c>
      <c r="J100" s="5" t="s">
        <v>6134</v>
      </c>
      <c r="K100" t="s">
        <v>9968</v>
      </c>
    </row>
    <row r="101" spans="1:11" x14ac:dyDescent="0.3">
      <c r="A101" s="1">
        <v>45728</v>
      </c>
      <c r="B101" s="5" t="s">
        <v>6135</v>
      </c>
      <c r="C101" t="str">
        <f>IF(B101="","",IFERROR(INDEX(Clientes!$A:$A,MATCH(B101,Clientes!$B:$B,0)),"(CPF não cadastrado)"))</f>
        <v>Daniel Alves Teixeira</v>
      </c>
      <c r="D101" s="24">
        <v>1000</v>
      </c>
      <c r="E101" s="7">
        <v>50</v>
      </c>
      <c r="F101" s="7">
        <f>D101/100*LOOKUP(A101,'Regras e Parâmetros'!$A$11:$A$12,'Regras e Parâmetros'!$B$11:$B$12)</f>
        <v>50</v>
      </c>
      <c r="G101" s="7">
        <f t="shared" si="1"/>
        <v>0</v>
      </c>
      <c r="H101" t="s">
        <v>110</v>
      </c>
      <c r="I101" t="s">
        <v>6093</v>
      </c>
      <c r="J101" s="5" t="s">
        <v>6135</v>
      </c>
      <c r="K101" t="s">
        <v>9968</v>
      </c>
    </row>
    <row r="102" spans="1:11" x14ac:dyDescent="0.3">
      <c r="A102" s="1">
        <v>45730</v>
      </c>
      <c r="B102" s="5" t="s">
        <v>6952</v>
      </c>
      <c r="C102" t="str">
        <f>IF(B102="","",IFERROR(INDEX(Clientes!$A:$A,MATCH(B102,Clientes!$B:$B,0)),"(CPF não cadastrado)"))</f>
        <v>Manuela Fernandes Cardoso</v>
      </c>
      <c r="D102" s="24">
        <v>500</v>
      </c>
      <c r="E102" s="7">
        <v>50</v>
      </c>
      <c r="F102" s="7">
        <f>D102/100*LOOKUP(A102,'Regras e Parâmetros'!$A$11:$A$12,'Regras e Parâmetros'!$B$11:$B$12)</f>
        <v>25</v>
      </c>
      <c r="G102" s="7">
        <f t="shared" si="1"/>
        <v>25</v>
      </c>
      <c r="H102" t="s">
        <v>22</v>
      </c>
      <c r="J102" s="5" t="s">
        <v>878</v>
      </c>
      <c r="K102" t="s">
        <v>9968</v>
      </c>
    </row>
    <row r="103" spans="1:11" x14ac:dyDescent="0.3">
      <c r="A103" s="1">
        <v>45731</v>
      </c>
      <c r="B103" s="5" t="s">
        <v>3279</v>
      </c>
      <c r="C103" t="str">
        <f>IF(B103="","",IFERROR(INDEX(Clientes!$A:$A,MATCH(B103,Clientes!$B:$B,0)),"(CPF não cadastrado)"))</f>
        <v>Rebeca Costa Santos</v>
      </c>
      <c r="D103" s="24">
        <v>500</v>
      </c>
      <c r="E103" s="7">
        <v>50</v>
      </c>
      <c r="F103" s="7">
        <f>D103/100*LOOKUP(A103,'Regras e Parâmetros'!$A$11:$A$12,'Regras e Parâmetros'!$B$11:$B$12)</f>
        <v>25</v>
      </c>
      <c r="G103" s="7">
        <f t="shared" si="1"/>
        <v>25</v>
      </c>
      <c r="H103" t="s">
        <v>45</v>
      </c>
      <c r="J103" s="5" t="s">
        <v>6136</v>
      </c>
      <c r="K103" t="s">
        <v>9968</v>
      </c>
    </row>
    <row r="104" spans="1:11" x14ac:dyDescent="0.3">
      <c r="A104" s="1">
        <v>45735</v>
      </c>
      <c r="B104" s="5" t="s">
        <v>6272</v>
      </c>
      <c r="C104" t="str">
        <f>IF(B104="","",IFERROR(INDEX(Clientes!$A:$A,MATCH(B104,Clientes!$B:$B,0)),"(CPF não cadastrado)"))</f>
        <v>Camila Alves</v>
      </c>
      <c r="D104" s="24">
        <v>1500</v>
      </c>
      <c r="E104" s="7">
        <v>75</v>
      </c>
      <c r="F104" s="7">
        <f>D104/100*LOOKUP(A104,'Regras e Parâmetros'!$A$11:$A$12,'Regras e Parâmetros'!$B$11:$B$12)</f>
        <v>75</v>
      </c>
      <c r="G104" s="7">
        <f t="shared" si="1"/>
        <v>0</v>
      </c>
      <c r="H104" t="s">
        <v>18</v>
      </c>
      <c r="I104" t="s">
        <v>6145</v>
      </c>
      <c r="J104" s="5" t="s">
        <v>6093</v>
      </c>
      <c r="K104" t="s">
        <v>10276</v>
      </c>
    </row>
    <row r="105" spans="1:11" x14ac:dyDescent="0.3">
      <c r="A105" s="1">
        <v>45736</v>
      </c>
      <c r="B105" s="5" t="s">
        <v>1730</v>
      </c>
      <c r="C105" t="str">
        <f>IF(B105="","",IFERROR(INDEX(Clientes!$A:$A,MATCH(B105,Clientes!$B:$B,0)),"(CPF não cadastrado)"))</f>
        <v>Emanuel Gomes Freitas</v>
      </c>
      <c r="D105" s="24">
        <v>300</v>
      </c>
      <c r="E105" s="7">
        <v>30</v>
      </c>
      <c r="F105" s="7">
        <f>D105/100*LOOKUP(A105,'Regras e Parâmetros'!$A$11:$A$12,'Regras e Parâmetros'!$B$11:$B$12)</f>
        <v>15</v>
      </c>
      <c r="G105" s="7">
        <f t="shared" si="1"/>
        <v>15</v>
      </c>
      <c r="H105" t="s">
        <v>18</v>
      </c>
      <c r="J105" s="5" t="s">
        <v>6137</v>
      </c>
      <c r="K105" t="s">
        <v>9968</v>
      </c>
    </row>
    <row r="106" spans="1:11" x14ac:dyDescent="0.3">
      <c r="A106" s="1">
        <v>45737</v>
      </c>
      <c r="B106" s="5" t="s">
        <v>7540</v>
      </c>
      <c r="C106" t="str">
        <f>IF(B106="","",IFERROR(INDEX(Clientes!$A:$A,MATCH(B106,Clientes!$B:$B,0)),"(CPF não cadastrado)"))</f>
        <v>Jaqueline Vieira Rodrigues</v>
      </c>
      <c r="D106" s="24">
        <v>1000</v>
      </c>
      <c r="E106" s="7">
        <v>100</v>
      </c>
      <c r="F106" s="7">
        <f>D106/100*LOOKUP(A106,'Regras e Parâmetros'!$A$11:$A$12,'Regras e Parâmetros'!$B$11:$B$12)</f>
        <v>50</v>
      </c>
      <c r="G106" s="7">
        <f t="shared" si="1"/>
        <v>50</v>
      </c>
      <c r="H106" t="s">
        <v>100</v>
      </c>
      <c r="J106" s="5" t="s">
        <v>6138</v>
      </c>
      <c r="K106" t="s">
        <v>9968</v>
      </c>
    </row>
    <row r="107" spans="1:11" x14ac:dyDescent="0.3">
      <c r="A107" s="1">
        <v>45738</v>
      </c>
      <c r="B107" s="5" t="s">
        <v>3148</v>
      </c>
      <c r="C107" t="str">
        <f>IF(B107="","",IFERROR(INDEX(Clientes!$A:$A,MATCH(B107,Clientes!$B:$B,0)),"(CPF não cadastrado)"))</f>
        <v>Natália Pinto</v>
      </c>
      <c r="D107" s="24">
        <v>300</v>
      </c>
      <c r="E107" s="7">
        <v>30</v>
      </c>
      <c r="F107" s="7">
        <f>D107/100*LOOKUP(A107,'Regras e Parâmetros'!$A$11:$A$12,'Regras e Parâmetros'!$B$11:$B$12)</f>
        <v>15</v>
      </c>
      <c r="G107" s="7">
        <f t="shared" si="1"/>
        <v>15</v>
      </c>
      <c r="H107" t="s">
        <v>18</v>
      </c>
      <c r="J107" s="5" t="s">
        <v>6139</v>
      </c>
      <c r="K107" t="s">
        <v>9968</v>
      </c>
    </row>
    <row r="108" spans="1:11" x14ac:dyDescent="0.3">
      <c r="A108" s="1">
        <v>45741</v>
      </c>
      <c r="B108" s="5" t="s">
        <v>6957</v>
      </c>
      <c r="C108" t="str">
        <f>IF(B108="","",IFERROR(INDEX(Clientes!$A:$A,MATCH(B108,Clientes!$B:$B,0)),"(CPF não cadastrado)"))</f>
        <v>Lívia Moreira</v>
      </c>
      <c r="D108" s="24">
        <v>1200</v>
      </c>
      <c r="E108" s="7">
        <v>60</v>
      </c>
      <c r="F108" s="7">
        <f>D108/100*LOOKUP(A108,'Regras e Parâmetros'!$A$11:$A$12,'Regras e Parâmetros'!$B$11:$B$12)</f>
        <v>60</v>
      </c>
      <c r="G108" s="7">
        <f t="shared" si="1"/>
        <v>0</v>
      </c>
      <c r="H108" t="s">
        <v>110</v>
      </c>
      <c r="I108" t="s">
        <v>6081</v>
      </c>
      <c r="J108" s="5" t="s">
        <v>6140</v>
      </c>
      <c r="K108" t="s">
        <v>9969</v>
      </c>
    </row>
    <row r="109" spans="1:11" x14ac:dyDescent="0.3">
      <c r="A109" s="1">
        <v>45742</v>
      </c>
      <c r="B109" s="5" t="s">
        <v>2211</v>
      </c>
      <c r="C109" t="str">
        <f>IF(B109="","",IFERROR(INDEX(Clientes!$A:$A,MATCH(B109,Clientes!$B:$B,0)),"(CPF não cadastrado)"))</f>
        <v>Aline Lima Costa</v>
      </c>
      <c r="D109" s="24">
        <v>500</v>
      </c>
      <c r="E109" s="7">
        <v>50</v>
      </c>
      <c r="F109" s="7">
        <f>D109/100*LOOKUP(A109,'Regras e Parâmetros'!$A$11:$A$12,'Regras e Parâmetros'!$B$11:$B$12)</f>
        <v>25</v>
      </c>
      <c r="G109" s="7">
        <f t="shared" si="1"/>
        <v>25</v>
      </c>
      <c r="H109" t="s">
        <v>45</v>
      </c>
      <c r="J109" s="5" t="s">
        <v>6141</v>
      </c>
      <c r="K109" t="s">
        <v>9968</v>
      </c>
    </row>
    <row r="110" spans="1:11" x14ac:dyDescent="0.3">
      <c r="A110" s="1">
        <v>45742</v>
      </c>
      <c r="B110" s="5" t="s">
        <v>7728</v>
      </c>
      <c r="C110" t="str">
        <f>IF(B110="","",IFERROR(INDEX(Clientes!$A:$A,MATCH(B110,Clientes!$B:$B,0)),"(CPF não cadastrado)"))</f>
        <v>Miguel Lima Moura</v>
      </c>
      <c r="D110" s="24">
        <v>500</v>
      </c>
      <c r="E110" s="7">
        <v>50</v>
      </c>
      <c r="F110" s="7">
        <f>D110/100*LOOKUP(A110,'Regras e Parâmetros'!$A$11:$A$12,'Regras e Parâmetros'!$B$11:$B$12)</f>
        <v>25</v>
      </c>
      <c r="G110" s="7">
        <f t="shared" si="1"/>
        <v>25</v>
      </c>
      <c r="H110" t="s">
        <v>45</v>
      </c>
      <c r="J110" s="5" t="s">
        <v>6142</v>
      </c>
      <c r="K110" t="s">
        <v>9968</v>
      </c>
    </row>
    <row r="111" spans="1:11" x14ac:dyDescent="0.3">
      <c r="A111" s="1">
        <v>45744</v>
      </c>
      <c r="B111" s="5" t="s">
        <v>3607</v>
      </c>
      <c r="C111" t="str">
        <f>IF(B111="","",IFERROR(INDEX(Clientes!$A:$A,MATCH(B111,Clientes!$B:$B,0)),"(CPF não cadastrado)"))</f>
        <v>Luana Barros</v>
      </c>
      <c r="D111" s="24">
        <v>900</v>
      </c>
      <c r="E111" s="7">
        <v>45</v>
      </c>
      <c r="F111" s="7">
        <f>D111/100*LOOKUP(A111,'Regras e Parâmetros'!$A$11:$A$12,'Regras e Parâmetros'!$B$11:$B$12)</f>
        <v>45</v>
      </c>
      <c r="G111" s="7">
        <f t="shared" si="1"/>
        <v>0</v>
      </c>
      <c r="H111" t="s">
        <v>100</v>
      </c>
      <c r="I111" t="s">
        <v>6291</v>
      </c>
      <c r="J111" s="5" t="s">
        <v>3607</v>
      </c>
      <c r="K111" t="s">
        <v>9968</v>
      </c>
    </row>
    <row r="112" spans="1:11" x14ac:dyDescent="0.3">
      <c r="A112" s="1">
        <v>45745</v>
      </c>
      <c r="B112" s="5" t="s">
        <v>985</v>
      </c>
      <c r="C112" t="str">
        <f>IF(B112="","",IFERROR(INDEX(Clientes!$A:$A,MATCH(B112,Clientes!$B:$B,0)),"(CPF não cadastrado)"))</f>
        <v>Samuel Silva Farias</v>
      </c>
      <c r="D112" s="24">
        <v>300</v>
      </c>
      <c r="E112" s="7">
        <v>30</v>
      </c>
      <c r="F112" s="7">
        <f>D112/100*LOOKUP(A112,'Regras e Parâmetros'!$A$11:$A$12,'Regras e Parâmetros'!$B$11:$B$12)</f>
        <v>15</v>
      </c>
      <c r="G112" s="7">
        <f t="shared" si="1"/>
        <v>15</v>
      </c>
      <c r="H112" t="s">
        <v>100</v>
      </c>
      <c r="J112" s="5" t="s">
        <v>6143</v>
      </c>
      <c r="K112" t="s">
        <v>9968</v>
      </c>
    </row>
    <row r="113" spans="1:11" x14ac:dyDescent="0.3">
      <c r="A113" s="1">
        <v>45748</v>
      </c>
      <c r="B113" s="5" t="s">
        <v>1878</v>
      </c>
      <c r="C113" t="str">
        <f>IF(B113="","",IFERROR(INDEX(Clientes!$A:$A,MATCH(B113,Clientes!$B:$B,0)),"(CPF não cadastrado)"))</f>
        <v>Nicole Lopes Pinto</v>
      </c>
      <c r="D113" s="24">
        <v>500</v>
      </c>
      <c r="E113" s="7">
        <v>50</v>
      </c>
      <c r="F113" s="7">
        <f>D113/100*LOOKUP(A113,'Regras e Parâmetros'!$A$11:$A$12,'Regras e Parâmetros'!$B$11:$B$12)</f>
        <v>25</v>
      </c>
      <c r="G113" s="7">
        <f t="shared" si="1"/>
        <v>25</v>
      </c>
      <c r="H113" t="s">
        <v>110</v>
      </c>
      <c r="J113" s="5" t="s">
        <v>6144</v>
      </c>
      <c r="K113" t="s">
        <v>9968</v>
      </c>
    </row>
    <row r="114" spans="1:11" x14ac:dyDescent="0.3">
      <c r="A114" s="1">
        <v>45750</v>
      </c>
      <c r="B114" s="5" t="s">
        <v>2722</v>
      </c>
      <c r="C114" t="str">
        <f>IF(B114="","",IFERROR(INDEX(Clientes!$A:$A,MATCH(B114,Clientes!$B:$B,0)),"(CPF não cadastrado)"))</f>
        <v>Helena Dias Marques</v>
      </c>
      <c r="D114" s="24">
        <v>300</v>
      </c>
      <c r="E114" s="7">
        <v>15</v>
      </c>
      <c r="F114" s="7">
        <f>D114/100*LOOKUP(A114,'Regras e Parâmetros'!$A$11:$A$12,'Regras e Parâmetros'!$B$11:$B$12)</f>
        <v>15</v>
      </c>
      <c r="G114" s="7">
        <f t="shared" si="1"/>
        <v>0</v>
      </c>
      <c r="H114" t="s">
        <v>18</v>
      </c>
      <c r="I114" t="s">
        <v>6145</v>
      </c>
      <c r="J114" s="5" t="s">
        <v>6033</v>
      </c>
      <c r="K114" t="s">
        <v>9969</v>
      </c>
    </row>
    <row r="115" spans="1:11" x14ac:dyDescent="0.3">
      <c r="A115" s="1">
        <v>45752</v>
      </c>
      <c r="B115" s="5" t="s">
        <v>7183</v>
      </c>
      <c r="C115" t="str">
        <f>IF(B115="","",IFERROR(INDEX(Clientes!$A:$A,MATCH(B115,Clientes!$B:$B,0)),"(CPF não cadastrado)"))</f>
        <v>Nicole Nunes Vieira</v>
      </c>
      <c r="D115" s="24">
        <v>500</v>
      </c>
      <c r="E115" s="7">
        <v>50</v>
      </c>
      <c r="F115" s="7">
        <f>D115/100*LOOKUP(A115,'Regras e Parâmetros'!$A$11:$A$12,'Regras e Parâmetros'!$B$11:$B$12)</f>
        <v>25</v>
      </c>
      <c r="G115" s="7">
        <f t="shared" si="1"/>
        <v>25</v>
      </c>
      <c r="H115" t="s">
        <v>100</v>
      </c>
      <c r="J115" s="5" t="s">
        <v>1330</v>
      </c>
      <c r="K115" t="s">
        <v>9968</v>
      </c>
    </row>
    <row r="116" spans="1:11" x14ac:dyDescent="0.3">
      <c r="A116" s="1">
        <v>45757</v>
      </c>
      <c r="B116" s="5" t="s">
        <v>7903</v>
      </c>
      <c r="C116" t="str">
        <f>IF(B116="","",IFERROR(INDEX(Clientes!$A:$A,MATCH(B116,Clientes!$B:$B,0)),"(CPF não cadastrado)"))</f>
        <v>Fábio Gonçalves</v>
      </c>
      <c r="D116" s="24">
        <v>700</v>
      </c>
      <c r="E116" s="7">
        <v>70</v>
      </c>
      <c r="F116" s="7">
        <f>D116/100*LOOKUP(A116,'Regras e Parâmetros'!$A$11:$A$12,'Regras e Parâmetros'!$B$11:$B$12)</f>
        <v>35</v>
      </c>
      <c r="G116" s="7">
        <f t="shared" si="1"/>
        <v>35</v>
      </c>
      <c r="H116" t="s">
        <v>18</v>
      </c>
      <c r="J116" s="5" t="s">
        <v>6146</v>
      </c>
      <c r="K116" t="s">
        <v>9968</v>
      </c>
    </row>
    <row r="117" spans="1:11" x14ac:dyDescent="0.3">
      <c r="A117" s="1">
        <v>45765</v>
      </c>
      <c r="B117" s="5" t="s">
        <v>8253</v>
      </c>
      <c r="C117" t="str">
        <f>IF(B117="","",IFERROR(INDEX(Clientes!$A:$A,MATCH(B117,Clientes!$B:$B,0)),"(CPF não cadastrado)"))</f>
        <v>Ana Soares</v>
      </c>
      <c r="D117" s="24">
        <v>1000</v>
      </c>
      <c r="E117" s="7">
        <v>100</v>
      </c>
      <c r="F117" s="7">
        <f>D117/100*LOOKUP(A117,'Regras e Parâmetros'!$A$11:$A$12,'Regras e Parâmetros'!$B$11:$B$12)</f>
        <v>50</v>
      </c>
      <c r="G117" s="7">
        <f t="shared" si="1"/>
        <v>50</v>
      </c>
      <c r="H117" t="s">
        <v>22</v>
      </c>
      <c r="J117" s="5" t="s">
        <v>6147</v>
      </c>
      <c r="K117" t="s">
        <v>9968</v>
      </c>
    </row>
    <row r="118" spans="1:11" x14ac:dyDescent="0.3">
      <c r="A118" s="1">
        <v>45765</v>
      </c>
      <c r="B118" s="5" t="s">
        <v>7872</v>
      </c>
      <c r="C118" t="str">
        <f>IF(B118="","",IFERROR(INDEX(Clientes!$A:$A,MATCH(B118,Clientes!$B:$B,0)),"(CPF não cadastrado)"))</f>
        <v>Letícia Nogueira Moura</v>
      </c>
      <c r="D118" s="24">
        <v>500</v>
      </c>
      <c r="E118" s="7">
        <v>50</v>
      </c>
      <c r="F118" s="7">
        <f>D118/100*LOOKUP(A118,'Regras e Parâmetros'!$A$11:$A$12,'Regras e Parâmetros'!$B$11:$B$12)</f>
        <v>25</v>
      </c>
      <c r="G118" s="7">
        <f t="shared" si="1"/>
        <v>25</v>
      </c>
      <c r="H118" t="s">
        <v>45</v>
      </c>
      <c r="J118" s="5" t="s">
        <v>6148</v>
      </c>
      <c r="K118" t="s">
        <v>9968</v>
      </c>
    </row>
    <row r="119" spans="1:11" x14ac:dyDescent="0.3">
      <c r="A119" s="1">
        <v>45766</v>
      </c>
      <c r="B119" s="5" t="s">
        <v>2017</v>
      </c>
      <c r="C119" t="str">
        <f>IF(B119="","",IFERROR(INDEX(Clientes!$A:$A,MATCH(B119,Clientes!$B:$B,0)),"(CPF não cadastrado)"))</f>
        <v>Gabriel Almeida Monteiro</v>
      </c>
      <c r="D119" s="24">
        <v>300</v>
      </c>
      <c r="E119" s="7">
        <v>30</v>
      </c>
      <c r="F119" s="7">
        <f>D119/100*LOOKUP(A119,'Regras e Parâmetros'!$A$11:$A$12,'Regras e Parâmetros'!$B$11:$B$12)</f>
        <v>15</v>
      </c>
      <c r="G119" s="7">
        <f t="shared" si="1"/>
        <v>15</v>
      </c>
      <c r="H119" t="s">
        <v>22</v>
      </c>
      <c r="J119" s="5" t="s">
        <v>6149</v>
      </c>
      <c r="K119" t="s">
        <v>9968</v>
      </c>
    </row>
    <row r="120" spans="1:11" x14ac:dyDescent="0.3">
      <c r="A120" s="1">
        <v>45773</v>
      </c>
      <c r="B120" s="5" t="s">
        <v>8131</v>
      </c>
      <c r="C120" t="str">
        <f>IF(B120="","",IFERROR(INDEX(Clientes!$A:$A,MATCH(B120,Clientes!$B:$B,0)),"(CPF não cadastrado)"))</f>
        <v>Vanessa B. Campos</v>
      </c>
      <c r="D120" s="24">
        <v>1200</v>
      </c>
      <c r="E120" s="7">
        <v>120</v>
      </c>
      <c r="F120" s="7">
        <f>D120/100*LOOKUP(A120,'Regras e Parâmetros'!$A$11:$A$12,'Regras e Parâmetros'!$B$11:$B$12)</f>
        <v>60</v>
      </c>
      <c r="G120" s="7">
        <f t="shared" si="1"/>
        <v>60</v>
      </c>
      <c r="H120" t="s">
        <v>22</v>
      </c>
      <c r="J120" s="5" t="s">
        <v>6150</v>
      </c>
      <c r="K120" t="s">
        <v>9968</v>
      </c>
    </row>
    <row r="121" spans="1:11" x14ac:dyDescent="0.3">
      <c r="A121" s="1">
        <v>45773</v>
      </c>
      <c r="B121" s="5" t="s">
        <v>511</v>
      </c>
      <c r="C121" t="str">
        <f>IF(B121="","",IFERROR(INDEX(Clientes!$A:$A,MATCH(B121,Clientes!$B:$B,0)),"(CPF não cadastrado)"))</f>
        <v>Beatriz Fernandes</v>
      </c>
      <c r="D121" s="24">
        <v>500</v>
      </c>
      <c r="E121" s="7">
        <v>50</v>
      </c>
      <c r="F121" s="7">
        <f>D121/100*LOOKUP(A121,'Regras e Parâmetros'!$A$11:$A$12,'Regras e Parâmetros'!$B$11:$B$12)</f>
        <v>25</v>
      </c>
      <c r="G121" s="7">
        <f t="shared" si="1"/>
        <v>25</v>
      </c>
      <c r="H121" t="s">
        <v>45</v>
      </c>
      <c r="J121" s="5" t="s">
        <v>6151</v>
      </c>
      <c r="K121" t="s">
        <v>9968</v>
      </c>
    </row>
    <row r="122" spans="1:11" x14ac:dyDescent="0.3">
      <c r="A122" s="1">
        <v>45775</v>
      </c>
      <c r="B122" s="5" t="s">
        <v>7490</v>
      </c>
      <c r="C122" t="str">
        <f>IF(B122="","",IFERROR(INDEX(Clientes!$A:$A,MATCH(B122,Clientes!$B:$B,0)),"(CPF não cadastrado)"))</f>
        <v>Thaís Peixoto Nogueira</v>
      </c>
      <c r="D122" s="24">
        <v>2000</v>
      </c>
      <c r="E122" s="7">
        <v>200</v>
      </c>
      <c r="F122" s="7">
        <f>D122/100*LOOKUP(A122,'Regras e Parâmetros'!$A$11:$A$12,'Regras e Parâmetros'!$B$11:$B$12)</f>
        <v>100</v>
      </c>
      <c r="G122" s="7">
        <f t="shared" si="1"/>
        <v>100</v>
      </c>
      <c r="H122" t="s">
        <v>110</v>
      </c>
      <c r="J122" s="5" t="s">
        <v>6152</v>
      </c>
      <c r="K122" t="s">
        <v>9968</v>
      </c>
    </row>
    <row r="123" spans="1:11" x14ac:dyDescent="0.3">
      <c r="A123" s="1">
        <v>45775</v>
      </c>
      <c r="B123" s="5" t="s">
        <v>1035</v>
      </c>
      <c r="C123" t="str">
        <f>IF(B123="","",IFERROR(INDEX(Clientes!$A:$A,MATCH(B123,Clientes!$B:$B,0)),"(CPF não cadastrado)"))</f>
        <v>Carolina Lopes Mendes</v>
      </c>
      <c r="D123" s="24">
        <v>500</v>
      </c>
      <c r="E123" s="7">
        <v>50</v>
      </c>
      <c r="F123" s="7">
        <f>D123/100*LOOKUP(A123,'Regras e Parâmetros'!$A$11:$A$12,'Regras e Parâmetros'!$B$11:$B$12)</f>
        <v>25</v>
      </c>
      <c r="G123" s="7">
        <f t="shared" si="1"/>
        <v>25</v>
      </c>
      <c r="H123" t="s">
        <v>45</v>
      </c>
      <c r="J123" s="5" t="s">
        <v>6153</v>
      </c>
      <c r="K123" t="s">
        <v>9968</v>
      </c>
    </row>
    <row r="124" spans="1:11" x14ac:dyDescent="0.3">
      <c r="A124" s="1">
        <v>45780</v>
      </c>
      <c r="B124" s="5" t="s">
        <v>7032</v>
      </c>
      <c r="C124" t="str">
        <f>IF(B124="","",IFERROR(INDEX(Clientes!$A:$A,MATCH(B124,Clientes!$B:$B,0)),"(CPF não cadastrado)"))</f>
        <v>Kamila Teixeira</v>
      </c>
      <c r="D124" s="24">
        <v>300</v>
      </c>
      <c r="E124" s="7">
        <v>30</v>
      </c>
      <c r="F124" s="7">
        <f>D124/100*LOOKUP(A124,'Regras e Parâmetros'!$A$11:$A$12,'Regras e Parâmetros'!$B$11:$B$12)</f>
        <v>15</v>
      </c>
      <c r="G124" s="7">
        <f t="shared" si="1"/>
        <v>15</v>
      </c>
      <c r="H124" t="s">
        <v>110</v>
      </c>
      <c r="J124" s="5" t="s">
        <v>6154</v>
      </c>
      <c r="K124" t="s">
        <v>9968</v>
      </c>
    </row>
    <row r="125" spans="1:11" x14ac:dyDescent="0.3">
      <c r="A125" s="1">
        <v>45784</v>
      </c>
      <c r="B125" s="5" t="s">
        <v>6175</v>
      </c>
      <c r="C125" t="str">
        <f>IF(B125="","",IFERROR(INDEX(Clientes!$A:$A,MATCH(B125,Clientes!$B:$B,0)),"(CPF não cadastrado)"))</f>
        <v>Yasmin Teixeira</v>
      </c>
      <c r="D125" s="24">
        <v>500</v>
      </c>
      <c r="E125" s="7">
        <v>50</v>
      </c>
      <c r="F125" s="7">
        <f>D125/100*LOOKUP(A125,'Regras e Parâmetros'!$A$11:$A$12,'Regras e Parâmetros'!$B$11:$B$12)</f>
        <v>25</v>
      </c>
      <c r="G125" s="7">
        <f t="shared" si="1"/>
        <v>25</v>
      </c>
      <c r="H125" t="s">
        <v>100</v>
      </c>
      <c r="J125" s="5" t="s">
        <v>3795</v>
      </c>
      <c r="K125" t="s">
        <v>9968</v>
      </c>
    </row>
    <row r="126" spans="1:11" x14ac:dyDescent="0.3">
      <c r="A126" s="1">
        <v>45785</v>
      </c>
      <c r="B126" s="5" t="s">
        <v>793</v>
      </c>
      <c r="C126" t="str">
        <f>IF(B126="","",IFERROR(INDEX(Clientes!$A:$A,MATCH(B126,Clientes!$B:$B,0)),"(CPF não cadastrado)"))</f>
        <v>Samuel Nogueira</v>
      </c>
      <c r="D126" s="24">
        <v>300</v>
      </c>
      <c r="E126" s="7">
        <v>30</v>
      </c>
      <c r="F126" s="7">
        <f>D126/100*LOOKUP(A126,'Regras e Parâmetros'!$A$11:$A$12,'Regras e Parâmetros'!$B$11:$B$12)</f>
        <v>15</v>
      </c>
      <c r="G126" s="7">
        <f t="shared" si="1"/>
        <v>15</v>
      </c>
      <c r="H126" t="s">
        <v>45</v>
      </c>
      <c r="J126" s="5" t="s">
        <v>6155</v>
      </c>
      <c r="K126" t="s">
        <v>9968</v>
      </c>
    </row>
    <row r="127" spans="1:11" x14ac:dyDescent="0.3">
      <c r="A127" s="1">
        <v>45787</v>
      </c>
      <c r="B127" s="5" t="s">
        <v>7284</v>
      </c>
      <c r="C127" t="str">
        <f>IF(B127="","",IFERROR(INDEX(Clientes!$A:$A,MATCH(B127,Clientes!$B:$B,0)),"(CPF não cadastrado)"))</f>
        <v>Bianca Machado</v>
      </c>
      <c r="D127" s="24">
        <v>300</v>
      </c>
      <c r="E127" s="7">
        <v>30</v>
      </c>
      <c r="F127" s="7">
        <f>D127/100*LOOKUP(A127,'Regras e Parâmetros'!$A$11:$A$12,'Regras e Parâmetros'!$B$11:$B$12)</f>
        <v>15</v>
      </c>
      <c r="G127" s="7">
        <f t="shared" si="1"/>
        <v>15</v>
      </c>
      <c r="H127" t="s">
        <v>45</v>
      </c>
      <c r="J127" s="5" t="s">
        <v>1483</v>
      </c>
      <c r="K127" t="s">
        <v>9968</v>
      </c>
    </row>
    <row r="128" spans="1:11" x14ac:dyDescent="0.3">
      <c r="A128" s="1">
        <v>45790</v>
      </c>
      <c r="B128" s="5" t="s">
        <v>7898</v>
      </c>
      <c r="C128" t="str">
        <f>IF(B128="","",IFERROR(INDEX(Clientes!$A:$A,MATCH(B128,Clientes!$B:$B,0)),"(CPF não cadastrado)"))</f>
        <v>Júlia Teixeira</v>
      </c>
      <c r="D128" s="24">
        <v>1000</v>
      </c>
      <c r="E128" s="7">
        <v>100</v>
      </c>
      <c r="F128" s="7">
        <f>D128/100*LOOKUP(A128,'Regras e Parâmetros'!$A$11:$A$12,'Regras e Parâmetros'!$B$11:$B$12)</f>
        <v>50</v>
      </c>
      <c r="G128" s="7">
        <f t="shared" si="1"/>
        <v>50</v>
      </c>
      <c r="H128" t="s">
        <v>45</v>
      </c>
      <c r="J128" s="5" t="s">
        <v>2564</v>
      </c>
      <c r="K128" t="s">
        <v>9968</v>
      </c>
    </row>
    <row r="129" spans="1:11" x14ac:dyDescent="0.3">
      <c r="A129" s="1">
        <v>45791</v>
      </c>
      <c r="B129" s="5" t="s">
        <v>8056</v>
      </c>
      <c r="C129" t="str">
        <f>IF(B129="","",IFERROR(INDEX(Clientes!$A:$A,MATCH(B129,Clientes!$B:$B,0)),"(CPF não cadastrado)"))</f>
        <v>Renata Correia Moreira</v>
      </c>
      <c r="D129" s="24">
        <v>300</v>
      </c>
      <c r="E129" s="7">
        <v>30</v>
      </c>
      <c r="F129" s="7">
        <f>D129/100*LOOKUP(A129,'Regras e Parâmetros'!$A$11:$A$12,'Regras e Parâmetros'!$B$11:$B$12)</f>
        <v>15</v>
      </c>
      <c r="G129" s="7">
        <f t="shared" si="1"/>
        <v>15</v>
      </c>
      <c r="H129" t="s">
        <v>110</v>
      </c>
      <c r="J129" s="5" t="s">
        <v>2876</v>
      </c>
      <c r="K129" t="s">
        <v>9968</v>
      </c>
    </row>
    <row r="130" spans="1:11" x14ac:dyDescent="0.3">
      <c r="A130" s="1">
        <v>45792</v>
      </c>
      <c r="B130" s="5" t="s">
        <v>690</v>
      </c>
      <c r="C130" t="str">
        <f>IF(B130="","",IFERROR(INDEX(Clientes!$A:$A,MATCH(B130,Clientes!$B:$B,0)),"(CPF não cadastrado)"))</f>
        <v>Rodrigo Rodrigues</v>
      </c>
      <c r="D130" s="24">
        <v>800</v>
      </c>
      <c r="E130" s="7">
        <v>80</v>
      </c>
      <c r="F130" s="7">
        <f>D130/100*LOOKUP(A130,'Regras e Parâmetros'!$A$11:$A$12,'Regras e Parâmetros'!$B$11:$B$12)</f>
        <v>40</v>
      </c>
      <c r="G130" s="7">
        <f t="shared" si="1"/>
        <v>40</v>
      </c>
      <c r="H130" t="s">
        <v>45</v>
      </c>
      <c r="J130" s="5" t="s">
        <v>6156</v>
      </c>
      <c r="K130" t="s">
        <v>9968</v>
      </c>
    </row>
    <row r="131" spans="1:11" x14ac:dyDescent="0.3">
      <c r="A131" s="1">
        <v>45792</v>
      </c>
      <c r="B131" s="5" t="s">
        <v>6072</v>
      </c>
      <c r="C131" t="str">
        <f>IF(B131="","",IFERROR(INDEX(Clientes!$A:$A,MATCH(B131,Clientes!$B:$B,0)),"(CPF não cadastrado)"))</f>
        <v>Miguel Cavalcanti Rezende</v>
      </c>
      <c r="D131" s="24">
        <v>500</v>
      </c>
      <c r="E131" s="7">
        <v>50</v>
      </c>
      <c r="F131" s="7">
        <f>D131/100*LOOKUP(A131,'Regras e Parâmetros'!$A$11:$A$12,'Regras e Parâmetros'!$B$11:$B$12)</f>
        <v>25</v>
      </c>
      <c r="G131" s="7">
        <f t="shared" ref="G131:G194" si="2">E131-F131</f>
        <v>25</v>
      </c>
      <c r="H131" t="s">
        <v>45</v>
      </c>
      <c r="J131" s="5" t="s">
        <v>6157</v>
      </c>
      <c r="K131" t="s">
        <v>9968</v>
      </c>
    </row>
    <row r="132" spans="1:11" x14ac:dyDescent="0.3">
      <c r="A132" s="1">
        <v>45794</v>
      </c>
      <c r="B132" s="5" t="s">
        <v>7342</v>
      </c>
      <c r="C132" t="str">
        <f>IF(B132="","",IFERROR(INDEX(Clientes!$A:$A,MATCH(B132,Clientes!$B:$B,0)),"(CPF não cadastrado)"))</f>
        <v>Helena Nascimento</v>
      </c>
      <c r="D132" s="24">
        <v>500</v>
      </c>
      <c r="E132" s="7">
        <v>50</v>
      </c>
      <c r="F132" s="7">
        <f>D132/100*LOOKUP(A132,'Regras e Parâmetros'!$A$11:$A$12,'Regras e Parâmetros'!$B$11:$B$12)</f>
        <v>25</v>
      </c>
      <c r="G132" s="7">
        <f t="shared" si="2"/>
        <v>25</v>
      </c>
      <c r="H132" t="s">
        <v>45</v>
      </c>
      <c r="J132" s="5" t="s">
        <v>6158</v>
      </c>
      <c r="K132" t="s">
        <v>9968</v>
      </c>
    </row>
    <row r="133" spans="1:11" x14ac:dyDescent="0.3">
      <c r="A133" s="1">
        <v>45799</v>
      </c>
      <c r="B133" s="5" t="s">
        <v>1918</v>
      </c>
      <c r="C133" t="str">
        <f>IF(B133="","",IFERROR(INDEX(Clientes!$A:$A,MATCH(B133,Clientes!$B:$B,0)),"(CPF não cadastrado)"))</f>
        <v>Camila Alves</v>
      </c>
      <c r="D133" s="24">
        <v>1000</v>
      </c>
      <c r="E133" s="7">
        <v>100</v>
      </c>
      <c r="F133" s="7">
        <f>D133/100*LOOKUP(A133,'Regras e Parâmetros'!$A$11:$A$12,'Regras e Parâmetros'!$B$11:$B$12)</f>
        <v>50</v>
      </c>
      <c r="G133" s="7">
        <f t="shared" si="2"/>
        <v>50</v>
      </c>
      <c r="H133" t="s">
        <v>18</v>
      </c>
      <c r="J133" s="5" t="s">
        <v>6159</v>
      </c>
      <c r="K133" t="s">
        <v>9968</v>
      </c>
    </row>
    <row r="134" spans="1:11" x14ac:dyDescent="0.3">
      <c r="A134" s="1">
        <v>45799</v>
      </c>
      <c r="B134" s="5" t="s">
        <v>6584</v>
      </c>
      <c r="C134" t="str">
        <f>IF(B134="","",IFERROR(INDEX(Clientes!$A:$A,MATCH(B134,Clientes!$B:$B,0)),"(CPF não cadastrado)"))</f>
        <v>Manuela Vieira</v>
      </c>
      <c r="D134" s="24">
        <v>300</v>
      </c>
      <c r="E134" s="7">
        <v>30</v>
      </c>
      <c r="F134" s="7">
        <f>D134/100*LOOKUP(A134,'Regras e Parâmetros'!$A$11:$A$12,'Regras e Parâmetros'!$B$11:$B$12)</f>
        <v>15</v>
      </c>
      <c r="G134" s="7">
        <f t="shared" si="2"/>
        <v>15</v>
      </c>
      <c r="H134" t="s">
        <v>45</v>
      </c>
      <c r="J134" s="5" t="s">
        <v>6160</v>
      </c>
      <c r="K134" t="s">
        <v>9968</v>
      </c>
    </row>
    <row r="135" spans="1:11" x14ac:dyDescent="0.3">
      <c r="A135" s="1">
        <v>45804</v>
      </c>
      <c r="B135" s="5" t="s">
        <v>6681</v>
      </c>
      <c r="C135" t="str">
        <f>IF(B135="","",IFERROR(INDEX(Clientes!$A:$A,MATCH(B135,Clientes!$B:$B,0)),"(CPF não cadastrado)"))</f>
        <v>Isabela Rodrigues Peixoto</v>
      </c>
      <c r="D135" s="24">
        <v>1000</v>
      </c>
      <c r="E135" s="7">
        <v>50</v>
      </c>
      <c r="F135" s="7">
        <f>D135/100*LOOKUP(A135,'Regras e Parâmetros'!$A$11:$A$12,'Regras e Parâmetros'!$B$11:$B$12)</f>
        <v>50</v>
      </c>
      <c r="G135" s="7">
        <f t="shared" si="2"/>
        <v>0</v>
      </c>
      <c r="H135" t="s">
        <v>18</v>
      </c>
      <c r="I135" t="s">
        <v>6145</v>
      </c>
      <c r="J135" s="5" t="s">
        <v>6161</v>
      </c>
      <c r="K135" t="s">
        <v>9969</v>
      </c>
    </row>
    <row r="136" spans="1:11" x14ac:dyDescent="0.3">
      <c r="A136" s="1">
        <v>45804</v>
      </c>
      <c r="B136" s="5" t="s">
        <v>7585</v>
      </c>
      <c r="C136" t="str">
        <f>IF(B136="","",IFERROR(INDEX(Clientes!$A:$A,MATCH(B136,Clientes!$B:$B,0)),"(CPF não cadastrado)"))</f>
        <v>Eduarda Goncalves</v>
      </c>
      <c r="D136" s="24">
        <v>1200</v>
      </c>
      <c r="E136" s="7">
        <v>120</v>
      </c>
      <c r="F136" s="7">
        <f>D136/100*LOOKUP(A136,'Regras e Parâmetros'!$A$11:$A$12,'Regras e Parâmetros'!$B$11:$B$12)</f>
        <v>60</v>
      </c>
      <c r="G136" s="7">
        <f t="shared" si="2"/>
        <v>60</v>
      </c>
      <c r="H136" t="s">
        <v>45</v>
      </c>
      <c r="J136" s="5" t="s">
        <v>6162</v>
      </c>
      <c r="K136" t="s">
        <v>9968</v>
      </c>
    </row>
    <row r="137" spans="1:11" x14ac:dyDescent="0.3">
      <c r="A137" s="1">
        <v>45805</v>
      </c>
      <c r="B137" s="5" t="s">
        <v>7840</v>
      </c>
      <c r="C137" t="str">
        <f>IF(B137="","",IFERROR(INDEX(Clientes!$A:$A,MATCH(B137,Clientes!$B:$B,0)),"(CPF não cadastrado)"))</f>
        <v>Melissa Rocha Alves</v>
      </c>
      <c r="D137" s="24">
        <v>1500</v>
      </c>
      <c r="E137" s="7">
        <v>150</v>
      </c>
      <c r="F137" s="7">
        <f>D137/100*LOOKUP(A137,'Regras e Parâmetros'!$A$11:$A$12,'Regras e Parâmetros'!$B$11:$B$12)</f>
        <v>75</v>
      </c>
      <c r="G137" s="7">
        <f t="shared" si="2"/>
        <v>75</v>
      </c>
      <c r="H137" t="s">
        <v>45</v>
      </c>
      <c r="J137" s="5" t="s">
        <v>6163</v>
      </c>
      <c r="K137" t="s">
        <v>9968</v>
      </c>
    </row>
    <row r="138" spans="1:11" x14ac:dyDescent="0.3">
      <c r="A138" s="1">
        <v>45806</v>
      </c>
      <c r="B138" s="5" t="s">
        <v>7183</v>
      </c>
      <c r="C138" t="str">
        <f>IF(B138="","",IFERROR(INDEX(Clientes!$A:$A,MATCH(B138,Clientes!$B:$B,0)),"(CPF não cadastrado)"))</f>
        <v>Nicole Nunes Vieira</v>
      </c>
      <c r="D138" s="24">
        <v>1000</v>
      </c>
      <c r="E138" s="7">
        <v>100</v>
      </c>
      <c r="F138" s="7">
        <f>D138/100*LOOKUP(A138,'Regras e Parâmetros'!$A$11:$A$12,'Regras e Parâmetros'!$B$11:$B$12)</f>
        <v>50</v>
      </c>
      <c r="G138" s="7">
        <f t="shared" si="2"/>
        <v>50</v>
      </c>
      <c r="H138" t="s">
        <v>45</v>
      </c>
      <c r="J138" s="5" t="s">
        <v>1330</v>
      </c>
      <c r="K138" t="s">
        <v>9968</v>
      </c>
    </row>
    <row r="139" spans="1:11" x14ac:dyDescent="0.3">
      <c r="A139" s="1">
        <v>45808</v>
      </c>
      <c r="B139" s="5" t="s">
        <v>6550</v>
      </c>
      <c r="C139" t="str">
        <f>IF(B139="","",IFERROR(INDEX(Clientes!$A:$A,MATCH(B139,Clientes!$B:$B,0)),"(CPF não cadastrado)"))</f>
        <v>Sabrina Campos</v>
      </c>
      <c r="D139" s="24">
        <v>1500</v>
      </c>
      <c r="E139" s="7">
        <v>150</v>
      </c>
      <c r="F139" s="7">
        <f>D139/100*LOOKUP(A139,'Regras e Parâmetros'!$A$11:$A$12,'Regras e Parâmetros'!$B$11:$B$12)</f>
        <v>75</v>
      </c>
      <c r="G139" s="7">
        <f t="shared" si="2"/>
        <v>75</v>
      </c>
      <c r="H139" t="s">
        <v>18</v>
      </c>
      <c r="J139" s="5" t="s">
        <v>6164</v>
      </c>
      <c r="K139" t="s">
        <v>9968</v>
      </c>
    </row>
    <row r="140" spans="1:11" x14ac:dyDescent="0.3">
      <c r="A140" s="1">
        <v>45808</v>
      </c>
      <c r="B140" s="5" t="s">
        <v>2608</v>
      </c>
      <c r="C140" t="str">
        <f>IF(B140="","",IFERROR(INDEX(Clientes!$A:$A,MATCH(B140,Clientes!$B:$B,0)),"(CPF não cadastrado)"))</f>
        <v>Rodrigo Nunes Dias</v>
      </c>
      <c r="D140" s="24">
        <v>300</v>
      </c>
      <c r="E140" s="7">
        <v>30</v>
      </c>
      <c r="F140" s="7">
        <f>D140/100*LOOKUP(A140,'Regras e Parâmetros'!$A$11:$A$12,'Regras e Parâmetros'!$B$11:$B$12)</f>
        <v>15</v>
      </c>
      <c r="G140" s="7">
        <f t="shared" si="2"/>
        <v>15</v>
      </c>
      <c r="H140" t="s">
        <v>22</v>
      </c>
      <c r="J140" s="5" t="s">
        <v>6165</v>
      </c>
      <c r="K140" t="s">
        <v>9968</v>
      </c>
    </row>
    <row r="141" spans="1:11" x14ac:dyDescent="0.3">
      <c r="A141" s="1">
        <v>45808</v>
      </c>
      <c r="B141" s="5" t="s">
        <v>8190</v>
      </c>
      <c r="C141" t="str">
        <f>IF(B141="","",IFERROR(INDEX(Clientes!$A:$A,MATCH(B141,Clientes!$B:$B,0)),"(CPF não cadastrado)"))</f>
        <v>Carolina Silva Monteiro</v>
      </c>
      <c r="D141" s="24">
        <v>1000</v>
      </c>
      <c r="E141" s="7">
        <v>100</v>
      </c>
      <c r="F141" s="7">
        <f>D141/100*LOOKUP(A141,'Regras e Parâmetros'!$A$11:$A$12,'Regras e Parâmetros'!$B$11:$B$12)</f>
        <v>50</v>
      </c>
      <c r="G141" s="7">
        <f t="shared" si="2"/>
        <v>50</v>
      </c>
      <c r="H141" t="s">
        <v>45</v>
      </c>
      <c r="J141" s="5" t="s">
        <v>3159</v>
      </c>
      <c r="K141" t="s">
        <v>9968</v>
      </c>
    </row>
    <row r="142" spans="1:11" x14ac:dyDescent="0.3">
      <c r="A142" s="1">
        <v>45811</v>
      </c>
      <c r="B142" s="5" t="s">
        <v>8204</v>
      </c>
      <c r="C142" t="str">
        <f>IF(B142="","",IFERROR(INDEX(Clientes!$A:$A,MATCH(B142,Clientes!$B:$B,0)),"(CPF não cadastrado)"))</f>
        <v>Vinícius Barros Gomes</v>
      </c>
      <c r="D142" s="24">
        <v>1200</v>
      </c>
      <c r="E142" s="7">
        <v>60</v>
      </c>
      <c r="F142" s="7">
        <f>D142/100*LOOKUP(A142,'Regras e Parâmetros'!$A$11:$A$12,'Regras e Parâmetros'!$B$11:$B$12)</f>
        <v>60</v>
      </c>
      <c r="G142" s="7">
        <f t="shared" si="2"/>
        <v>0</v>
      </c>
      <c r="H142" t="s">
        <v>100</v>
      </c>
      <c r="I142" t="s">
        <v>9970</v>
      </c>
      <c r="J142" s="5" t="s">
        <v>3194</v>
      </c>
      <c r="K142" t="s">
        <v>9969</v>
      </c>
    </row>
    <row r="143" spans="1:11" x14ac:dyDescent="0.3">
      <c r="A143" s="1">
        <v>45811</v>
      </c>
      <c r="B143" s="5" t="s">
        <v>6859</v>
      </c>
      <c r="C143" t="str">
        <f>IF(B143="","",IFERROR(INDEX(Clientes!$A:$A,MATCH(B143,Clientes!$B:$B,0)),"(CPF não cadastrado)"))</f>
        <v>Gustavo Farias Fonseca</v>
      </c>
      <c r="D143" s="24">
        <v>1000</v>
      </c>
      <c r="E143" s="7">
        <v>100</v>
      </c>
      <c r="F143" s="7">
        <f>D143/100*LOOKUP(A143,'Regras e Parâmetros'!$A$11:$A$12,'Regras e Parâmetros'!$B$11:$B$12)</f>
        <v>50</v>
      </c>
      <c r="G143" s="7">
        <f t="shared" si="2"/>
        <v>50</v>
      </c>
      <c r="H143" t="s">
        <v>45</v>
      </c>
      <c r="J143" s="5" t="s">
        <v>6166</v>
      </c>
      <c r="K143" t="s">
        <v>9968</v>
      </c>
    </row>
    <row r="144" spans="1:11" x14ac:dyDescent="0.3">
      <c r="A144" s="1">
        <v>45812</v>
      </c>
      <c r="B144" s="5" t="s">
        <v>6228</v>
      </c>
      <c r="C144" t="str">
        <f>IF(B144="","",IFERROR(INDEX(Clientes!$A:$A,MATCH(B144,Clientes!$B:$B,0)),"(CPF não cadastrado)"))</f>
        <v>Melissa Mendes Moreira</v>
      </c>
      <c r="D144" s="24">
        <v>500</v>
      </c>
      <c r="E144" s="7">
        <v>25</v>
      </c>
      <c r="F144" s="7">
        <f>D144/100*LOOKUP(A144,'Regras e Parâmetros'!$A$11:$A$12,'Regras e Parâmetros'!$B$11:$B$12)</f>
        <v>25</v>
      </c>
      <c r="G144" s="7">
        <f t="shared" si="2"/>
        <v>0</v>
      </c>
      <c r="H144" t="s">
        <v>110</v>
      </c>
      <c r="I144" t="s">
        <v>9971</v>
      </c>
      <c r="J144" s="5" t="s">
        <v>6167</v>
      </c>
      <c r="K144" t="s">
        <v>10277</v>
      </c>
    </row>
    <row r="145" spans="1:11" x14ac:dyDescent="0.3">
      <c r="A145" s="1">
        <v>45812</v>
      </c>
      <c r="B145" s="5" t="s">
        <v>2166</v>
      </c>
      <c r="C145" t="str">
        <f>IF(B145="","",IFERROR(INDEX(Clientes!$A:$A,MATCH(B145,Clientes!$B:$B,0)),"(CPF não cadastrado)"))</f>
        <v>Bruno Costa</v>
      </c>
      <c r="D145" s="24">
        <v>500</v>
      </c>
      <c r="E145" s="7">
        <v>50</v>
      </c>
      <c r="F145" s="7">
        <f>D145/100*LOOKUP(A145,'Regras e Parâmetros'!$A$11:$A$12,'Regras e Parâmetros'!$B$11:$B$12)</f>
        <v>25</v>
      </c>
      <c r="G145" s="7">
        <f t="shared" si="2"/>
        <v>25</v>
      </c>
      <c r="H145" t="s">
        <v>45</v>
      </c>
      <c r="J145" s="5" t="s">
        <v>6168</v>
      </c>
      <c r="K145" t="s">
        <v>9968</v>
      </c>
    </row>
    <row r="146" spans="1:11" x14ac:dyDescent="0.3">
      <c r="A146" s="1">
        <v>45812</v>
      </c>
      <c r="B146" s="5" t="s">
        <v>7138</v>
      </c>
      <c r="C146" t="str">
        <f>IF(B146="","",IFERROR(INDEX(Clientes!$A:$A,MATCH(B146,Clientes!$B:$B,0)),"(CPF não cadastrado)"))</f>
        <v>Yuri Freitas Andrade</v>
      </c>
      <c r="D146" s="24">
        <v>500</v>
      </c>
      <c r="E146" s="7">
        <v>50</v>
      </c>
      <c r="F146" s="7">
        <f>D146/100*LOOKUP(A146,'Regras e Parâmetros'!$A$11:$A$12,'Regras e Parâmetros'!$B$11:$B$12)</f>
        <v>25</v>
      </c>
      <c r="G146" s="7">
        <f t="shared" si="2"/>
        <v>25</v>
      </c>
      <c r="H146" t="s">
        <v>45</v>
      </c>
      <c r="J146" s="5" t="s">
        <v>1290</v>
      </c>
      <c r="K146" t="s">
        <v>9968</v>
      </c>
    </row>
    <row r="147" spans="1:11" x14ac:dyDescent="0.3">
      <c r="A147" s="1">
        <v>45816</v>
      </c>
      <c r="B147" s="5" t="s">
        <v>3227</v>
      </c>
      <c r="C147" t="str">
        <f>IF(B147="","",IFERROR(INDEX(Clientes!$A:$A,MATCH(B147,Clientes!$B:$B,0)),"(CPF não cadastrado)"))</f>
        <v>Vitória Almeida</v>
      </c>
      <c r="D147" s="24">
        <v>2000</v>
      </c>
      <c r="E147" s="7">
        <v>200</v>
      </c>
      <c r="F147" s="7">
        <f>D147/100*LOOKUP(A147,'Regras e Parâmetros'!$A$11:$A$12,'Regras e Parâmetros'!$B$11:$B$12)</f>
        <v>100</v>
      </c>
      <c r="G147" s="7">
        <f t="shared" si="2"/>
        <v>100</v>
      </c>
      <c r="H147" t="s">
        <v>110</v>
      </c>
      <c r="J147" s="5" t="s">
        <v>6169</v>
      </c>
      <c r="K147" t="s">
        <v>9968</v>
      </c>
    </row>
    <row r="148" spans="1:11" x14ac:dyDescent="0.3">
      <c r="A148" s="1">
        <v>45817</v>
      </c>
      <c r="B148" s="5" t="s">
        <v>8410</v>
      </c>
      <c r="C148" t="str">
        <f>IF(B148="","",IFERROR(INDEX(Clientes!$A:$A,MATCH(B148,Clientes!$B:$B,0)),"(CPF não cadastrado)"))</f>
        <v>Miguel Batista Costa</v>
      </c>
      <c r="D148" s="24">
        <v>1000</v>
      </c>
      <c r="E148" s="7">
        <v>100</v>
      </c>
      <c r="F148" s="7">
        <f>D148/100*LOOKUP(A148,'Regras e Parâmetros'!$A$11:$A$12,'Regras e Parâmetros'!$B$11:$B$12)</f>
        <v>50</v>
      </c>
      <c r="G148" s="7">
        <f t="shared" si="2"/>
        <v>50</v>
      </c>
      <c r="H148" t="s">
        <v>45</v>
      </c>
      <c r="J148" s="5" t="s">
        <v>6170</v>
      </c>
      <c r="K148" t="s">
        <v>9968</v>
      </c>
    </row>
    <row r="149" spans="1:11" x14ac:dyDescent="0.3">
      <c r="A149" s="1">
        <v>45818</v>
      </c>
      <c r="B149" s="5" t="s">
        <v>7372</v>
      </c>
      <c r="C149" t="str">
        <f>IF(B149="","",IFERROR(INDEX(Clientes!$A:$A,MATCH(B149,Clientes!$B:$B,0)),"(CPF não cadastrado)"))</f>
        <v>Letícia Dias Tavares</v>
      </c>
      <c r="D149" s="24">
        <v>1000</v>
      </c>
      <c r="E149" s="7">
        <v>100</v>
      </c>
      <c r="F149" s="7">
        <f>D149/100*LOOKUP(A149,'Regras e Parâmetros'!$A$11:$A$12,'Regras e Parâmetros'!$B$11:$B$12)</f>
        <v>50</v>
      </c>
      <c r="G149" s="7">
        <f t="shared" si="2"/>
        <v>50</v>
      </c>
      <c r="H149" t="s">
        <v>110</v>
      </c>
      <c r="J149" s="5" t="s">
        <v>3033</v>
      </c>
      <c r="K149" t="s">
        <v>9968</v>
      </c>
    </row>
    <row r="150" spans="1:11" x14ac:dyDescent="0.3">
      <c r="A150" s="1">
        <v>45820</v>
      </c>
      <c r="B150" s="5" t="s">
        <v>2712</v>
      </c>
      <c r="C150" t="str">
        <f>IF(B150="","",IFERROR(INDEX(Clientes!$A:$A,MATCH(B150,Clientes!$B:$B,0)),"(CPF não cadastrado)"))</f>
        <v>Tainá Silva</v>
      </c>
      <c r="D150" s="24">
        <v>800</v>
      </c>
      <c r="E150" s="7">
        <v>80</v>
      </c>
      <c r="F150" s="7">
        <f>D150/100*LOOKUP(A150,'Regras e Parâmetros'!$A$11:$A$12,'Regras e Parâmetros'!$B$11:$B$12)</f>
        <v>40</v>
      </c>
      <c r="G150" s="7">
        <f t="shared" si="2"/>
        <v>40</v>
      </c>
      <c r="H150" t="s">
        <v>45</v>
      </c>
      <c r="J150" s="5" t="s">
        <v>6171</v>
      </c>
      <c r="K150" t="s">
        <v>9968</v>
      </c>
    </row>
    <row r="151" spans="1:11" x14ac:dyDescent="0.3">
      <c r="A151" s="1">
        <v>45820</v>
      </c>
      <c r="B151" s="5" t="s">
        <v>2555</v>
      </c>
      <c r="C151" t="str">
        <f>IF(B151="","",IFERROR(INDEX(Clientes!$A:$A,MATCH(B151,Clientes!$B:$B,0)),"(CPF não cadastrado)"))</f>
        <v>Arthur Nunes</v>
      </c>
      <c r="D151" s="24">
        <v>600</v>
      </c>
      <c r="E151" s="7">
        <v>60</v>
      </c>
      <c r="F151" s="7">
        <f>D151/100*LOOKUP(A151,'Regras e Parâmetros'!$A$11:$A$12,'Regras e Parâmetros'!$B$11:$B$12)</f>
        <v>30</v>
      </c>
      <c r="G151" s="7">
        <f t="shared" si="2"/>
        <v>30</v>
      </c>
      <c r="H151" t="s">
        <v>45</v>
      </c>
      <c r="J151" s="5" t="s">
        <v>6172</v>
      </c>
      <c r="K151" t="s">
        <v>9968</v>
      </c>
    </row>
    <row r="152" spans="1:11" x14ac:dyDescent="0.3">
      <c r="A152" s="1">
        <v>45822</v>
      </c>
      <c r="B152" s="5" t="s">
        <v>7820</v>
      </c>
      <c r="C152" t="str">
        <f>IF(B152="","",IFERROR(INDEX(Clientes!$A:$A,MATCH(B152,Clientes!$B:$B,0)),"(CPF não cadastrado)"))</f>
        <v>Samuel Silva Marques</v>
      </c>
      <c r="D152" s="24">
        <v>2000</v>
      </c>
      <c r="E152" s="7">
        <v>200</v>
      </c>
      <c r="F152" s="7">
        <f>D152/100*LOOKUP(A152,'Regras e Parâmetros'!$A$11:$A$12,'Regras e Parâmetros'!$B$11:$B$12)</f>
        <v>100</v>
      </c>
      <c r="G152" s="7">
        <f t="shared" si="2"/>
        <v>100</v>
      </c>
      <c r="H152" t="s">
        <v>18</v>
      </c>
      <c r="J152" s="5" t="s">
        <v>6054</v>
      </c>
      <c r="K152" t="s">
        <v>9968</v>
      </c>
    </row>
    <row r="153" spans="1:11" x14ac:dyDescent="0.3">
      <c r="A153" s="1">
        <v>45823</v>
      </c>
      <c r="B153" s="5" t="s">
        <v>6780</v>
      </c>
      <c r="C153" t="str">
        <f>IF(B153="","",IFERROR(INDEX(Clientes!$A:$A,MATCH(B153,Clientes!$B:$B,0)),"(CPF não cadastrado)"))</f>
        <v>Melissa Tavares</v>
      </c>
      <c r="D153" s="24">
        <v>500</v>
      </c>
      <c r="E153" s="7">
        <v>50</v>
      </c>
      <c r="F153" s="7">
        <f>D153/100*LOOKUP(A153,'Regras e Parâmetros'!$A$11:$A$12,'Regras e Parâmetros'!$B$11:$B$12)</f>
        <v>25</v>
      </c>
      <c r="G153" s="7">
        <f t="shared" si="2"/>
        <v>25</v>
      </c>
      <c r="H153" t="s">
        <v>100</v>
      </c>
      <c r="J153" s="5" t="s">
        <v>6173</v>
      </c>
      <c r="K153" t="s">
        <v>9968</v>
      </c>
    </row>
    <row r="154" spans="1:11" x14ac:dyDescent="0.3">
      <c r="A154" s="1">
        <v>45823</v>
      </c>
      <c r="B154" s="5" t="s">
        <v>7898</v>
      </c>
      <c r="C154" t="str">
        <f>IF(B154="","",IFERROR(INDEX(Clientes!$A:$A,MATCH(B154,Clientes!$B:$B,0)),"(CPF não cadastrado)"))</f>
        <v>Júlia Teixeira</v>
      </c>
      <c r="D154" s="24">
        <v>700</v>
      </c>
      <c r="E154" s="7">
        <v>70</v>
      </c>
      <c r="F154" s="7">
        <f>D154/100*LOOKUP(A154,'Regras e Parâmetros'!$A$11:$A$12,'Regras e Parâmetros'!$B$11:$B$12)</f>
        <v>35</v>
      </c>
      <c r="G154" s="7">
        <f t="shared" si="2"/>
        <v>35</v>
      </c>
      <c r="H154" t="s">
        <v>45</v>
      </c>
      <c r="J154" s="5" t="s">
        <v>2564</v>
      </c>
      <c r="K154" t="s">
        <v>9968</v>
      </c>
    </row>
    <row r="155" spans="1:11" x14ac:dyDescent="0.3">
      <c r="A155" s="1">
        <v>45824</v>
      </c>
      <c r="B155" s="5" t="s">
        <v>8056</v>
      </c>
      <c r="C155" t="str">
        <f>IF(B155="","",IFERROR(INDEX(Clientes!$A:$A,MATCH(B155,Clientes!$B:$B,0)),"(CPF não cadastrado)"))</f>
        <v>Renata Correia Moreira</v>
      </c>
      <c r="D155" s="24">
        <v>300</v>
      </c>
      <c r="E155" s="7">
        <v>30</v>
      </c>
      <c r="F155" s="7">
        <f>D155/100*LOOKUP(A155,'Regras e Parâmetros'!$A$11:$A$12,'Regras e Parâmetros'!$B$11:$B$12)</f>
        <v>15</v>
      </c>
      <c r="G155" s="7">
        <f t="shared" si="2"/>
        <v>15</v>
      </c>
      <c r="H155" t="s">
        <v>45</v>
      </c>
      <c r="J155" s="5" t="s">
        <v>2876</v>
      </c>
      <c r="K155" t="s">
        <v>9968</v>
      </c>
    </row>
    <row r="156" spans="1:11" x14ac:dyDescent="0.3">
      <c r="A156" s="1">
        <v>45828</v>
      </c>
      <c r="B156" s="5" t="s">
        <v>2857</v>
      </c>
      <c r="C156" t="str">
        <f>IF(B156="","",IFERROR(INDEX(Clientes!$A:$A,MATCH(B156,Clientes!$B:$B,0)),"(CPF não cadastrado)"))</f>
        <v>Henrique Lima Santana</v>
      </c>
      <c r="D156" s="24">
        <v>2000</v>
      </c>
      <c r="E156" s="7">
        <v>200</v>
      </c>
      <c r="F156" s="7">
        <f>D156/100*LOOKUP(A156,'Regras e Parâmetros'!$A$11:$A$12,'Regras e Parâmetros'!$B$11:$B$12)</f>
        <v>100</v>
      </c>
      <c r="G156" s="7">
        <f t="shared" si="2"/>
        <v>100</v>
      </c>
      <c r="H156" t="s">
        <v>18</v>
      </c>
      <c r="J156" s="5" t="s">
        <v>6174</v>
      </c>
      <c r="K156" t="s">
        <v>9968</v>
      </c>
    </row>
    <row r="157" spans="1:11" x14ac:dyDescent="0.3">
      <c r="A157" s="1">
        <v>45828</v>
      </c>
      <c r="B157" s="5" t="s">
        <v>6175</v>
      </c>
      <c r="C157" t="str">
        <f>IF(B157="","",IFERROR(INDEX(Clientes!$A:$A,MATCH(B157,Clientes!$B:$B,0)),"(CPF não cadastrado)"))</f>
        <v>Yasmin Teixeira</v>
      </c>
      <c r="D157" s="24">
        <v>300</v>
      </c>
      <c r="E157" s="7">
        <v>15</v>
      </c>
      <c r="F157" s="7">
        <f>D157/100*LOOKUP(A157,'Regras e Parâmetros'!$A$11:$A$12,'Regras e Parâmetros'!$B$11:$B$12)</f>
        <v>15</v>
      </c>
      <c r="G157" s="7">
        <f t="shared" si="2"/>
        <v>0</v>
      </c>
      <c r="H157" t="s">
        <v>100</v>
      </c>
      <c r="I157" t="s">
        <v>6176</v>
      </c>
      <c r="J157" s="5" t="s">
        <v>6175</v>
      </c>
      <c r="K157" t="s">
        <v>9968</v>
      </c>
    </row>
    <row r="158" spans="1:11" x14ac:dyDescent="0.3">
      <c r="A158" s="1">
        <v>45830</v>
      </c>
      <c r="B158" s="5" t="s">
        <v>6654</v>
      </c>
      <c r="C158" t="str">
        <f>IF(B158="","",IFERROR(INDEX(Clientes!$A:$A,MATCH(B158,Clientes!$B:$B,0)),"(CPF não cadastrado)"))</f>
        <v>Daniela Rocha</v>
      </c>
      <c r="D158" s="24">
        <v>1000</v>
      </c>
      <c r="E158" s="7">
        <v>50</v>
      </c>
      <c r="F158" s="7">
        <f>D158/100*LOOKUP(A158,'Regras e Parâmetros'!$A$11:$A$12,'Regras e Parâmetros'!$B$11:$B$12)</f>
        <v>50</v>
      </c>
      <c r="G158" s="7">
        <f t="shared" si="2"/>
        <v>0</v>
      </c>
      <c r="H158" t="s">
        <v>22</v>
      </c>
      <c r="I158" t="s">
        <v>6321</v>
      </c>
      <c r="J158" s="5" t="s">
        <v>377</v>
      </c>
      <c r="K158" t="s">
        <v>9968</v>
      </c>
    </row>
    <row r="159" spans="1:11" x14ac:dyDescent="0.3">
      <c r="A159" s="1">
        <v>45832</v>
      </c>
      <c r="B159" s="5" t="s">
        <v>7007</v>
      </c>
      <c r="C159" t="str">
        <f>IF(B159="","",IFERROR(INDEX(Clientes!$A:$A,MATCH(B159,Clientes!$B:$B,0)),"(CPF não cadastrado)"))</f>
        <v>João Oliveira Cardoso</v>
      </c>
      <c r="D159" s="24">
        <v>2000</v>
      </c>
      <c r="E159" s="7">
        <v>100</v>
      </c>
      <c r="F159" s="7">
        <f>D159/100*LOOKUP(A159,'Regras e Parâmetros'!$A$11:$A$12,'Regras e Parâmetros'!$B$11:$B$12)</f>
        <v>100</v>
      </c>
      <c r="G159" s="7">
        <f t="shared" si="2"/>
        <v>0</v>
      </c>
      <c r="H159" t="s">
        <v>18</v>
      </c>
      <c r="I159" t="s">
        <v>6125</v>
      </c>
      <c r="J159" s="5" t="s">
        <v>6177</v>
      </c>
      <c r="K159" t="s">
        <v>10278</v>
      </c>
    </row>
    <row r="160" spans="1:11" x14ac:dyDescent="0.3">
      <c r="A160" s="1">
        <v>45834</v>
      </c>
      <c r="B160" s="5" t="s">
        <v>8190</v>
      </c>
      <c r="C160" t="str">
        <f>IF(B160="","",IFERROR(INDEX(Clientes!$A:$A,MATCH(B160,Clientes!$B:$B,0)),"(CPF não cadastrado)"))</f>
        <v>Carolina Silva Monteiro</v>
      </c>
      <c r="D160" s="24">
        <v>800</v>
      </c>
      <c r="E160" s="7">
        <v>40</v>
      </c>
      <c r="F160" s="7">
        <f>D160/100*LOOKUP(A160,'Regras e Parâmetros'!$A$11:$A$12,'Regras e Parâmetros'!$B$11:$B$12)</f>
        <v>40</v>
      </c>
      <c r="G160" s="7">
        <f t="shared" si="2"/>
        <v>0</v>
      </c>
      <c r="H160" t="s">
        <v>110</v>
      </c>
      <c r="I160" t="s">
        <v>9972</v>
      </c>
      <c r="J160" s="5" t="s">
        <v>3159</v>
      </c>
      <c r="K160" t="s">
        <v>9968</v>
      </c>
    </row>
    <row r="161" spans="1:11" x14ac:dyDescent="0.3">
      <c r="A161" s="1">
        <v>45834</v>
      </c>
      <c r="B161" s="5" t="s">
        <v>8264</v>
      </c>
      <c r="C161" t="str">
        <f>IF(B161="","",IFERROR(INDEX(Clientes!$A:$A,MATCH(B161,Clientes!$B:$B,0)),"(CPF não cadastrado)"))</f>
        <v>Heitor R. Rodrigues</v>
      </c>
      <c r="D161" s="24">
        <v>500</v>
      </c>
      <c r="E161" s="7">
        <v>50</v>
      </c>
      <c r="F161" s="7">
        <f>D161/100*LOOKUP(A161,'Regras e Parâmetros'!$A$11:$A$12,'Regras e Parâmetros'!$B$11:$B$12)</f>
        <v>25</v>
      </c>
      <c r="G161" s="7">
        <f t="shared" si="2"/>
        <v>25</v>
      </c>
      <c r="H161" t="s">
        <v>100</v>
      </c>
      <c r="J161" s="5" t="s">
        <v>6178</v>
      </c>
      <c r="K161" t="s">
        <v>9968</v>
      </c>
    </row>
    <row r="162" spans="1:11" x14ac:dyDescent="0.3">
      <c r="A162" s="1">
        <v>45834</v>
      </c>
      <c r="B162" s="5" t="s">
        <v>6689</v>
      </c>
      <c r="C162" t="str">
        <f>IF(B162="","",IFERROR(INDEX(Clientes!$A:$A,MATCH(B162,Clientes!$B:$B,0)),"(CPF não cadastrado)"))</f>
        <v>Clara Campos</v>
      </c>
      <c r="D162" s="24">
        <v>500</v>
      </c>
      <c r="E162" s="7">
        <v>50</v>
      </c>
      <c r="F162" s="7">
        <f>D162/100*LOOKUP(A162,'Regras e Parâmetros'!$A$11:$A$12,'Regras e Parâmetros'!$B$11:$B$12)</f>
        <v>25</v>
      </c>
      <c r="G162" s="7">
        <f t="shared" si="2"/>
        <v>25</v>
      </c>
      <c r="H162" t="s">
        <v>45</v>
      </c>
      <c r="J162" s="5" t="s">
        <v>6179</v>
      </c>
      <c r="K162" t="s">
        <v>9968</v>
      </c>
    </row>
    <row r="163" spans="1:11" x14ac:dyDescent="0.3">
      <c r="A163" s="1">
        <v>45835</v>
      </c>
      <c r="B163" s="5" t="s">
        <v>6972</v>
      </c>
      <c r="C163" t="str">
        <f>IF(B163="","",IFERROR(INDEX(Clientes!$A:$A,MATCH(B163,Clientes!$B:$B,0)),"(CPF não cadastrado)"))</f>
        <v>Arthur Rocha</v>
      </c>
      <c r="D163" s="24">
        <v>500</v>
      </c>
      <c r="E163" s="7">
        <v>50</v>
      </c>
      <c r="F163" s="7">
        <f>D163/100*LOOKUP(A163,'Regras e Parâmetros'!$A$11:$A$12,'Regras e Parâmetros'!$B$11:$B$12)</f>
        <v>25</v>
      </c>
      <c r="G163" s="7">
        <f t="shared" si="2"/>
        <v>25</v>
      </c>
      <c r="H163" t="s">
        <v>45</v>
      </c>
      <c r="J163" s="5" t="s">
        <v>6180</v>
      </c>
      <c r="K163" t="s">
        <v>9968</v>
      </c>
    </row>
    <row r="164" spans="1:11" x14ac:dyDescent="0.3">
      <c r="A164" s="1">
        <v>45836</v>
      </c>
      <c r="B164" s="5" t="s">
        <v>8557</v>
      </c>
      <c r="C164" t="str">
        <f>IF(B164="","",IFERROR(INDEX(Clientes!$A:$A,MATCH(B164,Clientes!$B:$B,0)),"(CPF não cadastrado)"))</f>
        <v>Lívia Correia</v>
      </c>
      <c r="D164" s="24">
        <v>300</v>
      </c>
      <c r="E164" s="7">
        <v>30</v>
      </c>
      <c r="F164" s="7">
        <f>D164/100*LOOKUP(A164,'Regras e Parâmetros'!$A$11:$A$12,'Regras e Parâmetros'!$B$11:$B$12)</f>
        <v>15</v>
      </c>
      <c r="G164" s="7">
        <f t="shared" si="2"/>
        <v>15</v>
      </c>
      <c r="H164" t="s">
        <v>100</v>
      </c>
      <c r="J164" s="5" t="s">
        <v>6181</v>
      </c>
      <c r="K164" t="s">
        <v>9968</v>
      </c>
    </row>
    <row r="165" spans="1:11" x14ac:dyDescent="0.3">
      <c r="A165" s="1">
        <v>45837</v>
      </c>
      <c r="B165" s="5" t="s">
        <v>6182</v>
      </c>
      <c r="C165" t="str">
        <f>IF(B165="","",IFERROR(INDEX(Clientes!$A:$A,MATCH(B165,Clientes!$B:$B,0)),"(CPF não cadastrado)"))</f>
        <v>Rebeca Teixeira Vieira</v>
      </c>
      <c r="D165" s="24">
        <v>1500</v>
      </c>
      <c r="E165" s="7">
        <v>75</v>
      </c>
      <c r="F165" s="7">
        <f>D165/100*LOOKUP(A165,'Regras e Parâmetros'!$A$11:$A$12,'Regras e Parâmetros'!$B$11:$B$12)</f>
        <v>75</v>
      </c>
      <c r="G165" s="7">
        <f t="shared" si="2"/>
        <v>0</v>
      </c>
      <c r="H165" t="s">
        <v>22</v>
      </c>
      <c r="I165" t="s">
        <v>9973</v>
      </c>
      <c r="J165" s="5" t="s">
        <v>6182</v>
      </c>
      <c r="K165" t="s">
        <v>9968</v>
      </c>
    </row>
    <row r="166" spans="1:11" x14ac:dyDescent="0.3">
      <c r="A166" s="1">
        <v>45837</v>
      </c>
      <c r="B166" s="5" t="s">
        <v>7717</v>
      </c>
      <c r="C166" t="str">
        <f>IF(B166="","",IFERROR(INDEX(Clientes!$A:$A,MATCH(B166,Clientes!$B:$B,0)),"(CPF não cadastrado)"))</f>
        <v>Gabriela Ferreira Peixoto</v>
      </c>
      <c r="D166" s="24">
        <v>1000</v>
      </c>
      <c r="E166" s="7">
        <v>100</v>
      </c>
      <c r="F166" s="7">
        <f>D166/100*LOOKUP(A166,'Regras e Parâmetros'!$A$11:$A$12,'Regras e Parâmetros'!$B$11:$B$12)</f>
        <v>50</v>
      </c>
      <c r="G166" s="7">
        <f t="shared" si="2"/>
        <v>50</v>
      </c>
      <c r="H166" t="s">
        <v>45</v>
      </c>
      <c r="J166" s="5" t="s">
        <v>6183</v>
      </c>
      <c r="K166" t="s">
        <v>9968</v>
      </c>
    </row>
    <row r="167" spans="1:11" x14ac:dyDescent="0.3">
      <c r="A167" s="1">
        <v>45837</v>
      </c>
      <c r="B167" s="5" t="s">
        <v>6584</v>
      </c>
      <c r="C167" t="str">
        <f>IF(B167="","",IFERROR(INDEX(Clientes!$A:$A,MATCH(B167,Clientes!$B:$B,0)),"(CPF não cadastrado)"))</f>
        <v>Manuela Vieira</v>
      </c>
      <c r="D167" s="24">
        <v>500</v>
      </c>
      <c r="E167" s="7">
        <v>50</v>
      </c>
      <c r="F167" s="7">
        <f>D167/100*LOOKUP(A167,'Regras e Parâmetros'!$A$11:$A$12,'Regras e Parâmetros'!$B$11:$B$12)</f>
        <v>25</v>
      </c>
      <c r="G167" s="7">
        <f t="shared" si="2"/>
        <v>25</v>
      </c>
      <c r="H167" t="s">
        <v>45</v>
      </c>
      <c r="J167" s="5" t="s">
        <v>6160</v>
      </c>
      <c r="K167" t="s">
        <v>9968</v>
      </c>
    </row>
    <row r="168" spans="1:11" x14ac:dyDescent="0.3">
      <c r="A168" s="1">
        <v>45838</v>
      </c>
      <c r="B168" s="5" t="s">
        <v>6184</v>
      </c>
      <c r="C168" t="str">
        <f>IF(B168="","",IFERROR(INDEX(Clientes!$A:$A,MATCH(B168,Clientes!$B:$B,0)),"(CPF não cadastrado)"))</f>
        <v>Emanuelly Lima</v>
      </c>
      <c r="D168" s="24">
        <v>500</v>
      </c>
      <c r="E168" s="7">
        <v>25</v>
      </c>
      <c r="F168" s="7">
        <f>D168/100*LOOKUP(A168,'Regras e Parâmetros'!$A$11:$A$12,'Regras e Parâmetros'!$B$11:$B$12)</f>
        <v>25</v>
      </c>
      <c r="G168" s="7">
        <f t="shared" si="2"/>
        <v>0</v>
      </c>
      <c r="H168" t="s">
        <v>100</v>
      </c>
      <c r="I168" t="s">
        <v>6291</v>
      </c>
      <c r="J168" s="5" t="s">
        <v>6184</v>
      </c>
      <c r="K168" t="s">
        <v>9968</v>
      </c>
    </row>
    <row r="169" spans="1:11" x14ac:dyDescent="0.3">
      <c r="A169" s="1">
        <v>45840</v>
      </c>
      <c r="B169" s="5" t="s">
        <v>6100</v>
      </c>
      <c r="C169" t="str">
        <f>IF(B169="","",IFERROR(INDEX(Clientes!$A:$A,MATCH(B169,Clientes!$B:$B,0)),"(CPF não cadastrado)"))</f>
        <v>Jaqueline Vieira Lima</v>
      </c>
      <c r="D169" s="24">
        <v>1000</v>
      </c>
      <c r="E169" s="7">
        <v>100</v>
      </c>
      <c r="F169" s="7">
        <f>D169/100*LOOKUP(A169,'Regras e Parâmetros'!$A$11:$A$12,'Regras e Parâmetros'!$B$11:$B$12)</f>
        <v>50</v>
      </c>
      <c r="G169" s="7">
        <f t="shared" si="2"/>
        <v>50</v>
      </c>
      <c r="H169" t="s">
        <v>22</v>
      </c>
      <c r="J169" s="5" t="s">
        <v>6185</v>
      </c>
      <c r="K169" t="s">
        <v>9968</v>
      </c>
    </row>
    <row r="170" spans="1:11" x14ac:dyDescent="0.3">
      <c r="A170" s="1">
        <v>45840</v>
      </c>
      <c r="B170" s="5" t="s">
        <v>7540</v>
      </c>
      <c r="C170" t="str">
        <f>IF(B170="","",IFERROR(INDEX(Clientes!$A:$A,MATCH(B170,Clientes!$B:$B,0)),"(CPF não cadastrado)"))</f>
        <v>Jaqueline Vieira Rodrigues</v>
      </c>
      <c r="D170" s="24">
        <v>500</v>
      </c>
      <c r="E170" s="7">
        <v>50</v>
      </c>
      <c r="F170" s="7">
        <f>D170/100*LOOKUP(A170,'Regras e Parâmetros'!$A$11:$A$12,'Regras e Parâmetros'!$B$11:$B$12)</f>
        <v>25</v>
      </c>
      <c r="G170" s="7">
        <f t="shared" si="2"/>
        <v>25</v>
      </c>
      <c r="H170" t="s">
        <v>100</v>
      </c>
      <c r="J170" s="5" t="s">
        <v>6138</v>
      </c>
      <c r="K170" t="s">
        <v>9968</v>
      </c>
    </row>
    <row r="171" spans="1:11" x14ac:dyDescent="0.3">
      <c r="A171" s="1">
        <v>45845</v>
      </c>
      <c r="B171" s="5" t="s">
        <v>7010</v>
      </c>
      <c r="C171" t="str">
        <f>IF(B171="","",IFERROR(INDEX(Clientes!$A:$A,MATCH(B171,Clientes!$B:$B,0)),"(CPF não cadastrado)"))</f>
        <v>Bruna Barbosa Monteiro</v>
      </c>
      <c r="D171" s="24">
        <v>1000</v>
      </c>
      <c r="E171" s="7">
        <v>100</v>
      </c>
      <c r="F171" s="7">
        <f>D171/100*LOOKUP(A171,'Regras e Parâmetros'!$A$11:$A$12,'Regras e Parâmetros'!$B$11:$B$12)</f>
        <v>50</v>
      </c>
      <c r="G171" s="7">
        <f t="shared" si="2"/>
        <v>50</v>
      </c>
      <c r="H171" t="s">
        <v>45</v>
      </c>
      <c r="J171" s="5" t="s">
        <v>6186</v>
      </c>
      <c r="K171" t="s">
        <v>9968</v>
      </c>
    </row>
    <row r="172" spans="1:11" x14ac:dyDescent="0.3">
      <c r="A172" s="1">
        <v>45847</v>
      </c>
      <c r="B172" s="5" t="s">
        <v>7223</v>
      </c>
      <c r="C172" t="str">
        <f>IF(B172="","",IFERROR(INDEX(Clientes!$A:$A,MATCH(B172,Clientes!$B:$B,0)),"(CPF não cadastrado)"))</f>
        <v>Bianca Rocha Barbosa</v>
      </c>
      <c r="D172" s="24">
        <v>300</v>
      </c>
      <c r="E172" s="7">
        <v>30</v>
      </c>
      <c r="F172" s="7">
        <f>D172/100*LOOKUP(A172,'Regras e Parâmetros'!$A$11:$A$12,'Regras e Parâmetros'!$B$11:$B$12)</f>
        <v>15</v>
      </c>
      <c r="G172" s="7">
        <f t="shared" si="2"/>
        <v>15</v>
      </c>
      <c r="H172" t="s">
        <v>18</v>
      </c>
      <c r="J172" s="5" t="s">
        <v>6187</v>
      </c>
      <c r="K172" t="s">
        <v>9968</v>
      </c>
    </row>
    <row r="173" spans="1:11" x14ac:dyDescent="0.3">
      <c r="A173" s="1">
        <v>45848</v>
      </c>
      <c r="B173" s="5" t="s">
        <v>7192</v>
      </c>
      <c r="C173" t="str">
        <f>IF(B173="","",IFERROR(INDEX(Clientes!$A:$A,MATCH(B173,Clientes!$B:$B,0)),"(CPF não cadastrado)"))</f>
        <v>Juliana R. Rodrigues</v>
      </c>
      <c r="D173" s="24">
        <v>300</v>
      </c>
      <c r="E173" s="7">
        <v>30</v>
      </c>
      <c r="F173" s="7">
        <f>D173/100*LOOKUP(A173,'Regras e Parâmetros'!$A$11:$A$12,'Regras e Parâmetros'!$B$11:$B$12)</f>
        <v>15</v>
      </c>
      <c r="G173" s="7">
        <f t="shared" si="2"/>
        <v>15</v>
      </c>
      <c r="H173" t="s">
        <v>110</v>
      </c>
      <c r="J173" s="5" t="s">
        <v>6188</v>
      </c>
      <c r="K173" t="s">
        <v>9968</v>
      </c>
    </row>
    <row r="174" spans="1:11" x14ac:dyDescent="0.3">
      <c r="A174" s="1">
        <v>45849</v>
      </c>
      <c r="B174" s="5" t="s">
        <v>2958</v>
      </c>
      <c r="C174" t="str">
        <f>IF(B174="","",IFERROR(INDEX(Clientes!$A:$A,MATCH(B174,Clientes!$B:$B,0)),"(CPF não cadastrado)"))</f>
        <v>Rodrigo Nunes</v>
      </c>
      <c r="D174" s="24">
        <v>500</v>
      </c>
      <c r="E174" s="7">
        <v>50</v>
      </c>
      <c r="F174" s="7">
        <f>D174/100*LOOKUP(A174,'Regras e Parâmetros'!$A$11:$A$12,'Regras e Parâmetros'!$B$11:$B$12)</f>
        <v>25</v>
      </c>
      <c r="G174" s="7">
        <f t="shared" si="2"/>
        <v>25</v>
      </c>
      <c r="H174" t="s">
        <v>110</v>
      </c>
      <c r="J174" s="5" t="s">
        <v>6189</v>
      </c>
      <c r="K174" t="s">
        <v>9968</v>
      </c>
    </row>
    <row r="175" spans="1:11" x14ac:dyDescent="0.3">
      <c r="A175" s="1">
        <v>45851</v>
      </c>
      <c r="B175" s="5" t="s">
        <v>61</v>
      </c>
      <c r="C175" t="str">
        <f>IF(B175="","",IFERROR(INDEX(Clientes!$A:$A,MATCH(B175,Clientes!$B:$B,0)),"(CPF não cadastrado)"))</f>
        <v>Otávio Lopes Rodrigues</v>
      </c>
      <c r="D175" s="24">
        <v>800</v>
      </c>
      <c r="E175" s="7">
        <v>80</v>
      </c>
      <c r="F175" s="7">
        <f>D175/100*LOOKUP(A175,'Regras e Parâmetros'!$A$11:$A$12,'Regras e Parâmetros'!$B$11:$B$12)</f>
        <v>40</v>
      </c>
      <c r="G175" s="7">
        <f t="shared" si="2"/>
        <v>40</v>
      </c>
      <c r="H175" t="s">
        <v>100</v>
      </c>
      <c r="J175" s="5" t="s">
        <v>6190</v>
      </c>
      <c r="K175" t="s">
        <v>9968</v>
      </c>
    </row>
    <row r="176" spans="1:11" x14ac:dyDescent="0.3">
      <c r="A176" s="1">
        <v>45855</v>
      </c>
      <c r="B176" s="5" t="s">
        <v>1862</v>
      </c>
      <c r="C176" t="str">
        <f>IF(B176="","",IFERROR(INDEX(Clientes!$A:$A,MATCH(B176,Clientes!$B:$B,0)),"(CPF não cadastrado)"))</f>
        <v>Lívia Cardoso</v>
      </c>
      <c r="D176" s="24">
        <v>1000</v>
      </c>
      <c r="E176" s="7">
        <v>100</v>
      </c>
      <c r="F176" s="7">
        <f>D176/100*LOOKUP(A176,'Regras e Parâmetros'!$A$11:$A$12,'Regras e Parâmetros'!$B$11:$B$12)</f>
        <v>50</v>
      </c>
      <c r="G176" s="7">
        <f t="shared" si="2"/>
        <v>50</v>
      </c>
      <c r="H176" t="s">
        <v>22</v>
      </c>
      <c r="J176" s="5" t="s">
        <v>6191</v>
      </c>
      <c r="K176" t="s">
        <v>9968</v>
      </c>
    </row>
    <row r="177" spans="1:11" x14ac:dyDescent="0.3">
      <c r="A177" s="1">
        <v>45856</v>
      </c>
      <c r="B177" s="5" t="s">
        <v>1471</v>
      </c>
      <c r="C177" t="str">
        <f>IF(B177="","",IFERROR(INDEX(Clientes!$A:$A,MATCH(B177,Clientes!$B:$B,0)),"(CPF não cadastrado)"))</f>
        <v>Manuela Tavares Moura</v>
      </c>
      <c r="D177" s="24">
        <v>1000</v>
      </c>
      <c r="E177" s="7">
        <v>100</v>
      </c>
      <c r="F177" s="7">
        <f>D177/100*LOOKUP(A177,'Regras e Parâmetros'!$A$11:$A$12,'Regras e Parâmetros'!$B$11:$B$12)</f>
        <v>50</v>
      </c>
      <c r="G177" s="7">
        <f t="shared" si="2"/>
        <v>50</v>
      </c>
      <c r="H177" t="s">
        <v>18</v>
      </c>
      <c r="J177" s="5" t="s">
        <v>6030</v>
      </c>
      <c r="K177" t="s">
        <v>9968</v>
      </c>
    </row>
    <row r="178" spans="1:11" x14ac:dyDescent="0.3">
      <c r="A178" s="1">
        <v>45856</v>
      </c>
      <c r="B178" s="5" t="s">
        <v>8056</v>
      </c>
      <c r="C178" t="str">
        <f>IF(B178="","",IFERROR(INDEX(Clientes!$A:$A,MATCH(B178,Clientes!$B:$B,0)),"(CPF não cadastrado)"))</f>
        <v>Renata Correia Moreira</v>
      </c>
      <c r="D178" s="24">
        <v>1500</v>
      </c>
      <c r="E178" s="7">
        <v>150</v>
      </c>
      <c r="F178" s="7">
        <f>D178/100*LOOKUP(A178,'Regras e Parâmetros'!$A$11:$A$12,'Regras e Parâmetros'!$B$11:$B$12)</f>
        <v>75</v>
      </c>
      <c r="G178" s="7">
        <f t="shared" si="2"/>
        <v>75</v>
      </c>
      <c r="H178" t="s">
        <v>45</v>
      </c>
      <c r="J178" s="5" t="s">
        <v>2876</v>
      </c>
      <c r="K178" t="s">
        <v>9968</v>
      </c>
    </row>
    <row r="179" spans="1:11" x14ac:dyDescent="0.3">
      <c r="A179" s="1">
        <v>45857</v>
      </c>
      <c r="B179" s="5" t="s">
        <v>7268</v>
      </c>
      <c r="C179" t="str">
        <f>IF(B179="","",IFERROR(INDEX(Clientes!$A:$A,MATCH(B179,Clientes!$B:$B,0)),"(CPF não cadastrado)"))</f>
        <v>Luana Souza Gomes</v>
      </c>
      <c r="D179" s="24">
        <v>900</v>
      </c>
      <c r="E179" s="7">
        <v>45</v>
      </c>
      <c r="F179" s="7">
        <f>D179/100*LOOKUP(A179,'Regras e Parâmetros'!$A$11:$A$12,'Regras e Parâmetros'!$B$11:$B$12)</f>
        <v>45</v>
      </c>
      <c r="G179" s="7">
        <f t="shared" si="2"/>
        <v>0</v>
      </c>
      <c r="H179" t="s">
        <v>110</v>
      </c>
      <c r="I179" t="s">
        <v>9971</v>
      </c>
      <c r="J179" s="5" t="s">
        <v>6192</v>
      </c>
      <c r="K179" t="s">
        <v>9969</v>
      </c>
    </row>
    <row r="180" spans="1:11" x14ac:dyDescent="0.3">
      <c r="A180" s="1">
        <v>45859</v>
      </c>
      <c r="B180" s="5" t="s">
        <v>7208</v>
      </c>
      <c r="C180" t="str">
        <f>IF(B180="","",IFERROR(INDEX(Clientes!$A:$A,MATCH(B180,Clientes!$B:$B,0)),"(CPF não cadastrado)"))</f>
        <v>Ana Gomes Marques</v>
      </c>
      <c r="D180" s="24">
        <v>300</v>
      </c>
      <c r="E180" s="7">
        <v>30</v>
      </c>
      <c r="F180" s="7">
        <f>D180/100*LOOKUP(A180,'Regras e Parâmetros'!$A$11:$A$12,'Regras e Parâmetros'!$B$11:$B$12)</f>
        <v>15</v>
      </c>
      <c r="G180" s="7">
        <f t="shared" si="2"/>
        <v>15</v>
      </c>
      <c r="H180" t="s">
        <v>45</v>
      </c>
      <c r="J180" s="5" t="s">
        <v>1360</v>
      </c>
      <c r="K180" t="s">
        <v>9968</v>
      </c>
    </row>
    <row r="181" spans="1:11" x14ac:dyDescent="0.3">
      <c r="A181" s="1">
        <v>45860</v>
      </c>
      <c r="B181" s="5" t="s">
        <v>3570</v>
      </c>
      <c r="C181" t="str">
        <f>IF(B181="","",IFERROR(INDEX(Clientes!$A:$A,MATCH(B181,Clientes!$B:$B,0)),"(CPF não cadastrado)"))</f>
        <v>Bruna Campos</v>
      </c>
      <c r="D181" s="24">
        <v>1500</v>
      </c>
      <c r="E181" s="7">
        <v>150</v>
      </c>
      <c r="F181" s="7">
        <f>D181/100*LOOKUP(A181,'Regras e Parâmetros'!$A$11:$A$12,'Regras e Parâmetros'!$B$11:$B$12)</f>
        <v>75</v>
      </c>
      <c r="G181" s="7">
        <f t="shared" si="2"/>
        <v>75</v>
      </c>
      <c r="H181" t="s">
        <v>22</v>
      </c>
      <c r="J181" s="5" t="s">
        <v>6193</v>
      </c>
      <c r="K181" t="s">
        <v>9968</v>
      </c>
    </row>
    <row r="182" spans="1:11" x14ac:dyDescent="0.3">
      <c r="A182" s="1">
        <v>45860</v>
      </c>
      <c r="B182" s="5" t="s">
        <v>7988</v>
      </c>
      <c r="C182" t="str">
        <f>IF(B182="","",IFERROR(INDEX(Clientes!$A:$A,MATCH(B182,Clientes!$B:$B,0)),"(CPF não cadastrado)"))</f>
        <v>Luan Batista Farias</v>
      </c>
      <c r="D182" s="24">
        <v>1500</v>
      </c>
      <c r="E182" s="7">
        <v>150</v>
      </c>
      <c r="F182" s="7">
        <f>D182/100*LOOKUP(A182,'Regras e Parâmetros'!$A$11:$A$12,'Regras e Parâmetros'!$B$11:$B$12)</f>
        <v>75</v>
      </c>
      <c r="G182" s="7">
        <f t="shared" si="2"/>
        <v>75</v>
      </c>
      <c r="H182" t="s">
        <v>100</v>
      </c>
      <c r="J182" s="5" t="s">
        <v>6194</v>
      </c>
      <c r="K182" t="s">
        <v>9968</v>
      </c>
    </row>
    <row r="183" spans="1:11" x14ac:dyDescent="0.3">
      <c r="A183" s="1">
        <v>45860</v>
      </c>
      <c r="B183" s="5" t="s">
        <v>8210</v>
      </c>
      <c r="C183" t="str">
        <f>IF(B183="","",IFERROR(INDEX(Clientes!$A:$A,MATCH(B183,Clientes!$B:$B,0)),"(CPF não cadastrado)"))</f>
        <v>Débora Moura Nascimento</v>
      </c>
      <c r="D183" s="24">
        <v>600</v>
      </c>
      <c r="E183" s="7">
        <v>60</v>
      </c>
      <c r="F183" s="7">
        <f>D183/100*LOOKUP(A183,'Regras e Parâmetros'!$A$11:$A$12,'Regras e Parâmetros'!$B$11:$B$12)</f>
        <v>30</v>
      </c>
      <c r="G183" s="7">
        <f t="shared" si="2"/>
        <v>30</v>
      </c>
      <c r="H183" t="s">
        <v>45</v>
      </c>
      <c r="J183" s="5" t="s">
        <v>6195</v>
      </c>
      <c r="K183" t="s">
        <v>9968</v>
      </c>
    </row>
    <row r="184" spans="1:11" x14ac:dyDescent="0.3">
      <c r="A184" s="1">
        <v>45861</v>
      </c>
      <c r="B184" s="5" t="s">
        <v>3595</v>
      </c>
      <c r="C184" t="str">
        <f>IF(B184="","",IFERROR(INDEX(Clientes!$A:$A,MATCH(B184,Clientes!$B:$B,0)),"(CPF não cadastrado)"))</f>
        <v>Renata Fonseca</v>
      </c>
      <c r="D184" s="24">
        <v>500</v>
      </c>
      <c r="E184" s="7">
        <v>50</v>
      </c>
      <c r="F184" s="7">
        <f>D184/100*LOOKUP(A184,'Regras e Parâmetros'!$A$11:$A$12,'Regras e Parâmetros'!$B$11:$B$12)</f>
        <v>25</v>
      </c>
      <c r="G184" s="7">
        <f t="shared" si="2"/>
        <v>25</v>
      </c>
      <c r="H184" t="s">
        <v>45</v>
      </c>
      <c r="J184" s="5" t="s">
        <v>6196</v>
      </c>
      <c r="K184" t="s">
        <v>9968</v>
      </c>
    </row>
    <row r="185" spans="1:11" x14ac:dyDescent="0.3">
      <c r="A185" s="1">
        <v>45863</v>
      </c>
      <c r="B185" s="5" t="s">
        <v>8048</v>
      </c>
      <c r="C185" t="str">
        <f>IF(B185="","",IFERROR(INDEX(Clientes!$A:$A,MATCH(B185,Clientes!$B:$B,0)),"(CPF não cadastrado)"))</f>
        <v>Ana Fonseca</v>
      </c>
      <c r="D185" s="24">
        <v>1000</v>
      </c>
      <c r="E185" s="7">
        <v>100</v>
      </c>
      <c r="F185" s="7">
        <f>D185/100*LOOKUP(A185,'Regras e Parâmetros'!$A$11:$A$12,'Regras e Parâmetros'!$B$11:$B$12)</f>
        <v>50</v>
      </c>
      <c r="G185" s="7">
        <f t="shared" si="2"/>
        <v>50</v>
      </c>
      <c r="H185" t="s">
        <v>110</v>
      </c>
      <c r="J185" s="5" t="s">
        <v>6197</v>
      </c>
      <c r="K185" t="s">
        <v>9968</v>
      </c>
    </row>
    <row r="186" spans="1:11" x14ac:dyDescent="0.3">
      <c r="A186" s="1">
        <v>45863</v>
      </c>
      <c r="B186" s="5" t="s">
        <v>8495</v>
      </c>
      <c r="C186" t="str">
        <f>IF(B186="","",IFERROR(INDEX(Clientes!$A:$A,MATCH(B186,Clientes!$B:$B,0)),"(CPF não cadastrado)"))</f>
        <v>Sofia Moreira</v>
      </c>
      <c r="D186" s="24">
        <v>1200</v>
      </c>
      <c r="E186" s="7">
        <v>60</v>
      </c>
      <c r="F186" s="7">
        <f>D186/100*LOOKUP(A186,'Regras e Parâmetros'!$A$11:$A$12,'Regras e Parâmetros'!$B$11:$B$12)</f>
        <v>60</v>
      </c>
      <c r="G186" s="7">
        <f t="shared" si="2"/>
        <v>0</v>
      </c>
      <c r="H186" t="s">
        <v>18</v>
      </c>
      <c r="I186" t="s">
        <v>6125</v>
      </c>
      <c r="J186" s="5" t="s">
        <v>3754</v>
      </c>
      <c r="K186" t="s">
        <v>9968</v>
      </c>
    </row>
    <row r="187" spans="1:11" x14ac:dyDescent="0.3">
      <c r="A187" s="1">
        <v>45864</v>
      </c>
      <c r="B187" s="5" t="s">
        <v>6550</v>
      </c>
      <c r="C187" t="str">
        <f>IF(B187="","",IFERROR(INDEX(Clientes!$A:$A,MATCH(B187,Clientes!$B:$B,0)),"(CPF não cadastrado)"))</f>
        <v>Sabrina Campos</v>
      </c>
      <c r="D187" s="24">
        <v>500</v>
      </c>
      <c r="E187" s="7">
        <v>50</v>
      </c>
      <c r="F187" s="7">
        <f>D187/100*LOOKUP(A187,'Regras e Parâmetros'!$A$11:$A$12,'Regras e Parâmetros'!$B$11:$B$12)</f>
        <v>25</v>
      </c>
      <c r="G187" s="7">
        <f t="shared" si="2"/>
        <v>25</v>
      </c>
      <c r="H187" t="s">
        <v>18</v>
      </c>
      <c r="J187" s="5" t="s">
        <v>6164</v>
      </c>
      <c r="K187" t="s">
        <v>9968</v>
      </c>
    </row>
    <row r="188" spans="1:11" x14ac:dyDescent="0.3">
      <c r="A188" s="1">
        <v>45864</v>
      </c>
      <c r="B188" s="5" t="s">
        <v>7714</v>
      </c>
      <c r="C188" t="str">
        <f>IF(B188="","",IFERROR(INDEX(Clientes!$A:$A,MATCH(B188,Clientes!$B:$B,0)),"(CPF não cadastrado)"))</f>
        <v>Alexandre Ribeiro</v>
      </c>
      <c r="D188" s="24">
        <v>500</v>
      </c>
      <c r="E188" s="7">
        <v>50</v>
      </c>
      <c r="F188" s="7">
        <f>D188/100*LOOKUP(A188,'Regras e Parâmetros'!$A$11:$A$12,'Regras e Parâmetros'!$B$11:$B$12)</f>
        <v>25</v>
      </c>
      <c r="G188" s="7">
        <f t="shared" si="2"/>
        <v>25</v>
      </c>
      <c r="H188" t="s">
        <v>18</v>
      </c>
      <c r="J188" s="5" t="s">
        <v>2236</v>
      </c>
      <c r="K188" t="s">
        <v>9968</v>
      </c>
    </row>
    <row r="189" spans="1:11" x14ac:dyDescent="0.3">
      <c r="A189" s="1">
        <v>45864</v>
      </c>
      <c r="B189" s="5" t="s">
        <v>8403</v>
      </c>
      <c r="C189" t="str">
        <f>IF(B189="","",IFERROR(INDEX(Clientes!$A:$A,MATCH(B189,Clientes!$B:$B,0)),"(CPF não cadastrado)"))</f>
        <v>Sabrina Barbosa</v>
      </c>
      <c r="D189" s="24">
        <v>1000</v>
      </c>
      <c r="E189" s="7">
        <v>100</v>
      </c>
      <c r="F189" s="7">
        <f>D189/100*LOOKUP(A189,'Regras e Parâmetros'!$A$11:$A$12,'Regras e Parâmetros'!$B$11:$B$12)</f>
        <v>50</v>
      </c>
      <c r="G189" s="7">
        <f t="shared" si="2"/>
        <v>50</v>
      </c>
      <c r="H189" t="s">
        <v>45</v>
      </c>
      <c r="J189" s="5" t="s">
        <v>6198</v>
      </c>
      <c r="K189" t="s">
        <v>9968</v>
      </c>
    </row>
    <row r="190" spans="1:11" x14ac:dyDescent="0.3">
      <c r="A190" s="1">
        <v>45865</v>
      </c>
      <c r="B190" s="5" t="s">
        <v>6947</v>
      </c>
      <c r="C190" t="str">
        <f>IF(B190="","",IFERROR(INDEX(Clientes!$A:$A,MATCH(B190,Clientes!$B:$B,0)),"(CPF não cadastrado)"))</f>
        <v>Clara Nunes Teixeira</v>
      </c>
      <c r="D190" s="24">
        <v>1500</v>
      </c>
      <c r="E190" s="7">
        <v>150</v>
      </c>
      <c r="F190" s="7">
        <f>D190/100*LOOKUP(A190,'Regras e Parâmetros'!$A$11:$A$12,'Regras e Parâmetros'!$B$11:$B$12)</f>
        <v>75</v>
      </c>
      <c r="G190" s="7">
        <f t="shared" si="2"/>
        <v>75</v>
      </c>
      <c r="H190" t="s">
        <v>45</v>
      </c>
      <c r="J190" s="5" t="s">
        <v>870</v>
      </c>
      <c r="K190" t="s">
        <v>9968</v>
      </c>
    </row>
    <row r="191" spans="1:11" x14ac:dyDescent="0.3">
      <c r="A191" s="1">
        <v>45866</v>
      </c>
      <c r="B191" s="5" t="s">
        <v>1030</v>
      </c>
      <c r="C191" t="str">
        <f>IF(B191="","",IFERROR(INDEX(Clientes!$A:$A,MATCH(B191,Clientes!$B:$B,0)),"(CPF não cadastrado)"))</f>
        <v>Caio Gomes</v>
      </c>
      <c r="D191" s="24">
        <v>1000</v>
      </c>
      <c r="E191" s="7">
        <v>100</v>
      </c>
      <c r="F191" s="7">
        <f>D191/100*LOOKUP(A191,'Regras e Parâmetros'!$A$11:$A$12,'Regras e Parâmetros'!$B$11:$B$12)</f>
        <v>50</v>
      </c>
      <c r="G191" s="7">
        <f t="shared" si="2"/>
        <v>50</v>
      </c>
      <c r="H191" t="s">
        <v>18</v>
      </c>
      <c r="J191" s="5" t="s">
        <v>6199</v>
      </c>
      <c r="K191" t="s">
        <v>9968</v>
      </c>
    </row>
    <row r="192" spans="1:11" x14ac:dyDescent="0.3">
      <c r="A192" s="1">
        <v>45869</v>
      </c>
      <c r="B192" s="5" t="s">
        <v>7083</v>
      </c>
      <c r="C192" t="str">
        <f>IF(B192="","",IFERROR(INDEX(Clientes!$A:$A,MATCH(B192,Clientes!$B:$B,0)),"(CPF não cadastrado)"))</f>
        <v>Yasmin Araújo</v>
      </c>
      <c r="D192" s="24">
        <v>500</v>
      </c>
      <c r="E192" s="7">
        <v>50</v>
      </c>
      <c r="F192" s="7">
        <f>D192/100*LOOKUP(A192,'Regras e Parâmetros'!$A$11:$A$12,'Regras e Parâmetros'!$B$11:$B$12)</f>
        <v>25</v>
      </c>
      <c r="G192" s="7">
        <f t="shared" si="2"/>
        <v>25</v>
      </c>
      <c r="H192" t="s">
        <v>45</v>
      </c>
      <c r="J192" s="5" t="s">
        <v>1283</v>
      </c>
      <c r="K192" t="s">
        <v>9968</v>
      </c>
    </row>
    <row r="193" spans="1:11" x14ac:dyDescent="0.3">
      <c r="A193" s="1">
        <v>45869</v>
      </c>
      <c r="B193" s="5" t="s">
        <v>7448</v>
      </c>
      <c r="C193" t="str">
        <f>IF(B193="","",IFERROR(INDEX(Clientes!$A:$A,MATCH(B193,Clientes!$B:$B,0)),"(CPF não cadastrado)"))</f>
        <v>Carolina Oliveira</v>
      </c>
      <c r="D193" s="24">
        <v>500</v>
      </c>
      <c r="E193" s="7">
        <v>50</v>
      </c>
      <c r="F193" s="7">
        <f>D193/100*LOOKUP(A193,'Regras e Parâmetros'!$A$11:$A$12,'Regras e Parâmetros'!$B$11:$B$12)</f>
        <v>25</v>
      </c>
      <c r="G193" s="7">
        <f t="shared" si="2"/>
        <v>25</v>
      </c>
      <c r="H193" t="s">
        <v>45</v>
      </c>
      <c r="J193" s="5" t="s">
        <v>6123</v>
      </c>
      <c r="K193" t="s">
        <v>9968</v>
      </c>
    </row>
    <row r="194" spans="1:11" x14ac:dyDescent="0.3">
      <c r="A194" s="1">
        <v>45871</v>
      </c>
      <c r="B194" s="5" t="s">
        <v>6200</v>
      </c>
      <c r="C194" t="str">
        <f>IF(B194="","",IFERROR(INDEX(Clientes!$A:$A,MATCH(B194,Clientes!$B:$B,0)),"(CPF não cadastrado)"))</f>
        <v>Paula Santos Gonçalves</v>
      </c>
      <c r="D194" s="24">
        <v>1000</v>
      </c>
      <c r="E194" s="7">
        <v>50</v>
      </c>
      <c r="F194" s="7">
        <f>D194/100*LOOKUP(A194,'Regras e Parâmetros'!$A$11:$A$12,'Regras e Parâmetros'!$B$11:$B$12)</f>
        <v>50</v>
      </c>
      <c r="G194" s="7">
        <f t="shared" si="2"/>
        <v>0</v>
      </c>
      <c r="H194" t="s">
        <v>22</v>
      </c>
      <c r="I194" t="s">
        <v>6078</v>
      </c>
      <c r="J194" s="5" t="s">
        <v>6200</v>
      </c>
      <c r="K194" t="s">
        <v>9968</v>
      </c>
    </row>
    <row r="195" spans="1:11" x14ac:dyDescent="0.3">
      <c r="A195" s="1">
        <v>45871</v>
      </c>
      <c r="B195" s="5" t="s">
        <v>655</v>
      </c>
      <c r="C195" t="str">
        <f>IF(B195="","",IFERROR(INDEX(Clientes!$A:$A,MATCH(B195,Clientes!$B:$B,0)),"(CPF não cadastrado)"))</f>
        <v>Lucas Soares Martins</v>
      </c>
      <c r="D195" s="24">
        <v>2000</v>
      </c>
      <c r="E195" s="7">
        <v>200</v>
      </c>
      <c r="F195" s="7">
        <f>D195/100*LOOKUP(A195,'Regras e Parâmetros'!$A$11:$A$12,'Regras e Parâmetros'!$B$11:$B$12)</f>
        <v>100</v>
      </c>
      <c r="G195" s="7">
        <f t="shared" ref="G195:G258" si="3">E195-F195</f>
        <v>100</v>
      </c>
      <c r="H195" t="s">
        <v>45</v>
      </c>
      <c r="J195" s="5" t="s">
        <v>6201</v>
      </c>
      <c r="K195" t="s">
        <v>9968</v>
      </c>
    </row>
    <row r="196" spans="1:11" x14ac:dyDescent="0.3">
      <c r="A196" s="1">
        <v>45873</v>
      </c>
      <c r="B196" s="5" t="s">
        <v>6895</v>
      </c>
      <c r="C196" t="str">
        <f>IF(B196="","",IFERROR(INDEX(Clientes!$A:$A,MATCH(B196,Clientes!$B:$B,0)),"(CPF não cadastrado)"))</f>
        <v>Juliana Andrade</v>
      </c>
      <c r="D196" s="24">
        <v>1000</v>
      </c>
      <c r="E196" s="7">
        <v>100</v>
      </c>
      <c r="F196" s="7">
        <f>D196/100*LOOKUP(A196,'Regras e Parâmetros'!$A$11:$A$12,'Regras e Parâmetros'!$B$11:$B$12)</f>
        <v>50</v>
      </c>
      <c r="G196" s="7">
        <f t="shared" si="3"/>
        <v>50</v>
      </c>
      <c r="H196" t="s">
        <v>18</v>
      </c>
      <c r="J196" s="5" t="s">
        <v>6202</v>
      </c>
      <c r="K196" t="s">
        <v>9968</v>
      </c>
    </row>
    <row r="197" spans="1:11" x14ac:dyDescent="0.3">
      <c r="A197" s="1">
        <v>45874</v>
      </c>
      <c r="B197" s="5" t="s">
        <v>796</v>
      </c>
      <c r="C197" t="str">
        <f>IF(B197="","",IFERROR(INDEX(Clientes!$A:$A,MATCH(B197,Clientes!$B:$B,0)),"(CPF não cadastrado)"))</f>
        <v>Luana Rocha</v>
      </c>
      <c r="D197" s="24">
        <v>500</v>
      </c>
      <c r="E197" s="7">
        <v>25</v>
      </c>
      <c r="F197" s="7">
        <f>D197/100*LOOKUP(A197,'Regras e Parâmetros'!$A$11:$A$12,'Regras e Parâmetros'!$B$11:$B$12)</f>
        <v>25</v>
      </c>
      <c r="G197" s="7">
        <f t="shared" si="3"/>
        <v>0</v>
      </c>
      <c r="H197" t="s">
        <v>18</v>
      </c>
      <c r="I197" t="s">
        <v>6125</v>
      </c>
      <c r="J197" s="5" t="s">
        <v>796</v>
      </c>
      <c r="K197" t="s">
        <v>9968</v>
      </c>
    </row>
    <row r="198" spans="1:11" x14ac:dyDescent="0.3">
      <c r="A198" s="1">
        <v>45876</v>
      </c>
      <c r="B198" s="5" t="s">
        <v>7208</v>
      </c>
      <c r="C198" t="str">
        <f>IF(B198="","",IFERROR(INDEX(Clientes!$A:$A,MATCH(B198,Clientes!$B:$B,0)),"(CPF não cadastrado)"))</f>
        <v>Ana Gomes Marques</v>
      </c>
      <c r="D198" s="24">
        <v>1000</v>
      </c>
      <c r="E198" s="7">
        <v>100</v>
      </c>
      <c r="F198" s="7">
        <f>D198/100*LOOKUP(A198,'Regras e Parâmetros'!$A$11:$A$12,'Regras e Parâmetros'!$B$11:$B$12)</f>
        <v>50</v>
      </c>
      <c r="G198" s="7">
        <f t="shared" si="3"/>
        <v>50</v>
      </c>
      <c r="H198" t="s">
        <v>45</v>
      </c>
      <c r="J198" s="5" t="s">
        <v>1360</v>
      </c>
      <c r="K198" t="s">
        <v>9968</v>
      </c>
    </row>
    <row r="199" spans="1:11" x14ac:dyDescent="0.3">
      <c r="A199" s="1">
        <v>45877</v>
      </c>
      <c r="B199" s="5" t="s">
        <v>1704</v>
      </c>
      <c r="C199" t="str">
        <f>IF(B199="","",IFERROR(INDEX(Clientes!$A:$A,MATCH(B199,Clientes!$B:$B,0)),"(CPF não cadastrado)"))</f>
        <v>Isabela Ferreira</v>
      </c>
      <c r="D199" s="24">
        <v>300</v>
      </c>
      <c r="E199" s="7">
        <v>30</v>
      </c>
      <c r="F199" s="7">
        <f>D199/100*LOOKUP(A199,'Regras e Parâmetros'!$A$11:$A$12,'Regras e Parâmetros'!$B$11:$B$12)</f>
        <v>15</v>
      </c>
      <c r="G199" s="7">
        <f t="shared" si="3"/>
        <v>15</v>
      </c>
      <c r="H199" t="s">
        <v>22</v>
      </c>
      <c r="J199" s="5" t="s">
        <v>6203</v>
      </c>
      <c r="K199" t="s">
        <v>9968</v>
      </c>
    </row>
    <row r="200" spans="1:11" x14ac:dyDescent="0.3">
      <c r="A200" s="1">
        <v>45877</v>
      </c>
      <c r="B200" s="5" t="s">
        <v>7037</v>
      </c>
      <c r="C200" t="str">
        <f>IF(B200="","",IFERROR(INDEX(Clientes!$A:$A,MATCH(B200,Clientes!$B:$B,0)),"(CPF não cadastrado)"))</f>
        <v>Mariana Carvalho Nogueira</v>
      </c>
      <c r="D200" s="24">
        <v>700</v>
      </c>
      <c r="E200" s="7">
        <v>70</v>
      </c>
      <c r="F200" s="7">
        <f>D200/100*LOOKUP(A200,'Regras e Parâmetros'!$A$11:$A$12,'Regras e Parâmetros'!$B$11:$B$12)</f>
        <v>35</v>
      </c>
      <c r="G200" s="7">
        <f t="shared" si="3"/>
        <v>35</v>
      </c>
      <c r="H200" t="s">
        <v>45</v>
      </c>
      <c r="J200" s="5" t="s">
        <v>6204</v>
      </c>
      <c r="K200" t="s">
        <v>9968</v>
      </c>
    </row>
    <row r="201" spans="1:11" x14ac:dyDescent="0.3">
      <c r="A201" s="1">
        <v>45878</v>
      </c>
      <c r="B201" s="5" t="s">
        <v>4279</v>
      </c>
      <c r="C201" t="str">
        <f>IF(B201="","",IFERROR(INDEX(Clientes!$A:$A,MATCH(B201,Clientes!$B:$B,0)),"(CPF não cadastrado)"))</f>
        <v>Larissa Rodrigues</v>
      </c>
      <c r="D201" s="24">
        <v>600</v>
      </c>
      <c r="E201" s="7">
        <v>60</v>
      </c>
      <c r="F201" s="7">
        <f>D201/100*LOOKUP(A201,'Regras e Parâmetros'!$A$11:$A$12,'Regras e Parâmetros'!$B$11:$B$12)</f>
        <v>30</v>
      </c>
      <c r="G201" s="7">
        <f t="shared" si="3"/>
        <v>30</v>
      </c>
      <c r="H201" t="s">
        <v>100</v>
      </c>
      <c r="J201" s="5" t="s">
        <v>6205</v>
      </c>
      <c r="K201" t="s">
        <v>9968</v>
      </c>
    </row>
    <row r="202" spans="1:11" x14ac:dyDescent="0.3">
      <c r="A202" s="1">
        <v>45885</v>
      </c>
      <c r="B202" s="5" t="s">
        <v>6206</v>
      </c>
      <c r="C202" t="str">
        <f>IF(B202="","",IFERROR(INDEX(Clientes!$A:$A,MATCH(B202,Clientes!$B:$B,0)),"(CPF não cadastrado)"))</f>
        <v>Felipe Monteiro</v>
      </c>
      <c r="D202" s="24">
        <v>500</v>
      </c>
      <c r="E202" s="7">
        <v>25</v>
      </c>
      <c r="F202" s="7">
        <f>D202/100*LOOKUP(A202,'Regras e Parâmetros'!$A$11:$A$12,'Regras e Parâmetros'!$B$11:$B$12)</f>
        <v>25</v>
      </c>
      <c r="G202" s="7">
        <f t="shared" si="3"/>
        <v>0</v>
      </c>
      <c r="H202" t="s">
        <v>100</v>
      </c>
      <c r="I202" t="s">
        <v>6176</v>
      </c>
      <c r="J202" s="5" t="s">
        <v>6206</v>
      </c>
      <c r="K202" t="s">
        <v>9968</v>
      </c>
    </row>
    <row r="203" spans="1:11" x14ac:dyDescent="0.3">
      <c r="A203" s="1">
        <v>45886</v>
      </c>
      <c r="B203" s="5" t="s">
        <v>1545</v>
      </c>
      <c r="C203" t="str">
        <f>IF(B203="","",IFERROR(INDEX(Clientes!$A:$A,MATCH(B203,Clientes!$B:$B,0)),"(CPF não cadastrado)"))</f>
        <v>Júlia Gonçalves Fernandes</v>
      </c>
      <c r="D203" s="24">
        <v>2000</v>
      </c>
      <c r="E203" s="7">
        <v>200</v>
      </c>
      <c r="F203" s="7">
        <f>D203/100*LOOKUP(A203,'Regras e Parâmetros'!$A$11:$A$12,'Regras e Parâmetros'!$B$11:$B$12)</f>
        <v>100</v>
      </c>
      <c r="G203" s="7">
        <f t="shared" si="3"/>
        <v>100</v>
      </c>
      <c r="H203" t="s">
        <v>18</v>
      </c>
      <c r="J203" s="5" t="s">
        <v>6207</v>
      </c>
      <c r="K203" t="s">
        <v>9968</v>
      </c>
    </row>
    <row r="204" spans="1:11" x14ac:dyDescent="0.3">
      <c r="A204" s="1">
        <v>45886</v>
      </c>
      <c r="B204" s="5" t="s">
        <v>6723</v>
      </c>
      <c r="C204" t="str">
        <f>IF(B204="","",IFERROR(INDEX(Clientes!$A:$A,MATCH(B204,Clientes!$B:$B,0)),"(CPF não cadastrado)"))</f>
        <v>Thaís Moreira Costa</v>
      </c>
      <c r="D204" s="24">
        <v>300</v>
      </c>
      <c r="E204" s="7">
        <v>30</v>
      </c>
      <c r="F204" s="7">
        <f>D204/100*LOOKUP(A204,'Regras e Parâmetros'!$A$11:$A$12,'Regras e Parâmetros'!$B$11:$B$12)</f>
        <v>15</v>
      </c>
      <c r="G204" s="7">
        <f t="shared" si="3"/>
        <v>15</v>
      </c>
      <c r="H204" t="s">
        <v>22</v>
      </c>
      <c r="J204" s="5" t="s">
        <v>6208</v>
      </c>
      <c r="K204" t="s">
        <v>9968</v>
      </c>
    </row>
    <row r="205" spans="1:11" x14ac:dyDescent="0.3">
      <c r="A205" s="1">
        <v>45886</v>
      </c>
      <c r="B205" s="5" t="s">
        <v>7070</v>
      </c>
      <c r="C205" t="str">
        <f>IF(B205="","",IFERROR(INDEX(Clientes!$A:$A,MATCH(B205,Clientes!$B:$B,0)),"(CPF não cadastrado)"))</f>
        <v>Alexandre Oliveira</v>
      </c>
      <c r="D205" s="24">
        <v>1500</v>
      </c>
      <c r="E205" s="7">
        <v>150</v>
      </c>
      <c r="F205" s="7">
        <f>D205/100*LOOKUP(A205,'Regras e Parâmetros'!$A$11:$A$12,'Regras e Parâmetros'!$B$11:$B$12)</f>
        <v>75</v>
      </c>
      <c r="G205" s="7">
        <f t="shared" si="3"/>
        <v>75</v>
      </c>
      <c r="H205" t="s">
        <v>22</v>
      </c>
      <c r="J205" s="5" t="s">
        <v>6209</v>
      </c>
      <c r="K205" t="s">
        <v>9968</v>
      </c>
    </row>
    <row r="206" spans="1:11" x14ac:dyDescent="0.3">
      <c r="A206" s="1">
        <v>45889</v>
      </c>
      <c r="B206" s="5" t="s">
        <v>8901</v>
      </c>
      <c r="C206" t="str">
        <f>IF(B206="","",IFERROR(INDEX(Clientes!$A:$A,MATCH(B206,Clientes!$B:$B,0)),"(CPF não cadastrado)"))</f>
        <v>Sofia Nogueira</v>
      </c>
      <c r="D206" s="24">
        <v>1200</v>
      </c>
      <c r="E206" s="7">
        <v>60</v>
      </c>
      <c r="F206" s="7">
        <f>D206/100*LOOKUP(A206,'Regras e Parâmetros'!$A$11:$A$12,'Regras e Parâmetros'!$B$11:$B$12)</f>
        <v>60</v>
      </c>
      <c r="G206" s="7">
        <f t="shared" si="3"/>
        <v>0</v>
      </c>
      <c r="H206" t="s">
        <v>18</v>
      </c>
      <c r="I206" t="s">
        <v>6125</v>
      </c>
      <c r="J206" s="5" t="s">
        <v>6210</v>
      </c>
      <c r="K206" t="s">
        <v>9969</v>
      </c>
    </row>
    <row r="207" spans="1:11" x14ac:dyDescent="0.3">
      <c r="A207" s="1">
        <v>45891</v>
      </c>
      <c r="B207" s="5" t="s">
        <v>7507</v>
      </c>
      <c r="C207" t="str">
        <f>IF(B207="","",IFERROR(INDEX(Clientes!$A:$A,MATCH(B207,Clientes!$B:$B,0)),"(CPF não cadastrado)"))</f>
        <v>Beatriz Costa</v>
      </c>
      <c r="D207" s="24">
        <v>1000</v>
      </c>
      <c r="E207" s="7">
        <v>100</v>
      </c>
      <c r="F207" s="7">
        <f>D207/100*LOOKUP(A207,'Regras e Parâmetros'!$A$11:$A$12,'Regras e Parâmetros'!$B$11:$B$12)</f>
        <v>50</v>
      </c>
      <c r="G207" s="7">
        <f t="shared" si="3"/>
        <v>50</v>
      </c>
      <c r="H207" t="s">
        <v>100</v>
      </c>
      <c r="J207" s="5" t="s">
        <v>6211</v>
      </c>
      <c r="K207" t="s">
        <v>9968</v>
      </c>
    </row>
    <row r="208" spans="1:11" x14ac:dyDescent="0.3">
      <c r="A208" s="1">
        <v>45892</v>
      </c>
      <c r="B208" s="5" t="s">
        <v>8585</v>
      </c>
      <c r="C208" t="str">
        <f>IF(B208="","",IFERROR(INDEX(Clientes!$A:$A,MATCH(B208,Clientes!$B:$B,0)),"(CPF não cadastrado)"))</f>
        <v>Débora S. Marques</v>
      </c>
      <c r="D208" s="24">
        <v>800</v>
      </c>
      <c r="E208" s="7">
        <v>80</v>
      </c>
      <c r="F208" s="7">
        <f>D208/100*LOOKUP(A208,'Regras e Parâmetros'!$A$11:$A$12,'Regras e Parâmetros'!$B$11:$B$12)</f>
        <v>40</v>
      </c>
      <c r="G208" s="7">
        <f t="shared" si="3"/>
        <v>40</v>
      </c>
      <c r="H208" t="s">
        <v>100</v>
      </c>
      <c r="J208" s="5" t="s">
        <v>6212</v>
      </c>
      <c r="K208" t="s">
        <v>9968</v>
      </c>
    </row>
    <row r="209" spans="1:11" x14ac:dyDescent="0.3">
      <c r="A209" s="1">
        <v>45893</v>
      </c>
      <c r="B209" s="5" t="s">
        <v>8523</v>
      </c>
      <c r="C209" t="str">
        <f>IF(B209="","",IFERROR(INDEX(Clientes!$A:$A,MATCH(B209,Clientes!$B:$B,0)),"(CPF não cadastrado)"))</f>
        <v>Rebeca Moura</v>
      </c>
      <c r="D209" s="24">
        <v>500</v>
      </c>
      <c r="E209" s="7">
        <v>50</v>
      </c>
      <c r="F209" s="7">
        <f>D209/100*LOOKUP(A209,'Regras e Parâmetros'!$A$11:$A$12,'Regras e Parâmetros'!$B$11:$B$12)</f>
        <v>25</v>
      </c>
      <c r="G209" s="7">
        <f t="shared" si="3"/>
        <v>25</v>
      </c>
      <c r="H209" t="s">
        <v>45</v>
      </c>
      <c r="J209" s="5" t="s">
        <v>6213</v>
      </c>
      <c r="K209" t="s">
        <v>9968</v>
      </c>
    </row>
    <row r="210" spans="1:11" x14ac:dyDescent="0.3">
      <c r="A210" s="1">
        <v>45894</v>
      </c>
      <c r="B210" s="5" t="s">
        <v>8127</v>
      </c>
      <c r="C210" t="str">
        <f>IF(B210="","",IFERROR(INDEX(Clientes!$A:$A,MATCH(B210,Clientes!$B:$B,0)),"(CPF não cadastrado)"))</f>
        <v>Breno S. Freitas</v>
      </c>
      <c r="D210" s="24">
        <v>500</v>
      </c>
      <c r="E210" s="7">
        <v>50</v>
      </c>
      <c r="F210" s="7">
        <f>D210/100*LOOKUP(A210,'Regras e Parâmetros'!$A$11:$A$12,'Regras e Parâmetros'!$B$11:$B$12)</f>
        <v>25</v>
      </c>
      <c r="G210" s="7">
        <f t="shared" si="3"/>
        <v>25</v>
      </c>
      <c r="H210" t="s">
        <v>45</v>
      </c>
      <c r="J210" s="5" t="s">
        <v>3036</v>
      </c>
      <c r="K210" t="s">
        <v>9968</v>
      </c>
    </row>
    <row r="211" spans="1:11" x14ac:dyDescent="0.3">
      <c r="A211" s="1">
        <v>45897</v>
      </c>
      <c r="B211" s="5" t="s">
        <v>7467</v>
      </c>
      <c r="C211" t="str">
        <f>IF(B211="","",IFERROR(INDEX(Clientes!$A:$A,MATCH(B211,Clientes!$B:$B,0)),"(CPF não cadastrado)"))</f>
        <v>Teo Pereira</v>
      </c>
      <c r="D211" s="24">
        <v>2000</v>
      </c>
      <c r="E211" s="7">
        <v>100</v>
      </c>
      <c r="F211" s="7">
        <f>D211/100*LOOKUP(A211,'Regras e Parâmetros'!$A$11:$A$12,'Regras e Parâmetros'!$B$11:$B$12)</f>
        <v>100</v>
      </c>
      <c r="G211" s="7">
        <f t="shared" si="3"/>
        <v>0</v>
      </c>
      <c r="H211" t="s">
        <v>110</v>
      </c>
      <c r="I211" t="s">
        <v>6087</v>
      </c>
      <c r="J211" s="5" t="s">
        <v>1810</v>
      </c>
      <c r="K211" t="s">
        <v>9969</v>
      </c>
    </row>
    <row r="212" spans="1:11" x14ac:dyDescent="0.3">
      <c r="A212" s="1">
        <v>45901</v>
      </c>
      <c r="B212" s="5" t="s">
        <v>246</v>
      </c>
      <c r="C212" t="str">
        <f>IF(B212="","",IFERROR(INDEX(Clientes!$A:$A,MATCH(B212,Clientes!$B:$B,0)),"(CPF não cadastrado)"))</f>
        <v>Nicolas Moura Monteiro</v>
      </c>
      <c r="D212" s="24">
        <v>1000</v>
      </c>
      <c r="E212" s="7">
        <v>100</v>
      </c>
      <c r="F212" s="7">
        <f>D212/100*LOOKUP(A212,'Regras e Parâmetros'!$A$11:$A$12,'Regras e Parâmetros'!$B$11:$B$12)</f>
        <v>50</v>
      </c>
      <c r="G212" s="7">
        <f t="shared" si="3"/>
        <v>50</v>
      </c>
      <c r="H212" t="s">
        <v>45</v>
      </c>
      <c r="J212" s="5" t="s">
        <v>6214</v>
      </c>
      <c r="K212" t="s">
        <v>9968</v>
      </c>
    </row>
    <row r="213" spans="1:11" x14ac:dyDescent="0.3">
      <c r="A213" s="1">
        <v>45901</v>
      </c>
      <c r="B213" s="5" t="s">
        <v>7922</v>
      </c>
      <c r="C213" t="str">
        <f>IF(B213="","",IFERROR(INDEX(Clientes!$A:$A,MATCH(B213,Clientes!$B:$B,0)),"(CPF não cadastrado)"))</f>
        <v>Vinícius Souza</v>
      </c>
      <c r="D213" s="24">
        <v>500</v>
      </c>
      <c r="E213" s="7">
        <v>50</v>
      </c>
      <c r="F213" s="7">
        <f>D213/100*LOOKUP(A213,'Regras e Parâmetros'!$A$11:$A$12,'Regras e Parâmetros'!$B$11:$B$12)</f>
        <v>25</v>
      </c>
      <c r="G213" s="7">
        <f t="shared" si="3"/>
        <v>25</v>
      </c>
      <c r="H213" t="s">
        <v>45</v>
      </c>
      <c r="J213" s="5" t="s">
        <v>6215</v>
      </c>
      <c r="K213" t="s">
        <v>9968</v>
      </c>
    </row>
    <row r="214" spans="1:11" x14ac:dyDescent="0.3">
      <c r="A214" s="1">
        <v>45902</v>
      </c>
      <c r="B214" s="5" t="s">
        <v>6135</v>
      </c>
      <c r="C214" t="str">
        <f>IF(B214="","",IFERROR(INDEX(Clientes!$A:$A,MATCH(B214,Clientes!$B:$B,0)),"(CPF não cadastrado)"))</f>
        <v>Daniel Alves Teixeira</v>
      </c>
      <c r="D214" s="24">
        <v>1000</v>
      </c>
      <c r="E214" s="7">
        <v>100</v>
      </c>
      <c r="F214" s="7">
        <f>D214/100*LOOKUP(A214,'Regras e Parâmetros'!$A$11:$A$12,'Regras e Parâmetros'!$B$11:$B$12)</f>
        <v>50</v>
      </c>
      <c r="G214" s="7">
        <f t="shared" si="3"/>
        <v>50</v>
      </c>
      <c r="H214" t="s">
        <v>45</v>
      </c>
      <c r="J214" s="5" t="s">
        <v>2314</v>
      </c>
      <c r="K214" t="s">
        <v>9968</v>
      </c>
    </row>
    <row r="215" spans="1:11" x14ac:dyDescent="0.3">
      <c r="A215" s="1">
        <v>45902</v>
      </c>
      <c r="B215" s="5" t="s">
        <v>1058</v>
      </c>
      <c r="C215" t="str">
        <f>IF(B215="","",IFERROR(INDEX(Clientes!$A:$A,MATCH(B215,Clientes!$B:$B,0)),"(CPF não cadastrado)"))</f>
        <v>Daniela Pinto Peixoto</v>
      </c>
      <c r="D215" s="24">
        <v>300</v>
      </c>
      <c r="E215" s="7">
        <v>30</v>
      </c>
      <c r="F215" s="7">
        <f>D215/100*LOOKUP(A215,'Regras e Parâmetros'!$A$11:$A$12,'Regras e Parâmetros'!$B$11:$B$12)</f>
        <v>15</v>
      </c>
      <c r="G215" s="7">
        <f t="shared" si="3"/>
        <v>15</v>
      </c>
      <c r="H215" t="s">
        <v>45</v>
      </c>
      <c r="J215" s="5" t="s">
        <v>6121</v>
      </c>
      <c r="K215" t="s">
        <v>9968</v>
      </c>
    </row>
    <row r="216" spans="1:11" x14ac:dyDescent="0.3">
      <c r="A216" s="1">
        <v>45906</v>
      </c>
      <c r="B216" s="5" t="s">
        <v>7420</v>
      </c>
      <c r="C216" t="str">
        <f>IF(B216="","",IFERROR(INDEX(Clientes!$A:$A,MATCH(B216,Clientes!$B:$B,0)),"(CPF não cadastrado)"))</f>
        <v>Thiago Rodrigues</v>
      </c>
      <c r="D216" s="24">
        <v>300</v>
      </c>
      <c r="E216" s="7">
        <v>30</v>
      </c>
      <c r="F216" s="7">
        <f>D216/100*LOOKUP(A216,'Regras e Parâmetros'!$A$11:$A$12,'Regras e Parâmetros'!$B$11:$B$12)</f>
        <v>15</v>
      </c>
      <c r="G216" s="7">
        <f t="shared" si="3"/>
        <v>15</v>
      </c>
      <c r="H216" t="s">
        <v>45</v>
      </c>
      <c r="J216" s="5" t="s">
        <v>6216</v>
      </c>
      <c r="K216" t="s">
        <v>9968</v>
      </c>
    </row>
    <row r="217" spans="1:11" x14ac:dyDescent="0.3">
      <c r="A217" s="1">
        <v>45907</v>
      </c>
      <c r="B217" s="5" t="s">
        <v>8509</v>
      </c>
      <c r="C217" t="str">
        <f>IF(B217="","",IFERROR(INDEX(Clientes!$A:$A,MATCH(B217,Clientes!$B:$B,0)),"(CPF não cadastrado)"))</f>
        <v>Daniela Farias</v>
      </c>
      <c r="D217" s="24">
        <v>1000</v>
      </c>
      <c r="E217" s="7">
        <v>100</v>
      </c>
      <c r="F217" s="7">
        <f>D217/100*LOOKUP(A217,'Regras e Parâmetros'!$A$11:$A$12,'Regras e Parâmetros'!$B$11:$B$12)</f>
        <v>50</v>
      </c>
      <c r="G217" s="7">
        <f t="shared" si="3"/>
        <v>50</v>
      </c>
      <c r="H217" t="s">
        <v>22</v>
      </c>
      <c r="J217" s="5" t="s">
        <v>6217</v>
      </c>
      <c r="K217" t="s">
        <v>9968</v>
      </c>
    </row>
    <row r="218" spans="1:11" x14ac:dyDescent="0.3">
      <c r="A218" s="1">
        <v>45908</v>
      </c>
      <c r="B218" s="5" t="s">
        <v>8190</v>
      </c>
      <c r="C218" t="str">
        <f>IF(B218="","",IFERROR(INDEX(Clientes!$A:$A,MATCH(B218,Clientes!$B:$B,0)),"(CPF não cadastrado)"))</f>
        <v>Carolina Silva Monteiro</v>
      </c>
      <c r="D218" s="24">
        <v>500</v>
      </c>
      <c r="E218" s="7">
        <v>50</v>
      </c>
      <c r="F218" s="7">
        <f>D218/100*LOOKUP(A218,'Regras e Parâmetros'!$A$11:$A$12,'Regras e Parâmetros'!$B$11:$B$12)</f>
        <v>25</v>
      </c>
      <c r="G218" s="7">
        <f t="shared" si="3"/>
        <v>25</v>
      </c>
      <c r="H218" t="s">
        <v>18</v>
      </c>
      <c r="J218" s="5" t="s">
        <v>3159</v>
      </c>
      <c r="K218" t="s">
        <v>9968</v>
      </c>
    </row>
    <row r="219" spans="1:11" x14ac:dyDescent="0.3">
      <c r="A219" s="1">
        <v>45908</v>
      </c>
      <c r="B219" s="5" t="s">
        <v>7164</v>
      </c>
      <c r="C219" t="str">
        <f>IF(B219="","",IFERROR(INDEX(Clientes!$A:$A,MATCH(B219,Clientes!$B:$B,0)),"(CPF não cadastrado)"))</f>
        <v>Eduardo Rezende</v>
      </c>
      <c r="D219" s="24">
        <v>2000</v>
      </c>
      <c r="E219" s="7">
        <v>200</v>
      </c>
      <c r="F219" s="7">
        <f>D219/100*LOOKUP(A219,'Regras e Parâmetros'!$A$11:$A$12,'Regras e Parâmetros'!$B$11:$B$12)</f>
        <v>100</v>
      </c>
      <c r="G219" s="7">
        <f t="shared" si="3"/>
        <v>100</v>
      </c>
      <c r="H219" t="s">
        <v>22</v>
      </c>
      <c r="J219" s="5" t="s">
        <v>1076</v>
      </c>
      <c r="K219" t="s">
        <v>9968</v>
      </c>
    </row>
    <row r="220" spans="1:11" x14ac:dyDescent="0.3">
      <c r="A220" s="1">
        <v>45912</v>
      </c>
      <c r="B220" s="5" t="s">
        <v>1030</v>
      </c>
      <c r="C220" t="str">
        <f>IF(B220="","",IFERROR(INDEX(Clientes!$A:$A,MATCH(B220,Clientes!$B:$B,0)),"(CPF não cadastrado)"))</f>
        <v>Caio Gomes</v>
      </c>
      <c r="D220" s="24">
        <v>500</v>
      </c>
      <c r="E220" s="7">
        <v>50</v>
      </c>
      <c r="F220" s="7">
        <f>D220/100*LOOKUP(A220,'Regras e Parâmetros'!$A$11:$A$12,'Regras e Parâmetros'!$B$11:$B$12)</f>
        <v>25</v>
      </c>
      <c r="G220" s="7">
        <f t="shared" si="3"/>
        <v>25</v>
      </c>
      <c r="H220" t="s">
        <v>18</v>
      </c>
      <c r="J220" s="5" t="s">
        <v>6199</v>
      </c>
      <c r="K220" t="s">
        <v>9968</v>
      </c>
    </row>
    <row r="221" spans="1:11" x14ac:dyDescent="0.3">
      <c r="A221" s="1">
        <v>45912</v>
      </c>
      <c r="B221" s="5" t="s">
        <v>2662</v>
      </c>
      <c r="C221" t="str">
        <f>IF(B221="","",IFERROR(INDEX(Clientes!$A:$A,MATCH(B221,Clientes!$B:$B,0)),"(CPF não cadastrado)"))</f>
        <v>Sabrina Peixoto</v>
      </c>
      <c r="D221" s="24">
        <v>500</v>
      </c>
      <c r="E221" s="7">
        <v>50</v>
      </c>
      <c r="F221" s="7">
        <f>D221/100*LOOKUP(A221,'Regras e Parâmetros'!$A$11:$A$12,'Regras e Parâmetros'!$B$11:$B$12)</f>
        <v>25</v>
      </c>
      <c r="G221" s="7">
        <f t="shared" si="3"/>
        <v>25</v>
      </c>
      <c r="H221" t="s">
        <v>45</v>
      </c>
      <c r="J221" s="5" t="s">
        <v>6131</v>
      </c>
      <c r="K221" t="s">
        <v>9968</v>
      </c>
    </row>
    <row r="222" spans="1:11" x14ac:dyDescent="0.3">
      <c r="A222" s="1">
        <v>45912</v>
      </c>
      <c r="B222" s="5" t="s">
        <v>8080</v>
      </c>
      <c r="C222" t="str">
        <f>IF(B222="","",IFERROR(INDEX(Clientes!$A:$A,MATCH(B222,Clientes!$B:$B,0)),"(CPF não cadastrado)"))</f>
        <v>Fábio Nogueira</v>
      </c>
      <c r="D222" s="24">
        <v>300</v>
      </c>
      <c r="E222" s="7">
        <v>30</v>
      </c>
      <c r="F222" s="7">
        <f>D222/100*LOOKUP(A222,'Regras e Parâmetros'!$A$11:$A$12,'Regras e Parâmetros'!$B$11:$B$12)</f>
        <v>15</v>
      </c>
      <c r="G222" s="7">
        <f t="shared" si="3"/>
        <v>15</v>
      </c>
      <c r="H222" t="s">
        <v>45</v>
      </c>
      <c r="J222" s="5" t="s">
        <v>6218</v>
      </c>
      <c r="K222" t="s">
        <v>9968</v>
      </c>
    </row>
    <row r="223" spans="1:11" x14ac:dyDescent="0.3">
      <c r="A223" s="1">
        <v>45912</v>
      </c>
      <c r="B223" s="5" t="s">
        <v>61</v>
      </c>
      <c r="C223" t="str">
        <f>IF(B223="","",IFERROR(INDEX(Clientes!$A:$A,MATCH(B223,Clientes!$B:$B,0)),"(CPF não cadastrado)"))</f>
        <v>Otávio Lopes Rodrigues</v>
      </c>
      <c r="D223" s="24">
        <v>1200</v>
      </c>
      <c r="E223" s="7">
        <v>120</v>
      </c>
      <c r="F223" s="7">
        <f>D223/100*LOOKUP(A223,'Regras e Parâmetros'!$A$11:$A$12,'Regras e Parâmetros'!$B$11:$B$12)</f>
        <v>60</v>
      </c>
      <c r="G223" s="7">
        <f t="shared" si="3"/>
        <v>60</v>
      </c>
      <c r="H223" t="s">
        <v>45</v>
      </c>
      <c r="J223" s="5" t="s">
        <v>6190</v>
      </c>
      <c r="K223" t="s">
        <v>9968</v>
      </c>
    </row>
    <row r="224" spans="1:11" x14ac:dyDescent="0.3">
      <c r="A224" s="1">
        <v>45913</v>
      </c>
      <c r="B224" s="5" t="s">
        <v>6569</v>
      </c>
      <c r="C224" t="str">
        <f>IF(B224="","",IFERROR(INDEX(Clientes!$A:$A,MATCH(B224,Clientes!$B:$B,0)),"(CPF não cadastrado)"))</f>
        <v>Valentina Cavalcanti Teixeira</v>
      </c>
      <c r="D224" s="24">
        <v>1500</v>
      </c>
      <c r="E224" s="7">
        <v>150</v>
      </c>
      <c r="F224" s="7">
        <f>D224/100*LOOKUP(A224,'Regras e Parâmetros'!$A$11:$A$12,'Regras e Parâmetros'!$B$11:$B$12)</f>
        <v>75</v>
      </c>
      <c r="G224" s="7">
        <f t="shared" si="3"/>
        <v>75</v>
      </c>
      <c r="H224" t="s">
        <v>45</v>
      </c>
      <c r="J224" s="5" t="s">
        <v>209</v>
      </c>
      <c r="K224" t="s">
        <v>9968</v>
      </c>
    </row>
    <row r="225" spans="1:11" x14ac:dyDescent="0.3">
      <c r="A225" s="1">
        <v>45916</v>
      </c>
      <c r="B225" s="5" t="s">
        <v>7035</v>
      </c>
      <c r="C225" t="str">
        <f>IF(B225="","",IFERROR(INDEX(Clientes!$A:$A,MATCH(B225,Clientes!$B:$B,0)),"(CPF não cadastrado)"))</f>
        <v>Davi Ferreira</v>
      </c>
      <c r="D225" s="24">
        <v>1000</v>
      </c>
      <c r="E225" s="7">
        <v>100</v>
      </c>
      <c r="F225" s="7">
        <f>D225/100*LOOKUP(A225,'Regras e Parâmetros'!$A$11:$A$12,'Regras e Parâmetros'!$B$11:$B$12)</f>
        <v>50</v>
      </c>
      <c r="G225" s="7">
        <f t="shared" si="3"/>
        <v>50</v>
      </c>
      <c r="H225" t="s">
        <v>45</v>
      </c>
      <c r="J225" s="5" t="s">
        <v>1062</v>
      </c>
      <c r="K225" t="s">
        <v>9968</v>
      </c>
    </row>
    <row r="226" spans="1:11" x14ac:dyDescent="0.3">
      <c r="A226" s="1">
        <v>45916</v>
      </c>
      <c r="B226" s="5" t="s">
        <v>1645</v>
      </c>
      <c r="C226" t="str">
        <f>IF(B226="","",IFERROR(INDEX(Clientes!$A:$A,MATCH(B226,Clientes!$B:$B,0)),"(CPF não cadastrado)"))</f>
        <v>Alice Correia</v>
      </c>
      <c r="D226" s="24">
        <v>500</v>
      </c>
      <c r="E226" s="7">
        <v>50</v>
      </c>
      <c r="F226" s="7">
        <f>D226/100*LOOKUP(A226,'Regras e Parâmetros'!$A$11:$A$12,'Regras e Parâmetros'!$B$11:$B$12)</f>
        <v>25</v>
      </c>
      <c r="G226" s="7">
        <f t="shared" si="3"/>
        <v>25</v>
      </c>
      <c r="H226" t="s">
        <v>45</v>
      </c>
      <c r="J226" s="5" t="s">
        <v>6219</v>
      </c>
      <c r="K226" t="s">
        <v>9968</v>
      </c>
    </row>
    <row r="227" spans="1:11" x14ac:dyDescent="0.3">
      <c r="A227" s="1">
        <v>45917</v>
      </c>
      <c r="B227" s="5" t="s">
        <v>985</v>
      </c>
      <c r="C227" t="str">
        <f>IF(B227="","",IFERROR(INDEX(Clientes!$A:$A,MATCH(B227,Clientes!$B:$B,0)),"(CPF não cadastrado)"))</f>
        <v>Samuel Silva Farias</v>
      </c>
      <c r="D227" s="24">
        <v>500</v>
      </c>
      <c r="E227" s="7">
        <v>25</v>
      </c>
      <c r="F227" s="7">
        <f>D227/100*LOOKUP(A227,'Regras e Parâmetros'!$A$11:$A$12,'Regras e Parâmetros'!$B$11:$B$12)</f>
        <v>25</v>
      </c>
      <c r="G227" s="7">
        <f t="shared" si="3"/>
        <v>0</v>
      </c>
      <c r="H227" t="s">
        <v>110</v>
      </c>
      <c r="I227" t="s">
        <v>6087</v>
      </c>
      <c r="J227" s="5" t="s">
        <v>6220</v>
      </c>
      <c r="K227" t="s">
        <v>9969</v>
      </c>
    </row>
    <row r="228" spans="1:11" x14ac:dyDescent="0.3">
      <c r="A228" s="1">
        <v>45919</v>
      </c>
      <c r="B228" s="5" t="s">
        <v>8370</v>
      </c>
      <c r="C228" t="str">
        <f>IF(B228="","",IFERROR(INDEX(Clientes!$A:$A,MATCH(B228,Clientes!$B:$B,0)),"(CPF não cadastrado)"))</f>
        <v>Bianca Martins</v>
      </c>
      <c r="D228" s="24">
        <v>500</v>
      </c>
      <c r="E228" s="7">
        <v>50</v>
      </c>
      <c r="F228" s="7">
        <f>D228/100*LOOKUP(A228,'Regras e Parâmetros'!$A$11:$A$12,'Regras e Parâmetros'!$B$11:$B$12)</f>
        <v>25</v>
      </c>
      <c r="G228" s="7">
        <f t="shared" si="3"/>
        <v>25</v>
      </c>
      <c r="H228" t="s">
        <v>110</v>
      </c>
      <c r="J228" s="5" t="s">
        <v>3521</v>
      </c>
      <c r="K228" t="s">
        <v>9968</v>
      </c>
    </row>
    <row r="229" spans="1:11" x14ac:dyDescent="0.3">
      <c r="A229" s="1">
        <v>45922</v>
      </c>
      <c r="B229" s="5" t="s">
        <v>7095</v>
      </c>
      <c r="C229" t="str">
        <f>IF(B229="","",IFERROR(INDEX(Clientes!$A:$A,MATCH(B229,Clientes!$B:$B,0)),"(CPF não cadastrado)"))</f>
        <v>Sabrina Silva</v>
      </c>
      <c r="D229" s="24">
        <v>1200</v>
      </c>
      <c r="E229" s="7">
        <v>120</v>
      </c>
      <c r="F229" s="7">
        <f>D229/100*LOOKUP(A229,'Regras e Parâmetros'!$A$11:$A$12,'Regras e Parâmetros'!$B$11:$B$12)</f>
        <v>60</v>
      </c>
      <c r="G229" s="7">
        <f t="shared" si="3"/>
        <v>60</v>
      </c>
      <c r="H229" t="s">
        <v>45</v>
      </c>
      <c r="J229" s="5" t="s">
        <v>1239</v>
      </c>
      <c r="K229" t="s">
        <v>9968</v>
      </c>
    </row>
    <row r="230" spans="1:11" x14ac:dyDescent="0.3">
      <c r="A230" s="1">
        <v>45924</v>
      </c>
      <c r="B230" s="5" t="s">
        <v>6221</v>
      </c>
      <c r="C230" t="str">
        <f>IF(B230="","",IFERROR(INDEX(Clientes!$A:$A,MATCH(B230,Clientes!$B:$B,0)),"(CPF não cadastrado)"))</f>
        <v>Wesley Silva</v>
      </c>
      <c r="D230" s="24">
        <v>1000</v>
      </c>
      <c r="E230" s="7">
        <v>50</v>
      </c>
      <c r="F230" s="7">
        <f>D230/100*LOOKUP(A230,'Regras e Parâmetros'!$A$11:$A$12,'Regras e Parâmetros'!$B$11:$B$12)</f>
        <v>50</v>
      </c>
      <c r="G230" s="7">
        <f t="shared" si="3"/>
        <v>0</v>
      </c>
      <c r="H230" t="s">
        <v>100</v>
      </c>
      <c r="I230" t="s">
        <v>6176</v>
      </c>
      <c r="J230" s="5" t="s">
        <v>6221</v>
      </c>
      <c r="K230" t="s">
        <v>9968</v>
      </c>
    </row>
    <row r="231" spans="1:11" x14ac:dyDescent="0.3">
      <c r="A231" s="1">
        <v>45926</v>
      </c>
      <c r="B231" s="5" t="s">
        <v>3516</v>
      </c>
      <c r="C231" t="str">
        <f>IF(B231="","",IFERROR(INDEX(Clientes!$A:$A,MATCH(B231,Clientes!$B:$B,0)),"(CPF não cadastrado)"))</f>
        <v>Laura Barros</v>
      </c>
      <c r="D231" s="24">
        <v>1300</v>
      </c>
      <c r="E231" s="7">
        <v>130</v>
      </c>
      <c r="F231" s="7">
        <f>D231/100*LOOKUP(A231,'Regras e Parâmetros'!$A$11:$A$12,'Regras e Parâmetros'!$B$11:$B$12)</f>
        <v>65</v>
      </c>
      <c r="G231" s="7">
        <f t="shared" si="3"/>
        <v>65</v>
      </c>
      <c r="H231" t="s">
        <v>18</v>
      </c>
      <c r="J231" s="5" t="s">
        <v>6222</v>
      </c>
      <c r="K231" t="s">
        <v>9968</v>
      </c>
    </row>
    <row r="232" spans="1:11" x14ac:dyDescent="0.3">
      <c r="A232" s="1">
        <v>45932</v>
      </c>
      <c r="B232" s="5" t="s">
        <v>8244</v>
      </c>
      <c r="C232" t="str">
        <f>IF(B232="","",IFERROR(INDEX(Clientes!$A:$A,MATCH(B232,Clientes!$B:$B,0)),"(CPF não cadastrado)"))</f>
        <v>Bernardo Andrade Carvalho</v>
      </c>
      <c r="D232" s="24">
        <v>1000</v>
      </c>
      <c r="E232" s="7">
        <v>100</v>
      </c>
      <c r="F232" s="7">
        <f>D232/100*LOOKUP(A232,'Regras e Parâmetros'!$A$11:$A$12,'Regras e Parâmetros'!$B$11:$B$12)</f>
        <v>50</v>
      </c>
      <c r="G232" s="7">
        <f t="shared" si="3"/>
        <v>50</v>
      </c>
      <c r="H232" t="s">
        <v>45</v>
      </c>
      <c r="J232" s="5" t="s">
        <v>6223</v>
      </c>
      <c r="K232" t="s">
        <v>9968</v>
      </c>
    </row>
    <row r="233" spans="1:11" x14ac:dyDescent="0.3">
      <c r="A233" s="1">
        <v>45933</v>
      </c>
      <c r="B233" s="5" t="s">
        <v>2288</v>
      </c>
      <c r="C233" t="str">
        <f>IF(B233="","",IFERROR(INDEX(Clientes!$A:$A,MATCH(B233,Clientes!$B:$B,0)),"(CPF não cadastrado)"))</f>
        <v>Hugo Peixoto</v>
      </c>
      <c r="D233" s="24">
        <v>500</v>
      </c>
      <c r="E233" s="7">
        <v>50</v>
      </c>
      <c r="F233" s="7">
        <f>D233/100*LOOKUP(A233,'Regras e Parâmetros'!$A$11:$A$12,'Regras e Parâmetros'!$B$11:$B$12)</f>
        <v>25</v>
      </c>
      <c r="G233" s="7">
        <f t="shared" si="3"/>
        <v>25</v>
      </c>
      <c r="H233" t="s">
        <v>110</v>
      </c>
      <c r="J233" s="5" t="s">
        <v>6224</v>
      </c>
      <c r="K233" t="s">
        <v>9968</v>
      </c>
    </row>
    <row r="234" spans="1:11" x14ac:dyDescent="0.3">
      <c r="A234" s="1">
        <v>45933</v>
      </c>
      <c r="B234" s="5" t="s">
        <v>7223</v>
      </c>
      <c r="C234" t="str">
        <f>IF(B234="","",IFERROR(INDEX(Clientes!$A:$A,MATCH(B234,Clientes!$B:$B,0)),"(CPF não cadastrado)"))</f>
        <v>Bianca Rocha Barbosa</v>
      </c>
      <c r="D234" s="24">
        <v>1000</v>
      </c>
      <c r="E234" s="7">
        <v>100</v>
      </c>
      <c r="F234" s="7">
        <f>D234/100*LOOKUP(A234,'Regras e Parâmetros'!$A$11:$A$12,'Regras e Parâmetros'!$B$11:$B$12)</f>
        <v>50</v>
      </c>
      <c r="G234" s="7">
        <f t="shared" si="3"/>
        <v>50</v>
      </c>
      <c r="H234" t="s">
        <v>45</v>
      </c>
      <c r="J234" s="5" t="s">
        <v>6187</v>
      </c>
      <c r="K234" t="s">
        <v>9968</v>
      </c>
    </row>
    <row r="235" spans="1:11" x14ac:dyDescent="0.3">
      <c r="A235" s="1">
        <v>45933</v>
      </c>
      <c r="B235" s="5" t="s">
        <v>2004</v>
      </c>
      <c r="C235" t="str">
        <f>IF(B235="","",IFERROR(INDEX(Clientes!$A:$A,MATCH(B235,Clientes!$B:$B,0)),"(CPF não cadastrado)"))</f>
        <v>Cauã Lima Santana</v>
      </c>
      <c r="D235" s="24">
        <v>1500</v>
      </c>
      <c r="E235" s="7">
        <v>150</v>
      </c>
      <c r="F235" s="7">
        <f>D235/100*LOOKUP(A235,'Regras e Parâmetros'!$A$11:$A$12,'Regras e Parâmetros'!$B$11:$B$12)</f>
        <v>75</v>
      </c>
      <c r="G235" s="7">
        <f t="shared" si="3"/>
        <v>75</v>
      </c>
      <c r="H235" t="s">
        <v>45</v>
      </c>
      <c r="J235" s="5" t="s">
        <v>6225</v>
      </c>
      <c r="K235" t="s">
        <v>9968</v>
      </c>
    </row>
    <row r="236" spans="1:11" x14ac:dyDescent="0.3">
      <c r="A236" s="1">
        <v>45935</v>
      </c>
      <c r="B236" s="5" t="s">
        <v>8340</v>
      </c>
      <c r="C236" t="str">
        <f>IF(B236="","",IFERROR(INDEX(Clientes!$A:$A,MATCH(B236,Clientes!$B:$B,0)),"(CPF não cadastrado)"))</f>
        <v>Paula Santos Peixoto</v>
      </c>
      <c r="D236" s="24">
        <v>300</v>
      </c>
      <c r="E236" s="7">
        <v>30</v>
      </c>
      <c r="F236" s="7">
        <f>D236/100*LOOKUP(A236,'Regras e Parâmetros'!$A$11:$A$12,'Regras e Parâmetros'!$B$11:$B$12)</f>
        <v>15</v>
      </c>
      <c r="G236" s="7">
        <f t="shared" si="3"/>
        <v>15</v>
      </c>
      <c r="H236" t="s">
        <v>45</v>
      </c>
      <c r="J236" s="5" t="s">
        <v>6226</v>
      </c>
      <c r="K236" t="s">
        <v>9968</v>
      </c>
    </row>
    <row r="237" spans="1:11" x14ac:dyDescent="0.3">
      <c r="A237" s="1">
        <v>45937</v>
      </c>
      <c r="B237" s="5" t="s">
        <v>2867</v>
      </c>
      <c r="C237" t="str">
        <f>IF(B237="","",IFERROR(INDEX(Clientes!$A:$A,MATCH(B237,Clientes!$B:$B,0)),"(CPF não cadastrado)"))</f>
        <v>Melissa Correia Santos</v>
      </c>
      <c r="D237" s="24">
        <v>300</v>
      </c>
      <c r="E237" s="7">
        <v>30</v>
      </c>
      <c r="F237" s="7">
        <f>D237/100*LOOKUP(A237,'Regras e Parâmetros'!$A$11:$A$12,'Regras e Parâmetros'!$B$11:$B$12)</f>
        <v>15</v>
      </c>
      <c r="G237" s="7">
        <f t="shared" si="3"/>
        <v>15</v>
      </c>
      <c r="H237" t="s">
        <v>18</v>
      </c>
      <c r="J237" s="5" t="s">
        <v>6227</v>
      </c>
      <c r="K237" t="s">
        <v>9968</v>
      </c>
    </row>
    <row r="238" spans="1:11" x14ac:dyDescent="0.3">
      <c r="A238" s="1">
        <v>45938</v>
      </c>
      <c r="B238" s="5" t="s">
        <v>6228</v>
      </c>
      <c r="C238" t="str">
        <f>IF(B238="","",IFERROR(INDEX(Clientes!$A:$A,MATCH(B238,Clientes!$B:$B,0)),"(CPF não cadastrado)"))</f>
        <v>Melissa Mendes Moreira</v>
      </c>
      <c r="D238" s="24">
        <v>300</v>
      </c>
      <c r="E238" s="7">
        <v>15</v>
      </c>
      <c r="F238" s="7">
        <f>D238/100*LOOKUP(A238,'Regras e Parâmetros'!$A$11:$A$12,'Regras e Parâmetros'!$B$11:$B$12)</f>
        <v>15</v>
      </c>
      <c r="G238" s="7">
        <f t="shared" si="3"/>
        <v>0</v>
      </c>
      <c r="H238" t="s">
        <v>110</v>
      </c>
      <c r="I238" t="s">
        <v>6081</v>
      </c>
      <c r="J238" s="5" t="s">
        <v>6228</v>
      </c>
      <c r="K238" t="s">
        <v>9968</v>
      </c>
    </row>
    <row r="239" spans="1:11" x14ac:dyDescent="0.3">
      <c r="A239" s="1">
        <v>45938</v>
      </c>
      <c r="B239" s="5" t="s">
        <v>194</v>
      </c>
      <c r="C239" t="str">
        <f>IF(B239="","",IFERROR(INDEX(Clientes!$A:$A,MATCH(B239,Clientes!$B:$B,0)),"(CPF não cadastrado)"))</f>
        <v>Rebeca Vieira Araujo</v>
      </c>
      <c r="D239" s="24">
        <v>500</v>
      </c>
      <c r="E239" s="7">
        <v>50</v>
      </c>
      <c r="F239" s="7">
        <f>D239/100*LOOKUP(A239,'Regras e Parâmetros'!$A$11:$A$12,'Regras e Parâmetros'!$B$11:$B$12)</f>
        <v>25</v>
      </c>
      <c r="G239" s="7">
        <f t="shared" si="3"/>
        <v>25</v>
      </c>
      <c r="H239" t="s">
        <v>45</v>
      </c>
      <c r="J239" s="5" t="s">
        <v>6229</v>
      </c>
      <c r="K239" t="s">
        <v>9968</v>
      </c>
    </row>
    <row r="240" spans="1:11" x14ac:dyDescent="0.3">
      <c r="A240" s="1">
        <v>45942</v>
      </c>
      <c r="B240" s="5" t="s">
        <v>8388</v>
      </c>
      <c r="C240" t="str">
        <f>IF(B240="","",IFERROR(INDEX(Clientes!$A:$A,MATCH(B240,Clientes!$B:$B,0)),"(CPF não cadastrado)"))</f>
        <v>Laura Nascimento</v>
      </c>
      <c r="D240" s="24">
        <v>500</v>
      </c>
      <c r="E240" s="7">
        <v>50</v>
      </c>
      <c r="F240" s="7">
        <f>D240/100*LOOKUP(A240,'Regras e Parâmetros'!$A$11:$A$12,'Regras e Parâmetros'!$B$11:$B$12)</f>
        <v>25</v>
      </c>
      <c r="G240" s="7">
        <f t="shared" si="3"/>
        <v>25</v>
      </c>
      <c r="H240" t="s">
        <v>110</v>
      </c>
      <c r="J240" s="5" t="s">
        <v>6230</v>
      </c>
      <c r="K240" t="s">
        <v>9968</v>
      </c>
    </row>
    <row r="241" spans="1:11" x14ac:dyDescent="0.3">
      <c r="A241" s="1">
        <v>45945</v>
      </c>
      <c r="B241" s="5" t="s">
        <v>8294</v>
      </c>
      <c r="C241" t="str">
        <f>IF(B241="","",IFERROR(INDEX(Clientes!$A:$A,MATCH(B241,Clientes!$B:$B,0)),"(CPF não cadastrado)"))</f>
        <v>Paula Soares Alves</v>
      </c>
      <c r="D241" s="24">
        <v>1500</v>
      </c>
      <c r="E241" s="7">
        <v>150</v>
      </c>
      <c r="F241" s="7">
        <f>D241/100*LOOKUP(A241,'Regras e Parâmetros'!$A$11:$A$12,'Regras e Parâmetros'!$B$11:$B$12)</f>
        <v>75</v>
      </c>
      <c r="G241" s="7">
        <f t="shared" si="3"/>
        <v>75</v>
      </c>
      <c r="H241" t="s">
        <v>110</v>
      </c>
      <c r="J241" s="5" t="s">
        <v>6231</v>
      </c>
      <c r="K241" t="s">
        <v>9968</v>
      </c>
    </row>
    <row r="242" spans="1:11" x14ac:dyDescent="0.3">
      <c r="A242" s="1">
        <v>45946</v>
      </c>
      <c r="B242" s="5" t="s">
        <v>7585</v>
      </c>
      <c r="C242" t="str">
        <f>IF(B242="","",IFERROR(INDEX(Clientes!$A:$A,MATCH(B242,Clientes!$B:$B,0)),"(CPF não cadastrado)"))</f>
        <v>Eduarda Goncalves</v>
      </c>
      <c r="D242" s="24">
        <v>300</v>
      </c>
      <c r="E242" s="7">
        <v>30</v>
      </c>
      <c r="F242" s="7">
        <f>D242/100*LOOKUP(A242,'Regras e Parâmetros'!$A$11:$A$12,'Regras e Parâmetros'!$B$11:$B$12)</f>
        <v>15</v>
      </c>
      <c r="G242" s="7">
        <f t="shared" si="3"/>
        <v>15</v>
      </c>
      <c r="H242" t="s">
        <v>22</v>
      </c>
      <c r="J242" s="5" t="s">
        <v>6162</v>
      </c>
      <c r="K242" t="s">
        <v>9968</v>
      </c>
    </row>
    <row r="243" spans="1:11" x14ac:dyDescent="0.3">
      <c r="A243" s="1">
        <v>45950</v>
      </c>
      <c r="B243" s="5" t="s">
        <v>7175</v>
      </c>
      <c r="C243" t="str">
        <f>IF(B243="","",IFERROR(INDEX(Clientes!$A:$A,MATCH(B243,Clientes!$B:$B,0)),"(CPF não cadastrado)"))</f>
        <v>Tainá Fonseca Freitas</v>
      </c>
      <c r="D243" s="24">
        <v>500</v>
      </c>
      <c r="E243" s="7">
        <v>50</v>
      </c>
      <c r="F243" s="7">
        <f>D243/100*LOOKUP(A243,'Regras e Parâmetros'!$A$11:$A$12,'Regras e Parâmetros'!$B$11:$B$12)</f>
        <v>25</v>
      </c>
      <c r="G243" s="7">
        <f t="shared" si="3"/>
        <v>25</v>
      </c>
      <c r="H243" t="s">
        <v>45</v>
      </c>
      <c r="J243" s="5" t="s">
        <v>6232</v>
      </c>
      <c r="K243" t="s">
        <v>9968</v>
      </c>
    </row>
    <row r="244" spans="1:11" x14ac:dyDescent="0.3">
      <c r="A244" s="1">
        <v>45951</v>
      </c>
      <c r="B244" s="5" t="s">
        <v>1743</v>
      </c>
      <c r="C244" t="str">
        <f>IF(B244="","",IFERROR(INDEX(Clientes!$A:$A,MATCH(B244,Clientes!$B:$B,0)),"(CPF não cadastrado)"))</f>
        <v>Júlia Rocha Santana</v>
      </c>
      <c r="D244" s="24">
        <v>500</v>
      </c>
      <c r="E244" s="7">
        <v>50</v>
      </c>
      <c r="F244" s="7">
        <f>D244/100*LOOKUP(A244,'Regras e Parâmetros'!$A$11:$A$12,'Regras e Parâmetros'!$B$11:$B$12)</f>
        <v>25</v>
      </c>
      <c r="G244" s="7">
        <f t="shared" si="3"/>
        <v>25</v>
      </c>
      <c r="H244" t="s">
        <v>45</v>
      </c>
      <c r="J244" s="5" t="s">
        <v>6233</v>
      </c>
      <c r="K244" t="s">
        <v>9968</v>
      </c>
    </row>
    <row r="245" spans="1:11" x14ac:dyDescent="0.3">
      <c r="A245" s="1">
        <v>45952</v>
      </c>
      <c r="B245" s="5" t="s">
        <v>7971</v>
      </c>
      <c r="C245" t="str">
        <f>IF(B245="","",IFERROR(INDEX(Clientes!$A:$A,MATCH(B245,Clientes!$B:$B,0)),"(CPF não cadastrado)"))</f>
        <v>Manuela Fonseca</v>
      </c>
      <c r="D245" s="24">
        <v>400</v>
      </c>
      <c r="E245" s="7">
        <v>40</v>
      </c>
      <c r="F245" s="7">
        <f>D245/100*LOOKUP(A245,'Regras e Parâmetros'!$A$11:$A$12,'Regras e Parâmetros'!$B$11:$B$12)</f>
        <v>20</v>
      </c>
      <c r="G245" s="7">
        <f t="shared" si="3"/>
        <v>20</v>
      </c>
      <c r="H245" t="s">
        <v>45</v>
      </c>
      <c r="J245" s="5" t="s">
        <v>6234</v>
      </c>
      <c r="K245" t="s">
        <v>9968</v>
      </c>
    </row>
    <row r="246" spans="1:11" x14ac:dyDescent="0.3">
      <c r="A246" s="1">
        <v>45953</v>
      </c>
      <c r="B246" s="5" t="s">
        <v>1980</v>
      </c>
      <c r="C246" t="str">
        <f>IF(B246="","",IFERROR(INDEX(Clientes!$A:$A,MATCH(B246,Clientes!$B:$B,0)),"(CPF não cadastrado)"))</f>
        <v>Clara Martins</v>
      </c>
      <c r="D246" s="24">
        <v>1800</v>
      </c>
      <c r="E246" s="7">
        <v>180</v>
      </c>
      <c r="F246" s="7">
        <f>D246/100*LOOKUP(A246,'Regras e Parâmetros'!$A$11:$A$12,'Regras e Parâmetros'!$B$11:$B$12)</f>
        <v>90</v>
      </c>
      <c r="G246" s="7">
        <f t="shared" si="3"/>
        <v>90</v>
      </c>
      <c r="H246" t="s">
        <v>110</v>
      </c>
      <c r="J246" s="5" t="s">
        <v>6235</v>
      </c>
      <c r="K246" t="s">
        <v>9968</v>
      </c>
    </row>
    <row r="247" spans="1:11" x14ac:dyDescent="0.3">
      <c r="A247" s="1">
        <v>45954</v>
      </c>
      <c r="B247" s="5" t="s">
        <v>7086</v>
      </c>
      <c r="C247" t="str">
        <f>IF(B247="","",IFERROR(INDEX(Clientes!$A:$A,MATCH(B247,Clientes!$B:$B,0)),"(CPF não cadastrado)"))</f>
        <v>Nicole Santana Barbosa</v>
      </c>
      <c r="D247" s="24">
        <v>900</v>
      </c>
      <c r="E247" s="7">
        <v>90</v>
      </c>
      <c r="F247" s="7">
        <f>D247/100*LOOKUP(A247,'Regras e Parâmetros'!$A$11:$A$12,'Regras e Parâmetros'!$B$11:$B$12)</f>
        <v>45</v>
      </c>
      <c r="G247" s="7">
        <f t="shared" si="3"/>
        <v>45</v>
      </c>
      <c r="H247" t="s">
        <v>45</v>
      </c>
      <c r="J247" s="5" t="s">
        <v>6236</v>
      </c>
      <c r="K247" t="s">
        <v>9968</v>
      </c>
    </row>
    <row r="248" spans="1:11" x14ac:dyDescent="0.3">
      <c r="A248" s="1">
        <v>45956</v>
      </c>
      <c r="B248" s="5" t="s">
        <v>6052</v>
      </c>
      <c r="C248" t="str">
        <f>IF(B248="","",IFERROR(INDEX(Clientes!$A:$A,MATCH(B248,Clientes!$B:$B,0)),"(CPF não cadastrado)"))</f>
        <v>Camila Andrade</v>
      </c>
      <c r="D248" s="24">
        <v>1500</v>
      </c>
      <c r="E248" s="7">
        <v>150</v>
      </c>
      <c r="F248" s="7">
        <f>D248/100*LOOKUP(A248,'Regras e Parâmetros'!$A$11:$A$12,'Regras e Parâmetros'!$B$11:$B$12)</f>
        <v>75</v>
      </c>
      <c r="G248" s="7">
        <f t="shared" si="3"/>
        <v>75</v>
      </c>
      <c r="H248" t="s">
        <v>110</v>
      </c>
      <c r="J248" s="5" t="s">
        <v>2173</v>
      </c>
      <c r="K248" t="s">
        <v>9968</v>
      </c>
    </row>
    <row r="249" spans="1:11" x14ac:dyDescent="0.3">
      <c r="A249" s="1">
        <v>45956</v>
      </c>
      <c r="B249" s="5" t="s">
        <v>2288</v>
      </c>
      <c r="C249" t="str">
        <f>IF(B249="","",IFERROR(INDEX(Clientes!$A:$A,MATCH(B249,Clientes!$B:$B,0)),"(CPF não cadastrado)"))</f>
        <v>Hugo Peixoto</v>
      </c>
      <c r="D249" s="24">
        <v>300</v>
      </c>
      <c r="E249" s="7">
        <v>15</v>
      </c>
      <c r="F249" s="7">
        <f>D249/100*LOOKUP(A249,'Regras e Parâmetros'!$A$11:$A$12,'Regras e Parâmetros'!$B$11:$B$12)</f>
        <v>15</v>
      </c>
      <c r="G249" s="7">
        <f t="shared" si="3"/>
        <v>0</v>
      </c>
      <c r="H249" t="s">
        <v>18</v>
      </c>
      <c r="I249" t="s">
        <v>6125</v>
      </c>
      <c r="J249" s="5" t="s">
        <v>6237</v>
      </c>
      <c r="K249" t="s">
        <v>10279</v>
      </c>
    </row>
    <row r="250" spans="1:11" x14ac:dyDescent="0.3">
      <c r="A250" s="1">
        <v>45956</v>
      </c>
      <c r="B250" s="5" t="s">
        <v>529</v>
      </c>
      <c r="C250" t="str">
        <f>IF(B250="","",IFERROR(INDEX(Clientes!$A:$A,MATCH(B250,Clientes!$B:$B,0)),"(CPF não cadastrado)"))</f>
        <v>Enzo Ferreira Batista</v>
      </c>
      <c r="D250" s="24">
        <v>500</v>
      </c>
      <c r="E250" s="7">
        <v>50</v>
      </c>
      <c r="F250" s="7">
        <f>D250/100*LOOKUP(A250,'Regras e Parâmetros'!$A$11:$A$12,'Regras e Parâmetros'!$B$11:$B$12)</f>
        <v>25</v>
      </c>
      <c r="G250" s="7">
        <f t="shared" si="3"/>
        <v>25</v>
      </c>
      <c r="H250" t="s">
        <v>18</v>
      </c>
      <c r="J250" s="5" t="s">
        <v>6129</v>
      </c>
      <c r="K250" t="s">
        <v>9968</v>
      </c>
    </row>
    <row r="251" spans="1:11" x14ac:dyDescent="0.3">
      <c r="A251" s="1">
        <v>45956</v>
      </c>
      <c r="B251" s="5" t="s">
        <v>8871</v>
      </c>
      <c r="C251" t="str">
        <f>IF(B251="","",IFERROR(INDEX(Clientes!$A:$A,MATCH(B251,Clientes!$B:$B,0)),"(CPF não cadastrado)"))</f>
        <v>Carolina Rodrigues</v>
      </c>
      <c r="D251" s="24">
        <v>300</v>
      </c>
      <c r="E251" s="7">
        <v>15</v>
      </c>
      <c r="F251" s="7">
        <f>D251/100*LOOKUP(A251,'Regras e Parâmetros'!$A$11:$A$12,'Regras e Parâmetros'!$B$11:$B$12)</f>
        <v>15</v>
      </c>
      <c r="G251" s="7">
        <f t="shared" si="3"/>
        <v>0</v>
      </c>
      <c r="H251" t="s">
        <v>100</v>
      </c>
      <c r="I251" t="s">
        <v>6291</v>
      </c>
      <c r="J251" s="5" t="s">
        <v>6238</v>
      </c>
      <c r="K251" t="s">
        <v>10280</v>
      </c>
    </row>
    <row r="252" spans="1:11" x14ac:dyDescent="0.3">
      <c r="A252" s="1">
        <v>45957</v>
      </c>
      <c r="B252" s="5" t="s">
        <v>8837</v>
      </c>
      <c r="C252" t="str">
        <f>IF(B252="","",IFERROR(INDEX(Clientes!$A:$A,MATCH(B252,Clientes!$B:$B,0)),"(CPF não cadastrado)"))</f>
        <v>Bianca Dias Costa</v>
      </c>
      <c r="D252" s="24">
        <v>1300</v>
      </c>
      <c r="E252" s="7">
        <v>130</v>
      </c>
      <c r="F252" s="7">
        <f>D252/100*LOOKUP(A252,'Regras e Parâmetros'!$A$11:$A$12,'Regras e Parâmetros'!$B$11:$B$12)</f>
        <v>65</v>
      </c>
      <c r="G252" s="7">
        <f t="shared" si="3"/>
        <v>65</v>
      </c>
      <c r="H252" t="s">
        <v>45</v>
      </c>
      <c r="J252" s="5" t="s">
        <v>6239</v>
      </c>
      <c r="K252" t="s">
        <v>9968</v>
      </c>
    </row>
    <row r="253" spans="1:11" x14ac:dyDescent="0.3">
      <c r="A253" s="1">
        <v>45958</v>
      </c>
      <c r="B253" s="5" t="s">
        <v>4148</v>
      </c>
      <c r="C253" t="str">
        <f>IF(B253="","",IFERROR(INDEX(Clientes!$A:$A,MATCH(B253,Clientes!$B:$B,0)),"(CPF não cadastrado)"))</f>
        <v>Bianca P. Freitas</v>
      </c>
      <c r="D253" s="24">
        <v>500</v>
      </c>
      <c r="E253" s="7">
        <v>50</v>
      </c>
      <c r="F253" s="7">
        <f>D253/100*LOOKUP(A253,'Regras e Parâmetros'!$A$11:$A$12,'Regras e Parâmetros'!$B$11:$B$12)</f>
        <v>25</v>
      </c>
      <c r="G253" s="7">
        <f t="shared" si="3"/>
        <v>25</v>
      </c>
      <c r="H253" t="s">
        <v>45</v>
      </c>
      <c r="J253" s="5" t="s">
        <v>6240</v>
      </c>
      <c r="K253" t="s">
        <v>9968</v>
      </c>
    </row>
    <row r="254" spans="1:11" x14ac:dyDescent="0.3">
      <c r="A254" s="1">
        <v>45959</v>
      </c>
      <c r="B254" s="5" t="s">
        <v>7840</v>
      </c>
      <c r="C254" t="str">
        <f>IF(B254="","",IFERROR(INDEX(Clientes!$A:$A,MATCH(B254,Clientes!$B:$B,0)),"(CPF não cadastrado)"))</f>
        <v>Melissa Rocha Alves</v>
      </c>
      <c r="D254" s="24">
        <v>1000</v>
      </c>
      <c r="E254" s="7">
        <v>100</v>
      </c>
      <c r="F254" s="7">
        <f>D254/100*LOOKUP(A254,'Regras e Parâmetros'!$A$11:$A$12,'Regras e Parâmetros'!$B$11:$B$12)</f>
        <v>50</v>
      </c>
      <c r="G254" s="7">
        <f t="shared" si="3"/>
        <v>50</v>
      </c>
      <c r="H254" t="s">
        <v>45</v>
      </c>
      <c r="J254" s="5" t="s">
        <v>6163</v>
      </c>
      <c r="K254" t="s">
        <v>9968</v>
      </c>
    </row>
    <row r="255" spans="1:11" x14ac:dyDescent="0.3">
      <c r="A255" s="1">
        <v>45961</v>
      </c>
      <c r="B255" s="5" t="s">
        <v>1833</v>
      </c>
      <c r="C255" t="str">
        <f>IF(B255="","",IFERROR(INDEX(Clientes!$A:$A,MATCH(B255,Clientes!$B:$B,0)),"(CPF não cadastrado)"))</f>
        <v>Vitória Gonçalves</v>
      </c>
      <c r="D255" s="24">
        <v>1600</v>
      </c>
      <c r="E255" s="7">
        <v>160</v>
      </c>
      <c r="F255" s="7">
        <f>D255/100*LOOKUP(A255,'Regras e Parâmetros'!$A$11:$A$12,'Regras e Parâmetros'!$B$11:$B$12)</f>
        <v>80</v>
      </c>
      <c r="G255" s="7">
        <f t="shared" si="3"/>
        <v>80</v>
      </c>
      <c r="H255" t="s">
        <v>45</v>
      </c>
      <c r="J255" s="5" t="s">
        <v>6241</v>
      </c>
      <c r="K255" t="s">
        <v>9968</v>
      </c>
    </row>
    <row r="256" spans="1:11" x14ac:dyDescent="0.3">
      <c r="A256" s="1">
        <v>45961</v>
      </c>
      <c r="B256" s="5" t="s">
        <v>6175</v>
      </c>
      <c r="C256" t="str">
        <f>IF(B256="","",IFERROR(INDEX(Clientes!$A:$A,MATCH(B256,Clientes!$B:$B,0)),"(CPF não cadastrado)"))</f>
        <v>Yasmin Teixeira</v>
      </c>
      <c r="D256" s="24">
        <v>2000</v>
      </c>
      <c r="E256" s="7">
        <v>200</v>
      </c>
      <c r="F256" s="7">
        <f>D256/100*LOOKUP(A256,'Regras e Parâmetros'!$A$11:$A$12,'Regras e Parâmetros'!$B$11:$B$12)</f>
        <v>100</v>
      </c>
      <c r="G256" s="7">
        <f t="shared" si="3"/>
        <v>100</v>
      </c>
      <c r="H256" t="s">
        <v>45</v>
      </c>
      <c r="J256" s="5" t="s">
        <v>3795</v>
      </c>
      <c r="K256" t="s">
        <v>9968</v>
      </c>
    </row>
    <row r="257" spans="1:11" x14ac:dyDescent="0.3">
      <c r="A257" s="1">
        <v>45962</v>
      </c>
      <c r="B257" s="5" t="s">
        <v>9092</v>
      </c>
      <c r="C257" t="str">
        <f>IF(B257="","",IFERROR(INDEX(Clientes!$A:$A,MATCH(B257,Clientes!$B:$B,0)),"(CPF não cadastrado)"))</f>
        <v>Paulo Santos Costa</v>
      </c>
      <c r="D257" s="24">
        <v>1000</v>
      </c>
      <c r="E257" s="7">
        <v>100</v>
      </c>
      <c r="F257" s="7">
        <f>D257/100*LOOKUP(A257,'Regras e Parâmetros'!$A$11:$A$12,'Regras e Parâmetros'!$B$11:$B$12)</f>
        <v>50</v>
      </c>
      <c r="G257" s="7">
        <f t="shared" si="3"/>
        <v>50</v>
      </c>
      <c r="H257" t="s">
        <v>22</v>
      </c>
      <c r="J257" s="5" t="s">
        <v>6242</v>
      </c>
      <c r="K257" t="s">
        <v>9968</v>
      </c>
    </row>
    <row r="258" spans="1:11" x14ac:dyDescent="0.3">
      <c r="A258" s="1">
        <v>45963</v>
      </c>
      <c r="B258" s="5" t="s">
        <v>3913</v>
      </c>
      <c r="C258" t="str">
        <f>IF(B258="","",IFERROR(INDEX(Clientes!$A:$A,MATCH(B258,Clientes!$B:$B,0)),"(CPF não cadastrado)"))</f>
        <v>Thaís Ferreira</v>
      </c>
      <c r="D258" s="24">
        <v>900</v>
      </c>
      <c r="E258" s="7">
        <v>90</v>
      </c>
      <c r="F258" s="7">
        <f>D258/100*LOOKUP(A258,'Regras e Parâmetros'!$A$11:$A$12,'Regras e Parâmetros'!$B$11:$B$12)</f>
        <v>45</v>
      </c>
      <c r="G258" s="7">
        <f t="shared" si="3"/>
        <v>45</v>
      </c>
      <c r="H258" t="s">
        <v>100</v>
      </c>
      <c r="J258" s="5" t="s">
        <v>6243</v>
      </c>
      <c r="K258" t="s">
        <v>9968</v>
      </c>
    </row>
    <row r="259" spans="1:11" x14ac:dyDescent="0.3">
      <c r="A259" s="1">
        <v>45969</v>
      </c>
      <c r="B259" s="5" t="s">
        <v>153</v>
      </c>
      <c r="C259" t="str">
        <f>IF(B259="","",IFERROR(INDEX(Clientes!$A:$A,MATCH(B259,Clientes!$B:$B,0)),"(CPF não cadastrado)"))</f>
        <v>Heloísa Freitas</v>
      </c>
      <c r="D259" s="24">
        <v>1000</v>
      </c>
      <c r="E259" s="7">
        <v>100</v>
      </c>
      <c r="F259" s="7">
        <f>D259/100*LOOKUP(A259,'Regras e Parâmetros'!$A$11:$A$12,'Regras e Parâmetros'!$B$11:$B$12)</f>
        <v>50</v>
      </c>
      <c r="G259" s="7">
        <f t="shared" ref="G259:G322" si="4">E259-F259</f>
        <v>50</v>
      </c>
      <c r="H259" t="s">
        <v>45</v>
      </c>
      <c r="J259" s="5" t="s">
        <v>6244</v>
      </c>
      <c r="K259" t="s">
        <v>9968</v>
      </c>
    </row>
    <row r="260" spans="1:11" x14ac:dyDescent="0.3">
      <c r="A260" s="1">
        <v>45970</v>
      </c>
      <c r="B260" s="5" t="s">
        <v>7951</v>
      </c>
      <c r="C260" t="str">
        <f>IF(B260="","",IFERROR(INDEX(Clientes!$A:$A,MATCH(B260,Clientes!$B:$B,0)),"(CPF não cadastrado)"))</f>
        <v>Heloísa Carvalho Gonçalves</v>
      </c>
      <c r="D260" s="24">
        <v>900</v>
      </c>
      <c r="E260" s="7">
        <v>90</v>
      </c>
      <c r="F260" s="7">
        <f>D260/100*LOOKUP(A260,'Regras e Parâmetros'!$A$11:$A$12,'Regras e Parâmetros'!$B$11:$B$12)</f>
        <v>45</v>
      </c>
      <c r="G260" s="7">
        <f t="shared" si="4"/>
        <v>45</v>
      </c>
      <c r="H260" t="s">
        <v>45</v>
      </c>
      <c r="J260" s="5" t="s">
        <v>6245</v>
      </c>
      <c r="K260" t="s">
        <v>9968</v>
      </c>
    </row>
    <row r="261" spans="1:11" x14ac:dyDescent="0.3">
      <c r="A261" s="1">
        <v>45972</v>
      </c>
      <c r="B261" s="5" t="s">
        <v>2246</v>
      </c>
      <c r="C261" t="str">
        <f>IF(B261="","",IFERROR(INDEX(Clientes!$A:$A,MATCH(B261,Clientes!$B:$B,0)),"(CPF não cadastrado)"))</f>
        <v>Tainá C. Moreira</v>
      </c>
      <c r="D261" s="24">
        <v>500</v>
      </c>
      <c r="E261" s="7">
        <v>50</v>
      </c>
      <c r="F261" s="7">
        <f>D261/100*LOOKUP(A261,'Regras e Parâmetros'!$A$11:$A$12,'Regras e Parâmetros'!$B$11:$B$12)</f>
        <v>25</v>
      </c>
      <c r="G261" s="7">
        <f t="shared" si="4"/>
        <v>25</v>
      </c>
      <c r="H261" t="s">
        <v>22</v>
      </c>
      <c r="J261" s="5" t="s">
        <v>6246</v>
      </c>
      <c r="K261" t="s">
        <v>9968</v>
      </c>
    </row>
    <row r="262" spans="1:11" x14ac:dyDescent="0.3">
      <c r="A262" s="1">
        <v>45972</v>
      </c>
      <c r="B262" s="5" t="s">
        <v>7263</v>
      </c>
      <c r="C262" t="str">
        <f>IF(B262="","",IFERROR(INDEX(Clientes!$A:$A,MATCH(B262,Clientes!$B:$B,0)),"(CPF não cadastrado)"))</f>
        <v>Olívia Cavalcanti Campos</v>
      </c>
      <c r="D262" s="24">
        <v>1000</v>
      </c>
      <c r="E262" s="7">
        <v>100</v>
      </c>
      <c r="F262" s="7">
        <f>D262/100*LOOKUP(A262,'Regras e Parâmetros'!$A$11:$A$12,'Regras e Parâmetros'!$B$11:$B$12)</f>
        <v>50</v>
      </c>
      <c r="G262" s="7">
        <f t="shared" si="4"/>
        <v>50</v>
      </c>
      <c r="H262" t="s">
        <v>45</v>
      </c>
      <c r="J262" s="5" t="s">
        <v>6247</v>
      </c>
      <c r="K262" t="s">
        <v>9968</v>
      </c>
    </row>
    <row r="263" spans="1:11" x14ac:dyDescent="0.3">
      <c r="A263" s="1">
        <v>45974</v>
      </c>
      <c r="B263" s="5" t="s">
        <v>1949</v>
      </c>
      <c r="C263" t="str">
        <f>IF(B263="","",IFERROR(INDEX(Clientes!$A:$A,MATCH(B263,Clientes!$B:$B,0)),"(CPF não cadastrado)"))</f>
        <v>Wesley Ribeiro Souza</v>
      </c>
      <c r="D263" s="24">
        <v>1500</v>
      </c>
      <c r="E263" s="7">
        <v>150</v>
      </c>
      <c r="F263" s="7">
        <f>D263/100*LOOKUP(A263,'Regras e Parâmetros'!$A$11:$A$12,'Regras e Parâmetros'!$B$11:$B$12)</f>
        <v>75</v>
      </c>
      <c r="G263" s="7">
        <f t="shared" si="4"/>
        <v>75</v>
      </c>
      <c r="H263" t="s">
        <v>45</v>
      </c>
      <c r="J263" s="5" t="s">
        <v>6248</v>
      </c>
      <c r="K263" t="s">
        <v>9968</v>
      </c>
    </row>
    <row r="264" spans="1:11" x14ac:dyDescent="0.3">
      <c r="A264" s="1">
        <v>45974</v>
      </c>
      <c r="B264" s="5" t="s">
        <v>1743</v>
      </c>
      <c r="C264" t="str">
        <f>IF(B264="","",IFERROR(INDEX(Clientes!$A:$A,MATCH(B264,Clientes!$B:$B,0)),"(CPF não cadastrado)"))</f>
        <v>Júlia Rocha Santana</v>
      </c>
      <c r="D264" s="24">
        <v>1000</v>
      </c>
      <c r="E264" s="7">
        <v>100</v>
      </c>
      <c r="F264" s="7">
        <f>D264/100*LOOKUP(A264,'Regras e Parâmetros'!$A$11:$A$12,'Regras e Parâmetros'!$B$11:$B$12)</f>
        <v>50</v>
      </c>
      <c r="G264" s="7">
        <f t="shared" si="4"/>
        <v>50</v>
      </c>
      <c r="H264" t="s">
        <v>45</v>
      </c>
      <c r="J264" s="5" t="s">
        <v>6233</v>
      </c>
      <c r="K264" t="s">
        <v>9968</v>
      </c>
    </row>
    <row r="265" spans="1:11" x14ac:dyDescent="0.3">
      <c r="A265" s="1">
        <v>45975</v>
      </c>
      <c r="B265" s="5" t="s">
        <v>8538</v>
      </c>
      <c r="C265" t="str">
        <f>IF(B265="","",IFERROR(INDEX(Clientes!$A:$A,MATCH(B265,Clientes!$B:$B,0)),"(CPF não cadastrado)"))</f>
        <v>Giovanna Oliveira</v>
      </c>
      <c r="D265" s="24">
        <v>1000</v>
      </c>
      <c r="E265" s="7">
        <v>50</v>
      </c>
      <c r="F265" s="7">
        <f>D265/100*LOOKUP(A265,'Regras e Parâmetros'!$A$11:$A$12,'Regras e Parâmetros'!$B$11:$B$12)</f>
        <v>50</v>
      </c>
      <c r="G265" s="7">
        <f t="shared" si="4"/>
        <v>0</v>
      </c>
      <c r="H265" t="s">
        <v>22</v>
      </c>
      <c r="I265" t="s">
        <v>6078</v>
      </c>
      <c r="J265" s="5" t="s">
        <v>6249</v>
      </c>
      <c r="K265" t="s">
        <v>10281</v>
      </c>
    </row>
    <row r="266" spans="1:11" x14ac:dyDescent="0.3">
      <c r="A266" s="1">
        <v>45975</v>
      </c>
      <c r="B266" s="5" t="s">
        <v>7532</v>
      </c>
      <c r="C266" t="str">
        <f>IF(B266="","",IFERROR(INDEX(Clientes!$A:$A,MATCH(B266,Clientes!$B:$B,0)),"(CPF não cadastrado)"))</f>
        <v>Rebeca Tavares</v>
      </c>
      <c r="D266" s="24">
        <v>500</v>
      </c>
      <c r="E266" s="7">
        <v>50</v>
      </c>
      <c r="F266" s="7">
        <f>D266/100*LOOKUP(A266,'Regras e Parâmetros'!$A$11:$A$12,'Regras e Parâmetros'!$B$11:$B$12)</f>
        <v>25</v>
      </c>
      <c r="G266" s="7">
        <f t="shared" si="4"/>
        <v>25</v>
      </c>
      <c r="H266" t="s">
        <v>45</v>
      </c>
      <c r="J266" s="5" t="s">
        <v>6250</v>
      </c>
      <c r="K266" t="s">
        <v>9968</v>
      </c>
    </row>
    <row r="267" spans="1:11" x14ac:dyDescent="0.3">
      <c r="A267" s="1">
        <v>45976</v>
      </c>
      <c r="B267" s="5" t="s">
        <v>7111</v>
      </c>
      <c r="C267" t="str">
        <f>IF(B267="","",IFERROR(INDEX(Clientes!$A:$A,MATCH(B267,Clientes!$B:$B,0)),"(CPF não cadastrado)"))</f>
        <v>Tainá Monteiro Nascimento</v>
      </c>
      <c r="D267" s="24">
        <v>500</v>
      </c>
      <c r="E267" s="7">
        <v>50</v>
      </c>
      <c r="F267" s="7">
        <f>D267/100*LOOKUP(A267,'Regras e Parâmetros'!$A$11:$A$12,'Regras e Parâmetros'!$B$11:$B$12)</f>
        <v>25</v>
      </c>
      <c r="G267" s="7">
        <f t="shared" si="4"/>
        <v>25</v>
      </c>
      <c r="H267" t="s">
        <v>45</v>
      </c>
      <c r="J267" s="5" t="s">
        <v>1250</v>
      </c>
      <c r="K267" t="s">
        <v>9968</v>
      </c>
    </row>
    <row r="268" spans="1:11" x14ac:dyDescent="0.3">
      <c r="A268" s="1">
        <v>45977</v>
      </c>
      <c r="B268" s="5" t="s">
        <v>7840</v>
      </c>
      <c r="C268" t="str">
        <f>IF(B268="","",IFERROR(INDEX(Clientes!$A:$A,MATCH(B268,Clientes!$B:$B,0)),"(CPF não cadastrado)"))</f>
        <v>Melissa Rocha Alves</v>
      </c>
      <c r="D268" s="24">
        <v>1200</v>
      </c>
      <c r="E268" s="7">
        <v>120</v>
      </c>
      <c r="F268" s="7">
        <f>D268/100*LOOKUP(A268,'Regras e Parâmetros'!$A$11:$A$12,'Regras e Parâmetros'!$B$11:$B$12)</f>
        <v>60</v>
      </c>
      <c r="G268" s="7">
        <f t="shared" si="4"/>
        <v>60</v>
      </c>
      <c r="H268" t="s">
        <v>45</v>
      </c>
      <c r="J268" s="5" t="s">
        <v>6163</v>
      </c>
      <c r="K268" t="s">
        <v>9968</v>
      </c>
    </row>
    <row r="269" spans="1:11" x14ac:dyDescent="0.3">
      <c r="A269" s="1">
        <v>45978</v>
      </c>
      <c r="B269" s="5" t="s">
        <v>8058</v>
      </c>
      <c r="C269" t="str">
        <f>IF(B269="","",IFERROR(INDEX(Clientes!$A:$A,MATCH(B269,Clientes!$B:$B,0)),"(CPF não cadastrado)"))</f>
        <v>Paulo Pinto</v>
      </c>
      <c r="D269" s="24">
        <v>300</v>
      </c>
      <c r="E269" s="7">
        <v>30</v>
      </c>
      <c r="F269" s="7">
        <f>D269/100*LOOKUP(A269,'Regras e Parâmetros'!$A$11:$A$12,'Regras e Parâmetros'!$B$11:$B$12)</f>
        <v>15</v>
      </c>
      <c r="G269" s="7">
        <f t="shared" si="4"/>
        <v>15</v>
      </c>
      <c r="H269" t="s">
        <v>45</v>
      </c>
      <c r="J269" s="5" t="s">
        <v>2879</v>
      </c>
      <c r="K269" t="s">
        <v>9968</v>
      </c>
    </row>
    <row r="270" spans="1:11" x14ac:dyDescent="0.3">
      <c r="A270" s="1">
        <v>45981</v>
      </c>
      <c r="B270" s="5" t="s">
        <v>3351</v>
      </c>
      <c r="C270" t="str">
        <f>IF(B270="","",IFERROR(INDEX(Clientes!$A:$A,MATCH(B270,Clientes!$B:$B,0)),"(CPF não cadastrado)"))</f>
        <v>Gabriela Machado Cardoso</v>
      </c>
      <c r="D270" s="24">
        <v>1500</v>
      </c>
      <c r="E270" s="7">
        <v>75</v>
      </c>
      <c r="F270" s="7">
        <f>D270/100*LOOKUP(A270,'Regras e Parâmetros'!$A$11:$A$12,'Regras e Parâmetros'!$B$11:$B$12)</f>
        <v>75</v>
      </c>
      <c r="G270" s="7">
        <f t="shared" si="4"/>
        <v>0</v>
      </c>
      <c r="H270" t="s">
        <v>110</v>
      </c>
      <c r="I270" t="s">
        <v>6093</v>
      </c>
      <c r="J270" s="5" t="s">
        <v>6251</v>
      </c>
      <c r="K270" t="s">
        <v>9968</v>
      </c>
    </row>
    <row r="271" spans="1:11" x14ac:dyDescent="0.3">
      <c r="A271" s="1">
        <v>45983</v>
      </c>
      <c r="B271" s="5" t="s">
        <v>7450</v>
      </c>
      <c r="C271" t="str">
        <f>IF(B271="","",IFERROR(INDEX(Clientes!$A:$A,MATCH(B271,Clientes!$B:$B,0)),"(CPF não cadastrado)"))</f>
        <v>Letícia Marques</v>
      </c>
      <c r="D271" s="24">
        <v>500</v>
      </c>
      <c r="E271" s="7">
        <v>50</v>
      </c>
      <c r="F271" s="7">
        <f>D271/100*LOOKUP(A271,'Regras e Parâmetros'!$A$11:$A$12,'Regras e Parâmetros'!$B$11:$B$12)</f>
        <v>25</v>
      </c>
      <c r="G271" s="7">
        <f t="shared" si="4"/>
        <v>25</v>
      </c>
      <c r="H271" t="s">
        <v>100</v>
      </c>
      <c r="J271" s="5" t="s">
        <v>6252</v>
      </c>
      <c r="K271" t="s">
        <v>9968</v>
      </c>
    </row>
    <row r="272" spans="1:11" x14ac:dyDescent="0.3">
      <c r="A272" s="1">
        <v>45984</v>
      </c>
      <c r="B272" s="5" t="s">
        <v>7650</v>
      </c>
      <c r="C272" t="str">
        <f>IF(B272="","",IFERROR(INDEX(Clientes!$A:$A,MATCH(B272,Clientes!$B:$B,0)),"(CPF não cadastrado)"))</f>
        <v>Paula Barros Gomes</v>
      </c>
      <c r="D272" s="24">
        <v>500</v>
      </c>
      <c r="E272" s="7">
        <v>50</v>
      </c>
      <c r="F272" s="7">
        <f>D272/100*LOOKUP(A272,'Regras e Parâmetros'!$A$11:$A$12,'Regras e Parâmetros'!$B$11:$B$12)</f>
        <v>25</v>
      </c>
      <c r="G272" s="7">
        <f t="shared" si="4"/>
        <v>25</v>
      </c>
      <c r="H272" t="s">
        <v>18</v>
      </c>
      <c r="J272" s="5" t="s">
        <v>2116</v>
      </c>
      <c r="K272" t="s">
        <v>9968</v>
      </c>
    </row>
    <row r="273" spans="1:11" x14ac:dyDescent="0.3">
      <c r="A273" s="1">
        <v>45984</v>
      </c>
      <c r="B273" s="5" t="s">
        <v>8068</v>
      </c>
      <c r="C273" t="str">
        <f>IF(B273="","",IFERROR(INDEX(Clientes!$A:$A,MATCH(B273,Clientes!$B:$B,0)),"(CPF não cadastrado)"))</f>
        <v>Davi Rodrigues</v>
      </c>
      <c r="D273" s="24">
        <v>300</v>
      </c>
      <c r="E273" s="7">
        <v>30</v>
      </c>
      <c r="F273" s="7">
        <f>D273/100*LOOKUP(A273,'Regras e Parâmetros'!$A$11:$A$12,'Regras e Parâmetros'!$B$11:$B$12)</f>
        <v>15</v>
      </c>
      <c r="G273" s="7">
        <f t="shared" si="4"/>
        <v>15</v>
      </c>
      <c r="H273" t="s">
        <v>45</v>
      </c>
      <c r="J273" s="5" t="s">
        <v>6253</v>
      </c>
      <c r="K273" t="s">
        <v>9968</v>
      </c>
    </row>
    <row r="274" spans="1:11" x14ac:dyDescent="0.3">
      <c r="A274" s="1">
        <v>45986</v>
      </c>
      <c r="B274" s="5" t="s">
        <v>6544</v>
      </c>
      <c r="C274" t="str">
        <f>IF(B274="","",IFERROR(INDEX(Clientes!$A:$A,MATCH(B274,Clientes!$B:$B,0)),"(CPF não cadastrado)"))</f>
        <v>Ricardo Almeida Lima</v>
      </c>
      <c r="D274" s="24">
        <v>300</v>
      </c>
      <c r="E274" s="7">
        <v>15</v>
      </c>
      <c r="F274" s="7">
        <f>D274/100*LOOKUP(A274,'Regras e Parâmetros'!$A$11:$A$12,'Regras e Parâmetros'!$B$11:$B$12)</f>
        <v>15</v>
      </c>
      <c r="G274" s="7">
        <f t="shared" si="4"/>
        <v>0</v>
      </c>
      <c r="H274" t="s">
        <v>22</v>
      </c>
      <c r="I274" t="s">
        <v>6321</v>
      </c>
      <c r="J274" s="5" t="s">
        <v>160</v>
      </c>
      <c r="K274" t="s">
        <v>9968</v>
      </c>
    </row>
    <row r="275" spans="1:11" x14ac:dyDescent="0.3">
      <c r="A275" s="1">
        <v>45986</v>
      </c>
      <c r="B275" s="5" t="s">
        <v>7683</v>
      </c>
      <c r="C275" t="str">
        <f>IF(B275="","",IFERROR(INDEX(Clientes!$A:$A,MATCH(B275,Clientes!$B:$B,0)),"(CPF não cadastrado)"))</f>
        <v>Beatriz Silva Santana</v>
      </c>
      <c r="D275" s="24">
        <v>300</v>
      </c>
      <c r="E275" s="7">
        <v>15</v>
      </c>
      <c r="F275" s="7">
        <f>D275/100*LOOKUP(A275,'Regras e Parâmetros'!$A$11:$A$12,'Regras e Parâmetros'!$B$11:$B$12)</f>
        <v>15</v>
      </c>
      <c r="G275" s="7">
        <f t="shared" si="4"/>
        <v>0</v>
      </c>
      <c r="H275" t="s">
        <v>100</v>
      </c>
      <c r="I275" t="s">
        <v>6291</v>
      </c>
      <c r="J275" s="5" t="s">
        <v>2179</v>
      </c>
      <c r="K275" t="s">
        <v>9969</v>
      </c>
    </row>
    <row r="276" spans="1:11" x14ac:dyDescent="0.3">
      <c r="A276" s="1">
        <v>45987</v>
      </c>
      <c r="B276" s="5" t="s">
        <v>2916</v>
      </c>
      <c r="C276" t="str">
        <f>IF(B276="","",IFERROR(INDEX(Clientes!$A:$A,MATCH(B276,Clientes!$B:$B,0)),"(CPF não cadastrado)"))</f>
        <v>Juliana Nunes</v>
      </c>
      <c r="D276" s="24">
        <v>500</v>
      </c>
      <c r="E276" s="7">
        <v>50</v>
      </c>
      <c r="F276" s="7">
        <f>D276/100*LOOKUP(A276,'Regras e Parâmetros'!$A$11:$A$12,'Regras e Parâmetros'!$B$11:$B$12)</f>
        <v>25</v>
      </c>
      <c r="G276" s="7">
        <f t="shared" si="4"/>
        <v>25</v>
      </c>
      <c r="H276" t="s">
        <v>45</v>
      </c>
      <c r="J276" s="5" t="s">
        <v>6254</v>
      </c>
      <c r="K276" t="s">
        <v>9968</v>
      </c>
    </row>
    <row r="277" spans="1:11" x14ac:dyDescent="0.3">
      <c r="A277" s="1">
        <v>45988</v>
      </c>
      <c r="B277" s="5" t="s">
        <v>4139</v>
      </c>
      <c r="C277" t="str">
        <f>IF(B277="","",IFERROR(INDEX(Clientes!$A:$A,MATCH(B277,Clientes!$B:$B,0)),"(CPF não cadastrado)"))</f>
        <v>Fábio Correia Mendes</v>
      </c>
      <c r="D277" s="24">
        <v>1300</v>
      </c>
      <c r="E277" s="7">
        <v>130</v>
      </c>
      <c r="F277" s="7">
        <f>D277/100*LOOKUP(A277,'Regras e Parâmetros'!$A$11:$A$12,'Regras e Parâmetros'!$B$11:$B$12)</f>
        <v>65</v>
      </c>
      <c r="G277" s="7">
        <f t="shared" si="4"/>
        <v>65</v>
      </c>
      <c r="H277" t="s">
        <v>45</v>
      </c>
      <c r="J277" s="5" t="s">
        <v>6255</v>
      </c>
      <c r="K277" t="s">
        <v>9968</v>
      </c>
    </row>
    <row r="278" spans="1:11" x14ac:dyDescent="0.3">
      <c r="A278" s="1">
        <v>45988</v>
      </c>
      <c r="B278" s="5" t="s">
        <v>6647</v>
      </c>
      <c r="C278" t="str">
        <f>IF(B278="","",IFERROR(INDEX(Clientes!$A:$A,MATCH(B278,Clientes!$B:$B,0)),"(CPF não cadastrado)"))</f>
        <v>Enzo Costa Silva</v>
      </c>
      <c r="D278" s="24">
        <v>300</v>
      </c>
      <c r="E278" s="7">
        <v>30</v>
      </c>
      <c r="F278" s="7">
        <f>D278/100*LOOKUP(A278,'Regras e Parâmetros'!$A$11:$A$12,'Regras e Parâmetros'!$B$11:$B$12)</f>
        <v>15</v>
      </c>
      <c r="G278" s="7">
        <f t="shared" si="4"/>
        <v>15</v>
      </c>
      <c r="H278" t="s">
        <v>45</v>
      </c>
      <c r="J278" s="5" t="s">
        <v>6256</v>
      </c>
      <c r="K278" t="s">
        <v>9968</v>
      </c>
    </row>
    <row r="279" spans="1:11" x14ac:dyDescent="0.3">
      <c r="A279" s="1">
        <v>45989</v>
      </c>
      <c r="B279" s="5" t="s">
        <v>7017</v>
      </c>
      <c r="C279" t="str">
        <f>IF(B279="","",IFERROR(INDEX(Clientes!$A:$A,MATCH(B279,Clientes!$B:$B,0)),"(CPF não cadastrado)"))</f>
        <v>Beatriz Rocha</v>
      </c>
      <c r="D279" s="24">
        <v>1000</v>
      </c>
      <c r="E279" s="7">
        <v>100</v>
      </c>
      <c r="F279" s="7">
        <f>D279/100*LOOKUP(A279,'Regras e Parâmetros'!$A$11:$A$12,'Regras e Parâmetros'!$B$11:$B$12)</f>
        <v>50</v>
      </c>
      <c r="G279" s="7">
        <f t="shared" si="4"/>
        <v>50</v>
      </c>
      <c r="H279" t="s">
        <v>45</v>
      </c>
      <c r="J279" s="5" t="s">
        <v>6060</v>
      </c>
      <c r="K279" t="s">
        <v>9968</v>
      </c>
    </row>
    <row r="280" spans="1:11" x14ac:dyDescent="0.3">
      <c r="A280" s="1">
        <v>45990</v>
      </c>
      <c r="B280" s="5" t="s">
        <v>7820</v>
      </c>
      <c r="C280" t="str">
        <f>IF(B280="","",IFERROR(INDEX(Clientes!$A:$A,MATCH(B280,Clientes!$B:$B,0)),"(CPF não cadastrado)"))</f>
        <v>Samuel Silva Marques</v>
      </c>
      <c r="D280" s="24">
        <v>2000</v>
      </c>
      <c r="E280" s="7">
        <v>200</v>
      </c>
      <c r="F280" s="7">
        <f>D280/100*LOOKUP(A280,'Regras e Parâmetros'!$A$11:$A$12,'Regras e Parâmetros'!$B$11:$B$12)</f>
        <v>100</v>
      </c>
      <c r="G280" s="7">
        <f t="shared" si="4"/>
        <v>100</v>
      </c>
      <c r="H280" t="s">
        <v>18</v>
      </c>
      <c r="J280" s="5" t="s">
        <v>6054</v>
      </c>
      <c r="K280" t="s">
        <v>9968</v>
      </c>
    </row>
    <row r="281" spans="1:11" x14ac:dyDescent="0.3">
      <c r="A281" s="1">
        <v>45990</v>
      </c>
      <c r="B281" s="5" t="s">
        <v>2195</v>
      </c>
      <c r="C281" t="str">
        <f>IF(B281="","",IFERROR(INDEX(Clientes!$A:$A,MATCH(B281,Clientes!$B:$B,0)),"(CPF não cadastrado)"))</f>
        <v>Cauã Vieira Moura</v>
      </c>
      <c r="D281" s="24">
        <v>1000</v>
      </c>
      <c r="E281" s="7">
        <v>50</v>
      </c>
      <c r="F281" s="7">
        <f>D281/100*LOOKUP(A281,'Regras e Parâmetros'!$A$11:$A$12,'Regras e Parâmetros'!$B$11:$B$12)</f>
        <v>50</v>
      </c>
      <c r="G281" s="7">
        <f t="shared" si="4"/>
        <v>0</v>
      </c>
      <c r="H281" t="s">
        <v>100</v>
      </c>
      <c r="I281" t="s">
        <v>6176</v>
      </c>
      <c r="J281" s="5" t="s">
        <v>2195</v>
      </c>
      <c r="K281" t="s">
        <v>9968</v>
      </c>
    </row>
    <row r="282" spans="1:11" x14ac:dyDescent="0.3">
      <c r="A282" s="1">
        <v>45990</v>
      </c>
      <c r="B282" s="5" t="s">
        <v>2166</v>
      </c>
      <c r="C282" t="str">
        <f>IF(B282="","",IFERROR(INDEX(Clientes!$A:$A,MATCH(B282,Clientes!$B:$B,0)),"(CPF não cadastrado)"))</f>
        <v>Bruno Costa</v>
      </c>
      <c r="D282" s="24">
        <v>500</v>
      </c>
      <c r="E282" s="7">
        <v>50</v>
      </c>
      <c r="F282" s="7">
        <f>D282/100*LOOKUP(A282,'Regras e Parâmetros'!$A$11:$A$12,'Regras e Parâmetros'!$B$11:$B$12)</f>
        <v>25</v>
      </c>
      <c r="G282" s="7">
        <f t="shared" si="4"/>
        <v>25</v>
      </c>
      <c r="H282" t="s">
        <v>45</v>
      </c>
      <c r="J282" s="5" t="s">
        <v>6168</v>
      </c>
      <c r="K282" t="s">
        <v>9968</v>
      </c>
    </row>
    <row r="283" spans="1:11" x14ac:dyDescent="0.3">
      <c r="A283" s="1">
        <v>45991</v>
      </c>
      <c r="B283" s="5" t="s">
        <v>7126</v>
      </c>
      <c r="C283" t="str">
        <f>IF(B283="","",IFERROR(INDEX(Clientes!$A:$A,MATCH(B283,Clientes!$B:$B,0)),"(CPF não cadastrado)"))</f>
        <v>Rebeca Nunes</v>
      </c>
      <c r="D283" s="24">
        <v>500</v>
      </c>
      <c r="E283" s="7">
        <v>50</v>
      </c>
      <c r="F283" s="7">
        <f>D283/100*LOOKUP(A283,'Regras e Parâmetros'!$A$11:$A$12,'Regras e Parâmetros'!$B$11:$B$12)</f>
        <v>25</v>
      </c>
      <c r="G283" s="7">
        <f t="shared" si="4"/>
        <v>25</v>
      </c>
      <c r="H283" t="s">
        <v>110</v>
      </c>
      <c r="J283" s="5" t="s">
        <v>6257</v>
      </c>
      <c r="K283" t="s">
        <v>9968</v>
      </c>
    </row>
    <row r="284" spans="1:11" x14ac:dyDescent="0.3">
      <c r="A284" s="1">
        <v>45991</v>
      </c>
      <c r="B284" s="5" t="s">
        <v>8757</v>
      </c>
      <c r="C284" t="str">
        <f>IF(B284="","",IFERROR(INDEX(Clientes!$A:$A,MATCH(B284,Clientes!$B:$B,0)),"(CPF não cadastrado)"))</f>
        <v>Kamila Santana</v>
      </c>
      <c r="D284" s="24">
        <v>700</v>
      </c>
      <c r="E284" s="7">
        <v>70</v>
      </c>
      <c r="F284" s="7">
        <f>D284/100*LOOKUP(A284,'Regras e Parâmetros'!$A$11:$A$12,'Regras e Parâmetros'!$B$11:$B$12)</f>
        <v>35</v>
      </c>
      <c r="G284" s="7">
        <f t="shared" si="4"/>
        <v>35</v>
      </c>
      <c r="H284" t="s">
        <v>45</v>
      </c>
      <c r="J284" s="5" t="s">
        <v>6258</v>
      </c>
      <c r="K284" t="s">
        <v>9968</v>
      </c>
    </row>
    <row r="285" spans="1:11" x14ac:dyDescent="0.3">
      <c r="A285" s="1">
        <v>45991</v>
      </c>
      <c r="B285" s="5" t="s">
        <v>8304</v>
      </c>
      <c r="C285" t="str">
        <f>IF(B285="","",IFERROR(INDEX(Clientes!$A:$A,MATCH(B285,Clientes!$B:$B,0)),"(CPF não cadastrado)"))</f>
        <v>Giovanna Moreira Ferreira</v>
      </c>
      <c r="D285" s="24">
        <v>500</v>
      </c>
      <c r="E285" s="7">
        <v>50</v>
      </c>
      <c r="F285" s="7">
        <f>D285/100*LOOKUP(A285,'Regras e Parâmetros'!$A$11:$A$12,'Regras e Parâmetros'!$B$11:$B$12)</f>
        <v>25</v>
      </c>
      <c r="G285" s="7">
        <f t="shared" si="4"/>
        <v>25</v>
      </c>
      <c r="H285" t="s">
        <v>45</v>
      </c>
      <c r="J285" s="5" t="s">
        <v>6259</v>
      </c>
      <c r="K285" t="s">
        <v>9968</v>
      </c>
    </row>
    <row r="286" spans="1:11" x14ac:dyDescent="0.3">
      <c r="A286" s="1">
        <v>45992</v>
      </c>
      <c r="B286" s="5" t="s">
        <v>6584</v>
      </c>
      <c r="C286" t="str">
        <f>IF(B286="","",IFERROR(INDEX(Clientes!$A:$A,MATCH(B286,Clientes!$B:$B,0)),"(CPF não cadastrado)"))</f>
        <v>Manuela Vieira</v>
      </c>
      <c r="D286" s="24">
        <v>2000</v>
      </c>
      <c r="E286" s="7">
        <v>200</v>
      </c>
      <c r="F286" s="7">
        <f>D286/100*LOOKUP(A286,'Regras e Parâmetros'!$A$11:$A$12,'Regras e Parâmetros'!$B$11:$B$12)</f>
        <v>100</v>
      </c>
      <c r="G286" s="7">
        <f t="shared" si="4"/>
        <v>100</v>
      </c>
      <c r="H286" t="s">
        <v>110</v>
      </c>
      <c r="J286" s="5" t="s">
        <v>6160</v>
      </c>
      <c r="K286" t="s">
        <v>9968</v>
      </c>
    </row>
    <row r="287" spans="1:11" x14ac:dyDescent="0.3">
      <c r="A287" s="1">
        <v>45992</v>
      </c>
      <c r="B287" s="5" t="s">
        <v>7264</v>
      </c>
      <c r="C287" t="str">
        <f>IF(B287="","",IFERROR(INDEX(Clientes!$A:$A,MATCH(B287,Clientes!$B:$B,0)),"(CPF não cadastrado)"))</f>
        <v>Laura Pinto</v>
      </c>
      <c r="D287" s="24">
        <v>2000</v>
      </c>
      <c r="E287" s="7">
        <v>200</v>
      </c>
      <c r="F287" s="7">
        <f>D287/100*LOOKUP(A287,'Regras e Parâmetros'!$A$11:$A$12,'Regras e Parâmetros'!$B$11:$B$12)</f>
        <v>100</v>
      </c>
      <c r="G287" s="7">
        <f t="shared" si="4"/>
        <v>100</v>
      </c>
      <c r="H287" t="s">
        <v>45</v>
      </c>
      <c r="J287" s="5" t="s">
        <v>1444</v>
      </c>
      <c r="K287" t="s">
        <v>9968</v>
      </c>
    </row>
    <row r="288" spans="1:11" x14ac:dyDescent="0.3">
      <c r="A288" s="1">
        <v>45995</v>
      </c>
      <c r="B288" s="5" t="s">
        <v>2195</v>
      </c>
      <c r="C288" t="str">
        <f>IF(B288="","",IFERROR(INDEX(Clientes!$A:$A,MATCH(B288,Clientes!$B:$B,0)),"(CPF não cadastrado)"))</f>
        <v>Cauã Vieira Moura</v>
      </c>
      <c r="D288" s="24">
        <v>500</v>
      </c>
      <c r="E288" s="7">
        <v>50</v>
      </c>
      <c r="F288" s="7">
        <f>D288/100*LOOKUP(A288,'Regras e Parâmetros'!$A$11:$A$12,'Regras e Parâmetros'!$B$11:$B$12)</f>
        <v>25</v>
      </c>
      <c r="G288" s="7">
        <f t="shared" si="4"/>
        <v>25</v>
      </c>
      <c r="H288" t="s">
        <v>100</v>
      </c>
      <c r="J288" s="5" t="s">
        <v>6260</v>
      </c>
      <c r="K288" t="s">
        <v>9968</v>
      </c>
    </row>
    <row r="289" spans="1:11" x14ac:dyDescent="0.3">
      <c r="A289" s="1">
        <v>45996</v>
      </c>
      <c r="B289" s="5" t="s">
        <v>8450</v>
      </c>
      <c r="C289" t="str">
        <f>IF(B289="","",IFERROR(INDEX(Clientes!$A:$A,MATCH(B289,Clientes!$B:$B,0)),"(CPF não cadastrado)"))</f>
        <v>Tainá Almeida Campos</v>
      </c>
      <c r="D289" s="24">
        <v>1300</v>
      </c>
      <c r="E289" s="7">
        <v>130</v>
      </c>
      <c r="F289" s="7">
        <f>D289/100*LOOKUP(A289,'Regras e Parâmetros'!$A$11:$A$12,'Regras e Parâmetros'!$B$11:$B$12)</f>
        <v>65</v>
      </c>
      <c r="G289" s="7">
        <f t="shared" si="4"/>
        <v>65</v>
      </c>
      <c r="H289" t="s">
        <v>45</v>
      </c>
      <c r="J289" s="5" t="s">
        <v>6261</v>
      </c>
      <c r="K289" t="s">
        <v>9968</v>
      </c>
    </row>
    <row r="290" spans="1:11" x14ac:dyDescent="0.3">
      <c r="A290" s="1">
        <v>45997</v>
      </c>
      <c r="B290" s="5" t="s">
        <v>6042</v>
      </c>
      <c r="C290" t="str">
        <f>IF(B290="","",IFERROR(INDEX(Clientes!$A:$A,MATCH(B290,Clientes!$B:$B,0)),"(CPF não cadastrado)"))</f>
        <v>Beatriz Teixeira Fonseca</v>
      </c>
      <c r="D290" s="24">
        <v>500</v>
      </c>
      <c r="E290" s="7">
        <v>25</v>
      </c>
      <c r="F290" s="7">
        <f>D290/100*LOOKUP(A290,'Regras e Parâmetros'!$A$11:$A$12,'Regras e Parâmetros'!$B$11:$B$12)</f>
        <v>25</v>
      </c>
      <c r="G290" s="7">
        <f t="shared" si="4"/>
        <v>0</v>
      </c>
      <c r="H290" t="s">
        <v>110</v>
      </c>
      <c r="I290" t="s">
        <v>6093</v>
      </c>
      <c r="J290" s="5" t="s">
        <v>6041</v>
      </c>
      <c r="K290" t="s">
        <v>9969</v>
      </c>
    </row>
    <row r="291" spans="1:11" x14ac:dyDescent="0.3">
      <c r="A291" s="1">
        <v>45998</v>
      </c>
      <c r="B291" s="5" t="s">
        <v>2712</v>
      </c>
      <c r="C291" t="str">
        <f>IF(B291="","",IFERROR(INDEX(Clientes!$A:$A,MATCH(B291,Clientes!$B:$B,0)),"(CPF não cadastrado)"))</f>
        <v>Tainá Silva</v>
      </c>
      <c r="D291" s="24">
        <v>1000</v>
      </c>
      <c r="E291" s="7">
        <v>100</v>
      </c>
      <c r="F291" s="7">
        <f>D291/100*LOOKUP(A291,'Regras e Parâmetros'!$A$11:$A$12,'Regras e Parâmetros'!$B$11:$B$12)</f>
        <v>50</v>
      </c>
      <c r="G291" s="7">
        <f t="shared" si="4"/>
        <v>50</v>
      </c>
      <c r="H291" t="s">
        <v>45</v>
      </c>
      <c r="J291" s="5" t="s">
        <v>6171</v>
      </c>
      <c r="K291" t="s">
        <v>9968</v>
      </c>
    </row>
    <row r="292" spans="1:11" x14ac:dyDescent="0.3">
      <c r="A292" s="1">
        <v>45998</v>
      </c>
      <c r="B292" s="5" t="s">
        <v>3539</v>
      </c>
      <c r="C292" t="str">
        <f>IF(B292="","",IFERROR(INDEX(Clientes!$A:$A,MATCH(B292,Clientes!$B:$B,0)),"(CPF não cadastrado)"))</f>
        <v>Teo Rodrigues</v>
      </c>
      <c r="D292" s="24">
        <v>500</v>
      </c>
      <c r="E292" s="7">
        <v>50</v>
      </c>
      <c r="F292" s="7">
        <f>D292/100*LOOKUP(A292,'Regras e Parâmetros'!$A$11:$A$12,'Regras e Parâmetros'!$B$11:$B$12)</f>
        <v>25</v>
      </c>
      <c r="G292" s="7">
        <f t="shared" si="4"/>
        <v>25</v>
      </c>
      <c r="H292" t="s">
        <v>45</v>
      </c>
      <c r="J292" s="5" t="s">
        <v>6262</v>
      </c>
      <c r="K292" t="s">
        <v>9968</v>
      </c>
    </row>
    <row r="293" spans="1:11" x14ac:dyDescent="0.3">
      <c r="A293" s="1">
        <v>46000</v>
      </c>
      <c r="B293" s="5" t="s">
        <v>616</v>
      </c>
      <c r="C293" t="str">
        <f>IF(B293="","",IFERROR(INDEX(Clientes!$A:$A,MATCH(B293,Clientes!$B:$B,0)),"(CPF não cadastrado)"))</f>
        <v>Kauã Gomes</v>
      </c>
      <c r="D293" s="24">
        <v>1000</v>
      </c>
      <c r="E293" s="7">
        <v>100</v>
      </c>
      <c r="F293" s="7">
        <f>D293/100*LOOKUP(A293,'Regras e Parâmetros'!$A$11:$A$12,'Regras e Parâmetros'!$B$11:$B$12)</f>
        <v>50</v>
      </c>
      <c r="G293" s="7">
        <f t="shared" si="4"/>
        <v>50</v>
      </c>
      <c r="H293" t="s">
        <v>22</v>
      </c>
      <c r="J293" s="5" t="s">
        <v>6263</v>
      </c>
      <c r="K293" t="s">
        <v>9968</v>
      </c>
    </row>
    <row r="294" spans="1:11" x14ac:dyDescent="0.3">
      <c r="A294" s="1">
        <v>46001</v>
      </c>
      <c r="B294" s="5" t="s">
        <v>6264</v>
      </c>
      <c r="C294" t="str">
        <f>IF(B294="","",IFERROR(INDEX(Clientes!$A:$A,MATCH(B294,Clientes!$B:$B,0)),"(CPF não cadastrado)"))</f>
        <v>Jaqueline Martins Campos</v>
      </c>
      <c r="D294" s="24">
        <v>300</v>
      </c>
      <c r="E294" s="7">
        <v>15</v>
      </c>
      <c r="F294" s="7">
        <f>D294/100*LOOKUP(A294,'Regras e Parâmetros'!$A$11:$A$12,'Regras e Parâmetros'!$B$11:$B$12)</f>
        <v>15</v>
      </c>
      <c r="G294" s="7">
        <f t="shared" si="4"/>
        <v>0</v>
      </c>
      <c r="H294" t="s">
        <v>18</v>
      </c>
      <c r="I294" t="s">
        <v>9974</v>
      </c>
      <c r="J294" s="5" t="s">
        <v>6264</v>
      </c>
      <c r="K294" t="s">
        <v>9968</v>
      </c>
    </row>
    <row r="295" spans="1:11" x14ac:dyDescent="0.3">
      <c r="A295" s="1">
        <v>46001</v>
      </c>
      <c r="B295" s="5" t="s">
        <v>7840</v>
      </c>
      <c r="C295" t="str">
        <f>IF(B295="","",IFERROR(INDEX(Clientes!$A:$A,MATCH(B295,Clientes!$B:$B,0)),"(CPF não cadastrado)"))</f>
        <v>Melissa Rocha Alves</v>
      </c>
      <c r="D295" s="24">
        <v>300</v>
      </c>
      <c r="E295" s="7">
        <v>30</v>
      </c>
      <c r="F295" s="7">
        <f>D295/100*LOOKUP(A295,'Regras e Parâmetros'!$A$11:$A$12,'Regras e Parâmetros'!$B$11:$B$12)</f>
        <v>15</v>
      </c>
      <c r="G295" s="7">
        <f t="shared" si="4"/>
        <v>15</v>
      </c>
      <c r="H295" t="s">
        <v>45</v>
      </c>
      <c r="J295" s="5" t="s">
        <v>6163</v>
      </c>
      <c r="K295" t="s">
        <v>9968</v>
      </c>
    </row>
    <row r="296" spans="1:11" x14ac:dyDescent="0.3">
      <c r="A296" s="1">
        <v>46002</v>
      </c>
      <c r="B296" s="5" t="s">
        <v>8195</v>
      </c>
      <c r="C296" t="str">
        <f>IF(B296="","",IFERROR(INDEX(Clientes!$A:$A,MATCH(B296,Clientes!$B:$B,0)),"(CPF não cadastrado)"))</f>
        <v>Eduarda Gonçalves Tavares</v>
      </c>
      <c r="D296" s="24">
        <v>500</v>
      </c>
      <c r="E296" s="7">
        <v>50</v>
      </c>
      <c r="F296" s="7">
        <f>D296/100*LOOKUP(A296,'Regras e Parâmetros'!$A$11:$A$12,'Regras e Parâmetros'!$B$11:$B$12)</f>
        <v>25</v>
      </c>
      <c r="G296" s="7">
        <f t="shared" si="4"/>
        <v>25</v>
      </c>
      <c r="H296" t="s">
        <v>22</v>
      </c>
      <c r="J296" s="5" t="s">
        <v>6265</v>
      </c>
      <c r="K296" t="s">
        <v>9968</v>
      </c>
    </row>
    <row r="297" spans="1:11" x14ac:dyDescent="0.3">
      <c r="A297" s="1">
        <v>46002</v>
      </c>
      <c r="B297" s="5" t="s">
        <v>3974</v>
      </c>
      <c r="C297" t="str">
        <f>IF(B297="","",IFERROR(INDEX(Clientes!$A:$A,MATCH(B297,Clientes!$B:$B,0)),"(CPF não cadastrado)"))</f>
        <v>Davi Cavalcanti</v>
      </c>
      <c r="D297" s="24">
        <v>400</v>
      </c>
      <c r="E297" s="7">
        <v>40</v>
      </c>
      <c r="F297" s="7">
        <f>D297/100*LOOKUP(A297,'Regras e Parâmetros'!$A$11:$A$12,'Regras e Parâmetros'!$B$11:$B$12)</f>
        <v>20</v>
      </c>
      <c r="G297" s="7">
        <f t="shared" si="4"/>
        <v>20</v>
      </c>
      <c r="H297" t="s">
        <v>45</v>
      </c>
      <c r="J297" s="5" t="s">
        <v>6266</v>
      </c>
      <c r="K297" t="s">
        <v>9968</v>
      </c>
    </row>
    <row r="298" spans="1:11" x14ac:dyDescent="0.3">
      <c r="A298" s="1">
        <v>46003</v>
      </c>
      <c r="B298" s="5" t="s">
        <v>6043</v>
      </c>
      <c r="C298" t="str">
        <f>IF(B298="","",IFERROR(INDEX(Clientes!$A:$A,MATCH(B298,Clientes!$B:$B,0)),"(CPF não cadastrado)"))</f>
        <v>Felipe Alves Farias</v>
      </c>
      <c r="D298" s="24">
        <v>500</v>
      </c>
      <c r="E298" s="7">
        <v>50</v>
      </c>
      <c r="F298" s="7">
        <f>D298/100*LOOKUP(A298,'Regras e Parâmetros'!$A$11:$A$12,'Regras e Parâmetros'!$B$11:$B$12)</f>
        <v>25</v>
      </c>
      <c r="G298" s="7">
        <f t="shared" si="4"/>
        <v>25</v>
      </c>
      <c r="H298" t="s">
        <v>18</v>
      </c>
      <c r="J298" s="5" t="s">
        <v>6267</v>
      </c>
      <c r="K298" t="s">
        <v>9968</v>
      </c>
    </row>
    <row r="299" spans="1:11" x14ac:dyDescent="0.3">
      <c r="A299" s="1">
        <v>46003</v>
      </c>
      <c r="B299" s="5" t="s">
        <v>8319</v>
      </c>
      <c r="C299" t="str">
        <f>IF(B299="","",IFERROR(INDEX(Clientes!$A:$A,MATCH(B299,Clientes!$B:$B,0)),"(CPF não cadastrado)"))</f>
        <v>Daniela Marques</v>
      </c>
      <c r="D299" s="24">
        <v>900</v>
      </c>
      <c r="E299" s="7">
        <v>90</v>
      </c>
      <c r="F299" s="7">
        <f>D299/100*LOOKUP(A299,'Regras e Parâmetros'!$A$11:$A$12,'Regras e Parâmetros'!$B$11:$B$12)</f>
        <v>45</v>
      </c>
      <c r="G299" s="7">
        <f t="shared" si="4"/>
        <v>45</v>
      </c>
      <c r="H299" t="s">
        <v>45</v>
      </c>
      <c r="J299" s="5" t="s">
        <v>3404</v>
      </c>
      <c r="K299" t="s">
        <v>9968</v>
      </c>
    </row>
    <row r="300" spans="1:11" x14ac:dyDescent="0.3">
      <c r="A300" s="1">
        <v>46005</v>
      </c>
      <c r="B300" s="5" t="s">
        <v>8639</v>
      </c>
      <c r="C300" t="str">
        <f>IF(B300="","",IFERROR(INDEX(Clientes!$A:$A,MATCH(B300,Clientes!$B:$B,0)),"(CPF não cadastrado)"))</f>
        <v>Valentina Correia Goncalves</v>
      </c>
      <c r="D300" s="24">
        <v>500</v>
      </c>
      <c r="E300" s="7">
        <v>50</v>
      </c>
      <c r="F300" s="7">
        <f>D300/100*LOOKUP(A300,'Regras e Parâmetros'!$A$11:$A$12,'Regras e Parâmetros'!$B$11:$B$12)</f>
        <v>25</v>
      </c>
      <c r="G300" s="7">
        <f t="shared" si="4"/>
        <v>25</v>
      </c>
      <c r="H300" t="s">
        <v>22</v>
      </c>
      <c r="J300" s="5" t="s">
        <v>6268</v>
      </c>
      <c r="K300" t="s">
        <v>9968</v>
      </c>
    </row>
    <row r="301" spans="1:11" x14ac:dyDescent="0.3">
      <c r="A301" s="1">
        <v>46005</v>
      </c>
      <c r="B301" s="5" t="s">
        <v>2384</v>
      </c>
      <c r="C301" t="str">
        <f>IF(B301="","",IFERROR(INDEX(Clientes!$A:$A,MATCH(B301,Clientes!$B:$B,0)),"(CPF não cadastrado)"))</f>
        <v>Sofia Fonseca Machado</v>
      </c>
      <c r="D301" s="24">
        <v>300</v>
      </c>
      <c r="E301" s="7">
        <v>30</v>
      </c>
      <c r="F301" s="7">
        <f>D301/100*LOOKUP(A301,'Regras e Parâmetros'!$A$11:$A$12,'Regras e Parâmetros'!$B$11:$B$12)</f>
        <v>15</v>
      </c>
      <c r="G301" s="7">
        <f t="shared" si="4"/>
        <v>15</v>
      </c>
      <c r="H301" t="s">
        <v>45</v>
      </c>
      <c r="J301" s="5" t="s">
        <v>6269</v>
      </c>
      <c r="K301" t="s">
        <v>9968</v>
      </c>
    </row>
    <row r="302" spans="1:11" x14ac:dyDescent="0.3">
      <c r="A302" s="1">
        <v>46008</v>
      </c>
      <c r="B302" s="5" t="s">
        <v>9077</v>
      </c>
      <c r="C302" t="str">
        <f>IF(B302="","",IFERROR(INDEX(Clientes!$A:$A,MATCH(B302,Clientes!$B:$B,0)),"(CPF não cadastrado)"))</f>
        <v>Guilherme Ferreira</v>
      </c>
      <c r="D302" s="24">
        <v>900</v>
      </c>
      <c r="E302" s="7">
        <v>90</v>
      </c>
      <c r="F302" s="7">
        <f>D302/100*LOOKUP(A302,'Regras e Parâmetros'!$A$11:$A$12,'Regras e Parâmetros'!$B$11:$B$12)</f>
        <v>45</v>
      </c>
      <c r="G302" s="7">
        <f t="shared" si="4"/>
        <v>45</v>
      </c>
      <c r="H302" t="s">
        <v>110</v>
      </c>
      <c r="J302" s="5" t="s">
        <v>6270</v>
      </c>
      <c r="K302" t="s">
        <v>9968</v>
      </c>
    </row>
    <row r="303" spans="1:11" x14ac:dyDescent="0.3">
      <c r="A303" s="1">
        <v>46009</v>
      </c>
      <c r="B303" s="5" t="s">
        <v>6515</v>
      </c>
      <c r="C303" t="str">
        <f>IF(B303="","",IFERROR(INDEX(Clientes!$A:$A,MATCH(B303,Clientes!$B:$B,0)),"(CPF não cadastrado)"))</f>
        <v>Heloísa Ribeiro</v>
      </c>
      <c r="D303" s="24">
        <v>1000</v>
      </c>
      <c r="E303" s="7">
        <v>100</v>
      </c>
      <c r="F303" s="7">
        <f>D303/100*LOOKUP(A303,'Regras e Parâmetros'!$A$11:$A$12,'Regras e Parâmetros'!$B$11:$B$12)</f>
        <v>50</v>
      </c>
      <c r="G303" s="7">
        <f t="shared" si="4"/>
        <v>50</v>
      </c>
      <c r="H303" t="s">
        <v>100</v>
      </c>
      <c r="J303" s="5" t="s">
        <v>6271</v>
      </c>
      <c r="K303" t="s">
        <v>9968</v>
      </c>
    </row>
    <row r="304" spans="1:11" x14ac:dyDescent="0.3">
      <c r="A304" s="1">
        <v>46010</v>
      </c>
      <c r="B304" s="5" t="s">
        <v>6272</v>
      </c>
      <c r="C304" t="str">
        <f>IF(B304="","",IFERROR(INDEX(Clientes!$A:$A,MATCH(B304,Clientes!$B:$B,0)),"(CPF não cadastrado)"))</f>
        <v>Camila Alves</v>
      </c>
      <c r="D304" s="24">
        <v>300</v>
      </c>
      <c r="E304" s="7">
        <v>15</v>
      </c>
      <c r="F304" s="7">
        <f>D304/100*LOOKUP(A304,'Regras e Parâmetros'!$A$11:$A$12,'Regras e Parâmetros'!$B$11:$B$12)</f>
        <v>15</v>
      </c>
      <c r="G304" s="7">
        <f t="shared" si="4"/>
        <v>0</v>
      </c>
      <c r="H304" t="s">
        <v>110</v>
      </c>
      <c r="I304" t="s">
        <v>9975</v>
      </c>
      <c r="J304" s="5" t="s">
        <v>6272</v>
      </c>
      <c r="K304" t="s">
        <v>9968</v>
      </c>
    </row>
    <row r="305" spans="1:11" x14ac:dyDescent="0.3">
      <c r="A305" s="1">
        <v>46011</v>
      </c>
      <c r="B305" s="5" t="s">
        <v>8247</v>
      </c>
      <c r="C305" t="str">
        <f>IF(B305="","",IFERROR(INDEX(Clientes!$A:$A,MATCH(B305,Clientes!$B:$B,0)),"(CPF não cadastrado)"))</f>
        <v>Igor Freitas</v>
      </c>
      <c r="D305" s="24">
        <v>500</v>
      </c>
      <c r="E305" s="7">
        <v>50</v>
      </c>
      <c r="F305" s="7">
        <f>D305/100*LOOKUP(A305,'Regras e Parâmetros'!$A$11:$A$12,'Regras e Parâmetros'!$B$11:$B$12)</f>
        <v>25</v>
      </c>
      <c r="G305" s="7">
        <f t="shared" si="4"/>
        <v>25</v>
      </c>
      <c r="H305" t="s">
        <v>100</v>
      </c>
      <c r="J305" s="5" t="s">
        <v>6273</v>
      </c>
      <c r="K305" t="s">
        <v>9968</v>
      </c>
    </row>
    <row r="306" spans="1:11" x14ac:dyDescent="0.3">
      <c r="A306" s="1">
        <v>46011</v>
      </c>
      <c r="B306" s="5" t="s">
        <v>8129</v>
      </c>
      <c r="C306" t="str">
        <f>IF(B306="","",IFERROR(INDEX(Clientes!$A:$A,MATCH(B306,Clientes!$B:$B,0)),"(CPF não cadastrado)"))</f>
        <v>Ícaro Andrade</v>
      </c>
      <c r="D306" s="24">
        <v>1000</v>
      </c>
      <c r="E306" s="7">
        <v>100</v>
      </c>
      <c r="F306" s="7">
        <f>D306/100*LOOKUP(A306,'Regras e Parâmetros'!$A$11:$A$12,'Regras e Parâmetros'!$B$11:$B$12)</f>
        <v>50</v>
      </c>
      <c r="G306" s="7">
        <f t="shared" si="4"/>
        <v>50</v>
      </c>
      <c r="H306" t="s">
        <v>45</v>
      </c>
      <c r="J306" s="5" t="s">
        <v>6274</v>
      </c>
      <c r="K306" t="s">
        <v>9968</v>
      </c>
    </row>
    <row r="307" spans="1:11" x14ac:dyDescent="0.3">
      <c r="A307" s="1">
        <v>46013</v>
      </c>
      <c r="B307" s="5" t="s">
        <v>7833</v>
      </c>
      <c r="C307" t="str">
        <f>IF(B307="","",IFERROR(INDEX(Clientes!$A:$A,MATCH(B307,Clientes!$B:$B,0)),"(CPF não cadastrado)"))</f>
        <v>Ícaro Barros Nogueira</v>
      </c>
      <c r="D307" s="24">
        <v>1500</v>
      </c>
      <c r="E307" s="7">
        <v>150</v>
      </c>
      <c r="F307" s="7">
        <f>D307/100*LOOKUP(A307,'Regras e Parâmetros'!$A$11:$A$12,'Regras e Parâmetros'!$B$11:$B$12)</f>
        <v>75</v>
      </c>
      <c r="G307" s="7">
        <f t="shared" si="4"/>
        <v>75</v>
      </c>
      <c r="H307" t="s">
        <v>45</v>
      </c>
      <c r="J307" s="5" t="s">
        <v>2449</v>
      </c>
      <c r="K307" t="s">
        <v>9968</v>
      </c>
    </row>
    <row r="308" spans="1:11" x14ac:dyDescent="0.3">
      <c r="A308" s="1">
        <v>46014</v>
      </c>
      <c r="B308" s="5" t="s">
        <v>1660</v>
      </c>
      <c r="C308" t="str">
        <f>IF(B308="","",IFERROR(INDEX(Clientes!$A:$A,MATCH(B308,Clientes!$B:$B,0)),"(CPF não cadastrado)"))</f>
        <v>Lívia Correia</v>
      </c>
      <c r="D308" s="24">
        <v>500</v>
      </c>
      <c r="E308" s="7">
        <v>50</v>
      </c>
      <c r="F308" s="7">
        <f>D308/100*LOOKUP(A308,'Regras e Parâmetros'!$A$11:$A$12,'Regras e Parâmetros'!$B$11:$B$12)</f>
        <v>25</v>
      </c>
      <c r="G308" s="7">
        <f t="shared" si="4"/>
        <v>25</v>
      </c>
      <c r="H308" t="s">
        <v>45</v>
      </c>
      <c r="J308" s="5" t="s">
        <v>6275</v>
      </c>
      <c r="K308" t="s">
        <v>9968</v>
      </c>
    </row>
    <row r="309" spans="1:11" x14ac:dyDescent="0.3">
      <c r="A309" s="1">
        <v>46014</v>
      </c>
      <c r="B309" s="5" t="s">
        <v>1854</v>
      </c>
      <c r="C309" t="str">
        <f>IF(B309="","",IFERROR(INDEX(Clientes!$A:$A,MATCH(B309,Clientes!$B:$B,0)),"(CPF não cadastrado)"))</f>
        <v>Bianca Monteiro Rezende</v>
      </c>
      <c r="D309" s="24">
        <v>1000</v>
      </c>
      <c r="E309" s="7">
        <v>100</v>
      </c>
      <c r="F309" s="7">
        <f>D309/100*LOOKUP(A309,'Regras e Parâmetros'!$A$11:$A$12,'Regras e Parâmetros'!$B$11:$B$12)</f>
        <v>50</v>
      </c>
      <c r="G309" s="7">
        <f t="shared" si="4"/>
        <v>50</v>
      </c>
      <c r="H309" t="s">
        <v>45</v>
      </c>
      <c r="J309" s="5" t="s">
        <v>6276</v>
      </c>
      <c r="K309" t="s">
        <v>9968</v>
      </c>
    </row>
    <row r="310" spans="1:11" x14ac:dyDescent="0.3">
      <c r="A310" s="1">
        <v>46015</v>
      </c>
      <c r="B310" s="5" t="s">
        <v>962</v>
      </c>
      <c r="C310" t="str">
        <f>IF(B310="","",IFERROR(INDEX(Clientes!$A:$A,MATCH(B310,Clientes!$B:$B,0)),"(CPF não cadastrado)"))</f>
        <v>Breno Silva Farias</v>
      </c>
      <c r="D310" s="24">
        <v>1900</v>
      </c>
      <c r="E310" s="7">
        <v>190</v>
      </c>
      <c r="F310" s="7">
        <f>D310/100*LOOKUP(A310,'Regras e Parâmetros'!$A$11:$A$12,'Regras e Parâmetros'!$B$11:$B$12)</f>
        <v>95</v>
      </c>
      <c r="G310" s="7">
        <f t="shared" si="4"/>
        <v>95</v>
      </c>
      <c r="H310" t="s">
        <v>45</v>
      </c>
      <c r="J310" s="5" t="s">
        <v>6110</v>
      </c>
      <c r="K310" t="s">
        <v>9968</v>
      </c>
    </row>
    <row r="311" spans="1:11" x14ac:dyDescent="0.3">
      <c r="A311" s="1">
        <v>46017</v>
      </c>
      <c r="B311" s="5" t="s">
        <v>6094</v>
      </c>
      <c r="C311" t="str">
        <f>IF(B311="","",IFERROR(INDEX(Clientes!$A:$A,MATCH(B311,Clientes!$B:$B,0)),"(CPF não cadastrado)"))</f>
        <v>Manuela Ferreira</v>
      </c>
      <c r="D311" s="24">
        <v>500</v>
      </c>
      <c r="E311" s="7">
        <v>50</v>
      </c>
      <c r="F311" s="7">
        <f>D311/100*LOOKUP(A311,'Regras e Parâmetros'!$A$11:$A$12,'Regras e Parâmetros'!$B$11:$B$12)</f>
        <v>25</v>
      </c>
      <c r="G311" s="7">
        <f t="shared" si="4"/>
        <v>25</v>
      </c>
      <c r="H311" t="s">
        <v>45</v>
      </c>
      <c r="J311" s="5" t="s">
        <v>6277</v>
      </c>
      <c r="K311" t="s">
        <v>9968</v>
      </c>
    </row>
    <row r="312" spans="1:11" x14ac:dyDescent="0.3">
      <c r="A312" s="1">
        <v>46018</v>
      </c>
      <c r="B312" s="5" t="s">
        <v>1936</v>
      </c>
      <c r="C312" t="str">
        <f>IF(B312="","",IFERROR(INDEX(Clientes!$A:$A,MATCH(B312,Clientes!$B:$B,0)),"(CPF não cadastrado)"))</f>
        <v>Ricardo Almeida</v>
      </c>
      <c r="D312" s="24">
        <v>300</v>
      </c>
      <c r="E312" s="7">
        <v>30</v>
      </c>
      <c r="F312" s="7">
        <f>D312/100*LOOKUP(A312,'Regras e Parâmetros'!$A$11:$A$12,'Regras e Parâmetros'!$B$11:$B$12)</f>
        <v>15</v>
      </c>
      <c r="G312" s="7">
        <f t="shared" si="4"/>
        <v>15</v>
      </c>
      <c r="H312" t="s">
        <v>45</v>
      </c>
      <c r="J312" s="5" t="s">
        <v>6278</v>
      </c>
      <c r="K312" t="s">
        <v>9968</v>
      </c>
    </row>
    <row r="313" spans="1:11" x14ac:dyDescent="0.3">
      <c r="A313" s="1">
        <v>46019</v>
      </c>
      <c r="B313" s="5" t="s">
        <v>8511</v>
      </c>
      <c r="C313" t="str">
        <f>IF(B313="","",IFERROR(INDEX(Clientes!$A:$A,MATCH(B313,Clientes!$B:$B,0)),"(CPF não cadastrado)"))</f>
        <v>Arthur Fernandes Monteiro</v>
      </c>
      <c r="D313" s="24">
        <v>500</v>
      </c>
      <c r="E313" s="7">
        <v>50</v>
      </c>
      <c r="F313" s="7">
        <f>D313/100*LOOKUP(A313,'Regras e Parâmetros'!$A$11:$A$12,'Regras e Parâmetros'!$B$11:$B$12)</f>
        <v>25</v>
      </c>
      <c r="G313" s="7">
        <f t="shared" si="4"/>
        <v>25</v>
      </c>
      <c r="H313" t="s">
        <v>45</v>
      </c>
      <c r="J313" s="5" t="s">
        <v>6279</v>
      </c>
      <c r="K313" t="s">
        <v>9968</v>
      </c>
    </row>
    <row r="314" spans="1:11" x14ac:dyDescent="0.3">
      <c r="A314" s="1">
        <v>46019</v>
      </c>
      <c r="B314" s="5" t="s">
        <v>7676</v>
      </c>
      <c r="C314" t="str">
        <f>IF(B314="","",IFERROR(INDEX(Clientes!$A:$A,MATCH(B314,Clientes!$B:$B,0)),"(CPF não cadastrado)"))</f>
        <v>Juliana Fonseca</v>
      </c>
      <c r="D314" s="24">
        <v>300</v>
      </c>
      <c r="E314" s="7">
        <v>30</v>
      </c>
      <c r="F314" s="7">
        <f>D314/100*LOOKUP(A314,'Regras e Parâmetros'!$A$11:$A$12,'Regras e Parâmetros'!$B$11:$B$12)</f>
        <v>15</v>
      </c>
      <c r="G314" s="7">
        <f t="shared" si="4"/>
        <v>15</v>
      </c>
      <c r="H314" t="s">
        <v>45</v>
      </c>
      <c r="J314" s="5" t="s">
        <v>6280</v>
      </c>
      <c r="K314" t="s">
        <v>9968</v>
      </c>
    </row>
    <row r="315" spans="1:11" x14ac:dyDescent="0.3">
      <c r="A315" s="1">
        <v>46020</v>
      </c>
      <c r="B315" s="5" t="s">
        <v>7728</v>
      </c>
      <c r="C315" t="str">
        <f>IF(B315="","",IFERROR(INDEX(Clientes!$A:$A,MATCH(B315,Clientes!$B:$B,0)),"(CPF não cadastrado)"))</f>
        <v>Miguel Lima Moura</v>
      </c>
      <c r="D315" s="24">
        <v>2000</v>
      </c>
      <c r="E315" s="7">
        <v>200</v>
      </c>
      <c r="F315" s="7">
        <f>D315/100*LOOKUP(A315,'Regras e Parâmetros'!$A$11:$A$12,'Regras e Parâmetros'!$B$11:$B$12)</f>
        <v>100</v>
      </c>
      <c r="G315" s="7">
        <f t="shared" si="4"/>
        <v>100</v>
      </c>
      <c r="H315" t="s">
        <v>18</v>
      </c>
      <c r="J315" s="5" t="s">
        <v>6142</v>
      </c>
      <c r="K315" t="s">
        <v>9968</v>
      </c>
    </row>
    <row r="316" spans="1:11" x14ac:dyDescent="0.3">
      <c r="A316" s="1">
        <v>46023</v>
      </c>
      <c r="B316" s="5" t="s">
        <v>6281</v>
      </c>
      <c r="C316" t="str">
        <f>IF(B316="","",IFERROR(INDEX(Clientes!$A:$A,MATCH(B316,Clientes!$B:$B,0)),"(CPF não cadastrado)"))</f>
        <v>Ana Cavalcanti</v>
      </c>
      <c r="D316" s="24">
        <v>1000</v>
      </c>
      <c r="E316" s="7">
        <v>50</v>
      </c>
      <c r="F316" s="7">
        <f>D316/100*LOOKUP(A316,'Regras e Parâmetros'!$A$11:$A$12,'Regras e Parâmetros'!$B$11:$B$12)</f>
        <v>50</v>
      </c>
      <c r="G316" s="7">
        <f t="shared" si="4"/>
        <v>0</v>
      </c>
      <c r="H316" t="s">
        <v>22</v>
      </c>
      <c r="I316" t="s">
        <v>6087</v>
      </c>
      <c r="J316" s="5" t="s">
        <v>6281</v>
      </c>
      <c r="K316" t="s">
        <v>9968</v>
      </c>
    </row>
    <row r="317" spans="1:11" x14ac:dyDescent="0.3">
      <c r="A317" s="1">
        <v>46025</v>
      </c>
      <c r="B317" s="5" t="s">
        <v>8483</v>
      </c>
      <c r="C317" t="str">
        <f>IF(B317="","",IFERROR(INDEX(Clientes!$A:$A,MATCH(B317,Clientes!$B:$B,0)),"(CPF não cadastrado)"))</f>
        <v>Aline Fernandes</v>
      </c>
      <c r="D317" s="24">
        <v>900</v>
      </c>
      <c r="E317" s="7">
        <v>90</v>
      </c>
      <c r="F317" s="7">
        <f>D317/100*LOOKUP(A317,'Regras e Parâmetros'!$A$11:$A$12,'Regras e Parâmetros'!$B$11:$B$12)</f>
        <v>45</v>
      </c>
      <c r="G317" s="7">
        <f t="shared" si="4"/>
        <v>45</v>
      </c>
      <c r="H317" t="s">
        <v>45</v>
      </c>
      <c r="J317" s="5" t="s">
        <v>6282</v>
      </c>
      <c r="K317" t="s">
        <v>9968</v>
      </c>
    </row>
    <row r="318" spans="1:11" x14ac:dyDescent="0.3">
      <c r="A318" s="1">
        <v>46026</v>
      </c>
      <c r="B318" s="5" t="s">
        <v>7988</v>
      </c>
      <c r="C318" t="str">
        <f>IF(B318="","",IFERROR(INDEX(Clientes!$A:$A,MATCH(B318,Clientes!$B:$B,0)),"(CPF não cadastrado)"))</f>
        <v>Luan Batista Farias</v>
      </c>
      <c r="D318" s="24">
        <v>500</v>
      </c>
      <c r="E318" s="7">
        <v>50</v>
      </c>
      <c r="F318" s="7">
        <f>D318/100*LOOKUP(A318,'Regras e Parâmetros'!$A$11:$A$12,'Regras e Parâmetros'!$B$11:$B$12)</f>
        <v>25</v>
      </c>
      <c r="G318" s="7">
        <f t="shared" si="4"/>
        <v>25</v>
      </c>
      <c r="H318" t="s">
        <v>100</v>
      </c>
      <c r="J318" s="5" t="s">
        <v>6194</v>
      </c>
      <c r="K318" t="s">
        <v>9968</v>
      </c>
    </row>
    <row r="319" spans="1:11" x14ac:dyDescent="0.3">
      <c r="A319" s="1">
        <v>46027</v>
      </c>
      <c r="B319" s="5" t="s">
        <v>402</v>
      </c>
      <c r="C319" t="str">
        <f>IF(B319="","",IFERROR(INDEX(Clientes!$A:$A,MATCH(B319,Clientes!$B:$B,0)),"(CPF não cadastrado)"))</f>
        <v>Renan Correia Marques</v>
      </c>
      <c r="D319" s="24">
        <v>500</v>
      </c>
      <c r="E319" s="7">
        <v>50</v>
      </c>
      <c r="F319" s="7">
        <f>D319/100*LOOKUP(A319,'Regras e Parâmetros'!$A$11:$A$12,'Regras e Parâmetros'!$B$11:$B$12)</f>
        <v>25</v>
      </c>
      <c r="G319" s="7">
        <f t="shared" si="4"/>
        <v>25</v>
      </c>
      <c r="H319" t="s">
        <v>45</v>
      </c>
      <c r="J319" s="5" t="s">
        <v>6283</v>
      </c>
      <c r="K319" t="s">
        <v>9968</v>
      </c>
    </row>
    <row r="320" spans="1:11" x14ac:dyDescent="0.3">
      <c r="A320" s="1">
        <v>46028</v>
      </c>
      <c r="B320" s="5" t="s">
        <v>7532</v>
      </c>
      <c r="C320" t="str">
        <f>IF(B320="","",IFERROR(INDEX(Clientes!$A:$A,MATCH(B320,Clientes!$B:$B,0)),"(CPF não cadastrado)"))</f>
        <v>Rebeca Tavares</v>
      </c>
      <c r="D320" s="24">
        <v>300</v>
      </c>
      <c r="E320" s="7">
        <v>30</v>
      </c>
      <c r="F320" s="7">
        <f>D320/100*LOOKUP(A320,'Regras e Parâmetros'!$A$11:$A$12,'Regras e Parâmetros'!$B$11:$B$12)</f>
        <v>15</v>
      </c>
      <c r="G320" s="7">
        <f t="shared" si="4"/>
        <v>15</v>
      </c>
      <c r="H320" t="s">
        <v>45</v>
      </c>
      <c r="J320" s="5" t="s">
        <v>6250</v>
      </c>
      <c r="K320" t="s">
        <v>9968</v>
      </c>
    </row>
    <row r="321" spans="1:11" x14ac:dyDescent="0.3">
      <c r="A321" s="1">
        <v>46029</v>
      </c>
      <c r="B321" s="5" t="s">
        <v>1949</v>
      </c>
      <c r="C321" t="str">
        <f>IF(B321="","",IFERROR(INDEX(Clientes!$A:$A,MATCH(B321,Clientes!$B:$B,0)),"(CPF não cadastrado)"))</f>
        <v>Wesley Ribeiro Souza</v>
      </c>
      <c r="D321" s="24">
        <v>1200</v>
      </c>
      <c r="E321" s="7">
        <v>120</v>
      </c>
      <c r="F321" s="7">
        <f>D321/100*LOOKUP(A321,'Regras e Parâmetros'!$A$11:$A$12,'Regras e Parâmetros'!$B$11:$B$12)</f>
        <v>60</v>
      </c>
      <c r="G321" s="7">
        <f t="shared" si="4"/>
        <v>60</v>
      </c>
      <c r="H321" t="s">
        <v>45</v>
      </c>
      <c r="J321" s="5" t="s">
        <v>6248</v>
      </c>
      <c r="K321" t="s">
        <v>9968</v>
      </c>
    </row>
    <row r="322" spans="1:11" x14ac:dyDescent="0.3">
      <c r="A322" s="1">
        <v>46029</v>
      </c>
      <c r="B322" s="5" t="s">
        <v>6822</v>
      </c>
      <c r="C322" t="str">
        <f>IF(B322="","",IFERROR(INDEX(Clientes!$A:$A,MATCH(B322,Clientes!$B:$B,0)),"(CPF não cadastrado)"))</f>
        <v>Pedro Rocha Correia</v>
      </c>
      <c r="D322" s="24">
        <v>700</v>
      </c>
      <c r="E322" s="7">
        <v>70</v>
      </c>
      <c r="F322" s="7">
        <f>D322/100*LOOKUP(A322,'Regras e Parâmetros'!$A$11:$A$12,'Regras e Parâmetros'!$B$11:$B$12)</f>
        <v>35</v>
      </c>
      <c r="G322" s="7">
        <f t="shared" si="4"/>
        <v>35</v>
      </c>
      <c r="H322" t="s">
        <v>45</v>
      </c>
      <c r="J322" s="5" t="s">
        <v>6284</v>
      </c>
      <c r="K322" t="s">
        <v>9968</v>
      </c>
    </row>
    <row r="323" spans="1:11" x14ac:dyDescent="0.3">
      <c r="A323" s="1">
        <v>46030</v>
      </c>
      <c r="B323" s="5" t="s">
        <v>7181</v>
      </c>
      <c r="C323" t="str">
        <f>IF(B323="","",IFERROR(INDEX(Clientes!$A:$A,MATCH(B323,Clientes!$B:$B,0)),"(CPF não cadastrado)"))</f>
        <v>Natália Rocha Freitas</v>
      </c>
      <c r="D323" s="24">
        <v>1100</v>
      </c>
      <c r="E323" s="7">
        <v>110</v>
      </c>
      <c r="F323" s="7">
        <f>D323/100*LOOKUP(A323,'Regras e Parâmetros'!$A$11:$A$12,'Regras e Parâmetros'!$B$11:$B$12)</f>
        <v>55</v>
      </c>
      <c r="G323" s="7">
        <f t="shared" ref="G323:G386" si="5">E323-F323</f>
        <v>55</v>
      </c>
      <c r="H323" t="s">
        <v>18</v>
      </c>
      <c r="J323" s="5" t="s">
        <v>6285</v>
      </c>
      <c r="K323" t="s">
        <v>9968</v>
      </c>
    </row>
    <row r="324" spans="1:11" x14ac:dyDescent="0.3">
      <c r="A324" s="1">
        <v>46031</v>
      </c>
      <c r="B324" s="5" t="s">
        <v>6800</v>
      </c>
      <c r="C324" t="str">
        <f>IF(B324="","",IFERROR(INDEX(Clientes!$A:$A,MATCH(B324,Clientes!$B:$B,0)),"(CPF não cadastrado)"))</f>
        <v>Ícaro Rodrigues</v>
      </c>
      <c r="D324" s="24">
        <v>1000</v>
      </c>
      <c r="E324" s="7">
        <v>50</v>
      </c>
      <c r="F324" s="7">
        <f>D324/100*LOOKUP(A324,'Regras e Parâmetros'!$A$11:$A$12,'Regras e Parâmetros'!$B$11:$B$12)</f>
        <v>50</v>
      </c>
      <c r="G324" s="7">
        <f t="shared" si="5"/>
        <v>0</v>
      </c>
      <c r="H324" t="s">
        <v>100</v>
      </c>
      <c r="I324" t="s">
        <v>9970</v>
      </c>
      <c r="J324" s="5" t="s">
        <v>6286</v>
      </c>
      <c r="K324" t="s">
        <v>10282</v>
      </c>
    </row>
    <row r="325" spans="1:11" x14ac:dyDescent="0.3">
      <c r="A325" s="1">
        <v>46033</v>
      </c>
      <c r="B325" s="5" t="s">
        <v>6723</v>
      </c>
      <c r="C325" t="str">
        <f>IF(B325="","",IFERROR(INDEX(Clientes!$A:$A,MATCH(B325,Clientes!$B:$B,0)),"(CPF não cadastrado)"))</f>
        <v>Thaís Moreira Costa</v>
      </c>
      <c r="D325" s="24">
        <v>2000</v>
      </c>
      <c r="E325" s="7">
        <v>200</v>
      </c>
      <c r="F325" s="7">
        <f>D325/100*LOOKUP(A325,'Regras e Parâmetros'!$A$11:$A$12,'Regras e Parâmetros'!$B$11:$B$12)</f>
        <v>100</v>
      </c>
      <c r="G325" s="7">
        <f t="shared" si="5"/>
        <v>100</v>
      </c>
      <c r="H325" t="s">
        <v>22</v>
      </c>
      <c r="J325" s="5" t="s">
        <v>6208</v>
      </c>
      <c r="K325" t="s">
        <v>9968</v>
      </c>
    </row>
    <row r="326" spans="1:11" x14ac:dyDescent="0.3">
      <c r="A326" s="1">
        <v>46035</v>
      </c>
      <c r="B326" s="5" t="s">
        <v>8078</v>
      </c>
      <c r="C326" t="str">
        <f>IF(B326="","",IFERROR(INDEX(Clientes!$A:$A,MATCH(B326,Clientes!$B:$B,0)),"(CPF não cadastrado)"))</f>
        <v>Pedro Gomes</v>
      </c>
      <c r="D326" s="24">
        <v>500</v>
      </c>
      <c r="E326" s="7">
        <v>50</v>
      </c>
      <c r="F326" s="7">
        <f>D326/100*LOOKUP(A326,'Regras e Parâmetros'!$A$11:$A$12,'Regras e Parâmetros'!$B$11:$B$12)</f>
        <v>25</v>
      </c>
      <c r="G326" s="7">
        <f t="shared" si="5"/>
        <v>25</v>
      </c>
      <c r="H326" t="s">
        <v>45</v>
      </c>
      <c r="J326" s="5" t="s">
        <v>2912</v>
      </c>
      <c r="K326" t="s">
        <v>9968</v>
      </c>
    </row>
    <row r="327" spans="1:11" x14ac:dyDescent="0.3">
      <c r="A327" s="1">
        <v>46036</v>
      </c>
      <c r="B327" s="5" t="s">
        <v>1583</v>
      </c>
      <c r="C327" t="str">
        <f>IF(B327="","",IFERROR(INDEX(Clientes!$A:$A,MATCH(B327,Clientes!$B:$B,0)),"(CPF não cadastrado)"))</f>
        <v>Enzo Alves Santos</v>
      </c>
      <c r="D327" s="24">
        <v>1000</v>
      </c>
      <c r="E327" s="7">
        <v>50</v>
      </c>
      <c r="F327" s="7">
        <f>D327/100*LOOKUP(A327,'Regras e Parâmetros'!$A$11:$A$12,'Regras e Parâmetros'!$B$11:$B$12)</f>
        <v>50</v>
      </c>
      <c r="G327" s="7">
        <f t="shared" si="5"/>
        <v>0</v>
      </c>
      <c r="H327" t="s">
        <v>110</v>
      </c>
      <c r="I327" t="s">
        <v>6087</v>
      </c>
      <c r="J327" s="5" t="s">
        <v>1582</v>
      </c>
      <c r="K327" t="s">
        <v>9969</v>
      </c>
    </row>
    <row r="328" spans="1:11" x14ac:dyDescent="0.3">
      <c r="A328" s="1">
        <v>46036</v>
      </c>
      <c r="B328" s="5" t="s">
        <v>4167</v>
      </c>
      <c r="C328" t="str">
        <f>IF(B328="","",IFERROR(INDEX(Clientes!$A:$A,MATCH(B328,Clientes!$B:$B,0)),"(CPF não cadastrado)"))</f>
        <v>Kauã Farias Almeida</v>
      </c>
      <c r="D328" s="24">
        <v>400</v>
      </c>
      <c r="E328" s="7">
        <v>40</v>
      </c>
      <c r="F328" s="7">
        <f>D328/100*LOOKUP(A328,'Regras e Parâmetros'!$A$11:$A$12,'Regras e Parâmetros'!$B$11:$B$12)</f>
        <v>20</v>
      </c>
      <c r="G328" s="7">
        <f t="shared" si="5"/>
        <v>20</v>
      </c>
      <c r="H328" t="s">
        <v>45</v>
      </c>
      <c r="J328" s="5" t="s">
        <v>6287</v>
      </c>
      <c r="K328" t="s">
        <v>9968</v>
      </c>
    </row>
    <row r="329" spans="1:11" x14ac:dyDescent="0.3">
      <c r="A329" s="1">
        <v>46037</v>
      </c>
      <c r="B329" s="5" t="s">
        <v>8871</v>
      </c>
      <c r="C329" t="str">
        <f>IF(B329="","",IFERROR(INDEX(Clientes!$A:$A,MATCH(B329,Clientes!$B:$B,0)),"(CPF não cadastrado)"))</f>
        <v>Carolina Rodrigues</v>
      </c>
      <c r="D329" s="24">
        <v>1600</v>
      </c>
      <c r="E329" s="7">
        <v>160</v>
      </c>
      <c r="F329" s="7">
        <f>D329/100*LOOKUP(A329,'Regras e Parâmetros'!$A$11:$A$12,'Regras e Parâmetros'!$B$11:$B$12)</f>
        <v>80</v>
      </c>
      <c r="G329" s="7">
        <f t="shared" si="5"/>
        <v>80</v>
      </c>
      <c r="H329" t="s">
        <v>100</v>
      </c>
      <c r="J329" s="5" t="s">
        <v>6288</v>
      </c>
      <c r="K329" t="s">
        <v>9968</v>
      </c>
    </row>
    <row r="330" spans="1:11" x14ac:dyDescent="0.3">
      <c r="A330" s="1">
        <v>46038</v>
      </c>
      <c r="B330" s="5" t="s">
        <v>1980</v>
      </c>
      <c r="C330" t="str">
        <f>IF(B330="","",IFERROR(INDEX(Clientes!$A:$A,MATCH(B330,Clientes!$B:$B,0)),"(CPF não cadastrado)"))</f>
        <v>Clara Martins</v>
      </c>
      <c r="D330" s="24">
        <v>500</v>
      </c>
      <c r="E330" s="7">
        <v>25</v>
      </c>
      <c r="F330" s="7">
        <f>D330/100*LOOKUP(A330,'Regras e Parâmetros'!$A$11:$A$12,'Regras e Parâmetros'!$B$11:$B$12)</f>
        <v>25</v>
      </c>
      <c r="G330" s="7">
        <f t="shared" si="5"/>
        <v>0</v>
      </c>
      <c r="H330" t="s">
        <v>110</v>
      </c>
      <c r="I330" t="s">
        <v>6087</v>
      </c>
      <c r="J330" s="5" t="s">
        <v>6289</v>
      </c>
      <c r="K330" t="s">
        <v>9969</v>
      </c>
    </row>
    <row r="331" spans="1:11" x14ac:dyDescent="0.3">
      <c r="A331" s="1">
        <v>46038</v>
      </c>
      <c r="B331" s="5" t="s">
        <v>6053</v>
      </c>
      <c r="C331" t="str">
        <f>IF(B331="","",IFERROR(INDEX(Clientes!$A:$A,MATCH(B331,Clientes!$B:$B,0)),"(CPF não cadastrado)"))</f>
        <v>Camila Lima</v>
      </c>
      <c r="D331" s="24">
        <v>1500</v>
      </c>
      <c r="E331" s="7">
        <v>75</v>
      </c>
      <c r="F331" s="7">
        <f>D331/100*LOOKUP(A331,'Regras e Parâmetros'!$A$11:$A$12,'Regras e Parâmetros'!$B$11:$B$12)</f>
        <v>75</v>
      </c>
      <c r="G331" s="7">
        <f t="shared" si="5"/>
        <v>0</v>
      </c>
      <c r="H331" t="s">
        <v>110</v>
      </c>
      <c r="I331" t="s">
        <v>9975</v>
      </c>
      <c r="J331" s="5" t="s">
        <v>1557</v>
      </c>
      <c r="K331" t="s">
        <v>10062</v>
      </c>
    </row>
    <row r="332" spans="1:11" x14ac:dyDescent="0.3">
      <c r="A332" s="1">
        <v>46038</v>
      </c>
      <c r="B332" s="5" t="s">
        <v>636</v>
      </c>
      <c r="C332" t="str">
        <f>IF(B332="","",IFERROR(INDEX(Clientes!$A:$A,MATCH(B332,Clientes!$B:$B,0)),"(CPF não cadastrado)"))</f>
        <v>Emanuelly R. Cavalcanti</v>
      </c>
      <c r="D332" s="24">
        <v>300</v>
      </c>
      <c r="E332" s="7">
        <v>30</v>
      </c>
      <c r="F332" s="7">
        <f>D332/100*LOOKUP(A332,'Regras e Parâmetros'!$A$11:$A$12,'Regras e Parâmetros'!$B$11:$B$12)</f>
        <v>15</v>
      </c>
      <c r="G332" s="7">
        <f t="shared" si="5"/>
        <v>15</v>
      </c>
      <c r="H332" t="s">
        <v>45</v>
      </c>
      <c r="J332" s="5" t="s">
        <v>6290</v>
      </c>
      <c r="K332" t="s">
        <v>9968</v>
      </c>
    </row>
    <row r="333" spans="1:11" x14ac:dyDescent="0.3">
      <c r="A333" s="1">
        <v>46039</v>
      </c>
      <c r="B333" s="5" t="s">
        <v>8308</v>
      </c>
      <c r="C333" t="str">
        <f>IF(B333="","",IFERROR(INDEX(Clientes!$A:$A,MATCH(B333,Clientes!$B:$B,0)),"(CPF não cadastrado)"))</f>
        <v>Fernanda Vieira</v>
      </c>
      <c r="D333" s="24">
        <v>1000</v>
      </c>
      <c r="E333" s="7">
        <v>50</v>
      </c>
      <c r="F333" s="7">
        <f>D333/100*LOOKUP(A333,'Regras e Parâmetros'!$A$11:$A$12,'Regras e Parâmetros'!$B$11:$B$12)</f>
        <v>50</v>
      </c>
      <c r="G333" s="7">
        <f t="shared" si="5"/>
        <v>0</v>
      </c>
      <c r="H333" t="s">
        <v>100</v>
      </c>
      <c r="I333" t="s">
        <v>9970</v>
      </c>
      <c r="J333" s="5" t="s">
        <v>6291</v>
      </c>
      <c r="K333" t="s">
        <v>10061</v>
      </c>
    </row>
    <row r="334" spans="1:11" x14ac:dyDescent="0.3">
      <c r="A334" s="1">
        <v>46040</v>
      </c>
      <c r="B334" s="5" t="s">
        <v>9007</v>
      </c>
      <c r="C334" t="str">
        <f>IF(B334="","",IFERROR(INDEX(Clientes!$A:$A,MATCH(B334,Clientes!$B:$B,0)),"(CPF não cadastrado)"))</f>
        <v>Melissa Araújo Rezende</v>
      </c>
      <c r="D334" s="24">
        <v>2000</v>
      </c>
      <c r="E334" s="7">
        <v>200</v>
      </c>
      <c r="F334" s="7">
        <f>D334/100*LOOKUP(A334,'Regras e Parâmetros'!$A$11:$A$12,'Regras e Parâmetros'!$B$11:$B$12)</f>
        <v>100</v>
      </c>
      <c r="G334" s="7">
        <f t="shared" si="5"/>
        <v>100</v>
      </c>
      <c r="H334" t="s">
        <v>100</v>
      </c>
      <c r="J334" s="5" t="s">
        <v>4597</v>
      </c>
      <c r="K334" t="s">
        <v>9968</v>
      </c>
    </row>
    <row r="335" spans="1:11" x14ac:dyDescent="0.3">
      <c r="A335" s="1">
        <v>46041</v>
      </c>
      <c r="B335" s="5" t="s">
        <v>8854</v>
      </c>
      <c r="C335" t="str">
        <f>IF(B335="","",IFERROR(INDEX(Clientes!$A:$A,MATCH(B335,Clientes!$B:$B,0)),"(CPF não cadastrado)"))</f>
        <v>Larissa Moura Ribeiro</v>
      </c>
      <c r="D335" s="24">
        <v>600</v>
      </c>
      <c r="E335" s="7">
        <v>60</v>
      </c>
      <c r="F335" s="7">
        <f>D335/100*LOOKUP(A335,'Regras e Parâmetros'!$A$11:$A$12,'Regras e Parâmetros'!$B$11:$B$12)</f>
        <v>30</v>
      </c>
      <c r="G335" s="7">
        <f t="shared" si="5"/>
        <v>30</v>
      </c>
      <c r="H335" t="s">
        <v>100</v>
      </c>
      <c r="J335" s="5" t="s">
        <v>6292</v>
      </c>
      <c r="K335" t="s">
        <v>9968</v>
      </c>
    </row>
    <row r="336" spans="1:11" x14ac:dyDescent="0.3">
      <c r="A336" s="1">
        <v>46042</v>
      </c>
      <c r="B336" s="5" t="s">
        <v>6965</v>
      </c>
      <c r="C336" t="str">
        <f>IF(B336="","",IFERROR(INDEX(Clientes!$A:$A,MATCH(B336,Clientes!$B:$B,0)),"(CPF não cadastrado)"))</f>
        <v>Marcelo Silva Batista</v>
      </c>
      <c r="D336" s="24">
        <v>1000</v>
      </c>
      <c r="E336" s="7">
        <v>100</v>
      </c>
      <c r="F336" s="7">
        <f>D336/100*LOOKUP(A336,'Regras e Parâmetros'!$A$11:$A$12,'Regras e Parâmetros'!$B$11:$B$12)</f>
        <v>50</v>
      </c>
      <c r="G336" s="7">
        <f t="shared" si="5"/>
        <v>50</v>
      </c>
      <c r="H336" t="s">
        <v>45</v>
      </c>
      <c r="J336" s="5" t="s">
        <v>6293</v>
      </c>
      <c r="K336" t="s">
        <v>9968</v>
      </c>
    </row>
    <row r="337" spans="1:11" x14ac:dyDescent="0.3">
      <c r="A337" s="1">
        <v>46042</v>
      </c>
      <c r="B337" s="5" t="s">
        <v>7247</v>
      </c>
      <c r="C337" t="str">
        <f>IF(B337="","",IFERROR(INDEX(Clientes!$A:$A,MATCH(B337,Clientes!$B:$B,0)),"(CPF não cadastrado)"))</f>
        <v>Camila Correia</v>
      </c>
      <c r="D337" s="24">
        <v>800</v>
      </c>
      <c r="E337" s="7">
        <v>80</v>
      </c>
      <c r="F337" s="7">
        <f>D337/100*LOOKUP(A337,'Regras e Parâmetros'!$A$11:$A$12,'Regras e Parâmetros'!$B$11:$B$12)</f>
        <v>40</v>
      </c>
      <c r="G337" s="7">
        <f t="shared" si="5"/>
        <v>40</v>
      </c>
      <c r="H337" t="s">
        <v>45</v>
      </c>
      <c r="J337" s="5" t="s">
        <v>6294</v>
      </c>
      <c r="K337" t="s">
        <v>9968</v>
      </c>
    </row>
    <row r="338" spans="1:11" x14ac:dyDescent="0.3">
      <c r="A338" s="1">
        <v>46043</v>
      </c>
      <c r="B338" s="5" t="s">
        <v>8871</v>
      </c>
      <c r="C338" t="str">
        <f>IF(B338="","",IFERROR(INDEX(Clientes!$A:$A,MATCH(B338,Clientes!$B:$B,0)),"(CPF não cadastrado)"))</f>
        <v>Carolina Rodrigues</v>
      </c>
      <c r="D338" s="24">
        <v>1100</v>
      </c>
      <c r="E338" s="7">
        <v>110</v>
      </c>
      <c r="F338" s="7">
        <f>D338/100*LOOKUP(A338,'Regras e Parâmetros'!$A$11:$A$12,'Regras e Parâmetros'!$B$11:$B$12)</f>
        <v>55</v>
      </c>
      <c r="G338" s="7">
        <f t="shared" si="5"/>
        <v>55</v>
      </c>
      <c r="H338" t="s">
        <v>100</v>
      </c>
      <c r="J338" s="5" t="s">
        <v>6288</v>
      </c>
      <c r="K338" t="s">
        <v>9968</v>
      </c>
    </row>
    <row r="339" spans="1:11" x14ac:dyDescent="0.3">
      <c r="A339" s="1">
        <v>46044</v>
      </c>
      <c r="B339" s="5" t="s">
        <v>8027</v>
      </c>
      <c r="C339" t="str">
        <f>IF(B339="","",IFERROR(INDEX(Clientes!$A:$A,MATCH(B339,Clientes!$B:$B,0)),"(CPF não cadastrado)"))</f>
        <v>Henrique Ferreira</v>
      </c>
      <c r="D339" s="24">
        <v>1000</v>
      </c>
      <c r="E339" s="7">
        <v>100</v>
      </c>
      <c r="F339" s="7">
        <f>D339/100*LOOKUP(A339,'Regras e Parâmetros'!$A$11:$A$12,'Regras e Parâmetros'!$B$11:$B$12)</f>
        <v>50</v>
      </c>
      <c r="G339" s="7">
        <f t="shared" si="5"/>
        <v>50</v>
      </c>
      <c r="H339" t="s">
        <v>110</v>
      </c>
      <c r="J339" s="5" t="s">
        <v>2815</v>
      </c>
      <c r="K339" t="s">
        <v>9968</v>
      </c>
    </row>
    <row r="340" spans="1:11" x14ac:dyDescent="0.3">
      <c r="A340" s="1">
        <v>46044</v>
      </c>
      <c r="B340" s="5" t="s">
        <v>7708</v>
      </c>
      <c r="C340" t="str">
        <f>IF(B340="","",IFERROR(INDEX(Clientes!$A:$A,MATCH(B340,Clientes!$B:$B,0)),"(CPF não cadastrado)"))</f>
        <v>Nicolas Silva Cardoso</v>
      </c>
      <c r="D340" s="24">
        <v>1000</v>
      </c>
      <c r="E340" s="7">
        <v>50</v>
      </c>
      <c r="F340" s="7">
        <f>D340/100*LOOKUP(A340,'Regras e Parâmetros'!$A$11:$A$12,'Regras e Parâmetros'!$B$11:$B$12)</f>
        <v>50</v>
      </c>
      <c r="G340" s="7">
        <f t="shared" si="5"/>
        <v>0</v>
      </c>
      <c r="H340" t="s">
        <v>22</v>
      </c>
      <c r="I340" t="s">
        <v>6321</v>
      </c>
      <c r="J340" s="5" t="s">
        <v>6295</v>
      </c>
      <c r="K340" t="s">
        <v>9969</v>
      </c>
    </row>
    <row r="341" spans="1:11" x14ac:dyDescent="0.3">
      <c r="A341" s="1">
        <v>46046</v>
      </c>
      <c r="B341" s="5" t="s">
        <v>9014</v>
      </c>
      <c r="C341" t="str">
        <f>IF(B341="","",IFERROR(INDEX(Clientes!$A:$A,MATCH(B341,Clientes!$B:$B,0)),"(CPF não cadastrado)"))</f>
        <v>Ícaro Cavalcanti Teixeira</v>
      </c>
      <c r="D341" s="24">
        <v>1000</v>
      </c>
      <c r="E341" s="7">
        <v>100</v>
      </c>
      <c r="F341" s="7">
        <f>D341/100*LOOKUP(A341,'Regras e Parâmetros'!$A$11:$A$12,'Regras e Parâmetros'!$B$11:$B$12)</f>
        <v>50</v>
      </c>
      <c r="G341" s="7">
        <f t="shared" si="5"/>
        <v>50</v>
      </c>
      <c r="H341" t="s">
        <v>18</v>
      </c>
      <c r="J341" s="5" t="s">
        <v>6296</v>
      </c>
      <c r="K341" t="s">
        <v>9968</v>
      </c>
    </row>
    <row r="342" spans="1:11" x14ac:dyDescent="0.3">
      <c r="A342" s="1">
        <v>46046</v>
      </c>
      <c r="B342" s="5" t="s">
        <v>7951</v>
      </c>
      <c r="C342" t="str">
        <f>IF(B342="","",IFERROR(INDEX(Clientes!$A:$A,MATCH(B342,Clientes!$B:$B,0)),"(CPF não cadastrado)"))</f>
        <v>Heloísa Carvalho Gonçalves</v>
      </c>
      <c r="D342" s="24">
        <v>300</v>
      </c>
      <c r="E342" s="7">
        <v>30</v>
      </c>
      <c r="F342" s="7">
        <f>D342/100*LOOKUP(A342,'Regras e Parâmetros'!$A$11:$A$12,'Regras e Parâmetros'!$B$11:$B$12)</f>
        <v>15</v>
      </c>
      <c r="G342" s="7">
        <f t="shared" si="5"/>
        <v>15</v>
      </c>
      <c r="H342" t="s">
        <v>45</v>
      </c>
      <c r="J342" s="5" t="s">
        <v>6245</v>
      </c>
      <c r="K342" t="s">
        <v>9968</v>
      </c>
    </row>
    <row r="343" spans="1:11" x14ac:dyDescent="0.3">
      <c r="A343" s="1">
        <v>46046</v>
      </c>
      <c r="B343" s="5" t="s">
        <v>2403</v>
      </c>
      <c r="C343" t="str">
        <f>IF(B343="","",IFERROR(INDEX(Clientes!$A:$A,MATCH(B343,Clientes!$B:$B,0)),"(CPF não cadastrado)"))</f>
        <v>Diego Pinto</v>
      </c>
      <c r="D343" s="24">
        <v>900</v>
      </c>
      <c r="E343" s="7">
        <v>90</v>
      </c>
      <c r="F343" s="7">
        <f>D343/100*LOOKUP(A343,'Regras e Parâmetros'!$A$11:$A$12,'Regras e Parâmetros'!$B$11:$B$12)</f>
        <v>45</v>
      </c>
      <c r="G343" s="7">
        <f t="shared" si="5"/>
        <v>45</v>
      </c>
      <c r="H343" t="s">
        <v>45</v>
      </c>
      <c r="J343" s="5" t="s">
        <v>6297</v>
      </c>
      <c r="K343" t="s">
        <v>9968</v>
      </c>
    </row>
    <row r="344" spans="1:11" x14ac:dyDescent="0.3">
      <c r="A344" s="1">
        <v>46049</v>
      </c>
      <c r="B344" s="5" t="s">
        <v>4479</v>
      </c>
      <c r="C344" t="str">
        <f>IF(B344="","",IFERROR(INDEX(Clientes!$A:$A,MATCH(B344,Clientes!$B:$B,0)),"(CPF não cadastrado)"))</f>
        <v>Diego Carvalho Correia</v>
      </c>
      <c r="D344" s="24">
        <v>500</v>
      </c>
      <c r="E344" s="7">
        <v>50</v>
      </c>
      <c r="F344" s="7">
        <f>D344/100*LOOKUP(A344,'Regras e Parâmetros'!$A$11:$A$12,'Regras e Parâmetros'!$B$11:$B$12)</f>
        <v>25</v>
      </c>
      <c r="G344" s="7">
        <f t="shared" si="5"/>
        <v>25</v>
      </c>
      <c r="H344" t="s">
        <v>22</v>
      </c>
      <c r="J344" s="5" t="s">
        <v>6298</v>
      </c>
      <c r="K344" t="s">
        <v>9968</v>
      </c>
    </row>
    <row r="345" spans="1:11" x14ac:dyDescent="0.3">
      <c r="A345" s="1">
        <v>46049</v>
      </c>
      <c r="B345" s="5" t="s">
        <v>7545</v>
      </c>
      <c r="C345" t="str">
        <f>IF(B345="","",IFERROR(INDEX(Clientes!$A:$A,MATCH(B345,Clientes!$B:$B,0)),"(CPF não cadastrado)"))</f>
        <v>Luana Santos Campos</v>
      </c>
      <c r="D345" s="24">
        <v>2000</v>
      </c>
      <c r="E345" s="7">
        <v>200</v>
      </c>
      <c r="F345" s="7">
        <f>D345/100*LOOKUP(A345,'Regras e Parâmetros'!$A$11:$A$12,'Regras e Parâmetros'!$B$11:$B$12)</f>
        <v>100</v>
      </c>
      <c r="G345" s="7">
        <f t="shared" si="5"/>
        <v>100</v>
      </c>
      <c r="H345" t="s">
        <v>45</v>
      </c>
      <c r="J345" s="5" t="s">
        <v>1925</v>
      </c>
      <c r="K345" t="s">
        <v>9968</v>
      </c>
    </row>
    <row r="346" spans="1:11" x14ac:dyDescent="0.3">
      <c r="A346" s="1">
        <v>46050</v>
      </c>
      <c r="B346" s="5" t="s">
        <v>3668</v>
      </c>
      <c r="C346" t="str">
        <f>IF(B346="","",IFERROR(INDEX(Clientes!$A:$A,MATCH(B346,Clientes!$B:$B,0)),"(CPF não cadastrado)"))</f>
        <v>Ícaro Teixeira</v>
      </c>
      <c r="D346" s="24">
        <v>1000</v>
      </c>
      <c r="E346" s="7">
        <v>100</v>
      </c>
      <c r="F346" s="7">
        <f>D346/100*LOOKUP(A346,'Regras e Parâmetros'!$A$11:$A$12,'Regras e Parâmetros'!$B$11:$B$12)</f>
        <v>50</v>
      </c>
      <c r="G346" s="7">
        <f t="shared" si="5"/>
        <v>50</v>
      </c>
      <c r="H346" t="s">
        <v>45</v>
      </c>
      <c r="J346" s="5" t="s">
        <v>6299</v>
      </c>
      <c r="K346" t="s">
        <v>9968</v>
      </c>
    </row>
    <row r="347" spans="1:11" x14ac:dyDescent="0.3">
      <c r="A347" s="1">
        <v>46051</v>
      </c>
      <c r="B347" s="5" t="s">
        <v>8596</v>
      </c>
      <c r="C347" t="str">
        <f>IF(B347="","",IFERROR(INDEX(Clientes!$A:$A,MATCH(B347,Clientes!$B:$B,0)),"(CPF não cadastrado)"))</f>
        <v>Murilo Farias Pereira</v>
      </c>
      <c r="D347" s="24">
        <v>1000</v>
      </c>
      <c r="E347" s="7">
        <v>50</v>
      </c>
      <c r="F347" s="7">
        <f>D347/100*LOOKUP(A347,'Regras e Parâmetros'!$A$11:$A$12,'Regras e Parâmetros'!$B$11:$B$12)</f>
        <v>50</v>
      </c>
      <c r="G347" s="7">
        <f t="shared" si="5"/>
        <v>0</v>
      </c>
      <c r="H347" t="s">
        <v>100</v>
      </c>
      <c r="I347" t="s">
        <v>9970</v>
      </c>
      <c r="J347" s="5" t="s">
        <v>6300</v>
      </c>
      <c r="K347" t="s">
        <v>9969</v>
      </c>
    </row>
    <row r="348" spans="1:11" x14ac:dyDescent="0.3">
      <c r="A348" s="1">
        <v>46052</v>
      </c>
      <c r="B348" s="5" t="s">
        <v>8757</v>
      </c>
      <c r="C348" t="str">
        <f>IF(B348="","",IFERROR(INDEX(Clientes!$A:$A,MATCH(B348,Clientes!$B:$B,0)),"(CPF não cadastrado)"))</f>
        <v>Kamila Santana</v>
      </c>
      <c r="D348" s="24">
        <v>1500</v>
      </c>
      <c r="E348" s="7">
        <v>150</v>
      </c>
      <c r="F348" s="7">
        <f>D348/100*LOOKUP(A348,'Regras e Parâmetros'!$A$11:$A$12,'Regras e Parâmetros'!$B$11:$B$12)</f>
        <v>75</v>
      </c>
      <c r="G348" s="7">
        <f t="shared" si="5"/>
        <v>75</v>
      </c>
      <c r="H348" t="s">
        <v>110</v>
      </c>
      <c r="J348" s="5" t="s">
        <v>6258</v>
      </c>
      <c r="K348" t="s">
        <v>9968</v>
      </c>
    </row>
    <row r="349" spans="1:11" x14ac:dyDescent="0.3">
      <c r="A349" s="1">
        <v>46052</v>
      </c>
      <c r="B349" s="5" t="s">
        <v>6800</v>
      </c>
      <c r="C349" t="str">
        <f>IF(B349="","",IFERROR(INDEX(Clientes!$A:$A,MATCH(B349,Clientes!$B:$B,0)),"(CPF não cadastrado)"))</f>
        <v>Ícaro Rodrigues</v>
      </c>
      <c r="D349" s="24">
        <v>1300</v>
      </c>
      <c r="E349" s="7">
        <v>130</v>
      </c>
      <c r="F349" s="7">
        <f>D349/100*LOOKUP(A349,'Regras e Parâmetros'!$A$11:$A$12,'Regras e Parâmetros'!$B$11:$B$12)</f>
        <v>65</v>
      </c>
      <c r="G349" s="7">
        <f t="shared" si="5"/>
        <v>65</v>
      </c>
      <c r="H349" t="s">
        <v>45</v>
      </c>
      <c r="J349" s="5" t="s">
        <v>6301</v>
      </c>
      <c r="K349" t="s">
        <v>9968</v>
      </c>
    </row>
    <row r="350" spans="1:11" x14ac:dyDescent="0.3">
      <c r="A350" s="1">
        <v>46052</v>
      </c>
      <c r="B350" s="5" t="s">
        <v>37</v>
      </c>
      <c r="C350" t="str">
        <f>IF(B350="","",IFERROR(INDEX(Clientes!$A:$A,MATCH(B350,Clientes!$B:$B,0)),"(CPF não cadastrado)"))</f>
        <v>Felipe Pinto</v>
      </c>
      <c r="D350" s="24">
        <v>300</v>
      </c>
      <c r="E350" s="7">
        <v>30</v>
      </c>
      <c r="F350" s="7">
        <f>D350/100*LOOKUP(A350,'Regras e Parâmetros'!$A$11:$A$12,'Regras e Parâmetros'!$B$11:$B$12)</f>
        <v>15</v>
      </c>
      <c r="G350" s="7">
        <f t="shared" si="5"/>
        <v>15</v>
      </c>
      <c r="H350" t="s">
        <v>45</v>
      </c>
      <c r="J350" s="5" t="s">
        <v>6302</v>
      </c>
      <c r="K350" t="s">
        <v>9968</v>
      </c>
    </row>
    <row r="351" spans="1:11" x14ac:dyDescent="0.3">
      <c r="A351" s="1">
        <v>46053</v>
      </c>
      <c r="B351" s="5" t="s">
        <v>9014</v>
      </c>
      <c r="C351" t="str">
        <f>IF(B351="","",IFERROR(INDEX(Clientes!$A:$A,MATCH(B351,Clientes!$B:$B,0)),"(CPF não cadastrado)"))</f>
        <v>Ícaro Cavalcanti Teixeira</v>
      </c>
      <c r="D351" s="24">
        <v>1500</v>
      </c>
      <c r="E351" s="7">
        <v>150</v>
      </c>
      <c r="F351" s="7">
        <f>D351/100*LOOKUP(A351,'Regras e Parâmetros'!$A$11:$A$12,'Regras e Parâmetros'!$B$11:$B$12)</f>
        <v>75</v>
      </c>
      <c r="G351" s="7">
        <f t="shared" si="5"/>
        <v>75</v>
      </c>
      <c r="H351" t="s">
        <v>18</v>
      </c>
      <c r="J351" s="5" t="s">
        <v>6296</v>
      </c>
      <c r="K351" t="s">
        <v>9968</v>
      </c>
    </row>
    <row r="352" spans="1:11" x14ac:dyDescent="0.3">
      <c r="A352" s="1">
        <v>46053</v>
      </c>
      <c r="B352" s="5" t="s">
        <v>6200</v>
      </c>
      <c r="C352" t="str">
        <f>IF(B352="","",IFERROR(INDEX(Clientes!$A:$A,MATCH(B352,Clientes!$B:$B,0)),"(CPF não cadastrado)"))</f>
        <v>Paula Santos Gonçalves</v>
      </c>
      <c r="D352" s="24">
        <v>300</v>
      </c>
      <c r="E352" s="7">
        <v>30</v>
      </c>
      <c r="F352" s="7">
        <f>D352/100*LOOKUP(A352,'Regras e Parâmetros'!$A$11:$A$12,'Regras e Parâmetros'!$B$11:$B$12)</f>
        <v>15</v>
      </c>
      <c r="G352" s="7">
        <f t="shared" si="5"/>
        <v>15</v>
      </c>
      <c r="H352" t="s">
        <v>45</v>
      </c>
      <c r="J352" s="5" t="s">
        <v>6303</v>
      </c>
      <c r="K352" t="s">
        <v>9968</v>
      </c>
    </row>
    <row r="353" spans="1:11" x14ac:dyDescent="0.3">
      <c r="A353" s="1">
        <v>46053</v>
      </c>
      <c r="B353" s="5" t="s">
        <v>7175</v>
      </c>
      <c r="C353" t="str">
        <f>IF(B353="","",IFERROR(INDEX(Clientes!$A:$A,MATCH(B353,Clientes!$B:$B,0)),"(CPF não cadastrado)"))</f>
        <v>Tainá Fonseca Freitas</v>
      </c>
      <c r="D353" s="24">
        <v>300</v>
      </c>
      <c r="E353" s="7">
        <v>30</v>
      </c>
      <c r="F353" s="7">
        <f>D353/100*LOOKUP(A353,'Regras e Parâmetros'!$A$11:$A$12,'Regras e Parâmetros'!$B$11:$B$12)</f>
        <v>15</v>
      </c>
      <c r="G353" s="7">
        <f t="shared" si="5"/>
        <v>15</v>
      </c>
      <c r="H353" t="s">
        <v>45</v>
      </c>
      <c r="J353" s="5" t="s">
        <v>6232</v>
      </c>
      <c r="K353" t="s">
        <v>9968</v>
      </c>
    </row>
    <row r="354" spans="1:11" x14ac:dyDescent="0.3">
      <c r="A354" s="1">
        <v>46054</v>
      </c>
      <c r="B354" s="5" t="s">
        <v>8696</v>
      </c>
      <c r="C354" t="str">
        <f>IF(B354="","",IFERROR(INDEX(Clientes!$A:$A,MATCH(B354,Clientes!$B:$B,0)),"(CPF não cadastrado)"))</f>
        <v>Paulo Ramos Fonseca</v>
      </c>
      <c r="D354" s="24">
        <v>900</v>
      </c>
      <c r="E354" s="7">
        <v>90</v>
      </c>
      <c r="F354" s="7">
        <f>D354/100*LOOKUP(A354,'Regras e Parâmetros'!$A$11:$A$12,'Regras e Parâmetros'!$B$11:$B$12)</f>
        <v>45</v>
      </c>
      <c r="G354" s="7">
        <f t="shared" si="5"/>
        <v>45</v>
      </c>
      <c r="H354" t="s">
        <v>100</v>
      </c>
      <c r="J354" s="5" t="s">
        <v>6304</v>
      </c>
      <c r="K354" t="s">
        <v>9968</v>
      </c>
    </row>
    <row r="355" spans="1:11" x14ac:dyDescent="0.3">
      <c r="A355" s="1">
        <v>46057</v>
      </c>
      <c r="B355" s="5" t="s">
        <v>3109</v>
      </c>
      <c r="C355" t="str">
        <f>IF(B355="","",IFERROR(INDEX(Clientes!$A:$A,MATCH(B355,Clientes!$B:$B,0)),"(CPF não cadastrado)"))</f>
        <v>Teo Ramos Vieira</v>
      </c>
      <c r="D355" s="24">
        <v>1000</v>
      </c>
      <c r="E355" s="7">
        <v>100</v>
      </c>
      <c r="F355" s="7">
        <f>D355/100*LOOKUP(A355,'Regras e Parâmetros'!$A$11:$A$12,'Regras e Parâmetros'!$B$11:$B$12)</f>
        <v>50</v>
      </c>
      <c r="G355" s="7">
        <f t="shared" si="5"/>
        <v>50</v>
      </c>
      <c r="H355" t="s">
        <v>45</v>
      </c>
      <c r="J355" s="5" t="s">
        <v>6305</v>
      </c>
      <c r="K355" t="s">
        <v>9968</v>
      </c>
    </row>
    <row r="356" spans="1:11" x14ac:dyDescent="0.3">
      <c r="A356" s="1">
        <v>46060</v>
      </c>
      <c r="B356" s="5" t="s">
        <v>396</v>
      </c>
      <c r="C356" t="str">
        <f>IF(B356="","",IFERROR(INDEX(Clientes!$A:$A,MATCH(B356,Clientes!$B:$B,0)),"(CPF não cadastrado)"))</f>
        <v>Gabriel Nascimento Nunes</v>
      </c>
      <c r="D356" s="24">
        <v>2000</v>
      </c>
      <c r="E356" s="7">
        <v>200</v>
      </c>
      <c r="F356" s="7">
        <f>D356/100*LOOKUP(A356,'Regras e Parâmetros'!$A$11:$A$12,'Regras e Parâmetros'!$B$11:$B$12)</f>
        <v>100</v>
      </c>
      <c r="G356" s="7">
        <f t="shared" si="5"/>
        <v>100</v>
      </c>
      <c r="H356" t="s">
        <v>100</v>
      </c>
      <c r="J356" s="5" t="s">
        <v>6306</v>
      </c>
      <c r="K356" t="s">
        <v>9968</v>
      </c>
    </row>
    <row r="357" spans="1:11" x14ac:dyDescent="0.3">
      <c r="A357" s="1">
        <v>46061</v>
      </c>
      <c r="B357" s="5" t="s">
        <v>6075</v>
      </c>
      <c r="C357" t="str">
        <f>IF(B357="","",IFERROR(INDEX(Clientes!$A:$A,MATCH(B357,Clientes!$B:$B,0)),"(CPF não cadastrado)"))</f>
        <v>Manuela Correia Pereira</v>
      </c>
      <c r="D357" s="24">
        <v>300</v>
      </c>
      <c r="E357" s="7">
        <v>30</v>
      </c>
      <c r="F357" s="7">
        <f>D357/100*LOOKUP(A357,'Regras e Parâmetros'!$A$11:$A$12,'Regras e Parâmetros'!$B$11:$B$12)</f>
        <v>15</v>
      </c>
      <c r="G357" s="7">
        <f t="shared" si="5"/>
        <v>15</v>
      </c>
      <c r="H357" t="s">
        <v>100</v>
      </c>
      <c r="J357" s="5" t="s">
        <v>6307</v>
      </c>
      <c r="K357" t="s">
        <v>9968</v>
      </c>
    </row>
    <row r="358" spans="1:11" x14ac:dyDescent="0.3">
      <c r="A358" s="1">
        <v>46062</v>
      </c>
      <c r="B358" s="5" t="s">
        <v>7855</v>
      </c>
      <c r="C358" t="str">
        <f>IF(B358="","",IFERROR(INDEX(Clientes!$A:$A,MATCH(B358,Clientes!$B:$B,0)),"(CPF não cadastrado)"))</f>
        <v>Teo Dias Mendes</v>
      </c>
      <c r="D358" s="24">
        <v>500</v>
      </c>
      <c r="E358" s="7">
        <v>50</v>
      </c>
      <c r="F358" s="7">
        <f>D358/100*LOOKUP(A358,'Regras e Parâmetros'!$A$11:$A$12,'Regras e Parâmetros'!$B$11:$B$12)</f>
        <v>25</v>
      </c>
      <c r="G358" s="7">
        <f t="shared" si="5"/>
        <v>25</v>
      </c>
      <c r="H358" t="s">
        <v>22</v>
      </c>
      <c r="J358" s="5" t="s">
        <v>6308</v>
      </c>
      <c r="K358" t="s">
        <v>9968</v>
      </c>
    </row>
    <row r="359" spans="1:11" x14ac:dyDescent="0.3">
      <c r="A359" s="1">
        <v>46063</v>
      </c>
      <c r="B359" s="5" t="s">
        <v>7868</v>
      </c>
      <c r="C359" t="str">
        <f>IF(B359="","",IFERROR(INDEX(Clientes!$A:$A,MATCH(B359,Clientes!$B:$B,0)),"(CPF não cadastrado)"))</f>
        <v>Yasmin Nogueira</v>
      </c>
      <c r="D359" s="24">
        <v>1500</v>
      </c>
      <c r="E359" s="7">
        <v>150</v>
      </c>
      <c r="F359" s="7">
        <f>D359/100*LOOKUP(A359,'Regras e Parâmetros'!$A$11:$A$12,'Regras e Parâmetros'!$B$11:$B$12)</f>
        <v>75</v>
      </c>
      <c r="G359" s="7">
        <f t="shared" si="5"/>
        <v>75</v>
      </c>
      <c r="H359" t="s">
        <v>22</v>
      </c>
      <c r="J359" s="5" t="s">
        <v>2500</v>
      </c>
      <c r="K359" t="s">
        <v>9968</v>
      </c>
    </row>
    <row r="360" spans="1:11" x14ac:dyDescent="0.3">
      <c r="A360" s="1">
        <v>46064</v>
      </c>
      <c r="B360" s="5" t="s">
        <v>3668</v>
      </c>
      <c r="C360" t="str">
        <f>IF(B360="","",IFERROR(INDEX(Clientes!$A:$A,MATCH(B360,Clientes!$B:$B,0)),"(CPF não cadastrado)"))</f>
        <v>Ícaro Teixeira</v>
      </c>
      <c r="D360" s="24">
        <v>1000</v>
      </c>
      <c r="E360" s="7">
        <v>50</v>
      </c>
      <c r="F360" s="7">
        <f>D360/100*LOOKUP(A360,'Regras e Parâmetros'!$A$11:$A$12,'Regras e Parâmetros'!$B$11:$B$12)</f>
        <v>50</v>
      </c>
      <c r="G360" s="7">
        <f t="shared" si="5"/>
        <v>0</v>
      </c>
      <c r="H360" t="s">
        <v>18</v>
      </c>
      <c r="I360" t="s">
        <v>6125</v>
      </c>
      <c r="J360" s="5" t="s">
        <v>6299</v>
      </c>
      <c r="K360" t="s">
        <v>9968</v>
      </c>
    </row>
    <row r="361" spans="1:11" x14ac:dyDescent="0.3">
      <c r="A361" s="1">
        <v>46066</v>
      </c>
      <c r="B361" s="5" t="s">
        <v>2684</v>
      </c>
      <c r="C361" t="str">
        <f>IF(B361="","",IFERROR(INDEX(Clientes!$A:$A,MATCH(B361,Clientes!$B:$B,0)),"(CPF não cadastrado)"))</f>
        <v>Priscila Gomes Ramos</v>
      </c>
      <c r="D361" s="24">
        <v>500</v>
      </c>
      <c r="E361" s="7">
        <v>50</v>
      </c>
      <c r="F361" s="7">
        <f>D361/100*LOOKUP(A361,'Regras e Parâmetros'!$A$11:$A$12,'Regras e Parâmetros'!$B$11:$B$12)</f>
        <v>25</v>
      </c>
      <c r="G361" s="7">
        <f t="shared" si="5"/>
        <v>25</v>
      </c>
      <c r="H361" t="s">
        <v>22</v>
      </c>
      <c r="J361" s="5" t="s">
        <v>6309</v>
      </c>
      <c r="K361" t="s">
        <v>9968</v>
      </c>
    </row>
    <row r="362" spans="1:11" x14ac:dyDescent="0.3">
      <c r="A362" s="1">
        <v>46066</v>
      </c>
      <c r="B362" s="5" t="s">
        <v>2195</v>
      </c>
      <c r="C362" t="str">
        <f>IF(B362="","",IFERROR(INDEX(Clientes!$A:$A,MATCH(B362,Clientes!$B:$B,0)),"(CPF não cadastrado)"))</f>
        <v>Cauã Vieira Moura</v>
      </c>
      <c r="D362" s="24">
        <v>1000</v>
      </c>
      <c r="E362" s="7">
        <v>100</v>
      </c>
      <c r="F362" s="7">
        <f>D362/100*LOOKUP(A362,'Regras e Parâmetros'!$A$11:$A$12,'Regras e Parâmetros'!$B$11:$B$12)</f>
        <v>50</v>
      </c>
      <c r="G362" s="7">
        <f t="shared" si="5"/>
        <v>50</v>
      </c>
      <c r="H362" t="s">
        <v>100</v>
      </c>
      <c r="J362" s="5" t="s">
        <v>6260</v>
      </c>
      <c r="K362" t="s">
        <v>9968</v>
      </c>
    </row>
    <row r="363" spans="1:11" x14ac:dyDescent="0.3">
      <c r="A363" s="1">
        <v>46068</v>
      </c>
      <c r="B363" s="5" t="s">
        <v>6936</v>
      </c>
      <c r="C363" t="str">
        <f>IF(B363="","",IFERROR(INDEX(Clientes!$A:$A,MATCH(B363,Clientes!$B:$B,0)),"(CPF não cadastrado)"))</f>
        <v>Natália Soares Monteiro</v>
      </c>
      <c r="D363" s="24">
        <v>500</v>
      </c>
      <c r="E363" s="7">
        <v>50</v>
      </c>
      <c r="F363" s="7">
        <f>D363/100*LOOKUP(A363,'Regras e Parâmetros'!$A$11:$A$12,'Regras e Parâmetros'!$B$11:$B$12)</f>
        <v>25</v>
      </c>
      <c r="G363" s="7">
        <f t="shared" si="5"/>
        <v>25</v>
      </c>
      <c r="H363" t="s">
        <v>45</v>
      </c>
      <c r="J363" s="5" t="s">
        <v>858</v>
      </c>
      <c r="K363" t="s">
        <v>9968</v>
      </c>
    </row>
    <row r="364" spans="1:11" x14ac:dyDescent="0.3">
      <c r="A364" s="1">
        <v>46070</v>
      </c>
      <c r="B364" s="5" t="s">
        <v>7251</v>
      </c>
      <c r="C364" t="str">
        <f>IF(B364="","",IFERROR(INDEX(Clientes!$A:$A,MATCH(B364,Clientes!$B:$B,0)),"(CPF não cadastrado)"))</f>
        <v>Ricardo Mendes Ramos</v>
      </c>
      <c r="D364" s="24">
        <v>500</v>
      </c>
      <c r="E364" s="7">
        <v>50</v>
      </c>
      <c r="F364" s="7">
        <f>D364/100*LOOKUP(A364,'Regras e Parâmetros'!$A$11:$A$12,'Regras e Parâmetros'!$B$11:$B$12)</f>
        <v>25</v>
      </c>
      <c r="G364" s="7">
        <f t="shared" si="5"/>
        <v>25</v>
      </c>
      <c r="H364" t="s">
        <v>22</v>
      </c>
      <c r="J364" s="5" t="s">
        <v>6310</v>
      </c>
      <c r="K364" t="s">
        <v>9968</v>
      </c>
    </row>
    <row r="365" spans="1:11" x14ac:dyDescent="0.3">
      <c r="A365" s="1">
        <v>46071</v>
      </c>
      <c r="B365" s="5" t="s">
        <v>6311</v>
      </c>
      <c r="C365" t="str">
        <f>IF(B365="","",IFERROR(INDEX(Clientes!$A:$A,MATCH(B365,Clientes!$B:$B,0)),"(CPF não cadastrado)"))</f>
        <v>Henrique Nunes Rocha</v>
      </c>
      <c r="D365" s="24">
        <v>900</v>
      </c>
      <c r="E365" s="7">
        <v>45</v>
      </c>
      <c r="F365" s="7">
        <f>D365/100*LOOKUP(A365,'Regras e Parâmetros'!$A$11:$A$12,'Regras e Parâmetros'!$B$11:$B$12)</f>
        <v>45</v>
      </c>
      <c r="G365" s="7">
        <f t="shared" si="5"/>
        <v>0</v>
      </c>
      <c r="H365" t="s">
        <v>100</v>
      </c>
      <c r="I365" t="s">
        <v>6291</v>
      </c>
      <c r="J365" s="5" t="s">
        <v>6311</v>
      </c>
      <c r="K365" t="s">
        <v>9968</v>
      </c>
    </row>
    <row r="366" spans="1:11" x14ac:dyDescent="0.3">
      <c r="A366" s="1">
        <v>46073</v>
      </c>
      <c r="B366" s="5" t="s">
        <v>2288</v>
      </c>
      <c r="C366" t="str">
        <f>IF(B366="","",IFERROR(INDEX(Clientes!$A:$A,MATCH(B366,Clientes!$B:$B,0)),"(CPF não cadastrado)"))</f>
        <v>Hugo Peixoto</v>
      </c>
      <c r="D366" s="24">
        <v>1000</v>
      </c>
      <c r="E366" s="7">
        <v>100</v>
      </c>
      <c r="F366" s="7">
        <f>D366/100*LOOKUP(A366,'Regras e Parâmetros'!$A$11:$A$12,'Regras e Parâmetros'!$B$11:$B$12)</f>
        <v>50</v>
      </c>
      <c r="G366" s="7">
        <f t="shared" si="5"/>
        <v>50</v>
      </c>
      <c r="H366" t="s">
        <v>110</v>
      </c>
      <c r="J366" s="5" t="s">
        <v>6224</v>
      </c>
      <c r="K366" t="s">
        <v>9968</v>
      </c>
    </row>
    <row r="367" spans="1:11" x14ac:dyDescent="0.3">
      <c r="A367" s="1">
        <v>46074</v>
      </c>
      <c r="B367" s="5" t="s">
        <v>6455</v>
      </c>
      <c r="C367" t="str">
        <f>IF(B367="","",IFERROR(INDEX(Clientes!$A:$A,MATCH(B367,Clientes!$B:$B,0)),"(CPF não cadastrado)"))</f>
        <v>Larissa V. Batista</v>
      </c>
      <c r="D367" s="24">
        <v>500</v>
      </c>
      <c r="E367" s="7">
        <v>50</v>
      </c>
      <c r="F367" s="7">
        <f>D367/100*LOOKUP(A367,'Regras e Parâmetros'!$A$11:$A$12,'Regras e Parâmetros'!$B$11:$B$12)</f>
        <v>25</v>
      </c>
      <c r="G367" s="7">
        <f t="shared" si="5"/>
        <v>25</v>
      </c>
      <c r="H367" t="s">
        <v>45</v>
      </c>
      <c r="J367" s="5" t="s">
        <v>6312</v>
      </c>
      <c r="K367" t="s">
        <v>9968</v>
      </c>
    </row>
    <row r="368" spans="1:11" x14ac:dyDescent="0.3">
      <c r="A368" s="1">
        <v>46077</v>
      </c>
      <c r="B368" s="5" t="s">
        <v>8112</v>
      </c>
      <c r="C368" t="str">
        <f>IF(B368="","",IFERROR(INDEX(Clientes!$A:$A,MATCH(B368,Clientes!$B:$B,0)),"(CPF não cadastrado)"))</f>
        <v>Letícia Costa</v>
      </c>
      <c r="D368" s="24">
        <v>1500</v>
      </c>
      <c r="E368" s="7">
        <v>75</v>
      </c>
      <c r="F368" s="7">
        <f>D368/100*LOOKUP(A368,'Regras e Parâmetros'!$A$11:$A$12,'Regras e Parâmetros'!$B$11:$B$12)</f>
        <v>75</v>
      </c>
      <c r="G368" s="7">
        <f t="shared" si="5"/>
        <v>0</v>
      </c>
      <c r="H368" t="s">
        <v>18</v>
      </c>
      <c r="I368" t="s">
        <v>6125</v>
      </c>
      <c r="J368" s="5" t="s">
        <v>6313</v>
      </c>
      <c r="K368" t="s">
        <v>9969</v>
      </c>
    </row>
    <row r="369" spans="1:11" x14ac:dyDescent="0.3">
      <c r="A369" s="1">
        <v>46077</v>
      </c>
      <c r="B369" s="5" t="s">
        <v>4184</v>
      </c>
      <c r="C369" t="str">
        <f>IF(B369="","",IFERROR(INDEX(Clientes!$A:$A,MATCH(B369,Clientes!$B:$B,0)),"(CPF não cadastrado)"))</f>
        <v>Olívia Araújo</v>
      </c>
      <c r="D369" s="24">
        <v>2000</v>
      </c>
      <c r="E369" s="7">
        <v>200</v>
      </c>
      <c r="F369" s="7">
        <f>D369/100*LOOKUP(A369,'Regras e Parâmetros'!$A$11:$A$12,'Regras e Parâmetros'!$B$11:$B$12)</f>
        <v>100</v>
      </c>
      <c r="G369" s="7">
        <f t="shared" si="5"/>
        <v>100</v>
      </c>
      <c r="H369" t="s">
        <v>22</v>
      </c>
      <c r="J369" s="5" t="s">
        <v>6314</v>
      </c>
      <c r="K369" t="s">
        <v>9968</v>
      </c>
    </row>
    <row r="370" spans="1:11" x14ac:dyDescent="0.3">
      <c r="A370" s="1">
        <v>46078</v>
      </c>
      <c r="B370" s="5" t="s">
        <v>4060</v>
      </c>
      <c r="C370" t="str">
        <f>IF(B370="","",IFERROR(INDEX(Clientes!$A:$A,MATCH(B370,Clientes!$B:$B,0)),"(CPF não cadastrado)"))</f>
        <v>Otávio Dias</v>
      </c>
      <c r="D370" s="24">
        <v>400</v>
      </c>
      <c r="E370" s="7">
        <v>40</v>
      </c>
      <c r="F370" s="7">
        <f>D370/100*LOOKUP(A370,'Regras e Parâmetros'!$A$11:$A$12,'Regras e Parâmetros'!$B$11:$B$12)</f>
        <v>20</v>
      </c>
      <c r="G370" s="7">
        <f t="shared" si="5"/>
        <v>20</v>
      </c>
      <c r="H370" t="s">
        <v>45</v>
      </c>
      <c r="J370" s="5" t="s">
        <v>6315</v>
      </c>
      <c r="K370" t="s">
        <v>9968</v>
      </c>
    </row>
    <row r="371" spans="1:11" x14ac:dyDescent="0.3">
      <c r="A371" s="1">
        <v>46080</v>
      </c>
      <c r="B371" s="5" t="s">
        <v>8495</v>
      </c>
      <c r="C371" t="str">
        <f>IF(B371="","",IFERROR(INDEX(Clientes!$A:$A,MATCH(B371,Clientes!$B:$B,0)),"(CPF não cadastrado)"))</f>
        <v>Sofia Moreira</v>
      </c>
      <c r="D371" s="24">
        <v>500</v>
      </c>
      <c r="E371" s="7">
        <v>50</v>
      </c>
      <c r="F371" s="7">
        <f>D371/100*LOOKUP(A371,'Regras e Parâmetros'!$A$11:$A$12,'Regras e Parâmetros'!$B$11:$B$12)</f>
        <v>25</v>
      </c>
      <c r="G371" s="7">
        <f t="shared" si="5"/>
        <v>25</v>
      </c>
      <c r="H371" t="s">
        <v>18</v>
      </c>
      <c r="J371" s="5" t="s">
        <v>3754</v>
      </c>
      <c r="K371" t="s">
        <v>9968</v>
      </c>
    </row>
    <row r="372" spans="1:11" x14ac:dyDescent="0.3">
      <c r="A372" s="1">
        <v>46081</v>
      </c>
      <c r="B372" s="5" t="s">
        <v>8621</v>
      </c>
      <c r="C372" t="str">
        <f>IF(B372="","",IFERROR(INDEX(Clientes!$A:$A,MATCH(B372,Clientes!$B:$B,0)),"(CPF não cadastrado)"))</f>
        <v>Mariana Machado</v>
      </c>
      <c r="D372" s="24">
        <v>1300</v>
      </c>
      <c r="E372" s="7">
        <v>130</v>
      </c>
      <c r="F372" s="7">
        <f>D372/100*LOOKUP(A372,'Regras e Parâmetros'!$A$11:$A$12,'Regras e Parâmetros'!$B$11:$B$12)</f>
        <v>65</v>
      </c>
      <c r="G372" s="7">
        <f t="shared" si="5"/>
        <v>65</v>
      </c>
      <c r="H372" t="s">
        <v>45</v>
      </c>
      <c r="J372" s="5" t="s">
        <v>6316</v>
      </c>
      <c r="K372" t="s">
        <v>9968</v>
      </c>
    </row>
    <row r="373" spans="1:11" x14ac:dyDescent="0.3">
      <c r="A373" s="1">
        <v>46083</v>
      </c>
      <c r="B373" s="5" t="s">
        <v>1756</v>
      </c>
      <c r="C373" t="str">
        <f>IF(B373="","",IFERROR(INDEX(Clientes!$A:$A,MATCH(B373,Clientes!$B:$B,0)),"(CPF não cadastrado)"))</f>
        <v>Caio Ferreira Martins</v>
      </c>
      <c r="D373" s="24">
        <v>300</v>
      </c>
      <c r="E373" s="7">
        <v>30</v>
      </c>
      <c r="F373" s="7">
        <f>D373/100*LOOKUP(A373,'Regras e Parâmetros'!$A$11:$A$12,'Regras e Parâmetros'!$B$11:$B$12)</f>
        <v>15</v>
      </c>
      <c r="G373" s="7">
        <f t="shared" si="5"/>
        <v>15</v>
      </c>
      <c r="H373" t="s">
        <v>45</v>
      </c>
      <c r="J373" s="5" t="s">
        <v>6317</v>
      </c>
      <c r="K373" t="s">
        <v>9968</v>
      </c>
    </row>
    <row r="374" spans="1:11" x14ac:dyDescent="0.3">
      <c r="A374" s="1">
        <v>46084</v>
      </c>
      <c r="B374" s="5" t="s">
        <v>6695</v>
      </c>
      <c r="C374" t="str">
        <f>IF(B374="","",IFERROR(INDEX(Clientes!$A:$A,MATCH(B374,Clientes!$B:$B,0)),"(CPF não cadastrado)"))</f>
        <v>Vitor Araújo Lopes</v>
      </c>
      <c r="D374" s="24">
        <v>2000</v>
      </c>
      <c r="E374" s="7">
        <v>200</v>
      </c>
      <c r="F374" s="7">
        <f>D374/100*LOOKUP(A374,'Regras e Parâmetros'!$A$11:$A$12,'Regras e Parâmetros'!$B$11:$B$12)</f>
        <v>100</v>
      </c>
      <c r="G374" s="7">
        <f t="shared" si="5"/>
        <v>100</v>
      </c>
      <c r="H374" t="s">
        <v>110</v>
      </c>
      <c r="J374" s="5" t="s">
        <v>6318</v>
      </c>
      <c r="K374" t="s">
        <v>9968</v>
      </c>
    </row>
    <row r="375" spans="1:11" x14ac:dyDescent="0.3">
      <c r="A375" s="1">
        <v>46084</v>
      </c>
      <c r="B375" s="5" t="s">
        <v>2288</v>
      </c>
      <c r="C375" t="str">
        <f>IF(B375="","",IFERROR(INDEX(Clientes!$A:$A,MATCH(B375,Clientes!$B:$B,0)),"(CPF não cadastrado)"))</f>
        <v>Hugo Peixoto</v>
      </c>
      <c r="D375" s="24">
        <v>2000</v>
      </c>
      <c r="E375" s="7">
        <v>200</v>
      </c>
      <c r="F375" s="7">
        <f>D375/100*LOOKUP(A375,'Regras e Parâmetros'!$A$11:$A$12,'Regras e Parâmetros'!$B$11:$B$12)</f>
        <v>100</v>
      </c>
      <c r="G375" s="7">
        <f t="shared" si="5"/>
        <v>100</v>
      </c>
      <c r="H375" t="s">
        <v>110</v>
      </c>
      <c r="J375" s="5" t="s">
        <v>6224</v>
      </c>
      <c r="K375" t="s">
        <v>9968</v>
      </c>
    </row>
    <row r="376" spans="1:11" x14ac:dyDescent="0.3">
      <c r="A376" s="1">
        <v>46085</v>
      </c>
      <c r="B376" s="5" t="s">
        <v>6819</v>
      </c>
      <c r="C376" t="str">
        <f>IF(B376="","",IFERROR(INDEX(Clientes!$A:$A,MATCH(B376,Clientes!$B:$B,0)),"(CPF não cadastrado)"))</f>
        <v>Bernardo Mendes Gonçalves</v>
      </c>
      <c r="D376" s="24">
        <v>1000</v>
      </c>
      <c r="E376" s="7">
        <v>100</v>
      </c>
      <c r="F376" s="7">
        <f>D376/100*LOOKUP(A376,'Regras e Parâmetros'!$A$11:$A$12,'Regras e Parâmetros'!$B$11:$B$12)</f>
        <v>50</v>
      </c>
      <c r="G376" s="7">
        <f t="shared" si="5"/>
        <v>50</v>
      </c>
      <c r="H376" t="s">
        <v>18</v>
      </c>
      <c r="J376" s="5" t="s">
        <v>6319</v>
      </c>
      <c r="K376" t="s">
        <v>9968</v>
      </c>
    </row>
    <row r="377" spans="1:11" x14ac:dyDescent="0.3">
      <c r="A377" s="1">
        <v>46085</v>
      </c>
      <c r="B377" s="5" t="s">
        <v>6759</v>
      </c>
      <c r="C377" t="str">
        <f>IF(B377="","",IFERROR(INDEX(Clientes!$A:$A,MATCH(B377,Clientes!$B:$B,0)),"(CPF não cadastrado)"))</f>
        <v>Yasmin Moreira Gomes</v>
      </c>
      <c r="D377" s="24">
        <v>500</v>
      </c>
      <c r="E377" s="7">
        <v>50</v>
      </c>
      <c r="F377" s="7">
        <f>D377/100*LOOKUP(A377,'Regras e Parâmetros'!$A$11:$A$12,'Regras e Parâmetros'!$B$11:$B$12)</f>
        <v>25</v>
      </c>
      <c r="G377" s="7">
        <f t="shared" si="5"/>
        <v>25</v>
      </c>
      <c r="H377" t="s">
        <v>45</v>
      </c>
      <c r="J377" s="5" t="s">
        <v>6320</v>
      </c>
      <c r="K377" t="s">
        <v>9968</v>
      </c>
    </row>
    <row r="378" spans="1:11" x14ac:dyDescent="0.3">
      <c r="A378" s="1">
        <v>46087</v>
      </c>
      <c r="B378" s="5" t="s">
        <v>8001</v>
      </c>
      <c r="C378" t="str">
        <f>IF(B378="","",IFERROR(INDEX(Clientes!$A:$A,MATCH(B378,Clientes!$B:$B,0)),"(CPF não cadastrado)"))</f>
        <v>Emanuel Correia</v>
      </c>
      <c r="D378" s="24">
        <v>500</v>
      </c>
      <c r="E378" s="7">
        <v>25</v>
      </c>
      <c r="F378" s="7">
        <f>D378/100*LOOKUP(A378,'Regras e Parâmetros'!$A$11:$A$12,'Regras e Parâmetros'!$B$11:$B$12)</f>
        <v>25</v>
      </c>
      <c r="G378" s="7">
        <f t="shared" si="5"/>
        <v>0</v>
      </c>
      <c r="H378" t="s">
        <v>22</v>
      </c>
      <c r="I378" t="s">
        <v>6321</v>
      </c>
      <c r="J378" s="5" t="s">
        <v>2765</v>
      </c>
      <c r="K378" t="s">
        <v>9968</v>
      </c>
    </row>
    <row r="379" spans="1:11" x14ac:dyDescent="0.3">
      <c r="A379" s="1">
        <v>46087</v>
      </c>
      <c r="B379" s="5" t="s">
        <v>7013</v>
      </c>
      <c r="C379" t="str">
        <f>IF(B379="","",IFERROR(INDEX(Clientes!$A:$A,MATCH(B379,Clientes!$B:$B,0)),"(CPF não cadastrado)"))</f>
        <v>Paula Santos</v>
      </c>
      <c r="D379" s="24">
        <v>1500</v>
      </c>
      <c r="E379" s="7">
        <v>150</v>
      </c>
      <c r="F379" s="7">
        <f>D379/100*LOOKUP(A379,'Regras e Parâmetros'!$A$11:$A$12,'Regras e Parâmetros'!$B$11:$B$12)</f>
        <v>75</v>
      </c>
      <c r="G379" s="7">
        <f t="shared" si="5"/>
        <v>75</v>
      </c>
      <c r="H379" t="s">
        <v>45</v>
      </c>
      <c r="J379" s="5" t="s">
        <v>6322</v>
      </c>
      <c r="K379" t="s">
        <v>9968</v>
      </c>
    </row>
    <row r="380" spans="1:11" x14ac:dyDescent="0.3">
      <c r="A380" s="1">
        <v>46088</v>
      </c>
      <c r="B380" s="5" t="s">
        <v>7261</v>
      </c>
      <c r="C380" t="str">
        <f>IF(B380="","",IFERROR(INDEX(Clientes!$A:$A,MATCH(B380,Clientes!$B:$B,0)),"(CPF não cadastrado)"))</f>
        <v>Valentina C. Machado</v>
      </c>
      <c r="D380" s="24">
        <v>300</v>
      </c>
      <c r="E380" s="7">
        <v>30</v>
      </c>
      <c r="F380" s="7">
        <f>D380/100*LOOKUP(A380,'Regras e Parâmetros'!$A$11:$A$12,'Regras e Parâmetros'!$B$11:$B$12)</f>
        <v>15</v>
      </c>
      <c r="G380" s="7">
        <f t="shared" si="5"/>
        <v>15</v>
      </c>
      <c r="H380" t="s">
        <v>18</v>
      </c>
      <c r="J380" s="5" t="s">
        <v>1532</v>
      </c>
      <c r="K380" t="s">
        <v>9968</v>
      </c>
    </row>
    <row r="381" spans="1:11" x14ac:dyDescent="0.3">
      <c r="A381" s="1">
        <v>46090</v>
      </c>
      <c r="B381" s="5" t="s">
        <v>402</v>
      </c>
      <c r="C381" t="str">
        <f>IF(B381="","",IFERROR(INDEX(Clientes!$A:$A,MATCH(B381,Clientes!$B:$B,0)),"(CPF não cadastrado)"))</f>
        <v>Renan Correia Marques</v>
      </c>
      <c r="D381" s="24">
        <v>500</v>
      </c>
      <c r="E381" s="7">
        <v>25</v>
      </c>
      <c r="F381" s="7">
        <f>D381/100*LOOKUP(A381,'Regras e Parâmetros'!$A$11:$A$12,'Regras e Parâmetros'!$B$11:$B$12)</f>
        <v>25</v>
      </c>
      <c r="G381" s="7">
        <f t="shared" si="5"/>
        <v>0</v>
      </c>
      <c r="H381" t="s">
        <v>110</v>
      </c>
      <c r="I381" t="s">
        <v>6081</v>
      </c>
      <c r="J381" s="5" t="s">
        <v>6283</v>
      </c>
      <c r="K381" t="s">
        <v>9968</v>
      </c>
    </row>
    <row r="382" spans="1:11" x14ac:dyDescent="0.3">
      <c r="A382" s="1">
        <v>46091</v>
      </c>
      <c r="B382" s="5" t="s">
        <v>7235</v>
      </c>
      <c r="C382" t="str">
        <f>IF(B382="","",IFERROR(INDEX(Clientes!$A:$A,MATCH(B382,Clientes!$B:$B,0)),"(CPF não cadastrado)"))</f>
        <v>Vanessa Santos Moreira</v>
      </c>
      <c r="D382" s="24">
        <v>500</v>
      </c>
      <c r="E382" s="7">
        <v>50</v>
      </c>
      <c r="F382" s="7">
        <f>D382/100*LOOKUP(A382,'Regras e Parâmetros'!$A$11:$A$12,'Regras e Parâmetros'!$B$11:$B$12)</f>
        <v>25</v>
      </c>
      <c r="G382" s="7">
        <f t="shared" si="5"/>
        <v>25</v>
      </c>
      <c r="H382" t="s">
        <v>45</v>
      </c>
      <c r="J382" s="5" t="s">
        <v>6323</v>
      </c>
      <c r="K382" t="s">
        <v>9968</v>
      </c>
    </row>
    <row r="383" spans="1:11" x14ac:dyDescent="0.3">
      <c r="A383" s="1">
        <v>46092</v>
      </c>
      <c r="B383" s="5" t="s">
        <v>8470</v>
      </c>
      <c r="C383" t="str">
        <f>IF(B383="","",IFERROR(INDEX(Clientes!$A:$A,MATCH(B383,Clientes!$B:$B,0)),"(CPF não cadastrado)"))</f>
        <v>Igor Lopes Costa</v>
      </c>
      <c r="D383" s="24">
        <v>600</v>
      </c>
      <c r="E383" s="7">
        <v>60</v>
      </c>
      <c r="F383" s="7">
        <f>D383/100*LOOKUP(A383,'Regras e Parâmetros'!$A$11:$A$12,'Regras e Parâmetros'!$B$11:$B$12)</f>
        <v>30</v>
      </c>
      <c r="G383" s="7">
        <f t="shared" si="5"/>
        <v>30</v>
      </c>
      <c r="H383" t="s">
        <v>45</v>
      </c>
      <c r="J383" s="5" t="s">
        <v>6324</v>
      </c>
      <c r="K383" t="s">
        <v>9968</v>
      </c>
    </row>
    <row r="384" spans="1:11" x14ac:dyDescent="0.3">
      <c r="A384" s="1">
        <v>46094</v>
      </c>
      <c r="B384" s="5" t="s">
        <v>7561</v>
      </c>
      <c r="C384" t="str">
        <f>IF(B384="","",IFERROR(INDEX(Clientes!$A:$A,MATCH(B384,Clientes!$B:$B,0)),"(CPF não cadastrado)"))</f>
        <v>Yuri Souza Moreira</v>
      </c>
      <c r="D384" s="24">
        <v>1000</v>
      </c>
      <c r="E384" s="7">
        <v>100</v>
      </c>
      <c r="F384" s="7">
        <f>D384/100*LOOKUP(A384,'Regras e Parâmetros'!$A$11:$A$12,'Regras e Parâmetros'!$B$11:$B$12)</f>
        <v>50</v>
      </c>
      <c r="G384" s="7">
        <f t="shared" si="5"/>
        <v>50</v>
      </c>
      <c r="H384" t="s">
        <v>18</v>
      </c>
      <c r="J384" s="5" t="s">
        <v>1975</v>
      </c>
      <c r="K384" t="s">
        <v>9968</v>
      </c>
    </row>
    <row r="385" spans="1:11" x14ac:dyDescent="0.3">
      <c r="A385" s="1">
        <v>46097</v>
      </c>
      <c r="B385" s="5" t="s">
        <v>8317</v>
      </c>
      <c r="C385" t="str">
        <f>IF(B385="","",IFERROR(INDEX(Clientes!$A:$A,MATCH(B385,Clientes!$B:$B,0)),"(CPF não cadastrado)"))</f>
        <v>Felipe Tavares</v>
      </c>
      <c r="D385" s="24">
        <v>2000</v>
      </c>
      <c r="E385" s="7">
        <v>100</v>
      </c>
      <c r="F385" s="7">
        <f>D385/100*LOOKUP(A385,'Regras e Parâmetros'!$A$11:$A$12,'Regras e Parâmetros'!$B$11:$B$12)</f>
        <v>100</v>
      </c>
      <c r="G385" s="7">
        <f t="shared" si="5"/>
        <v>0</v>
      </c>
      <c r="H385" t="s">
        <v>18</v>
      </c>
      <c r="I385" t="s">
        <v>6145</v>
      </c>
      <c r="J385" s="5" t="s">
        <v>3401</v>
      </c>
      <c r="K385" t="s">
        <v>9968</v>
      </c>
    </row>
    <row r="386" spans="1:11" x14ac:dyDescent="0.3">
      <c r="A386" s="1">
        <v>46097</v>
      </c>
      <c r="B386" s="5" t="s">
        <v>8021</v>
      </c>
      <c r="C386" t="str">
        <f>IF(B386="","",IFERROR(INDEX(Clientes!$A:$A,MATCH(B386,Clientes!$B:$B,0)),"(CPF não cadastrado)"))</f>
        <v>Mariana Gonçalves Marques</v>
      </c>
      <c r="D386" s="24">
        <v>1000</v>
      </c>
      <c r="E386" s="7">
        <v>100</v>
      </c>
      <c r="F386" s="7">
        <f>D386/100*LOOKUP(A386,'Regras e Parâmetros'!$A$11:$A$12,'Regras e Parâmetros'!$B$11:$B$12)</f>
        <v>50</v>
      </c>
      <c r="G386" s="7">
        <f t="shared" si="5"/>
        <v>50</v>
      </c>
      <c r="H386" t="s">
        <v>45</v>
      </c>
      <c r="J386" s="5" t="s">
        <v>6325</v>
      </c>
      <c r="K386" t="s">
        <v>9968</v>
      </c>
    </row>
    <row r="387" spans="1:11" x14ac:dyDescent="0.3">
      <c r="A387" s="1">
        <v>46098</v>
      </c>
      <c r="B387" s="5" t="s">
        <v>8621</v>
      </c>
      <c r="C387" t="str">
        <f>IF(B387="","",IFERROR(INDEX(Clientes!$A:$A,MATCH(B387,Clientes!$B:$B,0)),"(CPF não cadastrado)"))</f>
        <v>Mariana Machado</v>
      </c>
      <c r="D387" s="24">
        <v>500</v>
      </c>
      <c r="E387" s="7">
        <v>50</v>
      </c>
      <c r="F387" s="7">
        <f>D387/100*LOOKUP(A387,'Regras e Parâmetros'!$A$11:$A$12,'Regras e Parâmetros'!$B$11:$B$12)</f>
        <v>25</v>
      </c>
      <c r="G387" s="7">
        <f t="shared" ref="G387:G450" si="6">E387-F387</f>
        <v>25</v>
      </c>
      <c r="H387" t="s">
        <v>45</v>
      </c>
      <c r="J387" s="5" t="s">
        <v>6316</v>
      </c>
      <c r="K387" t="s">
        <v>9968</v>
      </c>
    </row>
    <row r="388" spans="1:11" x14ac:dyDescent="0.3">
      <c r="A388" s="1">
        <v>46098</v>
      </c>
      <c r="B388" s="5" t="s">
        <v>7379</v>
      </c>
      <c r="C388" t="str">
        <f>IF(B388="","",IFERROR(INDEX(Clientes!$A:$A,MATCH(B388,Clientes!$B:$B,0)),"(CPF não cadastrado)"))</f>
        <v>Olívia Silva Araújo</v>
      </c>
      <c r="D388" s="24">
        <v>500</v>
      </c>
      <c r="E388" s="7">
        <v>50</v>
      </c>
      <c r="F388" s="7">
        <f>D388/100*LOOKUP(A388,'Regras e Parâmetros'!$A$11:$A$12,'Regras e Parâmetros'!$B$11:$B$12)</f>
        <v>25</v>
      </c>
      <c r="G388" s="7">
        <f t="shared" si="6"/>
        <v>25</v>
      </c>
      <c r="H388" t="s">
        <v>45</v>
      </c>
      <c r="J388" s="5" t="s">
        <v>6326</v>
      </c>
      <c r="K388" t="s">
        <v>9968</v>
      </c>
    </row>
    <row r="389" spans="1:11" x14ac:dyDescent="0.3">
      <c r="A389" s="1">
        <v>46099</v>
      </c>
      <c r="B389" s="5" t="s">
        <v>3786</v>
      </c>
      <c r="C389" t="str">
        <f>IF(B389="","",IFERROR(INDEX(Clientes!$A:$A,MATCH(B389,Clientes!$B:$B,0)),"(CPF não cadastrado)"))</f>
        <v>Vitória Lopes Soares</v>
      </c>
      <c r="D389" s="24">
        <v>500</v>
      </c>
      <c r="E389" s="7">
        <v>50</v>
      </c>
      <c r="F389" s="7">
        <f>D389/100*LOOKUP(A389,'Regras e Parâmetros'!$A$11:$A$12,'Regras e Parâmetros'!$B$11:$B$12)</f>
        <v>25</v>
      </c>
      <c r="G389" s="7">
        <f t="shared" si="6"/>
        <v>25</v>
      </c>
      <c r="H389" t="s">
        <v>110</v>
      </c>
      <c r="J389" s="5" t="s">
        <v>6327</v>
      </c>
      <c r="K389" t="s">
        <v>9968</v>
      </c>
    </row>
    <row r="390" spans="1:11" x14ac:dyDescent="0.3">
      <c r="A390" s="1">
        <v>46100</v>
      </c>
      <c r="B390" s="5" t="s">
        <v>8351</v>
      </c>
      <c r="C390" t="str">
        <f>IF(B390="","",IFERROR(INDEX(Clientes!$A:$A,MATCH(B390,Clientes!$B:$B,0)),"(CPF não cadastrado)"))</f>
        <v>Yasmin Costa Soares</v>
      </c>
      <c r="D390" s="24">
        <v>1200</v>
      </c>
      <c r="E390" s="7">
        <v>120</v>
      </c>
      <c r="F390" s="7">
        <f>D390/100*LOOKUP(A390,'Regras e Parâmetros'!$A$11:$A$12,'Regras e Parâmetros'!$B$11:$B$12)</f>
        <v>60</v>
      </c>
      <c r="G390" s="7">
        <f t="shared" si="6"/>
        <v>60</v>
      </c>
      <c r="H390" t="s">
        <v>45</v>
      </c>
      <c r="J390" s="5" t="s">
        <v>6328</v>
      </c>
      <c r="K390" t="s">
        <v>9968</v>
      </c>
    </row>
    <row r="391" spans="1:11" x14ac:dyDescent="0.3">
      <c r="A391" s="1">
        <v>46101</v>
      </c>
      <c r="B391" s="5" t="s">
        <v>9014</v>
      </c>
      <c r="C391" t="str">
        <f>IF(B391="","",IFERROR(INDEX(Clientes!$A:$A,MATCH(B391,Clientes!$B:$B,0)),"(CPF não cadastrado)"))</f>
        <v>Ícaro Cavalcanti Teixeira</v>
      </c>
      <c r="D391" s="24">
        <v>300</v>
      </c>
      <c r="E391" s="7">
        <v>30</v>
      </c>
      <c r="F391" s="7">
        <f>D391/100*LOOKUP(A391,'Regras e Parâmetros'!$A$11:$A$12,'Regras e Parâmetros'!$B$11:$B$12)</f>
        <v>15</v>
      </c>
      <c r="G391" s="7">
        <f t="shared" si="6"/>
        <v>15</v>
      </c>
      <c r="H391" t="s">
        <v>18</v>
      </c>
      <c r="J391" s="5" t="s">
        <v>6296</v>
      </c>
      <c r="K391" t="s">
        <v>9968</v>
      </c>
    </row>
    <row r="392" spans="1:11" x14ac:dyDescent="0.3">
      <c r="A392" s="1">
        <v>46102</v>
      </c>
      <c r="B392" s="5" t="s">
        <v>6100</v>
      </c>
      <c r="C392" t="str">
        <f>IF(B392="","",IFERROR(INDEX(Clientes!$A:$A,MATCH(B392,Clientes!$B:$B,0)),"(CPF não cadastrado)"))</f>
        <v>Jaqueline Vieira Lima</v>
      </c>
      <c r="D392" s="24">
        <v>300</v>
      </c>
      <c r="E392" s="7">
        <v>30</v>
      </c>
      <c r="F392" s="7">
        <f>D392/100*LOOKUP(A392,'Regras e Parâmetros'!$A$11:$A$12,'Regras e Parâmetros'!$B$11:$B$12)</f>
        <v>15</v>
      </c>
      <c r="G392" s="7">
        <f t="shared" si="6"/>
        <v>15</v>
      </c>
      <c r="H392" t="s">
        <v>22</v>
      </c>
      <c r="J392" s="5" t="s">
        <v>6185</v>
      </c>
      <c r="K392" t="s">
        <v>9968</v>
      </c>
    </row>
    <row r="393" spans="1:11" x14ac:dyDescent="0.3">
      <c r="A393" s="1">
        <v>46104</v>
      </c>
      <c r="B393" s="5" t="s">
        <v>6679</v>
      </c>
      <c r="C393" t="str">
        <f>IF(B393="","",IFERROR(INDEX(Clientes!$A:$A,MATCH(B393,Clientes!$B:$B,0)),"(CPF não cadastrado)"))</f>
        <v>Camila Carvalho</v>
      </c>
      <c r="D393" s="24">
        <v>500</v>
      </c>
      <c r="E393" s="7">
        <v>25</v>
      </c>
      <c r="F393" s="7">
        <f>D393/100*LOOKUP(A393,'Regras e Parâmetros'!$A$11:$A$12,'Regras e Parâmetros'!$B$11:$B$12)</f>
        <v>25</v>
      </c>
      <c r="G393" s="7">
        <f t="shared" si="6"/>
        <v>0</v>
      </c>
      <c r="H393" t="s">
        <v>22</v>
      </c>
      <c r="I393" t="s">
        <v>6078</v>
      </c>
      <c r="J393" s="5" t="s">
        <v>6329</v>
      </c>
      <c r="K393" t="s">
        <v>9969</v>
      </c>
    </row>
    <row r="394" spans="1:11" x14ac:dyDescent="0.3">
      <c r="A394" s="1">
        <v>46104</v>
      </c>
      <c r="B394" s="5" t="s">
        <v>8390</v>
      </c>
      <c r="C394" t="str">
        <f>IF(B394="","",IFERROR(INDEX(Clientes!$A:$A,MATCH(B394,Clientes!$B:$B,0)),"(CPF não cadastrado)"))</f>
        <v>Alexandre Cardoso</v>
      </c>
      <c r="D394" s="24">
        <v>1000</v>
      </c>
      <c r="E394" s="7">
        <v>50</v>
      </c>
      <c r="F394" s="7">
        <f>D394/100*LOOKUP(A394,'Regras e Parâmetros'!$A$11:$A$12,'Regras e Parâmetros'!$B$11:$B$12)</f>
        <v>50</v>
      </c>
      <c r="G394" s="7">
        <f t="shared" si="6"/>
        <v>0</v>
      </c>
      <c r="H394" t="s">
        <v>100</v>
      </c>
      <c r="I394" t="s">
        <v>6291</v>
      </c>
      <c r="J394" s="5" t="s">
        <v>6085</v>
      </c>
      <c r="K394" t="s">
        <v>10283</v>
      </c>
    </row>
    <row r="395" spans="1:11" x14ac:dyDescent="0.3">
      <c r="A395" s="1">
        <v>46104</v>
      </c>
      <c r="B395" s="5" t="s">
        <v>8321</v>
      </c>
      <c r="C395" t="str">
        <f>IF(B395="","",IFERROR(INDEX(Clientes!$A:$A,MATCH(B395,Clientes!$B:$B,0)),"(CPF não cadastrado)"))</f>
        <v>Ana Costa Martins</v>
      </c>
      <c r="D395" s="24">
        <v>500</v>
      </c>
      <c r="E395" s="7">
        <v>50</v>
      </c>
      <c r="F395" s="7">
        <f>D395/100*LOOKUP(A395,'Regras e Parâmetros'!$A$11:$A$12,'Regras e Parâmetros'!$B$11:$B$12)</f>
        <v>25</v>
      </c>
      <c r="G395" s="7">
        <f t="shared" si="6"/>
        <v>25</v>
      </c>
      <c r="H395" t="s">
        <v>45</v>
      </c>
      <c r="J395" s="5" t="s">
        <v>6330</v>
      </c>
      <c r="K395" t="s">
        <v>9968</v>
      </c>
    </row>
    <row r="396" spans="1:11" x14ac:dyDescent="0.3">
      <c r="A396" s="1">
        <v>46105</v>
      </c>
      <c r="B396" s="5" t="s">
        <v>8028</v>
      </c>
      <c r="C396" t="str">
        <f>IF(B396="","",IFERROR(INDEX(Clientes!$A:$A,MATCH(B396,Clientes!$B:$B,0)),"(CPF não cadastrado)"))</f>
        <v>Renata Lopes Santana</v>
      </c>
      <c r="D396" s="24">
        <v>600</v>
      </c>
      <c r="E396" s="7">
        <v>60</v>
      </c>
      <c r="F396" s="7">
        <f>D396/100*LOOKUP(A396,'Regras e Parâmetros'!$A$11:$A$12,'Regras e Parâmetros'!$B$11:$B$12)</f>
        <v>30</v>
      </c>
      <c r="G396" s="7">
        <f t="shared" si="6"/>
        <v>30</v>
      </c>
      <c r="H396" t="s">
        <v>45</v>
      </c>
      <c r="J396" s="5" t="s">
        <v>2819</v>
      </c>
      <c r="K396" t="s">
        <v>9968</v>
      </c>
    </row>
    <row r="397" spans="1:11" x14ac:dyDescent="0.3">
      <c r="A397" s="1">
        <v>46105</v>
      </c>
      <c r="B397" s="5" t="s">
        <v>7594</v>
      </c>
      <c r="C397" t="str">
        <f>IF(B397="","",IFERROR(INDEX(Clientes!$A:$A,MATCH(B397,Clientes!$B:$B,0)),"(CPF não cadastrado)"))</f>
        <v>Rafaela Peixoto Farias</v>
      </c>
      <c r="D397" s="24">
        <v>2000</v>
      </c>
      <c r="E397" s="7">
        <v>200</v>
      </c>
      <c r="F397" s="7">
        <f>D397/100*LOOKUP(A397,'Regras e Parâmetros'!$A$11:$A$12,'Regras e Parâmetros'!$B$11:$B$12)</f>
        <v>100</v>
      </c>
      <c r="G397" s="7">
        <f t="shared" si="6"/>
        <v>100</v>
      </c>
      <c r="H397" t="s">
        <v>45</v>
      </c>
      <c r="J397" s="5" t="s">
        <v>6113</v>
      </c>
      <c r="K397" t="s">
        <v>9968</v>
      </c>
    </row>
    <row r="398" spans="1:11" x14ac:dyDescent="0.3">
      <c r="A398" s="1">
        <v>46105</v>
      </c>
      <c r="B398" s="5" t="s">
        <v>841</v>
      </c>
      <c r="C398" t="str">
        <f>IF(B398="","",IFERROR(INDEX(Clientes!$A:$A,MATCH(B398,Clientes!$B:$B,0)),"(CPF não cadastrado)"))</f>
        <v>Priscila M. Cardoso</v>
      </c>
      <c r="D398" s="24">
        <v>500</v>
      </c>
      <c r="E398" s="7">
        <v>50</v>
      </c>
      <c r="F398" s="7">
        <f>D398/100*LOOKUP(A398,'Regras e Parâmetros'!$A$11:$A$12,'Regras e Parâmetros'!$B$11:$B$12)</f>
        <v>25</v>
      </c>
      <c r="G398" s="7">
        <f t="shared" si="6"/>
        <v>25</v>
      </c>
      <c r="H398" t="s">
        <v>45</v>
      </c>
      <c r="J398" s="5" t="s">
        <v>6109</v>
      </c>
      <c r="K398" t="s">
        <v>9968</v>
      </c>
    </row>
    <row r="399" spans="1:11" x14ac:dyDescent="0.3">
      <c r="A399" s="1">
        <v>46105</v>
      </c>
      <c r="B399" s="5" t="s">
        <v>6200</v>
      </c>
      <c r="C399" t="str">
        <f>IF(B399="","",IFERROR(INDEX(Clientes!$A:$A,MATCH(B399,Clientes!$B:$B,0)),"(CPF não cadastrado)"))</f>
        <v>Paula Santos Gonçalves</v>
      </c>
      <c r="D399" s="24">
        <v>1000</v>
      </c>
      <c r="E399" s="7">
        <v>100</v>
      </c>
      <c r="F399" s="7">
        <f>D399/100*LOOKUP(A399,'Regras e Parâmetros'!$A$11:$A$12,'Regras e Parâmetros'!$B$11:$B$12)</f>
        <v>50</v>
      </c>
      <c r="G399" s="7">
        <f t="shared" si="6"/>
        <v>50</v>
      </c>
      <c r="H399" t="s">
        <v>45</v>
      </c>
      <c r="J399" s="5" t="s">
        <v>6303</v>
      </c>
      <c r="K399" t="s">
        <v>9968</v>
      </c>
    </row>
    <row r="400" spans="1:11" x14ac:dyDescent="0.3">
      <c r="A400" s="1">
        <v>46107</v>
      </c>
      <c r="B400" s="5" t="s">
        <v>7457</v>
      </c>
      <c r="C400" t="str">
        <f>IF(B400="","",IFERROR(INDEX(Clientes!$A:$A,MATCH(B400,Clientes!$B:$B,0)),"(CPF não cadastrado)"))</f>
        <v>Alexandre Batista</v>
      </c>
      <c r="D400" s="24">
        <v>1700</v>
      </c>
      <c r="E400" s="7">
        <v>170</v>
      </c>
      <c r="F400" s="7">
        <f>D400/100*LOOKUP(A400,'Regras e Parâmetros'!$A$11:$A$12,'Regras e Parâmetros'!$B$11:$B$12)</f>
        <v>85</v>
      </c>
      <c r="G400" s="7">
        <f t="shared" si="6"/>
        <v>85</v>
      </c>
      <c r="H400" t="s">
        <v>45</v>
      </c>
      <c r="J400" s="5" t="s">
        <v>6331</v>
      </c>
      <c r="K400" t="s">
        <v>9968</v>
      </c>
    </row>
    <row r="401" spans="1:11" x14ac:dyDescent="0.3">
      <c r="A401" s="1">
        <v>46109</v>
      </c>
      <c r="B401" s="5" t="s">
        <v>37</v>
      </c>
      <c r="C401" t="str">
        <f>IF(B401="","",IFERROR(INDEX(Clientes!$A:$A,MATCH(B401,Clientes!$B:$B,0)),"(CPF não cadastrado)"))</f>
        <v>Felipe Pinto</v>
      </c>
      <c r="D401" s="24">
        <v>2000</v>
      </c>
      <c r="E401" s="7">
        <v>200</v>
      </c>
      <c r="F401" s="7">
        <f>D401/100*LOOKUP(A401,'Regras e Parâmetros'!$A$11:$A$12,'Regras e Parâmetros'!$B$11:$B$12)</f>
        <v>100</v>
      </c>
      <c r="G401" s="7">
        <f t="shared" si="6"/>
        <v>100</v>
      </c>
      <c r="H401" t="s">
        <v>100</v>
      </c>
      <c r="J401" s="5" t="s">
        <v>6302</v>
      </c>
      <c r="K401" t="s">
        <v>9968</v>
      </c>
    </row>
    <row r="402" spans="1:11" x14ac:dyDescent="0.3">
      <c r="A402" s="1">
        <v>46111</v>
      </c>
      <c r="B402" s="5" t="s">
        <v>9953</v>
      </c>
      <c r="C402" t="str">
        <f>IF(B402="","",IFERROR(INDEX(Clientes!$A:$A,MATCH(B402,Clientes!$B:$B,0)),"(CPF não cadastrado)"))</f>
        <v>Bruna Moura Almeida</v>
      </c>
      <c r="D402" s="24">
        <v>800</v>
      </c>
      <c r="E402" s="7">
        <v>80</v>
      </c>
      <c r="F402" s="7">
        <f>D402/100*LOOKUP(A402,'Regras e Parâmetros'!$A$11:$A$12,'Regras e Parâmetros'!$B$11:$B$12)</f>
        <v>40</v>
      </c>
      <c r="G402" s="7">
        <f t="shared" si="6"/>
        <v>40</v>
      </c>
      <c r="H402" t="s">
        <v>22</v>
      </c>
      <c r="J402" s="5" t="s">
        <v>6332</v>
      </c>
      <c r="K402" t="s">
        <v>10065</v>
      </c>
    </row>
    <row r="403" spans="1:11" x14ac:dyDescent="0.3">
      <c r="A403" s="1">
        <v>46112</v>
      </c>
      <c r="B403" s="5" t="s">
        <v>9103</v>
      </c>
      <c r="C403" t="str">
        <f>IF(B403="","",IFERROR(INDEX(Clientes!$A:$A,MATCH(B403,Clientes!$B:$B,0)),"(CPF não cadastrado)"))</f>
        <v>Sabrina Machado Oliveira</v>
      </c>
      <c r="D403" s="24">
        <v>1000</v>
      </c>
      <c r="E403" s="7">
        <v>100</v>
      </c>
      <c r="F403" s="7">
        <f>D403/100*LOOKUP(A403,'Regras e Parâmetros'!$A$11:$A$12,'Regras e Parâmetros'!$B$11:$B$12)</f>
        <v>50</v>
      </c>
      <c r="G403" s="7">
        <f t="shared" si="6"/>
        <v>50</v>
      </c>
      <c r="H403" t="s">
        <v>18</v>
      </c>
      <c r="J403" s="5" t="s">
        <v>6333</v>
      </c>
      <c r="K403" t="s">
        <v>9968</v>
      </c>
    </row>
    <row r="404" spans="1:11" x14ac:dyDescent="0.3">
      <c r="A404" s="1">
        <v>46112</v>
      </c>
      <c r="B404" s="5" t="s">
        <v>6604</v>
      </c>
      <c r="C404" t="str">
        <f>IF(B404="","",IFERROR(INDEX(Clientes!$A:$A,MATCH(B404,Clientes!$B:$B,0)),"(CPF não cadastrado)"))</f>
        <v>Rafaela Peixoto</v>
      </c>
      <c r="D404" s="24">
        <v>500</v>
      </c>
      <c r="E404" s="7">
        <v>50</v>
      </c>
      <c r="F404" s="7">
        <f>D404/100*LOOKUP(A404,'Regras e Parâmetros'!$A$11:$A$12,'Regras e Parâmetros'!$B$11:$B$12)</f>
        <v>25</v>
      </c>
      <c r="G404" s="7">
        <f t="shared" si="6"/>
        <v>25</v>
      </c>
      <c r="H404" t="s">
        <v>18</v>
      </c>
      <c r="J404" s="5" t="s">
        <v>6334</v>
      </c>
      <c r="K404" t="s">
        <v>9968</v>
      </c>
    </row>
    <row r="405" spans="1:11" x14ac:dyDescent="0.3">
      <c r="A405" s="1">
        <v>46112</v>
      </c>
      <c r="B405" s="5" t="s">
        <v>2785</v>
      </c>
      <c r="C405" t="str">
        <f>IF(B405="","",IFERROR(INDEX(Clientes!$A:$A,MATCH(B405,Clientes!$B:$B,0)),"(CPF não cadastrado)"))</f>
        <v>Fernanda Pinto</v>
      </c>
      <c r="D405" s="24">
        <v>500</v>
      </c>
      <c r="E405" s="7">
        <v>50</v>
      </c>
      <c r="F405" s="7">
        <f>D405/100*LOOKUP(A405,'Regras e Parâmetros'!$A$11:$A$12,'Regras e Parâmetros'!$B$11:$B$12)</f>
        <v>25</v>
      </c>
      <c r="G405" s="7">
        <f t="shared" si="6"/>
        <v>25</v>
      </c>
      <c r="H405" t="s">
        <v>45</v>
      </c>
      <c r="J405" s="5" t="s">
        <v>6335</v>
      </c>
      <c r="K405" t="s">
        <v>9968</v>
      </c>
    </row>
    <row r="406" spans="1:11" x14ac:dyDescent="0.3">
      <c r="A406" s="1">
        <v>46114</v>
      </c>
      <c r="B406" s="5" t="s">
        <v>9954</v>
      </c>
      <c r="C406" t="str">
        <f>IF(B406="","",IFERROR(INDEX(Clientes!$A:$A,MATCH(B406,Clientes!$B:$B,0)),"(CPF não cadastrado)"))</f>
        <v>Alice Nogueira</v>
      </c>
      <c r="D406" s="24">
        <v>1000</v>
      </c>
      <c r="E406" s="7">
        <v>100</v>
      </c>
      <c r="F406" s="7">
        <f>D406/100*LOOKUP(A406,'Regras e Parâmetros'!$A$11:$A$12,'Regras e Parâmetros'!$B$11:$B$12)</f>
        <v>50</v>
      </c>
      <c r="G406" s="7">
        <f t="shared" si="6"/>
        <v>50</v>
      </c>
      <c r="H406" t="s">
        <v>45</v>
      </c>
      <c r="J406" s="5" t="s">
        <v>6336</v>
      </c>
      <c r="K406" t="s">
        <v>10065</v>
      </c>
    </row>
    <row r="407" spans="1:11" x14ac:dyDescent="0.3">
      <c r="A407" s="1">
        <v>46116</v>
      </c>
      <c r="B407" s="5" t="s">
        <v>205</v>
      </c>
      <c r="C407" t="str">
        <f>IF(B407="","",IFERROR(INDEX(Clientes!$A:$A,MATCH(B407,Clientes!$B:$B,0)),"(CPF não cadastrado)"))</f>
        <v>Débora Nunes Moura</v>
      </c>
      <c r="D407" s="24">
        <v>1500</v>
      </c>
      <c r="E407" s="7">
        <v>150</v>
      </c>
      <c r="F407" s="7">
        <f>D407/100*LOOKUP(A407,'Regras e Parâmetros'!$A$11:$A$12,'Regras e Parâmetros'!$B$11:$B$12)</f>
        <v>75</v>
      </c>
      <c r="G407" s="7">
        <f t="shared" si="6"/>
        <v>75</v>
      </c>
      <c r="H407" t="s">
        <v>18</v>
      </c>
      <c r="J407" s="5" t="s">
        <v>6337</v>
      </c>
      <c r="K407" t="s">
        <v>9968</v>
      </c>
    </row>
    <row r="408" spans="1:11" x14ac:dyDescent="0.3">
      <c r="A408" s="1">
        <v>46116</v>
      </c>
      <c r="B408" s="5" t="s">
        <v>3272</v>
      </c>
      <c r="C408" t="str">
        <f>IF(B408="","",IFERROR(INDEX(Clientes!$A:$A,MATCH(B408,Clientes!$B:$B,0)),"(CPF não cadastrado)"))</f>
        <v>Beatriz Carvalho</v>
      </c>
      <c r="D408" s="24">
        <v>1400</v>
      </c>
      <c r="E408" s="7">
        <v>70</v>
      </c>
      <c r="F408" s="7">
        <f>D408/100*LOOKUP(A408,'Regras e Parâmetros'!$A$11:$A$12,'Regras e Parâmetros'!$B$11:$B$12)</f>
        <v>70</v>
      </c>
      <c r="G408" s="7">
        <f t="shared" si="6"/>
        <v>0</v>
      </c>
      <c r="H408" t="s">
        <v>100</v>
      </c>
      <c r="I408" t="s">
        <v>6291</v>
      </c>
      <c r="J408" s="5" t="s">
        <v>5434</v>
      </c>
      <c r="K408" t="s">
        <v>10060</v>
      </c>
    </row>
    <row r="409" spans="1:11" x14ac:dyDescent="0.3">
      <c r="A409" s="1">
        <v>46117</v>
      </c>
      <c r="B409" s="5" t="s">
        <v>6264</v>
      </c>
      <c r="C409" t="str">
        <f>IF(B409="","",IFERROR(INDEX(Clientes!$A:$A,MATCH(B409,Clientes!$B:$B,0)),"(CPF não cadastrado)"))</f>
        <v>Jaqueline Martins Campos</v>
      </c>
      <c r="D409" s="24">
        <v>300</v>
      </c>
      <c r="E409" s="7">
        <v>15</v>
      </c>
      <c r="F409" s="7">
        <f>D409/100*LOOKUP(A409,'Regras e Parâmetros'!$A$11:$A$12,'Regras e Parâmetros'!$B$11:$B$12)</f>
        <v>15</v>
      </c>
      <c r="G409" s="7">
        <f t="shared" si="6"/>
        <v>0</v>
      </c>
      <c r="H409" t="s">
        <v>110</v>
      </c>
      <c r="I409" t="s">
        <v>9975</v>
      </c>
      <c r="J409" s="5" t="s">
        <v>3561</v>
      </c>
      <c r="K409" t="s">
        <v>9969</v>
      </c>
    </row>
    <row r="410" spans="1:11" x14ac:dyDescent="0.3">
      <c r="A410" s="1">
        <v>46120</v>
      </c>
      <c r="B410" s="5" t="s">
        <v>8403</v>
      </c>
      <c r="C410" t="str">
        <f>IF(B410="","",IFERROR(INDEX(Clientes!$A:$A,MATCH(B410,Clientes!$B:$B,0)),"(CPF não cadastrado)"))</f>
        <v>Sabrina Barbosa</v>
      </c>
      <c r="D410" s="24">
        <v>300</v>
      </c>
      <c r="E410" s="7">
        <v>30</v>
      </c>
      <c r="F410" s="7">
        <f>D410/100*LOOKUP(A410,'Regras e Parâmetros'!$A$11:$A$12,'Regras e Parâmetros'!$B$11:$B$12)</f>
        <v>15</v>
      </c>
      <c r="G410" s="7">
        <f t="shared" si="6"/>
        <v>15</v>
      </c>
      <c r="H410" t="s">
        <v>22</v>
      </c>
      <c r="J410" s="5" t="s">
        <v>6198</v>
      </c>
      <c r="K410" t="s">
        <v>9968</v>
      </c>
    </row>
    <row r="411" spans="1:11" x14ac:dyDescent="0.3">
      <c r="A411" s="1">
        <v>46120</v>
      </c>
      <c r="B411" s="5" t="s">
        <v>7287</v>
      </c>
      <c r="C411" t="str">
        <f>IF(B411="","",IFERROR(INDEX(Clientes!$A:$A,MATCH(B411,Clientes!$B:$B,0)),"(CPF não cadastrado)"))</f>
        <v>Daniela Peixoto</v>
      </c>
      <c r="D411" s="24">
        <v>1500</v>
      </c>
      <c r="E411" s="7">
        <v>150</v>
      </c>
      <c r="F411" s="7">
        <f>D411/100*LOOKUP(A411,'Regras e Parâmetros'!$A$11:$A$12,'Regras e Parâmetros'!$B$11:$B$12)</f>
        <v>75</v>
      </c>
      <c r="G411" s="7">
        <f t="shared" si="6"/>
        <v>75</v>
      </c>
      <c r="H411" t="s">
        <v>45</v>
      </c>
      <c r="J411" s="5" t="s">
        <v>6338</v>
      </c>
      <c r="K411" t="s">
        <v>9968</v>
      </c>
    </row>
    <row r="412" spans="1:11" x14ac:dyDescent="0.3">
      <c r="A412" s="1">
        <v>46123</v>
      </c>
      <c r="B412" s="5" t="s">
        <v>7977</v>
      </c>
      <c r="C412" t="str">
        <f>IF(B412="","",IFERROR(INDEX(Clientes!$A:$A,MATCH(B412,Clientes!$B:$B,0)),"(CPF não cadastrado)"))</f>
        <v>Valentina Ribeiro Souza</v>
      </c>
      <c r="D412" s="24">
        <v>2000</v>
      </c>
      <c r="E412" s="7">
        <v>200</v>
      </c>
      <c r="F412" s="7">
        <f>D412/100*LOOKUP(A412,'Regras e Parâmetros'!$A$11:$A$12,'Regras e Parâmetros'!$B$11:$B$12)</f>
        <v>100</v>
      </c>
      <c r="G412" s="7">
        <f t="shared" si="6"/>
        <v>100</v>
      </c>
      <c r="H412" t="s">
        <v>110</v>
      </c>
      <c r="J412" s="5" t="s">
        <v>6339</v>
      </c>
      <c r="K412" t="s">
        <v>9968</v>
      </c>
    </row>
    <row r="413" spans="1:11" x14ac:dyDescent="0.3">
      <c r="A413" s="1">
        <v>46123</v>
      </c>
      <c r="B413" s="5" t="s">
        <v>9023</v>
      </c>
      <c r="C413" t="str">
        <f>IF(B413="","",IFERROR(INDEX(Clientes!$A:$A,MATCH(B413,Clientes!$B:$B,0)),"(CPF não cadastrado)"))</f>
        <v>Luan Santana</v>
      </c>
      <c r="D413" s="24">
        <v>1500</v>
      </c>
      <c r="E413" s="7">
        <v>75</v>
      </c>
      <c r="F413" s="7">
        <f>D413/100*LOOKUP(A413,'Regras e Parâmetros'!$A$11:$A$12,'Regras e Parâmetros'!$B$11:$B$12)</f>
        <v>75</v>
      </c>
      <c r="G413" s="7">
        <f t="shared" si="6"/>
        <v>0</v>
      </c>
      <c r="H413" t="s">
        <v>110</v>
      </c>
      <c r="I413" t="s">
        <v>9975</v>
      </c>
      <c r="J413" s="5" t="s">
        <v>6092</v>
      </c>
      <c r="K413" t="s">
        <v>10074</v>
      </c>
    </row>
    <row r="414" spans="1:11" x14ac:dyDescent="0.3">
      <c r="A414" s="1">
        <v>46125</v>
      </c>
      <c r="B414" s="5" t="s">
        <v>9159</v>
      </c>
      <c r="C414" t="str">
        <f>IF(B414="","",IFERROR(INDEX(Clientes!$A:$A,MATCH(B414,Clientes!$B:$B,0)),"(CPF não cadastrado)"))</f>
        <v>Miguel Gomes</v>
      </c>
      <c r="D414" s="24">
        <v>1000</v>
      </c>
      <c r="E414" s="7">
        <v>100</v>
      </c>
      <c r="F414" s="7">
        <f>D414/100*LOOKUP(A414,'Regras e Parâmetros'!$A$11:$A$12,'Regras e Parâmetros'!$B$11:$B$12)</f>
        <v>50</v>
      </c>
      <c r="G414" s="7">
        <f t="shared" si="6"/>
        <v>50</v>
      </c>
      <c r="H414" t="s">
        <v>22</v>
      </c>
      <c r="J414" s="5" t="s">
        <v>4858</v>
      </c>
      <c r="K414" t="s">
        <v>9968</v>
      </c>
    </row>
    <row r="415" spans="1:11" x14ac:dyDescent="0.3">
      <c r="A415" s="1">
        <v>46125</v>
      </c>
      <c r="B415" s="5" t="s">
        <v>375</v>
      </c>
      <c r="C415" t="str">
        <f>IF(B415="","",IFERROR(INDEX(Clientes!$A:$A,MATCH(B415,Clientes!$B:$B,0)),"(CPF não cadastrado)"))</f>
        <v>Lorenzo Rocha</v>
      </c>
      <c r="D415" s="24">
        <v>500</v>
      </c>
      <c r="E415" s="7">
        <v>50</v>
      </c>
      <c r="F415" s="7">
        <f>D415/100*LOOKUP(A415,'Regras e Parâmetros'!$A$11:$A$12,'Regras e Parâmetros'!$B$11:$B$12)</f>
        <v>25</v>
      </c>
      <c r="G415" s="7">
        <f t="shared" si="6"/>
        <v>25</v>
      </c>
      <c r="H415" t="s">
        <v>45</v>
      </c>
      <c r="J415" s="5" t="s">
        <v>6340</v>
      </c>
      <c r="K415" t="s">
        <v>9968</v>
      </c>
    </row>
    <row r="416" spans="1:11" x14ac:dyDescent="0.3">
      <c r="A416" s="1">
        <v>46126</v>
      </c>
      <c r="B416" s="5" t="s">
        <v>8917</v>
      </c>
      <c r="C416" t="str">
        <f>IF(B416="","",IFERROR(INDEX(Clientes!$A:$A,MATCH(B416,Clientes!$B:$B,0)),"(CPF não cadastrado)"))</f>
        <v>Hugo R. Carvalho</v>
      </c>
      <c r="D416" s="24">
        <v>500</v>
      </c>
      <c r="E416" s="7">
        <v>50</v>
      </c>
      <c r="F416" s="7">
        <f>D416/100*LOOKUP(A416,'Regras e Parâmetros'!$A$11:$A$12,'Regras e Parâmetros'!$B$11:$B$12)</f>
        <v>25</v>
      </c>
      <c r="G416" s="7">
        <f t="shared" si="6"/>
        <v>25</v>
      </c>
      <c r="H416" t="s">
        <v>45</v>
      </c>
      <c r="J416" s="5" t="s">
        <v>6341</v>
      </c>
      <c r="K416" t="s">
        <v>9968</v>
      </c>
    </row>
    <row r="417" spans="1:11" x14ac:dyDescent="0.3">
      <c r="A417" s="1">
        <v>46127</v>
      </c>
      <c r="B417" s="5" t="s">
        <v>8835</v>
      </c>
      <c r="C417" t="str">
        <f>IF(B417="","",IFERROR(INDEX(Clientes!$A:$A,MATCH(B417,Clientes!$B:$B,0)),"(CPF não cadastrado)"))</f>
        <v>Guilherme Teixeira</v>
      </c>
      <c r="D417" s="24">
        <v>500</v>
      </c>
      <c r="E417" s="7">
        <v>50</v>
      </c>
      <c r="F417" s="7">
        <f>D417/100*LOOKUP(A417,'Regras e Parâmetros'!$A$11:$A$12,'Regras e Parâmetros'!$B$11:$B$12)</f>
        <v>25</v>
      </c>
      <c r="G417" s="7">
        <f t="shared" si="6"/>
        <v>25</v>
      </c>
      <c r="H417" t="s">
        <v>45</v>
      </c>
      <c r="J417" s="5" t="s">
        <v>4307</v>
      </c>
      <c r="K417" t="s">
        <v>9968</v>
      </c>
    </row>
    <row r="418" spans="1:11" x14ac:dyDescent="0.3">
      <c r="A418" s="1">
        <v>46128</v>
      </c>
      <c r="B418" s="5" t="s">
        <v>4862</v>
      </c>
      <c r="C418" t="str">
        <f>IF(B418="","",IFERROR(INDEX(Clientes!$A:$A,MATCH(B418,Clientes!$B:$B,0)),"(CPF não cadastrado)"))</f>
        <v>Natália Pinto Barros</v>
      </c>
      <c r="D418" s="24">
        <v>1000</v>
      </c>
      <c r="E418" s="7">
        <v>100</v>
      </c>
      <c r="F418" s="7">
        <f>D418/100*LOOKUP(A418,'Regras e Parâmetros'!$A$11:$A$12,'Regras e Parâmetros'!$B$11:$B$12)</f>
        <v>50</v>
      </c>
      <c r="G418" s="7">
        <f t="shared" si="6"/>
        <v>50</v>
      </c>
      <c r="H418" t="s">
        <v>22</v>
      </c>
      <c r="J418" s="5" t="s">
        <v>6342</v>
      </c>
      <c r="K418" t="s">
        <v>9968</v>
      </c>
    </row>
    <row r="419" spans="1:11" x14ac:dyDescent="0.3">
      <c r="A419" s="1">
        <v>46129</v>
      </c>
      <c r="B419" s="5" t="s">
        <v>8308</v>
      </c>
      <c r="C419" t="str">
        <f>IF(B419="","",IFERROR(INDEX(Clientes!$A:$A,MATCH(B419,Clientes!$B:$B,0)),"(CPF não cadastrado)"))</f>
        <v>Fernanda Vieira</v>
      </c>
      <c r="D419" s="24">
        <v>300</v>
      </c>
      <c r="E419" s="7">
        <v>15</v>
      </c>
      <c r="F419" s="7">
        <f>D419/100*LOOKUP(A419,'Regras e Parâmetros'!$A$11:$A$12,'Regras e Parâmetros'!$B$11:$B$12)</f>
        <v>15</v>
      </c>
      <c r="G419" s="7">
        <f t="shared" si="6"/>
        <v>0</v>
      </c>
      <c r="H419" t="s">
        <v>100</v>
      </c>
      <c r="I419" t="s">
        <v>9970</v>
      </c>
      <c r="J419" s="5" t="s">
        <v>6291</v>
      </c>
      <c r="K419" t="s">
        <v>10061</v>
      </c>
    </row>
    <row r="420" spans="1:11" x14ac:dyDescent="0.3">
      <c r="A420" s="1">
        <v>46130</v>
      </c>
      <c r="B420" s="5" t="s">
        <v>8981</v>
      </c>
      <c r="C420" t="str">
        <f>IF(B420="","",IFERROR(INDEX(Clientes!$A:$A,MATCH(B420,Clientes!$B:$B,0)),"(CPF não cadastrado)"))</f>
        <v>Laura Silva Santos</v>
      </c>
      <c r="D420" s="24">
        <v>1000</v>
      </c>
      <c r="E420" s="7">
        <v>100</v>
      </c>
      <c r="F420" s="7">
        <f>D420/100*LOOKUP(A420,'Regras e Parâmetros'!$A$11:$A$12,'Regras e Parâmetros'!$B$11:$B$12)</f>
        <v>50</v>
      </c>
      <c r="G420" s="7">
        <f t="shared" si="6"/>
        <v>50</v>
      </c>
      <c r="H420" t="s">
        <v>18</v>
      </c>
      <c r="J420" s="5" t="s">
        <v>6343</v>
      </c>
      <c r="K420" t="s">
        <v>9968</v>
      </c>
    </row>
    <row r="421" spans="1:11" x14ac:dyDescent="0.3">
      <c r="A421" s="1">
        <v>46130</v>
      </c>
      <c r="B421" s="5" t="s">
        <v>9014</v>
      </c>
      <c r="C421" t="str">
        <f>IF(B421="","",IFERROR(INDEX(Clientes!$A:$A,MATCH(B421,Clientes!$B:$B,0)),"(CPF não cadastrado)"))</f>
        <v>Ícaro Cavalcanti Teixeira</v>
      </c>
      <c r="D421" s="24">
        <v>500</v>
      </c>
      <c r="E421" s="7">
        <v>50</v>
      </c>
      <c r="F421" s="7">
        <f>D421/100*LOOKUP(A421,'Regras e Parâmetros'!$A$11:$A$12,'Regras e Parâmetros'!$B$11:$B$12)</f>
        <v>25</v>
      </c>
      <c r="G421" s="7">
        <f t="shared" si="6"/>
        <v>25</v>
      </c>
      <c r="H421" t="s">
        <v>45</v>
      </c>
      <c r="J421" s="5" t="s">
        <v>6296</v>
      </c>
      <c r="K421" t="s">
        <v>9968</v>
      </c>
    </row>
    <row r="422" spans="1:11" x14ac:dyDescent="0.3">
      <c r="A422" s="1">
        <v>46134</v>
      </c>
      <c r="B422" s="5" t="s">
        <v>8525</v>
      </c>
      <c r="C422" t="str">
        <f>IF(B422="","",IFERROR(INDEX(Clientes!$A:$A,MATCH(B422,Clientes!$B:$B,0)),"(CPF não cadastrado)"))</f>
        <v>Rafaela Soares</v>
      </c>
      <c r="D422" s="24">
        <v>200</v>
      </c>
      <c r="E422" s="7">
        <v>20</v>
      </c>
      <c r="F422" s="7">
        <f>D422/100*LOOKUP(A422,'Regras e Parâmetros'!$A$11:$A$12,'Regras e Parâmetros'!$B$11:$B$12)</f>
        <v>10</v>
      </c>
      <c r="G422" s="7">
        <f t="shared" si="6"/>
        <v>10</v>
      </c>
      <c r="H422" t="s">
        <v>45</v>
      </c>
      <c r="J422" s="5" t="s">
        <v>6344</v>
      </c>
      <c r="K422" t="s">
        <v>9968</v>
      </c>
    </row>
    <row r="423" spans="1:11" x14ac:dyDescent="0.3">
      <c r="A423" s="1">
        <v>46136</v>
      </c>
      <c r="B423" s="5" t="s">
        <v>8208</v>
      </c>
      <c r="C423" t="str">
        <f>IF(B423="","",IFERROR(INDEX(Clientes!$A:$A,MATCH(B423,Clientes!$B:$B,0)),"(CPF não cadastrado)"))</f>
        <v>Caio Vieira</v>
      </c>
      <c r="D423" s="24">
        <v>1500</v>
      </c>
      <c r="E423" s="7">
        <v>150</v>
      </c>
      <c r="F423" s="7">
        <f>D423/100*LOOKUP(A423,'Regras e Parâmetros'!$A$11:$A$12,'Regras e Parâmetros'!$B$11:$B$12)</f>
        <v>75</v>
      </c>
      <c r="G423" s="7">
        <f t="shared" si="6"/>
        <v>75</v>
      </c>
      <c r="H423" t="s">
        <v>110</v>
      </c>
      <c r="J423" s="5" t="s">
        <v>6345</v>
      </c>
      <c r="K423" t="s">
        <v>9968</v>
      </c>
    </row>
    <row r="424" spans="1:11" x14ac:dyDescent="0.3">
      <c r="A424" s="1">
        <v>46137</v>
      </c>
      <c r="B424" s="5" t="s">
        <v>8757</v>
      </c>
      <c r="C424" t="str">
        <f>IF(B424="","",IFERROR(INDEX(Clientes!$A:$A,MATCH(B424,Clientes!$B:$B,0)),"(CPF não cadastrado)"))</f>
        <v>Kamila Santana</v>
      </c>
      <c r="D424" s="24">
        <v>1000</v>
      </c>
      <c r="E424" s="7">
        <v>100</v>
      </c>
      <c r="F424" s="7">
        <f>D424/100*LOOKUP(A424,'Regras e Parâmetros'!$A$11:$A$12,'Regras e Parâmetros'!$B$11:$B$12)</f>
        <v>50</v>
      </c>
      <c r="G424" s="7">
        <f t="shared" si="6"/>
        <v>50</v>
      </c>
      <c r="H424" t="s">
        <v>45</v>
      </c>
      <c r="J424" s="5" t="s">
        <v>6258</v>
      </c>
      <c r="K424" t="s">
        <v>9968</v>
      </c>
    </row>
    <row r="425" spans="1:11" x14ac:dyDescent="0.3">
      <c r="A425" s="1">
        <v>46137</v>
      </c>
      <c r="B425" s="5" t="s">
        <v>6032</v>
      </c>
      <c r="C425" t="str">
        <f>IF(B425="","",IFERROR(INDEX(Clientes!$A:$A,MATCH(B425,Clientes!$B:$B,0)),"(CPF não cadastrado)"))</f>
        <v>Natália Ribeiro</v>
      </c>
      <c r="D425" s="24">
        <v>1000</v>
      </c>
      <c r="E425" s="7">
        <v>100</v>
      </c>
      <c r="F425" s="7">
        <f>D425/100*LOOKUP(A425,'Regras e Parâmetros'!$A$11:$A$12,'Regras e Parâmetros'!$B$11:$B$12)</f>
        <v>50</v>
      </c>
      <c r="G425" s="7">
        <f t="shared" si="6"/>
        <v>50</v>
      </c>
      <c r="H425" t="s">
        <v>45</v>
      </c>
      <c r="J425" s="5" t="s">
        <v>1711</v>
      </c>
      <c r="K425" t="s">
        <v>9968</v>
      </c>
    </row>
    <row r="426" spans="1:11" x14ac:dyDescent="0.3">
      <c r="A426" s="1">
        <v>46140</v>
      </c>
      <c r="B426" s="5" t="s">
        <v>1804</v>
      </c>
      <c r="C426" t="str">
        <f>IF(B426="","",IFERROR(INDEX(Clientes!$A:$A,MATCH(B426,Clientes!$B:$B,0)),"(CPF não cadastrado)"))</f>
        <v>Luana Dias Marques</v>
      </c>
      <c r="D426" s="24">
        <v>300</v>
      </c>
      <c r="E426" s="7">
        <v>30</v>
      </c>
      <c r="F426" s="7">
        <f>D426/100*LOOKUP(A426,'Regras e Parâmetros'!$A$11:$A$12,'Regras e Parâmetros'!$B$11:$B$12)</f>
        <v>15</v>
      </c>
      <c r="G426" s="7">
        <f t="shared" si="6"/>
        <v>15</v>
      </c>
      <c r="H426" t="s">
        <v>18</v>
      </c>
      <c r="J426" s="5" t="s">
        <v>6346</v>
      </c>
      <c r="K426" t="s">
        <v>9968</v>
      </c>
    </row>
    <row r="427" spans="1:11" x14ac:dyDescent="0.3">
      <c r="A427" s="1">
        <v>46140</v>
      </c>
      <c r="B427" s="5" t="s">
        <v>1635</v>
      </c>
      <c r="C427" t="str">
        <f>IF(B427="","",IFERROR(INDEX(Clientes!$A:$A,MATCH(B427,Clientes!$B:$B,0)),"(CPF não cadastrado)"))</f>
        <v>Heloísa Marques</v>
      </c>
      <c r="D427" s="24">
        <v>1300</v>
      </c>
      <c r="E427" s="7">
        <v>130</v>
      </c>
      <c r="F427" s="7">
        <f>D427/100*LOOKUP(A427,'Regras e Parâmetros'!$A$11:$A$12,'Regras e Parâmetros'!$B$11:$B$12)</f>
        <v>65</v>
      </c>
      <c r="G427" s="7">
        <f t="shared" si="6"/>
        <v>65</v>
      </c>
      <c r="H427" t="s">
        <v>45</v>
      </c>
      <c r="J427" s="5" t="s">
        <v>6347</v>
      </c>
      <c r="K427" t="s">
        <v>9968</v>
      </c>
    </row>
    <row r="428" spans="1:11" x14ac:dyDescent="0.3">
      <c r="A428" s="1">
        <v>46142</v>
      </c>
      <c r="B428" s="5" t="s">
        <v>6135</v>
      </c>
      <c r="C428" t="str">
        <f>IF(B428="","",IFERROR(INDEX(Clientes!$A:$A,MATCH(B428,Clientes!$B:$B,0)),"(CPF não cadastrado)"))</f>
        <v>Daniel Alves Teixeira</v>
      </c>
      <c r="D428" s="24">
        <v>1800</v>
      </c>
      <c r="E428" s="7">
        <v>180</v>
      </c>
      <c r="F428" s="7">
        <f>D428/100*LOOKUP(A428,'Regras e Parâmetros'!$A$11:$A$12,'Regras e Parâmetros'!$B$11:$B$12)</f>
        <v>90</v>
      </c>
      <c r="G428" s="7">
        <f t="shared" si="6"/>
        <v>90</v>
      </c>
      <c r="H428" t="s">
        <v>110</v>
      </c>
      <c r="J428" s="5" t="s">
        <v>2314</v>
      </c>
      <c r="K428" t="s">
        <v>9968</v>
      </c>
    </row>
    <row r="429" spans="1:11" x14ac:dyDescent="0.3">
      <c r="A429" s="1">
        <v>46142</v>
      </c>
      <c r="B429" s="5" t="s">
        <v>8871</v>
      </c>
      <c r="C429" t="str">
        <f>IF(B429="","",IFERROR(INDEX(Clientes!$A:$A,MATCH(B429,Clientes!$B:$B,0)),"(CPF não cadastrado)"))</f>
        <v>Carolina Rodrigues</v>
      </c>
      <c r="D429" s="24">
        <v>500</v>
      </c>
      <c r="E429" s="7">
        <v>50</v>
      </c>
      <c r="F429" s="7">
        <f>D429/100*LOOKUP(A429,'Regras e Parâmetros'!$A$11:$A$12,'Regras e Parâmetros'!$B$11:$B$12)</f>
        <v>25</v>
      </c>
      <c r="G429" s="7">
        <f t="shared" si="6"/>
        <v>25</v>
      </c>
      <c r="H429" t="s">
        <v>45</v>
      </c>
      <c r="J429" s="5" t="s">
        <v>6288</v>
      </c>
      <c r="K429" t="s">
        <v>9968</v>
      </c>
    </row>
    <row r="430" spans="1:11" x14ac:dyDescent="0.3">
      <c r="A430" s="1">
        <v>46142</v>
      </c>
      <c r="B430" s="5" t="s">
        <v>7189</v>
      </c>
      <c r="C430" t="str">
        <f>IF(B430="","",IFERROR(INDEX(Clientes!$A:$A,MATCH(B430,Clientes!$B:$B,0)),"(CPF não cadastrado)"))</f>
        <v>Bruno Farias Santos</v>
      </c>
      <c r="D430" s="24">
        <v>200</v>
      </c>
      <c r="E430" s="7">
        <v>20</v>
      </c>
      <c r="F430" s="7">
        <f>D430/100*LOOKUP(A430,'Regras e Parâmetros'!$A$11:$A$12,'Regras e Parâmetros'!$B$11:$B$12)</f>
        <v>10</v>
      </c>
      <c r="G430" s="7">
        <f t="shared" si="6"/>
        <v>10</v>
      </c>
      <c r="H430" t="s">
        <v>45</v>
      </c>
      <c r="J430" s="5" t="s">
        <v>1337</v>
      </c>
      <c r="K430" t="s">
        <v>9968</v>
      </c>
    </row>
    <row r="431" spans="1:11" x14ac:dyDescent="0.3">
      <c r="A431" s="1">
        <v>46143</v>
      </c>
      <c r="B431" s="5" t="s">
        <v>2191</v>
      </c>
      <c r="C431" t="str">
        <f>IF(B431="","",IFERROR(INDEX(Clientes!$A:$A,MATCH(B431,Clientes!$B:$B,0)),"(CPF não cadastrado)"))</f>
        <v>Eduarda Pinto Ferreira</v>
      </c>
      <c r="D431" s="24">
        <v>1000</v>
      </c>
      <c r="E431" s="7">
        <v>100</v>
      </c>
      <c r="F431" s="7">
        <f>D431/100*LOOKUP(A431,'Regras e Parâmetros'!$A$11:$A$12,'Regras e Parâmetros'!$B$11:$B$12)</f>
        <v>50</v>
      </c>
      <c r="G431" s="7">
        <f t="shared" si="6"/>
        <v>50</v>
      </c>
      <c r="H431" t="s">
        <v>100</v>
      </c>
      <c r="J431" s="5" t="s">
        <v>6348</v>
      </c>
      <c r="K431" t="s">
        <v>9968</v>
      </c>
    </row>
    <row r="432" spans="1:11" x14ac:dyDescent="0.3">
      <c r="A432" s="1">
        <v>46143</v>
      </c>
      <c r="B432" s="5" t="s">
        <v>8308</v>
      </c>
      <c r="C432" t="str">
        <f>IF(B432="","",IFERROR(INDEX(Clientes!$A:$A,MATCH(B432,Clientes!$B:$B,0)),"(CPF não cadastrado)"))</f>
        <v>Fernanda Vieira</v>
      </c>
      <c r="D432" s="24">
        <v>1000</v>
      </c>
      <c r="E432" s="7">
        <v>100</v>
      </c>
      <c r="F432" s="7">
        <f>D432/100*LOOKUP(A432,'Regras e Parâmetros'!$A$11:$A$12,'Regras e Parâmetros'!$B$11:$B$12)</f>
        <v>50</v>
      </c>
      <c r="G432" s="7">
        <f t="shared" si="6"/>
        <v>50</v>
      </c>
      <c r="H432" t="s">
        <v>100</v>
      </c>
      <c r="J432" s="5" t="s">
        <v>3382</v>
      </c>
      <c r="K432" t="s">
        <v>9968</v>
      </c>
    </row>
    <row r="433" spans="1:11" x14ac:dyDescent="0.3">
      <c r="A433" s="1">
        <v>46146</v>
      </c>
      <c r="B433" s="5" t="s">
        <v>7820</v>
      </c>
      <c r="C433" t="str">
        <f>IF(B433="","",IFERROR(INDEX(Clientes!$A:$A,MATCH(B433,Clientes!$B:$B,0)),"(CPF não cadastrado)"))</f>
        <v>Samuel Silva Marques</v>
      </c>
      <c r="D433" s="24">
        <v>600</v>
      </c>
      <c r="E433" s="7">
        <v>30</v>
      </c>
      <c r="F433" s="7">
        <f>D433/100*LOOKUP(A433,'Regras e Parâmetros'!$A$11:$A$12,'Regras e Parâmetros'!$B$11:$B$12)</f>
        <v>30</v>
      </c>
      <c r="G433" s="7">
        <f t="shared" si="6"/>
        <v>0</v>
      </c>
      <c r="H433" t="s">
        <v>18</v>
      </c>
      <c r="I433" t="s">
        <v>6145</v>
      </c>
      <c r="J433" s="5" t="s">
        <v>2484</v>
      </c>
      <c r="K433" t="s">
        <v>9969</v>
      </c>
    </row>
    <row r="434" spans="1:11" x14ac:dyDescent="0.3">
      <c r="A434" s="1">
        <v>46149</v>
      </c>
      <c r="B434" s="5" t="s">
        <v>6584</v>
      </c>
      <c r="C434" t="str">
        <f>IF(B434="","",IFERROR(INDEX(Clientes!$A:$A,MATCH(B434,Clientes!$B:$B,0)),"(CPF não cadastrado)"))</f>
        <v>Manuela Vieira</v>
      </c>
      <c r="D434" s="24">
        <v>300</v>
      </c>
      <c r="E434" s="7">
        <v>30</v>
      </c>
      <c r="F434" s="7">
        <f>D434/100*LOOKUP(A434,'Regras e Parâmetros'!$A$11:$A$12,'Regras e Parâmetros'!$B$11:$B$12)</f>
        <v>15</v>
      </c>
      <c r="G434" s="7">
        <f t="shared" si="6"/>
        <v>15</v>
      </c>
      <c r="H434" t="s">
        <v>110</v>
      </c>
      <c r="J434" s="5" t="s">
        <v>6160</v>
      </c>
      <c r="K434" t="s">
        <v>9968</v>
      </c>
    </row>
    <row r="435" spans="1:11" x14ac:dyDescent="0.3">
      <c r="A435" s="1">
        <v>46150</v>
      </c>
      <c r="B435" s="5" t="s">
        <v>61</v>
      </c>
      <c r="C435" t="str">
        <f>IF(B435="","",IFERROR(INDEX(Clientes!$A:$A,MATCH(B435,Clientes!$B:$B,0)),"(CPF não cadastrado)"))</f>
        <v>Otávio Lopes Rodrigues</v>
      </c>
      <c r="D435" s="24">
        <v>2000</v>
      </c>
      <c r="E435" s="7">
        <v>200</v>
      </c>
      <c r="F435" s="7">
        <f>D435/100*LOOKUP(A435,'Regras e Parâmetros'!$A$11:$A$12,'Regras e Parâmetros'!$B$11:$B$12)</f>
        <v>100</v>
      </c>
      <c r="G435" s="7">
        <f t="shared" si="6"/>
        <v>100</v>
      </c>
      <c r="H435" t="s">
        <v>100</v>
      </c>
      <c r="J435" s="5" t="s">
        <v>6190</v>
      </c>
      <c r="K435" t="s">
        <v>9968</v>
      </c>
    </row>
    <row r="436" spans="1:11" x14ac:dyDescent="0.3">
      <c r="A436" s="1">
        <v>46151</v>
      </c>
      <c r="B436" s="5" t="s">
        <v>9123</v>
      </c>
      <c r="C436" t="str">
        <f>IF(B436="","",IFERROR(INDEX(Clientes!$A:$A,MATCH(B436,Clientes!$B:$B,0)),"(CPF não cadastrado)"))</f>
        <v>Jaqueline Rodrigues Mendes</v>
      </c>
      <c r="D436" s="24">
        <v>300</v>
      </c>
      <c r="E436" s="7">
        <v>30</v>
      </c>
      <c r="F436" s="7">
        <f>D436/100*LOOKUP(A436,'Regras e Parâmetros'!$A$11:$A$12,'Regras e Parâmetros'!$B$11:$B$12)</f>
        <v>15</v>
      </c>
      <c r="G436" s="7">
        <f t="shared" si="6"/>
        <v>15</v>
      </c>
      <c r="H436" t="s">
        <v>22</v>
      </c>
      <c r="J436" s="5" t="s">
        <v>5481</v>
      </c>
      <c r="K436" t="s">
        <v>9968</v>
      </c>
    </row>
    <row r="437" spans="1:11" x14ac:dyDescent="0.3">
      <c r="A437" s="1">
        <v>46151</v>
      </c>
      <c r="B437" s="5" t="s">
        <v>8757</v>
      </c>
      <c r="C437" t="str">
        <f>IF(B437="","",IFERROR(INDEX(Clientes!$A:$A,MATCH(B437,Clientes!$B:$B,0)),"(CPF não cadastrado)"))</f>
        <v>Kamila Santana</v>
      </c>
      <c r="D437" s="24">
        <v>300</v>
      </c>
      <c r="E437" s="7">
        <v>30</v>
      </c>
      <c r="F437" s="7">
        <f>D437/100*LOOKUP(A437,'Regras e Parâmetros'!$A$11:$A$12,'Regras e Parâmetros'!$B$11:$B$12)</f>
        <v>15</v>
      </c>
      <c r="G437" s="7">
        <f t="shared" si="6"/>
        <v>15</v>
      </c>
      <c r="H437" t="s">
        <v>45</v>
      </c>
      <c r="J437" s="5" t="s">
        <v>6258</v>
      </c>
      <c r="K437" t="s">
        <v>9968</v>
      </c>
    </row>
    <row r="438" spans="1:11" x14ac:dyDescent="0.3">
      <c r="A438" s="1">
        <v>46154</v>
      </c>
      <c r="B438" s="5" t="s">
        <v>8804</v>
      </c>
      <c r="C438" t="str">
        <f>IF(B438="","",IFERROR(INDEX(Clientes!$A:$A,MATCH(B438,Clientes!$B:$B,0)),"(CPF não cadastrado)"))</f>
        <v>Paula Cardoso</v>
      </c>
      <c r="D438" s="24">
        <v>2000</v>
      </c>
      <c r="E438" s="7">
        <v>200</v>
      </c>
      <c r="F438" s="7">
        <f>D438/100*LOOKUP(A438,'Regras e Parâmetros'!$A$11:$A$12,'Regras e Parâmetros'!$B$11:$B$12)</f>
        <v>100</v>
      </c>
      <c r="G438" s="7">
        <f t="shared" si="6"/>
        <v>100</v>
      </c>
      <c r="H438" t="s">
        <v>18</v>
      </c>
      <c r="J438" s="5" t="s">
        <v>4249</v>
      </c>
      <c r="K438" t="s">
        <v>9968</v>
      </c>
    </row>
    <row r="439" spans="1:11" x14ac:dyDescent="0.3">
      <c r="A439" s="1">
        <v>46155</v>
      </c>
      <c r="B439" s="5" t="s">
        <v>7272</v>
      </c>
      <c r="C439" t="str">
        <f>IF(B439="","",IFERROR(INDEX(Clientes!$A:$A,MATCH(B439,Clientes!$B:$B,0)),"(CPF não cadastrado)"))</f>
        <v>Davi Rodrigues</v>
      </c>
      <c r="D439" s="24">
        <v>500</v>
      </c>
      <c r="E439" s="7">
        <v>25</v>
      </c>
      <c r="F439" s="7">
        <f>D439/100*LOOKUP(A439,'Regras e Parâmetros'!$A$11:$A$12,'Regras e Parâmetros'!$B$11:$B$12)</f>
        <v>25</v>
      </c>
      <c r="G439" s="7">
        <f t="shared" si="6"/>
        <v>0</v>
      </c>
      <c r="H439" t="s">
        <v>18</v>
      </c>
      <c r="I439" t="s">
        <v>9974</v>
      </c>
      <c r="J439" s="5" t="s">
        <v>6349</v>
      </c>
      <c r="K439" t="s">
        <v>10061</v>
      </c>
    </row>
    <row r="440" spans="1:11" x14ac:dyDescent="0.3">
      <c r="A440" s="1">
        <v>46156</v>
      </c>
      <c r="B440" s="5" t="s">
        <v>7971</v>
      </c>
      <c r="C440" t="str">
        <f>IF(B440="","",IFERROR(INDEX(Clientes!$A:$A,MATCH(B440,Clientes!$B:$B,0)),"(CPF não cadastrado)"))</f>
        <v>Manuela Fonseca</v>
      </c>
      <c r="D440" s="24">
        <v>300</v>
      </c>
      <c r="E440" s="7">
        <v>30</v>
      </c>
      <c r="F440" s="7">
        <f>D440/100*LOOKUP(A440,'Regras e Parâmetros'!$A$11:$A$12,'Regras e Parâmetros'!$B$11:$B$12)</f>
        <v>15</v>
      </c>
      <c r="G440" s="7">
        <f t="shared" si="6"/>
        <v>15</v>
      </c>
      <c r="H440" t="s">
        <v>45</v>
      </c>
      <c r="J440" s="5" t="s">
        <v>6234</v>
      </c>
      <c r="K440" t="s">
        <v>9968</v>
      </c>
    </row>
    <row r="441" spans="1:11" x14ac:dyDescent="0.3">
      <c r="A441" s="1">
        <v>46157</v>
      </c>
      <c r="B441" s="5" t="s">
        <v>6350</v>
      </c>
      <c r="C441" t="str">
        <f>IF(B441="","",IFERROR(INDEX(Clientes!$A:$A,MATCH(B441,Clientes!$B:$B,0)),"(CPF não cadastrado)"))</f>
        <v>Vitória Ramos</v>
      </c>
      <c r="D441" s="24">
        <v>500</v>
      </c>
      <c r="E441" s="7">
        <v>25</v>
      </c>
      <c r="F441" s="7">
        <f>D441/100*LOOKUP(A441,'Regras e Parâmetros'!$A$11:$A$12,'Regras e Parâmetros'!$B$11:$B$12)</f>
        <v>25</v>
      </c>
      <c r="G441" s="7">
        <f t="shared" si="6"/>
        <v>0</v>
      </c>
      <c r="H441" t="s">
        <v>110</v>
      </c>
      <c r="I441" t="s">
        <v>6093</v>
      </c>
      <c r="J441" s="5" t="s">
        <v>6350</v>
      </c>
      <c r="K441" t="s">
        <v>9968</v>
      </c>
    </row>
    <row r="442" spans="1:11" x14ac:dyDescent="0.3">
      <c r="A442" s="1">
        <v>46157</v>
      </c>
      <c r="B442" s="5" t="s">
        <v>7315</v>
      </c>
      <c r="C442" t="str">
        <f>IF(B442="","",IFERROR(INDEX(Clientes!$A:$A,MATCH(B442,Clientes!$B:$B,0)),"(CPF não cadastrado)"))</f>
        <v>Laura Teixeira Costa</v>
      </c>
      <c r="D442" s="24">
        <v>1500</v>
      </c>
      <c r="E442" s="7">
        <v>75</v>
      </c>
      <c r="F442" s="7">
        <f>D442/100*LOOKUP(A442,'Regras e Parâmetros'!$A$11:$A$12,'Regras e Parâmetros'!$B$11:$B$12)</f>
        <v>75</v>
      </c>
      <c r="G442" s="7">
        <f t="shared" si="6"/>
        <v>0</v>
      </c>
      <c r="H442" t="s">
        <v>110</v>
      </c>
      <c r="I442" t="s">
        <v>6087</v>
      </c>
      <c r="J442" s="5" t="s">
        <v>6351</v>
      </c>
      <c r="K442" t="s">
        <v>10284</v>
      </c>
    </row>
    <row r="443" spans="1:11" x14ac:dyDescent="0.3">
      <c r="A443" s="1">
        <v>46157</v>
      </c>
      <c r="B443" s="5" t="s">
        <v>7013</v>
      </c>
      <c r="C443" t="str">
        <f>IF(B443="","",IFERROR(INDEX(Clientes!$A:$A,MATCH(B443,Clientes!$B:$B,0)),"(CPF não cadastrado)"))</f>
        <v>Paula Santos</v>
      </c>
      <c r="D443" s="24">
        <v>500</v>
      </c>
      <c r="E443" s="7">
        <v>50</v>
      </c>
      <c r="F443" s="7">
        <f>D443/100*LOOKUP(A443,'Regras e Parâmetros'!$A$11:$A$12,'Regras e Parâmetros'!$B$11:$B$12)</f>
        <v>25</v>
      </c>
      <c r="G443" s="7">
        <f t="shared" si="6"/>
        <v>25</v>
      </c>
      <c r="H443" t="s">
        <v>18</v>
      </c>
      <c r="J443" s="5" t="s">
        <v>6322</v>
      </c>
      <c r="K443" t="s">
        <v>9968</v>
      </c>
    </row>
    <row r="444" spans="1:11" x14ac:dyDescent="0.3">
      <c r="A444" s="1">
        <v>46158</v>
      </c>
      <c r="B444" s="5" t="s">
        <v>6854</v>
      </c>
      <c r="C444" t="str">
        <f>IF(B444="","",IFERROR(INDEX(Clientes!$A:$A,MATCH(B444,Clientes!$B:$B,0)),"(CPF não cadastrado)"))</f>
        <v>Heitor Tavares Oliveira</v>
      </c>
      <c r="D444" s="24">
        <v>300</v>
      </c>
      <c r="E444" s="7">
        <v>30</v>
      </c>
      <c r="F444" s="7">
        <f>D444/100*LOOKUP(A444,'Regras e Parâmetros'!$A$11:$A$12,'Regras e Parâmetros'!$B$11:$B$12)</f>
        <v>15</v>
      </c>
      <c r="G444" s="7">
        <f t="shared" si="6"/>
        <v>15</v>
      </c>
      <c r="H444" t="s">
        <v>110</v>
      </c>
      <c r="J444" s="5" t="s">
        <v>6352</v>
      </c>
      <c r="K444" t="s">
        <v>9968</v>
      </c>
    </row>
    <row r="445" spans="1:11" x14ac:dyDescent="0.3">
      <c r="A445" s="1">
        <v>46158</v>
      </c>
      <c r="B445" s="5" t="s">
        <v>7652</v>
      </c>
      <c r="C445" t="str">
        <f>IF(B445="","",IFERROR(INDEX(Clientes!$A:$A,MATCH(B445,Clientes!$B:$B,0)),"(CPF não cadastrado)"))</f>
        <v>Breno Rodrigues Monteiro</v>
      </c>
      <c r="D445" s="24">
        <v>500</v>
      </c>
      <c r="E445" s="7">
        <v>25</v>
      </c>
      <c r="F445" s="7">
        <f>D445/100*LOOKUP(A445,'Regras e Parâmetros'!$A$11:$A$12,'Regras e Parâmetros'!$B$11:$B$12)</f>
        <v>25</v>
      </c>
      <c r="G445" s="7">
        <f t="shared" si="6"/>
        <v>0</v>
      </c>
      <c r="H445" t="s">
        <v>18</v>
      </c>
      <c r="I445" t="s">
        <v>6145</v>
      </c>
      <c r="J445" s="5" t="s">
        <v>6353</v>
      </c>
      <c r="K445" t="s">
        <v>9969</v>
      </c>
    </row>
    <row r="446" spans="1:11" x14ac:dyDescent="0.3">
      <c r="A446" s="1">
        <v>46159</v>
      </c>
      <c r="B446" s="5" t="s">
        <v>9277</v>
      </c>
      <c r="C446" t="str">
        <f>IF(B446="","",IFERROR(INDEX(Clientes!$A:$A,MATCH(B446,Clientes!$B:$B,0)),"(CPF não cadastrado)"))</f>
        <v>Luana Cavalcanti Teixeira</v>
      </c>
      <c r="D446" s="24">
        <v>1500</v>
      </c>
      <c r="E446" s="7">
        <v>75</v>
      </c>
      <c r="F446" s="7">
        <f>D446/100*LOOKUP(A446,'Regras e Parâmetros'!$A$11:$A$12,'Regras e Parâmetros'!$B$11:$B$12)</f>
        <v>75</v>
      </c>
      <c r="G446" s="7">
        <f t="shared" si="6"/>
        <v>0</v>
      </c>
      <c r="H446" t="s">
        <v>18</v>
      </c>
      <c r="I446" t="s">
        <v>6125</v>
      </c>
      <c r="J446" s="5" t="s">
        <v>6354</v>
      </c>
      <c r="K446" t="s">
        <v>9969</v>
      </c>
    </row>
    <row r="447" spans="1:11" x14ac:dyDescent="0.3">
      <c r="A447" s="1">
        <v>46159</v>
      </c>
      <c r="B447" s="5" t="s">
        <v>9953</v>
      </c>
      <c r="C447" t="str">
        <f>IF(B447="","",IFERROR(INDEX(Clientes!$A:$A,MATCH(B447,Clientes!$B:$B,0)),"(CPF não cadastrado)"))</f>
        <v>Bruna Moura Almeida</v>
      </c>
      <c r="D447" s="24">
        <v>300</v>
      </c>
      <c r="E447" s="7">
        <v>30</v>
      </c>
      <c r="F447" s="7">
        <f>D447/100*LOOKUP(A447,'Regras e Parâmetros'!$A$11:$A$12,'Regras e Parâmetros'!$B$11:$B$12)</f>
        <v>15</v>
      </c>
      <c r="G447" s="7">
        <f t="shared" si="6"/>
        <v>15</v>
      </c>
      <c r="H447" t="s">
        <v>45</v>
      </c>
      <c r="J447" s="5" t="s">
        <v>6332</v>
      </c>
      <c r="K447" t="s">
        <v>10065</v>
      </c>
    </row>
    <row r="448" spans="1:11" x14ac:dyDescent="0.3">
      <c r="A448" s="1">
        <v>46160</v>
      </c>
      <c r="B448" s="5" t="s">
        <v>205</v>
      </c>
      <c r="C448" t="str">
        <f>IF(B448="","",IFERROR(INDEX(Clientes!$A:$A,MATCH(B448,Clientes!$B:$B,0)),"(CPF não cadastrado)"))</f>
        <v>Débora Nunes Moura</v>
      </c>
      <c r="D448" s="24">
        <v>2000</v>
      </c>
      <c r="E448" s="7">
        <v>200</v>
      </c>
      <c r="F448" s="7">
        <f>D448/100*LOOKUP(A448,'Regras e Parâmetros'!$A$11:$A$12,'Regras e Parâmetros'!$B$11:$B$12)</f>
        <v>100</v>
      </c>
      <c r="G448" s="7">
        <f t="shared" si="6"/>
        <v>100</v>
      </c>
      <c r="H448" t="s">
        <v>45</v>
      </c>
      <c r="J448" s="5" t="s">
        <v>6337</v>
      </c>
      <c r="K448" t="s">
        <v>9968</v>
      </c>
    </row>
    <row r="449" spans="1:11" x14ac:dyDescent="0.3">
      <c r="A449" s="1">
        <v>46165</v>
      </c>
      <c r="B449" s="5" t="s">
        <v>1645</v>
      </c>
      <c r="C449" t="str">
        <f>IF(B449="","",IFERROR(INDEX(Clientes!$A:$A,MATCH(B449,Clientes!$B:$B,0)),"(CPF não cadastrado)"))</f>
        <v>Alice Correia</v>
      </c>
      <c r="D449" s="24">
        <v>1500</v>
      </c>
      <c r="E449" s="7">
        <v>75</v>
      </c>
      <c r="F449" s="7">
        <f>D449/100*LOOKUP(A449,'Regras e Parâmetros'!$A$11:$A$12,'Regras e Parâmetros'!$B$11:$B$12)</f>
        <v>75</v>
      </c>
      <c r="G449" s="7">
        <f t="shared" si="6"/>
        <v>0</v>
      </c>
      <c r="H449" t="s">
        <v>100</v>
      </c>
      <c r="I449" t="s">
        <v>9970</v>
      </c>
      <c r="J449" s="5" t="s">
        <v>1644</v>
      </c>
      <c r="K449" t="s">
        <v>10063</v>
      </c>
    </row>
    <row r="450" spans="1:11" x14ac:dyDescent="0.3">
      <c r="A450" s="1">
        <v>46165</v>
      </c>
      <c r="B450" s="5" t="s">
        <v>9007</v>
      </c>
      <c r="C450" t="str">
        <f>IF(B450="","",IFERROR(INDEX(Clientes!$A:$A,MATCH(B450,Clientes!$B:$B,0)),"(CPF não cadastrado)"))</f>
        <v>Melissa Araújo Rezende</v>
      </c>
      <c r="D450" s="24">
        <v>500</v>
      </c>
      <c r="E450" s="7">
        <v>50</v>
      </c>
      <c r="F450" s="7">
        <f>D450/100*LOOKUP(A450,'Regras e Parâmetros'!$A$11:$A$12,'Regras e Parâmetros'!$B$11:$B$12)</f>
        <v>25</v>
      </c>
      <c r="G450" s="7">
        <f t="shared" si="6"/>
        <v>25</v>
      </c>
      <c r="H450" t="s">
        <v>45</v>
      </c>
      <c r="J450" s="5" t="s">
        <v>4597</v>
      </c>
      <c r="K450" t="s">
        <v>9968</v>
      </c>
    </row>
    <row r="451" spans="1:11" x14ac:dyDescent="0.3">
      <c r="A451" s="1">
        <v>46165</v>
      </c>
      <c r="B451" s="5" t="s">
        <v>3995</v>
      </c>
      <c r="C451" t="str">
        <f>IF(B451="","",IFERROR(INDEX(Clientes!$A:$A,MATCH(B451,Clientes!$B:$B,0)),"(CPF não cadastrado)"))</f>
        <v>Ícaro Soares</v>
      </c>
      <c r="D451" s="24">
        <v>400</v>
      </c>
      <c r="E451" s="7">
        <v>40</v>
      </c>
      <c r="F451" s="7">
        <f>D451/100*LOOKUP(A451,'Regras e Parâmetros'!$A$11:$A$12,'Regras e Parâmetros'!$B$11:$B$12)</f>
        <v>20</v>
      </c>
      <c r="G451" s="7">
        <f t="shared" ref="G451:G514" si="7">E451-F451</f>
        <v>20</v>
      </c>
      <c r="H451" t="s">
        <v>45</v>
      </c>
      <c r="J451" s="5" t="s">
        <v>6355</v>
      </c>
      <c r="K451" t="s">
        <v>9968</v>
      </c>
    </row>
    <row r="452" spans="1:11" x14ac:dyDescent="0.3">
      <c r="A452" s="1">
        <v>46166</v>
      </c>
      <c r="B452" s="5" t="s">
        <v>6089</v>
      </c>
      <c r="C452" t="str">
        <f>IF(B452="","",IFERROR(INDEX(Clientes!$A:$A,MATCH(B452,Clientes!$B:$B,0)),"(CPF não cadastrado)"))</f>
        <v>Débora Almeida</v>
      </c>
      <c r="D452" s="24">
        <v>500</v>
      </c>
      <c r="E452" s="7">
        <v>25</v>
      </c>
      <c r="F452" s="7">
        <f>D452/100*LOOKUP(A452,'Regras e Parâmetros'!$A$11:$A$12,'Regras e Parâmetros'!$B$11:$B$12)</f>
        <v>25</v>
      </c>
      <c r="G452" s="7">
        <f t="shared" si="7"/>
        <v>0</v>
      </c>
      <c r="H452" t="s">
        <v>22</v>
      </c>
      <c r="I452" t="s">
        <v>6321</v>
      </c>
      <c r="J452" s="5" t="s">
        <v>6356</v>
      </c>
      <c r="K452" t="s">
        <v>10061</v>
      </c>
    </row>
    <row r="453" spans="1:11" x14ac:dyDescent="0.3">
      <c r="A453" s="1">
        <v>46168</v>
      </c>
      <c r="B453" s="5" t="s">
        <v>8403</v>
      </c>
      <c r="C453" t="str">
        <f>IF(B453="","",IFERROR(INDEX(Clientes!$A:$A,MATCH(B453,Clientes!$B:$B,0)),"(CPF não cadastrado)"))</f>
        <v>Sabrina Barbosa</v>
      </c>
      <c r="D453" s="24">
        <v>1000</v>
      </c>
      <c r="E453" s="7">
        <v>50</v>
      </c>
      <c r="F453" s="7">
        <f>D453/100*LOOKUP(A453,'Regras e Parâmetros'!$A$11:$A$12,'Regras e Parâmetros'!$B$11:$B$12)</f>
        <v>50</v>
      </c>
      <c r="G453" s="7">
        <f t="shared" si="7"/>
        <v>0</v>
      </c>
      <c r="H453" t="s">
        <v>22</v>
      </c>
      <c r="I453" t="s">
        <v>6321</v>
      </c>
      <c r="J453" s="5" t="s">
        <v>6357</v>
      </c>
      <c r="K453" t="s">
        <v>9969</v>
      </c>
    </row>
    <row r="454" spans="1:11" x14ac:dyDescent="0.3">
      <c r="A454" s="1">
        <v>46169</v>
      </c>
      <c r="B454" s="5" t="s">
        <v>6907</v>
      </c>
      <c r="C454" t="str">
        <f>IF(B454="","",IFERROR(INDEX(Clientes!$A:$A,MATCH(B454,Clientes!$B:$B,0)),"(CPF não cadastrado)"))</f>
        <v>Sabrina Pereira</v>
      </c>
      <c r="D454" s="24">
        <v>1700</v>
      </c>
      <c r="E454" s="7">
        <v>170</v>
      </c>
      <c r="F454" s="7">
        <f>D454/100*LOOKUP(A454,'Regras e Parâmetros'!$A$11:$A$12,'Regras e Parâmetros'!$B$11:$B$12)</f>
        <v>85</v>
      </c>
      <c r="G454" s="7">
        <f t="shared" si="7"/>
        <v>85</v>
      </c>
      <c r="H454" t="s">
        <v>110</v>
      </c>
      <c r="J454" s="5" t="s">
        <v>6358</v>
      </c>
      <c r="K454" t="s">
        <v>9968</v>
      </c>
    </row>
    <row r="455" spans="1:11" x14ac:dyDescent="0.3">
      <c r="A455" s="1">
        <v>46169</v>
      </c>
      <c r="B455" s="5" t="s">
        <v>6100</v>
      </c>
      <c r="C455" t="str">
        <f>IF(B455="","",IFERROR(INDEX(Clientes!$A:$A,MATCH(B455,Clientes!$B:$B,0)),"(CPF não cadastrado)"))</f>
        <v>Jaqueline Vieira Lima</v>
      </c>
      <c r="D455" s="24">
        <v>1000</v>
      </c>
      <c r="E455" s="7">
        <v>100</v>
      </c>
      <c r="F455" s="7">
        <f>D455/100*LOOKUP(A455,'Regras e Parâmetros'!$A$11:$A$12,'Regras e Parâmetros'!$B$11:$B$12)</f>
        <v>50</v>
      </c>
      <c r="G455" s="7">
        <f t="shared" si="7"/>
        <v>50</v>
      </c>
      <c r="H455" t="s">
        <v>22</v>
      </c>
      <c r="J455" s="5" t="s">
        <v>6185</v>
      </c>
      <c r="K455" t="s">
        <v>9968</v>
      </c>
    </row>
    <row r="456" spans="1:11" x14ac:dyDescent="0.3">
      <c r="A456" s="1">
        <v>46170</v>
      </c>
      <c r="B456" s="5" t="s">
        <v>6564</v>
      </c>
      <c r="C456" t="str">
        <f>IF(B456="","",IFERROR(INDEX(Clientes!$A:$A,MATCH(B456,Clientes!$B:$B,0)),"(CPF não cadastrado)"))</f>
        <v>Emanuelly Pereira Ribeiro</v>
      </c>
      <c r="D456" s="24">
        <v>1500</v>
      </c>
      <c r="E456" s="7">
        <v>150</v>
      </c>
      <c r="F456" s="7">
        <f>D456/100*LOOKUP(A456,'Regras e Parâmetros'!$A$11:$A$12,'Regras e Parâmetros'!$B$11:$B$12)</f>
        <v>75</v>
      </c>
      <c r="G456" s="7">
        <f t="shared" si="7"/>
        <v>75</v>
      </c>
      <c r="H456" t="s">
        <v>18</v>
      </c>
      <c r="J456" s="5" t="s">
        <v>6359</v>
      </c>
      <c r="K456" t="s">
        <v>9968</v>
      </c>
    </row>
    <row r="457" spans="1:11" x14ac:dyDescent="0.3">
      <c r="A457" s="1">
        <v>46171</v>
      </c>
      <c r="B457" s="5" t="s">
        <v>9306</v>
      </c>
      <c r="C457" t="str">
        <f>IF(B457="","",IFERROR(INDEX(Clientes!$A:$A,MATCH(B457,Clientes!$B:$B,0)),"(CPF não cadastrado)"))</f>
        <v>Giovanna Rodrigues Freitas</v>
      </c>
      <c r="D457" s="24">
        <v>1000</v>
      </c>
      <c r="E457" s="7">
        <v>50</v>
      </c>
      <c r="F457" s="7">
        <f>D457/100*LOOKUP(A457,'Regras e Parâmetros'!$A$11:$A$12,'Regras e Parâmetros'!$B$11:$B$12)</f>
        <v>50</v>
      </c>
      <c r="G457" s="7">
        <f t="shared" si="7"/>
        <v>0</v>
      </c>
      <c r="H457" t="s">
        <v>18</v>
      </c>
      <c r="I457" t="s">
        <v>9974</v>
      </c>
      <c r="J457" s="5" t="s">
        <v>6360</v>
      </c>
      <c r="K457" t="s">
        <v>9968</v>
      </c>
    </row>
    <row r="458" spans="1:11" x14ac:dyDescent="0.3">
      <c r="A458" s="1">
        <v>46171</v>
      </c>
      <c r="B458" s="5" t="s">
        <v>1645</v>
      </c>
      <c r="C458" t="str">
        <f>IF(B458="","",IFERROR(INDEX(Clientes!$A:$A,MATCH(B458,Clientes!$B:$B,0)),"(CPF não cadastrado)"))</f>
        <v>Alice Correia</v>
      </c>
      <c r="D458" s="24">
        <v>500</v>
      </c>
      <c r="E458" s="7">
        <v>50</v>
      </c>
      <c r="F458" s="7">
        <f>D458/100*LOOKUP(A458,'Regras e Parâmetros'!$A$11:$A$12,'Regras e Parâmetros'!$B$11:$B$12)</f>
        <v>25</v>
      </c>
      <c r="G458" s="7">
        <f t="shared" si="7"/>
        <v>25</v>
      </c>
      <c r="H458" t="s">
        <v>100</v>
      </c>
      <c r="J458" s="5" t="s">
        <v>6219</v>
      </c>
      <c r="K458" t="s">
        <v>9968</v>
      </c>
    </row>
    <row r="459" spans="1:11" x14ac:dyDescent="0.3">
      <c r="A459" s="1">
        <v>46171</v>
      </c>
      <c r="B459" s="5" t="s">
        <v>2712</v>
      </c>
      <c r="C459" t="str">
        <f>IF(B459="","",IFERROR(INDEX(Clientes!$A:$A,MATCH(B459,Clientes!$B:$B,0)),"(CPF não cadastrado)"))</f>
        <v>Tainá Silva</v>
      </c>
      <c r="D459" s="24">
        <v>1000</v>
      </c>
      <c r="E459" s="7">
        <v>100</v>
      </c>
      <c r="F459" s="7">
        <f>D459/100*LOOKUP(A459,'Regras e Parâmetros'!$A$11:$A$12,'Regras e Parâmetros'!$B$11:$B$12)</f>
        <v>50</v>
      </c>
      <c r="G459" s="7">
        <f t="shared" si="7"/>
        <v>50</v>
      </c>
      <c r="H459" t="s">
        <v>100</v>
      </c>
      <c r="J459" s="5" t="s">
        <v>6171</v>
      </c>
      <c r="K459" t="s">
        <v>9968</v>
      </c>
    </row>
    <row r="460" spans="1:11" x14ac:dyDescent="0.3">
      <c r="A460" s="1">
        <v>46172</v>
      </c>
      <c r="B460" s="5" t="s">
        <v>2928</v>
      </c>
      <c r="C460" t="str">
        <f>IF(B460="","",IFERROR(INDEX(Clientes!$A:$A,MATCH(B460,Clientes!$B:$B,0)),"(CPF não cadastrado)"))</f>
        <v>Emanuelly A. Cardoso</v>
      </c>
      <c r="D460" s="24">
        <v>2000</v>
      </c>
      <c r="E460" s="7">
        <v>200</v>
      </c>
      <c r="F460" s="7">
        <f>D460/100*LOOKUP(A460,'Regras e Parâmetros'!$A$11:$A$12,'Regras e Parâmetros'!$B$11:$B$12)</f>
        <v>100</v>
      </c>
      <c r="G460" s="7">
        <f t="shared" si="7"/>
        <v>100</v>
      </c>
      <c r="H460" t="s">
        <v>110</v>
      </c>
      <c r="J460" s="5" t="s">
        <v>6361</v>
      </c>
      <c r="K460" t="s">
        <v>9968</v>
      </c>
    </row>
    <row r="461" spans="1:11" x14ac:dyDescent="0.3">
      <c r="A461" s="1">
        <v>46172</v>
      </c>
      <c r="B461" s="5" t="s">
        <v>1030</v>
      </c>
      <c r="C461" t="str">
        <f>IF(B461="","",IFERROR(INDEX(Clientes!$A:$A,MATCH(B461,Clientes!$B:$B,0)),"(CPF não cadastrado)"))</f>
        <v>Caio Gomes</v>
      </c>
      <c r="D461" s="24">
        <v>500</v>
      </c>
      <c r="E461" s="7">
        <v>25</v>
      </c>
      <c r="F461" s="7">
        <f>D461/100*LOOKUP(A461,'Regras e Parâmetros'!$A$11:$A$12,'Regras e Parâmetros'!$B$11:$B$12)</f>
        <v>25</v>
      </c>
      <c r="G461" s="7">
        <f t="shared" si="7"/>
        <v>0</v>
      </c>
      <c r="H461" t="s">
        <v>110</v>
      </c>
      <c r="I461" t="s">
        <v>9971</v>
      </c>
      <c r="J461" s="5" t="s">
        <v>6199</v>
      </c>
      <c r="K461" t="s">
        <v>9968</v>
      </c>
    </row>
    <row r="462" spans="1:11" x14ac:dyDescent="0.3">
      <c r="A462" s="1">
        <v>46172</v>
      </c>
      <c r="B462" s="5" t="s">
        <v>1695</v>
      </c>
      <c r="C462" t="str">
        <f>IF(B462="","",IFERROR(INDEX(Clientes!$A:$A,MATCH(B462,Clientes!$B:$B,0)),"(CPF não cadastrado)"))</f>
        <v>Marcelo Peixoto</v>
      </c>
      <c r="D462" s="24">
        <v>1000</v>
      </c>
      <c r="E462" s="7">
        <v>50</v>
      </c>
      <c r="F462" s="7">
        <f>D462/100*LOOKUP(A462,'Regras e Parâmetros'!$A$11:$A$12,'Regras e Parâmetros'!$B$11:$B$12)</f>
        <v>50</v>
      </c>
      <c r="G462" s="7">
        <f t="shared" si="7"/>
        <v>0</v>
      </c>
      <c r="H462" t="s">
        <v>18</v>
      </c>
      <c r="I462" t="s">
        <v>9974</v>
      </c>
      <c r="J462" s="5" t="s">
        <v>1695</v>
      </c>
      <c r="K462" t="s">
        <v>9968</v>
      </c>
    </row>
    <row r="463" spans="1:11" x14ac:dyDescent="0.3">
      <c r="A463" s="1">
        <v>46172</v>
      </c>
      <c r="B463" s="5" t="s">
        <v>2608</v>
      </c>
      <c r="C463" t="str">
        <f>IF(B463="","",IFERROR(INDEX(Clientes!$A:$A,MATCH(B463,Clientes!$B:$B,0)),"(CPF não cadastrado)"))</f>
        <v>Rodrigo Nunes Dias</v>
      </c>
      <c r="D463" s="24">
        <v>2000</v>
      </c>
      <c r="E463" s="7">
        <v>200</v>
      </c>
      <c r="F463" s="7">
        <f>D463/100*LOOKUP(A463,'Regras e Parâmetros'!$A$11:$A$12,'Regras e Parâmetros'!$B$11:$B$12)</f>
        <v>100</v>
      </c>
      <c r="G463" s="7">
        <f t="shared" si="7"/>
        <v>100</v>
      </c>
      <c r="H463" t="s">
        <v>22</v>
      </c>
      <c r="J463" s="5" t="s">
        <v>6165</v>
      </c>
      <c r="K463" t="s">
        <v>9968</v>
      </c>
    </row>
    <row r="464" spans="1:11" x14ac:dyDescent="0.3">
      <c r="A464" s="1">
        <v>46172</v>
      </c>
      <c r="B464" s="5" t="s">
        <v>9955</v>
      </c>
      <c r="C464" t="str">
        <f>IF(B464="","",IFERROR(INDEX(Clientes!$A:$A,MATCH(B464,Clientes!$B:$B,0)),"(CPF não cadastrado)"))</f>
        <v>Luana Pereira Mendes</v>
      </c>
      <c r="D464" s="24">
        <v>500</v>
      </c>
      <c r="E464" s="7">
        <v>50</v>
      </c>
      <c r="F464" s="7">
        <f>D464/100*LOOKUP(A464,'Regras e Parâmetros'!$A$11:$A$12,'Regras e Parâmetros'!$B$11:$B$12)</f>
        <v>25</v>
      </c>
      <c r="G464" s="7">
        <f t="shared" si="7"/>
        <v>25</v>
      </c>
      <c r="H464" t="s">
        <v>45</v>
      </c>
      <c r="J464" s="5" t="s">
        <v>6362</v>
      </c>
      <c r="K464" t="s">
        <v>10065</v>
      </c>
    </row>
    <row r="465" spans="1:11" x14ac:dyDescent="0.3">
      <c r="A465" s="1">
        <v>46173</v>
      </c>
      <c r="B465" s="5" t="s">
        <v>2291</v>
      </c>
      <c r="C465" t="str">
        <f>IF(B465="","",IFERROR(INDEX(Clientes!$A:$A,MATCH(B465,Clientes!$B:$B,0)),"(CPF não cadastrado)"))</f>
        <v>Priscila Machado Alves</v>
      </c>
      <c r="D465" s="24">
        <v>1600</v>
      </c>
      <c r="E465" s="7">
        <v>160</v>
      </c>
      <c r="F465" s="7">
        <f>D465/100*LOOKUP(A465,'Regras e Parâmetros'!$A$11:$A$12,'Regras e Parâmetros'!$B$11:$B$12)</f>
        <v>80</v>
      </c>
      <c r="G465" s="7">
        <f t="shared" si="7"/>
        <v>80</v>
      </c>
      <c r="H465" t="s">
        <v>45</v>
      </c>
      <c r="J465" s="5" t="s">
        <v>6363</v>
      </c>
      <c r="K465" t="s">
        <v>9968</v>
      </c>
    </row>
    <row r="466" spans="1:11" x14ac:dyDescent="0.3">
      <c r="A466" s="1">
        <v>46175</v>
      </c>
      <c r="B466" s="5" t="s">
        <v>6100</v>
      </c>
      <c r="C466" t="str">
        <f>IF(B466="","",IFERROR(INDEX(Clientes!$A:$A,MATCH(B466,Clientes!$B:$B,0)),"(CPF não cadastrado)"))</f>
        <v>Jaqueline Vieira Lima</v>
      </c>
      <c r="D466" s="24">
        <v>1500</v>
      </c>
      <c r="E466" s="7">
        <v>150</v>
      </c>
      <c r="F466" s="7">
        <f>D466/100*LOOKUP(A466,'Regras e Parâmetros'!$A$11:$A$12,'Regras e Parâmetros'!$B$11:$B$12)</f>
        <v>75</v>
      </c>
      <c r="G466" s="7">
        <f t="shared" si="7"/>
        <v>75</v>
      </c>
      <c r="H466" t="s">
        <v>22</v>
      </c>
      <c r="J466" s="5" t="s">
        <v>6185</v>
      </c>
      <c r="K466" t="s">
        <v>9968</v>
      </c>
    </row>
    <row r="467" spans="1:11" x14ac:dyDescent="0.3">
      <c r="A467" s="1">
        <v>46175</v>
      </c>
      <c r="B467" s="5" t="s">
        <v>3123</v>
      </c>
      <c r="C467" t="str">
        <f>IF(B467="","",IFERROR(INDEX(Clientes!$A:$A,MATCH(B467,Clientes!$B:$B,0)),"(CPF não cadastrado)"))</f>
        <v>Nicole Lopes</v>
      </c>
      <c r="D467" s="24">
        <v>500</v>
      </c>
      <c r="E467" s="7">
        <v>50</v>
      </c>
      <c r="F467" s="7">
        <f>D467/100*LOOKUP(A467,'Regras e Parâmetros'!$A$11:$A$12,'Regras e Parâmetros'!$B$11:$B$12)</f>
        <v>25</v>
      </c>
      <c r="G467" s="7">
        <f t="shared" si="7"/>
        <v>25</v>
      </c>
      <c r="H467" t="s">
        <v>45</v>
      </c>
      <c r="J467" s="5" t="s">
        <v>6364</v>
      </c>
      <c r="K467" t="s">
        <v>9968</v>
      </c>
    </row>
    <row r="468" spans="1:11" x14ac:dyDescent="0.3">
      <c r="A468" s="1">
        <v>46176</v>
      </c>
      <c r="B468" s="5" t="s">
        <v>2695</v>
      </c>
      <c r="C468" t="str">
        <f>IF(B468="","",IFERROR(INDEX(Clientes!$A:$A,MATCH(B468,Clientes!$B:$B,0)),"(CPF não cadastrado)"))</f>
        <v>Paulo Freitas Santana</v>
      </c>
      <c r="D468" s="24">
        <v>300</v>
      </c>
      <c r="E468" s="7">
        <v>30</v>
      </c>
      <c r="F468" s="7">
        <f>D468/100*LOOKUP(A468,'Regras e Parâmetros'!$A$11:$A$12,'Regras e Parâmetros'!$B$11:$B$12)</f>
        <v>15</v>
      </c>
      <c r="G468" s="7">
        <f t="shared" si="7"/>
        <v>15</v>
      </c>
      <c r="H468" t="s">
        <v>100</v>
      </c>
      <c r="J468" s="5" t="s">
        <v>6365</v>
      </c>
      <c r="K468" t="s">
        <v>9968</v>
      </c>
    </row>
    <row r="469" spans="1:11" x14ac:dyDescent="0.3">
      <c r="A469" s="1">
        <v>46176</v>
      </c>
      <c r="B469" s="5" t="s">
        <v>1151</v>
      </c>
      <c r="C469" t="str">
        <f>IF(B469="","",IFERROR(INDEX(Clientes!$A:$A,MATCH(B469,Clientes!$B:$B,0)),"(CPF não cadastrado)"))</f>
        <v>Lorena Moura Santana</v>
      </c>
      <c r="D469" s="24">
        <v>1000</v>
      </c>
      <c r="E469" s="7">
        <v>100</v>
      </c>
      <c r="F469" s="7">
        <f>D469/100*LOOKUP(A469,'Regras e Parâmetros'!$A$11:$A$12,'Regras e Parâmetros'!$B$11:$B$12)</f>
        <v>50</v>
      </c>
      <c r="G469" s="7">
        <f t="shared" si="7"/>
        <v>50</v>
      </c>
      <c r="H469" t="s">
        <v>45</v>
      </c>
      <c r="J469" s="5" t="s">
        <v>6366</v>
      </c>
      <c r="K469" t="s">
        <v>9968</v>
      </c>
    </row>
    <row r="470" spans="1:11" x14ac:dyDescent="0.3">
      <c r="A470" s="1">
        <v>46176</v>
      </c>
      <c r="B470" s="5" t="s">
        <v>5483</v>
      </c>
      <c r="C470" t="str">
        <f>IF(B470="","",IFERROR(INDEX(Clientes!$A:$A,MATCH(B470,Clientes!$B:$B,0)),"(CPF não cadastrado)"))</f>
        <v>Teo Rocha</v>
      </c>
      <c r="D470" s="24">
        <v>1000</v>
      </c>
      <c r="E470" s="7">
        <v>100</v>
      </c>
      <c r="F470" s="7">
        <f>D470/100*LOOKUP(A470,'Regras e Parâmetros'!$A$11:$A$12,'Regras e Parâmetros'!$B$11:$B$12)</f>
        <v>50</v>
      </c>
      <c r="G470" s="7">
        <f t="shared" si="7"/>
        <v>50</v>
      </c>
      <c r="H470" t="s">
        <v>45</v>
      </c>
      <c r="J470" s="5" t="s">
        <v>6367</v>
      </c>
      <c r="K470" t="s">
        <v>9968</v>
      </c>
    </row>
    <row r="471" spans="1:11" x14ac:dyDescent="0.3">
      <c r="A471" s="1">
        <v>46177</v>
      </c>
      <c r="B471" s="5" t="s">
        <v>8804</v>
      </c>
      <c r="C471" t="str">
        <f>IF(B471="","",IFERROR(INDEX(Clientes!$A:$A,MATCH(B471,Clientes!$B:$B,0)),"(CPF não cadastrado)"))</f>
        <v>Paula Cardoso</v>
      </c>
      <c r="D471" s="24">
        <v>1300</v>
      </c>
      <c r="E471" s="7">
        <v>130</v>
      </c>
      <c r="F471" s="7">
        <f>D471/100*LOOKUP(A471,'Regras e Parâmetros'!$A$11:$A$12,'Regras e Parâmetros'!$B$11:$B$12)</f>
        <v>65</v>
      </c>
      <c r="G471" s="7">
        <f t="shared" si="7"/>
        <v>65</v>
      </c>
      <c r="H471" t="s">
        <v>45</v>
      </c>
      <c r="J471" s="5" t="s">
        <v>4249</v>
      </c>
      <c r="K471" t="s">
        <v>9968</v>
      </c>
    </row>
    <row r="472" spans="1:11" x14ac:dyDescent="0.3">
      <c r="A472" s="1">
        <v>46178</v>
      </c>
      <c r="B472" s="5" t="s">
        <v>9954</v>
      </c>
      <c r="C472" t="str">
        <f>IF(B472="","",IFERROR(INDEX(Clientes!$A:$A,MATCH(B472,Clientes!$B:$B,0)),"(CPF não cadastrado)"))</f>
        <v>Alice Nogueira</v>
      </c>
      <c r="D472" s="24">
        <v>1000</v>
      </c>
      <c r="E472" s="7">
        <v>50</v>
      </c>
      <c r="F472" s="7">
        <f>D472/100*LOOKUP(A472,'Regras e Parâmetros'!$A$11:$A$12,'Regras e Parâmetros'!$B$11:$B$12)</f>
        <v>50</v>
      </c>
      <c r="G472" s="7">
        <f t="shared" si="7"/>
        <v>0</v>
      </c>
      <c r="H472" t="s">
        <v>110</v>
      </c>
      <c r="I472" t="s">
        <v>6081</v>
      </c>
      <c r="J472" s="5" t="s">
        <v>4517</v>
      </c>
      <c r="K472" t="s">
        <v>10064</v>
      </c>
    </row>
    <row r="473" spans="1:11" x14ac:dyDescent="0.3">
      <c r="A473" s="1">
        <v>46179</v>
      </c>
      <c r="B473" s="5" t="s">
        <v>7842</v>
      </c>
      <c r="C473" t="str">
        <f>IF(B473="","",IFERROR(INDEX(Clientes!$A:$A,MATCH(B473,Clientes!$B:$B,0)),"(CPF não cadastrado)"))</f>
        <v>Bernardo Cavalcanti Teixeira</v>
      </c>
      <c r="D473" s="24">
        <v>500</v>
      </c>
      <c r="E473" s="7">
        <v>50</v>
      </c>
      <c r="F473" s="7">
        <f>D473/100*LOOKUP(A473,'Regras e Parâmetros'!$A$11:$A$12,'Regras e Parâmetros'!$B$11:$B$12)</f>
        <v>25</v>
      </c>
      <c r="G473" s="7">
        <f t="shared" si="7"/>
        <v>25</v>
      </c>
      <c r="H473" t="s">
        <v>45</v>
      </c>
      <c r="J473" s="5" t="s">
        <v>6368</v>
      </c>
      <c r="K473" t="s">
        <v>9968</v>
      </c>
    </row>
    <row r="474" spans="1:11" x14ac:dyDescent="0.3">
      <c r="A474" s="1">
        <v>46182</v>
      </c>
      <c r="B474" s="5" t="s">
        <v>402</v>
      </c>
      <c r="C474" t="str">
        <f>IF(B474="","",IFERROR(INDEX(Clientes!$A:$A,MATCH(B474,Clientes!$B:$B,0)),"(CPF não cadastrado)"))</f>
        <v>Renan Correia Marques</v>
      </c>
      <c r="D474" s="24">
        <v>1500</v>
      </c>
      <c r="E474" s="7">
        <v>75</v>
      </c>
      <c r="F474" s="7">
        <f>D474/100*LOOKUP(A474,'Regras e Parâmetros'!$A$11:$A$12,'Regras e Parâmetros'!$B$11:$B$12)</f>
        <v>75</v>
      </c>
      <c r="G474" s="7">
        <f t="shared" si="7"/>
        <v>0</v>
      </c>
      <c r="H474" t="s">
        <v>110</v>
      </c>
      <c r="I474" t="s">
        <v>6081</v>
      </c>
      <c r="J474" s="5" t="s">
        <v>6283</v>
      </c>
      <c r="K474" t="s">
        <v>9968</v>
      </c>
    </row>
    <row r="475" spans="1:11" x14ac:dyDescent="0.3">
      <c r="A475" s="1">
        <v>46182</v>
      </c>
      <c r="B475" s="5" t="s">
        <v>326</v>
      </c>
      <c r="C475" t="str">
        <f>IF(B475="","",IFERROR(INDEX(Clientes!$A:$A,MATCH(B475,Clientes!$B:$B,0)),"(CPF não cadastrado)"))</f>
        <v>Bernardo Gomes Nascimento</v>
      </c>
      <c r="D475" s="24">
        <v>300</v>
      </c>
      <c r="E475" s="7">
        <v>30</v>
      </c>
      <c r="F475" s="7">
        <f>D475/100*LOOKUP(A475,'Regras e Parâmetros'!$A$11:$A$12,'Regras e Parâmetros'!$B$11:$B$12)</f>
        <v>15</v>
      </c>
      <c r="G475" s="7">
        <f t="shared" si="7"/>
        <v>15</v>
      </c>
      <c r="H475" t="s">
        <v>100</v>
      </c>
      <c r="J475" s="5" t="s">
        <v>6369</v>
      </c>
      <c r="K475" t="s">
        <v>9968</v>
      </c>
    </row>
    <row r="476" spans="1:11" x14ac:dyDescent="0.3">
      <c r="A476" s="1">
        <v>46183</v>
      </c>
      <c r="B476" s="5" t="s">
        <v>962</v>
      </c>
      <c r="C476" t="str">
        <f>IF(B476="","",IFERROR(INDEX(Clientes!$A:$A,MATCH(B476,Clientes!$B:$B,0)),"(CPF não cadastrado)"))</f>
        <v>Breno Silva Farias</v>
      </c>
      <c r="D476" s="24">
        <v>300</v>
      </c>
      <c r="E476" s="7">
        <v>15</v>
      </c>
      <c r="F476" s="7">
        <f>D476/100*LOOKUP(A476,'Regras e Parâmetros'!$A$11:$A$12,'Regras e Parâmetros'!$B$11:$B$12)</f>
        <v>15</v>
      </c>
      <c r="G476" s="7">
        <f t="shared" si="7"/>
        <v>0</v>
      </c>
      <c r="H476" t="s">
        <v>110</v>
      </c>
      <c r="I476" t="s">
        <v>6087</v>
      </c>
      <c r="J476" s="5" t="s">
        <v>961</v>
      </c>
      <c r="K476" t="s">
        <v>9969</v>
      </c>
    </row>
    <row r="477" spans="1:11" x14ac:dyDescent="0.3">
      <c r="A477" s="1">
        <v>46183</v>
      </c>
      <c r="B477" s="5" t="s">
        <v>8332</v>
      </c>
      <c r="C477" t="str">
        <f>IF(B477="","",IFERROR(INDEX(Clientes!$A:$A,MATCH(B477,Clientes!$B:$B,0)),"(CPF não cadastrado)"))</f>
        <v>Nicole Pereira</v>
      </c>
      <c r="D477" s="24">
        <v>2000</v>
      </c>
      <c r="E477" s="7">
        <v>200</v>
      </c>
      <c r="F477" s="7">
        <f>D477/100*LOOKUP(A477,'Regras e Parâmetros'!$A$11:$A$12,'Regras e Parâmetros'!$B$11:$B$12)</f>
        <v>100</v>
      </c>
      <c r="G477" s="7">
        <f t="shared" si="7"/>
        <v>100</v>
      </c>
      <c r="H477" t="s">
        <v>100</v>
      </c>
      <c r="J477" s="5" t="s">
        <v>6370</v>
      </c>
      <c r="K477" t="s">
        <v>9968</v>
      </c>
    </row>
    <row r="478" spans="1:11" x14ac:dyDescent="0.3">
      <c r="A478" s="1">
        <v>46184</v>
      </c>
      <c r="B478" s="5" t="s">
        <v>8091</v>
      </c>
      <c r="C478" t="str">
        <f>IF(B478="","",IFERROR(INDEX(Clientes!$A:$A,MATCH(B478,Clientes!$B:$B,0)),"(CPF não cadastrado)"))</f>
        <v>Emanuel N. Silva</v>
      </c>
      <c r="D478" s="24">
        <v>300</v>
      </c>
      <c r="E478" s="7">
        <v>30</v>
      </c>
      <c r="F478" s="7">
        <f>D478/100*LOOKUP(A478,'Regras e Parâmetros'!$A$11:$A$12,'Regras e Parâmetros'!$B$11:$B$12)</f>
        <v>15</v>
      </c>
      <c r="G478" s="7">
        <f t="shared" si="7"/>
        <v>15</v>
      </c>
      <c r="H478" t="s">
        <v>45</v>
      </c>
      <c r="J478" s="5" t="s">
        <v>2943</v>
      </c>
      <c r="K478" t="s">
        <v>9968</v>
      </c>
    </row>
    <row r="479" spans="1:11" x14ac:dyDescent="0.3">
      <c r="A479" s="1">
        <v>46184</v>
      </c>
      <c r="B479" s="5" t="s">
        <v>7611</v>
      </c>
      <c r="C479" t="str">
        <f>IF(B479="","",IFERROR(INDEX(Clientes!$A:$A,MATCH(B479,Clientes!$B:$B,0)),"(CPF não cadastrado)"))</f>
        <v>Heloísa Alves</v>
      </c>
      <c r="D479" s="24">
        <v>1000</v>
      </c>
      <c r="E479" s="7">
        <v>100</v>
      </c>
      <c r="F479" s="7">
        <f>D479/100*LOOKUP(A479,'Regras e Parâmetros'!$A$11:$A$12,'Regras e Parâmetros'!$B$11:$B$12)</f>
        <v>50</v>
      </c>
      <c r="G479" s="7">
        <f t="shared" si="7"/>
        <v>50</v>
      </c>
      <c r="H479" t="s">
        <v>45</v>
      </c>
      <c r="J479" s="5" t="s">
        <v>6371</v>
      </c>
      <c r="K479" t="s">
        <v>9968</v>
      </c>
    </row>
    <row r="480" spans="1:11" x14ac:dyDescent="0.3">
      <c r="A480" s="1">
        <v>46185</v>
      </c>
      <c r="B480" s="5" t="s">
        <v>7284</v>
      </c>
      <c r="C480" t="str">
        <f>IF(B480="","",IFERROR(INDEX(Clientes!$A:$A,MATCH(B480,Clientes!$B:$B,0)),"(CPF não cadastrado)"))</f>
        <v>Bianca Machado</v>
      </c>
      <c r="D480" s="24">
        <v>500</v>
      </c>
      <c r="E480" s="7">
        <v>50</v>
      </c>
      <c r="F480" s="7">
        <f>D480/100*LOOKUP(A480,'Regras e Parâmetros'!$A$11:$A$12,'Regras e Parâmetros'!$B$11:$B$12)</f>
        <v>25</v>
      </c>
      <c r="G480" s="7">
        <f t="shared" si="7"/>
        <v>25</v>
      </c>
      <c r="H480" t="s">
        <v>110</v>
      </c>
      <c r="J480" s="5" t="s">
        <v>1483</v>
      </c>
      <c r="K480" t="s">
        <v>9968</v>
      </c>
    </row>
    <row r="481" spans="1:11" x14ac:dyDescent="0.3">
      <c r="A481" s="1">
        <v>46186</v>
      </c>
      <c r="B481" s="5" t="s">
        <v>8464</v>
      </c>
      <c r="C481" t="str">
        <f>IF(B481="","",IFERROR(INDEX(Clientes!$A:$A,MATCH(B481,Clientes!$B:$B,0)),"(CPF não cadastrado)"))</f>
        <v>Nicole Araújo</v>
      </c>
      <c r="D481" s="24">
        <v>1500</v>
      </c>
      <c r="E481" s="7">
        <v>150</v>
      </c>
      <c r="F481" s="7">
        <f>D481/100*LOOKUP(A481,'Regras e Parâmetros'!$A$11:$A$12,'Regras e Parâmetros'!$B$11:$B$12)</f>
        <v>75</v>
      </c>
      <c r="G481" s="7">
        <f t="shared" si="7"/>
        <v>75</v>
      </c>
      <c r="H481" t="s">
        <v>45</v>
      </c>
      <c r="J481" s="5" t="s">
        <v>6372</v>
      </c>
      <c r="K481" t="s">
        <v>9968</v>
      </c>
    </row>
    <row r="482" spans="1:11" x14ac:dyDescent="0.3">
      <c r="A482" s="1">
        <v>46188</v>
      </c>
      <c r="B482" s="5" t="s">
        <v>7272</v>
      </c>
      <c r="C482" t="str">
        <f>IF(B482="","",IFERROR(INDEX(Clientes!$A:$A,MATCH(B482,Clientes!$B:$B,0)),"(CPF não cadastrado)"))</f>
        <v>Davi Rodrigues</v>
      </c>
      <c r="D482" s="24">
        <v>300</v>
      </c>
      <c r="E482" s="7">
        <v>30</v>
      </c>
      <c r="F482" s="7">
        <f>D482/100*LOOKUP(A482,'Regras e Parâmetros'!$A$11:$A$12,'Regras e Parâmetros'!$B$11:$B$12)</f>
        <v>15</v>
      </c>
      <c r="G482" s="7">
        <f t="shared" si="7"/>
        <v>15</v>
      </c>
      <c r="H482" t="s">
        <v>18</v>
      </c>
      <c r="J482" s="5" t="s">
        <v>6373</v>
      </c>
      <c r="K482" t="s">
        <v>9968</v>
      </c>
    </row>
    <row r="483" spans="1:11" x14ac:dyDescent="0.3">
      <c r="A483" s="1">
        <v>46188</v>
      </c>
      <c r="B483" s="5" t="s">
        <v>1572</v>
      </c>
      <c r="C483" t="str">
        <f>IF(B483="","",IFERROR(INDEX(Clientes!$A:$A,MATCH(B483,Clientes!$B:$B,0)),"(CPF não cadastrado)"))</f>
        <v>Wesley Correia Dias</v>
      </c>
      <c r="D483" s="24">
        <v>500</v>
      </c>
      <c r="E483" s="7">
        <v>50</v>
      </c>
      <c r="F483" s="7">
        <f>D483/100*LOOKUP(A483,'Regras e Parâmetros'!$A$11:$A$12,'Regras e Parâmetros'!$B$11:$B$12)</f>
        <v>25</v>
      </c>
      <c r="G483" s="7">
        <f t="shared" si="7"/>
        <v>25</v>
      </c>
      <c r="H483" t="s">
        <v>45</v>
      </c>
      <c r="J483" s="5" t="s">
        <v>6374</v>
      </c>
      <c r="K483" t="s">
        <v>9968</v>
      </c>
    </row>
    <row r="484" spans="1:11" x14ac:dyDescent="0.3">
      <c r="A484" s="1">
        <v>46189</v>
      </c>
      <c r="B484" s="5" t="s">
        <v>8451</v>
      </c>
      <c r="C484" t="str">
        <f>IF(B484="","",IFERROR(INDEX(Clientes!$A:$A,MATCH(B484,Clientes!$B:$B,0)),"(CPF não cadastrado)"))</f>
        <v>Vinícius Tavares</v>
      </c>
      <c r="D484" s="24">
        <v>300</v>
      </c>
      <c r="E484" s="7">
        <v>30</v>
      </c>
      <c r="F484" s="7">
        <f>D484/100*LOOKUP(A484,'Regras e Parâmetros'!$A$11:$A$12,'Regras e Parâmetros'!$B$11:$B$12)</f>
        <v>15</v>
      </c>
      <c r="G484" s="7">
        <f t="shared" si="7"/>
        <v>15</v>
      </c>
      <c r="H484" t="s">
        <v>100</v>
      </c>
      <c r="J484" s="5" t="s">
        <v>6375</v>
      </c>
      <c r="K484" t="s">
        <v>9968</v>
      </c>
    </row>
    <row r="485" spans="1:11" x14ac:dyDescent="0.3">
      <c r="A485" s="1">
        <v>46189</v>
      </c>
      <c r="B485" s="5" t="s">
        <v>6812</v>
      </c>
      <c r="C485" t="str">
        <f>IF(B485="","",IFERROR(INDEX(Clientes!$A:$A,MATCH(B485,Clientes!$B:$B,0)),"(CPF não cadastrado)"))</f>
        <v>Jaqueline R. Campos</v>
      </c>
      <c r="D485" s="24">
        <v>2000</v>
      </c>
      <c r="E485" s="7">
        <v>200</v>
      </c>
      <c r="F485" s="7">
        <f>D485/100*LOOKUP(A485,'Regras e Parâmetros'!$A$11:$A$12,'Regras e Parâmetros'!$B$11:$B$12)</f>
        <v>100</v>
      </c>
      <c r="G485" s="7">
        <f t="shared" si="7"/>
        <v>100</v>
      </c>
      <c r="H485" t="s">
        <v>100</v>
      </c>
      <c r="J485" s="5" t="s">
        <v>6376</v>
      </c>
      <c r="K485" t="s">
        <v>9968</v>
      </c>
    </row>
    <row r="486" spans="1:11" x14ac:dyDescent="0.3">
      <c r="A486" s="1">
        <v>46189</v>
      </c>
      <c r="B486" s="5" t="s">
        <v>9151</v>
      </c>
      <c r="C486" t="str">
        <f>IF(B486="","",IFERROR(INDEX(Clientes!$A:$A,MATCH(B486,Clientes!$B:$B,0)),"(CPF não cadastrado)"))</f>
        <v>Vitória Andrade Nunes</v>
      </c>
      <c r="D486" s="24">
        <v>700</v>
      </c>
      <c r="E486" s="7">
        <v>70</v>
      </c>
      <c r="F486" s="7">
        <f>D486/100*LOOKUP(A486,'Regras e Parâmetros'!$A$11:$A$12,'Regras e Parâmetros'!$B$11:$B$12)</f>
        <v>35</v>
      </c>
      <c r="G486" s="7">
        <f t="shared" si="7"/>
        <v>35</v>
      </c>
      <c r="H486" t="s">
        <v>45</v>
      </c>
      <c r="J486" s="5" t="s">
        <v>6377</v>
      </c>
      <c r="K486" t="s">
        <v>9968</v>
      </c>
    </row>
    <row r="487" spans="1:11" x14ac:dyDescent="0.3">
      <c r="A487" s="1">
        <v>46190</v>
      </c>
      <c r="B487" s="5" t="s">
        <v>1956</v>
      </c>
      <c r="C487" t="str">
        <f>IF(B487="","",IFERROR(INDEX(Clientes!$A:$A,MATCH(B487,Clientes!$B:$B,0)),"(CPF não cadastrado)"))</f>
        <v>Matheus Pinto Costa</v>
      </c>
      <c r="D487" s="24">
        <v>300</v>
      </c>
      <c r="E487" s="7">
        <v>30</v>
      </c>
      <c r="F487" s="7">
        <f>D487/100*LOOKUP(A487,'Regras e Parâmetros'!$A$11:$A$12,'Regras e Parâmetros'!$B$11:$B$12)</f>
        <v>15</v>
      </c>
      <c r="G487" s="7">
        <f t="shared" si="7"/>
        <v>15</v>
      </c>
      <c r="H487" t="s">
        <v>45</v>
      </c>
      <c r="J487" s="5" t="s">
        <v>6378</v>
      </c>
      <c r="K487" t="s">
        <v>9968</v>
      </c>
    </row>
    <row r="488" spans="1:11" x14ac:dyDescent="0.3">
      <c r="A488" s="1">
        <v>46191</v>
      </c>
      <c r="B488" s="5" t="s">
        <v>7868</v>
      </c>
      <c r="C488" t="str">
        <f>IF(B488="","",IFERROR(INDEX(Clientes!$A:$A,MATCH(B488,Clientes!$B:$B,0)),"(CPF não cadastrado)"))</f>
        <v>Yasmin Nogueira</v>
      </c>
      <c r="D488" s="24">
        <v>1500</v>
      </c>
      <c r="E488" s="7">
        <v>75</v>
      </c>
      <c r="F488" s="7">
        <f>D488/100*LOOKUP(A488,'Regras e Parâmetros'!$A$11:$A$12,'Regras e Parâmetros'!$B$11:$B$12)</f>
        <v>75</v>
      </c>
      <c r="G488" s="7">
        <f t="shared" si="7"/>
        <v>0</v>
      </c>
      <c r="H488" t="s">
        <v>22</v>
      </c>
      <c r="I488" t="s">
        <v>6087</v>
      </c>
      <c r="J488" s="5" t="s">
        <v>6379</v>
      </c>
      <c r="K488" t="s">
        <v>10061</v>
      </c>
    </row>
    <row r="489" spans="1:11" x14ac:dyDescent="0.3">
      <c r="A489" s="1">
        <v>46194</v>
      </c>
      <c r="B489" s="5" t="s">
        <v>9241</v>
      </c>
      <c r="C489" t="str">
        <f>IF(B489="","",IFERROR(INDEX(Clientes!$A:$A,MATCH(B489,Clientes!$B:$B,0)),"(CPF não cadastrado)"))</f>
        <v>Caio Nascimento Rodrigues</v>
      </c>
      <c r="D489" s="24">
        <v>1000</v>
      </c>
      <c r="E489" s="7">
        <v>100</v>
      </c>
      <c r="F489" s="7">
        <f>D489/100*LOOKUP(A489,'Regras e Parâmetros'!$A$11:$A$12,'Regras e Parâmetros'!$B$11:$B$12)</f>
        <v>50</v>
      </c>
      <c r="G489" s="7">
        <f t="shared" si="7"/>
        <v>50</v>
      </c>
      <c r="H489" t="s">
        <v>45</v>
      </c>
      <c r="J489" s="5" t="s">
        <v>6380</v>
      </c>
      <c r="K489" t="s">
        <v>9968</v>
      </c>
    </row>
    <row r="490" spans="1:11" x14ac:dyDescent="0.3">
      <c r="A490" s="1">
        <v>46195</v>
      </c>
      <c r="B490" s="5" t="s">
        <v>7988</v>
      </c>
      <c r="C490" t="str">
        <f>IF(B490="","",IFERROR(INDEX(Clientes!$A:$A,MATCH(B490,Clientes!$B:$B,0)),"(CPF não cadastrado)"))</f>
        <v>Luan Batista Farias</v>
      </c>
      <c r="D490" s="24">
        <v>500</v>
      </c>
      <c r="E490" s="7">
        <v>50</v>
      </c>
      <c r="F490" s="7">
        <f>D490/100*LOOKUP(A490,'Regras e Parâmetros'!$A$11:$A$12,'Regras e Parâmetros'!$B$11:$B$12)</f>
        <v>25</v>
      </c>
      <c r="G490" s="7">
        <f t="shared" si="7"/>
        <v>25</v>
      </c>
      <c r="H490" t="s">
        <v>45</v>
      </c>
      <c r="J490" s="5" t="s">
        <v>6194</v>
      </c>
      <c r="K490" t="s">
        <v>9968</v>
      </c>
    </row>
    <row r="491" spans="1:11" x14ac:dyDescent="0.3">
      <c r="A491" s="1">
        <v>46196</v>
      </c>
      <c r="B491" s="5" t="s">
        <v>6423</v>
      </c>
      <c r="C491" t="str">
        <f>IF(B491="","",IFERROR(INDEX(Clientes!$A:$A,MATCH(B491,Clientes!$B:$B,0)),"(CPF não cadastrado)"))</f>
        <v>Heloísa Moreira Nogueira</v>
      </c>
      <c r="D491" s="24">
        <v>900</v>
      </c>
      <c r="E491" s="7">
        <v>90</v>
      </c>
      <c r="F491" s="7">
        <f>D491/100*LOOKUP(A491,'Regras e Parâmetros'!$A$11:$A$12,'Regras e Parâmetros'!$B$11:$B$12)</f>
        <v>45</v>
      </c>
      <c r="G491" s="7">
        <f t="shared" si="7"/>
        <v>45</v>
      </c>
      <c r="H491" t="s">
        <v>100</v>
      </c>
      <c r="J491" s="5" t="s">
        <v>6381</v>
      </c>
      <c r="K491" t="s">
        <v>9968</v>
      </c>
    </row>
    <row r="492" spans="1:11" x14ac:dyDescent="0.3">
      <c r="A492" s="1">
        <v>46196</v>
      </c>
      <c r="B492" s="5" t="s">
        <v>6536</v>
      </c>
      <c r="C492" t="str">
        <f>IF(B492="","",IFERROR(INDEX(Clientes!$A:$A,MATCH(B492,Clientes!$B:$B,0)),"(CPF não cadastrado)"))</f>
        <v>Lucas Rodrigues Nascimento</v>
      </c>
      <c r="D492" s="24">
        <v>500</v>
      </c>
      <c r="E492" s="7">
        <v>50</v>
      </c>
      <c r="F492" s="7">
        <f>D492/100*LOOKUP(A492,'Regras e Parâmetros'!$A$11:$A$12,'Regras e Parâmetros'!$B$11:$B$12)</f>
        <v>25</v>
      </c>
      <c r="G492" s="7">
        <f t="shared" si="7"/>
        <v>25</v>
      </c>
      <c r="H492" t="s">
        <v>45</v>
      </c>
      <c r="J492" s="5" t="s">
        <v>6382</v>
      </c>
      <c r="K492" t="s">
        <v>9968</v>
      </c>
    </row>
    <row r="493" spans="1:11" x14ac:dyDescent="0.3">
      <c r="A493" s="1">
        <v>46197</v>
      </c>
      <c r="B493" s="5" t="s">
        <v>4223</v>
      </c>
      <c r="C493" t="str">
        <f>IF(B493="","",IFERROR(INDEX(Clientes!$A:$A,MATCH(B493,Clientes!$B:$B,0)),"(CPF não cadastrado)"))</f>
        <v>Cecília Soares</v>
      </c>
      <c r="D493" s="24">
        <v>500</v>
      </c>
      <c r="E493" s="7">
        <v>50</v>
      </c>
      <c r="F493" s="7">
        <f>D493/100*LOOKUP(A493,'Regras e Parâmetros'!$A$11:$A$12,'Regras e Parâmetros'!$B$11:$B$12)</f>
        <v>25</v>
      </c>
      <c r="G493" s="7">
        <f t="shared" si="7"/>
        <v>25</v>
      </c>
      <c r="H493" t="s">
        <v>45</v>
      </c>
      <c r="J493" s="5" t="s">
        <v>6383</v>
      </c>
      <c r="K493" t="s">
        <v>9968</v>
      </c>
    </row>
    <row r="494" spans="1:11" x14ac:dyDescent="0.3">
      <c r="A494" s="1">
        <v>46198</v>
      </c>
      <c r="B494" s="5" t="s">
        <v>7298</v>
      </c>
      <c r="C494" t="str">
        <f>IF(B494="","",IFERROR(INDEX(Clientes!$A:$A,MATCH(B494,Clientes!$B:$B,0)),"(CPF não cadastrado)"))</f>
        <v>Júlia Ferreira</v>
      </c>
      <c r="D494" s="24">
        <v>1000</v>
      </c>
      <c r="E494" s="7">
        <v>50</v>
      </c>
      <c r="F494" s="7">
        <f>D494/100*LOOKUP(A494,'Regras e Parâmetros'!$A$11:$A$12,'Regras e Parâmetros'!$B$11:$B$12)</f>
        <v>50</v>
      </c>
      <c r="G494" s="7">
        <f t="shared" si="7"/>
        <v>0</v>
      </c>
      <c r="H494" t="s">
        <v>100</v>
      </c>
      <c r="I494" t="s">
        <v>9970</v>
      </c>
      <c r="J494" s="5" t="s">
        <v>1509</v>
      </c>
      <c r="K494" t="s">
        <v>9969</v>
      </c>
    </row>
    <row r="495" spans="1:11" x14ac:dyDescent="0.3">
      <c r="A495" s="1">
        <v>46199</v>
      </c>
      <c r="B495" s="5" t="s">
        <v>6544</v>
      </c>
      <c r="C495" t="str">
        <f>IF(B495="","",IFERROR(INDEX(Clientes!$A:$A,MATCH(B495,Clientes!$B:$B,0)),"(CPF não cadastrado)"))</f>
        <v>Ricardo Almeida Lima</v>
      </c>
      <c r="D495" s="24">
        <v>1500</v>
      </c>
      <c r="E495" s="7">
        <v>150</v>
      </c>
      <c r="F495" s="7">
        <f>D495/100*LOOKUP(A495,'Regras e Parâmetros'!$A$11:$A$12,'Regras e Parâmetros'!$B$11:$B$12)</f>
        <v>75</v>
      </c>
      <c r="G495" s="7">
        <f t="shared" si="7"/>
        <v>75</v>
      </c>
      <c r="H495" t="s">
        <v>22</v>
      </c>
      <c r="J495" s="5" t="s">
        <v>160</v>
      </c>
      <c r="K495" t="s">
        <v>9968</v>
      </c>
    </row>
    <row r="496" spans="1:11" x14ac:dyDescent="0.3">
      <c r="A496" s="1">
        <v>46199</v>
      </c>
      <c r="B496" s="5" t="s">
        <v>5140</v>
      </c>
      <c r="C496" t="str">
        <f>IF(B496="","",IFERROR(INDEX(Clientes!$A:$A,MATCH(B496,Clientes!$B:$B,0)),"(CPF não cadastrado)"))</f>
        <v>Vitor Souza Lopes</v>
      </c>
      <c r="D496" s="24">
        <v>300</v>
      </c>
      <c r="E496" s="7">
        <v>30</v>
      </c>
      <c r="F496" s="7">
        <f>D496/100*LOOKUP(A496,'Regras e Parâmetros'!$A$11:$A$12,'Regras e Parâmetros'!$B$11:$B$12)</f>
        <v>15</v>
      </c>
      <c r="G496" s="7">
        <f t="shared" si="7"/>
        <v>15</v>
      </c>
      <c r="H496" t="s">
        <v>45</v>
      </c>
      <c r="J496" s="5" t="s">
        <v>6384</v>
      </c>
      <c r="K496" t="s">
        <v>9968</v>
      </c>
    </row>
    <row r="497" spans="1:11" x14ac:dyDescent="0.3">
      <c r="A497" s="1">
        <v>46200</v>
      </c>
      <c r="B497" s="5" t="s">
        <v>4074</v>
      </c>
      <c r="C497" t="str">
        <f>IF(B497="","",IFERROR(INDEX(Clientes!$A:$A,MATCH(B497,Clientes!$B:$B,0)),"(CPF não cadastrado)"))</f>
        <v>Wesley Souza Silva</v>
      </c>
      <c r="D497" s="24">
        <v>500</v>
      </c>
      <c r="E497" s="7">
        <v>50</v>
      </c>
      <c r="F497" s="7">
        <f>D497/100*LOOKUP(A497,'Regras e Parâmetros'!$A$11:$A$12,'Regras e Parâmetros'!$B$11:$B$12)</f>
        <v>25</v>
      </c>
      <c r="G497" s="7">
        <f t="shared" si="7"/>
        <v>25</v>
      </c>
      <c r="H497" t="s">
        <v>22</v>
      </c>
      <c r="J497" s="5" t="s">
        <v>6385</v>
      </c>
      <c r="K497" t="s">
        <v>9968</v>
      </c>
    </row>
    <row r="498" spans="1:11" x14ac:dyDescent="0.3">
      <c r="A498" s="1">
        <v>46200</v>
      </c>
      <c r="B498" s="5" t="s">
        <v>6024</v>
      </c>
      <c r="C498" t="str">
        <f>IF(B498="","",IFERROR(INDEX(Clientes!$A:$A,MATCH(B498,Clientes!$B:$B,0)),"(CPF não cadastrado)"))</f>
        <v>Bruna Pereira Ferreira</v>
      </c>
      <c r="D498" s="24">
        <v>1000</v>
      </c>
      <c r="E498" s="7">
        <v>100</v>
      </c>
      <c r="F498" s="7">
        <f>D498/100*LOOKUP(A498,'Regras e Parâmetros'!$A$11:$A$12,'Regras e Parâmetros'!$B$11:$B$12)</f>
        <v>50</v>
      </c>
      <c r="G498" s="7">
        <f t="shared" si="7"/>
        <v>50</v>
      </c>
      <c r="H498" t="s">
        <v>45</v>
      </c>
      <c r="J498" s="5" t="s">
        <v>6386</v>
      </c>
      <c r="K498" t="s">
        <v>9968</v>
      </c>
    </row>
    <row r="499" spans="1:11" x14ac:dyDescent="0.3">
      <c r="A499" s="1">
        <v>46201</v>
      </c>
      <c r="B499" s="5" t="s">
        <v>7275</v>
      </c>
      <c r="C499" t="str">
        <f>IF(B499="","",IFERROR(INDEX(Clientes!$A:$A,MATCH(B499,Clientes!$B:$B,0)),"(CPF não cadastrado)"))</f>
        <v>Marcelo Fonseca</v>
      </c>
      <c r="D499" s="24">
        <v>500</v>
      </c>
      <c r="E499" s="7">
        <v>25</v>
      </c>
      <c r="F499" s="7">
        <f>D499/100*LOOKUP(A499,'Regras e Parâmetros'!$A$11:$A$12,'Regras e Parâmetros'!$B$11:$B$12)</f>
        <v>25</v>
      </c>
      <c r="G499" s="7">
        <f t="shared" si="7"/>
        <v>0</v>
      </c>
      <c r="H499" t="s">
        <v>100</v>
      </c>
      <c r="I499" t="s">
        <v>9970</v>
      </c>
      <c r="J499" s="5" t="s">
        <v>6387</v>
      </c>
      <c r="K499" t="s">
        <v>9969</v>
      </c>
    </row>
    <row r="500" spans="1:11" x14ac:dyDescent="0.3">
      <c r="A500" s="1">
        <v>46202</v>
      </c>
      <c r="B500" s="5" t="s">
        <v>9418</v>
      </c>
      <c r="C500" t="str">
        <f>IF(B500="","",IFERROR(INDEX(Clientes!$A:$A,MATCH(B500,Clientes!$B:$B,0)),"(CPF não cadastrado)"))</f>
        <v>Emanuelly Santos</v>
      </c>
      <c r="D500" s="24">
        <v>500</v>
      </c>
      <c r="E500" s="7">
        <v>50</v>
      </c>
      <c r="F500" s="7">
        <f>D500/100*LOOKUP(A500,'Regras e Parâmetros'!$A$11:$A$12,'Regras e Parâmetros'!$B$11:$B$12)</f>
        <v>25</v>
      </c>
      <c r="G500" s="7">
        <f t="shared" si="7"/>
        <v>25</v>
      </c>
      <c r="H500" t="s">
        <v>45</v>
      </c>
      <c r="J500" s="5" t="s">
        <v>6388</v>
      </c>
      <c r="K500" t="s">
        <v>9968</v>
      </c>
    </row>
    <row r="501" spans="1:11" x14ac:dyDescent="0.3">
      <c r="A501" s="1">
        <v>46203</v>
      </c>
      <c r="B501" s="5" t="s">
        <v>8781</v>
      </c>
      <c r="C501" t="str">
        <f>IF(B501="","",IFERROR(INDEX(Clientes!$A:$A,MATCH(B501,Clientes!$B:$B,0)),"(CPF não cadastrado)"))</f>
        <v>Igor Mendes Moreira</v>
      </c>
      <c r="D501" s="24">
        <v>1500</v>
      </c>
      <c r="E501" s="7">
        <v>150</v>
      </c>
      <c r="F501" s="7">
        <f>D501/100*LOOKUP(A501,'Regras e Parâmetros'!$A$11:$A$12,'Regras e Parâmetros'!$B$11:$B$12)</f>
        <v>75</v>
      </c>
      <c r="G501" s="7">
        <f t="shared" si="7"/>
        <v>75</v>
      </c>
      <c r="H501" t="s">
        <v>22</v>
      </c>
      <c r="J501" s="5" t="s">
        <v>6389</v>
      </c>
      <c r="K501" t="s">
        <v>9968</v>
      </c>
    </row>
    <row r="502" spans="1:11" x14ac:dyDescent="0.3">
      <c r="A502" s="1">
        <v>46203</v>
      </c>
      <c r="B502" s="5" t="s">
        <v>4656</v>
      </c>
      <c r="C502" t="str">
        <f>IF(B502="","",IFERROR(INDEX(Clientes!$A:$A,MATCH(B502,Clientes!$B:$B,0)),"(CPF não cadastrado)"))</f>
        <v>Aline Teixeira Peixoto</v>
      </c>
      <c r="D502" s="24">
        <v>500</v>
      </c>
      <c r="E502" s="7">
        <v>50</v>
      </c>
      <c r="F502" s="7">
        <f>D502/100*LOOKUP(A502,'Regras e Parâmetros'!$A$11:$A$12,'Regras e Parâmetros'!$B$11:$B$12)</f>
        <v>25</v>
      </c>
      <c r="G502" s="7">
        <f t="shared" si="7"/>
        <v>25</v>
      </c>
      <c r="H502" t="s">
        <v>45</v>
      </c>
      <c r="J502" s="5" t="s">
        <v>6390</v>
      </c>
      <c r="K502" t="s">
        <v>9968</v>
      </c>
    </row>
    <row r="503" spans="1:11" x14ac:dyDescent="0.3">
      <c r="A503" s="1">
        <v>46204</v>
      </c>
      <c r="B503" s="5" t="s">
        <v>1035</v>
      </c>
      <c r="C503" t="str">
        <f>IF(B503="","",IFERROR(INDEX(Clientes!$A:$A,MATCH(B503,Clientes!$B:$B,0)),"(CPF não cadastrado)"))</f>
        <v>Carolina Lopes Mendes</v>
      </c>
      <c r="D503" s="24">
        <v>900</v>
      </c>
      <c r="E503" s="7">
        <v>90</v>
      </c>
      <c r="F503" s="7">
        <f>D503/100*LOOKUP(A503,'Regras e Parâmetros'!$A$11:$A$12,'Regras e Parâmetros'!$B$11:$B$12)</f>
        <v>45</v>
      </c>
      <c r="G503" s="7">
        <f t="shared" si="7"/>
        <v>45</v>
      </c>
      <c r="H503" t="s">
        <v>45</v>
      </c>
      <c r="J503" s="5" t="s">
        <v>6153</v>
      </c>
      <c r="K503" t="s">
        <v>9968</v>
      </c>
    </row>
    <row r="504" spans="1:11" x14ac:dyDescent="0.3">
      <c r="A504" s="1">
        <v>46205</v>
      </c>
      <c r="B504" s="5" t="s">
        <v>4782</v>
      </c>
      <c r="C504" t="str">
        <f>IF(B504="","",IFERROR(INDEX(Clientes!$A:$A,MATCH(B504,Clientes!$B:$B,0)),"(CPF não cadastrado)"))</f>
        <v>Bruno Tavares</v>
      </c>
      <c r="D504" s="24">
        <v>500</v>
      </c>
      <c r="E504" s="7">
        <v>50</v>
      </c>
      <c r="F504" s="7">
        <f>D504/100*LOOKUP(A504,'Regras e Parâmetros'!$A$11:$A$12,'Regras e Parâmetros'!$B$11:$B$12)</f>
        <v>25</v>
      </c>
      <c r="G504" s="7">
        <f t="shared" si="7"/>
        <v>25</v>
      </c>
      <c r="H504" t="s">
        <v>45</v>
      </c>
      <c r="J504" s="5" t="s">
        <v>6391</v>
      </c>
      <c r="K504" t="s">
        <v>9968</v>
      </c>
    </row>
    <row r="505" spans="1:11" x14ac:dyDescent="0.3">
      <c r="A505" s="1">
        <v>46206</v>
      </c>
      <c r="B505" s="5" t="s">
        <v>8172</v>
      </c>
      <c r="C505" t="str">
        <f>IF(B505="","",IFERROR(INDEX(Clientes!$A:$A,MATCH(B505,Clientes!$B:$B,0)),"(CPF não cadastrado)"))</f>
        <v>Thiago Rocha Machado</v>
      </c>
      <c r="D505" s="24">
        <v>300</v>
      </c>
      <c r="E505" s="7">
        <v>30</v>
      </c>
      <c r="F505" s="7">
        <f>D505/100*LOOKUP(A505,'Regras e Parâmetros'!$A$11:$A$12,'Regras e Parâmetros'!$B$11:$B$12)</f>
        <v>15</v>
      </c>
      <c r="G505" s="7">
        <f t="shared" si="7"/>
        <v>15</v>
      </c>
      <c r="H505" t="s">
        <v>110</v>
      </c>
      <c r="J505" s="5" t="s">
        <v>6392</v>
      </c>
      <c r="K505" t="s">
        <v>9968</v>
      </c>
    </row>
    <row r="506" spans="1:11" x14ac:dyDescent="0.3">
      <c r="A506" s="1">
        <v>46206</v>
      </c>
      <c r="B506" s="5" t="s">
        <v>7545</v>
      </c>
      <c r="C506" t="str">
        <f>IF(B506="","",IFERROR(INDEX(Clientes!$A:$A,MATCH(B506,Clientes!$B:$B,0)),"(CPF não cadastrado)"))</f>
        <v>Luana Santos Campos</v>
      </c>
      <c r="D506" s="24">
        <v>500</v>
      </c>
      <c r="E506" s="7">
        <v>50</v>
      </c>
      <c r="F506" s="7">
        <f>D506/100*LOOKUP(A506,'Regras e Parâmetros'!$A$11:$A$12,'Regras e Parâmetros'!$B$11:$B$12)</f>
        <v>25</v>
      </c>
      <c r="G506" s="7">
        <f t="shared" si="7"/>
        <v>25</v>
      </c>
      <c r="H506" t="s">
        <v>45</v>
      </c>
      <c r="J506" s="5" t="s">
        <v>1925</v>
      </c>
      <c r="K506" t="s">
        <v>9968</v>
      </c>
    </row>
    <row r="507" spans="1:11" x14ac:dyDescent="0.3">
      <c r="A507" s="1">
        <v>46207</v>
      </c>
      <c r="B507" s="5" t="s">
        <v>8826</v>
      </c>
      <c r="C507" t="str">
        <f>IF(B507="","",IFERROR(INDEX(Clientes!$A:$A,MATCH(B507,Clientes!$B:$B,0)),"(CPF não cadastrado)"))</f>
        <v>Enzo Fonseca Mendes</v>
      </c>
      <c r="D507" s="24">
        <v>900</v>
      </c>
      <c r="E507" s="7">
        <v>90</v>
      </c>
      <c r="F507" s="7">
        <f>D507/100*LOOKUP(A507,'Regras e Parâmetros'!$A$11:$A$12,'Regras e Parâmetros'!$B$11:$B$12)</f>
        <v>45</v>
      </c>
      <c r="G507" s="7">
        <f t="shared" si="7"/>
        <v>45</v>
      </c>
      <c r="H507" t="s">
        <v>45</v>
      </c>
      <c r="J507" s="5" t="s">
        <v>4362</v>
      </c>
      <c r="K507" t="s">
        <v>9968</v>
      </c>
    </row>
    <row r="508" spans="1:11" x14ac:dyDescent="0.3">
      <c r="A508" s="1">
        <v>46208</v>
      </c>
      <c r="B508" s="5" t="s">
        <v>8548</v>
      </c>
      <c r="C508" t="str">
        <f>IF(B508="","",IFERROR(INDEX(Clientes!$A:$A,MATCH(B508,Clientes!$B:$B,0)),"(CPF não cadastrado)"))</f>
        <v>Lorena Rodrigues Monteiro</v>
      </c>
      <c r="D508" s="24">
        <v>500</v>
      </c>
      <c r="E508" s="7">
        <v>50</v>
      </c>
      <c r="F508" s="7">
        <f>D508/100*LOOKUP(A508,'Regras e Parâmetros'!$A$11:$A$12,'Regras e Parâmetros'!$B$11:$B$12)</f>
        <v>25</v>
      </c>
      <c r="G508" s="7">
        <f t="shared" si="7"/>
        <v>25</v>
      </c>
      <c r="H508" t="s">
        <v>110</v>
      </c>
      <c r="J508" s="5" t="s">
        <v>3818</v>
      </c>
      <c r="K508" t="s">
        <v>9968</v>
      </c>
    </row>
    <row r="509" spans="1:11" x14ac:dyDescent="0.3">
      <c r="A509" s="1">
        <v>46208</v>
      </c>
      <c r="B509" s="5" t="s">
        <v>6830</v>
      </c>
      <c r="C509" t="str">
        <f>IF(B509="","",IFERROR(INDEX(Clientes!$A:$A,MATCH(B509,Clientes!$B:$B,0)),"(CPF não cadastrado)"))</f>
        <v>Thiago Souza Ferreira</v>
      </c>
      <c r="D509" s="24">
        <v>600</v>
      </c>
      <c r="E509" s="7">
        <v>60</v>
      </c>
      <c r="F509" s="7">
        <f>D509/100*LOOKUP(A509,'Regras e Parâmetros'!$A$11:$A$12,'Regras e Parâmetros'!$B$11:$B$12)</f>
        <v>30</v>
      </c>
      <c r="G509" s="7">
        <f t="shared" si="7"/>
        <v>30</v>
      </c>
      <c r="H509" t="s">
        <v>100</v>
      </c>
      <c r="J509" s="5" t="s">
        <v>6393</v>
      </c>
      <c r="K509" t="s">
        <v>9968</v>
      </c>
    </row>
    <row r="510" spans="1:11" x14ac:dyDescent="0.3">
      <c r="A510" s="1">
        <v>46209</v>
      </c>
      <c r="B510" s="5" t="s">
        <v>8588</v>
      </c>
      <c r="C510" t="str">
        <f>IF(B510="","",IFERROR(INDEX(Clientes!$A:$A,MATCH(B510,Clientes!$B:$B,0)),"(CPF não cadastrado)"))</f>
        <v>Eduardo Lima</v>
      </c>
      <c r="D510" s="24">
        <v>1000</v>
      </c>
      <c r="E510" s="7">
        <v>100</v>
      </c>
      <c r="F510" s="7">
        <f>D510/100*LOOKUP(A510,'Regras e Parâmetros'!$A$11:$A$12,'Regras e Parâmetros'!$B$11:$B$12)</f>
        <v>50</v>
      </c>
      <c r="G510" s="7">
        <f t="shared" si="7"/>
        <v>50</v>
      </c>
      <c r="H510" t="s">
        <v>45</v>
      </c>
      <c r="J510" s="5" t="s">
        <v>6394</v>
      </c>
      <c r="K510" t="s">
        <v>9968</v>
      </c>
    </row>
    <row r="511" spans="1:11" x14ac:dyDescent="0.3">
      <c r="A511" s="1">
        <v>46210</v>
      </c>
      <c r="B511" s="5" t="s">
        <v>7728</v>
      </c>
      <c r="C511" t="str">
        <f>IF(B511="","",IFERROR(INDEX(Clientes!$A:$A,MATCH(B511,Clientes!$B:$B,0)),"(CPF não cadastrado)"))</f>
        <v>Miguel Lima Moura</v>
      </c>
      <c r="D511" s="24">
        <v>600</v>
      </c>
      <c r="E511" s="7">
        <v>60</v>
      </c>
      <c r="F511" s="7">
        <f>D511/100*LOOKUP(A511,'Regras e Parâmetros'!$A$11:$A$12,'Regras e Parâmetros'!$B$11:$B$12)</f>
        <v>30</v>
      </c>
      <c r="G511" s="7">
        <f t="shared" si="7"/>
        <v>30</v>
      </c>
      <c r="H511" t="s">
        <v>45</v>
      </c>
      <c r="J511" s="5" t="s">
        <v>6142</v>
      </c>
      <c r="K511" t="s">
        <v>9968</v>
      </c>
    </row>
    <row r="512" spans="1:11" x14ac:dyDescent="0.3">
      <c r="A512" s="1">
        <v>46211</v>
      </c>
      <c r="B512" s="5" t="s">
        <v>8204</v>
      </c>
      <c r="C512" t="str">
        <f>IF(B512="","",IFERROR(INDEX(Clientes!$A:$A,MATCH(B512,Clientes!$B:$B,0)),"(CPF não cadastrado)"))</f>
        <v>Vinícius Barros Gomes</v>
      </c>
      <c r="D512" s="24">
        <v>1000</v>
      </c>
      <c r="E512" s="7">
        <v>100</v>
      </c>
      <c r="F512" s="7">
        <f>D512/100*LOOKUP(A512,'Regras e Parâmetros'!$A$11:$A$12,'Regras e Parâmetros'!$B$11:$B$12)</f>
        <v>50</v>
      </c>
      <c r="G512" s="7">
        <f t="shared" si="7"/>
        <v>50</v>
      </c>
      <c r="H512" t="s">
        <v>100</v>
      </c>
      <c r="J512" s="5" t="s">
        <v>6395</v>
      </c>
      <c r="K512" t="s">
        <v>9968</v>
      </c>
    </row>
    <row r="513" spans="1:11" x14ac:dyDescent="0.3">
      <c r="A513" s="1">
        <v>46211</v>
      </c>
      <c r="B513" s="5" t="s">
        <v>8871</v>
      </c>
      <c r="C513" t="str">
        <f>IF(B513="","",IFERROR(INDEX(Clientes!$A:$A,MATCH(B513,Clientes!$B:$B,0)),"(CPF não cadastrado)"))</f>
        <v>Carolina Rodrigues</v>
      </c>
      <c r="D513" s="24">
        <v>500</v>
      </c>
      <c r="E513" s="7">
        <v>50</v>
      </c>
      <c r="F513" s="7">
        <f>D513/100*LOOKUP(A513,'Regras e Parâmetros'!$A$11:$A$12,'Regras e Parâmetros'!$B$11:$B$12)</f>
        <v>25</v>
      </c>
      <c r="G513" s="7">
        <f t="shared" si="7"/>
        <v>25</v>
      </c>
      <c r="H513" t="s">
        <v>100</v>
      </c>
      <c r="J513" s="5" t="s">
        <v>6288</v>
      </c>
      <c r="K513" t="s">
        <v>9968</v>
      </c>
    </row>
    <row r="514" spans="1:11" x14ac:dyDescent="0.3">
      <c r="A514" s="1">
        <v>46211</v>
      </c>
      <c r="B514" s="5" t="s">
        <v>6564</v>
      </c>
      <c r="C514" t="str">
        <f>IF(B514="","",IFERROR(INDEX(Clientes!$A:$A,MATCH(B514,Clientes!$B:$B,0)),"(CPF não cadastrado)"))</f>
        <v>Emanuelly Pereira Ribeiro</v>
      </c>
      <c r="D514" s="24">
        <v>1500</v>
      </c>
      <c r="E514" s="7">
        <v>150</v>
      </c>
      <c r="F514" s="7">
        <f>D514/100*LOOKUP(A514,'Regras e Parâmetros'!$A$11:$A$12,'Regras e Parâmetros'!$B$11:$B$12)</f>
        <v>75</v>
      </c>
      <c r="G514" s="7">
        <f t="shared" si="7"/>
        <v>75</v>
      </c>
      <c r="H514" t="s">
        <v>45</v>
      </c>
      <c r="J514" s="5" t="s">
        <v>6359</v>
      </c>
      <c r="K514" t="s">
        <v>9968</v>
      </c>
    </row>
    <row r="515" spans="1:11" x14ac:dyDescent="0.3">
      <c r="A515" s="1">
        <v>46211</v>
      </c>
      <c r="B515" s="5" t="s">
        <v>4184</v>
      </c>
      <c r="C515" t="str">
        <f>IF(B515="","",IFERROR(INDEX(Clientes!$A:$A,MATCH(B515,Clientes!$B:$B,0)),"(CPF não cadastrado)"))</f>
        <v>Olívia Araújo</v>
      </c>
      <c r="D515" s="24">
        <v>1300</v>
      </c>
      <c r="E515" s="7">
        <v>130</v>
      </c>
      <c r="F515" s="7">
        <f>D515/100*LOOKUP(A515,'Regras e Parâmetros'!$A$11:$A$12,'Regras e Parâmetros'!$B$11:$B$12)</f>
        <v>65</v>
      </c>
      <c r="G515" s="7">
        <f t="shared" ref="G515:G578" si="8">E515-F515</f>
        <v>65</v>
      </c>
      <c r="H515" t="s">
        <v>45</v>
      </c>
      <c r="J515" s="5" t="s">
        <v>6314</v>
      </c>
      <c r="K515" t="s">
        <v>9968</v>
      </c>
    </row>
    <row r="516" spans="1:11" x14ac:dyDescent="0.3">
      <c r="A516" s="1">
        <v>46211</v>
      </c>
      <c r="B516" s="5" t="s">
        <v>7594</v>
      </c>
      <c r="C516" t="str">
        <f>IF(B516="","",IFERROR(INDEX(Clientes!$A:$A,MATCH(B516,Clientes!$B:$B,0)),"(CPF não cadastrado)"))</f>
        <v>Rafaela Peixoto Farias</v>
      </c>
      <c r="D516" s="24">
        <v>1100</v>
      </c>
      <c r="E516" s="7">
        <v>110</v>
      </c>
      <c r="F516" s="7">
        <f>D516/100*LOOKUP(A516,'Regras e Parâmetros'!$A$11:$A$12,'Regras e Parâmetros'!$B$11:$B$12)</f>
        <v>55</v>
      </c>
      <c r="G516" s="7">
        <f t="shared" si="8"/>
        <v>55</v>
      </c>
      <c r="H516" t="s">
        <v>45</v>
      </c>
      <c r="J516" s="5" t="s">
        <v>6113</v>
      </c>
      <c r="K516" t="s">
        <v>9968</v>
      </c>
    </row>
    <row r="517" spans="1:11" x14ac:dyDescent="0.3">
      <c r="A517" s="1">
        <v>46212</v>
      </c>
      <c r="B517" s="5" t="s">
        <v>8871</v>
      </c>
      <c r="C517" t="str">
        <f>IF(B517="","",IFERROR(INDEX(Clientes!$A:$A,MATCH(B517,Clientes!$B:$B,0)),"(CPF não cadastrado)"))</f>
        <v>Carolina Rodrigues</v>
      </c>
      <c r="D517" s="24">
        <v>500</v>
      </c>
      <c r="E517" s="7">
        <v>50</v>
      </c>
      <c r="F517" s="7">
        <f>D517/100*LOOKUP(A517,'Regras e Parâmetros'!$A$11:$A$12,'Regras e Parâmetros'!$B$11:$B$12)</f>
        <v>25</v>
      </c>
      <c r="G517" s="7">
        <f t="shared" si="8"/>
        <v>25</v>
      </c>
      <c r="H517" t="s">
        <v>100</v>
      </c>
      <c r="J517" s="5" t="s">
        <v>6288</v>
      </c>
      <c r="K517" t="s">
        <v>9968</v>
      </c>
    </row>
    <row r="518" spans="1:11" x14ac:dyDescent="0.3">
      <c r="A518" s="1">
        <v>46212</v>
      </c>
      <c r="B518" s="5" t="s">
        <v>8119</v>
      </c>
      <c r="C518" t="str">
        <f>IF(B518="","",IFERROR(INDEX(Clientes!$A:$A,MATCH(B518,Clientes!$B:$B,0)),"(CPF não cadastrado)"))</f>
        <v>Alice Nogueira</v>
      </c>
      <c r="D518" s="24">
        <v>1500</v>
      </c>
      <c r="E518" s="7">
        <v>150</v>
      </c>
      <c r="F518" s="7">
        <f>D518/100*LOOKUP(A518,'Regras e Parâmetros'!$A$11:$A$12,'Regras e Parâmetros'!$B$11:$B$12)</f>
        <v>75</v>
      </c>
      <c r="G518" s="7">
        <f t="shared" si="8"/>
        <v>75</v>
      </c>
      <c r="H518" t="s">
        <v>45</v>
      </c>
      <c r="J518" s="5" t="s">
        <v>3016</v>
      </c>
      <c r="K518" t="s">
        <v>9968</v>
      </c>
    </row>
    <row r="519" spans="1:11" x14ac:dyDescent="0.3">
      <c r="A519" s="1">
        <v>46212</v>
      </c>
      <c r="B519" s="5" t="s">
        <v>7175</v>
      </c>
      <c r="C519" t="str">
        <f>IF(B519="","",IFERROR(INDEX(Clientes!$A:$A,MATCH(B519,Clientes!$B:$B,0)),"(CPF não cadastrado)"))</f>
        <v>Tainá Fonseca Freitas</v>
      </c>
      <c r="D519" s="24">
        <v>500</v>
      </c>
      <c r="E519" s="7">
        <v>50</v>
      </c>
      <c r="F519" s="7">
        <f>D519/100*LOOKUP(A519,'Regras e Parâmetros'!$A$11:$A$12,'Regras e Parâmetros'!$B$11:$B$12)</f>
        <v>25</v>
      </c>
      <c r="G519" s="7">
        <f t="shared" si="8"/>
        <v>25</v>
      </c>
      <c r="H519" t="s">
        <v>45</v>
      </c>
      <c r="J519" s="5" t="s">
        <v>6232</v>
      </c>
      <c r="K519" t="s">
        <v>9968</v>
      </c>
    </row>
    <row r="520" spans="1:11" x14ac:dyDescent="0.3">
      <c r="A520" s="1">
        <v>46213</v>
      </c>
      <c r="B520" s="5" t="s">
        <v>6863</v>
      </c>
      <c r="C520" t="str">
        <f>IF(B520="","",IFERROR(INDEX(Clientes!$A:$A,MATCH(B520,Clientes!$B:$B,0)),"(CPF não cadastrado)"))</f>
        <v>Marina Correia</v>
      </c>
      <c r="D520" s="24">
        <v>1500</v>
      </c>
      <c r="E520" s="7">
        <v>150</v>
      </c>
      <c r="F520" s="7">
        <f>D520/100*LOOKUP(A520,'Regras e Parâmetros'!$A$11:$A$12,'Regras e Parâmetros'!$B$11:$B$12)</f>
        <v>75</v>
      </c>
      <c r="G520" s="7">
        <f t="shared" si="8"/>
        <v>75</v>
      </c>
      <c r="H520" t="s">
        <v>18</v>
      </c>
      <c r="J520" s="5" t="s">
        <v>745</v>
      </c>
      <c r="K520" t="s">
        <v>9968</v>
      </c>
    </row>
    <row r="521" spans="1:11" x14ac:dyDescent="0.3">
      <c r="A521" s="1">
        <v>46213</v>
      </c>
      <c r="B521" s="5" t="s">
        <v>6557</v>
      </c>
      <c r="C521" t="str">
        <f>IF(B521="","",IFERROR(INDEX(Clientes!$A:$A,MATCH(B521,Clientes!$B:$B,0)),"(CPF não cadastrado)"))</f>
        <v>Leonardo Nunes Teixeira</v>
      </c>
      <c r="D521" s="24">
        <v>1000</v>
      </c>
      <c r="E521" s="7">
        <v>100</v>
      </c>
      <c r="F521" s="7">
        <f>D521/100*LOOKUP(A521,'Regras e Parâmetros'!$A$11:$A$12,'Regras e Parâmetros'!$B$11:$B$12)</f>
        <v>50</v>
      </c>
      <c r="G521" s="7">
        <f t="shared" si="8"/>
        <v>50</v>
      </c>
      <c r="H521" t="s">
        <v>100</v>
      </c>
      <c r="J521" s="5" t="s">
        <v>6396</v>
      </c>
      <c r="K521" t="s">
        <v>9968</v>
      </c>
    </row>
    <row r="522" spans="1:11" x14ac:dyDescent="0.3">
      <c r="A522" s="1">
        <v>46214</v>
      </c>
      <c r="B522" s="5" t="s">
        <v>6753</v>
      </c>
      <c r="C522" t="str">
        <f>IF(B522="","",IFERROR(INDEX(Clientes!$A:$A,MATCH(B522,Clientes!$B:$B,0)),"(CPF não cadastrado)"))</f>
        <v>Paula Ferreira</v>
      </c>
      <c r="D522" s="24">
        <v>300</v>
      </c>
      <c r="E522" s="7">
        <v>30</v>
      </c>
      <c r="F522" s="7">
        <f>D522/100*LOOKUP(A522,'Regras e Parâmetros'!$A$11:$A$12,'Regras e Parâmetros'!$B$11:$B$12)</f>
        <v>15</v>
      </c>
      <c r="G522" s="7">
        <f t="shared" si="8"/>
        <v>15</v>
      </c>
      <c r="H522" t="s">
        <v>100</v>
      </c>
      <c r="J522" s="5" t="s">
        <v>6397</v>
      </c>
      <c r="K522" t="s">
        <v>9968</v>
      </c>
    </row>
    <row r="523" spans="1:11" x14ac:dyDescent="0.3">
      <c r="A523" s="1">
        <v>46215</v>
      </c>
      <c r="B523" s="5" t="s">
        <v>1759</v>
      </c>
      <c r="C523" t="str">
        <f>IF(B523="","",IFERROR(INDEX(Clientes!$A:$A,MATCH(B523,Clientes!$B:$B,0)),"(CPF não cadastrado)"))</f>
        <v>Nicole Batista</v>
      </c>
      <c r="D523" s="24">
        <v>500</v>
      </c>
      <c r="E523" s="7">
        <v>25</v>
      </c>
      <c r="F523" s="7">
        <f>D523/100*LOOKUP(A523,'Regras e Parâmetros'!$A$11:$A$12,'Regras e Parâmetros'!$B$11:$B$12)</f>
        <v>25</v>
      </c>
      <c r="G523" s="7">
        <f t="shared" si="8"/>
        <v>0</v>
      </c>
      <c r="H523" t="s">
        <v>22</v>
      </c>
      <c r="I523" t="s">
        <v>6321</v>
      </c>
      <c r="J523" s="5" t="s">
        <v>6398</v>
      </c>
      <c r="K523" t="s">
        <v>10285</v>
      </c>
    </row>
    <row r="524" spans="1:11" x14ac:dyDescent="0.3">
      <c r="A524" s="1">
        <v>46215</v>
      </c>
      <c r="B524" s="5" t="s">
        <v>7995</v>
      </c>
      <c r="C524" t="str">
        <f>IF(B524="","",IFERROR(INDEX(Clientes!$A:$A,MATCH(B524,Clientes!$B:$B,0)),"(CPF não cadastrado)"))</f>
        <v>Sofia Santana Lopes</v>
      </c>
      <c r="D524" s="24">
        <v>500</v>
      </c>
      <c r="E524" s="7">
        <v>50</v>
      </c>
      <c r="F524" s="7">
        <f>D524/100*LOOKUP(A524,'Regras e Parâmetros'!$A$11:$A$12,'Regras e Parâmetros'!$B$11:$B$12)</f>
        <v>25</v>
      </c>
      <c r="G524" s="7">
        <f t="shared" si="8"/>
        <v>25</v>
      </c>
      <c r="H524" t="s">
        <v>45</v>
      </c>
      <c r="J524" s="5" t="s">
        <v>2753</v>
      </c>
      <c r="K524" t="s">
        <v>9968</v>
      </c>
    </row>
    <row r="525" spans="1:11" x14ac:dyDescent="0.3">
      <c r="A525" s="1">
        <v>46216</v>
      </c>
      <c r="B525" s="5" t="s">
        <v>5991</v>
      </c>
      <c r="C525" t="str">
        <f>IF(B525="","",IFERROR(INDEX(Clientes!$A:$A,MATCH(B525,Clientes!$B:$B,0)),"(CPF não cadastrado)"))</f>
        <v>Emanuel Barbosa</v>
      </c>
      <c r="D525" s="24">
        <v>600</v>
      </c>
      <c r="E525" s="7">
        <v>60</v>
      </c>
      <c r="F525" s="7">
        <f>D525/100*LOOKUP(A525,'Regras e Parâmetros'!$A$11:$A$12,'Regras e Parâmetros'!$B$11:$B$12)</f>
        <v>30</v>
      </c>
      <c r="G525" s="7">
        <f t="shared" si="8"/>
        <v>30</v>
      </c>
      <c r="H525" t="s">
        <v>110</v>
      </c>
      <c r="J525" s="5" t="s">
        <v>5254</v>
      </c>
      <c r="K525" t="s">
        <v>9968</v>
      </c>
    </row>
    <row r="526" spans="1:11" x14ac:dyDescent="0.3">
      <c r="A526" s="1">
        <v>46218</v>
      </c>
      <c r="B526" s="5" t="s">
        <v>2376</v>
      </c>
      <c r="C526" t="str">
        <f>IF(B526="","",IFERROR(INDEX(Clientes!$A:$A,MATCH(B526,Clientes!$B:$B,0)),"(CPF não cadastrado)"))</f>
        <v>Renata Peixoto</v>
      </c>
      <c r="D526" s="24">
        <v>900</v>
      </c>
      <c r="E526" s="7">
        <v>45</v>
      </c>
      <c r="F526" s="7">
        <f>D526/100*LOOKUP(A526,'Regras e Parâmetros'!$A$11:$A$12,'Regras e Parâmetros'!$B$11:$B$12)</f>
        <v>45</v>
      </c>
      <c r="G526" s="7">
        <f t="shared" si="8"/>
        <v>0</v>
      </c>
      <c r="H526" t="s">
        <v>100</v>
      </c>
      <c r="I526" t="s">
        <v>6291</v>
      </c>
      <c r="J526" s="5" t="s">
        <v>2376</v>
      </c>
      <c r="K526" t="s">
        <v>9968</v>
      </c>
    </row>
    <row r="527" spans="1:11" x14ac:dyDescent="0.3">
      <c r="A527" s="1">
        <v>46220</v>
      </c>
      <c r="B527" s="5" t="s">
        <v>7537</v>
      </c>
      <c r="C527" t="str">
        <f>IF(B527="","",IFERROR(INDEX(Clientes!$A:$A,MATCH(B527,Clientes!$B:$B,0)),"(CPF não cadastrado)"))</f>
        <v>Lucas Oliveira</v>
      </c>
      <c r="D527" s="24">
        <v>900</v>
      </c>
      <c r="E527" s="7">
        <v>90</v>
      </c>
      <c r="F527" s="7">
        <f>D527/100*LOOKUP(A527,'Regras e Parâmetros'!$A$11:$A$12,'Regras e Parâmetros'!$B$11:$B$12)</f>
        <v>45</v>
      </c>
      <c r="G527" s="7">
        <f t="shared" si="8"/>
        <v>45</v>
      </c>
      <c r="H527" t="s">
        <v>18</v>
      </c>
      <c r="J527" s="5" t="s">
        <v>1996</v>
      </c>
      <c r="K527" t="s">
        <v>9968</v>
      </c>
    </row>
    <row r="528" spans="1:11" x14ac:dyDescent="0.3">
      <c r="A528" s="1">
        <v>46220</v>
      </c>
      <c r="B528" s="5" t="s">
        <v>6923</v>
      </c>
      <c r="C528" t="str">
        <f>IF(B528="","",IFERROR(INDEX(Clientes!$A:$A,MATCH(B528,Clientes!$B:$B,0)),"(CPF não cadastrado)"))</f>
        <v>Rodrigo Correia Rodrigues</v>
      </c>
      <c r="D528" s="24">
        <v>500</v>
      </c>
      <c r="E528" s="7">
        <v>50</v>
      </c>
      <c r="F528" s="7">
        <f>D528/100*LOOKUP(A528,'Regras e Parâmetros'!$A$11:$A$12,'Regras e Parâmetros'!$B$11:$B$12)</f>
        <v>25</v>
      </c>
      <c r="G528" s="7">
        <f t="shared" si="8"/>
        <v>25</v>
      </c>
      <c r="H528" t="s">
        <v>45</v>
      </c>
      <c r="J528" s="5" t="s">
        <v>6399</v>
      </c>
      <c r="K528" t="s">
        <v>9968</v>
      </c>
    </row>
    <row r="529" spans="1:11" x14ac:dyDescent="0.3">
      <c r="A529" s="1">
        <v>46221</v>
      </c>
      <c r="B529" s="5" t="s">
        <v>6642</v>
      </c>
      <c r="C529" t="str">
        <f>IF(B529="","",IFERROR(INDEX(Clientes!$A:$A,MATCH(B529,Clientes!$B:$B,0)),"(CPF não cadastrado)"))</f>
        <v>Débora Moura</v>
      </c>
      <c r="D529" s="24">
        <v>1000</v>
      </c>
      <c r="E529" s="7">
        <v>100</v>
      </c>
      <c r="F529" s="7">
        <f>D529/100*LOOKUP(A529,'Regras e Parâmetros'!$A$11:$A$12,'Regras e Parâmetros'!$B$11:$B$12)</f>
        <v>50</v>
      </c>
      <c r="G529" s="7">
        <f t="shared" si="8"/>
        <v>50</v>
      </c>
      <c r="H529" t="s">
        <v>45</v>
      </c>
      <c r="J529" s="5" t="s">
        <v>6400</v>
      </c>
      <c r="K529" t="s">
        <v>9968</v>
      </c>
    </row>
    <row r="530" spans="1:11" x14ac:dyDescent="0.3">
      <c r="A530" s="1">
        <v>46222</v>
      </c>
      <c r="B530" s="5" t="s">
        <v>7545</v>
      </c>
      <c r="C530" t="str">
        <f>IF(B530="","",IFERROR(INDEX(Clientes!$A:$A,MATCH(B530,Clientes!$B:$B,0)),"(CPF não cadastrado)"))</f>
        <v>Luana Santos Campos</v>
      </c>
      <c r="D530" s="24">
        <v>300</v>
      </c>
      <c r="E530" s="7">
        <v>30</v>
      </c>
      <c r="F530" s="7">
        <f>D530/100*LOOKUP(A530,'Regras e Parâmetros'!$A$11:$A$12,'Regras e Parâmetros'!$B$11:$B$12)</f>
        <v>15</v>
      </c>
      <c r="G530" s="7">
        <f t="shared" si="8"/>
        <v>15</v>
      </c>
      <c r="H530" t="s">
        <v>45</v>
      </c>
      <c r="J530" s="5" t="s">
        <v>1925</v>
      </c>
      <c r="K530" t="s">
        <v>9968</v>
      </c>
    </row>
    <row r="531" spans="1:11" x14ac:dyDescent="0.3">
      <c r="A531" s="1">
        <v>46224</v>
      </c>
      <c r="B531" s="5" t="s">
        <v>7699</v>
      </c>
      <c r="C531" t="str">
        <f>IF(B531="","",IFERROR(INDEX(Clientes!$A:$A,MATCH(B531,Clientes!$B:$B,0)),"(CPF não cadastrado)"))</f>
        <v>Rebeca C. Freitas</v>
      </c>
      <c r="D531" s="24">
        <v>1000</v>
      </c>
      <c r="E531" s="7">
        <v>100</v>
      </c>
      <c r="F531" s="7">
        <f>D531/100*LOOKUP(A531,'Regras e Parâmetros'!$A$11:$A$12,'Regras e Parâmetros'!$B$11:$B$12)</f>
        <v>50</v>
      </c>
      <c r="G531" s="7">
        <f t="shared" si="8"/>
        <v>50</v>
      </c>
      <c r="H531" t="s">
        <v>45</v>
      </c>
      <c r="J531" s="5" t="s">
        <v>6401</v>
      </c>
      <c r="K531" t="s">
        <v>9968</v>
      </c>
    </row>
    <row r="532" spans="1:11" x14ac:dyDescent="0.3">
      <c r="A532" s="1">
        <v>46226</v>
      </c>
      <c r="B532" s="5" t="s">
        <v>7263</v>
      </c>
      <c r="C532" t="str">
        <f>IF(B532="","",IFERROR(INDEX(Clientes!$A:$A,MATCH(B532,Clientes!$B:$B,0)),"(CPF não cadastrado)"))</f>
        <v>Olívia Cavalcanti Campos</v>
      </c>
      <c r="D532" s="24">
        <v>1000</v>
      </c>
      <c r="E532" s="7">
        <v>100</v>
      </c>
      <c r="F532" s="7">
        <f>D532/100*LOOKUP(A532,'Regras e Parâmetros'!$A$11:$A$12,'Regras e Parâmetros'!$B$11:$B$12)</f>
        <v>50</v>
      </c>
      <c r="G532" s="7">
        <f t="shared" si="8"/>
        <v>50</v>
      </c>
      <c r="H532" t="s">
        <v>45</v>
      </c>
      <c r="J532" s="5" t="s">
        <v>6247</v>
      </c>
      <c r="K532" t="s">
        <v>9968</v>
      </c>
    </row>
    <row r="533" spans="1:11" x14ac:dyDescent="0.3">
      <c r="A533" s="1">
        <v>46227</v>
      </c>
      <c r="B533" s="5" t="s">
        <v>6402</v>
      </c>
      <c r="C533" t="str">
        <f>IF(B533="","",IFERROR(INDEX(Clientes!$A:$A,MATCH(B533,Clientes!$B:$B,0)),"(CPF não cadastrado)"))</f>
        <v>Emanuelly Fernandes Nunes</v>
      </c>
      <c r="D533" s="24">
        <v>1000</v>
      </c>
      <c r="E533" s="7">
        <v>50</v>
      </c>
      <c r="F533" s="7">
        <f>D533/100*LOOKUP(A533,'Regras e Parâmetros'!$A$11:$A$12,'Regras e Parâmetros'!$B$11:$B$12)</f>
        <v>50</v>
      </c>
      <c r="G533" s="7">
        <f t="shared" si="8"/>
        <v>0</v>
      </c>
      <c r="H533" t="s">
        <v>110</v>
      </c>
      <c r="I533" t="s">
        <v>6087</v>
      </c>
      <c r="J533" s="5" t="s">
        <v>6402</v>
      </c>
      <c r="K533" t="s">
        <v>9968</v>
      </c>
    </row>
    <row r="534" spans="1:11" x14ac:dyDescent="0.3">
      <c r="A534" s="1">
        <v>46227</v>
      </c>
      <c r="B534" s="5" t="s">
        <v>6531</v>
      </c>
      <c r="C534" t="str">
        <f>IF(B534="","",IFERROR(INDEX(Clientes!$A:$A,MATCH(B534,Clientes!$B:$B,0)),"(CPF não cadastrado)"))</f>
        <v>Paula Barros</v>
      </c>
      <c r="D534" s="24">
        <v>1000</v>
      </c>
      <c r="E534" s="7">
        <v>100</v>
      </c>
      <c r="F534" s="7">
        <f>D534/100*LOOKUP(A534,'Regras e Parâmetros'!$A$11:$A$12,'Regras e Parâmetros'!$B$11:$B$12)</f>
        <v>50</v>
      </c>
      <c r="G534" s="7">
        <f t="shared" si="8"/>
        <v>50</v>
      </c>
      <c r="H534" t="s">
        <v>22</v>
      </c>
      <c r="J534" s="5" t="s">
        <v>6403</v>
      </c>
      <c r="K534" t="s">
        <v>9968</v>
      </c>
    </row>
    <row r="535" spans="1:11" x14ac:dyDescent="0.3">
      <c r="A535" s="1">
        <v>46228</v>
      </c>
      <c r="B535" s="5" t="s">
        <v>8994</v>
      </c>
      <c r="C535" t="str">
        <f>IF(B535="","",IFERROR(INDEX(Clientes!$A:$A,MATCH(B535,Clientes!$B:$B,0)),"(CPF não cadastrado)"))</f>
        <v>Arthur Freitas Nunes</v>
      </c>
      <c r="D535" s="24">
        <v>1000</v>
      </c>
      <c r="E535" s="7">
        <v>100</v>
      </c>
      <c r="F535" s="7">
        <f>D535/100*LOOKUP(A535,'Regras e Parâmetros'!$A$11:$A$12,'Regras e Parâmetros'!$B$11:$B$12)</f>
        <v>50</v>
      </c>
      <c r="G535" s="7">
        <f t="shared" si="8"/>
        <v>50</v>
      </c>
      <c r="H535" t="s">
        <v>110</v>
      </c>
      <c r="J535" s="5" t="s">
        <v>6404</v>
      </c>
      <c r="K535" t="s">
        <v>9968</v>
      </c>
    </row>
    <row r="536" spans="1:11" x14ac:dyDescent="0.3">
      <c r="A536" s="1">
        <v>46228</v>
      </c>
      <c r="B536" s="5" t="s">
        <v>6900</v>
      </c>
      <c r="C536" t="str">
        <f>IF(B536="","",IFERROR(INDEX(Clientes!$A:$A,MATCH(B536,Clientes!$B:$B,0)),"(CPF não cadastrado)"))</f>
        <v>Andre Moreira Santos</v>
      </c>
      <c r="D536" s="24">
        <v>1000</v>
      </c>
      <c r="E536" s="7">
        <v>100</v>
      </c>
      <c r="F536" s="7">
        <f>D536/100*LOOKUP(A536,'Regras e Parâmetros'!$A$11:$A$12,'Regras e Parâmetros'!$B$11:$B$12)</f>
        <v>50</v>
      </c>
      <c r="G536" s="7">
        <f t="shared" si="8"/>
        <v>50</v>
      </c>
      <c r="H536" t="s">
        <v>22</v>
      </c>
      <c r="J536" s="5" t="s">
        <v>6405</v>
      </c>
      <c r="K536" t="s">
        <v>9968</v>
      </c>
    </row>
    <row r="537" spans="1:11" x14ac:dyDescent="0.3">
      <c r="A537" s="1">
        <v>46228</v>
      </c>
      <c r="B537" s="5" t="s">
        <v>7405</v>
      </c>
      <c r="C537" t="str">
        <f>IF(B537="","",IFERROR(INDEX(Clientes!$A:$A,MATCH(B537,Clientes!$B:$B,0)),"(CPF não cadastrado)"))</f>
        <v>Paula Fonseca</v>
      </c>
      <c r="D537" s="24">
        <v>600</v>
      </c>
      <c r="E537" s="7">
        <v>60</v>
      </c>
      <c r="F537" s="7">
        <f>D537/100*LOOKUP(A537,'Regras e Parâmetros'!$A$11:$A$12,'Regras e Parâmetros'!$B$11:$B$12)</f>
        <v>30</v>
      </c>
      <c r="G537" s="7">
        <f t="shared" si="8"/>
        <v>30</v>
      </c>
      <c r="H537" t="s">
        <v>45</v>
      </c>
      <c r="J537" s="5" t="s">
        <v>6406</v>
      </c>
      <c r="K537" t="s">
        <v>9968</v>
      </c>
    </row>
    <row r="538" spans="1:11" x14ac:dyDescent="0.3">
      <c r="A538" s="1">
        <v>46229</v>
      </c>
      <c r="B538" s="5" t="s">
        <v>6675</v>
      </c>
      <c r="C538" t="str">
        <f>IF(B538="","",IFERROR(INDEX(Clientes!$A:$A,MATCH(B538,Clientes!$B:$B,0)),"(CPF não cadastrado)"))</f>
        <v>Melissa Moreira</v>
      </c>
      <c r="D538" s="24">
        <v>1000</v>
      </c>
      <c r="E538" s="7">
        <v>100</v>
      </c>
      <c r="F538" s="7">
        <f>D538/100*LOOKUP(A538,'Regras e Parâmetros'!$A$11:$A$12,'Regras e Parâmetros'!$B$11:$B$12)</f>
        <v>50</v>
      </c>
      <c r="G538" s="7">
        <f t="shared" si="8"/>
        <v>50</v>
      </c>
      <c r="H538" t="s">
        <v>22</v>
      </c>
      <c r="J538" s="5" t="s">
        <v>6132</v>
      </c>
      <c r="K538" t="s">
        <v>9968</v>
      </c>
    </row>
    <row r="539" spans="1:11" x14ac:dyDescent="0.3">
      <c r="A539" s="1">
        <v>46229</v>
      </c>
      <c r="B539" s="5" t="s">
        <v>7971</v>
      </c>
      <c r="C539" t="str">
        <f>IF(B539="","",IFERROR(INDEX(Clientes!$A:$A,MATCH(B539,Clientes!$B:$B,0)),"(CPF não cadastrado)"))</f>
        <v>Manuela Fonseca</v>
      </c>
      <c r="D539" s="24">
        <v>500</v>
      </c>
      <c r="E539" s="7">
        <v>50</v>
      </c>
      <c r="F539" s="7">
        <f>D539/100*LOOKUP(A539,'Regras e Parâmetros'!$A$11:$A$12,'Regras e Parâmetros'!$B$11:$B$12)</f>
        <v>25</v>
      </c>
      <c r="G539" s="7">
        <f t="shared" si="8"/>
        <v>25</v>
      </c>
      <c r="H539" t="s">
        <v>45</v>
      </c>
      <c r="J539" s="5" t="s">
        <v>6234</v>
      </c>
      <c r="K539" t="s">
        <v>9968</v>
      </c>
    </row>
    <row r="540" spans="1:11" x14ac:dyDescent="0.3">
      <c r="A540" s="1">
        <v>46229</v>
      </c>
      <c r="B540" s="5" t="s">
        <v>3480</v>
      </c>
      <c r="C540" t="str">
        <f>IF(B540="","",IFERROR(INDEX(Clientes!$A:$A,MATCH(B540,Clientes!$B:$B,0)),"(CPF não cadastrado)"))</f>
        <v>Caetano Farias</v>
      </c>
      <c r="D540" s="24">
        <v>300</v>
      </c>
      <c r="E540" s="7">
        <v>30</v>
      </c>
      <c r="F540" s="7">
        <f>D540/100*LOOKUP(A540,'Regras e Parâmetros'!$A$11:$A$12,'Regras e Parâmetros'!$B$11:$B$12)</f>
        <v>15</v>
      </c>
      <c r="G540" s="7">
        <f t="shared" si="8"/>
        <v>15</v>
      </c>
      <c r="H540" t="s">
        <v>45</v>
      </c>
      <c r="J540" s="5" t="s">
        <v>6117</v>
      </c>
      <c r="K540" t="s">
        <v>9968</v>
      </c>
    </row>
    <row r="541" spans="1:11" x14ac:dyDescent="0.3">
      <c r="A541" s="1">
        <v>46229</v>
      </c>
      <c r="B541" s="5" t="s">
        <v>7518</v>
      </c>
      <c r="C541" t="str">
        <f>IF(B541="","",IFERROR(INDEX(Clientes!$A:$A,MATCH(B541,Clientes!$B:$B,0)),"(CPF não cadastrado)"))</f>
        <v>Júlia Martins Farias</v>
      </c>
      <c r="D541" s="24">
        <v>500</v>
      </c>
      <c r="E541" s="7">
        <v>50</v>
      </c>
      <c r="F541" s="7">
        <f>D541/100*LOOKUP(A541,'Regras e Parâmetros'!$A$11:$A$12,'Regras e Parâmetros'!$B$11:$B$12)</f>
        <v>25</v>
      </c>
      <c r="G541" s="7">
        <f t="shared" si="8"/>
        <v>25</v>
      </c>
      <c r="H541" t="s">
        <v>45</v>
      </c>
      <c r="J541" s="5" t="s">
        <v>1894</v>
      </c>
      <c r="K541" t="s">
        <v>9968</v>
      </c>
    </row>
    <row r="542" spans="1:11" x14ac:dyDescent="0.3">
      <c r="A542" s="1">
        <v>46229</v>
      </c>
      <c r="B542" s="5" t="s">
        <v>7138</v>
      </c>
      <c r="C542" t="str">
        <f>IF(B542="","",IFERROR(INDEX(Clientes!$A:$A,MATCH(B542,Clientes!$B:$B,0)),"(CPF não cadastrado)"))</f>
        <v>Yuri Freitas Andrade</v>
      </c>
      <c r="D542" s="24">
        <v>900</v>
      </c>
      <c r="E542" s="7">
        <v>90</v>
      </c>
      <c r="F542" s="7">
        <f>D542/100*LOOKUP(A542,'Regras e Parâmetros'!$A$11:$A$12,'Regras e Parâmetros'!$B$11:$B$12)</f>
        <v>45</v>
      </c>
      <c r="G542" s="7">
        <f t="shared" si="8"/>
        <v>45</v>
      </c>
      <c r="H542" t="s">
        <v>45</v>
      </c>
      <c r="J542" s="5" t="s">
        <v>1290</v>
      </c>
      <c r="K542" t="s">
        <v>9968</v>
      </c>
    </row>
    <row r="543" spans="1:11" x14ac:dyDescent="0.3">
      <c r="A543" s="1">
        <v>46233</v>
      </c>
      <c r="B543" s="5" t="s">
        <v>3915</v>
      </c>
      <c r="C543" t="str">
        <f>IF(B543="","",IFERROR(INDEX(Clientes!$A:$A,MATCH(B543,Clientes!$B:$B,0)),"(CPF não cadastrado)"))</f>
        <v>Diego Soares</v>
      </c>
      <c r="D543" s="24">
        <v>500</v>
      </c>
      <c r="E543" s="7">
        <v>50</v>
      </c>
      <c r="F543" s="7">
        <f>D543/100*LOOKUP(A543,'Regras e Parâmetros'!$A$11:$A$12,'Regras e Parâmetros'!$B$11:$B$12)</f>
        <v>25</v>
      </c>
      <c r="G543" s="7">
        <f t="shared" si="8"/>
        <v>25</v>
      </c>
      <c r="H543" t="s">
        <v>45</v>
      </c>
      <c r="J543" s="5" t="s">
        <v>6407</v>
      </c>
      <c r="K543" t="s">
        <v>9968</v>
      </c>
    </row>
    <row r="544" spans="1:11" x14ac:dyDescent="0.3">
      <c r="A544" s="1">
        <v>46233</v>
      </c>
      <c r="B544" s="5" t="s">
        <v>6727</v>
      </c>
      <c r="C544" t="str">
        <f>IF(B544="","",IFERROR(INDEX(Clientes!$A:$A,MATCH(B544,Clientes!$B:$B,0)),"(CPF não cadastrado)"))</f>
        <v>Vitória Cardoso</v>
      </c>
      <c r="D544" s="24">
        <v>300</v>
      </c>
      <c r="E544" s="7">
        <v>30</v>
      </c>
      <c r="F544" s="7">
        <f>D544/100*LOOKUP(A544,'Regras e Parâmetros'!$A$11:$A$12,'Regras e Parâmetros'!$B$11:$B$12)</f>
        <v>15</v>
      </c>
      <c r="G544" s="7">
        <f t="shared" si="8"/>
        <v>15</v>
      </c>
      <c r="H544" t="s">
        <v>45</v>
      </c>
      <c r="J544" s="5" t="s">
        <v>504</v>
      </c>
      <c r="K544" t="s">
        <v>9968</v>
      </c>
    </row>
    <row r="545" spans="1:11" x14ac:dyDescent="0.3">
      <c r="A545" s="1">
        <v>46234</v>
      </c>
      <c r="B545" s="5" t="s">
        <v>8208</v>
      </c>
      <c r="C545" t="str">
        <f>IF(B545="","",IFERROR(INDEX(Clientes!$A:$A,MATCH(B545,Clientes!$B:$B,0)),"(CPF não cadastrado)"))</f>
        <v>Caio Vieira</v>
      </c>
      <c r="D545" s="24">
        <v>500</v>
      </c>
      <c r="E545" s="7">
        <v>50</v>
      </c>
      <c r="F545" s="7">
        <f>D545/100*LOOKUP(A545,'Regras e Parâmetros'!$A$11:$A$12,'Regras e Parâmetros'!$B$11:$B$12)</f>
        <v>25</v>
      </c>
      <c r="G545" s="7">
        <f t="shared" si="8"/>
        <v>25</v>
      </c>
      <c r="H545" t="s">
        <v>110</v>
      </c>
      <c r="J545" s="5" t="s">
        <v>6345</v>
      </c>
      <c r="K545" t="s">
        <v>9968</v>
      </c>
    </row>
    <row r="546" spans="1:11" x14ac:dyDescent="0.3">
      <c r="A546" s="1">
        <v>46236</v>
      </c>
      <c r="B546" s="5" t="s">
        <v>8082</v>
      </c>
      <c r="C546" t="str">
        <f>IF(B546="","",IFERROR(INDEX(Clientes!$A:$A,MATCH(B546,Clientes!$B:$B,0)),"(CPF não cadastrado)"))</f>
        <v>Henrique Tavares</v>
      </c>
      <c r="D546" s="24">
        <v>1000</v>
      </c>
      <c r="E546" s="7">
        <v>100</v>
      </c>
      <c r="F546" s="7">
        <f>D546/100*LOOKUP(A546,'Regras e Parâmetros'!$A$11:$A$12,'Regras e Parâmetros'!$B$11:$B$12)</f>
        <v>50</v>
      </c>
      <c r="G546" s="7">
        <f t="shared" si="8"/>
        <v>50</v>
      </c>
      <c r="H546" t="s">
        <v>100</v>
      </c>
      <c r="J546" s="5" t="s">
        <v>6408</v>
      </c>
      <c r="K546" t="s">
        <v>9968</v>
      </c>
    </row>
    <row r="547" spans="1:11" x14ac:dyDescent="0.3">
      <c r="A547" s="1">
        <v>46236</v>
      </c>
      <c r="B547" s="5" t="s">
        <v>6940</v>
      </c>
      <c r="C547" t="str">
        <f>IF(B547="","",IFERROR(INDEX(Clientes!$A:$A,MATCH(B547,Clientes!$B:$B,0)),"(CPF não cadastrado)"))</f>
        <v>Otavio Machado Gomes</v>
      </c>
      <c r="D547" s="24">
        <v>500</v>
      </c>
      <c r="E547" s="7">
        <v>50</v>
      </c>
      <c r="F547" s="7">
        <f>D547/100*LOOKUP(A547,'Regras e Parâmetros'!$A$11:$A$12,'Regras e Parâmetros'!$B$11:$B$12)</f>
        <v>25</v>
      </c>
      <c r="G547" s="7">
        <f t="shared" si="8"/>
        <v>25</v>
      </c>
      <c r="H547" t="s">
        <v>45</v>
      </c>
      <c r="J547" s="5" t="s">
        <v>863</v>
      </c>
      <c r="K547" t="s">
        <v>9968</v>
      </c>
    </row>
    <row r="548" spans="1:11" x14ac:dyDescent="0.3">
      <c r="A548" s="1">
        <v>46238</v>
      </c>
      <c r="B548" s="5" t="s">
        <v>8329</v>
      </c>
      <c r="C548" t="str">
        <f>IF(B548="","",IFERROR(INDEX(Clientes!$A:$A,MATCH(B548,Clientes!$B:$B,0)),"(CPF não cadastrado)"))</f>
        <v>Débora Campos</v>
      </c>
      <c r="D548" s="24">
        <v>300</v>
      </c>
      <c r="E548" s="7">
        <v>30</v>
      </c>
      <c r="F548" s="7">
        <f>D548/100*LOOKUP(A548,'Regras e Parâmetros'!$A$11:$A$12,'Regras e Parâmetros'!$B$11:$B$12)</f>
        <v>15</v>
      </c>
      <c r="G548" s="7">
        <f t="shared" si="8"/>
        <v>15</v>
      </c>
      <c r="H548" t="s">
        <v>110</v>
      </c>
      <c r="J548" s="5" t="s">
        <v>3423</v>
      </c>
      <c r="K548" t="s">
        <v>9968</v>
      </c>
    </row>
    <row r="549" spans="1:11" x14ac:dyDescent="0.3">
      <c r="A549" s="1">
        <v>46238</v>
      </c>
      <c r="B549" s="5" t="s">
        <v>8024</v>
      </c>
      <c r="C549" t="str">
        <f>IF(B549="","",IFERROR(INDEX(Clientes!$A:$A,MATCH(B549,Clientes!$B:$B,0)),"(CPF não cadastrado)"))</f>
        <v>Manuela Lima Carvalho</v>
      </c>
      <c r="D549" s="24">
        <v>500</v>
      </c>
      <c r="E549" s="7">
        <v>50</v>
      </c>
      <c r="F549" s="7">
        <f>D549/100*LOOKUP(A549,'Regras e Parâmetros'!$A$11:$A$12,'Regras e Parâmetros'!$B$11:$B$12)</f>
        <v>25</v>
      </c>
      <c r="G549" s="7">
        <f t="shared" si="8"/>
        <v>25</v>
      </c>
      <c r="H549" t="s">
        <v>45</v>
      </c>
      <c r="J549" s="5" t="s">
        <v>6409</v>
      </c>
      <c r="K549" t="s">
        <v>9968</v>
      </c>
    </row>
    <row r="550" spans="1:11" x14ac:dyDescent="0.3">
      <c r="A550" s="1">
        <v>46238</v>
      </c>
      <c r="B550" s="5" t="s">
        <v>7676</v>
      </c>
      <c r="C550" t="str">
        <f>IF(B550="","",IFERROR(INDEX(Clientes!$A:$A,MATCH(B550,Clientes!$B:$B,0)),"(CPF não cadastrado)"))</f>
        <v>Juliana Fonseca</v>
      </c>
      <c r="D550" s="24">
        <v>1000</v>
      </c>
      <c r="E550" s="7">
        <v>100</v>
      </c>
      <c r="F550" s="7">
        <f>D550/100*LOOKUP(A550,'Regras e Parâmetros'!$A$11:$A$12,'Regras e Parâmetros'!$B$11:$B$12)</f>
        <v>50</v>
      </c>
      <c r="G550" s="7">
        <f t="shared" si="8"/>
        <v>50</v>
      </c>
      <c r="H550" t="s">
        <v>45</v>
      </c>
      <c r="J550" s="5" t="s">
        <v>6280</v>
      </c>
      <c r="K550" t="s">
        <v>9968</v>
      </c>
    </row>
    <row r="551" spans="1:11" x14ac:dyDescent="0.3">
      <c r="A551" s="1">
        <v>46241</v>
      </c>
      <c r="B551" s="5" t="s">
        <v>7256</v>
      </c>
      <c r="C551" t="str">
        <f>IF(B551="","",IFERROR(INDEX(Clientes!$A:$A,MATCH(B551,Clientes!$B:$B,0)),"(CPF não cadastrado)"))</f>
        <v>Lorena L. Araújo</v>
      </c>
      <c r="D551" s="24">
        <v>500</v>
      </c>
      <c r="E551" s="7">
        <v>50</v>
      </c>
      <c r="F551" s="7">
        <f>D551/100*LOOKUP(A551,'Regras e Parâmetros'!$A$11:$A$12,'Regras e Parâmetros'!$B$11:$B$12)</f>
        <v>25</v>
      </c>
      <c r="G551" s="7">
        <f t="shared" si="8"/>
        <v>25</v>
      </c>
      <c r="H551" t="s">
        <v>18</v>
      </c>
      <c r="J551" s="5" t="s">
        <v>6410</v>
      </c>
      <c r="K551" t="s">
        <v>9968</v>
      </c>
    </row>
    <row r="552" spans="1:11" x14ac:dyDescent="0.3">
      <c r="A552" s="1">
        <v>46241</v>
      </c>
      <c r="B552" s="5" t="s">
        <v>8579</v>
      </c>
      <c r="C552" t="str">
        <f>IF(B552="","",IFERROR(INDEX(Clientes!$A:$A,MATCH(B552,Clientes!$B:$B,0)),"(CPF não cadastrado)"))</f>
        <v>Giovanna Freitas</v>
      </c>
      <c r="D552" s="24">
        <v>500</v>
      </c>
      <c r="E552" s="7">
        <v>50</v>
      </c>
      <c r="F552" s="7">
        <f>D552/100*LOOKUP(A552,'Regras e Parâmetros'!$A$11:$A$12,'Regras e Parâmetros'!$B$11:$B$12)</f>
        <v>25</v>
      </c>
      <c r="G552" s="7">
        <f t="shared" si="8"/>
        <v>25</v>
      </c>
      <c r="H552" t="s">
        <v>45</v>
      </c>
      <c r="J552" s="5" t="s">
        <v>6411</v>
      </c>
      <c r="K552" t="s">
        <v>9968</v>
      </c>
    </row>
    <row r="553" spans="1:11" x14ac:dyDescent="0.3">
      <c r="A553" s="1">
        <v>46243</v>
      </c>
      <c r="B553" s="5" t="s">
        <v>6412</v>
      </c>
      <c r="C553" t="str">
        <f>IF(B553="","",IFERROR(INDEX(Clientes!$A:$A,MATCH(B553,Clientes!$B:$B,0)),"(CPF não cadastrado)"))</f>
        <v>Daniela Fernandes Gonçalves</v>
      </c>
      <c r="D553" s="24">
        <v>1500</v>
      </c>
      <c r="E553" s="7">
        <v>75</v>
      </c>
      <c r="F553" s="7">
        <f>D553/100*LOOKUP(A553,'Regras e Parâmetros'!$A$11:$A$12,'Regras e Parâmetros'!$B$11:$B$12)</f>
        <v>75</v>
      </c>
      <c r="G553" s="7">
        <f t="shared" si="8"/>
        <v>0</v>
      </c>
      <c r="H553" t="s">
        <v>18</v>
      </c>
      <c r="I553" t="s">
        <v>9974</v>
      </c>
      <c r="J553" s="5" t="s">
        <v>6412</v>
      </c>
      <c r="K553" t="s">
        <v>9968</v>
      </c>
    </row>
    <row r="554" spans="1:11" x14ac:dyDescent="0.3">
      <c r="A554" s="1">
        <v>46245</v>
      </c>
      <c r="B554" s="5" t="s">
        <v>9950</v>
      </c>
      <c r="C554" t="str">
        <f>IF(B554="","",IFERROR(INDEX(Clientes!$A:$A,MATCH(B554,Clientes!$B:$B,0)),"(CPF não cadastrado)"))</f>
        <v/>
      </c>
      <c r="D554" s="24">
        <v>500</v>
      </c>
      <c r="E554" s="7">
        <v>25</v>
      </c>
      <c r="F554" s="7">
        <f>D554/100*LOOKUP(A554,'Regras e Parâmetros'!$A$11:$A$12,'Regras e Parâmetros'!$B$11:$B$12)</f>
        <v>25</v>
      </c>
      <c r="G554" s="7">
        <f t="shared" si="8"/>
        <v>0</v>
      </c>
      <c r="H554" t="s">
        <v>22</v>
      </c>
      <c r="I554" t="s">
        <v>6321</v>
      </c>
      <c r="J554" s="5" t="s">
        <v>6413</v>
      </c>
      <c r="K554" t="s">
        <v>10286</v>
      </c>
    </row>
    <row r="555" spans="1:11" x14ac:dyDescent="0.3">
      <c r="A555" s="1">
        <v>46248</v>
      </c>
      <c r="B555" s="5" t="s">
        <v>7157</v>
      </c>
      <c r="C555" t="str">
        <f>IF(B555="","",IFERROR(INDEX(Clientes!$A:$A,MATCH(B555,Clientes!$B:$B,0)),"(CPF não cadastrado)"))</f>
        <v>Carolina Santos Ribeiro</v>
      </c>
      <c r="D555" s="24">
        <v>500</v>
      </c>
      <c r="E555" s="7">
        <v>50</v>
      </c>
      <c r="F555" s="7">
        <f>D555/100*LOOKUP(A555,'Regras e Parâmetros'!$A$11:$A$12,'Regras e Parâmetros'!$B$11:$B$12)</f>
        <v>25</v>
      </c>
      <c r="G555" s="7">
        <f t="shared" si="8"/>
        <v>25</v>
      </c>
      <c r="H555" t="s">
        <v>45</v>
      </c>
      <c r="J555" s="5" t="s">
        <v>1038</v>
      </c>
      <c r="K555" t="s">
        <v>9968</v>
      </c>
    </row>
    <row r="556" spans="1:11" x14ac:dyDescent="0.3">
      <c r="A556" s="1">
        <v>46249</v>
      </c>
      <c r="B556" s="5" t="s">
        <v>8464</v>
      </c>
      <c r="C556" t="str">
        <f>IF(B556="","",IFERROR(INDEX(Clientes!$A:$A,MATCH(B556,Clientes!$B:$B,0)),"(CPF não cadastrado)"))</f>
        <v>Nicole Araújo</v>
      </c>
      <c r="D556" s="24">
        <v>300</v>
      </c>
      <c r="E556" s="7">
        <v>30</v>
      </c>
      <c r="F556" s="7">
        <f>D556/100*LOOKUP(A556,'Regras e Parâmetros'!$A$11:$A$12,'Regras e Parâmetros'!$B$11:$B$12)</f>
        <v>15</v>
      </c>
      <c r="G556" s="7">
        <f t="shared" si="8"/>
        <v>15</v>
      </c>
      <c r="H556" t="s">
        <v>45</v>
      </c>
      <c r="J556" s="5" t="s">
        <v>6372</v>
      </c>
      <c r="K556" t="s">
        <v>9968</v>
      </c>
    </row>
    <row r="557" spans="1:11" x14ac:dyDescent="0.3">
      <c r="A557" s="1">
        <v>46250</v>
      </c>
      <c r="B557" s="5" t="s">
        <v>8177</v>
      </c>
      <c r="C557" t="str">
        <f>IF(B557="","",IFERROR(INDEX(Clientes!$A:$A,MATCH(B557,Clientes!$B:$B,0)),"(CPF não cadastrado)"))</f>
        <v>Alice Ferreira Ribeiro</v>
      </c>
      <c r="D557" s="24">
        <v>500</v>
      </c>
      <c r="E557" s="7">
        <v>50</v>
      </c>
      <c r="F557" s="7">
        <f>D557/100*LOOKUP(A557,'Regras e Parâmetros'!$A$11:$A$12,'Regras e Parâmetros'!$B$11:$B$12)</f>
        <v>25</v>
      </c>
      <c r="G557" s="7">
        <f t="shared" si="8"/>
        <v>25</v>
      </c>
      <c r="H557" t="s">
        <v>45</v>
      </c>
      <c r="J557" s="5" t="s">
        <v>6130</v>
      </c>
      <c r="K557" t="s">
        <v>9968</v>
      </c>
    </row>
    <row r="558" spans="1:11" x14ac:dyDescent="0.3">
      <c r="A558" s="1">
        <v>46252</v>
      </c>
      <c r="B558" s="5" t="s">
        <v>6414</v>
      </c>
      <c r="C558" t="str">
        <f>IF(B558="","",IFERROR(INDEX(Clientes!$A:$A,MATCH(B558,Clientes!$B:$B,0)),"(CPF não cadastrado)"))</f>
        <v>Henrique Almeida</v>
      </c>
      <c r="D558" s="24">
        <v>1500</v>
      </c>
      <c r="E558" s="7">
        <v>75</v>
      </c>
      <c r="F558" s="7">
        <f>D558/100*LOOKUP(A558,'Regras e Parâmetros'!$A$11:$A$12,'Regras e Parâmetros'!$B$11:$B$12)</f>
        <v>75</v>
      </c>
      <c r="G558" s="7">
        <f t="shared" si="8"/>
        <v>0</v>
      </c>
      <c r="H558" t="s">
        <v>22</v>
      </c>
      <c r="I558" t="s">
        <v>9973</v>
      </c>
      <c r="J558" s="5" t="s">
        <v>6414</v>
      </c>
      <c r="K558" t="s">
        <v>9968</v>
      </c>
    </row>
    <row r="559" spans="1:11" x14ac:dyDescent="0.3">
      <c r="A559" s="1">
        <v>46255</v>
      </c>
      <c r="B559" s="5" t="s">
        <v>6272</v>
      </c>
      <c r="C559" t="str">
        <f>IF(B559="","",IFERROR(INDEX(Clientes!$A:$A,MATCH(B559,Clientes!$B:$B,0)),"(CPF não cadastrado)"))</f>
        <v>Camila Alves</v>
      </c>
      <c r="D559" s="24">
        <v>1000</v>
      </c>
      <c r="E559" s="7">
        <v>100</v>
      </c>
      <c r="F559" s="7">
        <f>D559/100*LOOKUP(A559,'Regras e Parâmetros'!$A$11:$A$12,'Regras e Parâmetros'!$B$11:$B$12)</f>
        <v>50</v>
      </c>
      <c r="G559" s="7">
        <f t="shared" si="8"/>
        <v>50</v>
      </c>
      <c r="H559" t="s">
        <v>110</v>
      </c>
      <c r="J559" s="5" t="s">
        <v>1717</v>
      </c>
      <c r="K559" t="s">
        <v>9968</v>
      </c>
    </row>
    <row r="560" spans="1:11" x14ac:dyDescent="0.3">
      <c r="A560" s="1">
        <v>46255</v>
      </c>
      <c r="B560" s="5" t="s">
        <v>616</v>
      </c>
      <c r="C560" t="str">
        <f>IF(B560="","",IFERROR(INDEX(Clientes!$A:$A,MATCH(B560,Clientes!$B:$B,0)),"(CPF não cadastrado)"))</f>
        <v>Kauã Gomes</v>
      </c>
      <c r="D560" s="24">
        <v>500</v>
      </c>
      <c r="E560" s="7">
        <v>50</v>
      </c>
      <c r="F560" s="7">
        <f>D560/100*LOOKUP(A560,'Regras e Parâmetros'!$A$11:$A$12,'Regras e Parâmetros'!$B$11:$B$12)</f>
        <v>25</v>
      </c>
      <c r="G560" s="7">
        <f t="shared" si="8"/>
        <v>25</v>
      </c>
      <c r="H560" t="s">
        <v>45</v>
      </c>
      <c r="J560" s="5" t="s">
        <v>6263</v>
      </c>
      <c r="K560" t="s">
        <v>9968</v>
      </c>
    </row>
    <row r="561" spans="1:11" x14ac:dyDescent="0.3">
      <c r="A561" s="1">
        <v>46256</v>
      </c>
      <c r="B561" s="5" t="s">
        <v>7275</v>
      </c>
      <c r="C561" t="str">
        <f>IF(B561="","",IFERROR(INDEX(Clientes!$A:$A,MATCH(B561,Clientes!$B:$B,0)),"(CPF não cadastrado)"))</f>
        <v>Marcelo Fonseca</v>
      </c>
      <c r="D561" s="24">
        <v>1000</v>
      </c>
      <c r="E561" s="7">
        <v>100</v>
      </c>
      <c r="F561" s="7">
        <f>D561/100*LOOKUP(A561,'Regras e Parâmetros'!$A$11:$A$12,'Regras e Parâmetros'!$B$11:$B$12)</f>
        <v>50</v>
      </c>
      <c r="G561" s="7">
        <f t="shared" si="8"/>
        <v>50</v>
      </c>
      <c r="H561" t="s">
        <v>100</v>
      </c>
      <c r="J561" s="5" t="s">
        <v>1461</v>
      </c>
      <c r="K561" t="s">
        <v>9968</v>
      </c>
    </row>
    <row r="562" spans="1:11" x14ac:dyDescent="0.3">
      <c r="A562" s="1">
        <v>46258</v>
      </c>
      <c r="B562" s="5" t="s">
        <v>4672</v>
      </c>
      <c r="C562" t="str">
        <f>IF(B562="","",IFERROR(INDEX(Clientes!$A:$A,MATCH(B562,Clientes!$B:$B,0)),"(CPF não cadastrado)"))</f>
        <v>Laura Silva Moreira</v>
      </c>
      <c r="D562" s="24">
        <v>1000</v>
      </c>
      <c r="E562" s="7">
        <v>50</v>
      </c>
      <c r="F562" s="7">
        <f>D562/100*LOOKUP(A562,'Regras e Parâmetros'!$A$11:$A$12,'Regras e Parâmetros'!$B$11:$B$12)</f>
        <v>50</v>
      </c>
      <c r="G562" s="7">
        <f t="shared" si="8"/>
        <v>0</v>
      </c>
      <c r="H562" t="s">
        <v>110</v>
      </c>
      <c r="I562" t="s">
        <v>9971</v>
      </c>
      <c r="J562" s="5" t="s">
        <v>6415</v>
      </c>
      <c r="K562" t="s">
        <v>9968</v>
      </c>
    </row>
    <row r="563" spans="1:11" x14ac:dyDescent="0.3">
      <c r="A563" s="1">
        <v>46258</v>
      </c>
      <c r="B563" s="5" t="s">
        <v>6572</v>
      </c>
      <c r="C563" t="str">
        <f>IF(B563="","",IFERROR(INDEX(Clientes!$A:$A,MATCH(B563,Clientes!$B:$B,0)),"(CPF não cadastrado)"))</f>
        <v>Bruna Campos</v>
      </c>
      <c r="D563" s="24">
        <v>800</v>
      </c>
      <c r="E563" s="7">
        <v>80</v>
      </c>
      <c r="F563" s="7">
        <f>D563/100*LOOKUP(A563,'Regras e Parâmetros'!$A$11:$A$12,'Regras e Parâmetros'!$B$11:$B$12)</f>
        <v>40</v>
      </c>
      <c r="G563" s="7">
        <f t="shared" si="8"/>
        <v>40</v>
      </c>
      <c r="H563" t="s">
        <v>45</v>
      </c>
      <c r="J563" s="5" t="s">
        <v>221</v>
      </c>
      <c r="K563" t="s">
        <v>9968</v>
      </c>
    </row>
    <row r="564" spans="1:11" x14ac:dyDescent="0.3">
      <c r="A564" s="1">
        <v>46260</v>
      </c>
      <c r="B564" s="5" t="s">
        <v>2599</v>
      </c>
      <c r="C564" t="str">
        <f>IF(B564="","",IFERROR(INDEX(Clientes!$A:$A,MATCH(B564,Clientes!$B:$B,0)),"(CPF não cadastrado)"))</f>
        <v>Davi Andrade</v>
      </c>
      <c r="D564" s="24">
        <v>1000</v>
      </c>
      <c r="E564" s="7">
        <v>100</v>
      </c>
      <c r="F564" s="7">
        <f>D564/100*LOOKUP(A564,'Regras e Parâmetros'!$A$11:$A$12,'Regras e Parâmetros'!$B$11:$B$12)</f>
        <v>50</v>
      </c>
      <c r="G564" s="7">
        <f t="shared" si="8"/>
        <v>50</v>
      </c>
      <c r="H564" t="s">
        <v>18</v>
      </c>
      <c r="J564" s="5" t="s">
        <v>6416</v>
      </c>
      <c r="K564" t="s">
        <v>9968</v>
      </c>
    </row>
    <row r="565" spans="1:11" x14ac:dyDescent="0.3">
      <c r="A565" s="1">
        <v>46260</v>
      </c>
      <c r="B565" s="5" t="s">
        <v>8304</v>
      </c>
      <c r="C565" t="str">
        <f>IF(B565="","",IFERROR(INDEX(Clientes!$A:$A,MATCH(B565,Clientes!$B:$B,0)),"(CPF não cadastrado)"))</f>
        <v>Giovanna Moreira Ferreira</v>
      </c>
      <c r="D565" s="24">
        <v>1200</v>
      </c>
      <c r="E565" s="7">
        <v>120</v>
      </c>
      <c r="F565" s="7">
        <f>D565/100*LOOKUP(A565,'Regras e Parâmetros'!$A$11:$A$12,'Regras e Parâmetros'!$B$11:$B$12)</f>
        <v>60</v>
      </c>
      <c r="G565" s="7">
        <f t="shared" si="8"/>
        <v>60</v>
      </c>
      <c r="H565" t="s">
        <v>45</v>
      </c>
      <c r="J565" s="5" t="s">
        <v>6259</v>
      </c>
      <c r="K565" t="s">
        <v>9968</v>
      </c>
    </row>
    <row r="566" spans="1:11" x14ac:dyDescent="0.3">
      <c r="A566" s="1">
        <v>46263</v>
      </c>
      <c r="B566" s="5" t="s">
        <v>9014</v>
      </c>
      <c r="C566" t="str">
        <f>IF(B566="","",IFERROR(INDEX(Clientes!$A:$A,MATCH(B566,Clientes!$B:$B,0)),"(CPF não cadastrado)"))</f>
        <v>Ícaro Cavalcanti Teixeira</v>
      </c>
      <c r="D566" s="24">
        <v>1000</v>
      </c>
      <c r="E566" s="7">
        <v>100</v>
      </c>
      <c r="F566" s="7">
        <f>D566/100*LOOKUP(A566,'Regras e Parâmetros'!$A$11:$A$12,'Regras e Parâmetros'!$B$11:$B$12)</f>
        <v>50</v>
      </c>
      <c r="G566" s="7">
        <f t="shared" si="8"/>
        <v>50</v>
      </c>
      <c r="H566" t="s">
        <v>18</v>
      </c>
      <c r="J566" s="5" t="s">
        <v>6296</v>
      </c>
      <c r="K566" t="s">
        <v>9968</v>
      </c>
    </row>
    <row r="567" spans="1:11" x14ac:dyDescent="0.3">
      <c r="A567" s="1">
        <v>46263</v>
      </c>
      <c r="B567" s="5" t="s">
        <v>4282</v>
      </c>
      <c r="C567" t="str">
        <f>IF(B567="","",IFERROR(INDEX(Clientes!$A:$A,MATCH(B567,Clientes!$B:$B,0)),"(CPF não cadastrado)"))</f>
        <v>Aline Machado Rodrigues</v>
      </c>
      <c r="D567" s="24">
        <v>1500</v>
      </c>
      <c r="E567" s="7">
        <v>150</v>
      </c>
      <c r="F567" s="7">
        <f>D567/100*LOOKUP(A567,'Regras e Parâmetros'!$A$11:$A$12,'Regras e Parâmetros'!$B$11:$B$12)</f>
        <v>75</v>
      </c>
      <c r="G567" s="7">
        <f t="shared" si="8"/>
        <v>75</v>
      </c>
      <c r="H567" t="s">
        <v>18</v>
      </c>
      <c r="J567" s="5" t="s">
        <v>6417</v>
      </c>
      <c r="K567" t="s">
        <v>9968</v>
      </c>
    </row>
    <row r="568" spans="1:11" x14ac:dyDescent="0.3">
      <c r="A568" s="1">
        <v>46263</v>
      </c>
      <c r="B568" s="5" t="s">
        <v>8583</v>
      </c>
      <c r="C568" t="str">
        <f>IF(B568="","",IFERROR(INDEX(Clientes!$A:$A,MATCH(B568,Clientes!$B:$B,0)),"(CPF não cadastrado)"))</f>
        <v>Felipe Ramos Barbosa</v>
      </c>
      <c r="D568" s="24">
        <v>500</v>
      </c>
      <c r="E568" s="7">
        <v>50</v>
      </c>
      <c r="F568" s="7">
        <f>D568/100*LOOKUP(A568,'Regras e Parâmetros'!$A$11:$A$12,'Regras e Parâmetros'!$B$11:$B$12)</f>
        <v>25</v>
      </c>
      <c r="G568" s="7">
        <f t="shared" si="8"/>
        <v>25</v>
      </c>
      <c r="H568" t="s">
        <v>22</v>
      </c>
      <c r="J568" s="5" t="s">
        <v>3867</v>
      </c>
      <c r="K568" t="s">
        <v>9968</v>
      </c>
    </row>
    <row r="569" spans="1:11" x14ac:dyDescent="0.3">
      <c r="A569" s="1">
        <v>46266</v>
      </c>
      <c r="B569" s="5" t="s">
        <v>1421</v>
      </c>
      <c r="C569" t="str">
        <f>IF(B569="","",IFERROR(INDEX(Clientes!$A:$A,MATCH(B569,Clientes!$B:$B,0)),"(CPF não cadastrado)"))</f>
        <v>Tainá Santos Ribeiro</v>
      </c>
      <c r="D569" s="24">
        <v>600</v>
      </c>
      <c r="E569" s="7">
        <v>60</v>
      </c>
      <c r="F569" s="7">
        <f>D569/100*LOOKUP(A569,'Regras e Parâmetros'!$A$11:$A$12,'Regras e Parâmetros'!$B$11:$B$12)</f>
        <v>30</v>
      </c>
      <c r="G569" s="7">
        <f t="shared" si="8"/>
        <v>30</v>
      </c>
      <c r="H569" t="s">
        <v>45</v>
      </c>
      <c r="J569" s="5" t="s">
        <v>6418</v>
      </c>
      <c r="K569" t="s">
        <v>9968</v>
      </c>
    </row>
    <row r="570" spans="1:11" x14ac:dyDescent="0.3">
      <c r="A570" s="1">
        <v>46267</v>
      </c>
      <c r="B570" s="5" t="s">
        <v>7013</v>
      </c>
      <c r="C570" t="str">
        <f>IF(B570="","",IFERROR(INDEX(Clientes!$A:$A,MATCH(B570,Clientes!$B:$B,0)),"(CPF não cadastrado)"))</f>
        <v>Paula Santos</v>
      </c>
      <c r="D570" s="24">
        <v>1000</v>
      </c>
      <c r="E570" s="7">
        <v>50</v>
      </c>
      <c r="F570" s="7">
        <f>D570/100*LOOKUP(A570,'Regras e Parâmetros'!$A$11:$A$12,'Regras e Parâmetros'!$B$11:$B$12)</f>
        <v>50</v>
      </c>
      <c r="G570" s="7">
        <f t="shared" si="8"/>
        <v>0</v>
      </c>
      <c r="H570" t="s">
        <v>18</v>
      </c>
      <c r="I570" t="s">
        <v>6145</v>
      </c>
      <c r="J570" s="5" t="s">
        <v>6322</v>
      </c>
      <c r="K570" t="s">
        <v>9968</v>
      </c>
    </row>
    <row r="571" spans="1:11" x14ac:dyDescent="0.3">
      <c r="A571" s="1">
        <v>46269</v>
      </c>
      <c r="B571" s="5" t="s">
        <v>730</v>
      </c>
      <c r="C571" t="str">
        <f>IF(B571="","",IFERROR(INDEX(Clientes!$A:$A,MATCH(B571,Clientes!$B:$B,0)),"(CPF não cadastrado)"))</f>
        <v>Rafaela Pinto</v>
      </c>
      <c r="D571" s="24">
        <v>1000</v>
      </c>
      <c r="E571" s="7">
        <v>100</v>
      </c>
      <c r="F571" s="7">
        <f>D571/100*LOOKUP(A571,'Regras e Parâmetros'!$A$11:$A$12,'Regras e Parâmetros'!$B$11:$B$12)</f>
        <v>50</v>
      </c>
      <c r="G571" s="7">
        <f t="shared" si="8"/>
        <v>50</v>
      </c>
      <c r="H571" t="s">
        <v>110</v>
      </c>
      <c r="J571" s="5" t="s">
        <v>6419</v>
      </c>
      <c r="K571" t="s">
        <v>9968</v>
      </c>
    </row>
    <row r="572" spans="1:11" x14ac:dyDescent="0.3">
      <c r="A572" s="1">
        <v>46270</v>
      </c>
      <c r="B572" s="5" t="s">
        <v>6032</v>
      </c>
      <c r="C572" t="str">
        <f>IF(B572="","",IFERROR(INDEX(Clientes!$A:$A,MATCH(B572,Clientes!$B:$B,0)),"(CPF não cadastrado)"))</f>
        <v>Natália Ribeiro</v>
      </c>
      <c r="D572" s="24">
        <v>1000</v>
      </c>
      <c r="E572" s="7">
        <v>100</v>
      </c>
      <c r="F572" s="7">
        <f>D572/100*LOOKUP(A572,'Regras e Parâmetros'!$A$11:$A$12,'Regras e Parâmetros'!$B$11:$B$12)</f>
        <v>50</v>
      </c>
      <c r="G572" s="7">
        <f t="shared" si="8"/>
        <v>50</v>
      </c>
      <c r="H572" t="s">
        <v>22</v>
      </c>
      <c r="J572" s="5" t="s">
        <v>1711</v>
      </c>
      <c r="K572" t="s">
        <v>9968</v>
      </c>
    </row>
    <row r="573" spans="1:11" x14ac:dyDescent="0.3">
      <c r="A573" s="1">
        <v>46271</v>
      </c>
      <c r="B573" s="5" t="s">
        <v>6536</v>
      </c>
      <c r="C573" t="str">
        <f>IF(B573="","",IFERROR(INDEX(Clientes!$A:$A,MATCH(B573,Clientes!$B:$B,0)),"(CPF não cadastrado)"))</f>
        <v>Lucas Rodrigues Nascimento</v>
      </c>
      <c r="D573" s="24">
        <v>500</v>
      </c>
      <c r="E573" s="7">
        <v>50</v>
      </c>
      <c r="F573" s="7">
        <f>D573/100*LOOKUP(A573,'Regras e Parâmetros'!$A$11:$A$12,'Regras e Parâmetros'!$B$11:$B$12)</f>
        <v>25</v>
      </c>
      <c r="G573" s="7">
        <f t="shared" si="8"/>
        <v>25</v>
      </c>
      <c r="H573" t="s">
        <v>45</v>
      </c>
      <c r="J573" s="5" t="s">
        <v>6382</v>
      </c>
      <c r="K573" t="s">
        <v>9968</v>
      </c>
    </row>
    <row r="574" spans="1:11" x14ac:dyDescent="0.3">
      <c r="A574" s="1">
        <v>46271</v>
      </c>
      <c r="B574" s="5" t="s">
        <v>6559</v>
      </c>
      <c r="C574" t="str">
        <f>IF(B574="","",IFERROR(INDEX(Clientes!$A:$A,MATCH(B574,Clientes!$B:$B,0)),"(CPF não cadastrado)"))</f>
        <v>Caio Rodrigues Soares</v>
      </c>
      <c r="D574" s="24">
        <v>500</v>
      </c>
      <c r="E574" s="7">
        <v>50</v>
      </c>
      <c r="F574" s="7">
        <f>D574/100*LOOKUP(A574,'Regras e Parâmetros'!$A$11:$A$12,'Regras e Parâmetros'!$B$11:$B$12)</f>
        <v>25</v>
      </c>
      <c r="G574" s="7">
        <f t="shared" si="8"/>
        <v>25</v>
      </c>
      <c r="H574" t="s">
        <v>45</v>
      </c>
      <c r="J574" s="5" t="s">
        <v>6420</v>
      </c>
      <c r="K574" t="s">
        <v>9968</v>
      </c>
    </row>
    <row r="575" spans="1:11" x14ac:dyDescent="0.3">
      <c r="A575" s="1">
        <v>46272</v>
      </c>
      <c r="B575" s="5" t="s">
        <v>6414</v>
      </c>
      <c r="C575" t="str">
        <f>IF(B575="","",IFERROR(INDEX(Clientes!$A:$A,MATCH(B575,Clientes!$B:$B,0)),"(CPF não cadastrado)"))</f>
        <v>Henrique Almeida</v>
      </c>
      <c r="D575" s="24">
        <v>1000</v>
      </c>
      <c r="E575" s="7">
        <v>100</v>
      </c>
      <c r="F575" s="7">
        <f>D575/100*LOOKUP(A575,'Regras e Parâmetros'!$A$11:$A$12,'Regras e Parâmetros'!$B$11:$B$12)</f>
        <v>50</v>
      </c>
      <c r="G575" s="7">
        <f t="shared" si="8"/>
        <v>50</v>
      </c>
      <c r="H575" t="s">
        <v>45</v>
      </c>
      <c r="J575" s="5" t="s">
        <v>88</v>
      </c>
      <c r="K575" t="s">
        <v>9968</v>
      </c>
    </row>
    <row r="576" spans="1:11" x14ac:dyDescent="0.3">
      <c r="A576" s="1">
        <v>46273</v>
      </c>
      <c r="B576" s="5" t="s">
        <v>4780</v>
      </c>
      <c r="C576" t="str">
        <f>IF(B576="","",IFERROR(INDEX(Clientes!$A:$A,MATCH(B576,Clientes!$B:$B,0)),"(CPF não cadastrado)"))</f>
        <v>Paulo Martins</v>
      </c>
      <c r="D576" s="24">
        <v>2000</v>
      </c>
      <c r="E576" s="7">
        <v>200</v>
      </c>
      <c r="F576" s="7">
        <f>D576/100*LOOKUP(A576,'Regras e Parâmetros'!$A$11:$A$12,'Regras e Parâmetros'!$B$11:$B$12)</f>
        <v>100</v>
      </c>
      <c r="G576" s="7">
        <f t="shared" si="8"/>
        <v>100</v>
      </c>
      <c r="H576" t="s">
        <v>110</v>
      </c>
      <c r="J576" s="5" t="s">
        <v>6421</v>
      </c>
      <c r="K576" t="s">
        <v>9968</v>
      </c>
    </row>
    <row r="577" spans="1:11" x14ac:dyDescent="0.3">
      <c r="A577" s="1">
        <v>46273</v>
      </c>
      <c r="B577" s="5" t="s">
        <v>7428</v>
      </c>
      <c r="C577" t="str">
        <f>IF(B577="","",IFERROR(INDEX(Clientes!$A:$A,MATCH(B577,Clientes!$B:$B,0)),"(CPF não cadastrado)"))</f>
        <v>Clara Fonseca</v>
      </c>
      <c r="D577" s="24">
        <v>500</v>
      </c>
      <c r="E577" s="7">
        <v>50</v>
      </c>
      <c r="F577" s="7">
        <f>D577/100*LOOKUP(A577,'Regras e Parâmetros'!$A$11:$A$12,'Regras e Parâmetros'!$B$11:$B$12)</f>
        <v>25</v>
      </c>
      <c r="G577" s="7">
        <f t="shared" si="8"/>
        <v>25</v>
      </c>
      <c r="H577" t="s">
        <v>45</v>
      </c>
      <c r="J577" s="5" t="s">
        <v>6422</v>
      </c>
      <c r="K577" t="s">
        <v>9968</v>
      </c>
    </row>
    <row r="578" spans="1:11" x14ac:dyDescent="0.3">
      <c r="A578" s="1">
        <v>46275</v>
      </c>
      <c r="B578" s="5" t="s">
        <v>6423</v>
      </c>
      <c r="C578" t="str">
        <f>IF(B578="","",IFERROR(INDEX(Clientes!$A:$A,MATCH(B578,Clientes!$B:$B,0)),"(CPF não cadastrado)"))</f>
        <v>Heloísa Moreira Nogueira</v>
      </c>
      <c r="D578" s="24">
        <v>2000</v>
      </c>
      <c r="E578" s="7">
        <v>100</v>
      </c>
      <c r="F578" s="7">
        <f>D578/100*LOOKUP(A578,'Regras e Parâmetros'!$A$11:$A$12,'Regras e Parâmetros'!$B$11:$B$12)</f>
        <v>100</v>
      </c>
      <c r="G578" s="7">
        <f t="shared" si="8"/>
        <v>0</v>
      </c>
      <c r="H578" t="s">
        <v>100</v>
      </c>
      <c r="I578" t="s">
        <v>9970</v>
      </c>
      <c r="J578" s="5" t="s">
        <v>6423</v>
      </c>
      <c r="K578" t="s">
        <v>9968</v>
      </c>
    </row>
    <row r="579" spans="1:11" x14ac:dyDescent="0.3">
      <c r="A579" s="1">
        <v>46276</v>
      </c>
      <c r="B579" s="5" t="s">
        <v>6053</v>
      </c>
      <c r="C579" t="str">
        <f>IF(B579="","",IFERROR(INDEX(Clientes!$A:$A,MATCH(B579,Clientes!$B:$B,0)),"(CPF não cadastrado)"))</f>
        <v>Camila Lima</v>
      </c>
      <c r="D579" s="24">
        <v>2000</v>
      </c>
      <c r="E579" s="7">
        <v>100</v>
      </c>
      <c r="F579" s="7">
        <f>D579/100*LOOKUP(A579,'Regras e Parâmetros'!$A$11:$A$12,'Regras e Parâmetros'!$B$11:$B$12)</f>
        <v>100</v>
      </c>
      <c r="G579" s="7">
        <f t="shared" ref="G579:G597" si="9">E579-F579</f>
        <v>0</v>
      </c>
      <c r="H579" t="s">
        <v>110</v>
      </c>
      <c r="I579" t="s">
        <v>6087</v>
      </c>
      <c r="J579" s="5" t="s">
        <v>6424</v>
      </c>
      <c r="K579" t="s">
        <v>9968</v>
      </c>
    </row>
    <row r="580" spans="1:11" x14ac:dyDescent="0.3">
      <c r="A580" s="1">
        <v>46276</v>
      </c>
      <c r="B580" s="5" t="s">
        <v>4204</v>
      </c>
      <c r="C580" t="str">
        <f>IF(B580="","",IFERROR(INDEX(Clientes!$A:$A,MATCH(B580,Clientes!$B:$B,0)),"(CPF não cadastrado)"))</f>
        <v>Gabriela Moreira</v>
      </c>
      <c r="D580" s="24">
        <v>1000</v>
      </c>
      <c r="E580" s="7">
        <v>100</v>
      </c>
      <c r="F580" s="7">
        <f>D580/100*LOOKUP(A580,'Regras e Parâmetros'!$A$11:$A$12,'Regras e Parâmetros'!$B$11:$B$12)</f>
        <v>50</v>
      </c>
      <c r="G580" s="7">
        <f t="shared" si="9"/>
        <v>50</v>
      </c>
      <c r="H580" t="s">
        <v>110</v>
      </c>
      <c r="J580" s="5" t="s">
        <v>6425</v>
      </c>
      <c r="K580" t="s">
        <v>9968</v>
      </c>
    </row>
    <row r="581" spans="1:11" x14ac:dyDescent="0.3">
      <c r="A581" s="1">
        <v>46276</v>
      </c>
      <c r="B581" s="5" t="s">
        <v>9103</v>
      </c>
      <c r="C581" t="str">
        <f>IF(B581="","",IFERROR(INDEX(Clientes!$A:$A,MATCH(B581,Clientes!$B:$B,0)),"(CPF não cadastrado)"))</f>
        <v>Sabrina Machado Oliveira</v>
      </c>
      <c r="D581" s="24">
        <v>500</v>
      </c>
      <c r="E581" s="7">
        <v>50</v>
      </c>
      <c r="F581" s="7">
        <f>D581/100*LOOKUP(A581,'Regras e Parâmetros'!$A$11:$A$12,'Regras e Parâmetros'!$B$11:$B$12)</f>
        <v>25</v>
      </c>
      <c r="G581" s="7">
        <f t="shared" si="9"/>
        <v>25</v>
      </c>
      <c r="H581" t="s">
        <v>110</v>
      </c>
      <c r="J581" s="5" t="s">
        <v>6333</v>
      </c>
      <c r="K581" t="s">
        <v>9968</v>
      </c>
    </row>
    <row r="582" spans="1:11" x14ac:dyDescent="0.3">
      <c r="A582" s="1">
        <v>46281</v>
      </c>
      <c r="B582" s="5" t="s">
        <v>9950</v>
      </c>
      <c r="C582" t="str">
        <f>IF(B582="","",IFERROR(INDEX(Clientes!$A:$A,MATCH(B582,Clientes!$B:$B,0)),"(CPF não cadastrado)"))</f>
        <v/>
      </c>
      <c r="D582" s="24">
        <v>500</v>
      </c>
      <c r="E582" s="7">
        <v>25</v>
      </c>
      <c r="F582" s="7">
        <f>D582/100*LOOKUP(A582,'Regras e Parâmetros'!$A$11:$A$12,'Regras e Parâmetros'!$B$11:$B$12)</f>
        <v>25</v>
      </c>
      <c r="G582" s="7">
        <f t="shared" si="9"/>
        <v>0</v>
      </c>
      <c r="H582" t="s">
        <v>18</v>
      </c>
      <c r="I582" t="s">
        <v>6125</v>
      </c>
      <c r="J582" s="5" t="s">
        <v>6177</v>
      </c>
      <c r="K582" t="s">
        <v>10287</v>
      </c>
    </row>
    <row r="583" spans="1:11" x14ac:dyDescent="0.3">
      <c r="A583" s="1">
        <v>46282</v>
      </c>
      <c r="B583" s="5" t="s">
        <v>3612</v>
      </c>
      <c r="C583" t="str">
        <f>IF(B583="","",IFERROR(INDEX(Clientes!$A:$A,MATCH(B583,Clientes!$B:$B,0)),"(CPF não cadastrado)"))</f>
        <v>Valentina Pereira Nascimento</v>
      </c>
      <c r="D583" s="24">
        <v>1500</v>
      </c>
      <c r="E583" s="7">
        <v>150</v>
      </c>
      <c r="F583" s="7">
        <f>D583/100*LOOKUP(A583,'Regras e Parâmetros'!$A$11:$A$12,'Regras e Parâmetros'!$B$11:$B$12)</f>
        <v>75</v>
      </c>
      <c r="G583" s="7">
        <f t="shared" si="9"/>
        <v>75</v>
      </c>
      <c r="H583" t="s">
        <v>100</v>
      </c>
      <c r="J583" s="5" t="s">
        <v>6426</v>
      </c>
      <c r="K583" t="s">
        <v>9968</v>
      </c>
    </row>
    <row r="584" spans="1:11" x14ac:dyDescent="0.3">
      <c r="A584" s="1">
        <v>46283</v>
      </c>
      <c r="B584" s="5" t="s">
        <v>7971</v>
      </c>
      <c r="C584" t="str">
        <f>IF(B584="","",IFERROR(INDEX(Clientes!$A:$A,MATCH(B584,Clientes!$B:$B,0)),"(CPF não cadastrado)"))</f>
        <v>Manuela Fonseca</v>
      </c>
      <c r="D584" s="24">
        <v>500</v>
      </c>
      <c r="E584" s="7">
        <v>50</v>
      </c>
      <c r="F584" s="7">
        <f>D584/100*LOOKUP(A584,'Regras e Parâmetros'!$A$11:$A$12,'Regras e Parâmetros'!$B$11:$B$12)</f>
        <v>25</v>
      </c>
      <c r="G584" s="7">
        <f t="shared" si="9"/>
        <v>25</v>
      </c>
      <c r="H584" t="s">
        <v>45</v>
      </c>
      <c r="J584" s="5" t="s">
        <v>6234</v>
      </c>
      <c r="K584" t="s">
        <v>9968</v>
      </c>
    </row>
    <row r="585" spans="1:11" x14ac:dyDescent="0.3">
      <c r="A585" s="1">
        <v>46284</v>
      </c>
      <c r="B585" s="5" t="s">
        <v>6584</v>
      </c>
      <c r="C585" t="str">
        <f>IF(B585="","",IFERROR(INDEX(Clientes!$A:$A,MATCH(B585,Clientes!$B:$B,0)),"(CPF não cadastrado)"))</f>
        <v>Manuela Vieira</v>
      </c>
      <c r="D585" s="24">
        <v>1500</v>
      </c>
      <c r="E585" s="7">
        <v>75</v>
      </c>
      <c r="F585" s="7">
        <f>D585/100*LOOKUP(A585,'Regras e Parâmetros'!$A$11:$A$12,'Regras e Parâmetros'!$B$11:$B$12)</f>
        <v>75</v>
      </c>
      <c r="G585" s="7">
        <f t="shared" si="9"/>
        <v>0</v>
      </c>
      <c r="H585" t="s">
        <v>110</v>
      </c>
      <c r="I585" t="s">
        <v>9971</v>
      </c>
      <c r="J585" s="5" t="s">
        <v>6427</v>
      </c>
      <c r="K585" t="s">
        <v>10061</v>
      </c>
    </row>
    <row r="586" spans="1:11" x14ac:dyDescent="0.3">
      <c r="A586" s="1">
        <v>46286</v>
      </c>
      <c r="B586" s="5" t="s">
        <v>7016</v>
      </c>
      <c r="C586" t="str">
        <f>IF(B586="","",IFERROR(INDEX(Clientes!$A:$A,MATCH(B586,Clientes!$B:$B,0)),"(CPF não cadastrado)"))</f>
        <v>Rebeca Gonçalves Santana</v>
      </c>
      <c r="D586" s="24">
        <v>2000</v>
      </c>
      <c r="E586" s="7">
        <v>200</v>
      </c>
      <c r="F586" s="7">
        <f>D586/100*LOOKUP(A586,'Regras e Parâmetros'!$A$11:$A$12,'Regras e Parâmetros'!$B$11:$B$12)</f>
        <v>100</v>
      </c>
      <c r="G586" s="7">
        <f t="shared" si="9"/>
        <v>100</v>
      </c>
      <c r="H586" t="s">
        <v>18</v>
      </c>
      <c r="J586" s="5" t="s">
        <v>6428</v>
      </c>
      <c r="K586" t="s">
        <v>9968</v>
      </c>
    </row>
    <row r="587" spans="1:11" x14ac:dyDescent="0.3">
      <c r="A587" s="1">
        <v>46286</v>
      </c>
      <c r="B587" s="5" t="s">
        <v>1637</v>
      </c>
      <c r="C587" t="str">
        <f>IF(B587="","",IFERROR(INDEX(Clientes!$A:$A,MATCH(B587,Clientes!$B:$B,0)),"(CPF não cadastrado)"))</f>
        <v>Manuela Farias</v>
      </c>
      <c r="D587" s="24">
        <v>300</v>
      </c>
      <c r="E587" s="7">
        <v>30</v>
      </c>
      <c r="F587" s="7">
        <f>D587/100*LOOKUP(A587,'Regras e Parâmetros'!$A$11:$A$12,'Regras e Parâmetros'!$B$11:$B$12)</f>
        <v>15</v>
      </c>
      <c r="G587" s="7">
        <f t="shared" si="9"/>
        <v>15</v>
      </c>
      <c r="H587" t="s">
        <v>45</v>
      </c>
      <c r="J587" s="5" t="s">
        <v>6429</v>
      </c>
      <c r="K587" t="s">
        <v>9968</v>
      </c>
    </row>
    <row r="588" spans="1:11" x14ac:dyDescent="0.3">
      <c r="A588" s="1">
        <v>46286</v>
      </c>
      <c r="B588" s="5" t="s">
        <v>9510</v>
      </c>
      <c r="C588" t="str">
        <f>IF(B588="","",IFERROR(INDEX(Clientes!$A:$A,MATCH(B588,Clientes!$B:$B,0)),"(CPF não cadastrado)"))</f>
        <v>Ricardo Rocha</v>
      </c>
      <c r="D588" s="24">
        <v>1000</v>
      </c>
      <c r="E588" s="7">
        <v>100</v>
      </c>
      <c r="F588" s="7">
        <f>D588/100*LOOKUP(A588,'Regras e Parâmetros'!$A$11:$A$12,'Regras e Parâmetros'!$B$11:$B$12)</f>
        <v>50</v>
      </c>
      <c r="G588" s="7">
        <f t="shared" si="9"/>
        <v>50</v>
      </c>
      <c r="H588" t="s">
        <v>45</v>
      </c>
      <c r="J588" s="5" t="s">
        <v>5479</v>
      </c>
      <c r="K588" t="s">
        <v>9968</v>
      </c>
    </row>
    <row r="589" spans="1:11" x14ac:dyDescent="0.3">
      <c r="A589" s="1">
        <v>46287</v>
      </c>
      <c r="B589" s="5" t="s">
        <v>2195</v>
      </c>
      <c r="C589" t="str">
        <f>IF(B589="","",IFERROR(INDEX(Clientes!$A:$A,MATCH(B589,Clientes!$B:$B,0)),"(CPF não cadastrado)"))</f>
        <v>Cauã Vieira Moura</v>
      </c>
      <c r="D589" s="24">
        <v>300</v>
      </c>
      <c r="E589" s="7">
        <v>30</v>
      </c>
      <c r="F589" s="7">
        <f>D589/100*LOOKUP(A589,'Regras e Parâmetros'!$A$11:$A$12,'Regras e Parâmetros'!$B$11:$B$12)</f>
        <v>15</v>
      </c>
      <c r="G589" s="7">
        <f t="shared" si="9"/>
        <v>15</v>
      </c>
      <c r="H589" t="s">
        <v>45</v>
      </c>
      <c r="J589" s="5" t="s">
        <v>6260</v>
      </c>
      <c r="K589" t="s">
        <v>9968</v>
      </c>
    </row>
    <row r="590" spans="1:11" x14ac:dyDescent="0.3">
      <c r="A590" s="1">
        <v>46288</v>
      </c>
      <c r="B590" s="5" t="s">
        <v>179</v>
      </c>
      <c r="C590" t="str">
        <f>IF(B590="","",IFERROR(INDEX(Clientes!$A:$A,MATCH(B590,Clientes!$B:$B,0)),"(CPF não cadastrado)"))</f>
        <v>Paulo Gonçalves Barbosa</v>
      </c>
      <c r="D590" s="24">
        <v>1800</v>
      </c>
      <c r="E590" s="7">
        <v>180</v>
      </c>
      <c r="F590" s="7">
        <f>D590/100*LOOKUP(A590,'Regras e Parâmetros'!$A$11:$A$12,'Regras e Parâmetros'!$B$11:$B$12)</f>
        <v>90</v>
      </c>
      <c r="G590" s="7">
        <f t="shared" si="9"/>
        <v>90</v>
      </c>
      <c r="H590" t="s">
        <v>110</v>
      </c>
      <c r="J590" s="5" t="s">
        <v>6430</v>
      </c>
      <c r="K590" t="s">
        <v>9968</v>
      </c>
    </row>
    <row r="591" spans="1:11" x14ac:dyDescent="0.3">
      <c r="A591" s="1">
        <v>46289</v>
      </c>
      <c r="B591" s="5" t="s">
        <v>6431</v>
      </c>
      <c r="C591" t="str">
        <f>IF(B591="","",IFERROR(INDEX(Clientes!$A:$A,MATCH(B591,Clientes!$B:$B,0)),"(CPF não cadastrado)"))</f>
        <v>Clara Campos Dias</v>
      </c>
      <c r="D591" s="24">
        <v>1000</v>
      </c>
      <c r="E591" s="7">
        <v>50</v>
      </c>
      <c r="F591" s="7">
        <f>D591/100*LOOKUP(A591,'Regras e Parâmetros'!$A$11:$A$12,'Regras e Parâmetros'!$B$11:$B$12)</f>
        <v>50</v>
      </c>
      <c r="G591" s="7">
        <f t="shared" si="9"/>
        <v>0</v>
      </c>
      <c r="H591" t="s">
        <v>18</v>
      </c>
      <c r="I591" t="s">
        <v>6125</v>
      </c>
      <c r="J591" s="5" t="s">
        <v>6431</v>
      </c>
      <c r="K591" t="s">
        <v>9968</v>
      </c>
    </row>
    <row r="592" spans="1:11" x14ac:dyDescent="0.3">
      <c r="A592" s="1">
        <v>46290</v>
      </c>
      <c r="B592" s="5" t="s">
        <v>2368</v>
      </c>
      <c r="C592" t="str">
        <f>IF(B592="","",IFERROR(INDEX(Clientes!$A:$A,MATCH(B592,Clientes!$B:$B,0)),"(CPF não cadastrado)"))</f>
        <v>Gabriel Barbosa Silva</v>
      </c>
      <c r="D592" s="24">
        <v>300</v>
      </c>
      <c r="E592" s="7">
        <v>15</v>
      </c>
      <c r="F592" s="7">
        <f>D592/100*LOOKUP(A592,'Regras e Parâmetros'!$A$11:$A$12,'Regras e Parâmetros'!$B$11:$B$12)</f>
        <v>15</v>
      </c>
      <c r="G592" s="7">
        <f t="shared" si="9"/>
        <v>0</v>
      </c>
      <c r="H592" t="s">
        <v>110</v>
      </c>
      <c r="I592" t="s">
        <v>6093</v>
      </c>
      <c r="J592" s="5" t="s">
        <v>6432</v>
      </c>
      <c r="K592" t="s">
        <v>9968</v>
      </c>
    </row>
    <row r="593" spans="1:11" x14ac:dyDescent="0.3">
      <c r="A593" s="1">
        <v>46290</v>
      </c>
      <c r="B593" s="5" t="s">
        <v>6515</v>
      </c>
      <c r="C593" t="str">
        <f>IF(B593="","",IFERROR(INDEX(Clientes!$A:$A,MATCH(B593,Clientes!$B:$B,0)),"(CPF não cadastrado)"))</f>
        <v>Heloísa Ribeiro</v>
      </c>
      <c r="D593" s="24">
        <v>1000</v>
      </c>
      <c r="E593" s="7">
        <v>100</v>
      </c>
      <c r="F593" s="7">
        <f>D593/100*LOOKUP(A593,'Regras e Parâmetros'!$A$11:$A$12,'Regras e Parâmetros'!$B$11:$B$12)</f>
        <v>50</v>
      </c>
      <c r="G593" s="7">
        <f t="shared" si="9"/>
        <v>50</v>
      </c>
      <c r="H593" t="s">
        <v>45</v>
      </c>
      <c r="J593" s="5" t="s">
        <v>6271</v>
      </c>
      <c r="K593" t="s">
        <v>9968</v>
      </c>
    </row>
    <row r="594" spans="1:11" x14ac:dyDescent="0.3">
      <c r="A594" s="1">
        <v>46292</v>
      </c>
      <c r="B594" s="5" t="s">
        <v>8181</v>
      </c>
      <c r="C594" t="str">
        <f>IF(B594="","",IFERROR(INDEX(Clientes!$A:$A,MATCH(B594,Clientes!$B:$B,0)),"(CPF não cadastrado)"))</f>
        <v>Daniel Andrade</v>
      </c>
      <c r="D594" s="24">
        <v>1000</v>
      </c>
      <c r="E594" s="7">
        <v>100</v>
      </c>
      <c r="F594" s="7">
        <f>D594/100*LOOKUP(A594,'Regras e Parâmetros'!$A$11:$A$12,'Regras e Parâmetros'!$B$11:$B$12)</f>
        <v>50</v>
      </c>
      <c r="G594" s="7">
        <f t="shared" si="9"/>
        <v>50</v>
      </c>
      <c r="H594" t="s">
        <v>110</v>
      </c>
      <c r="J594" s="5" t="s">
        <v>6433</v>
      </c>
      <c r="K594" t="s">
        <v>9968</v>
      </c>
    </row>
    <row r="595" spans="1:11" x14ac:dyDescent="0.3">
      <c r="A595" s="1">
        <v>46294</v>
      </c>
      <c r="B595" s="5" t="s">
        <v>2785</v>
      </c>
      <c r="C595" t="str">
        <f>IF(B595="","",IFERROR(INDEX(Clientes!$A:$A,MATCH(B595,Clientes!$B:$B,0)),"(CPF não cadastrado)"))</f>
        <v>Fernanda Pinto</v>
      </c>
      <c r="D595" s="24">
        <v>1000</v>
      </c>
      <c r="E595" s="7">
        <v>100</v>
      </c>
      <c r="F595" s="7">
        <f>D595/100*LOOKUP(A595,'Regras e Parâmetros'!$A$11:$A$12,'Regras e Parâmetros'!$B$11:$B$12)</f>
        <v>50</v>
      </c>
      <c r="G595" s="7">
        <f t="shared" si="9"/>
        <v>50</v>
      </c>
      <c r="H595" t="s">
        <v>18</v>
      </c>
      <c r="J595" s="5" t="s">
        <v>6335</v>
      </c>
      <c r="K595" t="s">
        <v>9968</v>
      </c>
    </row>
    <row r="596" spans="1:11" x14ac:dyDescent="0.3">
      <c r="A596" s="1">
        <v>46294</v>
      </c>
      <c r="B596" s="5" t="s">
        <v>2062</v>
      </c>
      <c r="C596" t="str">
        <f>IF(B596="","",IFERROR(INDEX(Clientes!$A:$A,MATCH(B596,Clientes!$B:$B,0)),"(CPF não cadastrado)"))</f>
        <v>Paula Barbosa Nunes</v>
      </c>
      <c r="D596" s="24">
        <v>1400</v>
      </c>
      <c r="E596" s="7">
        <v>140</v>
      </c>
      <c r="F596" s="7">
        <f>D596/100*LOOKUP(A596,'Regras e Parâmetros'!$A$11:$A$12,'Regras e Parâmetros'!$B$11:$B$12)</f>
        <v>70</v>
      </c>
      <c r="G596" s="7">
        <f t="shared" si="9"/>
        <v>70</v>
      </c>
      <c r="H596" t="s">
        <v>18</v>
      </c>
      <c r="J596" s="5" t="s">
        <v>6434</v>
      </c>
      <c r="K596" t="s">
        <v>9968</v>
      </c>
    </row>
    <row r="597" spans="1:11" x14ac:dyDescent="0.3">
      <c r="A597" s="1">
        <v>46295</v>
      </c>
      <c r="B597" s="5" t="s">
        <v>9127</v>
      </c>
      <c r="C597" t="str">
        <f>IF(B597="","",IFERROR(INDEX(Clientes!$A:$A,MATCH(B597,Clientes!$B:$B,0)),"(CPF não cadastrado)"))</f>
        <v>Otávio Barros</v>
      </c>
      <c r="D597" s="24">
        <v>300</v>
      </c>
      <c r="E597" s="7">
        <v>30</v>
      </c>
      <c r="F597" s="7">
        <f>D597/100*LOOKUP(A597,'Regras e Parâmetros'!$A$11:$A$12,'Regras e Parâmetros'!$B$11:$B$12)</f>
        <v>15</v>
      </c>
      <c r="G597" s="7">
        <f t="shared" si="9"/>
        <v>15</v>
      </c>
      <c r="H597" t="s">
        <v>45</v>
      </c>
      <c r="J597" s="5" t="s">
        <v>6435</v>
      </c>
      <c r="K597" t="s">
        <v>9968</v>
      </c>
    </row>
  </sheetData>
  <autoFilter ref="A1:K597" xr:uid="{00000000-0001-0000-0200-000000000000}"/>
  <conditionalFormatting sqref="A2:K597">
    <cfRule type="expression" dxfId="1" priority="2">
      <formula>OR($C2="",$C2="(CPF não cadastrado)")</formula>
    </cfRule>
  </conditionalFormatting>
  <conditionalFormatting sqref="G2:G597">
    <cfRule type="cellIs" dxfId="0" priority="1" operator="greater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A9AA-E4A3-6A44-B107-8AF303F5A420}">
  <sheetPr>
    <tabColor rgb="FFFFC000"/>
  </sheetPr>
  <dimension ref="A1:U100"/>
  <sheetViews>
    <sheetView workbookViewId="0">
      <selection activeCell="C894" sqref="C894"/>
    </sheetView>
  </sheetViews>
  <sheetFormatPr defaultColWidth="11.5546875" defaultRowHeight="14.4" x14ac:dyDescent="0.3"/>
  <cols>
    <col min="1" max="2" width="12.44140625" customWidth="1"/>
    <col min="3" max="3" width="28.33203125" customWidth="1"/>
    <col min="4" max="7" width="13.33203125" customWidth="1"/>
    <col min="8" max="8" width="28.33203125" customWidth="1"/>
    <col min="9" max="9" width="55" customWidth="1"/>
    <col min="10" max="10" width="63.33203125" customWidth="1"/>
    <col min="11" max="11" width="30" customWidth="1"/>
    <col min="12" max="14" width="15.77734375" customWidth="1"/>
    <col min="15" max="15" width="55" customWidth="1"/>
    <col min="16" max="16" width="3.33203125" customWidth="1"/>
    <col min="17" max="17" width="25" customWidth="1"/>
    <col min="18" max="21" width="15" customWidth="1"/>
  </cols>
  <sheetData>
    <row r="1" spans="1:21" ht="18" x14ac:dyDescent="0.35">
      <c r="A1" s="2" t="s">
        <v>10033</v>
      </c>
    </row>
    <row r="2" spans="1:21" x14ac:dyDescent="0.3">
      <c r="A2" s="8" t="s">
        <v>10023</v>
      </c>
    </row>
    <row r="3" spans="1:21" x14ac:dyDescent="0.3">
      <c r="A3" s="3" t="s">
        <v>10034</v>
      </c>
      <c r="K3" s="3" t="s">
        <v>10073</v>
      </c>
      <c r="Q3" s="3" t="s">
        <v>10075</v>
      </c>
    </row>
    <row r="4" spans="1:21" x14ac:dyDescent="0.3">
      <c r="A4" s="3" t="s">
        <v>10024</v>
      </c>
      <c r="B4">
        <f>COUNT(INDEX(_xlfn.ANCHORARRAY(A10),0,1))</f>
        <v>9</v>
      </c>
      <c r="K4" s="3" t="s">
        <v>10035</v>
      </c>
      <c r="L4">
        <f>COUNTA(L10:L40)</f>
        <v>31</v>
      </c>
      <c r="Q4" s="3" t="s">
        <v>10076</v>
      </c>
      <c r="R4">
        <f>COUNTIF(Resgates!$G$2:$G$597,"&gt;0")</f>
        <v>420</v>
      </c>
    </row>
    <row r="5" spans="1:21" x14ac:dyDescent="0.3">
      <c r="A5" s="3" t="s">
        <v>9943</v>
      </c>
      <c r="B5" s="24">
        <f>SUM(INDEX(_xlfn.ANCHORARRAY(A10),0,4))</f>
        <v>4200</v>
      </c>
      <c r="K5" s="3" t="s">
        <v>10036</v>
      </c>
      <c r="L5" s="24">
        <f>SUM(M10:M40)</f>
        <v>112103</v>
      </c>
      <c r="Q5" s="3" t="s">
        <v>10077</v>
      </c>
      <c r="R5" s="9">
        <f>SUMIF(Resgates!$G$2:$G$597,"&gt;0")</f>
        <v>17795</v>
      </c>
    </row>
    <row r="6" spans="1:21" ht="45" customHeight="1" x14ac:dyDescent="0.3">
      <c r="A6" s="3" t="s">
        <v>10025</v>
      </c>
      <c r="B6" s="9">
        <f>SUM(INDEX(_xlfn.ANCHORARRAY(A10),0,5))</f>
        <v>370</v>
      </c>
      <c r="Q6" s="34" t="s">
        <v>10082</v>
      </c>
      <c r="R6" s="35"/>
      <c r="S6" s="35"/>
      <c r="T6" s="35"/>
      <c r="U6" s="35"/>
    </row>
    <row r="7" spans="1:21" ht="45" customHeight="1" x14ac:dyDescent="0.3">
      <c r="Q7" s="35"/>
      <c r="R7" s="35"/>
      <c r="S7" s="35"/>
      <c r="T7" s="35"/>
      <c r="U7" s="35"/>
    </row>
    <row r="9" spans="1:21" ht="28.8" x14ac:dyDescent="0.3">
      <c r="A9" s="6" t="s">
        <v>10026</v>
      </c>
      <c r="B9" s="6" t="s">
        <v>9941</v>
      </c>
      <c r="C9" s="6" t="s">
        <v>9949</v>
      </c>
      <c r="D9" s="6" t="s">
        <v>9943</v>
      </c>
      <c r="E9" s="6" t="s">
        <v>9944</v>
      </c>
      <c r="F9" s="6" t="s">
        <v>9947</v>
      </c>
      <c r="G9" s="6" t="s">
        <v>9948</v>
      </c>
      <c r="H9" s="6" t="s">
        <v>10027</v>
      </c>
      <c r="I9" s="6" t="s">
        <v>10066</v>
      </c>
      <c r="J9" s="6" t="s">
        <v>10245</v>
      </c>
      <c r="K9" s="4" t="s">
        <v>0</v>
      </c>
      <c r="L9" s="4" t="s">
        <v>6448</v>
      </c>
      <c r="M9" s="4" t="s">
        <v>10037</v>
      </c>
      <c r="N9" s="4" t="s">
        <v>10038</v>
      </c>
      <c r="O9" s="4" t="s">
        <v>10067</v>
      </c>
      <c r="Q9" s="6" t="s">
        <v>9947</v>
      </c>
      <c r="R9" s="6" t="s">
        <v>10078</v>
      </c>
      <c r="S9" s="6" t="s">
        <v>10079</v>
      </c>
      <c r="T9" s="6" t="s">
        <v>10080</v>
      </c>
      <c r="U9" s="6" t="s">
        <v>10077</v>
      </c>
    </row>
    <row r="10" spans="1:21" ht="28.8" x14ac:dyDescent="0.3">
      <c r="A10" cm="1">
        <f t="array" ref="A10:G18">_xlfn._xlws.FILTER(_xlfn.HSTACK(ROW(Resgates!A2:A597),Resgates!A2:A597,IF(Resgates!J2:J597="","",Resgates!J2:J597),Resgates!D2:D597,Resgates!E2:E597,Resgates!H2:H597,IF(Resgates!I2:I597="","",Resgates!I2:I597)),((Resgates!C2:C597="")+(Resgates!C2:C597="(CPF não cadastrado)"))*(LEFT(Resgates!K2:K597,17)&lt;&gt;"Não identificável"),"Nenhum caso pendente")</f>
        <v>15</v>
      </c>
      <c r="B10" s="1">
        <v>45019</v>
      </c>
      <c r="C10" t="str">
        <v>Rodrigo</v>
      </c>
      <c r="D10" s="24">
        <v>300</v>
      </c>
      <c r="E10" s="9">
        <v>30</v>
      </c>
      <c r="F10" t="str">
        <v>Eldorado</v>
      </c>
      <c r="G10" t="str">
        <v>Bia</v>
      </c>
      <c r="H10" t="str" cm="1">
        <f t="array" ref="H10">IF(NOT(ISNUMBER(A10)),"",IF(INDEX(Resgates!$B:$B,A10)&lt;&gt;"","CPF não está no cadastro",IF(ISNUMBER(SEARCH(" ",TRIM(C10))),IF(COUNTIF(Clientes!$A$2:$A$2396,TRIM(C10))&gt;1,"Nome repetido no cadastro","Nome não encontrado no cadastro"),"Só o primeiro nome")))</f>
        <v>Só o primeiro nome</v>
      </c>
      <c r="I10" s="10" t="str" cm="1">
        <f t="array" ref="I10">IF(H10="","",IF(LEFT(INDEX(Resgates!$K:$K,A10),9)="Sugestão:",INDEX(Resgates!$K:$K,A10),IF(H10="Nome repetido no cadastro",_xlfn.TEXTJOIN("  /  ",TRUE,_xlfn._xlws.FILTER(Clientes!$A$2:$A$2396&amp;" – "&amp;Clientes!$B$2:$B$2396&amp;" (cadastro "&amp;Clientes!$G$2:$G$2396&amp;")",Clientes!$A$2:$A$2396=TRIM(C10))),IF(H10="Só o primeiro nome",COUNTIF(Clientes!$A$2:$A$2396,TRIM(C10)&amp;" *")&amp;" clientes com esse primeiro nome – confirmar com a loja/atendente",IF(H10="CPF não está no cadastro","Conferir se o CPF foi digitado errado ou se o cliente não foi cadastrado","Confirmar com a loja")))))</f>
        <v>30 clientes com esse primeiro nome – confirmar com a loja/atendente</v>
      </c>
      <c r="J10" s="10" t="str">
        <f>IF(H10="Só o primeiro nome","Buscar em vendas e atendimentos: primeiro nome """&amp;TRIM(C10)&amp;""" + loja "&amp;F10&amp;" + dia "&amp;TEXT(DAY(B10),"00")&amp;"/"&amp;TEXT(MONTH(B10),"00")&amp;"/"&amp;YEAR(B10)&amp;" (ver aba Varredura)","")</f>
        <v>Buscar em vendas e atendimentos: primeiro nome "Rodrigo" + loja Eldorado + dia 03/04/2023 (ver aba Varredura)</v>
      </c>
      <c r="K10" t="s">
        <v>9976</v>
      </c>
      <c r="L10" s="5" t="s">
        <v>9977</v>
      </c>
      <c r="M10" s="24">
        <v>4669</v>
      </c>
      <c r="N10" s="1">
        <v>45025</v>
      </c>
      <c r="O10" t="s">
        <v>10068</v>
      </c>
      <c r="Q10" t="s">
        <v>45</v>
      </c>
      <c r="R10">
        <f>COUNTIFS(Resgates!$H$2:$H$597,Q10,Resgates!$A$2:$A$597,"&gt;="&amp;'Regras e Parâmetros'!$A$12)</f>
        <v>229</v>
      </c>
      <c r="S10">
        <f>COUNTIFS(Resgates!$H$2:$H$597,Q10,Resgates!$G$2:$G$597,"&gt;0")</f>
        <v>229</v>
      </c>
      <c r="T10" s="13">
        <f>IF(R10=0,0,S10/R10)</f>
        <v>1</v>
      </c>
      <c r="U10" s="16">
        <f>SUMIFS(Resgates!$G$2:$G$597,Resgates!$H$2:$H$597,Q10,Resgates!$G$2:$G$597,"&gt;0")</f>
        <v>8555</v>
      </c>
    </row>
    <row r="11" spans="1:21" ht="43.2" x14ac:dyDescent="0.3">
      <c r="A11">
        <v>17</v>
      </c>
      <c r="B11" s="1">
        <v>45049</v>
      </c>
      <c r="C11" t="str">
        <v>Luan</v>
      </c>
      <c r="D11" s="24">
        <v>500</v>
      </c>
      <c r="E11" s="9">
        <v>50</v>
      </c>
      <c r="F11" t="str">
        <v>Eldorado</v>
      </c>
      <c r="G11" t="str">
        <v/>
      </c>
      <c r="H11" t="str" cm="1">
        <f t="array" ref="H11">IF(NOT(ISNUMBER(A11)),"",IF(INDEX(Resgates!$B:$B,A11)&lt;&gt;"","CPF não está no cadastro",IF(ISNUMBER(SEARCH(" ",TRIM(C11))),IF(COUNTIF(Clientes!$A$2:$A$2396,TRIM(C11))&gt;1,"Nome repetido no cadastro","Nome não encontrado no cadastro"),"Só o primeiro nome")))</f>
        <v>Só o primeiro nome</v>
      </c>
      <c r="I11" s="10" t="str" cm="1">
        <f t="array" ref="I11">IF(H11="","",IF(LEFT(INDEX(Resgates!$K:$K,A11),9)="Sugestão:",INDEX(Resgates!$K:$K,A11),IF(H11="Nome repetido no cadastro",_xlfn.TEXTJOIN("  /  ",TRUE,_xlfn._xlws.FILTER(Clientes!$A$2:$A$2396&amp;" – "&amp;Clientes!$B$2:$B$2396&amp;" (cadastro "&amp;Clientes!$G$2:$G$2396&amp;")",Clientes!$A$2:$A$2396=TRIM(C11))),IF(H11="Só o primeiro nome",COUNTIF(Clientes!$A$2:$A$2396,TRIM(C11)&amp;" *")&amp;" clientes com esse primeiro nome – confirmar com a loja/atendente",IF(H11="CPF não está no cadastro","Conferir se o CPF foi digitado errado ou se o cliente não foi cadastrado","Confirmar com a loja")))))</f>
        <v>Sugestão: Luan Oliveira Gomes 740.762.313-92 (único da loja com DDD; confiança média) | Varredura 19/10/2026: sem vendas antes de 2025 no vulto.db para cruzar</v>
      </c>
      <c r="J11" s="10" t="str">
        <f t="shared" ref="J11:J74" si="0">IF(H11="Só o primeiro nome","Buscar em vendas e atendimentos: primeiro nome """&amp;TRIM(C11)&amp;""" + loja "&amp;F11&amp;" + dia "&amp;TEXT(DAY(B11),"00")&amp;"/"&amp;TEXT(MONTH(B11),"00")&amp;"/"&amp;YEAR(B11)&amp;" (ver aba Varredura)","")</f>
        <v>Buscar em vendas e atendimentos: primeiro nome "Luan" + loja Eldorado + dia 03/05/2023 (ver aba Varredura)</v>
      </c>
      <c r="K11" t="s">
        <v>9978</v>
      </c>
      <c r="L11" s="5" t="s">
        <v>9979</v>
      </c>
      <c r="M11" s="24">
        <v>7659</v>
      </c>
      <c r="N11" s="1">
        <v>45122</v>
      </c>
      <c r="O11" t="s">
        <v>10068</v>
      </c>
      <c r="Q11" t="s">
        <v>18</v>
      </c>
      <c r="R11">
        <f>COUNTIFS(Resgates!$H$2:$H$597,Q11,Resgates!$A$2:$A$597,"&gt;="&amp;'Regras e Parâmetros'!$A$12)</f>
        <v>72</v>
      </c>
      <c r="S11">
        <f>COUNTIFS(Resgates!$H$2:$H$597,Q11,Resgates!$G$2:$G$597,"&gt;0")</f>
        <v>50</v>
      </c>
      <c r="T11" s="13">
        <f t="shared" ref="T11:T14" si="1">IF(R11=0,0,S11/R11)</f>
        <v>0.69444444444444442</v>
      </c>
      <c r="U11" s="16">
        <f>SUMIFS(Resgates!$G$2:$G$597,Resgates!$H$2:$H$597,Q11,Resgates!$G$2:$G$597,"&gt;0")</f>
        <v>2515</v>
      </c>
    </row>
    <row r="12" spans="1:21" ht="28.8" x14ac:dyDescent="0.3">
      <c r="A12">
        <v>40</v>
      </c>
      <c r="B12" s="1">
        <v>45305</v>
      </c>
      <c r="C12" t="str">
        <v>9274284829</v>
      </c>
      <c r="D12" s="24">
        <v>500</v>
      </c>
      <c r="E12" s="9">
        <v>50</v>
      </c>
      <c r="F12" t="str">
        <v>Batel</v>
      </c>
      <c r="G12" t="str">
        <v>Carlos</v>
      </c>
      <c r="H12" t="str" cm="1">
        <f t="array" ref="H12">IF(NOT(ISNUMBER(A12)),"",IF(INDEX(Resgates!$B:$B,A12)&lt;&gt;"","CPF não está no cadastro",IF(ISNUMBER(SEARCH(" ",TRIM(C12))),IF(COUNTIF(Clientes!$A$2:$A$2396,TRIM(C12))&gt;1,"Nome repetido no cadastro","Nome não encontrado no cadastro"),"Só o primeiro nome")))</f>
        <v>CPF não está no cadastro</v>
      </c>
      <c r="I12" s="10" t="str" cm="1">
        <f t="array" ref="I12">IF(H12="","",IF(LEFT(INDEX(Resgates!$K:$K,A12),9)="Sugestão:",INDEX(Resgates!$K:$K,A12),IF(H12="Nome repetido no cadastro",_xlfn.TEXTJOIN("  /  ",TRUE,_xlfn._xlws.FILTER(Clientes!$A$2:$A$2396&amp;" – "&amp;Clientes!$B$2:$B$2396&amp;" (cadastro "&amp;Clientes!$G$2:$G$2396&amp;")",Clientes!$A$2:$A$2396=TRIM(C12))),IF(H12="Só o primeiro nome",COUNTIF(Clientes!$A$2:$A$2396,TRIM(C12)&amp;" *")&amp;" clientes com esse primeiro nome – confirmar com a loja/atendente",IF(H12="CPF não está no cadastro","Conferir se o CPF foi digitado errado ou se o cliente não foi cadastrado","Confirmar com a loja")))))</f>
        <v>Conferir se o CPF foi digitado errado ou se o cliente não foi cadastrado</v>
      </c>
      <c r="J12" s="10" t="str">
        <f t="shared" si="0"/>
        <v/>
      </c>
      <c r="K12" t="s">
        <v>9980</v>
      </c>
      <c r="L12" s="5" t="s">
        <v>9981</v>
      </c>
      <c r="M12" s="24">
        <v>1778</v>
      </c>
      <c r="N12" s="1">
        <v>45032</v>
      </c>
      <c r="O12" t="s">
        <v>10068</v>
      </c>
      <c r="Q12" t="s">
        <v>110</v>
      </c>
      <c r="R12">
        <f>COUNTIFS(Resgates!$H$2:$H$597,Q12,Resgates!$A$2:$A$597,"&gt;="&amp;'Regras e Parâmetros'!$A$12)</f>
        <v>74</v>
      </c>
      <c r="S12">
        <f>COUNTIFS(Resgates!$H$2:$H$597,Q12,Resgates!$G$2:$G$597,"&gt;0")</f>
        <v>46</v>
      </c>
      <c r="T12" s="13">
        <f t="shared" si="1"/>
        <v>0.6216216216216216</v>
      </c>
      <c r="U12" s="16">
        <f>SUMIFS(Resgates!$G$2:$G$597,Resgates!$H$2:$H$597,Q12,Resgates!$G$2:$G$597,"&gt;0")</f>
        <v>2410</v>
      </c>
    </row>
    <row r="13" spans="1:21" ht="28.8" x14ac:dyDescent="0.3">
      <c r="A13">
        <v>53</v>
      </c>
      <c r="B13" s="1">
        <v>45567</v>
      </c>
      <c r="C13" t="str">
        <v>Juliana</v>
      </c>
      <c r="D13" s="24">
        <v>1000</v>
      </c>
      <c r="E13" s="9">
        <v>100</v>
      </c>
      <c r="F13" t="str">
        <v>Savassi</v>
      </c>
      <c r="G13" t="str">
        <v/>
      </c>
      <c r="H13" t="str" cm="1">
        <f t="array" ref="H13">IF(NOT(ISNUMBER(A13)),"",IF(INDEX(Resgates!$B:$B,A13)&lt;&gt;"","CPF não está no cadastro",IF(ISNUMBER(SEARCH(" ",TRIM(C13))),IF(COUNTIF(Clientes!$A$2:$A$2396,TRIM(C13))&gt;1,"Nome repetido no cadastro","Nome não encontrado no cadastro"),"Só o primeiro nome")))</f>
        <v>Só o primeiro nome</v>
      </c>
      <c r="I13" s="10" t="str" cm="1">
        <f t="array" ref="I13">IF(H13="","",IF(LEFT(INDEX(Resgates!$K:$K,A13),9)="Sugestão:",INDEX(Resgates!$K:$K,A13),IF(H13="Nome repetido no cadastro",_xlfn.TEXTJOIN("  /  ",TRUE,_xlfn._xlws.FILTER(Clientes!$A$2:$A$2396&amp;" – "&amp;Clientes!$B$2:$B$2396&amp;" (cadastro "&amp;Clientes!$G$2:$G$2396&amp;")",Clientes!$A$2:$A$2396=TRIM(C13))),IF(H13="Só o primeiro nome",COUNTIF(Clientes!$A$2:$A$2396,TRIM(C13)&amp;" *")&amp;" clientes com esse primeiro nome – confirmar com a loja/atendente",IF(H13="CPF não está no cadastro","Conferir se o CPF foi digitado errado ou se o cliente não foi cadastrado","Confirmar com a loja")))))</f>
        <v>39 clientes com esse primeiro nome – confirmar com a loja/atendente</v>
      </c>
      <c r="J13" s="10" t="str">
        <f t="shared" si="0"/>
        <v>Buscar em vendas e atendimentos: primeiro nome "Juliana" + loja Savassi + dia 02/10/2024 (ver aba Varredura)</v>
      </c>
      <c r="K13" t="s">
        <v>9982</v>
      </c>
      <c r="L13" s="5" t="s">
        <v>6025</v>
      </c>
      <c r="M13" s="24">
        <v>960</v>
      </c>
      <c r="N13" s="1">
        <v>45232</v>
      </c>
      <c r="O13" t="s">
        <v>10068</v>
      </c>
      <c r="Q13" t="s">
        <v>100</v>
      </c>
      <c r="R13">
        <f>COUNTIFS(Resgates!$H$2:$H$597,Q13,Resgates!$A$2:$A$597,"&gt;="&amp;'Regras e Parâmetros'!$A$12)</f>
        <v>71</v>
      </c>
      <c r="S13">
        <f>COUNTIFS(Resgates!$H$2:$H$597,Q13,Resgates!$G$2:$G$597,"&gt;0")</f>
        <v>50</v>
      </c>
      <c r="T13" s="13">
        <f t="shared" si="1"/>
        <v>0.70422535211267601</v>
      </c>
      <c r="U13" s="16">
        <f>SUMIFS(Resgates!$G$2:$G$597,Resgates!$H$2:$H$597,Q13,Resgates!$G$2:$G$597,"&gt;0")</f>
        <v>2270</v>
      </c>
    </row>
    <row r="14" spans="1:21" ht="28.8" x14ac:dyDescent="0.3">
      <c r="A14">
        <v>56</v>
      </c>
      <c r="B14" s="1">
        <v>45597</v>
      </c>
      <c r="C14" t="str">
        <v>Alexandre</v>
      </c>
      <c r="D14" s="24">
        <v>300</v>
      </c>
      <c r="E14" s="9">
        <v>30</v>
      </c>
      <c r="F14" t="str">
        <v>Batel</v>
      </c>
      <c r="G14" t="str">
        <v>Carlos</v>
      </c>
      <c r="H14" t="str" cm="1">
        <f t="array" ref="H14">IF(NOT(ISNUMBER(A14)),"",IF(INDEX(Resgates!$B:$B,A14)&lt;&gt;"","CPF não está no cadastro",IF(ISNUMBER(SEARCH(" ",TRIM(C14))),IF(COUNTIF(Clientes!$A$2:$A$2396,TRIM(C14))&gt;1,"Nome repetido no cadastro","Nome não encontrado no cadastro"),"Só o primeiro nome")))</f>
        <v>Só o primeiro nome</v>
      </c>
      <c r="I14" s="10" t="str" cm="1">
        <f t="array" ref="I14">IF(H14="","",IF(LEFT(INDEX(Resgates!$K:$K,A14),9)="Sugestão:",INDEX(Resgates!$K:$K,A14),IF(H14="Nome repetido no cadastro",_xlfn.TEXTJOIN("  /  ",TRUE,_xlfn._xlws.FILTER(Clientes!$A$2:$A$2396&amp;" – "&amp;Clientes!$B$2:$B$2396&amp;" (cadastro "&amp;Clientes!$G$2:$G$2396&amp;")",Clientes!$A$2:$A$2396=TRIM(C14))),IF(H14="Só o primeiro nome",COUNTIF(Clientes!$A$2:$A$2396,TRIM(C14)&amp;" *")&amp;" clientes com esse primeiro nome – confirmar com a loja/atendente",IF(H14="CPF não está no cadastro","Conferir se o CPF foi digitado errado ou se o cliente não foi cadastrado","Confirmar com a loja")))))</f>
        <v>19 clientes com esse primeiro nome – confirmar com a loja/atendente</v>
      </c>
      <c r="J14" s="10" t="str">
        <f t="shared" si="0"/>
        <v>Buscar em vendas e atendimentos: primeiro nome "Alexandre" + loja Batel + dia 01/11/2024 (ver aba Varredura)</v>
      </c>
      <c r="K14" t="s">
        <v>9983</v>
      </c>
      <c r="L14" s="5" t="s">
        <v>6026</v>
      </c>
      <c r="M14" s="24">
        <v>1542</v>
      </c>
      <c r="N14" s="1">
        <v>45190</v>
      </c>
      <c r="O14" t="s">
        <v>10068</v>
      </c>
      <c r="Q14" t="s">
        <v>22</v>
      </c>
      <c r="R14">
        <f>COUNTIFS(Resgates!$H$2:$H$597,Q14,Resgates!$A$2:$A$597,"&gt;="&amp;'Regras e Parâmetros'!$A$12)</f>
        <v>60</v>
      </c>
      <c r="S14">
        <f>COUNTIFS(Resgates!$H$2:$H$597,Q14,Resgates!$G$2:$G$597,"&gt;0")</f>
        <v>45</v>
      </c>
      <c r="T14" s="13">
        <f t="shared" si="1"/>
        <v>0.75</v>
      </c>
      <c r="U14" s="16">
        <f>SUMIFS(Resgates!$G$2:$G$597,Resgates!$H$2:$H$597,Q14,Resgates!$G$2:$G$597,"&gt;0")</f>
        <v>2045</v>
      </c>
    </row>
    <row r="15" spans="1:21" ht="28.8" x14ac:dyDescent="0.3">
      <c r="A15">
        <v>58</v>
      </c>
      <c r="B15" s="1">
        <v>45604</v>
      </c>
      <c r="C15" t="str">
        <v>Leonardo</v>
      </c>
      <c r="D15" s="24">
        <v>100</v>
      </c>
      <c r="E15" s="9">
        <v>10</v>
      </c>
      <c r="F15" t="str">
        <v>Eldorado</v>
      </c>
      <c r="G15" t="str">
        <v>Rafa</v>
      </c>
      <c r="H15" t="str" cm="1">
        <f t="array" ref="H15">IF(NOT(ISNUMBER(A15)),"",IF(INDEX(Resgates!$B:$B,A15)&lt;&gt;"","CPF não está no cadastro",IF(ISNUMBER(SEARCH(" ",TRIM(C15))),IF(COUNTIF(Clientes!$A$2:$A$2396,TRIM(C15))&gt;1,"Nome repetido no cadastro","Nome não encontrado no cadastro"),"Só o primeiro nome")))</f>
        <v>Só o primeiro nome</v>
      </c>
      <c r="I15" s="10" t="str" cm="1">
        <f t="array" ref="I15">IF(H15="","",IF(LEFT(INDEX(Resgates!$K:$K,A15),9)="Sugestão:",INDEX(Resgates!$K:$K,A15),IF(H15="Nome repetido no cadastro",_xlfn.TEXTJOIN("  /  ",TRUE,_xlfn._xlws.FILTER(Clientes!$A$2:$A$2396&amp;" – "&amp;Clientes!$B$2:$B$2396&amp;" (cadastro "&amp;Clientes!$G$2:$G$2396&amp;")",Clientes!$A$2:$A$2396=TRIM(C15))),IF(H15="Só o primeiro nome",COUNTIF(Clientes!$A$2:$A$2396,TRIM(C15)&amp;" *")&amp;" clientes com esse primeiro nome – confirmar com a loja/atendente",IF(H15="CPF não está no cadastro","Conferir se o CPF foi digitado errado ou se o cliente não foi cadastrado","Confirmar com a loja")))))</f>
        <v>13 clientes com esse primeiro nome – confirmar com a loja/atendente</v>
      </c>
      <c r="J15" s="10" t="str">
        <f t="shared" si="0"/>
        <v>Buscar em vendas e atendimentos: primeiro nome "Leonardo" + loja Eldorado + dia 08/11/2024 (ver aba Varredura)</v>
      </c>
      <c r="K15" t="s">
        <v>9984</v>
      </c>
      <c r="L15" s="5" t="s">
        <v>9985</v>
      </c>
      <c r="M15" s="24">
        <v>3107</v>
      </c>
      <c r="N15" s="1">
        <v>45093</v>
      </c>
      <c r="O15" t="s">
        <v>10068</v>
      </c>
      <c r="Q15" s="3" t="s">
        <v>6447</v>
      </c>
      <c r="R15" s="3">
        <f>SUM(R10:R14)</f>
        <v>506</v>
      </c>
      <c r="S15" s="3">
        <f>SUM(S10:S14)</f>
        <v>420</v>
      </c>
      <c r="T15" s="14">
        <f>IF(R15=0,0,S15/R15)</f>
        <v>0.83003952569169959</v>
      </c>
      <c r="U15" s="17">
        <f>SUM(U10:U14)</f>
        <v>17795</v>
      </c>
    </row>
    <row r="16" spans="1:21" ht="43.2" x14ac:dyDescent="0.3">
      <c r="A16">
        <v>59</v>
      </c>
      <c r="B16" s="1">
        <v>45610</v>
      </c>
      <c r="C16" t="str">
        <v>Mariana</v>
      </c>
      <c r="D16" s="24">
        <v>500</v>
      </c>
      <c r="E16" s="9">
        <v>50</v>
      </c>
      <c r="F16" t="str">
        <v>Batel</v>
      </c>
      <c r="G16" t="str">
        <v/>
      </c>
      <c r="H16" t="str" cm="1">
        <f t="array" ref="H16">IF(NOT(ISNUMBER(A16)),"",IF(INDEX(Resgates!$B:$B,A16)&lt;&gt;"","CPF não está no cadastro",IF(ISNUMBER(SEARCH(" ",TRIM(C16))),IF(COUNTIF(Clientes!$A$2:$A$2396,TRIM(C16))&gt;1,"Nome repetido no cadastro","Nome não encontrado no cadastro"),"Só o primeiro nome")))</f>
        <v>Só o primeiro nome</v>
      </c>
      <c r="I16" s="10" t="str" cm="1">
        <f t="array" ref="I16">IF(H16="","",IF(LEFT(INDEX(Resgates!$K:$K,A16),9)="Sugestão:",INDEX(Resgates!$K:$K,A16),IF(H16="Nome repetido no cadastro",_xlfn.TEXTJOIN("  /  ",TRUE,_xlfn._xlws.FILTER(Clientes!$A$2:$A$2396&amp;" – "&amp;Clientes!$B$2:$B$2396&amp;" (cadastro "&amp;Clientes!$G$2:$G$2396&amp;")",Clientes!$A$2:$A$2396=TRIM(C16))),IF(H16="Só o primeiro nome",COUNTIF(Clientes!$A$2:$A$2396,TRIM(C16)&amp;" *")&amp;" clientes com esse primeiro nome – confirmar com a loja/atendente",IF(H16="CPF não está no cadastro","Conferir se o CPF foi digitado errado ou se o cliente não foi cadastrado","Confirmar com a loja")))))</f>
        <v>Sugestão: Mariana Marques 142.255.830-40 (única da loja com DDD; confiança média) | Varredura 19/10/2026: sem vendas antes de 2025 no vulto.db para cruzar</v>
      </c>
      <c r="J16" s="10" t="str">
        <f t="shared" si="0"/>
        <v>Buscar em vendas e atendimentos: primeiro nome "Mariana" + loja Batel + dia 14/11/2024 (ver aba Varredura)</v>
      </c>
      <c r="K16" t="s">
        <v>9986</v>
      </c>
      <c r="L16" s="5" t="s">
        <v>6028</v>
      </c>
      <c r="M16" s="24">
        <v>5526</v>
      </c>
      <c r="N16" s="1">
        <v>45001</v>
      </c>
      <c r="O16" t="s">
        <v>10068</v>
      </c>
      <c r="T16" s="13"/>
      <c r="U16" s="16"/>
    </row>
    <row r="17" spans="1:21" ht="86.4" x14ac:dyDescent="0.3">
      <c r="A17">
        <v>554</v>
      </c>
      <c r="B17" s="1">
        <v>46245</v>
      </c>
      <c r="C17" t="str">
        <v>Júlia</v>
      </c>
      <c r="D17" s="24">
        <v>500</v>
      </c>
      <c r="E17" s="9">
        <v>25</v>
      </c>
      <c r="F17" t="str">
        <v>Savassi</v>
      </c>
      <c r="G17" t="str">
        <v>Ana Paula</v>
      </c>
      <c r="H17" t="str" cm="1">
        <f t="array" ref="H17">IF(NOT(ISNUMBER(A17)),"",IF(INDEX(Resgates!$B:$B,A17)&lt;&gt;"","CPF não está no cadastro",IF(ISNUMBER(SEARCH(" ",TRIM(C17))),IF(COUNTIF(Clientes!$A$2:$A$2396,TRIM(C17))&gt;1,"Nome repetido no cadastro","Nome não encontrado no cadastro"),"Só o primeiro nome")))</f>
        <v>Só o primeiro nome</v>
      </c>
      <c r="I17" s="10" t="str" cm="1">
        <f t="array" ref="I17">IF(H17="","",IF(LEFT(INDEX(Resgates!$K:$K,A17),9)="Sugestão:",INDEX(Resgates!$K:$K,A17),IF(H17="Nome repetido no cadastro",_xlfn.TEXTJOIN("  /  ",TRUE,_xlfn._xlws.FILTER(Clientes!$A$2:$A$2396&amp;" – "&amp;Clientes!$B$2:$B$2396&amp;" (cadastro "&amp;Clientes!$G$2:$G$2396&amp;")",Clientes!$A$2:$A$2396=TRIM(C17))),IF(H17="Só o primeiro nome",COUNTIF(Clientes!$A$2:$A$2396,TRIM(C17)&amp;" *")&amp;" clientes com esse primeiro nome – confirmar com a loja/atendente",IF(H17="CPF não está no cadastro","Conferir se o CPF foi digitado errado ou se o cliente não foi cadastrado","Confirmar com a loja")))))</f>
        <v>Sugestão: Julia Fernandes 558.971.099-58 (única venda do dia na loja com esse nome, venda 17215, mas o desconto foi R$ 33,00 e o resgate anotado é R$ 25,00) ou Júlia Peixoto Ferreira 123.214.834-23 (cadastro na Savassi + atendimento de 16/08/2026 com o mesmo nome; confiança média-alta); confirmar com a loja</v>
      </c>
      <c r="J17" s="10" t="str">
        <f t="shared" si="0"/>
        <v>Buscar em vendas e atendimentos: primeiro nome "Júlia" + loja Savassi + dia 11/08/2026 (ver aba Varredura)</v>
      </c>
      <c r="K17" t="s">
        <v>9987</v>
      </c>
      <c r="L17" s="5" t="s">
        <v>9988</v>
      </c>
      <c r="M17" s="24">
        <v>7240</v>
      </c>
      <c r="N17" s="1">
        <v>44949</v>
      </c>
      <c r="O17" t="s">
        <v>10068</v>
      </c>
      <c r="T17" s="13"/>
      <c r="U17" s="16"/>
    </row>
    <row r="18" spans="1:21" ht="43.2" x14ac:dyDescent="0.3">
      <c r="A18">
        <v>582</v>
      </c>
      <c r="B18" s="1">
        <v>46281</v>
      </c>
      <c r="C18" t="str">
        <v>João</v>
      </c>
      <c r="D18" s="24">
        <v>500</v>
      </c>
      <c r="E18" s="9">
        <v>25</v>
      </c>
      <c r="F18" t="str">
        <v>Eldorado</v>
      </c>
      <c r="G18" t="str">
        <v>Thiago</v>
      </c>
      <c r="H18" t="str" cm="1">
        <f t="array" ref="H18">IF(NOT(ISNUMBER(A18)),"",IF(INDEX(Resgates!$B:$B,A18)&lt;&gt;"","CPF não está no cadastro",IF(ISNUMBER(SEARCH(" ",TRIM(C18))),IF(COUNTIF(Clientes!$A$2:$A$2396,TRIM(C18))&gt;1,"Nome repetido no cadastro","Nome não encontrado no cadastro"),"Só o primeiro nome")))</f>
        <v>Só o primeiro nome</v>
      </c>
      <c r="I18" s="10" t="str" cm="1">
        <f t="array" ref="I18">IF(H18="","",IF(LEFT(INDEX(Resgates!$K:$K,A18),9)="Sugestão:",INDEX(Resgates!$K:$K,A18),IF(H18="Nome repetido no cadastro",_xlfn.TEXTJOIN("  /  ",TRUE,_xlfn._xlws.FILTER(Clientes!$A$2:$A$2396&amp;" – "&amp;Clientes!$B$2:$B$2396&amp;" (cadastro "&amp;Clientes!$G$2:$G$2396&amp;")",Clientes!$A$2:$A$2396=TRIM(C18))),IF(H18="Só o primeiro nome",COUNTIF(Clientes!$A$2:$A$2396,TRIM(C18)&amp;" *")&amp;" clientes com esse primeiro nome – confirmar com a loja/atendente",IF(H18="CPF não está no cadastro","Conferir se o CPF foi digitado errado ou se o cliente não foi cadastrado","Confirmar com a loja")))))</f>
        <v>Sugestão: João Pereira Mendes 249.952.721-86 (único da loja; confiança média) | Varredura 19/10/2026: nenhuma venda de cliente com esse nome na loja de 15 a 17/09/2026</v>
      </c>
      <c r="J18" s="10" t="str">
        <f t="shared" si="0"/>
        <v>Buscar em vendas e atendimentos: primeiro nome "João" + loja Eldorado + dia 16/09/2026 (ver aba Varredura)</v>
      </c>
      <c r="K18" t="s">
        <v>7125</v>
      </c>
      <c r="L18" s="5" t="s">
        <v>9989</v>
      </c>
      <c r="M18" s="24">
        <v>4483</v>
      </c>
      <c r="N18" s="1">
        <v>45222</v>
      </c>
      <c r="O18" t="s">
        <v>10069</v>
      </c>
      <c r="Q18" s="6" t="s">
        <v>9948</v>
      </c>
      <c r="R18" s="6" t="s">
        <v>10078</v>
      </c>
      <c r="S18" s="6" t="s">
        <v>10079</v>
      </c>
      <c r="T18" s="15" t="s">
        <v>10080</v>
      </c>
      <c r="U18" s="18" t="s">
        <v>10077</v>
      </c>
    </row>
    <row r="19" spans="1:21" x14ac:dyDescent="0.3">
      <c r="B19" s="1"/>
      <c r="D19" s="24"/>
      <c r="E19" s="9"/>
      <c r="H19" t="str" cm="1">
        <f t="array" ref="H19">IF(NOT(ISNUMBER(A19)),"",IF(INDEX(Resgates!$B:$B,A19)&lt;&gt;"","CPF não está no cadastro",IF(ISNUMBER(SEARCH(" ",TRIM(C19))),IF(COUNTIF(Clientes!$A$2:$A$2396,TRIM(C19))&gt;1,"Nome repetido no cadastro","Nome não encontrado no cadastro"),"Só o primeiro nome")))</f>
        <v/>
      </c>
      <c r="I19" s="10" t="str" cm="1">
        <f t="array" ref="I19">IF(H19="","",IF(LEFT(INDEX(Resgates!$K:$K,A19),9)="Sugestão:",INDEX(Resgates!$K:$K,A19),IF(H19="Nome repetido no cadastro",_xlfn.TEXTJOIN("  /  ",TRUE,_xlfn._xlws.FILTER(Clientes!$A$2:$A$2396&amp;" – "&amp;Clientes!$B$2:$B$2396&amp;" (cadastro "&amp;Clientes!$G$2:$G$2396&amp;")",Clientes!$A$2:$A$2396=TRIM(C19))),IF(H19="Só o primeiro nome",COUNTIF(Clientes!$A$2:$A$2396,TRIM(C19)&amp;" *")&amp;" clientes com esse primeiro nome – confirmar com a loja/atendente",IF(H19="CPF não está no cadastro","Conferir se o CPF foi digitado errado ou se o cliente não foi cadastrado","Confirmar com a loja")))))</f>
        <v/>
      </c>
      <c r="J19" s="10" t="str">
        <f t="shared" si="0"/>
        <v/>
      </c>
      <c r="K19" t="s">
        <v>9990</v>
      </c>
      <c r="L19" s="5" t="s">
        <v>9991</v>
      </c>
      <c r="M19" s="24">
        <v>6167</v>
      </c>
      <c r="N19" s="1">
        <v>44944</v>
      </c>
      <c r="O19" t="s">
        <v>10068</v>
      </c>
      <c r="Q19" t="str" cm="1">
        <f t="array" ref="Q19:Q33">_xlfn._xlws.SORT(_xlfn.UNIQUE(_xlfn._xlws.FILTER(Resgates!$I$2:$I$597,(Resgates!$A$2:$A$597&gt;='Regras e Parâmetros'!$A$12)*(Resgates!$I$2:$I$597&lt;&gt;""))))</f>
        <v>Ana Paula</v>
      </c>
      <c r="R19">
        <f>IF(Q19="","",COUNTIFS(Resgates!$I$2:$I$597,Q19,Resgates!$A$2:$A$597,"&gt;="&amp;'Regras e Parâmetros'!$A$12))</f>
        <v>8</v>
      </c>
      <c r="S19">
        <f>IF(Q19="","",COUNTIFS(Resgates!$I$2:$I$597,Q19,Resgates!$G$2:$G$597,"&gt;0"))</f>
        <v>0</v>
      </c>
      <c r="T19" s="13">
        <f>IF(Q19="","",IF(R19=0,0,S19/R19))</f>
        <v>0</v>
      </c>
      <c r="U19" s="16">
        <f>IF(Q19="","",SUMIFS(Resgates!$G$2:$G$597,Resgates!$I$2:$I$597,Q19,Resgates!$G$2:$G$597,"&gt;0"))</f>
        <v>0</v>
      </c>
    </row>
    <row r="20" spans="1:21" x14ac:dyDescent="0.3">
      <c r="B20" s="1"/>
      <c r="D20" s="24"/>
      <c r="E20" s="9"/>
      <c r="H20" t="str" cm="1">
        <f t="array" ref="H20">IF(NOT(ISNUMBER(A20)),"",IF(INDEX(Resgates!$B:$B,A20)&lt;&gt;"","CPF não está no cadastro",IF(ISNUMBER(SEARCH(" ",TRIM(C20))),IF(COUNTIF(Clientes!$A$2:$A$2396,TRIM(C20))&gt;1,"Nome repetido no cadastro","Nome não encontrado no cadastro"),"Só o primeiro nome")))</f>
        <v/>
      </c>
      <c r="I20" s="10" t="str" cm="1">
        <f t="array" ref="I20">IF(H20="","",IF(LEFT(INDEX(Resgates!$K:$K,A20),9)="Sugestão:",INDEX(Resgates!$K:$K,A20),IF(H20="Nome repetido no cadastro",_xlfn.TEXTJOIN("  /  ",TRUE,_xlfn._xlws.FILTER(Clientes!$A$2:$A$2396&amp;" – "&amp;Clientes!$B$2:$B$2396&amp;" (cadastro "&amp;Clientes!$G$2:$G$2396&amp;")",Clientes!$A$2:$A$2396=TRIM(C20))),IF(H20="Só o primeiro nome",COUNTIF(Clientes!$A$2:$A$2396,TRIM(C20)&amp;" *")&amp;" clientes com esse primeiro nome – confirmar com a loja/atendente",IF(H20="CPF não está no cadastro","Conferir se o CPF foi digitado errado ou se o cliente não foi cadastrado","Confirmar com a loja")))))</f>
        <v/>
      </c>
      <c r="J20" s="10" t="str">
        <f t="shared" si="0"/>
        <v/>
      </c>
      <c r="K20" t="s">
        <v>9992</v>
      </c>
      <c r="L20" s="5" t="s">
        <v>9993</v>
      </c>
      <c r="M20" s="24">
        <v>1793</v>
      </c>
      <c r="N20" s="1">
        <v>44945</v>
      </c>
      <c r="O20" t="s">
        <v>10068</v>
      </c>
      <c r="Q20" t="str">
        <v>Beatriz</v>
      </c>
      <c r="R20">
        <f>IF(Q20="","",COUNTIFS(Resgates!$I$2:$I$597,Q20,Resgates!$A$2:$A$597,"&gt;="&amp;'Regras e Parâmetros'!$A$12))</f>
        <v>5</v>
      </c>
      <c r="S20">
        <f>IF(Q20="","",COUNTIFS(Resgates!$I$2:$I$597,Q20,Resgates!$G$2:$G$597,"&gt;0"))</f>
        <v>0</v>
      </c>
      <c r="T20" s="13">
        <f t="shared" ref="T20:T45" si="2">IF(Q20="","",IF(R20=0,0,S20/R20))</f>
        <v>0</v>
      </c>
      <c r="U20" s="16">
        <f>IF(Q20="","",SUMIFS(Resgates!$G$2:$G$597,Resgates!$I$2:$I$597,Q20,Resgates!$G$2:$G$597,"&gt;0"))</f>
        <v>0</v>
      </c>
    </row>
    <row r="21" spans="1:21" x14ac:dyDescent="0.3">
      <c r="B21" s="1"/>
      <c r="D21" s="24"/>
      <c r="E21" s="9"/>
      <c r="H21" t="str" cm="1">
        <f t="array" ref="H21">IF(NOT(ISNUMBER(A21)),"",IF(INDEX(Resgates!$B:$B,A21)&lt;&gt;"","CPF não está no cadastro",IF(ISNUMBER(SEARCH(" ",TRIM(C21))),IF(COUNTIF(Clientes!$A$2:$A$2396,TRIM(C21))&gt;1,"Nome repetido no cadastro","Nome não encontrado no cadastro"),"Só o primeiro nome")))</f>
        <v/>
      </c>
      <c r="I21" s="10" t="str" cm="1">
        <f t="array" ref="I21">IF(H21="","",IF(LEFT(INDEX(Resgates!$K:$K,A21),9)="Sugestão:",INDEX(Resgates!$K:$K,A21),IF(H21="Nome repetido no cadastro",_xlfn.TEXTJOIN("  /  ",TRUE,_xlfn._xlws.FILTER(Clientes!$A$2:$A$2396&amp;" – "&amp;Clientes!$B$2:$B$2396&amp;" (cadastro "&amp;Clientes!$G$2:$G$2396&amp;")",Clientes!$A$2:$A$2396=TRIM(C21))),IF(H21="Só o primeiro nome",COUNTIF(Clientes!$A$2:$A$2396,TRIM(C21)&amp;" *")&amp;" clientes com esse primeiro nome – confirmar com a loja/atendente",IF(H21="CPF não está no cadastro","Conferir se o CPF foi digitado errado ou se o cliente não foi cadastrado","Confirmar com a loja")))))</f>
        <v/>
      </c>
      <c r="J21" s="10" t="str">
        <f t="shared" si="0"/>
        <v/>
      </c>
      <c r="K21" t="s">
        <v>9994</v>
      </c>
      <c r="L21" s="5" t="s">
        <v>9995</v>
      </c>
      <c r="M21" s="24">
        <v>3600</v>
      </c>
      <c r="N21" s="1">
        <v>45187</v>
      </c>
      <c r="O21" t="s">
        <v>10068</v>
      </c>
      <c r="Q21" t="str">
        <v>Bia</v>
      </c>
      <c r="R21">
        <f>IF(Q21="","",COUNTIFS(Resgates!$I$2:$I$597,Q21,Resgates!$A$2:$A$597,"&gt;="&amp;'Regras e Parâmetros'!$A$12))</f>
        <v>10</v>
      </c>
      <c r="S21">
        <f>IF(Q21="","",COUNTIFS(Resgates!$I$2:$I$597,Q21,Resgates!$G$2:$G$597,"&gt;0"))</f>
        <v>0</v>
      </c>
      <c r="T21" s="13">
        <f t="shared" si="2"/>
        <v>0</v>
      </c>
      <c r="U21" s="16">
        <f>IF(Q21="","",SUMIFS(Resgates!$G$2:$G$597,Resgates!$I$2:$I$597,Q21,Resgates!$G$2:$G$597,"&gt;0"))</f>
        <v>0</v>
      </c>
    </row>
    <row r="22" spans="1:21" x14ac:dyDescent="0.3">
      <c r="B22" s="1"/>
      <c r="D22" s="24"/>
      <c r="E22" s="9"/>
      <c r="H22" t="str" cm="1">
        <f t="array" ref="H22">IF(NOT(ISNUMBER(A22)),"",IF(INDEX(Resgates!$B:$B,A22)&lt;&gt;"","CPF não está no cadastro",IF(ISNUMBER(SEARCH(" ",TRIM(C22))),IF(COUNTIF(Clientes!$A$2:$A$2396,TRIM(C22))&gt;1,"Nome repetido no cadastro","Nome não encontrado no cadastro"),"Só o primeiro nome")))</f>
        <v/>
      </c>
      <c r="I22" s="10" t="str" cm="1">
        <f t="array" ref="I22">IF(H22="","",IF(LEFT(INDEX(Resgates!$K:$K,A22),9)="Sugestão:",INDEX(Resgates!$K:$K,A22),IF(H22="Nome repetido no cadastro",_xlfn.TEXTJOIN("  /  ",TRUE,_xlfn._xlws.FILTER(Clientes!$A$2:$A$2396&amp;" – "&amp;Clientes!$B$2:$B$2396&amp;" (cadastro "&amp;Clientes!$G$2:$G$2396&amp;")",Clientes!$A$2:$A$2396=TRIM(C22))),IF(H22="Só o primeiro nome",COUNTIF(Clientes!$A$2:$A$2396,TRIM(C22)&amp;" *")&amp;" clientes com esse primeiro nome – confirmar com a loja/atendente",IF(H22="CPF não está no cadastro","Conferir se o CPF foi digitado errado ou se o cliente não foi cadastrado","Confirmar com a loja")))))</f>
        <v/>
      </c>
      <c r="J22" s="10" t="str">
        <f t="shared" si="0"/>
        <v/>
      </c>
      <c r="K22" t="s">
        <v>9996</v>
      </c>
      <c r="L22" s="5" t="s">
        <v>6039</v>
      </c>
      <c r="M22" s="24">
        <v>2705</v>
      </c>
      <c r="N22" s="1">
        <v>45112</v>
      </c>
      <c r="O22" t="s">
        <v>10068</v>
      </c>
      <c r="Q22" t="str">
        <v>Bianca</v>
      </c>
      <c r="R22">
        <f>IF(Q22="","",COUNTIFS(Resgates!$I$2:$I$597,Q22,Resgates!$A$2:$A$597,"&gt;="&amp;'Regras e Parâmetros'!$A$12))</f>
        <v>2</v>
      </c>
      <c r="S22">
        <f>IF(Q22="","",COUNTIFS(Resgates!$I$2:$I$597,Q22,Resgates!$G$2:$G$597,"&gt;0"))</f>
        <v>0</v>
      </c>
      <c r="T22" s="13">
        <f t="shared" si="2"/>
        <v>0</v>
      </c>
      <c r="U22" s="16">
        <f>IF(Q22="","",SUMIFS(Resgates!$G$2:$G$597,Resgates!$I$2:$I$597,Q22,Resgates!$G$2:$G$597,"&gt;0"))</f>
        <v>0</v>
      </c>
    </row>
    <row r="23" spans="1:21" x14ac:dyDescent="0.3">
      <c r="B23" s="1"/>
      <c r="D23" s="24"/>
      <c r="E23" s="9"/>
      <c r="H23" t="str" cm="1">
        <f t="array" ref="H23">IF(NOT(ISNUMBER(A23)),"",IF(INDEX(Resgates!$B:$B,A23)&lt;&gt;"","CPF não está no cadastro",IF(ISNUMBER(SEARCH(" ",TRIM(C23))),IF(COUNTIF(Clientes!$A$2:$A$2396,TRIM(C23))&gt;1,"Nome repetido no cadastro","Nome não encontrado no cadastro"),"Só o primeiro nome")))</f>
        <v/>
      </c>
      <c r="I23" s="10" t="str" cm="1">
        <f t="array" ref="I23">IF(H23="","",IF(LEFT(INDEX(Resgates!$K:$K,A23),9)="Sugestão:",INDEX(Resgates!$K:$K,A23),IF(H23="Nome repetido no cadastro",_xlfn.TEXTJOIN("  /  ",TRUE,_xlfn._xlws.FILTER(Clientes!$A$2:$A$2396&amp;" – "&amp;Clientes!$B$2:$B$2396&amp;" (cadastro "&amp;Clientes!$G$2:$G$2396&amp;")",Clientes!$A$2:$A$2396=TRIM(C23))),IF(H23="Só o primeiro nome",COUNTIF(Clientes!$A$2:$A$2396,TRIM(C23)&amp;" *")&amp;" clientes com esse primeiro nome – confirmar com a loja/atendente",IF(H23="CPF não está no cadastro","Conferir se o CPF foi digitado errado ou se o cliente não foi cadastrado","Confirmar com a loja")))))</f>
        <v/>
      </c>
      <c r="J23" s="10" t="str">
        <f t="shared" si="0"/>
        <v/>
      </c>
      <c r="K23" t="s">
        <v>9997</v>
      </c>
      <c r="L23" s="5" t="s">
        <v>9998</v>
      </c>
      <c r="M23" s="24">
        <v>3930</v>
      </c>
      <c r="N23" s="1">
        <v>45042</v>
      </c>
      <c r="O23" t="s">
        <v>10068</v>
      </c>
      <c r="Q23" t="str">
        <v>Camila</v>
      </c>
      <c r="R23">
        <f>IF(Q23="","",COUNTIFS(Resgates!$I$2:$I$597,Q23,Resgates!$A$2:$A$597,"&gt;="&amp;'Regras e Parâmetros'!$A$12))</f>
        <v>5</v>
      </c>
      <c r="S23">
        <f>IF(Q23="","",COUNTIFS(Resgates!$I$2:$I$597,Q23,Resgates!$G$2:$G$597,"&gt;0"))</f>
        <v>0</v>
      </c>
      <c r="T23" s="13">
        <f t="shared" si="2"/>
        <v>0</v>
      </c>
      <c r="U23" s="16">
        <f>IF(Q23="","",SUMIFS(Resgates!$G$2:$G$597,Resgates!$I$2:$I$597,Q23,Resgates!$G$2:$G$597,"&gt;0"))</f>
        <v>0</v>
      </c>
    </row>
    <row r="24" spans="1:21" x14ac:dyDescent="0.3">
      <c r="B24" s="1"/>
      <c r="D24" s="24"/>
      <c r="E24" s="9"/>
      <c r="H24" t="str" cm="1">
        <f t="array" ref="H24">IF(NOT(ISNUMBER(A24)),"",IF(INDEX(Resgates!$B:$B,A24)&lt;&gt;"","CPF não está no cadastro",IF(ISNUMBER(SEARCH(" ",TRIM(C24))),IF(COUNTIF(Clientes!$A$2:$A$2396,TRIM(C24))&gt;1,"Nome repetido no cadastro","Nome não encontrado no cadastro"),"Só o primeiro nome")))</f>
        <v/>
      </c>
      <c r="I24" s="10" t="str" cm="1">
        <f t="array" ref="I24">IF(H24="","",IF(LEFT(INDEX(Resgates!$K:$K,A24),9)="Sugestão:",INDEX(Resgates!$K:$K,A24),IF(H24="Nome repetido no cadastro",_xlfn.TEXTJOIN("  /  ",TRUE,_xlfn._xlws.FILTER(Clientes!$A$2:$A$2396&amp;" – "&amp;Clientes!$B$2:$B$2396&amp;" (cadastro "&amp;Clientes!$G$2:$G$2396&amp;")",Clientes!$A$2:$A$2396=TRIM(C24))),IF(H24="Só o primeiro nome",COUNTIF(Clientes!$A$2:$A$2396,TRIM(C24)&amp;" *")&amp;" clientes com esse primeiro nome – confirmar com a loja/atendente",IF(H24="CPF não está no cadastro","Conferir se o CPF foi digitado errado ou se o cliente não foi cadastrado","Confirmar com a loja")))))</f>
        <v/>
      </c>
      <c r="J24" s="10" t="str">
        <f t="shared" si="0"/>
        <v/>
      </c>
      <c r="K24" t="s">
        <v>9999</v>
      </c>
      <c r="L24" s="5" t="s">
        <v>6044</v>
      </c>
      <c r="M24" s="24">
        <v>1285</v>
      </c>
      <c r="N24" s="1">
        <v>44964</v>
      </c>
      <c r="O24" t="s">
        <v>10068</v>
      </c>
      <c r="Q24" t="str">
        <v>Carlos</v>
      </c>
      <c r="R24">
        <f>IF(Q24="","",COUNTIFS(Resgates!$I$2:$I$597,Q24,Resgates!$A$2:$A$597,"&gt;="&amp;'Regras e Parâmetros'!$A$12))</f>
        <v>3</v>
      </c>
      <c r="S24">
        <f>IF(Q24="","",COUNTIFS(Resgates!$I$2:$I$597,Q24,Resgates!$G$2:$G$597,"&gt;0"))</f>
        <v>0</v>
      </c>
      <c r="T24" s="13">
        <f t="shared" si="2"/>
        <v>0</v>
      </c>
      <c r="U24" s="16">
        <f>IF(Q24="","",SUMIFS(Resgates!$G$2:$G$597,Resgates!$I$2:$I$597,Q24,Resgates!$G$2:$G$597,"&gt;0"))</f>
        <v>0</v>
      </c>
    </row>
    <row r="25" spans="1:21" x14ac:dyDescent="0.3">
      <c r="B25" s="1"/>
      <c r="D25" s="24"/>
      <c r="E25" s="9"/>
      <c r="H25" t="str" cm="1">
        <f t="array" ref="H25">IF(NOT(ISNUMBER(A25)),"",IF(INDEX(Resgates!$B:$B,A25)&lt;&gt;"","CPF não está no cadastro",IF(ISNUMBER(SEARCH(" ",TRIM(C25))),IF(COUNTIF(Clientes!$A$2:$A$2396,TRIM(C25))&gt;1,"Nome repetido no cadastro","Nome não encontrado no cadastro"),"Só o primeiro nome")))</f>
        <v/>
      </c>
      <c r="I25" s="10" t="str" cm="1">
        <f t="array" ref="I25">IF(H25="","",IF(LEFT(INDEX(Resgates!$K:$K,A25),9)="Sugestão:",INDEX(Resgates!$K:$K,A25),IF(H25="Nome repetido no cadastro",_xlfn.TEXTJOIN("  /  ",TRUE,_xlfn._xlws.FILTER(Clientes!$A$2:$A$2396&amp;" – "&amp;Clientes!$B$2:$B$2396&amp;" (cadastro "&amp;Clientes!$G$2:$G$2396&amp;")",Clientes!$A$2:$A$2396=TRIM(C25))),IF(H25="Só o primeiro nome",COUNTIF(Clientes!$A$2:$A$2396,TRIM(C25)&amp;" *")&amp;" clientes com esse primeiro nome – confirmar com a loja/atendente",IF(H25="CPF não está no cadastro","Conferir se o CPF foi digitado errado ou se o cliente não foi cadastrado","Confirmar com a loja")))))</f>
        <v/>
      </c>
      <c r="J25" s="10" t="str">
        <f t="shared" si="0"/>
        <v/>
      </c>
      <c r="K25" t="s">
        <v>10000</v>
      </c>
      <c r="L25" s="5" t="s">
        <v>6047</v>
      </c>
      <c r="M25" s="24">
        <v>7211</v>
      </c>
      <c r="N25" s="1">
        <v>45129</v>
      </c>
      <c r="O25" t="s">
        <v>10068</v>
      </c>
      <c r="Q25" t="str">
        <v>Fernanda</v>
      </c>
      <c r="R25">
        <f>IF(Q25="","",COUNTIFS(Resgates!$I$2:$I$597,Q25,Resgates!$A$2:$A$597,"&gt;="&amp;'Regras e Parâmetros'!$A$12))</f>
        <v>8</v>
      </c>
      <c r="S25">
        <f>IF(Q25="","",COUNTIFS(Resgates!$I$2:$I$597,Q25,Resgates!$G$2:$G$597,"&gt;0"))</f>
        <v>0</v>
      </c>
      <c r="T25" s="13">
        <f t="shared" si="2"/>
        <v>0</v>
      </c>
      <c r="U25" s="16">
        <f>IF(Q25="","",SUMIFS(Resgates!$G$2:$G$597,Resgates!$I$2:$I$597,Q25,Resgates!$G$2:$G$597,"&gt;0"))</f>
        <v>0</v>
      </c>
    </row>
    <row r="26" spans="1:21" x14ac:dyDescent="0.3">
      <c r="B26" s="1"/>
      <c r="D26" s="24"/>
      <c r="E26" s="9"/>
      <c r="H26" t="str" cm="1">
        <f t="array" ref="H26">IF(NOT(ISNUMBER(A26)),"",IF(INDEX(Resgates!$B:$B,A26)&lt;&gt;"","CPF não está no cadastro",IF(ISNUMBER(SEARCH(" ",TRIM(C26))),IF(COUNTIF(Clientes!$A$2:$A$2396,TRIM(C26))&gt;1,"Nome repetido no cadastro","Nome não encontrado no cadastro"),"Só o primeiro nome")))</f>
        <v/>
      </c>
      <c r="I26" s="10" t="str" cm="1">
        <f t="array" ref="I26">IF(H26="","",IF(LEFT(INDEX(Resgates!$K:$K,A26),9)="Sugestão:",INDEX(Resgates!$K:$K,A26),IF(H26="Nome repetido no cadastro",_xlfn.TEXTJOIN("  /  ",TRUE,_xlfn._xlws.FILTER(Clientes!$A$2:$A$2396&amp;" – "&amp;Clientes!$B$2:$B$2396&amp;" (cadastro "&amp;Clientes!$G$2:$G$2396&amp;")",Clientes!$A$2:$A$2396=TRIM(C26))),IF(H26="Só o primeiro nome",COUNTIF(Clientes!$A$2:$A$2396,TRIM(C26)&amp;" *")&amp;" clientes com esse primeiro nome – confirmar com a loja/atendente",IF(H26="CPF não está no cadastro","Conferir se o CPF foi digitado errado ou se o cliente não foi cadastrado","Confirmar com a loja")))))</f>
        <v/>
      </c>
      <c r="J26" s="10" t="str">
        <f t="shared" si="0"/>
        <v/>
      </c>
      <c r="K26" t="s">
        <v>6017</v>
      </c>
      <c r="L26" s="5" t="s">
        <v>10001</v>
      </c>
      <c r="M26" s="24">
        <v>2632</v>
      </c>
      <c r="N26" s="1">
        <v>45242</v>
      </c>
      <c r="O26" t="s">
        <v>10070</v>
      </c>
      <c r="Q26" t="str">
        <v>Gustavo</v>
      </c>
      <c r="R26">
        <f>IF(Q26="","",COUNTIFS(Resgates!$I$2:$I$597,Q26,Resgates!$A$2:$A$597,"&gt;="&amp;'Regras e Parâmetros'!$A$12))</f>
        <v>4</v>
      </c>
      <c r="S26">
        <f>IF(Q26="","",COUNTIFS(Resgates!$I$2:$I$597,Q26,Resgates!$G$2:$G$597,"&gt;0"))</f>
        <v>0</v>
      </c>
      <c r="T26" s="13">
        <f t="shared" si="2"/>
        <v>0</v>
      </c>
      <c r="U26" s="16">
        <f>IF(Q26="","",SUMIFS(Resgates!$G$2:$G$597,Resgates!$I$2:$I$597,Q26,Resgates!$G$2:$G$597,"&gt;0"))</f>
        <v>0</v>
      </c>
    </row>
    <row r="27" spans="1:21" x14ac:dyDescent="0.3">
      <c r="B27" s="1"/>
      <c r="D27" s="24"/>
      <c r="E27" s="9"/>
      <c r="H27" t="str" cm="1">
        <f t="array" ref="H27">IF(NOT(ISNUMBER(A27)),"",IF(INDEX(Resgates!$B:$B,A27)&lt;&gt;"","CPF não está no cadastro",IF(ISNUMBER(SEARCH(" ",TRIM(C27))),IF(COUNTIF(Clientes!$A$2:$A$2396,TRIM(C27))&gt;1,"Nome repetido no cadastro","Nome não encontrado no cadastro"),"Só o primeiro nome")))</f>
        <v/>
      </c>
      <c r="I27" s="10" t="str" cm="1">
        <f t="array" ref="I27">IF(H27="","",IF(LEFT(INDEX(Resgates!$K:$K,A27),9)="Sugestão:",INDEX(Resgates!$K:$K,A27),IF(H27="Nome repetido no cadastro",_xlfn.TEXTJOIN("  /  ",TRUE,_xlfn._xlws.FILTER(Clientes!$A$2:$A$2396&amp;" – "&amp;Clientes!$B$2:$B$2396&amp;" (cadastro "&amp;Clientes!$G$2:$G$2396&amp;")",Clientes!$A$2:$A$2396=TRIM(C27))),IF(H27="Só o primeiro nome",COUNTIF(Clientes!$A$2:$A$2396,TRIM(C27)&amp;" *")&amp;" clientes com esse primeiro nome – confirmar com a loja/atendente",IF(H27="CPF não está no cadastro","Conferir se o CPF foi digitado errado ou se o cliente não foi cadastrado","Confirmar com a loja")))))</f>
        <v/>
      </c>
      <c r="J27" s="10" t="str">
        <f t="shared" si="0"/>
        <v/>
      </c>
      <c r="K27" t="s">
        <v>10002</v>
      </c>
      <c r="L27" s="5" t="s">
        <v>6050</v>
      </c>
      <c r="M27" s="24">
        <v>335</v>
      </c>
      <c r="N27" s="1">
        <v>45134</v>
      </c>
      <c r="O27" t="s">
        <v>10068</v>
      </c>
      <c r="Q27" t="str">
        <v>Jéssica</v>
      </c>
      <c r="R27">
        <f>IF(Q27="","",COUNTIFS(Resgates!$I$2:$I$597,Q27,Resgates!$A$2:$A$597,"&gt;="&amp;'Regras e Parâmetros'!$A$12))</f>
        <v>7</v>
      </c>
      <c r="S27">
        <f>IF(Q27="","",COUNTIFS(Resgates!$I$2:$I$597,Q27,Resgates!$G$2:$G$597,"&gt;0"))</f>
        <v>0</v>
      </c>
      <c r="T27" s="13">
        <f t="shared" si="2"/>
        <v>0</v>
      </c>
      <c r="U27" s="16">
        <f>IF(Q27="","",SUMIFS(Resgates!$G$2:$G$597,Resgates!$I$2:$I$597,Q27,Resgates!$G$2:$G$597,"&gt;0"))</f>
        <v>0</v>
      </c>
    </row>
    <row r="28" spans="1:21" x14ac:dyDescent="0.3">
      <c r="B28" s="1"/>
      <c r="D28" s="24"/>
      <c r="E28" s="9"/>
      <c r="H28" t="str" cm="1">
        <f t="array" ref="H28">IF(NOT(ISNUMBER(A28)),"",IF(INDEX(Resgates!$B:$B,A28)&lt;&gt;"","CPF não está no cadastro",IF(ISNUMBER(SEARCH(" ",TRIM(C28))),IF(COUNTIF(Clientes!$A$2:$A$2396,TRIM(C28))&gt;1,"Nome repetido no cadastro","Nome não encontrado no cadastro"),"Só o primeiro nome")))</f>
        <v/>
      </c>
      <c r="I28" s="10" t="str" cm="1">
        <f t="array" ref="I28">IF(H28="","",IF(LEFT(INDEX(Resgates!$K:$K,A28),9)="Sugestão:",INDEX(Resgates!$K:$K,A28),IF(H28="Nome repetido no cadastro",_xlfn.TEXTJOIN("  /  ",TRUE,_xlfn._xlws.FILTER(Clientes!$A$2:$A$2396&amp;" – "&amp;Clientes!$B$2:$B$2396&amp;" (cadastro "&amp;Clientes!$G$2:$G$2396&amp;")",Clientes!$A$2:$A$2396=TRIM(C28))),IF(H28="Só o primeiro nome",COUNTIF(Clientes!$A$2:$A$2396,TRIM(C28)&amp;" *")&amp;" clientes com esse primeiro nome – confirmar com a loja/atendente",IF(H28="CPF não está no cadastro","Conferir se o CPF foi digitado errado ou se o cliente não foi cadastrado","Confirmar com a loja")))))</f>
        <v/>
      </c>
      <c r="J28" s="10" t="str">
        <f t="shared" si="0"/>
        <v/>
      </c>
      <c r="K28" t="s">
        <v>10003</v>
      </c>
      <c r="L28" s="5" t="s">
        <v>6051</v>
      </c>
      <c r="M28" s="24">
        <v>5530</v>
      </c>
      <c r="N28" s="1">
        <v>45224</v>
      </c>
      <c r="O28" t="s">
        <v>10068</v>
      </c>
      <c r="Q28" t="str">
        <v>Larissa</v>
      </c>
      <c r="R28">
        <f>IF(Q28="","",COUNTIFS(Resgates!$I$2:$I$597,Q28,Resgates!$A$2:$A$597,"&gt;="&amp;'Regras e Parâmetros'!$A$12))</f>
        <v>5</v>
      </c>
      <c r="S28">
        <f>IF(Q28="","",COUNTIFS(Resgates!$I$2:$I$597,Q28,Resgates!$G$2:$G$597,"&gt;0"))</f>
        <v>0</v>
      </c>
      <c r="T28" s="13">
        <f t="shared" si="2"/>
        <v>0</v>
      </c>
      <c r="U28" s="16">
        <f>IF(Q28="","",SUMIFS(Resgates!$G$2:$G$597,Resgates!$I$2:$I$597,Q28,Resgates!$G$2:$G$597,"&gt;0"))</f>
        <v>0</v>
      </c>
    </row>
    <row r="29" spans="1:21" x14ac:dyDescent="0.3">
      <c r="B29" s="1"/>
      <c r="D29" s="24"/>
      <c r="E29" s="9"/>
      <c r="H29" t="str" cm="1">
        <f t="array" ref="H29">IF(NOT(ISNUMBER(A29)),"",IF(INDEX(Resgates!$B:$B,A29)&lt;&gt;"","CPF não está no cadastro",IF(ISNUMBER(SEARCH(" ",TRIM(C29))),IF(COUNTIF(Clientes!$A$2:$A$2396,TRIM(C29))&gt;1,"Nome repetido no cadastro","Nome não encontrado no cadastro"),"Só o primeiro nome")))</f>
        <v/>
      </c>
      <c r="I29" s="10" t="str" cm="1">
        <f t="array" ref="I29">IF(H29="","",IF(LEFT(INDEX(Resgates!$K:$K,A29),9)="Sugestão:",INDEX(Resgates!$K:$K,A29),IF(H29="Nome repetido no cadastro",_xlfn.TEXTJOIN("  /  ",TRUE,_xlfn._xlws.FILTER(Clientes!$A$2:$A$2396&amp;" – "&amp;Clientes!$B$2:$B$2396&amp;" (cadastro "&amp;Clientes!$G$2:$G$2396&amp;")",Clientes!$A$2:$A$2396=TRIM(C29))),IF(H29="Só o primeiro nome",COUNTIF(Clientes!$A$2:$A$2396,TRIM(C29)&amp;" *")&amp;" clientes com esse primeiro nome – confirmar com a loja/atendente",IF(H29="CPF não está no cadastro","Conferir se o CPF foi digitado errado ou se o cliente não foi cadastrado","Confirmar com a loja")))))</f>
        <v/>
      </c>
      <c r="J29" s="10" t="str">
        <f t="shared" si="0"/>
        <v/>
      </c>
      <c r="K29" t="s">
        <v>2749</v>
      </c>
      <c r="L29" s="5" t="s">
        <v>6055</v>
      </c>
      <c r="M29" s="24">
        <v>6798</v>
      </c>
      <c r="N29" s="1">
        <v>45019</v>
      </c>
      <c r="O29" t="s">
        <v>10071</v>
      </c>
      <c r="Q29" t="str">
        <v>Patrícia</v>
      </c>
      <c r="R29">
        <f>IF(Q29="","",COUNTIFS(Resgates!$I$2:$I$597,Q29,Resgates!$A$2:$A$597,"&gt;="&amp;'Regras e Parâmetros'!$A$12))</f>
        <v>9</v>
      </c>
      <c r="S29">
        <f>IF(Q29="","",COUNTIFS(Resgates!$I$2:$I$597,Q29,Resgates!$G$2:$G$597,"&gt;0"))</f>
        <v>0</v>
      </c>
      <c r="T29" s="13">
        <f t="shared" si="2"/>
        <v>0</v>
      </c>
      <c r="U29" s="16">
        <f>IF(Q29="","",SUMIFS(Resgates!$G$2:$G$597,Resgates!$I$2:$I$597,Q29,Resgates!$G$2:$G$597,"&gt;0"))</f>
        <v>0</v>
      </c>
    </row>
    <row r="30" spans="1:21" x14ac:dyDescent="0.3">
      <c r="B30" s="1"/>
      <c r="D30" s="24"/>
      <c r="E30" s="9"/>
      <c r="H30" t="str" cm="1">
        <f t="array" ref="H30">IF(NOT(ISNUMBER(A30)),"",IF(INDEX(Resgates!$B:$B,A30)&lt;&gt;"","CPF não está no cadastro",IF(ISNUMBER(SEARCH(" ",TRIM(C30))),IF(COUNTIF(Clientes!$A$2:$A$2396,TRIM(C30))&gt;1,"Nome repetido no cadastro","Nome não encontrado no cadastro"),"Só o primeiro nome")))</f>
        <v/>
      </c>
      <c r="I30" s="10" t="str" cm="1">
        <f t="array" ref="I30">IF(H30="","",IF(LEFT(INDEX(Resgates!$K:$K,A30),9)="Sugestão:",INDEX(Resgates!$K:$K,A30),IF(H30="Nome repetido no cadastro",_xlfn.TEXTJOIN("  /  ",TRUE,_xlfn._xlws.FILTER(Clientes!$A$2:$A$2396&amp;" – "&amp;Clientes!$B$2:$B$2396&amp;" (cadastro "&amp;Clientes!$G$2:$G$2396&amp;")",Clientes!$A$2:$A$2396=TRIM(C30))),IF(H30="Só o primeiro nome",COUNTIF(Clientes!$A$2:$A$2396,TRIM(C30)&amp;" *")&amp;" clientes com esse primeiro nome – confirmar com a loja/atendente",IF(H30="CPF não está no cadastro","Conferir se o CPF foi digitado errado ou se o cliente não foi cadastrado","Confirmar com a loja")))))</f>
        <v/>
      </c>
      <c r="J30" s="10" t="str">
        <f t="shared" si="0"/>
        <v/>
      </c>
      <c r="K30" t="s">
        <v>10004</v>
      </c>
      <c r="L30" s="5" t="s">
        <v>10005</v>
      </c>
      <c r="M30" s="24">
        <v>665</v>
      </c>
      <c r="N30" s="1">
        <v>45143</v>
      </c>
      <c r="O30" t="s">
        <v>10068</v>
      </c>
      <c r="Q30" t="str">
        <v>Rafa</v>
      </c>
      <c r="R30">
        <f>IF(Q30="","",COUNTIFS(Resgates!$I$2:$I$597,Q30,Resgates!$A$2:$A$597,"&gt;="&amp;'Regras e Parâmetros'!$A$12))</f>
        <v>5</v>
      </c>
      <c r="S30">
        <f>IF(Q30="","",COUNTIFS(Resgates!$I$2:$I$597,Q30,Resgates!$G$2:$G$597,"&gt;0"))</f>
        <v>0</v>
      </c>
      <c r="T30" s="13">
        <f t="shared" si="2"/>
        <v>0</v>
      </c>
      <c r="U30" s="16">
        <f>IF(Q30="","",SUMIFS(Resgates!$G$2:$G$597,Resgates!$I$2:$I$597,Q30,Resgates!$G$2:$G$597,"&gt;0"))</f>
        <v>0</v>
      </c>
    </row>
    <row r="31" spans="1:21" x14ac:dyDescent="0.3">
      <c r="B31" s="1"/>
      <c r="D31" s="24"/>
      <c r="E31" s="9"/>
      <c r="H31" t="str" cm="1">
        <f t="array" ref="H31">IF(NOT(ISNUMBER(A31)),"",IF(INDEX(Resgates!$B:$B,A31)&lt;&gt;"","CPF não está no cadastro",IF(ISNUMBER(SEARCH(" ",TRIM(C31))),IF(COUNTIF(Clientes!$A$2:$A$2396,TRIM(C31))&gt;1,"Nome repetido no cadastro","Nome não encontrado no cadastro"),"Só o primeiro nome")))</f>
        <v/>
      </c>
      <c r="I31" s="10" t="str" cm="1">
        <f t="array" ref="I31">IF(H31="","",IF(LEFT(INDEX(Resgates!$K:$K,A31),9)="Sugestão:",INDEX(Resgates!$K:$K,A31),IF(H31="Nome repetido no cadastro",_xlfn.TEXTJOIN("  /  ",TRUE,_xlfn._xlws.FILTER(Clientes!$A$2:$A$2396&amp;" – "&amp;Clientes!$B$2:$B$2396&amp;" (cadastro "&amp;Clientes!$G$2:$G$2396&amp;")",Clientes!$A$2:$A$2396=TRIM(C31))),IF(H31="Só o primeiro nome",COUNTIF(Clientes!$A$2:$A$2396,TRIM(C31)&amp;" *")&amp;" clientes com esse primeiro nome – confirmar com a loja/atendente",IF(H31="CPF não está no cadastro","Conferir se o CPF foi digitado errado ou se o cliente não foi cadastrado","Confirmar com a loja")))))</f>
        <v/>
      </c>
      <c r="J31" s="10" t="str">
        <f t="shared" si="0"/>
        <v/>
      </c>
      <c r="K31" t="s">
        <v>10006</v>
      </c>
      <c r="L31" s="5" t="s">
        <v>10007</v>
      </c>
      <c r="M31" s="24">
        <v>1968</v>
      </c>
      <c r="N31" s="1">
        <v>45285</v>
      </c>
      <c r="O31" t="s">
        <v>10068</v>
      </c>
      <c r="Q31" t="str">
        <v>Rafael</v>
      </c>
      <c r="R31">
        <f>IF(Q31="","",COUNTIFS(Resgates!$I$2:$I$597,Q31,Resgates!$A$2:$A$597,"&gt;="&amp;'Regras e Parâmetros'!$A$12))</f>
        <v>1</v>
      </c>
      <c r="S31">
        <f>IF(Q31="","",COUNTIFS(Resgates!$I$2:$I$597,Q31,Resgates!$G$2:$G$597,"&gt;0"))</f>
        <v>0</v>
      </c>
      <c r="T31" s="13">
        <f t="shared" si="2"/>
        <v>0</v>
      </c>
      <c r="U31" s="16">
        <f>IF(Q31="","",SUMIFS(Resgates!$G$2:$G$597,Resgates!$I$2:$I$597,Q31,Resgates!$G$2:$G$597,"&gt;0"))</f>
        <v>0</v>
      </c>
    </row>
    <row r="32" spans="1:21" x14ac:dyDescent="0.3">
      <c r="B32" s="1"/>
      <c r="D32" s="24"/>
      <c r="E32" s="9"/>
      <c r="H32" t="str" cm="1">
        <f t="array" ref="H32">IF(NOT(ISNUMBER(A32)),"",IF(INDEX(Resgates!$B:$B,A32)&lt;&gt;"","CPF não está no cadastro",IF(ISNUMBER(SEARCH(" ",TRIM(C32))),IF(COUNTIF(Clientes!$A$2:$A$2396,TRIM(C32))&gt;1,"Nome repetido no cadastro","Nome não encontrado no cadastro"),"Só o primeiro nome")))</f>
        <v/>
      </c>
      <c r="I32" s="10" t="str" cm="1">
        <f t="array" ref="I32">IF(H32="","",IF(LEFT(INDEX(Resgates!$K:$K,A32),9)="Sugestão:",INDEX(Resgates!$K:$K,A32),IF(H32="Nome repetido no cadastro",_xlfn.TEXTJOIN("  /  ",TRUE,_xlfn._xlws.FILTER(Clientes!$A$2:$A$2396&amp;" – "&amp;Clientes!$B$2:$B$2396&amp;" (cadastro "&amp;Clientes!$G$2:$G$2396&amp;")",Clientes!$A$2:$A$2396=TRIM(C32))),IF(H32="Só o primeiro nome",COUNTIF(Clientes!$A$2:$A$2396,TRIM(C32)&amp;" *")&amp;" clientes com esse primeiro nome – confirmar com a loja/atendente",IF(H32="CPF não está no cadastro","Conferir se o CPF foi digitado errado ou se o cliente não foi cadastrado","Confirmar com a loja")))))</f>
        <v/>
      </c>
      <c r="J32" s="10" t="str">
        <f t="shared" si="0"/>
        <v/>
      </c>
      <c r="K32" t="s">
        <v>10008</v>
      </c>
      <c r="L32" s="5" t="s">
        <v>10009</v>
      </c>
      <c r="M32" s="24">
        <v>900</v>
      </c>
      <c r="N32" s="1">
        <v>45187</v>
      </c>
      <c r="O32" t="s">
        <v>10068</v>
      </c>
      <c r="Q32" t="str">
        <v>Rafaela</v>
      </c>
      <c r="R32">
        <f>IF(Q32="","",COUNTIFS(Resgates!$I$2:$I$597,Q32,Resgates!$A$2:$A$597,"&gt;="&amp;'Regras e Parâmetros'!$A$12))</f>
        <v>4</v>
      </c>
      <c r="S32">
        <f>IF(Q32="","",COUNTIFS(Resgates!$I$2:$I$597,Q32,Resgates!$G$2:$G$597,"&gt;0"))</f>
        <v>0</v>
      </c>
      <c r="T32" s="13">
        <f t="shared" si="2"/>
        <v>0</v>
      </c>
      <c r="U32" s="16">
        <f>IF(Q32="","",SUMIFS(Resgates!$G$2:$G$597,Resgates!$I$2:$I$597,Q32,Resgates!$G$2:$G$597,"&gt;0"))</f>
        <v>0</v>
      </c>
    </row>
    <row r="33" spans="2:21" x14ac:dyDescent="0.3">
      <c r="B33" s="1"/>
      <c r="D33" s="24"/>
      <c r="E33" s="9"/>
      <c r="H33" t="str" cm="1">
        <f t="array" ref="H33">IF(NOT(ISNUMBER(A33)),"",IF(INDEX(Resgates!$B:$B,A33)&lt;&gt;"","CPF não está no cadastro",IF(ISNUMBER(SEARCH(" ",TRIM(C33))),IF(COUNTIF(Clientes!$A$2:$A$2396,TRIM(C33))&gt;1,"Nome repetido no cadastro","Nome não encontrado no cadastro"),"Só o primeiro nome")))</f>
        <v/>
      </c>
      <c r="I33" s="10" t="str" cm="1">
        <f t="array" ref="I33">IF(H33="","",IF(LEFT(INDEX(Resgates!$K:$K,A33),9)="Sugestão:",INDEX(Resgates!$K:$K,A33),IF(H33="Nome repetido no cadastro",_xlfn.TEXTJOIN("  /  ",TRUE,_xlfn._xlws.FILTER(Clientes!$A$2:$A$2396&amp;" – "&amp;Clientes!$B$2:$B$2396&amp;" (cadastro "&amp;Clientes!$G$2:$G$2396&amp;")",Clientes!$A$2:$A$2396=TRIM(C33))),IF(H33="Só o primeiro nome",COUNTIF(Clientes!$A$2:$A$2396,TRIM(C33)&amp;" *")&amp;" clientes com esse primeiro nome – confirmar com a loja/atendente",IF(H33="CPF não está no cadastro","Conferir se o CPF foi digitado errado ou se o cliente não foi cadastrado","Confirmar com a loja")))))</f>
        <v/>
      </c>
      <c r="J33" s="10" t="str">
        <f t="shared" si="0"/>
        <v/>
      </c>
      <c r="K33" t="s">
        <v>10010</v>
      </c>
      <c r="L33" s="5" t="s">
        <v>10011</v>
      </c>
      <c r="M33" s="24">
        <v>3618</v>
      </c>
      <c r="N33" s="1">
        <v>45022</v>
      </c>
      <c r="O33" t="s">
        <v>10068</v>
      </c>
      <c r="Q33" t="str">
        <v>Thiago</v>
      </c>
      <c r="R33">
        <f>IF(Q33="","",COUNTIFS(Resgates!$I$2:$I$597,Q33,Resgates!$A$2:$A$597,"&gt;="&amp;'Regras e Parâmetros'!$A$12))</f>
        <v>10</v>
      </c>
      <c r="S33">
        <f>IF(Q33="","",COUNTIFS(Resgates!$I$2:$I$597,Q33,Resgates!$G$2:$G$597,"&gt;0"))</f>
        <v>0</v>
      </c>
      <c r="T33" s="13">
        <f t="shared" si="2"/>
        <v>0</v>
      </c>
      <c r="U33" s="16">
        <f>IF(Q33="","",SUMIFS(Resgates!$G$2:$G$597,Resgates!$I$2:$I$597,Q33,Resgates!$G$2:$G$597,"&gt;0"))</f>
        <v>0</v>
      </c>
    </row>
    <row r="34" spans="2:21" x14ac:dyDescent="0.3">
      <c r="B34" s="1"/>
      <c r="D34" s="24"/>
      <c r="E34" s="9"/>
      <c r="H34" t="str" cm="1">
        <f t="array" ref="H34">IF(NOT(ISNUMBER(A34)),"",IF(INDEX(Resgates!$B:$B,A34)&lt;&gt;"","CPF não está no cadastro",IF(ISNUMBER(SEARCH(" ",TRIM(C34))),IF(COUNTIF(Clientes!$A$2:$A$2396,TRIM(C34))&gt;1,"Nome repetido no cadastro","Nome não encontrado no cadastro"),"Só o primeiro nome")))</f>
        <v/>
      </c>
      <c r="I34" s="10" t="str" cm="1">
        <f t="array" ref="I34">IF(H34="","",IF(LEFT(INDEX(Resgates!$K:$K,A34),9)="Sugestão:",INDEX(Resgates!$K:$K,A34),IF(H34="Nome repetido no cadastro",_xlfn.TEXTJOIN("  /  ",TRUE,_xlfn._xlws.FILTER(Clientes!$A$2:$A$2396&amp;" – "&amp;Clientes!$B$2:$B$2396&amp;" (cadastro "&amp;Clientes!$G$2:$G$2396&amp;")",Clientes!$A$2:$A$2396=TRIM(C34))),IF(H34="Só o primeiro nome",COUNTIF(Clientes!$A$2:$A$2396,TRIM(C34)&amp;" *")&amp;" clientes com esse primeiro nome – confirmar com a loja/atendente",IF(H34="CPF não está no cadastro","Conferir se o CPF foi digitado errado ou se o cliente não foi cadastrado","Confirmar com a loja")))))</f>
        <v/>
      </c>
      <c r="J34" s="10" t="str">
        <f t="shared" si="0"/>
        <v/>
      </c>
      <c r="K34" t="s">
        <v>10012</v>
      </c>
      <c r="L34" s="5" t="s">
        <v>10013</v>
      </c>
      <c r="M34" s="24">
        <v>5810</v>
      </c>
      <c r="N34" s="1">
        <v>45152</v>
      </c>
      <c r="O34" t="s">
        <v>10068</v>
      </c>
      <c r="R34" t="str">
        <f>IF(Q34="","",COUNTIFS(Resgates!$I$2:$I$597,Q34,Resgates!$A$2:$A$597,"&gt;="&amp;'Regras e Parâmetros'!$A$12))</f>
        <v/>
      </c>
      <c r="S34" t="str">
        <f>IF(Q34="","",COUNTIFS(Resgates!$I$2:$I$597,Q34,Resgates!$G$2:$G$597,"&gt;0"))</f>
        <v/>
      </c>
      <c r="T34" s="13" t="str">
        <f t="shared" si="2"/>
        <v/>
      </c>
      <c r="U34" s="16" t="str">
        <f>IF(Q34="","",SUMIFS(Resgates!$G$2:$G$597,Resgates!$I$2:$I$597,Q34,Resgates!$G$2:$G$597,"&gt;0"))</f>
        <v/>
      </c>
    </row>
    <row r="35" spans="2:21" x14ac:dyDescent="0.3">
      <c r="B35" s="1"/>
      <c r="D35" s="24"/>
      <c r="E35" s="9"/>
      <c r="H35" t="str" cm="1">
        <f t="array" ref="H35">IF(NOT(ISNUMBER(A35)),"",IF(INDEX(Resgates!$B:$B,A35)&lt;&gt;"","CPF não está no cadastro",IF(ISNUMBER(SEARCH(" ",TRIM(C35))),IF(COUNTIF(Clientes!$A$2:$A$2396,TRIM(C35))&gt;1,"Nome repetido no cadastro","Nome não encontrado no cadastro"),"Só o primeiro nome")))</f>
        <v/>
      </c>
      <c r="I35" s="10" t="str" cm="1">
        <f t="array" ref="I35">IF(H35="","",IF(LEFT(INDEX(Resgates!$K:$K,A35),9)="Sugestão:",INDEX(Resgates!$K:$K,A35),IF(H35="Nome repetido no cadastro",_xlfn.TEXTJOIN("  /  ",TRUE,_xlfn._xlws.FILTER(Clientes!$A$2:$A$2396&amp;" – "&amp;Clientes!$B$2:$B$2396&amp;" (cadastro "&amp;Clientes!$G$2:$G$2396&amp;")",Clientes!$A$2:$A$2396=TRIM(C35))),IF(H35="Só o primeiro nome",COUNTIF(Clientes!$A$2:$A$2396,TRIM(C35)&amp;" *")&amp;" clientes com esse primeiro nome – confirmar com a loja/atendente",IF(H35="CPF não está no cadastro","Conferir se o CPF foi digitado errado ou se o cliente não foi cadastrado","Confirmar com a loja")))))</f>
        <v/>
      </c>
      <c r="J35" s="10" t="str">
        <f t="shared" si="0"/>
        <v/>
      </c>
      <c r="K35" t="s">
        <v>10014</v>
      </c>
      <c r="L35" s="5" t="s">
        <v>6061</v>
      </c>
      <c r="M35" s="24">
        <v>3264</v>
      </c>
      <c r="N35" s="1">
        <v>45219</v>
      </c>
      <c r="O35" t="s">
        <v>10068</v>
      </c>
      <c r="R35" t="str">
        <f>IF(Q35="","",COUNTIFS(Resgates!$I$2:$I$597,Q35,Resgates!$A$2:$A$597,"&gt;="&amp;'Regras e Parâmetros'!$A$12))</f>
        <v/>
      </c>
      <c r="S35" t="str">
        <f>IF(Q35="","",COUNTIFS(Resgates!$I$2:$I$597,Q35,Resgates!$G$2:$G$597,"&gt;0"))</f>
        <v/>
      </c>
      <c r="T35" s="13" t="str">
        <f t="shared" si="2"/>
        <v/>
      </c>
      <c r="U35" s="16" t="str">
        <f>IF(Q35="","",SUMIFS(Resgates!$G$2:$G$597,Resgates!$I$2:$I$597,Q35,Resgates!$G$2:$G$597,"&gt;0"))</f>
        <v/>
      </c>
    </row>
    <row r="36" spans="2:21" x14ac:dyDescent="0.3">
      <c r="B36" s="1"/>
      <c r="D36" s="24"/>
      <c r="E36" s="9"/>
      <c r="H36" t="str" cm="1">
        <f t="array" ref="H36">IF(NOT(ISNUMBER(A36)),"",IF(INDEX(Resgates!$B:$B,A36)&lt;&gt;"","CPF não está no cadastro",IF(ISNUMBER(SEARCH(" ",TRIM(C36))),IF(COUNTIF(Clientes!$A$2:$A$2396,TRIM(C36))&gt;1,"Nome repetido no cadastro","Nome não encontrado no cadastro"),"Só o primeiro nome")))</f>
        <v/>
      </c>
      <c r="I36" s="10" t="str" cm="1">
        <f t="array" ref="I36">IF(H36="","",IF(LEFT(INDEX(Resgates!$K:$K,A36),9)="Sugestão:",INDEX(Resgates!$K:$K,A36),IF(H36="Nome repetido no cadastro",_xlfn.TEXTJOIN("  /  ",TRUE,_xlfn._xlws.FILTER(Clientes!$A$2:$A$2396&amp;" – "&amp;Clientes!$B$2:$B$2396&amp;" (cadastro "&amp;Clientes!$G$2:$G$2396&amp;")",Clientes!$A$2:$A$2396=TRIM(C36))),IF(H36="Só o primeiro nome",COUNTIF(Clientes!$A$2:$A$2396,TRIM(C36)&amp;" *")&amp;" clientes com esse primeiro nome – confirmar com a loja/atendente",IF(H36="CPF não está no cadastro","Conferir se o CPF foi digitado errado ou se o cliente não foi cadastrado","Confirmar com a loja")))))</f>
        <v/>
      </c>
      <c r="J36" s="10" t="str">
        <f t="shared" si="0"/>
        <v/>
      </c>
      <c r="K36" t="s">
        <v>10015</v>
      </c>
      <c r="L36" s="5" t="s">
        <v>10016</v>
      </c>
      <c r="M36" s="24">
        <v>6519</v>
      </c>
      <c r="N36" s="1">
        <v>45185</v>
      </c>
      <c r="O36" t="s">
        <v>10068</v>
      </c>
      <c r="R36" t="str">
        <f>IF(Q36="","",COUNTIFS(Resgates!$I$2:$I$597,Q36,Resgates!$A$2:$A$597,"&gt;="&amp;'Regras e Parâmetros'!$A$12))</f>
        <v/>
      </c>
      <c r="S36" t="str">
        <f>IF(Q36="","",COUNTIFS(Resgates!$I$2:$I$597,Q36,Resgates!$G$2:$G$597,"&gt;0"))</f>
        <v/>
      </c>
      <c r="T36" s="13" t="str">
        <f t="shared" si="2"/>
        <v/>
      </c>
      <c r="U36" s="16" t="str">
        <f>IF(Q36="","",SUMIFS(Resgates!$G$2:$G$597,Resgates!$I$2:$I$597,Q36,Resgates!$G$2:$G$597,"&gt;0"))</f>
        <v/>
      </c>
    </row>
    <row r="37" spans="2:21" x14ac:dyDescent="0.3">
      <c r="B37" s="1"/>
      <c r="D37" s="24"/>
      <c r="E37" s="9"/>
      <c r="H37" t="str" cm="1">
        <f t="array" ref="H37">IF(NOT(ISNUMBER(A37)),"",IF(INDEX(Resgates!$B:$B,A37)&lt;&gt;"","CPF não está no cadastro",IF(ISNUMBER(SEARCH(" ",TRIM(C37))),IF(COUNTIF(Clientes!$A$2:$A$2396,TRIM(C37))&gt;1,"Nome repetido no cadastro","Nome não encontrado no cadastro"),"Só o primeiro nome")))</f>
        <v/>
      </c>
      <c r="I37" s="10" t="str" cm="1">
        <f t="array" ref="I37">IF(H37="","",IF(LEFT(INDEX(Resgates!$K:$K,A37),9)="Sugestão:",INDEX(Resgates!$K:$K,A37),IF(H37="Nome repetido no cadastro",_xlfn.TEXTJOIN("  /  ",TRUE,_xlfn._xlws.FILTER(Clientes!$A$2:$A$2396&amp;" – "&amp;Clientes!$B$2:$B$2396&amp;" (cadastro "&amp;Clientes!$G$2:$G$2396&amp;")",Clientes!$A$2:$A$2396=TRIM(C37))),IF(H37="Só o primeiro nome",COUNTIF(Clientes!$A$2:$A$2396,TRIM(C37)&amp;" *")&amp;" clientes com esse primeiro nome – confirmar com a loja/atendente",IF(H37="CPF não está no cadastro","Conferir se o CPF foi digitado errado ou se o cliente não foi cadastrado","Confirmar com a loja")))))</f>
        <v/>
      </c>
      <c r="J37" s="10" t="str">
        <f t="shared" si="0"/>
        <v/>
      </c>
      <c r="K37" t="s">
        <v>10017</v>
      </c>
      <c r="L37" s="5" t="s">
        <v>6067</v>
      </c>
      <c r="M37" s="24">
        <v>1551</v>
      </c>
      <c r="N37" s="1">
        <v>45055</v>
      </c>
      <c r="O37" t="s">
        <v>10068</v>
      </c>
      <c r="R37" t="str">
        <f>IF(Q37="","",COUNTIFS(Resgates!$I$2:$I$597,Q37,Resgates!$A$2:$A$597,"&gt;="&amp;'Regras e Parâmetros'!$A$12))</f>
        <v/>
      </c>
      <c r="S37" t="str">
        <f>IF(Q37="","",COUNTIFS(Resgates!$I$2:$I$597,Q37,Resgates!$G$2:$G$597,"&gt;0"))</f>
        <v/>
      </c>
      <c r="T37" s="13" t="str">
        <f t="shared" si="2"/>
        <v/>
      </c>
      <c r="U37" s="16" t="str">
        <f>IF(Q37="","",SUMIFS(Resgates!$G$2:$G$597,Resgates!$I$2:$I$597,Q37,Resgates!$G$2:$G$597,"&gt;0"))</f>
        <v/>
      </c>
    </row>
    <row r="38" spans="2:21" x14ac:dyDescent="0.3">
      <c r="B38" s="1"/>
      <c r="D38" s="24"/>
      <c r="E38" s="9"/>
      <c r="H38" t="str" cm="1">
        <f t="array" ref="H38">IF(NOT(ISNUMBER(A38)),"",IF(INDEX(Resgates!$B:$B,A38)&lt;&gt;"","CPF não está no cadastro",IF(ISNUMBER(SEARCH(" ",TRIM(C38))),IF(COUNTIF(Clientes!$A$2:$A$2396,TRIM(C38))&gt;1,"Nome repetido no cadastro","Nome não encontrado no cadastro"),"Só o primeiro nome")))</f>
        <v/>
      </c>
      <c r="I38" s="10" t="str" cm="1">
        <f t="array" ref="I38">IF(H38="","",IF(LEFT(INDEX(Resgates!$K:$K,A38),9)="Sugestão:",INDEX(Resgates!$K:$K,A38),IF(H38="Nome repetido no cadastro",_xlfn.TEXTJOIN("  /  ",TRUE,_xlfn._xlws.FILTER(Clientes!$A$2:$A$2396&amp;" – "&amp;Clientes!$B$2:$B$2396&amp;" (cadastro "&amp;Clientes!$G$2:$G$2396&amp;")",Clientes!$A$2:$A$2396=TRIM(C38))),IF(H38="Só o primeiro nome",COUNTIF(Clientes!$A$2:$A$2396,TRIM(C38)&amp;" *")&amp;" clientes com esse primeiro nome – confirmar com a loja/atendente",IF(H38="CPF não está no cadastro","Conferir se o CPF foi digitado errado ou se o cliente não foi cadastrado","Confirmar com a loja")))))</f>
        <v/>
      </c>
      <c r="J38" s="10" t="str">
        <f t="shared" si="0"/>
        <v/>
      </c>
      <c r="K38" t="s">
        <v>7986</v>
      </c>
      <c r="L38" s="5" t="s">
        <v>10018</v>
      </c>
      <c r="M38" s="24">
        <v>2289</v>
      </c>
      <c r="N38" s="1">
        <v>45271</v>
      </c>
      <c r="O38" t="s">
        <v>10072</v>
      </c>
      <c r="R38" t="str">
        <f>IF(Q38="","",COUNTIFS(Resgates!$I$2:$I$597,Q38,Resgates!$A$2:$A$597,"&gt;="&amp;'Regras e Parâmetros'!$A$12))</f>
        <v/>
      </c>
      <c r="S38" t="str">
        <f>IF(Q38="","",COUNTIFS(Resgates!$I$2:$I$597,Q38,Resgates!$G$2:$G$597,"&gt;0"))</f>
        <v/>
      </c>
      <c r="T38" s="13" t="str">
        <f t="shared" si="2"/>
        <v/>
      </c>
      <c r="U38" s="16" t="str">
        <f>IF(Q38="","",SUMIFS(Resgates!$G$2:$G$597,Resgates!$I$2:$I$597,Q38,Resgates!$G$2:$G$597,"&gt;0"))</f>
        <v/>
      </c>
    </row>
    <row r="39" spans="2:21" x14ac:dyDescent="0.3">
      <c r="B39" s="1"/>
      <c r="D39" s="24"/>
      <c r="E39" s="9"/>
      <c r="H39" t="str" cm="1">
        <f t="array" ref="H39">IF(NOT(ISNUMBER(A39)),"",IF(INDEX(Resgates!$B:$B,A39)&lt;&gt;"","CPF não está no cadastro",IF(ISNUMBER(SEARCH(" ",TRIM(C39))),IF(COUNTIF(Clientes!$A$2:$A$2396,TRIM(C39))&gt;1,"Nome repetido no cadastro","Nome não encontrado no cadastro"),"Só o primeiro nome")))</f>
        <v/>
      </c>
      <c r="I39" s="10" t="str" cm="1">
        <f t="array" ref="I39">IF(H39="","",IF(LEFT(INDEX(Resgates!$K:$K,A39),9)="Sugestão:",INDEX(Resgates!$K:$K,A39),IF(H39="Nome repetido no cadastro",_xlfn.TEXTJOIN("  /  ",TRUE,_xlfn._xlws.FILTER(Clientes!$A$2:$A$2396&amp;" – "&amp;Clientes!$B$2:$B$2396&amp;" (cadastro "&amp;Clientes!$G$2:$G$2396&amp;")",Clientes!$A$2:$A$2396=TRIM(C39))),IF(H39="Só o primeiro nome",COUNTIF(Clientes!$A$2:$A$2396,TRIM(C39)&amp;" *")&amp;" clientes com esse primeiro nome – confirmar com a loja/atendente",IF(H39="CPF não está no cadastro","Conferir se o CPF foi digitado errado ou se o cliente não foi cadastrado","Confirmar com a loja")))))</f>
        <v/>
      </c>
      <c r="J39" s="10" t="str">
        <f t="shared" si="0"/>
        <v/>
      </c>
      <c r="K39" t="s">
        <v>10019</v>
      </c>
      <c r="L39" s="5" t="s">
        <v>10020</v>
      </c>
      <c r="M39" s="24">
        <v>5909</v>
      </c>
      <c r="N39" s="1">
        <v>45139</v>
      </c>
      <c r="O39" t="s">
        <v>10068</v>
      </c>
      <c r="R39" t="str">
        <f>IF(Q39="","",COUNTIFS(Resgates!$I$2:$I$597,Q39,Resgates!$A$2:$A$597,"&gt;="&amp;'Regras e Parâmetros'!$A$12))</f>
        <v/>
      </c>
      <c r="S39" t="str">
        <f>IF(Q39="","",COUNTIFS(Resgates!$I$2:$I$597,Q39,Resgates!$G$2:$G$597,"&gt;0"))</f>
        <v/>
      </c>
      <c r="T39" s="13" t="str">
        <f t="shared" si="2"/>
        <v/>
      </c>
      <c r="U39" s="16" t="str">
        <f>IF(Q39="","",SUMIFS(Resgates!$G$2:$G$597,Resgates!$I$2:$I$597,Q39,Resgates!$G$2:$G$597,"&gt;0"))</f>
        <v/>
      </c>
    </row>
    <row r="40" spans="2:21" x14ac:dyDescent="0.3">
      <c r="B40" s="1"/>
      <c r="D40" s="24"/>
      <c r="E40" s="9"/>
      <c r="H40" t="str" cm="1">
        <f t="array" ref="H40">IF(NOT(ISNUMBER(A40)),"",IF(INDEX(Resgates!$B:$B,A40)&lt;&gt;"","CPF não está no cadastro",IF(ISNUMBER(SEARCH(" ",TRIM(C40))),IF(COUNTIF(Clientes!$A$2:$A$2396,TRIM(C40))&gt;1,"Nome repetido no cadastro","Nome não encontrado no cadastro"),"Só o primeiro nome")))</f>
        <v/>
      </c>
      <c r="I40" s="10" t="str" cm="1">
        <f t="array" ref="I40">IF(H40="","",IF(LEFT(INDEX(Resgates!$K:$K,A40),9)="Sugestão:",INDEX(Resgates!$K:$K,A40),IF(H40="Nome repetido no cadastro",_xlfn.TEXTJOIN("  /  ",TRUE,_xlfn._xlws.FILTER(Clientes!$A$2:$A$2396&amp;" – "&amp;Clientes!$B$2:$B$2396&amp;" (cadastro "&amp;Clientes!$G$2:$G$2396&amp;")",Clientes!$A$2:$A$2396=TRIM(C40))),IF(H40="Só o primeiro nome",COUNTIF(Clientes!$A$2:$A$2396,TRIM(C40)&amp;" *")&amp;" clientes com esse primeiro nome – confirmar com a loja/atendente",IF(H40="CPF não está no cadastro","Conferir se o CPF foi digitado errado ou se o cliente não foi cadastrado","Confirmar com a loja")))))</f>
        <v/>
      </c>
      <c r="J40" s="10" t="str">
        <f t="shared" si="0"/>
        <v/>
      </c>
      <c r="K40" t="s">
        <v>10021</v>
      </c>
      <c r="L40" s="5" t="s">
        <v>10022</v>
      </c>
      <c r="M40" s="24">
        <v>660</v>
      </c>
      <c r="N40" s="1">
        <v>45249</v>
      </c>
      <c r="O40" t="s">
        <v>10068</v>
      </c>
      <c r="R40" t="str">
        <f>IF(Q40="","",COUNTIFS(Resgates!$I$2:$I$597,Q40,Resgates!$A$2:$A$597,"&gt;="&amp;'Regras e Parâmetros'!$A$12))</f>
        <v/>
      </c>
      <c r="S40" t="str">
        <f>IF(Q40="","",COUNTIFS(Resgates!$I$2:$I$597,Q40,Resgates!$G$2:$G$597,"&gt;0"))</f>
        <v/>
      </c>
      <c r="T40" s="13" t="str">
        <f t="shared" si="2"/>
        <v/>
      </c>
      <c r="U40" s="16" t="str">
        <f>IF(Q40="","",SUMIFS(Resgates!$G$2:$G$597,Resgates!$I$2:$I$597,Q40,Resgates!$G$2:$G$597,"&gt;0"))</f>
        <v/>
      </c>
    </row>
    <row r="41" spans="2:21" x14ac:dyDescent="0.3">
      <c r="B41" s="1"/>
      <c r="D41" s="24"/>
      <c r="E41" s="9"/>
      <c r="H41" t="str" cm="1">
        <f t="array" ref="H41">IF(NOT(ISNUMBER(A41)),"",IF(INDEX(Resgates!$B:$B,A41)&lt;&gt;"","CPF não está no cadastro",IF(ISNUMBER(SEARCH(" ",TRIM(C41))),IF(COUNTIF(Clientes!$A$2:$A$2396,TRIM(C41))&gt;1,"Nome repetido no cadastro","Nome não encontrado no cadastro"),"Só o primeiro nome")))</f>
        <v/>
      </c>
      <c r="I41" s="10" t="str" cm="1">
        <f t="array" ref="I41">IF(H41="","",IF(LEFT(INDEX(Resgates!$K:$K,A41),9)="Sugestão:",INDEX(Resgates!$K:$K,A41),IF(H41="Nome repetido no cadastro",_xlfn.TEXTJOIN("  /  ",TRUE,_xlfn._xlws.FILTER(Clientes!$A$2:$A$2396&amp;" – "&amp;Clientes!$B$2:$B$2396&amp;" (cadastro "&amp;Clientes!$G$2:$G$2396&amp;")",Clientes!$A$2:$A$2396=TRIM(C41))),IF(H41="Só o primeiro nome",COUNTIF(Clientes!$A$2:$A$2396,TRIM(C41)&amp;" *")&amp;" clientes com esse primeiro nome – confirmar com a loja/atendente",IF(H41="CPF não está no cadastro","Conferir se o CPF foi digitado errado ou se o cliente não foi cadastrado","Confirmar com a loja")))))</f>
        <v/>
      </c>
      <c r="J41" s="10" t="str">
        <f t="shared" si="0"/>
        <v/>
      </c>
      <c r="R41" t="str">
        <f>IF(Q41="","",COUNTIFS(Resgates!$I$2:$I$597,Q41,Resgates!$A$2:$A$597,"&gt;="&amp;'Regras e Parâmetros'!$A$12))</f>
        <v/>
      </c>
      <c r="S41" t="str">
        <f>IF(Q41="","",COUNTIFS(Resgates!$I$2:$I$597,Q41,Resgates!$G$2:$G$597,"&gt;0"))</f>
        <v/>
      </c>
      <c r="T41" s="13" t="str">
        <f t="shared" si="2"/>
        <v/>
      </c>
      <c r="U41" s="16" t="str">
        <f>IF(Q41="","",SUMIFS(Resgates!$G$2:$G$597,Resgates!$I$2:$I$597,Q41,Resgates!$G$2:$G$597,"&gt;0"))</f>
        <v/>
      </c>
    </row>
    <row r="42" spans="2:21" x14ac:dyDescent="0.3">
      <c r="B42" s="1"/>
      <c r="D42" s="24"/>
      <c r="E42" s="9"/>
      <c r="H42" t="str" cm="1">
        <f t="array" ref="H42">IF(NOT(ISNUMBER(A42)),"",IF(INDEX(Resgates!$B:$B,A42)&lt;&gt;"","CPF não está no cadastro",IF(ISNUMBER(SEARCH(" ",TRIM(C42))),IF(COUNTIF(Clientes!$A$2:$A$2396,TRIM(C42))&gt;1,"Nome repetido no cadastro","Nome não encontrado no cadastro"),"Só o primeiro nome")))</f>
        <v/>
      </c>
      <c r="I42" s="10" t="str" cm="1">
        <f t="array" ref="I42">IF(H42="","",IF(LEFT(INDEX(Resgates!$K:$K,A42),9)="Sugestão:",INDEX(Resgates!$K:$K,A42),IF(H42="Nome repetido no cadastro",_xlfn.TEXTJOIN("  /  ",TRUE,_xlfn._xlws.FILTER(Clientes!$A$2:$A$2396&amp;" – "&amp;Clientes!$B$2:$B$2396&amp;" (cadastro "&amp;Clientes!$G$2:$G$2396&amp;")",Clientes!$A$2:$A$2396=TRIM(C42))),IF(H42="Só o primeiro nome",COUNTIF(Clientes!$A$2:$A$2396,TRIM(C42)&amp;" *")&amp;" clientes com esse primeiro nome – confirmar com a loja/atendente",IF(H42="CPF não está no cadastro","Conferir se o CPF foi digitado errado ou se o cliente não foi cadastrado","Confirmar com a loja")))))</f>
        <v/>
      </c>
      <c r="J42" s="10" t="str">
        <f t="shared" si="0"/>
        <v/>
      </c>
      <c r="R42" t="str">
        <f>IF(Q42="","",COUNTIFS(Resgates!$I$2:$I$597,Q42,Resgates!$A$2:$A$597,"&gt;="&amp;'Regras e Parâmetros'!$A$12))</f>
        <v/>
      </c>
      <c r="S42" t="str">
        <f>IF(Q42="","",COUNTIFS(Resgates!$I$2:$I$597,Q42,Resgates!$G$2:$G$597,"&gt;0"))</f>
        <v/>
      </c>
      <c r="T42" s="13" t="str">
        <f t="shared" si="2"/>
        <v/>
      </c>
      <c r="U42" s="16" t="str">
        <f>IF(Q42="","",SUMIFS(Resgates!$G$2:$G$597,Resgates!$I$2:$I$597,Q42,Resgates!$G$2:$G$597,"&gt;0"))</f>
        <v/>
      </c>
    </row>
    <row r="43" spans="2:21" x14ac:dyDescent="0.3">
      <c r="B43" s="1"/>
      <c r="D43" s="24"/>
      <c r="E43" s="9"/>
      <c r="H43" t="str" cm="1">
        <f t="array" ref="H43">IF(NOT(ISNUMBER(A43)),"",IF(INDEX(Resgates!$B:$B,A43)&lt;&gt;"","CPF não está no cadastro",IF(ISNUMBER(SEARCH(" ",TRIM(C43))),IF(COUNTIF(Clientes!$A$2:$A$2396,TRIM(C43))&gt;1,"Nome repetido no cadastro","Nome não encontrado no cadastro"),"Só o primeiro nome")))</f>
        <v/>
      </c>
      <c r="I43" s="10" t="str" cm="1">
        <f t="array" ref="I43">IF(H43="","",IF(LEFT(INDEX(Resgates!$K:$K,A43),9)="Sugestão:",INDEX(Resgates!$K:$K,A43),IF(H43="Nome repetido no cadastro",_xlfn.TEXTJOIN("  /  ",TRUE,_xlfn._xlws.FILTER(Clientes!$A$2:$A$2396&amp;" – "&amp;Clientes!$B$2:$B$2396&amp;" (cadastro "&amp;Clientes!$G$2:$G$2396&amp;")",Clientes!$A$2:$A$2396=TRIM(C43))),IF(H43="Só o primeiro nome",COUNTIF(Clientes!$A$2:$A$2396,TRIM(C43)&amp;" *")&amp;" clientes com esse primeiro nome – confirmar com a loja/atendente",IF(H43="CPF não está no cadastro","Conferir se o CPF foi digitado errado ou se o cliente não foi cadastrado","Confirmar com a loja")))))</f>
        <v/>
      </c>
      <c r="J43" s="10" t="str">
        <f t="shared" si="0"/>
        <v/>
      </c>
      <c r="R43" t="str">
        <f>IF(Q43="","",COUNTIFS(Resgates!$I$2:$I$597,Q43,Resgates!$A$2:$A$597,"&gt;="&amp;'Regras e Parâmetros'!$A$12))</f>
        <v/>
      </c>
      <c r="S43" t="str">
        <f>IF(Q43="","",COUNTIFS(Resgates!$I$2:$I$597,Q43,Resgates!$G$2:$G$597,"&gt;0"))</f>
        <v/>
      </c>
      <c r="T43" s="13" t="str">
        <f t="shared" si="2"/>
        <v/>
      </c>
      <c r="U43" s="16" t="str">
        <f>IF(Q43="","",SUMIFS(Resgates!$G$2:$G$597,Resgates!$I$2:$I$597,Q43,Resgates!$G$2:$G$597,"&gt;0"))</f>
        <v/>
      </c>
    </row>
    <row r="44" spans="2:21" x14ac:dyDescent="0.3">
      <c r="B44" s="1"/>
      <c r="D44" s="24"/>
      <c r="E44" s="9"/>
      <c r="H44" t="str" cm="1">
        <f t="array" ref="H44">IF(NOT(ISNUMBER(A44)),"",IF(INDEX(Resgates!$B:$B,A44)&lt;&gt;"","CPF não está no cadastro",IF(ISNUMBER(SEARCH(" ",TRIM(C44))),IF(COUNTIF(Clientes!$A$2:$A$2396,TRIM(C44))&gt;1,"Nome repetido no cadastro","Nome não encontrado no cadastro"),"Só o primeiro nome")))</f>
        <v/>
      </c>
      <c r="I44" s="10" t="str" cm="1">
        <f t="array" ref="I44">IF(H44="","",IF(LEFT(INDEX(Resgates!$K:$K,A44),9)="Sugestão:",INDEX(Resgates!$K:$K,A44),IF(H44="Nome repetido no cadastro",_xlfn.TEXTJOIN("  /  ",TRUE,_xlfn._xlws.FILTER(Clientes!$A$2:$A$2396&amp;" – "&amp;Clientes!$B$2:$B$2396&amp;" (cadastro "&amp;Clientes!$G$2:$G$2396&amp;")",Clientes!$A$2:$A$2396=TRIM(C44))),IF(H44="Só o primeiro nome",COUNTIF(Clientes!$A$2:$A$2396,TRIM(C44)&amp;" *")&amp;" clientes com esse primeiro nome – confirmar com a loja/atendente",IF(H44="CPF não está no cadastro","Conferir se o CPF foi digitado errado ou se o cliente não foi cadastrado","Confirmar com a loja")))))</f>
        <v/>
      </c>
      <c r="J44" s="10" t="str">
        <f t="shared" si="0"/>
        <v/>
      </c>
      <c r="R44" t="str">
        <f>IF(Q44="","",COUNTIFS(Resgates!$I$2:$I$597,Q44,Resgates!$A$2:$A$597,"&gt;="&amp;'Regras e Parâmetros'!$A$12))</f>
        <v/>
      </c>
      <c r="S44" t="str">
        <f>IF(Q44="","",COUNTIFS(Resgates!$I$2:$I$597,Q44,Resgates!$G$2:$G$597,"&gt;0"))</f>
        <v/>
      </c>
      <c r="T44" s="13" t="str">
        <f t="shared" si="2"/>
        <v/>
      </c>
      <c r="U44" s="16" t="str">
        <f>IF(Q44="","",SUMIFS(Resgates!$G$2:$G$597,Resgates!$I$2:$I$597,Q44,Resgates!$G$2:$G$597,"&gt;0"))</f>
        <v/>
      </c>
    </row>
    <row r="45" spans="2:21" x14ac:dyDescent="0.3">
      <c r="B45" s="1"/>
      <c r="D45" s="24"/>
      <c r="E45" s="9"/>
      <c r="H45" t="str" cm="1">
        <f t="array" ref="H45">IF(NOT(ISNUMBER(A45)),"",IF(INDEX(Resgates!$B:$B,A45)&lt;&gt;"","CPF não está no cadastro",IF(ISNUMBER(SEARCH(" ",TRIM(C45))),IF(COUNTIF(Clientes!$A$2:$A$2396,TRIM(C45))&gt;1,"Nome repetido no cadastro","Nome não encontrado no cadastro"),"Só o primeiro nome")))</f>
        <v/>
      </c>
      <c r="I45" s="10" t="str" cm="1">
        <f t="array" ref="I45">IF(H45="","",IF(LEFT(INDEX(Resgates!$K:$K,A45),9)="Sugestão:",INDEX(Resgates!$K:$K,A45),IF(H45="Nome repetido no cadastro",_xlfn.TEXTJOIN("  /  ",TRUE,_xlfn._xlws.FILTER(Clientes!$A$2:$A$2396&amp;" – "&amp;Clientes!$B$2:$B$2396&amp;" (cadastro "&amp;Clientes!$G$2:$G$2396&amp;")",Clientes!$A$2:$A$2396=TRIM(C45))),IF(H45="Só o primeiro nome",COUNTIF(Clientes!$A$2:$A$2396,TRIM(C45)&amp;" *")&amp;" clientes com esse primeiro nome – confirmar com a loja/atendente",IF(H45="CPF não está no cadastro","Conferir se o CPF foi digitado errado ou se o cliente não foi cadastrado","Confirmar com a loja")))))</f>
        <v/>
      </c>
      <c r="J45" s="10" t="str">
        <f t="shared" si="0"/>
        <v/>
      </c>
      <c r="R45" t="str">
        <f>IF(Q45="","",COUNTIFS(Resgates!$I$2:$I$597,Q45,Resgates!$A$2:$A$597,"&gt;="&amp;'Regras e Parâmetros'!$A$12))</f>
        <v/>
      </c>
      <c r="S45" t="str">
        <f>IF(Q45="","",COUNTIFS(Resgates!$I$2:$I$597,Q45,Resgates!$G$2:$G$597,"&gt;0"))</f>
        <v/>
      </c>
      <c r="T45" s="13" t="str">
        <f t="shared" si="2"/>
        <v/>
      </c>
      <c r="U45" s="16" t="str">
        <f>IF(Q45="","",SUMIFS(Resgates!$G$2:$G$597,Resgates!$I$2:$I$597,Q45,Resgates!$G$2:$G$597,"&gt;0"))</f>
        <v/>
      </c>
    </row>
    <row r="46" spans="2:21" x14ac:dyDescent="0.3">
      <c r="B46" s="1"/>
      <c r="D46" s="24"/>
      <c r="E46" s="9"/>
      <c r="H46" t="str" cm="1">
        <f t="array" ref="H46">IF(NOT(ISNUMBER(A46)),"",IF(INDEX(Resgates!$B:$B,A46)&lt;&gt;"","CPF não está no cadastro",IF(ISNUMBER(SEARCH(" ",TRIM(C46))),IF(COUNTIF(Clientes!$A$2:$A$2396,TRIM(C46))&gt;1,"Nome repetido no cadastro","Nome não encontrado no cadastro"),"Só o primeiro nome")))</f>
        <v/>
      </c>
      <c r="I46" s="10" t="str" cm="1">
        <f t="array" ref="I46">IF(H46="","",IF(LEFT(INDEX(Resgates!$K:$K,A46),9)="Sugestão:",INDEX(Resgates!$K:$K,A46),IF(H46="Nome repetido no cadastro",_xlfn.TEXTJOIN("  /  ",TRUE,_xlfn._xlws.FILTER(Clientes!$A$2:$A$2396&amp;" – "&amp;Clientes!$B$2:$B$2396&amp;" (cadastro "&amp;Clientes!$G$2:$G$2396&amp;")",Clientes!$A$2:$A$2396=TRIM(C46))),IF(H46="Só o primeiro nome",COUNTIF(Clientes!$A$2:$A$2396,TRIM(C46)&amp;" *")&amp;" clientes com esse primeiro nome – confirmar com a loja/atendente",IF(H46="CPF não está no cadastro","Conferir se o CPF foi digitado errado ou se o cliente não foi cadastrado","Confirmar com a loja")))))</f>
        <v/>
      </c>
      <c r="J46" s="10" t="str">
        <f t="shared" si="0"/>
        <v/>
      </c>
      <c r="Q46" t="s">
        <v>10081</v>
      </c>
      <c r="R46">
        <f>COUNTIFS(Resgates!$I$2:$I$597,"",Resgates!$A$2:$A$597,"&gt;="&amp;'Regras e Parâmetros'!$A$12)</f>
        <v>420</v>
      </c>
      <c r="S46">
        <f>COUNTIFS(Resgates!$I$2:$I$597,"",Resgates!$G$2:$G$597,"&gt;0")</f>
        <v>420</v>
      </c>
      <c r="T46" s="13">
        <f>IF(R46=0,0,S46/R46)</f>
        <v>1</v>
      </c>
      <c r="U46" s="16">
        <f>SUMIFS(Resgates!$G$2:$G$597,Resgates!$I$2:$I$597,"",Resgates!$G$2:$G$597,"&gt;0")</f>
        <v>17795</v>
      </c>
    </row>
    <row r="47" spans="2:21" x14ac:dyDescent="0.3">
      <c r="B47" s="1"/>
      <c r="D47" s="24"/>
      <c r="E47" s="9"/>
      <c r="H47" t="str" cm="1">
        <f t="array" ref="H47">IF(NOT(ISNUMBER(A47)),"",IF(INDEX(Resgates!$B:$B,A47)&lt;&gt;"","CPF não está no cadastro",IF(ISNUMBER(SEARCH(" ",TRIM(C47))),IF(COUNTIF(Clientes!$A$2:$A$2396,TRIM(C47))&gt;1,"Nome repetido no cadastro","Nome não encontrado no cadastro"),"Só o primeiro nome")))</f>
        <v/>
      </c>
      <c r="I47" s="10" t="str" cm="1">
        <f t="array" ref="I47">IF(H47="","",IF(LEFT(INDEX(Resgates!$K:$K,A47),9)="Sugestão:",INDEX(Resgates!$K:$K,A47),IF(H47="Nome repetido no cadastro",_xlfn.TEXTJOIN("  /  ",TRUE,_xlfn._xlws.FILTER(Clientes!$A$2:$A$2396&amp;" – "&amp;Clientes!$B$2:$B$2396&amp;" (cadastro "&amp;Clientes!$G$2:$G$2396&amp;")",Clientes!$A$2:$A$2396=TRIM(C47))),IF(H47="Só o primeiro nome",COUNTIF(Clientes!$A$2:$A$2396,TRIM(C47)&amp;" *")&amp;" clientes com esse primeiro nome – confirmar com a loja/atendente",IF(H47="CPF não está no cadastro","Conferir se o CPF foi digitado errado ou se o cliente não foi cadastrado","Confirmar com a loja")))))</f>
        <v/>
      </c>
      <c r="J47" s="10" t="str">
        <f t="shared" si="0"/>
        <v/>
      </c>
    </row>
    <row r="48" spans="2:21" x14ac:dyDescent="0.3">
      <c r="B48" s="1"/>
      <c r="D48" s="24"/>
      <c r="E48" s="9"/>
      <c r="H48" t="str" cm="1">
        <f t="array" ref="H48">IF(NOT(ISNUMBER(A48)),"",IF(INDEX(Resgates!$B:$B,A48)&lt;&gt;"","CPF não está no cadastro",IF(ISNUMBER(SEARCH(" ",TRIM(C48))),IF(COUNTIF(Clientes!$A$2:$A$2396,TRIM(C48))&gt;1,"Nome repetido no cadastro","Nome não encontrado no cadastro"),"Só o primeiro nome")))</f>
        <v/>
      </c>
      <c r="I48" s="10" t="str" cm="1">
        <f t="array" ref="I48">IF(H48="","",IF(LEFT(INDEX(Resgates!$K:$K,A48),9)="Sugestão:",INDEX(Resgates!$K:$K,A48),IF(H48="Nome repetido no cadastro",_xlfn.TEXTJOIN("  /  ",TRUE,_xlfn._xlws.FILTER(Clientes!$A$2:$A$2396&amp;" – "&amp;Clientes!$B$2:$B$2396&amp;" (cadastro "&amp;Clientes!$G$2:$G$2396&amp;")",Clientes!$A$2:$A$2396=TRIM(C48))),IF(H48="Só o primeiro nome",COUNTIF(Clientes!$A$2:$A$2396,TRIM(C48)&amp;" *")&amp;" clientes com esse primeiro nome – confirmar com a loja/atendente",IF(H48="CPF não está no cadastro","Conferir se o CPF foi digitado errado ou se o cliente não foi cadastrado","Confirmar com a loja")))))</f>
        <v/>
      </c>
      <c r="J48" s="10" t="str">
        <f t="shared" si="0"/>
        <v/>
      </c>
    </row>
    <row r="49" spans="2:10" x14ac:dyDescent="0.3">
      <c r="B49" s="1"/>
      <c r="D49" s="24"/>
      <c r="E49" s="9"/>
      <c r="H49" t="str" cm="1">
        <f t="array" ref="H49">IF(NOT(ISNUMBER(A49)),"",IF(INDEX(Resgates!$B:$B,A49)&lt;&gt;"","CPF não está no cadastro",IF(ISNUMBER(SEARCH(" ",TRIM(C49))),IF(COUNTIF(Clientes!$A$2:$A$2396,TRIM(C49))&gt;1,"Nome repetido no cadastro","Nome não encontrado no cadastro"),"Só o primeiro nome")))</f>
        <v/>
      </c>
      <c r="I49" s="10" t="str" cm="1">
        <f t="array" ref="I49">IF(H49="","",IF(LEFT(INDEX(Resgates!$K:$K,A49),9)="Sugestão:",INDEX(Resgates!$K:$K,A49),IF(H49="Nome repetido no cadastro",_xlfn.TEXTJOIN("  /  ",TRUE,_xlfn._xlws.FILTER(Clientes!$A$2:$A$2396&amp;" – "&amp;Clientes!$B$2:$B$2396&amp;" (cadastro "&amp;Clientes!$G$2:$G$2396&amp;")",Clientes!$A$2:$A$2396=TRIM(C49))),IF(H49="Só o primeiro nome",COUNTIF(Clientes!$A$2:$A$2396,TRIM(C49)&amp;" *")&amp;" clientes com esse primeiro nome – confirmar com a loja/atendente",IF(H49="CPF não está no cadastro","Conferir se o CPF foi digitado errado ou se o cliente não foi cadastrado","Confirmar com a loja")))))</f>
        <v/>
      </c>
      <c r="J49" s="10" t="str">
        <f t="shared" si="0"/>
        <v/>
      </c>
    </row>
    <row r="50" spans="2:10" x14ac:dyDescent="0.3">
      <c r="B50" s="1"/>
      <c r="D50" s="24"/>
      <c r="E50" s="9"/>
      <c r="H50" t="str" cm="1">
        <f t="array" ref="H50">IF(NOT(ISNUMBER(A50)),"",IF(INDEX(Resgates!$B:$B,A50)&lt;&gt;"","CPF não está no cadastro",IF(ISNUMBER(SEARCH(" ",TRIM(C50))),IF(COUNTIF(Clientes!$A$2:$A$2396,TRIM(C50))&gt;1,"Nome repetido no cadastro","Nome não encontrado no cadastro"),"Só o primeiro nome")))</f>
        <v/>
      </c>
      <c r="I50" s="10" t="str" cm="1">
        <f t="array" ref="I50">IF(H50="","",IF(LEFT(INDEX(Resgates!$K:$K,A50),9)="Sugestão:",INDEX(Resgates!$K:$K,A50),IF(H50="Nome repetido no cadastro",_xlfn.TEXTJOIN("  /  ",TRUE,_xlfn._xlws.FILTER(Clientes!$A$2:$A$2396&amp;" – "&amp;Clientes!$B$2:$B$2396&amp;" (cadastro "&amp;Clientes!$G$2:$G$2396&amp;")",Clientes!$A$2:$A$2396=TRIM(C50))),IF(H50="Só o primeiro nome",COUNTIF(Clientes!$A$2:$A$2396,TRIM(C50)&amp;" *")&amp;" clientes com esse primeiro nome – confirmar com a loja/atendente",IF(H50="CPF não está no cadastro","Conferir se o CPF foi digitado errado ou se o cliente não foi cadastrado","Confirmar com a loja")))))</f>
        <v/>
      </c>
      <c r="J50" s="10" t="str">
        <f t="shared" si="0"/>
        <v/>
      </c>
    </row>
    <row r="51" spans="2:10" x14ac:dyDescent="0.3">
      <c r="B51" s="1"/>
      <c r="D51" s="24"/>
      <c r="E51" s="9"/>
      <c r="H51" t="str" cm="1">
        <f t="array" ref="H51">IF(NOT(ISNUMBER(A51)),"",IF(INDEX(Resgates!$B:$B,A51)&lt;&gt;"","CPF não está no cadastro",IF(ISNUMBER(SEARCH(" ",TRIM(C51))),IF(COUNTIF(Clientes!$A$2:$A$2396,TRIM(C51))&gt;1,"Nome repetido no cadastro","Nome não encontrado no cadastro"),"Só o primeiro nome")))</f>
        <v/>
      </c>
      <c r="I51" s="10" t="str" cm="1">
        <f t="array" ref="I51">IF(H51="","",IF(LEFT(INDEX(Resgates!$K:$K,A51),9)="Sugestão:",INDEX(Resgates!$K:$K,A51),IF(H51="Nome repetido no cadastro",_xlfn.TEXTJOIN("  /  ",TRUE,_xlfn._xlws.FILTER(Clientes!$A$2:$A$2396&amp;" – "&amp;Clientes!$B$2:$B$2396&amp;" (cadastro "&amp;Clientes!$G$2:$G$2396&amp;")",Clientes!$A$2:$A$2396=TRIM(C51))),IF(H51="Só o primeiro nome",COUNTIF(Clientes!$A$2:$A$2396,TRIM(C51)&amp;" *")&amp;" clientes com esse primeiro nome – confirmar com a loja/atendente",IF(H51="CPF não está no cadastro","Conferir se o CPF foi digitado errado ou se o cliente não foi cadastrado","Confirmar com a loja")))))</f>
        <v/>
      </c>
      <c r="J51" s="10" t="str">
        <f t="shared" si="0"/>
        <v/>
      </c>
    </row>
    <row r="52" spans="2:10" x14ac:dyDescent="0.3">
      <c r="B52" s="1"/>
      <c r="D52" s="24"/>
      <c r="E52" s="9"/>
      <c r="H52" t="str" cm="1">
        <f t="array" ref="H52">IF(NOT(ISNUMBER(A52)),"",IF(INDEX(Resgates!$B:$B,A52)&lt;&gt;"","CPF não está no cadastro",IF(ISNUMBER(SEARCH(" ",TRIM(C52))),IF(COUNTIF(Clientes!$A$2:$A$2396,TRIM(C52))&gt;1,"Nome repetido no cadastro","Nome não encontrado no cadastro"),"Só o primeiro nome")))</f>
        <v/>
      </c>
      <c r="I52" s="10" t="str" cm="1">
        <f t="array" ref="I52">IF(H52="","",IF(LEFT(INDEX(Resgates!$K:$K,A52),9)="Sugestão:",INDEX(Resgates!$K:$K,A52),IF(H52="Nome repetido no cadastro",_xlfn.TEXTJOIN("  /  ",TRUE,_xlfn._xlws.FILTER(Clientes!$A$2:$A$2396&amp;" – "&amp;Clientes!$B$2:$B$2396&amp;" (cadastro "&amp;Clientes!$G$2:$G$2396&amp;")",Clientes!$A$2:$A$2396=TRIM(C52))),IF(H52="Só o primeiro nome",COUNTIF(Clientes!$A$2:$A$2396,TRIM(C52)&amp;" *")&amp;" clientes com esse primeiro nome – confirmar com a loja/atendente",IF(H52="CPF não está no cadastro","Conferir se o CPF foi digitado errado ou se o cliente não foi cadastrado","Confirmar com a loja")))))</f>
        <v/>
      </c>
      <c r="J52" s="10" t="str">
        <f t="shared" si="0"/>
        <v/>
      </c>
    </row>
    <row r="53" spans="2:10" x14ac:dyDescent="0.3">
      <c r="B53" s="1"/>
      <c r="D53" s="24"/>
      <c r="E53" s="9"/>
      <c r="H53" t="str" cm="1">
        <f t="array" ref="H53">IF(NOT(ISNUMBER(A53)),"",IF(INDEX(Resgates!$B:$B,A53)&lt;&gt;"","CPF não está no cadastro",IF(ISNUMBER(SEARCH(" ",TRIM(C53))),IF(COUNTIF(Clientes!$A$2:$A$2396,TRIM(C53))&gt;1,"Nome repetido no cadastro","Nome não encontrado no cadastro"),"Só o primeiro nome")))</f>
        <v/>
      </c>
      <c r="I53" s="10" t="str" cm="1">
        <f t="array" ref="I53">IF(H53="","",IF(LEFT(INDEX(Resgates!$K:$K,A53),9)="Sugestão:",INDEX(Resgates!$K:$K,A53),IF(H53="Nome repetido no cadastro",_xlfn.TEXTJOIN("  /  ",TRUE,_xlfn._xlws.FILTER(Clientes!$A$2:$A$2396&amp;" – "&amp;Clientes!$B$2:$B$2396&amp;" (cadastro "&amp;Clientes!$G$2:$G$2396&amp;")",Clientes!$A$2:$A$2396=TRIM(C53))),IF(H53="Só o primeiro nome",COUNTIF(Clientes!$A$2:$A$2396,TRIM(C53)&amp;" *")&amp;" clientes com esse primeiro nome – confirmar com a loja/atendente",IF(H53="CPF não está no cadastro","Conferir se o CPF foi digitado errado ou se o cliente não foi cadastrado","Confirmar com a loja")))))</f>
        <v/>
      </c>
      <c r="J53" s="10" t="str">
        <f t="shared" si="0"/>
        <v/>
      </c>
    </row>
    <row r="54" spans="2:10" x14ac:dyDescent="0.3">
      <c r="B54" s="1"/>
      <c r="D54" s="24"/>
      <c r="E54" s="9"/>
      <c r="H54" t="str" cm="1">
        <f t="array" ref="H54">IF(NOT(ISNUMBER(A54)),"",IF(INDEX(Resgates!$B:$B,A54)&lt;&gt;"","CPF não está no cadastro",IF(ISNUMBER(SEARCH(" ",TRIM(C54))),IF(COUNTIF(Clientes!$A$2:$A$2396,TRIM(C54))&gt;1,"Nome repetido no cadastro","Nome não encontrado no cadastro"),"Só o primeiro nome")))</f>
        <v/>
      </c>
      <c r="I54" s="10" t="str" cm="1">
        <f t="array" ref="I54">IF(H54="","",IF(LEFT(INDEX(Resgates!$K:$K,A54),9)="Sugestão:",INDEX(Resgates!$K:$K,A54),IF(H54="Nome repetido no cadastro",_xlfn.TEXTJOIN("  /  ",TRUE,_xlfn._xlws.FILTER(Clientes!$A$2:$A$2396&amp;" – "&amp;Clientes!$B$2:$B$2396&amp;" (cadastro "&amp;Clientes!$G$2:$G$2396&amp;")",Clientes!$A$2:$A$2396=TRIM(C54))),IF(H54="Só o primeiro nome",COUNTIF(Clientes!$A$2:$A$2396,TRIM(C54)&amp;" *")&amp;" clientes com esse primeiro nome – confirmar com a loja/atendente",IF(H54="CPF não está no cadastro","Conferir se o CPF foi digitado errado ou se o cliente não foi cadastrado","Confirmar com a loja")))))</f>
        <v/>
      </c>
      <c r="J54" s="10" t="str">
        <f t="shared" si="0"/>
        <v/>
      </c>
    </row>
    <row r="55" spans="2:10" x14ac:dyDescent="0.3">
      <c r="B55" s="1"/>
      <c r="D55" s="24"/>
      <c r="E55" s="9"/>
      <c r="H55" t="str" cm="1">
        <f t="array" ref="H55">IF(NOT(ISNUMBER(A55)),"",IF(INDEX(Resgates!$B:$B,A55)&lt;&gt;"","CPF não está no cadastro",IF(ISNUMBER(SEARCH(" ",TRIM(C55))),IF(COUNTIF(Clientes!$A$2:$A$2396,TRIM(C55))&gt;1,"Nome repetido no cadastro","Nome não encontrado no cadastro"),"Só o primeiro nome")))</f>
        <v/>
      </c>
      <c r="I55" s="10" t="str" cm="1">
        <f t="array" ref="I55">IF(H55="","",IF(LEFT(INDEX(Resgates!$K:$K,A55),9)="Sugestão:",INDEX(Resgates!$K:$K,A55),IF(H55="Nome repetido no cadastro",_xlfn.TEXTJOIN("  /  ",TRUE,_xlfn._xlws.FILTER(Clientes!$A$2:$A$2396&amp;" – "&amp;Clientes!$B$2:$B$2396&amp;" (cadastro "&amp;Clientes!$G$2:$G$2396&amp;")",Clientes!$A$2:$A$2396=TRIM(C55))),IF(H55="Só o primeiro nome",COUNTIF(Clientes!$A$2:$A$2396,TRIM(C55)&amp;" *")&amp;" clientes com esse primeiro nome – confirmar com a loja/atendente",IF(H55="CPF não está no cadastro","Conferir se o CPF foi digitado errado ou se o cliente não foi cadastrado","Confirmar com a loja")))))</f>
        <v/>
      </c>
      <c r="J55" s="10" t="str">
        <f t="shared" si="0"/>
        <v/>
      </c>
    </row>
    <row r="56" spans="2:10" x14ac:dyDescent="0.3">
      <c r="B56" s="1"/>
      <c r="D56" s="24"/>
      <c r="E56" s="9"/>
      <c r="H56" t="str" cm="1">
        <f t="array" ref="H56">IF(NOT(ISNUMBER(A56)),"",IF(INDEX(Resgates!$B:$B,A56)&lt;&gt;"","CPF não está no cadastro",IF(ISNUMBER(SEARCH(" ",TRIM(C56))),IF(COUNTIF(Clientes!$A$2:$A$2396,TRIM(C56))&gt;1,"Nome repetido no cadastro","Nome não encontrado no cadastro"),"Só o primeiro nome")))</f>
        <v/>
      </c>
      <c r="I56" s="10" t="str" cm="1">
        <f t="array" ref="I56">IF(H56="","",IF(LEFT(INDEX(Resgates!$K:$K,A56),9)="Sugestão:",INDEX(Resgates!$K:$K,A56),IF(H56="Nome repetido no cadastro",_xlfn.TEXTJOIN("  /  ",TRUE,_xlfn._xlws.FILTER(Clientes!$A$2:$A$2396&amp;" – "&amp;Clientes!$B$2:$B$2396&amp;" (cadastro "&amp;Clientes!$G$2:$G$2396&amp;")",Clientes!$A$2:$A$2396=TRIM(C56))),IF(H56="Só o primeiro nome",COUNTIF(Clientes!$A$2:$A$2396,TRIM(C56)&amp;" *")&amp;" clientes com esse primeiro nome – confirmar com a loja/atendente",IF(H56="CPF não está no cadastro","Conferir se o CPF foi digitado errado ou se o cliente não foi cadastrado","Confirmar com a loja")))))</f>
        <v/>
      </c>
      <c r="J56" s="10" t="str">
        <f t="shared" si="0"/>
        <v/>
      </c>
    </row>
    <row r="57" spans="2:10" x14ac:dyDescent="0.3">
      <c r="B57" s="1"/>
      <c r="D57" s="24"/>
      <c r="E57" s="9"/>
      <c r="H57" t="str" cm="1">
        <f t="array" ref="H57">IF(NOT(ISNUMBER(A57)),"",IF(INDEX(Resgates!$B:$B,A57)&lt;&gt;"","CPF não está no cadastro",IF(ISNUMBER(SEARCH(" ",TRIM(C57))),IF(COUNTIF(Clientes!$A$2:$A$2396,TRIM(C57))&gt;1,"Nome repetido no cadastro","Nome não encontrado no cadastro"),"Só o primeiro nome")))</f>
        <v/>
      </c>
      <c r="I57" s="10" t="str" cm="1">
        <f t="array" ref="I57">IF(H57="","",IF(LEFT(INDEX(Resgates!$K:$K,A57),9)="Sugestão:",INDEX(Resgates!$K:$K,A57),IF(H57="Nome repetido no cadastro",_xlfn.TEXTJOIN("  /  ",TRUE,_xlfn._xlws.FILTER(Clientes!$A$2:$A$2396&amp;" – "&amp;Clientes!$B$2:$B$2396&amp;" (cadastro "&amp;Clientes!$G$2:$G$2396&amp;")",Clientes!$A$2:$A$2396=TRIM(C57))),IF(H57="Só o primeiro nome",COUNTIF(Clientes!$A$2:$A$2396,TRIM(C57)&amp;" *")&amp;" clientes com esse primeiro nome – confirmar com a loja/atendente",IF(H57="CPF não está no cadastro","Conferir se o CPF foi digitado errado ou se o cliente não foi cadastrado","Confirmar com a loja")))))</f>
        <v/>
      </c>
      <c r="J57" s="10" t="str">
        <f t="shared" si="0"/>
        <v/>
      </c>
    </row>
    <row r="58" spans="2:10" x14ac:dyDescent="0.3">
      <c r="B58" s="1"/>
      <c r="D58" s="24"/>
      <c r="E58" s="9"/>
      <c r="H58" t="str" cm="1">
        <f t="array" ref="H58">IF(NOT(ISNUMBER(A58)),"",IF(INDEX(Resgates!$B:$B,A58)&lt;&gt;"","CPF não está no cadastro",IF(ISNUMBER(SEARCH(" ",TRIM(C58))),IF(COUNTIF(Clientes!$A$2:$A$2396,TRIM(C58))&gt;1,"Nome repetido no cadastro","Nome não encontrado no cadastro"),"Só o primeiro nome")))</f>
        <v/>
      </c>
      <c r="I58" s="10" t="str" cm="1">
        <f t="array" ref="I58">IF(H58="","",IF(LEFT(INDEX(Resgates!$K:$K,A58),9)="Sugestão:",INDEX(Resgates!$K:$K,A58),IF(H58="Nome repetido no cadastro",_xlfn.TEXTJOIN("  /  ",TRUE,_xlfn._xlws.FILTER(Clientes!$A$2:$A$2396&amp;" – "&amp;Clientes!$B$2:$B$2396&amp;" (cadastro "&amp;Clientes!$G$2:$G$2396&amp;")",Clientes!$A$2:$A$2396=TRIM(C58))),IF(H58="Só o primeiro nome",COUNTIF(Clientes!$A$2:$A$2396,TRIM(C58)&amp;" *")&amp;" clientes com esse primeiro nome – confirmar com a loja/atendente",IF(H58="CPF não está no cadastro","Conferir se o CPF foi digitado errado ou se o cliente não foi cadastrado","Confirmar com a loja")))))</f>
        <v/>
      </c>
      <c r="J58" s="10" t="str">
        <f t="shared" si="0"/>
        <v/>
      </c>
    </row>
    <row r="59" spans="2:10" x14ac:dyDescent="0.3">
      <c r="B59" s="1"/>
      <c r="D59" s="24"/>
      <c r="E59" s="9"/>
      <c r="H59" t="str" cm="1">
        <f t="array" ref="H59">IF(NOT(ISNUMBER(A59)),"",IF(INDEX(Resgates!$B:$B,A59)&lt;&gt;"","CPF não está no cadastro",IF(ISNUMBER(SEARCH(" ",TRIM(C59))),IF(COUNTIF(Clientes!$A$2:$A$2396,TRIM(C59))&gt;1,"Nome repetido no cadastro","Nome não encontrado no cadastro"),"Só o primeiro nome")))</f>
        <v/>
      </c>
      <c r="I59" s="10" t="str" cm="1">
        <f t="array" ref="I59">IF(H59="","",IF(LEFT(INDEX(Resgates!$K:$K,A59),9)="Sugestão:",INDEX(Resgates!$K:$K,A59),IF(H59="Nome repetido no cadastro",_xlfn.TEXTJOIN("  /  ",TRUE,_xlfn._xlws.FILTER(Clientes!$A$2:$A$2396&amp;" – "&amp;Clientes!$B$2:$B$2396&amp;" (cadastro "&amp;Clientes!$G$2:$G$2396&amp;")",Clientes!$A$2:$A$2396=TRIM(C59))),IF(H59="Só o primeiro nome",COUNTIF(Clientes!$A$2:$A$2396,TRIM(C59)&amp;" *")&amp;" clientes com esse primeiro nome – confirmar com a loja/atendente",IF(H59="CPF não está no cadastro","Conferir se o CPF foi digitado errado ou se o cliente não foi cadastrado","Confirmar com a loja")))))</f>
        <v/>
      </c>
      <c r="J59" s="10" t="str">
        <f t="shared" si="0"/>
        <v/>
      </c>
    </row>
    <row r="60" spans="2:10" x14ac:dyDescent="0.3">
      <c r="B60" s="1"/>
      <c r="D60" s="24"/>
      <c r="E60" s="9"/>
      <c r="H60" t="str" cm="1">
        <f t="array" ref="H60">IF(NOT(ISNUMBER(A60)),"",IF(INDEX(Resgates!$B:$B,A60)&lt;&gt;"","CPF não está no cadastro",IF(ISNUMBER(SEARCH(" ",TRIM(C60))),IF(COUNTIF(Clientes!$A$2:$A$2396,TRIM(C60))&gt;1,"Nome repetido no cadastro","Nome não encontrado no cadastro"),"Só o primeiro nome")))</f>
        <v/>
      </c>
      <c r="I60" s="10" t="str" cm="1">
        <f t="array" ref="I60">IF(H60="","",IF(LEFT(INDEX(Resgates!$K:$K,A60),9)="Sugestão:",INDEX(Resgates!$K:$K,A60),IF(H60="Nome repetido no cadastro",_xlfn.TEXTJOIN("  /  ",TRUE,_xlfn._xlws.FILTER(Clientes!$A$2:$A$2396&amp;" – "&amp;Clientes!$B$2:$B$2396&amp;" (cadastro "&amp;Clientes!$G$2:$G$2396&amp;")",Clientes!$A$2:$A$2396=TRIM(C60))),IF(H60="Só o primeiro nome",COUNTIF(Clientes!$A$2:$A$2396,TRIM(C60)&amp;" *")&amp;" clientes com esse primeiro nome – confirmar com a loja/atendente",IF(H60="CPF não está no cadastro","Conferir se o CPF foi digitado errado ou se o cliente não foi cadastrado","Confirmar com a loja")))))</f>
        <v/>
      </c>
      <c r="J60" s="10" t="str">
        <f t="shared" si="0"/>
        <v/>
      </c>
    </row>
    <row r="61" spans="2:10" x14ac:dyDescent="0.3">
      <c r="B61" s="1"/>
      <c r="D61" s="24"/>
      <c r="E61" s="9"/>
      <c r="H61" t="str" cm="1">
        <f t="array" ref="H61">IF(NOT(ISNUMBER(A61)),"",IF(INDEX(Resgates!$B:$B,A61)&lt;&gt;"","CPF não está no cadastro",IF(ISNUMBER(SEARCH(" ",TRIM(C61))),IF(COUNTIF(Clientes!$A$2:$A$2396,TRIM(C61))&gt;1,"Nome repetido no cadastro","Nome não encontrado no cadastro"),"Só o primeiro nome")))</f>
        <v/>
      </c>
      <c r="I61" s="10" t="str" cm="1">
        <f t="array" ref="I61">IF(H61="","",IF(LEFT(INDEX(Resgates!$K:$K,A61),9)="Sugestão:",INDEX(Resgates!$K:$K,A61),IF(H61="Nome repetido no cadastro",_xlfn.TEXTJOIN("  /  ",TRUE,_xlfn._xlws.FILTER(Clientes!$A$2:$A$2396&amp;" – "&amp;Clientes!$B$2:$B$2396&amp;" (cadastro "&amp;Clientes!$G$2:$G$2396&amp;")",Clientes!$A$2:$A$2396=TRIM(C61))),IF(H61="Só o primeiro nome",COUNTIF(Clientes!$A$2:$A$2396,TRIM(C61)&amp;" *")&amp;" clientes com esse primeiro nome – confirmar com a loja/atendente",IF(H61="CPF não está no cadastro","Conferir se o CPF foi digitado errado ou se o cliente não foi cadastrado","Confirmar com a loja")))))</f>
        <v/>
      </c>
      <c r="J61" s="10" t="str">
        <f t="shared" si="0"/>
        <v/>
      </c>
    </row>
    <row r="62" spans="2:10" x14ac:dyDescent="0.3">
      <c r="B62" s="1"/>
      <c r="D62" s="24"/>
      <c r="E62" s="9"/>
      <c r="H62" t="str" cm="1">
        <f t="array" ref="H62">IF(NOT(ISNUMBER(A62)),"",IF(INDEX(Resgates!$B:$B,A62)&lt;&gt;"","CPF não está no cadastro",IF(ISNUMBER(SEARCH(" ",TRIM(C62))),IF(COUNTIF(Clientes!$A$2:$A$2396,TRIM(C62))&gt;1,"Nome repetido no cadastro","Nome não encontrado no cadastro"),"Só o primeiro nome")))</f>
        <v/>
      </c>
      <c r="I62" s="10" t="str" cm="1">
        <f t="array" ref="I62">IF(H62="","",IF(LEFT(INDEX(Resgates!$K:$K,A62),9)="Sugestão:",INDEX(Resgates!$K:$K,A62),IF(H62="Nome repetido no cadastro",_xlfn.TEXTJOIN("  /  ",TRUE,_xlfn._xlws.FILTER(Clientes!$A$2:$A$2396&amp;" – "&amp;Clientes!$B$2:$B$2396&amp;" (cadastro "&amp;Clientes!$G$2:$G$2396&amp;")",Clientes!$A$2:$A$2396=TRIM(C62))),IF(H62="Só o primeiro nome",COUNTIF(Clientes!$A$2:$A$2396,TRIM(C62)&amp;" *")&amp;" clientes com esse primeiro nome – confirmar com a loja/atendente",IF(H62="CPF não está no cadastro","Conferir se o CPF foi digitado errado ou se o cliente não foi cadastrado","Confirmar com a loja")))))</f>
        <v/>
      </c>
      <c r="J62" s="10" t="str">
        <f t="shared" si="0"/>
        <v/>
      </c>
    </row>
    <row r="63" spans="2:10" x14ac:dyDescent="0.3">
      <c r="B63" s="1"/>
      <c r="D63" s="24"/>
      <c r="E63" s="9"/>
      <c r="H63" t="str" cm="1">
        <f t="array" ref="H63">IF(NOT(ISNUMBER(A63)),"",IF(INDEX(Resgates!$B:$B,A63)&lt;&gt;"","CPF não está no cadastro",IF(ISNUMBER(SEARCH(" ",TRIM(C63))),IF(COUNTIF(Clientes!$A$2:$A$2396,TRIM(C63))&gt;1,"Nome repetido no cadastro","Nome não encontrado no cadastro"),"Só o primeiro nome")))</f>
        <v/>
      </c>
      <c r="I63" s="10" t="str" cm="1">
        <f t="array" ref="I63">IF(H63="","",IF(LEFT(INDEX(Resgates!$K:$K,A63),9)="Sugestão:",INDEX(Resgates!$K:$K,A63),IF(H63="Nome repetido no cadastro",_xlfn.TEXTJOIN("  /  ",TRUE,_xlfn._xlws.FILTER(Clientes!$A$2:$A$2396&amp;" – "&amp;Clientes!$B$2:$B$2396&amp;" (cadastro "&amp;Clientes!$G$2:$G$2396&amp;")",Clientes!$A$2:$A$2396=TRIM(C63))),IF(H63="Só o primeiro nome",COUNTIF(Clientes!$A$2:$A$2396,TRIM(C63)&amp;" *")&amp;" clientes com esse primeiro nome – confirmar com a loja/atendente",IF(H63="CPF não está no cadastro","Conferir se o CPF foi digitado errado ou se o cliente não foi cadastrado","Confirmar com a loja")))))</f>
        <v/>
      </c>
      <c r="J63" s="10" t="str">
        <f t="shared" si="0"/>
        <v/>
      </c>
    </row>
    <row r="64" spans="2:10" x14ac:dyDescent="0.3">
      <c r="B64" s="1"/>
      <c r="D64" s="24"/>
      <c r="E64" s="9"/>
      <c r="H64" t="str" cm="1">
        <f t="array" ref="H64">IF(NOT(ISNUMBER(A64)),"",IF(INDEX(Resgates!$B:$B,A64)&lt;&gt;"","CPF não está no cadastro",IF(ISNUMBER(SEARCH(" ",TRIM(C64))),IF(COUNTIF(Clientes!$A$2:$A$2396,TRIM(C64))&gt;1,"Nome repetido no cadastro","Nome não encontrado no cadastro"),"Só o primeiro nome")))</f>
        <v/>
      </c>
      <c r="I64" s="10" t="str" cm="1">
        <f t="array" ref="I64">IF(H64="","",IF(LEFT(INDEX(Resgates!$K:$K,A64),9)="Sugestão:",INDEX(Resgates!$K:$K,A64),IF(H64="Nome repetido no cadastro",_xlfn.TEXTJOIN("  /  ",TRUE,_xlfn._xlws.FILTER(Clientes!$A$2:$A$2396&amp;" – "&amp;Clientes!$B$2:$B$2396&amp;" (cadastro "&amp;Clientes!$G$2:$G$2396&amp;")",Clientes!$A$2:$A$2396=TRIM(C64))),IF(H64="Só o primeiro nome",COUNTIF(Clientes!$A$2:$A$2396,TRIM(C64)&amp;" *")&amp;" clientes com esse primeiro nome – confirmar com a loja/atendente",IF(H64="CPF não está no cadastro","Conferir se o CPF foi digitado errado ou se o cliente não foi cadastrado","Confirmar com a loja")))))</f>
        <v/>
      </c>
      <c r="J64" s="10" t="str">
        <f t="shared" si="0"/>
        <v/>
      </c>
    </row>
    <row r="65" spans="2:10" x14ac:dyDescent="0.3">
      <c r="B65" s="1"/>
      <c r="D65" s="24"/>
      <c r="E65" s="9"/>
      <c r="H65" t="str" cm="1">
        <f t="array" ref="H65">IF(NOT(ISNUMBER(A65)),"",IF(INDEX(Resgates!$B:$B,A65)&lt;&gt;"","CPF não está no cadastro",IF(ISNUMBER(SEARCH(" ",TRIM(C65))),IF(COUNTIF(Clientes!$A$2:$A$2396,TRIM(C65))&gt;1,"Nome repetido no cadastro","Nome não encontrado no cadastro"),"Só o primeiro nome")))</f>
        <v/>
      </c>
      <c r="I65" s="10" t="str" cm="1">
        <f t="array" ref="I65">IF(H65="","",IF(LEFT(INDEX(Resgates!$K:$K,A65),9)="Sugestão:",INDEX(Resgates!$K:$K,A65),IF(H65="Nome repetido no cadastro",_xlfn.TEXTJOIN("  /  ",TRUE,_xlfn._xlws.FILTER(Clientes!$A$2:$A$2396&amp;" – "&amp;Clientes!$B$2:$B$2396&amp;" (cadastro "&amp;Clientes!$G$2:$G$2396&amp;")",Clientes!$A$2:$A$2396=TRIM(C65))),IF(H65="Só o primeiro nome",COUNTIF(Clientes!$A$2:$A$2396,TRIM(C65)&amp;" *")&amp;" clientes com esse primeiro nome – confirmar com a loja/atendente",IF(H65="CPF não está no cadastro","Conferir se o CPF foi digitado errado ou se o cliente não foi cadastrado","Confirmar com a loja")))))</f>
        <v/>
      </c>
      <c r="J65" s="10" t="str">
        <f t="shared" si="0"/>
        <v/>
      </c>
    </row>
    <row r="66" spans="2:10" x14ac:dyDescent="0.3">
      <c r="B66" s="1"/>
      <c r="D66" s="24"/>
      <c r="E66" s="9"/>
      <c r="H66" t="str" cm="1">
        <f t="array" ref="H66">IF(NOT(ISNUMBER(A66)),"",IF(INDEX(Resgates!$B:$B,A66)&lt;&gt;"","CPF não está no cadastro",IF(ISNUMBER(SEARCH(" ",TRIM(C66))),IF(COUNTIF(Clientes!$A$2:$A$2396,TRIM(C66))&gt;1,"Nome repetido no cadastro","Nome não encontrado no cadastro"),"Só o primeiro nome")))</f>
        <v/>
      </c>
      <c r="I66" s="10" t="str" cm="1">
        <f t="array" ref="I66">IF(H66="","",IF(LEFT(INDEX(Resgates!$K:$K,A66),9)="Sugestão:",INDEX(Resgates!$K:$K,A66),IF(H66="Nome repetido no cadastro",_xlfn.TEXTJOIN("  /  ",TRUE,_xlfn._xlws.FILTER(Clientes!$A$2:$A$2396&amp;" – "&amp;Clientes!$B$2:$B$2396&amp;" (cadastro "&amp;Clientes!$G$2:$G$2396&amp;")",Clientes!$A$2:$A$2396=TRIM(C66))),IF(H66="Só o primeiro nome",COUNTIF(Clientes!$A$2:$A$2396,TRIM(C66)&amp;" *")&amp;" clientes com esse primeiro nome – confirmar com a loja/atendente",IF(H66="CPF não está no cadastro","Conferir se o CPF foi digitado errado ou se o cliente não foi cadastrado","Confirmar com a loja")))))</f>
        <v/>
      </c>
      <c r="J66" s="10" t="str">
        <f t="shared" si="0"/>
        <v/>
      </c>
    </row>
    <row r="67" spans="2:10" x14ac:dyDescent="0.3">
      <c r="B67" s="1"/>
      <c r="D67" s="24"/>
      <c r="E67" s="9"/>
      <c r="H67" t="str" cm="1">
        <f t="array" ref="H67">IF(NOT(ISNUMBER(A67)),"",IF(INDEX(Resgates!$B:$B,A67)&lt;&gt;"","CPF não está no cadastro",IF(ISNUMBER(SEARCH(" ",TRIM(C67))),IF(COUNTIF(Clientes!$A$2:$A$2396,TRIM(C67))&gt;1,"Nome repetido no cadastro","Nome não encontrado no cadastro"),"Só o primeiro nome")))</f>
        <v/>
      </c>
      <c r="I67" s="10" t="str" cm="1">
        <f t="array" ref="I67">IF(H67="","",IF(LEFT(INDEX(Resgates!$K:$K,A67),9)="Sugestão:",INDEX(Resgates!$K:$K,A67),IF(H67="Nome repetido no cadastro",_xlfn.TEXTJOIN("  /  ",TRUE,_xlfn._xlws.FILTER(Clientes!$A$2:$A$2396&amp;" – "&amp;Clientes!$B$2:$B$2396&amp;" (cadastro "&amp;Clientes!$G$2:$G$2396&amp;")",Clientes!$A$2:$A$2396=TRIM(C67))),IF(H67="Só o primeiro nome",COUNTIF(Clientes!$A$2:$A$2396,TRIM(C67)&amp;" *")&amp;" clientes com esse primeiro nome – confirmar com a loja/atendente",IF(H67="CPF não está no cadastro","Conferir se o CPF foi digitado errado ou se o cliente não foi cadastrado","Confirmar com a loja")))))</f>
        <v/>
      </c>
      <c r="J67" s="10" t="str">
        <f t="shared" si="0"/>
        <v/>
      </c>
    </row>
    <row r="68" spans="2:10" x14ac:dyDescent="0.3">
      <c r="B68" s="1"/>
      <c r="D68" s="24"/>
      <c r="E68" s="9"/>
      <c r="H68" t="str" cm="1">
        <f t="array" ref="H68">IF(NOT(ISNUMBER(A68)),"",IF(INDEX(Resgates!$B:$B,A68)&lt;&gt;"","CPF não está no cadastro",IF(ISNUMBER(SEARCH(" ",TRIM(C68))),IF(COUNTIF(Clientes!$A$2:$A$2396,TRIM(C68))&gt;1,"Nome repetido no cadastro","Nome não encontrado no cadastro"),"Só o primeiro nome")))</f>
        <v/>
      </c>
      <c r="I68" s="10" t="str" cm="1">
        <f t="array" ref="I68">IF(H68="","",IF(LEFT(INDEX(Resgates!$K:$K,A68),9)="Sugestão:",INDEX(Resgates!$K:$K,A68),IF(H68="Nome repetido no cadastro",_xlfn.TEXTJOIN("  /  ",TRUE,_xlfn._xlws.FILTER(Clientes!$A$2:$A$2396&amp;" – "&amp;Clientes!$B$2:$B$2396&amp;" (cadastro "&amp;Clientes!$G$2:$G$2396&amp;")",Clientes!$A$2:$A$2396=TRIM(C68))),IF(H68="Só o primeiro nome",COUNTIF(Clientes!$A$2:$A$2396,TRIM(C68)&amp;" *")&amp;" clientes com esse primeiro nome – confirmar com a loja/atendente",IF(H68="CPF não está no cadastro","Conferir se o CPF foi digitado errado ou se o cliente não foi cadastrado","Confirmar com a loja")))))</f>
        <v/>
      </c>
      <c r="J68" s="10" t="str">
        <f t="shared" si="0"/>
        <v/>
      </c>
    </row>
    <row r="69" spans="2:10" x14ac:dyDescent="0.3">
      <c r="B69" s="1"/>
      <c r="D69" s="24"/>
      <c r="E69" s="9"/>
      <c r="H69" t="str" cm="1">
        <f t="array" ref="H69">IF(NOT(ISNUMBER(A69)),"",IF(INDEX(Resgates!$B:$B,A69)&lt;&gt;"","CPF não está no cadastro",IF(ISNUMBER(SEARCH(" ",TRIM(C69))),IF(COUNTIF(Clientes!$A$2:$A$2396,TRIM(C69))&gt;1,"Nome repetido no cadastro","Nome não encontrado no cadastro"),"Só o primeiro nome")))</f>
        <v/>
      </c>
      <c r="I69" s="10" t="str" cm="1">
        <f t="array" ref="I69">IF(H69="","",IF(LEFT(INDEX(Resgates!$K:$K,A69),9)="Sugestão:",INDEX(Resgates!$K:$K,A69),IF(H69="Nome repetido no cadastro",_xlfn.TEXTJOIN("  /  ",TRUE,_xlfn._xlws.FILTER(Clientes!$A$2:$A$2396&amp;" – "&amp;Clientes!$B$2:$B$2396&amp;" (cadastro "&amp;Clientes!$G$2:$G$2396&amp;")",Clientes!$A$2:$A$2396=TRIM(C69))),IF(H69="Só o primeiro nome",COUNTIF(Clientes!$A$2:$A$2396,TRIM(C69)&amp;" *")&amp;" clientes com esse primeiro nome – confirmar com a loja/atendente",IF(H69="CPF não está no cadastro","Conferir se o CPF foi digitado errado ou se o cliente não foi cadastrado","Confirmar com a loja")))))</f>
        <v/>
      </c>
      <c r="J69" s="10" t="str">
        <f t="shared" si="0"/>
        <v/>
      </c>
    </row>
    <row r="70" spans="2:10" x14ac:dyDescent="0.3">
      <c r="B70" s="1"/>
      <c r="D70" s="24"/>
      <c r="E70" s="9"/>
      <c r="H70" t="str" cm="1">
        <f t="array" ref="H70">IF(NOT(ISNUMBER(A70)),"",IF(INDEX(Resgates!$B:$B,A70)&lt;&gt;"","CPF não está no cadastro",IF(ISNUMBER(SEARCH(" ",TRIM(C70))),IF(COUNTIF(Clientes!$A$2:$A$2396,TRIM(C70))&gt;1,"Nome repetido no cadastro","Nome não encontrado no cadastro"),"Só o primeiro nome")))</f>
        <v/>
      </c>
      <c r="I70" s="10" t="str" cm="1">
        <f t="array" ref="I70">IF(H70="","",IF(LEFT(INDEX(Resgates!$K:$K,A70),9)="Sugestão:",INDEX(Resgates!$K:$K,A70),IF(H70="Nome repetido no cadastro",_xlfn.TEXTJOIN("  /  ",TRUE,_xlfn._xlws.FILTER(Clientes!$A$2:$A$2396&amp;" – "&amp;Clientes!$B$2:$B$2396&amp;" (cadastro "&amp;Clientes!$G$2:$G$2396&amp;")",Clientes!$A$2:$A$2396=TRIM(C70))),IF(H70="Só o primeiro nome",COUNTIF(Clientes!$A$2:$A$2396,TRIM(C70)&amp;" *")&amp;" clientes com esse primeiro nome – confirmar com a loja/atendente",IF(H70="CPF não está no cadastro","Conferir se o CPF foi digitado errado ou se o cliente não foi cadastrado","Confirmar com a loja")))))</f>
        <v/>
      </c>
      <c r="J70" s="10" t="str">
        <f t="shared" si="0"/>
        <v/>
      </c>
    </row>
    <row r="71" spans="2:10" x14ac:dyDescent="0.3">
      <c r="B71" s="1"/>
      <c r="D71" s="24"/>
      <c r="E71" s="9"/>
      <c r="H71" t="str" cm="1">
        <f t="array" ref="H71">IF(NOT(ISNUMBER(A71)),"",IF(INDEX(Resgates!$B:$B,A71)&lt;&gt;"","CPF não está no cadastro",IF(ISNUMBER(SEARCH(" ",TRIM(C71))),IF(COUNTIF(Clientes!$A$2:$A$2396,TRIM(C71))&gt;1,"Nome repetido no cadastro","Nome não encontrado no cadastro"),"Só o primeiro nome")))</f>
        <v/>
      </c>
      <c r="I71" s="10" t="str" cm="1">
        <f t="array" ref="I71">IF(H71="","",IF(LEFT(INDEX(Resgates!$K:$K,A71),9)="Sugestão:",INDEX(Resgates!$K:$K,A71),IF(H71="Nome repetido no cadastro",_xlfn.TEXTJOIN("  /  ",TRUE,_xlfn._xlws.FILTER(Clientes!$A$2:$A$2396&amp;" – "&amp;Clientes!$B$2:$B$2396&amp;" (cadastro "&amp;Clientes!$G$2:$G$2396&amp;")",Clientes!$A$2:$A$2396=TRIM(C71))),IF(H71="Só o primeiro nome",COUNTIF(Clientes!$A$2:$A$2396,TRIM(C71)&amp;" *")&amp;" clientes com esse primeiro nome – confirmar com a loja/atendente",IF(H71="CPF não está no cadastro","Conferir se o CPF foi digitado errado ou se o cliente não foi cadastrado","Confirmar com a loja")))))</f>
        <v/>
      </c>
      <c r="J71" s="10" t="str">
        <f t="shared" si="0"/>
        <v/>
      </c>
    </row>
    <row r="72" spans="2:10" x14ac:dyDescent="0.3">
      <c r="B72" s="1"/>
      <c r="D72" s="24"/>
      <c r="E72" s="9"/>
      <c r="H72" t="str" cm="1">
        <f t="array" ref="H72">IF(NOT(ISNUMBER(A72)),"",IF(INDEX(Resgates!$B:$B,A72)&lt;&gt;"","CPF não está no cadastro",IF(ISNUMBER(SEARCH(" ",TRIM(C72))),IF(COUNTIF(Clientes!$A$2:$A$2396,TRIM(C72))&gt;1,"Nome repetido no cadastro","Nome não encontrado no cadastro"),"Só o primeiro nome")))</f>
        <v/>
      </c>
      <c r="I72" s="10" t="str" cm="1">
        <f t="array" ref="I72">IF(H72="","",IF(LEFT(INDEX(Resgates!$K:$K,A72),9)="Sugestão:",INDEX(Resgates!$K:$K,A72),IF(H72="Nome repetido no cadastro",_xlfn.TEXTJOIN("  /  ",TRUE,_xlfn._xlws.FILTER(Clientes!$A$2:$A$2396&amp;" – "&amp;Clientes!$B$2:$B$2396&amp;" (cadastro "&amp;Clientes!$G$2:$G$2396&amp;")",Clientes!$A$2:$A$2396=TRIM(C72))),IF(H72="Só o primeiro nome",COUNTIF(Clientes!$A$2:$A$2396,TRIM(C72)&amp;" *")&amp;" clientes com esse primeiro nome – confirmar com a loja/atendente",IF(H72="CPF não está no cadastro","Conferir se o CPF foi digitado errado ou se o cliente não foi cadastrado","Confirmar com a loja")))))</f>
        <v/>
      </c>
      <c r="J72" s="10" t="str">
        <f t="shared" si="0"/>
        <v/>
      </c>
    </row>
    <row r="73" spans="2:10" x14ac:dyDescent="0.3">
      <c r="B73" s="1"/>
      <c r="D73" s="24"/>
      <c r="E73" s="9"/>
      <c r="H73" t="str" cm="1">
        <f t="array" ref="H73">IF(NOT(ISNUMBER(A73)),"",IF(INDEX(Resgates!$B:$B,A73)&lt;&gt;"","CPF não está no cadastro",IF(ISNUMBER(SEARCH(" ",TRIM(C73))),IF(COUNTIF(Clientes!$A$2:$A$2396,TRIM(C73))&gt;1,"Nome repetido no cadastro","Nome não encontrado no cadastro"),"Só o primeiro nome")))</f>
        <v/>
      </c>
      <c r="I73" s="10" t="str" cm="1">
        <f t="array" ref="I73">IF(H73="","",IF(LEFT(INDEX(Resgates!$K:$K,A73),9)="Sugestão:",INDEX(Resgates!$K:$K,A73),IF(H73="Nome repetido no cadastro",_xlfn.TEXTJOIN("  /  ",TRUE,_xlfn._xlws.FILTER(Clientes!$A$2:$A$2396&amp;" – "&amp;Clientes!$B$2:$B$2396&amp;" (cadastro "&amp;Clientes!$G$2:$G$2396&amp;")",Clientes!$A$2:$A$2396=TRIM(C73))),IF(H73="Só o primeiro nome",COUNTIF(Clientes!$A$2:$A$2396,TRIM(C73)&amp;" *")&amp;" clientes com esse primeiro nome – confirmar com a loja/atendente",IF(H73="CPF não está no cadastro","Conferir se o CPF foi digitado errado ou se o cliente não foi cadastrado","Confirmar com a loja")))))</f>
        <v/>
      </c>
      <c r="J73" s="10" t="str">
        <f t="shared" si="0"/>
        <v/>
      </c>
    </row>
    <row r="74" spans="2:10" x14ac:dyDescent="0.3">
      <c r="B74" s="1"/>
      <c r="D74" s="24"/>
      <c r="E74" s="9"/>
      <c r="H74" t="str" cm="1">
        <f t="array" ref="H74">IF(NOT(ISNUMBER(A74)),"",IF(INDEX(Resgates!$B:$B,A74)&lt;&gt;"","CPF não está no cadastro",IF(ISNUMBER(SEARCH(" ",TRIM(C74))),IF(COUNTIF(Clientes!$A$2:$A$2396,TRIM(C74))&gt;1,"Nome repetido no cadastro","Nome não encontrado no cadastro"),"Só o primeiro nome")))</f>
        <v/>
      </c>
      <c r="I74" s="10" t="str" cm="1">
        <f t="array" ref="I74">IF(H74="","",IF(LEFT(INDEX(Resgates!$K:$K,A74),9)="Sugestão:",INDEX(Resgates!$K:$K,A74),IF(H74="Nome repetido no cadastro",_xlfn.TEXTJOIN("  /  ",TRUE,_xlfn._xlws.FILTER(Clientes!$A$2:$A$2396&amp;" – "&amp;Clientes!$B$2:$B$2396&amp;" (cadastro "&amp;Clientes!$G$2:$G$2396&amp;")",Clientes!$A$2:$A$2396=TRIM(C74))),IF(H74="Só o primeiro nome",COUNTIF(Clientes!$A$2:$A$2396,TRIM(C74)&amp;" *")&amp;" clientes com esse primeiro nome – confirmar com a loja/atendente",IF(H74="CPF não está no cadastro","Conferir se o CPF foi digitado errado ou se o cliente não foi cadastrado","Confirmar com a loja")))))</f>
        <v/>
      </c>
      <c r="J74" s="10" t="str">
        <f t="shared" si="0"/>
        <v/>
      </c>
    </row>
    <row r="75" spans="2:10" x14ac:dyDescent="0.3">
      <c r="B75" s="1"/>
      <c r="D75" s="24"/>
      <c r="E75" s="9"/>
      <c r="H75" t="str" cm="1">
        <f t="array" ref="H75">IF(NOT(ISNUMBER(A75)),"",IF(INDEX(Resgates!$B:$B,A75)&lt;&gt;"","CPF não está no cadastro",IF(ISNUMBER(SEARCH(" ",TRIM(C75))),IF(COUNTIF(Clientes!$A$2:$A$2396,TRIM(C75))&gt;1,"Nome repetido no cadastro","Nome não encontrado no cadastro"),"Só o primeiro nome")))</f>
        <v/>
      </c>
      <c r="I75" s="10" t="str" cm="1">
        <f t="array" ref="I75">IF(H75="","",IF(LEFT(INDEX(Resgates!$K:$K,A75),9)="Sugestão:",INDEX(Resgates!$K:$K,A75),IF(H75="Nome repetido no cadastro",_xlfn.TEXTJOIN("  /  ",TRUE,_xlfn._xlws.FILTER(Clientes!$A$2:$A$2396&amp;" – "&amp;Clientes!$B$2:$B$2396&amp;" (cadastro "&amp;Clientes!$G$2:$G$2396&amp;")",Clientes!$A$2:$A$2396=TRIM(C75))),IF(H75="Só o primeiro nome",COUNTIF(Clientes!$A$2:$A$2396,TRIM(C75)&amp;" *")&amp;" clientes com esse primeiro nome – confirmar com a loja/atendente",IF(H75="CPF não está no cadastro","Conferir se o CPF foi digitado errado ou se o cliente não foi cadastrado","Confirmar com a loja")))))</f>
        <v/>
      </c>
      <c r="J75" s="10" t="str">
        <f t="shared" ref="J75:J100" si="3">IF(H75="Só o primeiro nome","Buscar em vendas e atendimentos: primeiro nome """&amp;TRIM(C75)&amp;""" + loja "&amp;F75&amp;" + dia "&amp;TEXT(DAY(B75),"00")&amp;"/"&amp;TEXT(MONTH(B75),"00")&amp;"/"&amp;YEAR(B75)&amp;" (ver aba Varredura)","")</f>
        <v/>
      </c>
    </row>
    <row r="76" spans="2:10" x14ac:dyDescent="0.3">
      <c r="B76" s="1"/>
      <c r="D76" s="24"/>
      <c r="E76" s="9"/>
      <c r="H76" t="str" cm="1">
        <f t="array" ref="H76">IF(NOT(ISNUMBER(A76)),"",IF(INDEX(Resgates!$B:$B,A76)&lt;&gt;"","CPF não está no cadastro",IF(ISNUMBER(SEARCH(" ",TRIM(C76))),IF(COUNTIF(Clientes!$A$2:$A$2396,TRIM(C76))&gt;1,"Nome repetido no cadastro","Nome não encontrado no cadastro"),"Só o primeiro nome")))</f>
        <v/>
      </c>
      <c r="I76" s="10" t="str" cm="1">
        <f t="array" ref="I76">IF(H76="","",IF(LEFT(INDEX(Resgates!$K:$K,A76),9)="Sugestão:",INDEX(Resgates!$K:$K,A76),IF(H76="Nome repetido no cadastro",_xlfn.TEXTJOIN("  /  ",TRUE,_xlfn._xlws.FILTER(Clientes!$A$2:$A$2396&amp;" – "&amp;Clientes!$B$2:$B$2396&amp;" (cadastro "&amp;Clientes!$G$2:$G$2396&amp;")",Clientes!$A$2:$A$2396=TRIM(C76))),IF(H76="Só o primeiro nome",COUNTIF(Clientes!$A$2:$A$2396,TRIM(C76)&amp;" *")&amp;" clientes com esse primeiro nome – confirmar com a loja/atendente",IF(H76="CPF não está no cadastro","Conferir se o CPF foi digitado errado ou se o cliente não foi cadastrado","Confirmar com a loja")))))</f>
        <v/>
      </c>
      <c r="J76" s="10" t="str">
        <f t="shared" si="3"/>
        <v/>
      </c>
    </row>
    <row r="77" spans="2:10" x14ac:dyDescent="0.3">
      <c r="B77" s="1"/>
      <c r="D77" s="24"/>
      <c r="E77" s="9"/>
      <c r="H77" t="str" cm="1">
        <f t="array" ref="H77">IF(NOT(ISNUMBER(A77)),"",IF(INDEX(Resgates!$B:$B,A77)&lt;&gt;"","CPF não está no cadastro",IF(ISNUMBER(SEARCH(" ",TRIM(C77))),IF(COUNTIF(Clientes!$A$2:$A$2396,TRIM(C77))&gt;1,"Nome repetido no cadastro","Nome não encontrado no cadastro"),"Só o primeiro nome")))</f>
        <v/>
      </c>
      <c r="I77" s="10" t="str" cm="1">
        <f t="array" ref="I77">IF(H77="","",IF(LEFT(INDEX(Resgates!$K:$K,A77),9)="Sugestão:",INDEX(Resgates!$K:$K,A77),IF(H77="Nome repetido no cadastro",_xlfn.TEXTJOIN("  /  ",TRUE,_xlfn._xlws.FILTER(Clientes!$A$2:$A$2396&amp;" – "&amp;Clientes!$B$2:$B$2396&amp;" (cadastro "&amp;Clientes!$G$2:$G$2396&amp;")",Clientes!$A$2:$A$2396=TRIM(C77))),IF(H77="Só o primeiro nome",COUNTIF(Clientes!$A$2:$A$2396,TRIM(C77)&amp;" *")&amp;" clientes com esse primeiro nome – confirmar com a loja/atendente",IF(H77="CPF não está no cadastro","Conferir se o CPF foi digitado errado ou se o cliente não foi cadastrado","Confirmar com a loja")))))</f>
        <v/>
      </c>
      <c r="J77" s="10" t="str">
        <f t="shared" si="3"/>
        <v/>
      </c>
    </row>
    <row r="78" spans="2:10" x14ac:dyDescent="0.3">
      <c r="B78" s="1"/>
      <c r="D78" s="24"/>
      <c r="E78" s="9"/>
      <c r="H78" t="str" cm="1">
        <f t="array" ref="H78">IF(NOT(ISNUMBER(A78)),"",IF(INDEX(Resgates!$B:$B,A78)&lt;&gt;"","CPF não está no cadastro",IF(ISNUMBER(SEARCH(" ",TRIM(C78))),IF(COUNTIF(Clientes!$A$2:$A$2396,TRIM(C78))&gt;1,"Nome repetido no cadastro","Nome não encontrado no cadastro"),"Só o primeiro nome")))</f>
        <v/>
      </c>
      <c r="I78" s="10" t="str" cm="1">
        <f t="array" ref="I78">IF(H78="","",IF(LEFT(INDEX(Resgates!$K:$K,A78),9)="Sugestão:",INDEX(Resgates!$K:$K,A78),IF(H78="Nome repetido no cadastro",_xlfn.TEXTJOIN("  /  ",TRUE,_xlfn._xlws.FILTER(Clientes!$A$2:$A$2396&amp;" – "&amp;Clientes!$B$2:$B$2396&amp;" (cadastro "&amp;Clientes!$G$2:$G$2396&amp;")",Clientes!$A$2:$A$2396=TRIM(C78))),IF(H78="Só o primeiro nome",COUNTIF(Clientes!$A$2:$A$2396,TRIM(C78)&amp;" *")&amp;" clientes com esse primeiro nome – confirmar com a loja/atendente",IF(H78="CPF não está no cadastro","Conferir se o CPF foi digitado errado ou se o cliente não foi cadastrado","Confirmar com a loja")))))</f>
        <v/>
      </c>
      <c r="J78" s="10" t="str">
        <f t="shared" si="3"/>
        <v/>
      </c>
    </row>
    <row r="79" spans="2:10" x14ac:dyDescent="0.3">
      <c r="B79" s="1"/>
      <c r="D79" s="24"/>
      <c r="E79" s="9"/>
      <c r="H79" t="str" cm="1">
        <f t="array" ref="H79">IF(NOT(ISNUMBER(A79)),"",IF(INDEX(Resgates!$B:$B,A79)&lt;&gt;"","CPF não está no cadastro",IF(ISNUMBER(SEARCH(" ",TRIM(C79))),IF(COUNTIF(Clientes!$A$2:$A$2396,TRIM(C79))&gt;1,"Nome repetido no cadastro","Nome não encontrado no cadastro"),"Só o primeiro nome")))</f>
        <v/>
      </c>
      <c r="I79" s="10" t="str" cm="1">
        <f t="array" ref="I79">IF(H79="","",IF(LEFT(INDEX(Resgates!$K:$K,A79),9)="Sugestão:",INDEX(Resgates!$K:$K,A79),IF(H79="Nome repetido no cadastro",_xlfn.TEXTJOIN("  /  ",TRUE,_xlfn._xlws.FILTER(Clientes!$A$2:$A$2396&amp;" – "&amp;Clientes!$B$2:$B$2396&amp;" (cadastro "&amp;Clientes!$G$2:$G$2396&amp;")",Clientes!$A$2:$A$2396=TRIM(C79))),IF(H79="Só o primeiro nome",COUNTIF(Clientes!$A$2:$A$2396,TRIM(C79)&amp;" *")&amp;" clientes com esse primeiro nome – confirmar com a loja/atendente",IF(H79="CPF não está no cadastro","Conferir se o CPF foi digitado errado ou se o cliente não foi cadastrado","Confirmar com a loja")))))</f>
        <v/>
      </c>
      <c r="J79" s="10" t="str">
        <f t="shared" si="3"/>
        <v/>
      </c>
    </row>
    <row r="80" spans="2:10" x14ac:dyDescent="0.3">
      <c r="B80" s="1"/>
      <c r="D80" s="24"/>
      <c r="E80" s="9"/>
      <c r="H80" t="str" cm="1">
        <f t="array" ref="H80">IF(NOT(ISNUMBER(A80)),"",IF(INDEX(Resgates!$B:$B,A80)&lt;&gt;"","CPF não está no cadastro",IF(ISNUMBER(SEARCH(" ",TRIM(C80))),IF(COUNTIF(Clientes!$A$2:$A$2396,TRIM(C80))&gt;1,"Nome repetido no cadastro","Nome não encontrado no cadastro"),"Só o primeiro nome")))</f>
        <v/>
      </c>
      <c r="I80" s="10" t="str" cm="1">
        <f t="array" ref="I80">IF(H80="","",IF(LEFT(INDEX(Resgates!$K:$K,A80),9)="Sugestão:",INDEX(Resgates!$K:$K,A80),IF(H80="Nome repetido no cadastro",_xlfn.TEXTJOIN("  /  ",TRUE,_xlfn._xlws.FILTER(Clientes!$A$2:$A$2396&amp;" – "&amp;Clientes!$B$2:$B$2396&amp;" (cadastro "&amp;Clientes!$G$2:$G$2396&amp;")",Clientes!$A$2:$A$2396=TRIM(C80))),IF(H80="Só o primeiro nome",COUNTIF(Clientes!$A$2:$A$2396,TRIM(C80)&amp;" *")&amp;" clientes com esse primeiro nome – confirmar com a loja/atendente",IF(H80="CPF não está no cadastro","Conferir se o CPF foi digitado errado ou se o cliente não foi cadastrado","Confirmar com a loja")))))</f>
        <v/>
      </c>
      <c r="J80" s="10" t="str">
        <f t="shared" si="3"/>
        <v/>
      </c>
    </row>
    <row r="81" spans="2:10" x14ac:dyDescent="0.3">
      <c r="B81" s="1"/>
      <c r="D81" s="24"/>
      <c r="E81" s="9"/>
      <c r="H81" t="str" cm="1">
        <f t="array" ref="H81">IF(NOT(ISNUMBER(A81)),"",IF(INDEX(Resgates!$B:$B,A81)&lt;&gt;"","CPF não está no cadastro",IF(ISNUMBER(SEARCH(" ",TRIM(C81))),IF(COUNTIF(Clientes!$A$2:$A$2396,TRIM(C81))&gt;1,"Nome repetido no cadastro","Nome não encontrado no cadastro"),"Só o primeiro nome")))</f>
        <v/>
      </c>
      <c r="I81" s="10" t="str" cm="1">
        <f t="array" ref="I81">IF(H81="","",IF(LEFT(INDEX(Resgates!$K:$K,A81),9)="Sugestão:",INDEX(Resgates!$K:$K,A81),IF(H81="Nome repetido no cadastro",_xlfn.TEXTJOIN("  /  ",TRUE,_xlfn._xlws.FILTER(Clientes!$A$2:$A$2396&amp;" – "&amp;Clientes!$B$2:$B$2396&amp;" (cadastro "&amp;Clientes!$G$2:$G$2396&amp;")",Clientes!$A$2:$A$2396=TRIM(C81))),IF(H81="Só o primeiro nome",COUNTIF(Clientes!$A$2:$A$2396,TRIM(C81)&amp;" *")&amp;" clientes com esse primeiro nome – confirmar com a loja/atendente",IF(H81="CPF não está no cadastro","Conferir se o CPF foi digitado errado ou se o cliente não foi cadastrado","Confirmar com a loja")))))</f>
        <v/>
      </c>
      <c r="J81" s="10" t="str">
        <f t="shared" si="3"/>
        <v/>
      </c>
    </row>
    <row r="82" spans="2:10" x14ac:dyDescent="0.3">
      <c r="B82" s="1"/>
      <c r="D82" s="24"/>
      <c r="E82" s="9"/>
      <c r="H82" t="str" cm="1">
        <f t="array" ref="H82">IF(NOT(ISNUMBER(A82)),"",IF(INDEX(Resgates!$B:$B,A82)&lt;&gt;"","CPF não está no cadastro",IF(ISNUMBER(SEARCH(" ",TRIM(C82))),IF(COUNTIF(Clientes!$A$2:$A$2396,TRIM(C82))&gt;1,"Nome repetido no cadastro","Nome não encontrado no cadastro"),"Só o primeiro nome")))</f>
        <v/>
      </c>
      <c r="I82" s="10" t="str" cm="1">
        <f t="array" ref="I82">IF(H82="","",IF(LEFT(INDEX(Resgates!$K:$K,A82),9)="Sugestão:",INDEX(Resgates!$K:$K,A82),IF(H82="Nome repetido no cadastro",_xlfn.TEXTJOIN("  /  ",TRUE,_xlfn._xlws.FILTER(Clientes!$A$2:$A$2396&amp;" – "&amp;Clientes!$B$2:$B$2396&amp;" (cadastro "&amp;Clientes!$G$2:$G$2396&amp;")",Clientes!$A$2:$A$2396=TRIM(C82))),IF(H82="Só o primeiro nome",COUNTIF(Clientes!$A$2:$A$2396,TRIM(C82)&amp;" *")&amp;" clientes com esse primeiro nome – confirmar com a loja/atendente",IF(H82="CPF não está no cadastro","Conferir se o CPF foi digitado errado ou se o cliente não foi cadastrado","Confirmar com a loja")))))</f>
        <v/>
      </c>
      <c r="J82" s="10" t="str">
        <f t="shared" si="3"/>
        <v/>
      </c>
    </row>
    <row r="83" spans="2:10" x14ac:dyDescent="0.3">
      <c r="B83" s="1"/>
      <c r="D83" s="24"/>
      <c r="E83" s="9"/>
      <c r="H83" t="str" cm="1">
        <f t="array" ref="H83">IF(NOT(ISNUMBER(A83)),"",IF(INDEX(Resgates!$B:$B,A83)&lt;&gt;"","CPF não está no cadastro",IF(ISNUMBER(SEARCH(" ",TRIM(C83))),IF(COUNTIF(Clientes!$A$2:$A$2396,TRIM(C83))&gt;1,"Nome repetido no cadastro","Nome não encontrado no cadastro"),"Só o primeiro nome")))</f>
        <v/>
      </c>
      <c r="I83" s="10" t="str" cm="1">
        <f t="array" ref="I83">IF(H83="","",IF(LEFT(INDEX(Resgates!$K:$K,A83),9)="Sugestão:",INDEX(Resgates!$K:$K,A83),IF(H83="Nome repetido no cadastro",_xlfn.TEXTJOIN("  /  ",TRUE,_xlfn._xlws.FILTER(Clientes!$A$2:$A$2396&amp;" – "&amp;Clientes!$B$2:$B$2396&amp;" (cadastro "&amp;Clientes!$G$2:$G$2396&amp;")",Clientes!$A$2:$A$2396=TRIM(C83))),IF(H83="Só o primeiro nome",COUNTIF(Clientes!$A$2:$A$2396,TRIM(C83)&amp;" *")&amp;" clientes com esse primeiro nome – confirmar com a loja/atendente",IF(H83="CPF não está no cadastro","Conferir se o CPF foi digitado errado ou se o cliente não foi cadastrado","Confirmar com a loja")))))</f>
        <v/>
      </c>
      <c r="J83" s="10" t="str">
        <f t="shared" si="3"/>
        <v/>
      </c>
    </row>
    <row r="84" spans="2:10" x14ac:dyDescent="0.3">
      <c r="B84" s="1"/>
      <c r="D84" s="24"/>
      <c r="E84" s="9"/>
      <c r="H84" t="str" cm="1">
        <f t="array" ref="H84">IF(NOT(ISNUMBER(A84)),"",IF(INDEX(Resgates!$B:$B,A84)&lt;&gt;"","CPF não está no cadastro",IF(ISNUMBER(SEARCH(" ",TRIM(C84))),IF(COUNTIF(Clientes!$A$2:$A$2396,TRIM(C84))&gt;1,"Nome repetido no cadastro","Nome não encontrado no cadastro"),"Só o primeiro nome")))</f>
        <v/>
      </c>
      <c r="I84" s="10" t="str" cm="1">
        <f t="array" ref="I84">IF(H84="","",IF(LEFT(INDEX(Resgates!$K:$K,A84),9)="Sugestão:",INDEX(Resgates!$K:$K,A84),IF(H84="Nome repetido no cadastro",_xlfn.TEXTJOIN("  /  ",TRUE,_xlfn._xlws.FILTER(Clientes!$A$2:$A$2396&amp;" – "&amp;Clientes!$B$2:$B$2396&amp;" (cadastro "&amp;Clientes!$G$2:$G$2396&amp;")",Clientes!$A$2:$A$2396=TRIM(C84))),IF(H84="Só o primeiro nome",COUNTIF(Clientes!$A$2:$A$2396,TRIM(C84)&amp;" *")&amp;" clientes com esse primeiro nome – confirmar com a loja/atendente",IF(H84="CPF não está no cadastro","Conferir se o CPF foi digitado errado ou se o cliente não foi cadastrado","Confirmar com a loja")))))</f>
        <v/>
      </c>
      <c r="J84" s="10" t="str">
        <f t="shared" si="3"/>
        <v/>
      </c>
    </row>
    <row r="85" spans="2:10" x14ac:dyDescent="0.3">
      <c r="B85" s="1"/>
      <c r="D85" s="24"/>
      <c r="E85" s="9"/>
      <c r="H85" t="str" cm="1">
        <f t="array" ref="H85">IF(NOT(ISNUMBER(A85)),"",IF(INDEX(Resgates!$B:$B,A85)&lt;&gt;"","CPF não está no cadastro",IF(ISNUMBER(SEARCH(" ",TRIM(C85))),IF(COUNTIF(Clientes!$A$2:$A$2396,TRIM(C85))&gt;1,"Nome repetido no cadastro","Nome não encontrado no cadastro"),"Só o primeiro nome")))</f>
        <v/>
      </c>
      <c r="I85" s="10" t="str" cm="1">
        <f t="array" ref="I85">IF(H85="","",IF(LEFT(INDEX(Resgates!$K:$K,A85),9)="Sugestão:",INDEX(Resgates!$K:$K,A85),IF(H85="Nome repetido no cadastro",_xlfn.TEXTJOIN("  /  ",TRUE,_xlfn._xlws.FILTER(Clientes!$A$2:$A$2396&amp;" – "&amp;Clientes!$B$2:$B$2396&amp;" (cadastro "&amp;Clientes!$G$2:$G$2396&amp;")",Clientes!$A$2:$A$2396=TRIM(C85))),IF(H85="Só o primeiro nome",COUNTIF(Clientes!$A$2:$A$2396,TRIM(C85)&amp;" *")&amp;" clientes com esse primeiro nome – confirmar com a loja/atendente",IF(H85="CPF não está no cadastro","Conferir se o CPF foi digitado errado ou se o cliente não foi cadastrado","Confirmar com a loja")))))</f>
        <v/>
      </c>
      <c r="J85" s="10" t="str">
        <f t="shared" si="3"/>
        <v/>
      </c>
    </row>
    <row r="86" spans="2:10" x14ac:dyDescent="0.3">
      <c r="B86" s="1"/>
      <c r="D86" s="24"/>
      <c r="E86" s="9"/>
      <c r="H86" t="str" cm="1">
        <f t="array" ref="H86">IF(NOT(ISNUMBER(A86)),"",IF(INDEX(Resgates!$B:$B,A86)&lt;&gt;"","CPF não está no cadastro",IF(ISNUMBER(SEARCH(" ",TRIM(C86))),IF(COUNTIF(Clientes!$A$2:$A$2396,TRIM(C86))&gt;1,"Nome repetido no cadastro","Nome não encontrado no cadastro"),"Só o primeiro nome")))</f>
        <v/>
      </c>
      <c r="I86" s="10" t="str" cm="1">
        <f t="array" ref="I86">IF(H86="","",IF(LEFT(INDEX(Resgates!$K:$K,A86),9)="Sugestão:",INDEX(Resgates!$K:$K,A86),IF(H86="Nome repetido no cadastro",_xlfn.TEXTJOIN("  /  ",TRUE,_xlfn._xlws.FILTER(Clientes!$A$2:$A$2396&amp;" – "&amp;Clientes!$B$2:$B$2396&amp;" (cadastro "&amp;Clientes!$G$2:$G$2396&amp;")",Clientes!$A$2:$A$2396=TRIM(C86))),IF(H86="Só o primeiro nome",COUNTIF(Clientes!$A$2:$A$2396,TRIM(C86)&amp;" *")&amp;" clientes com esse primeiro nome – confirmar com a loja/atendente",IF(H86="CPF não está no cadastro","Conferir se o CPF foi digitado errado ou se o cliente não foi cadastrado","Confirmar com a loja")))))</f>
        <v/>
      </c>
      <c r="J86" s="10" t="str">
        <f t="shared" si="3"/>
        <v/>
      </c>
    </row>
    <row r="87" spans="2:10" x14ac:dyDescent="0.3">
      <c r="B87" s="1"/>
      <c r="D87" s="24"/>
      <c r="E87" s="9"/>
      <c r="H87" t="str" cm="1">
        <f t="array" ref="H87">IF(NOT(ISNUMBER(A87)),"",IF(INDEX(Resgates!$B:$B,A87)&lt;&gt;"","CPF não está no cadastro",IF(ISNUMBER(SEARCH(" ",TRIM(C87))),IF(COUNTIF(Clientes!$A$2:$A$2396,TRIM(C87))&gt;1,"Nome repetido no cadastro","Nome não encontrado no cadastro"),"Só o primeiro nome")))</f>
        <v/>
      </c>
      <c r="I87" s="10" t="str" cm="1">
        <f t="array" ref="I87">IF(H87="","",IF(LEFT(INDEX(Resgates!$K:$K,A87),9)="Sugestão:",INDEX(Resgates!$K:$K,A87),IF(H87="Nome repetido no cadastro",_xlfn.TEXTJOIN("  /  ",TRUE,_xlfn._xlws.FILTER(Clientes!$A$2:$A$2396&amp;" – "&amp;Clientes!$B$2:$B$2396&amp;" (cadastro "&amp;Clientes!$G$2:$G$2396&amp;")",Clientes!$A$2:$A$2396=TRIM(C87))),IF(H87="Só o primeiro nome",COUNTIF(Clientes!$A$2:$A$2396,TRIM(C87)&amp;" *")&amp;" clientes com esse primeiro nome – confirmar com a loja/atendente",IF(H87="CPF não está no cadastro","Conferir se o CPF foi digitado errado ou se o cliente não foi cadastrado","Confirmar com a loja")))))</f>
        <v/>
      </c>
      <c r="J87" s="10" t="str">
        <f t="shared" si="3"/>
        <v/>
      </c>
    </row>
    <row r="88" spans="2:10" x14ac:dyDescent="0.3">
      <c r="B88" s="1"/>
      <c r="D88" s="24"/>
      <c r="E88" s="9"/>
      <c r="H88" t="str" cm="1">
        <f t="array" ref="H88">IF(NOT(ISNUMBER(A88)),"",IF(INDEX(Resgates!$B:$B,A88)&lt;&gt;"","CPF não está no cadastro",IF(ISNUMBER(SEARCH(" ",TRIM(C88))),IF(COUNTIF(Clientes!$A$2:$A$2396,TRIM(C88))&gt;1,"Nome repetido no cadastro","Nome não encontrado no cadastro"),"Só o primeiro nome")))</f>
        <v/>
      </c>
      <c r="I88" s="10" t="str" cm="1">
        <f t="array" ref="I88">IF(H88="","",IF(LEFT(INDEX(Resgates!$K:$K,A88),9)="Sugestão:",INDEX(Resgates!$K:$K,A88),IF(H88="Nome repetido no cadastro",_xlfn.TEXTJOIN("  /  ",TRUE,_xlfn._xlws.FILTER(Clientes!$A$2:$A$2396&amp;" – "&amp;Clientes!$B$2:$B$2396&amp;" (cadastro "&amp;Clientes!$G$2:$G$2396&amp;")",Clientes!$A$2:$A$2396=TRIM(C88))),IF(H88="Só o primeiro nome",COUNTIF(Clientes!$A$2:$A$2396,TRIM(C88)&amp;" *")&amp;" clientes com esse primeiro nome – confirmar com a loja/atendente",IF(H88="CPF não está no cadastro","Conferir se o CPF foi digitado errado ou se o cliente não foi cadastrado","Confirmar com a loja")))))</f>
        <v/>
      </c>
      <c r="J88" s="10" t="str">
        <f t="shared" si="3"/>
        <v/>
      </c>
    </row>
    <row r="89" spans="2:10" x14ac:dyDescent="0.3">
      <c r="B89" s="1"/>
      <c r="D89" s="24"/>
      <c r="E89" s="9"/>
      <c r="H89" t="str" cm="1">
        <f t="array" ref="H89">IF(NOT(ISNUMBER(A89)),"",IF(INDEX(Resgates!$B:$B,A89)&lt;&gt;"","CPF não está no cadastro",IF(ISNUMBER(SEARCH(" ",TRIM(C89))),IF(COUNTIF(Clientes!$A$2:$A$2396,TRIM(C89))&gt;1,"Nome repetido no cadastro","Nome não encontrado no cadastro"),"Só o primeiro nome")))</f>
        <v/>
      </c>
      <c r="I89" s="10" t="str" cm="1">
        <f t="array" ref="I89">IF(H89="","",IF(LEFT(INDEX(Resgates!$K:$K,A89),9)="Sugestão:",INDEX(Resgates!$K:$K,A89),IF(H89="Nome repetido no cadastro",_xlfn.TEXTJOIN("  /  ",TRUE,_xlfn._xlws.FILTER(Clientes!$A$2:$A$2396&amp;" – "&amp;Clientes!$B$2:$B$2396&amp;" (cadastro "&amp;Clientes!$G$2:$G$2396&amp;")",Clientes!$A$2:$A$2396=TRIM(C89))),IF(H89="Só o primeiro nome",COUNTIF(Clientes!$A$2:$A$2396,TRIM(C89)&amp;" *")&amp;" clientes com esse primeiro nome – confirmar com a loja/atendente",IF(H89="CPF não está no cadastro","Conferir se o CPF foi digitado errado ou se o cliente não foi cadastrado","Confirmar com a loja")))))</f>
        <v/>
      </c>
      <c r="J89" s="10" t="str">
        <f t="shared" si="3"/>
        <v/>
      </c>
    </row>
    <row r="90" spans="2:10" x14ac:dyDescent="0.3">
      <c r="B90" s="1"/>
      <c r="D90" s="24"/>
      <c r="E90" s="9"/>
      <c r="H90" t="str" cm="1">
        <f t="array" ref="H90">IF(NOT(ISNUMBER(A90)),"",IF(INDEX(Resgates!$B:$B,A90)&lt;&gt;"","CPF não está no cadastro",IF(ISNUMBER(SEARCH(" ",TRIM(C90))),IF(COUNTIF(Clientes!$A$2:$A$2396,TRIM(C90))&gt;1,"Nome repetido no cadastro","Nome não encontrado no cadastro"),"Só o primeiro nome")))</f>
        <v/>
      </c>
      <c r="I90" s="10" t="str" cm="1">
        <f t="array" ref="I90">IF(H90="","",IF(LEFT(INDEX(Resgates!$K:$K,A90),9)="Sugestão:",INDEX(Resgates!$K:$K,A90),IF(H90="Nome repetido no cadastro",_xlfn.TEXTJOIN("  /  ",TRUE,_xlfn._xlws.FILTER(Clientes!$A$2:$A$2396&amp;" – "&amp;Clientes!$B$2:$B$2396&amp;" (cadastro "&amp;Clientes!$G$2:$G$2396&amp;")",Clientes!$A$2:$A$2396=TRIM(C90))),IF(H90="Só o primeiro nome",COUNTIF(Clientes!$A$2:$A$2396,TRIM(C90)&amp;" *")&amp;" clientes com esse primeiro nome – confirmar com a loja/atendente",IF(H90="CPF não está no cadastro","Conferir se o CPF foi digitado errado ou se o cliente não foi cadastrado","Confirmar com a loja")))))</f>
        <v/>
      </c>
      <c r="J90" s="10" t="str">
        <f t="shared" si="3"/>
        <v/>
      </c>
    </row>
    <row r="91" spans="2:10" x14ac:dyDescent="0.3">
      <c r="B91" s="1"/>
      <c r="D91" s="24"/>
      <c r="E91" s="9"/>
      <c r="H91" t="str" cm="1">
        <f t="array" ref="H91">IF(NOT(ISNUMBER(A91)),"",IF(INDEX(Resgates!$B:$B,A91)&lt;&gt;"","CPF não está no cadastro",IF(ISNUMBER(SEARCH(" ",TRIM(C91))),IF(COUNTIF(Clientes!$A$2:$A$2396,TRIM(C91))&gt;1,"Nome repetido no cadastro","Nome não encontrado no cadastro"),"Só o primeiro nome")))</f>
        <v/>
      </c>
      <c r="I91" s="10" t="str" cm="1">
        <f t="array" ref="I91">IF(H91="","",IF(LEFT(INDEX(Resgates!$K:$K,A91),9)="Sugestão:",INDEX(Resgates!$K:$K,A91),IF(H91="Nome repetido no cadastro",_xlfn.TEXTJOIN("  /  ",TRUE,_xlfn._xlws.FILTER(Clientes!$A$2:$A$2396&amp;" – "&amp;Clientes!$B$2:$B$2396&amp;" (cadastro "&amp;Clientes!$G$2:$G$2396&amp;")",Clientes!$A$2:$A$2396=TRIM(C91))),IF(H91="Só o primeiro nome",COUNTIF(Clientes!$A$2:$A$2396,TRIM(C91)&amp;" *")&amp;" clientes com esse primeiro nome – confirmar com a loja/atendente",IF(H91="CPF não está no cadastro","Conferir se o CPF foi digitado errado ou se o cliente não foi cadastrado","Confirmar com a loja")))))</f>
        <v/>
      </c>
      <c r="J91" s="10" t="str">
        <f t="shared" si="3"/>
        <v/>
      </c>
    </row>
    <row r="92" spans="2:10" x14ac:dyDescent="0.3">
      <c r="B92" s="1"/>
      <c r="D92" s="24"/>
      <c r="E92" s="9"/>
      <c r="H92" t="str" cm="1">
        <f t="array" ref="H92">IF(NOT(ISNUMBER(A92)),"",IF(INDEX(Resgates!$B:$B,A92)&lt;&gt;"","CPF não está no cadastro",IF(ISNUMBER(SEARCH(" ",TRIM(C92))),IF(COUNTIF(Clientes!$A$2:$A$2396,TRIM(C92))&gt;1,"Nome repetido no cadastro","Nome não encontrado no cadastro"),"Só o primeiro nome")))</f>
        <v/>
      </c>
      <c r="I92" s="10" t="str" cm="1">
        <f t="array" ref="I92">IF(H92="","",IF(LEFT(INDEX(Resgates!$K:$K,A92),9)="Sugestão:",INDEX(Resgates!$K:$K,A92),IF(H92="Nome repetido no cadastro",_xlfn.TEXTJOIN("  /  ",TRUE,_xlfn._xlws.FILTER(Clientes!$A$2:$A$2396&amp;" – "&amp;Clientes!$B$2:$B$2396&amp;" (cadastro "&amp;Clientes!$G$2:$G$2396&amp;")",Clientes!$A$2:$A$2396=TRIM(C92))),IF(H92="Só o primeiro nome",COUNTIF(Clientes!$A$2:$A$2396,TRIM(C92)&amp;" *")&amp;" clientes com esse primeiro nome – confirmar com a loja/atendente",IF(H92="CPF não está no cadastro","Conferir se o CPF foi digitado errado ou se o cliente não foi cadastrado","Confirmar com a loja")))))</f>
        <v/>
      </c>
      <c r="J92" s="10" t="str">
        <f t="shared" si="3"/>
        <v/>
      </c>
    </row>
    <row r="93" spans="2:10" x14ac:dyDescent="0.3">
      <c r="B93" s="1"/>
      <c r="D93" s="24"/>
      <c r="E93" s="9"/>
      <c r="H93" t="str" cm="1">
        <f t="array" ref="H93">IF(NOT(ISNUMBER(A93)),"",IF(INDEX(Resgates!$B:$B,A93)&lt;&gt;"","CPF não está no cadastro",IF(ISNUMBER(SEARCH(" ",TRIM(C93))),IF(COUNTIF(Clientes!$A$2:$A$2396,TRIM(C93))&gt;1,"Nome repetido no cadastro","Nome não encontrado no cadastro"),"Só o primeiro nome")))</f>
        <v/>
      </c>
      <c r="I93" s="10" t="str" cm="1">
        <f t="array" ref="I93">IF(H93="","",IF(LEFT(INDEX(Resgates!$K:$K,A93),9)="Sugestão:",INDEX(Resgates!$K:$K,A93),IF(H93="Nome repetido no cadastro",_xlfn.TEXTJOIN("  /  ",TRUE,_xlfn._xlws.FILTER(Clientes!$A$2:$A$2396&amp;" – "&amp;Clientes!$B$2:$B$2396&amp;" (cadastro "&amp;Clientes!$G$2:$G$2396&amp;")",Clientes!$A$2:$A$2396=TRIM(C93))),IF(H93="Só o primeiro nome",COUNTIF(Clientes!$A$2:$A$2396,TRIM(C93)&amp;" *")&amp;" clientes com esse primeiro nome – confirmar com a loja/atendente",IF(H93="CPF não está no cadastro","Conferir se o CPF foi digitado errado ou se o cliente não foi cadastrado","Confirmar com a loja")))))</f>
        <v/>
      </c>
      <c r="J93" s="10" t="str">
        <f t="shared" si="3"/>
        <v/>
      </c>
    </row>
    <row r="94" spans="2:10" x14ac:dyDescent="0.3">
      <c r="B94" s="1"/>
      <c r="D94" s="24"/>
      <c r="E94" s="9"/>
      <c r="H94" t="str" cm="1">
        <f t="array" ref="H94">IF(NOT(ISNUMBER(A94)),"",IF(INDEX(Resgates!$B:$B,A94)&lt;&gt;"","CPF não está no cadastro",IF(ISNUMBER(SEARCH(" ",TRIM(C94))),IF(COUNTIF(Clientes!$A$2:$A$2396,TRIM(C94))&gt;1,"Nome repetido no cadastro","Nome não encontrado no cadastro"),"Só o primeiro nome")))</f>
        <v/>
      </c>
      <c r="I94" s="10" t="str" cm="1">
        <f t="array" ref="I94">IF(H94="","",IF(LEFT(INDEX(Resgates!$K:$K,A94),9)="Sugestão:",INDEX(Resgates!$K:$K,A94),IF(H94="Nome repetido no cadastro",_xlfn.TEXTJOIN("  /  ",TRUE,_xlfn._xlws.FILTER(Clientes!$A$2:$A$2396&amp;" – "&amp;Clientes!$B$2:$B$2396&amp;" (cadastro "&amp;Clientes!$G$2:$G$2396&amp;")",Clientes!$A$2:$A$2396=TRIM(C94))),IF(H94="Só o primeiro nome",COUNTIF(Clientes!$A$2:$A$2396,TRIM(C94)&amp;" *")&amp;" clientes com esse primeiro nome – confirmar com a loja/atendente",IF(H94="CPF não está no cadastro","Conferir se o CPF foi digitado errado ou se o cliente não foi cadastrado","Confirmar com a loja")))))</f>
        <v/>
      </c>
      <c r="J94" s="10" t="str">
        <f t="shared" si="3"/>
        <v/>
      </c>
    </row>
    <row r="95" spans="2:10" x14ac:dyDescent="0.3">
      <c r="B95" s="1"/>
      <c r="D95" s="24"/>
      <c r="E95" s="9"/>
      <c r="H95" t="str" cm="1">
        <f t="array" ref="H95">IF(NOT(ISNUMBER(A95)),"",IF(INDEX(Resgates!$B:$B,A95)&lt;&gt;"","CPF não está no cadastro",IF(ISNUMBER(SEARCH(" ",TRIM(C95))),IF(COUNTIF(Clientes!$A$2:$A$2396,TRIM(C95))&gt;1,"Nome repetido no cadastro","Nome não encontrado no cadastro"),"Só o primeiro nome")))</f>
        <v/>
      </c>
      <c r="I95" s="10" t="str" cm="1">
        <f t="array" ref="I95">IF(H95="","",IF(LEFT(INDEX(Resgates!$K:$K,A95),9)="Sugestão:",INDEX(Resgates!$K:$K,A95),IF(H95="Nome repetido no cadastro",_xlfn.TEXTJOIN("  /  ",TRUE,_xlfn._xlws.FILTER(Clientes!$A$2:$A$2396&amp;" – "&amp;Clientes!$B$2:$B$2396&amp;" (cadastro "&amp;Clientes!$G$2:$G$2396&amp;")",Clientes!$A$2:$A$2396=TRIM(C95))),IF(H95="Só o primeiro nome",COUNTIF(Clientes!$A$2:$A$2396,TRIM(C95)&amp;" *")&amp;" clientes com esse primeiro nome – confirmar com a loja/atendente",IF(H95="CPF não está no cadastro","Conferir se o CPF foi digitado errado ou se o cliente não foi cadastrado","Confirmar com a loja")))))</f>
        <v/>
      </c>
      <c r="J95" s="10" t="str">
        <f t="shared" si="3"/>
        <v/>
      </c>
    </row>
    <row r="96" spans="2:10" x14ac:dyDescent="0.3">
      <c r="B96" s="1"/>
      <c r="D96" s="24"/>
      <c r="E96" s="9"/>
      <c r="H96" t="str" cm="1">
        <f t="array" ref="H96">IF(NOT(ISNUMBER(A96)),"",IF(INDEX(Resgates!$B:$B,A96)&lt;&gt;"","CPF não está no cadastro",IF(ISNUMBER(SEARCH(" ",TRIM(C96))),IF(COUNTIF(Clientes!$A$2:$A$2396,TRIM(C96))&gt;1,"Nome repetido no cadastro","Nome não encontrado no cadastro"),"Só o primeiro nome")))</f>
        <v/>
      </c>
      <c r="I96" s="10" t="str" cm="1">
        <f t="array" ref="I96">IF(H96="","",IF(LEFT(INDEX(Resgates!$K:$K,A96),9)="Sugestão:",INDEX(Resgates!$K:$K,A96),IF(H96="Nome repetido no cadastro",_xlfn.TEXTJOIN("  /  ",TRUE,_xlfn._xlws.FILTER(Clientes!$A$2:$A$2396&amp;" – "&amp;Clientes!$B$2:$B$2396&amp;" (cadastro "&amp;Clientes!$G$2:$G$2396&amp;")",Clientes!$A$2:$A$2396=TRIM(C96))),IF(H96="Só o primeiro nome",COUNTIF(Clientes!$A$2:$A$2396,TRIM(C96)&amp;" *")&amp;" clientes com esse primeiro nome – confirmar com a loja/atendente",IF(H96="CPF não está no cadastro","Conferir se o CPF foi digitado errado ou se o cliente não foi cadastrado","Confirmar com a loja")))))</f>
        <v/>
      </c>
      <c r="J96" s="10" t="str">
        <f t="shared" si="3"/>
        <v/>
      </c>
    </row>
    <row r="97" spans="2:10" x14ac:dyDescent="0.3">
      <c r="B97" s="1"/>
      <c r="D97" s="24"/>
      <c r="E97" s="9"/>
      <c r="H97" t="str" cm="1">
        <f t="array" ref="H97">IF(NOT(ISNUMBER(A97)),"",IF(INDEX(Resgates!$B:$B,A97)&lt;&gt;"","CPF não está no cadastro",IF(ISNUMBER(SEARCH(" ",TRIM(C97))),IF(COUNTIF(Clientes!$A$2:$A$2396,TRIM(C97))&gt;1,"Nome repetido no cadastro","Nome não encontrado no cadastro"),"Só o primeiro nome")))</f>
        <v/>
      </c>
      <c r="I97" s="10" t="str" cm="1">
        <f t="array" ref="I97">IF(H97="","",IF(LEFT(INDEX(Resgates!$K:$K,A97),9)="Sugestão:",INDEX(Resgates!$K:$K,A97),IF(H97="Nome repetido no cadastro",_xlfn.TEXTJOIN("  /  ",TRUE,_xlfn._xlws.FILTER(Clientes!$A$2:$A$2396&amp;" – "&amp;Clientes!$B$2:$B$2396&amp;" (cadastro "&amp;Clientes!$G$2:$G$2396&amp;")",Clientes!$A$2:$A$2396=TRIM(C97))),IF(H97="Só o primeiro nome",COUNTIF(Clientes!$A$2:$A$2396,TRIM(C97)&amp;" *")&amp;" clientes com esse primeiro nome – confirmar com a loja/atendente",IF(H97="CPF não está no cadastro","Conferir se o CPF foi digitado errado ou se o cliente não foi cadastrado","Confirmar com a loja")))))</f>
        <v/>
      </c>
      <c r="J97" s="10" t="str">
        <f t="shared" si="3"/>
        <v/>
      </c>
    </row>
    <row r="98" spans="2:10" x14ac:dyDescent="0.3">
      <c r="B98" s="1"/>
      <c r="D98" s="24"/>
      <c r="E98" s="9"/>
      <c r="H98" t="str" cm="1">
        <f t="array" ref="H98">IF(NOT(ISNUMBER(A98)),"",IF(INDEX(Resgates!$B:$B,A98)&lt;&gt;"","CPF não está no cadastro",IF(ISNUMBER(SEARCH(" ",TRIM(C98))),IF(COUNTIF(Clientes!$A$2:$A$2396,TRIM(C98))&gt;1,"Nome repetido no cadastro","Nome não encontrado no cadastro"),"Só o primeiro nome")))</f>
        <v/>
      </c>
      <c r="I98" s="10" t="str" cm="1">
        <f t="array" ref="I98">IF(H98="","",IF(LEFT(INDEX(Resgates!$K:$K,A98),9)="Sugestão:",INDEX(Resgates!$K:$K,A98),IF(H98="Nome repetido no cadastro",_xlfn.TEXTJOIN("  /  ",TRUE,_xlfn._xlws.FILTER(Clientes!$A$2:$A$2396&amp;" – "&amp;Clientes!$B$2:$B$2396&amp;" (cadastro "&amp;Clientes!$G$2:$G$2396&amp;")",Clientes!$A$2:$A$2396=TRIM(C98))),IF(H98="Só o primeiro nome",COUNTIF(Clientes!$A$2:$A$2396,TRIM(C98)&amp;" *")&amp;" clientes com esse primeiro nome – confirmar com a loja/atendente",IF(H98="CPF não está no cadastro","Conferir se o CPF foi digitado errado ou se o cliente não foi cadastrado","Confirmar com a loja")))))</f>
        <v/>
      </c>
      <c r="J98" s="10" t="str">
        <f t="shared" si="3"/>
        <v/>
      </c>
    </row>
    <row r="99" spans="2:10" x14ac:dyDescent="0.3">
      <c r="B99" s="1"/>
      <c r="D99" s="24"/>
      <c r="E99" s="9"/>
      <c r="H99" t="str" cm="1">
        <f t="array" ref="H99">IF(NOT(ISNUMBER(A99)),"",IF(INDEX(Resgates!$B:$B,A99)&lt;&gt;"","CPF não está no cadastro",IF(ISNUMBER(SEARCH(" ",TRIM(C99))),IF(COUNTIF(Clientes!$A$2:$A$2396,TRIM(C99))&gt;1,"Nome repetido no cadastro","Nome não encontrado no cadastro"),"Só o primeiro nome")))</f>
        <v/>
      </c>
      <c r="I99" s="10" t="str" cm="1">
        <f t="array" ref="I99">IF(H99="","",IF(LEFT(INDEX(Resgates!$K:$K,A99),9)="Sugestão:",INDEX(Resgates!$K:$K,A99),IF(H99="Nome repetido no cadastro",_xlfn.TEXTJOIN("  /  ",TRUE,_xlfn._xlws.FILTER(Clientes!$A$2:$A$2396&amp;" – "&amp;Clientes!$B$2:$B$2396&amp;" (cadastro "&amp;Clientes!$G$2:$G$2396&amp;")",Clientes!$A$2:$A$2396=TRIM(C99))),IF(H99="Só o primeiro nome",COUNTIF(Clientes!$A$2:$A$2396,TRIM(C99)&amp;" *")&amp;" clientes com esse primeiro nome – confirmar com a loja/atendente",IF(H99="CPF não está no cadastro","Conferir se o CPF foi digitado errado ou se o cliente não foi cadastrado","Confirmar com a loja")))))</f>
        <v/>
      </c>
      <c r="J99" s="10" t="str">
        <f t="shared" si="3"/>
        <v/>
      </c>
    </row>
    <row r="100" spans="2:10" x14ac:dyDescent="0.3">
      <c r="B100" s="1"/>
      <c r="D100" s="24"/>
      <c r="E100" s="9"/>
      <c r="H100" t="str" cm="1">
        <f t="array" ref="H100">IF(NOT(ISNUMBER(A100)),"",IF(INDEX(Resgates!$B:$B,A100)&lt;&gt;"","CPF não está no cadastro",IF(ISNUMBER(SEARCH(" ",TRIM(C100))),IF(COUNTIF(Clientes!$A$2:$A$2396,TRIM(C100))&gt;1,"Nome repetido no cadastro","Nome não encontrado no cadastro"),"Só o primeiro nome")))</f>
        <v/>
      </c>
      <c r="I100" s="10" t="str" cm="1">
        <f t="array" ref="I100">IF(H100="","",IF(LEFT(INDEX(Resgates!$K:$K,A100),9)="Sugestão:",INDEX(Resgates!$K:$K,A100),IF(H100="Nome repetido no cadastro",_xlfn.TEXTJOIN("  /  ",TRUE,_xlfn._xlws.FILTER(Clientes!$A$2:$A$2396&amp;" – "&amp;Clientes!$B$2:$B$2396&amp;" (cadastro "&amp;Clientes!$G$2:$G$2396&amp;")",Clientes!$A$2:$A$2396=TRIM(C100))),IF(H100="Só o primeiro nome",COUNTIF(Clientes!$A$2:$A$2396,TRIM(C100)&amp;" *")&amp;" clientes com esse primeiro nome – confirmar com a loja/atendente",IF(H100="CPF não está no cadastro","Conferir se o CPF foi digitado errado ou se o cliente não foi cadastrado","Confirmar com a loja")))))</f>
        <v/>
      </c>
      <c r="J100" s="10" t="str">
        <f t="shared" si="3"/>
        <v/>
      </c>
    </row>
  </sheetData>
  <mergeCells count="1">
    <mergeCell ref="Q6:U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topLeftCell="B1" workbookViewId="0">
      <selection activeCell="E20" sqref="E20"/>
    </sheetView>
  </sheetViews>
  <sheetFormatPr defaultColWidth="8.77734375" defaultRowHeight="14.4" x14ac:dyDescent="0.3"/>
  <cols>
    <col min="1" max="1" width="25" customWidth="1"/>
    <col min="2" max="3" width="18.33203125" customWidth="1"/>
    <col min="4" max="4" width="4.109375" customWidth="1"/>
    <col min="5" max="5" width="100" customWidth="1"/>
  </cols>
  <sheetData>
    <row r="1" spans="1:5" ht="18" x14ac:dyDescent="0.35">
      <c r="A1" s="2" t="s">
        <v>6436</v>
      </c>
      <c r="E1" s="11" t="s">
        <v>10039</v>
      </c>
    </row>
    <row r="2" spans="1:5" x14ac:dyDescent="0.3">
      <c r="E2" s="10"/>
    </row>
    <row r="3" spans="1:5" x14ac:dyDescent="0.3">
      <c r="A3" s="4" t="s">
        <v>6437</v>
      </c>
      <c r="B3" s="4" t="s">
        <v>6438</v>
      </c>
      <c r="C3" s="4" t="s">
        <v>6439</v>
      </c>
      <c r="E3" s="10" t="s">
        <v>10040</v>
      </c>
    </row>
    <row r="4" spans="1:5" x14ac:dyDescent="0.3">
      <c r="A4" t="s">
        <v>25</v>
      </c>
      <c r="B4" s="25">
        <v>1</v>
      </c>
      <c r="C4" s="25">
        <v>1500</v>
      </c>
      <c r="E4" s="10" t="s">
        <v>10041</v>
      </c>
    </row>
    <row r="5" spans="1:5" x14ac:dyDescent="0.3">
      <c r="A5" t="s">
        <v>43</v>
      </c>
      <c r="B5" s="25">
        <v>1501</v>
      </c>
      <c r="C5" s="25">
        <v>5000</v>
      </c>
      <c r="E5" s="10" t="s">
        <v>10042</v>
      </c>
    </row>
    <row r="6" spans="1:5" x14ac:dyDescent="0.3">
      <c r="A6" t="s">
        <v>142</v>
      </c>
      <c r="B6" s="25">
        <v>5001</v>
      </c>
      <c r="C6" s="25">
        <v>9999</v>
      </c>
      <c r="E6" s="10" t="s">
        <v>10043</v>
      </c>
    </row>
    <row r="7" spans="1:5" x14ac:dyDescent="0.3">
      <c r="A7" t="s">
        <v>6440</v>
      </c>
      <c r="B7" s="25">
        <v>10000</v>
      </c>
      <c r="C7" s="25"/>
      <c r="E7" s="10" t="s">
        <v>10044</v>
      </c>
    </row>
    <row r="8" spans="1:5" x14ac:dyDescent="0.3">
      <c r="E8" s="10" t="s">
        <v>10045</v>
      </c>
    </row>
    <row r="9" spans="1:5" x14ac:dyDescent="0.3">
      <c r="A9" s="3" t="s">
        <v>6441</v>
      </c>
      <c r="E9" s="10" t="s">
        <v>10046</v>
      </c>
    </row>
    <row r="10" spans="1:5" x14ac:dyDescent="0.3">
      <c r="A10" s="4" t="s">
        <v>6442</v>
      </c>
      <c r="B10" s="4" t="s">
        <v>6443</v>
      </c>
      <c r="E10" s="10" t="s">
        <v>10047</v>
      </c>
    </row>
    <row r="11" spans="1:5" x14ac:dyDescent="0.3">
      <c r="A11" s="1">
        <f>DATE(2000,1,1)</f>
        <v>36526</v>
      </c>
      <c r="B11" s="19">
        <v>10</v>
      </c>
      <c r="E11" s="10"/>
    </row>
    <row r="12" spans="1:5" ht="15.6" x14ac:dyDescent="0.3">
      <c r="A12" s="1">
        <f>DATE(2025,3,1)</f>
        <v>45717</v>
      </c>
      <c r="B12" s="19">
        <v>5</v>
      </c>
      <c r="E12" s="12" t="s">
        <v>10048</v>
      </c>
    </row>
    <row r="13" spans="1:5" ht="28.8" x14ac:dyDescent="0.3">
      <c r="E13" s="10" t="s">
        <v>10049</v>
      </c>
    </row>
    <row r="14" spans="1:5" ht="28.8" x14ac:dyDescent="0.3">
      <c r="A14" s="4" t="s">
        <v>6444</v>
      </c>
      <c r="B14" s="4" t="s">
        <v>6445</v>
      </c>
      <c r="E14" s="10" t="s">
        <v>10050</v>
      </c>
    </row>
    <row r="15" spans="1:5" x14ac:dyDescent="0.3">
      <c r="A15" t="s">
        <v>25</v>
      </c>
      <c r="B15">
        <f>COUNTIF(Clientes!$I:$I,A15)</f>
        <v>763</v>
      </c>
      <c r="E15" s="10" t="s">
        <v>10051</v>
      </c>
    </row>
    <row r="16" spans="1:5" x14ac:dyDescent="0.3">
      <c r="A16" t="s">
        <v>43</v>
      </c>
      <c r="B16">
        <f>COUNTIF(Clientes!$I:$I,A16)</f>
        <v>403</v>
      </c>
      <c r="E16" s="10" t="s">
        <v>10052</v>
      </c>
    </row>
    <row r="17" spans="1:5" x14ac:dyDescent="0.3">
      <c r="A17" t="s">
        <v>142</v>
      </c>
      <c r="B17">
        <f>COUNTIF(Clientes!$I:$I,A17)</f>
        <v>107</v>
      </c>
      <c r="E17" s="10" t="s">
        <v>10053</v>
      </c>
    </row>
    <row r="18" spans="1:5" ht="28.8" x14ac:dyDescent="0.3">
      <c r="A18" t="s">
        <v>6440</v>
      </c>
      <c r="B18">
        <f>COUNTIF(Clientes!$I:$I,A18)</f>
        <v>91</v>
      </c>
      <c r="E18" s="10" t="s">
        <v>10054</v>
      </c>
    </row>
    <row r="19" spans="1:5" ht="28.8" x14ac:dyDescent="0.3">
      <c r="A19" t="s">
        <v>6446</v>
      </c>
      <c r="B19">
        <f>COUNTA(Clientes!$B:$B)-1-SUM(B15:B18)</f>
        <v>1031</v>
      </c>
      <c r="E19" s="10" t="s">
        <v>10271</v>
      </c>
    </row>
    <row r="20" spans="1:5" ht="43.2" x14ac:dyDescent="0.3">
      <c r="A20" s="3" t="s">
        <v>6447</v>
      </c>
      <c r="B20" s="3">
        <f>SUM(B15:B19)</f>
        <v>2395</v>
      </c>
      <c r="E20" s="10" t="s">
        <v>10304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11F5-33FA-4C49-BF43-3B9C21B5EFBD}">
  <dimension ref="A1:A32"/>
  <sheetViews>
    <sheetView workbookViewId="0"/>
  </sheetViews>
  <sheetFormatPr defaultColWidth="11.5546875" defaultRowHeight="14.4" x14ac:dyDescent="0.3"/>
  <cols>
    <col min="1" max="1" width="120" customWidth="1"/>
  </cols>
  <sheetData>
    <row r="1" spans="1:1" ht="18" x14ac:dyDescent="0.3">
      <c r="A1" s="26" t="s">
        <v>10246</v>
      </c>
    </row>
    <row r="2" spans="1:1" ht="28.8" x14ac:dyDescent="0.3">
      <c r="A2" s="27" t="s">
        <v>10247</v>
      </c>
    </row>
    <row r="3" spans="1:1" x14ac:dyDescent="0.3">
      <c r="A3" s="20"/>
    </row>
    <row r="4" spans="1:1" x14ac:dyDescent="0.3">
      <c r="A4" s="28" t="s">
        <v>10248</v>
      </c>
    </row>
    <row r="5" spans="1:1" ht="28.8" x14ac:dyDescent="0.3">
      <c r="A5" s="20" t="s">
        <v>10249</v>
      </c>
    </row>
    <row r="6" spans="1:1" x14ac:dyDescent="0.3">
      <c r="A6" s="20"/>
    </row>
    <row r="7" spans="1:1" x14ac:dyDescent="0.3">
      <c r="A7" s="28" t="s">
        <v>10250</v>
      </c>
    </row>
    <row r="8" spans="1:1" ht="28.8" x14ac:dyDescent="0.3">
      <c r="A8" s="20" t="s">
        <v>10251</v>
      </c>
    </row>
    <row r="9" spans="1:1" x14ac:dyDescent="0.3">
      <c r="A9" s="20" t="s">
        <v>10252</v>
      </c>
    </row>
    <row r="10" spans="1:1" ht="28.8" x14ac:dyDescent="0.3">
      <c r="A10" s="20" t="s">
        <v>10253</v>
      </c>
    </row>
    <row r="11" spans="1:1" x14ac:dyDescent="0.3">
      <c r="A11" s="20"/>
    </row>
    <row r="12" spans="1:1" x14ac:dyDescent="0.3">
      <c r="A12" s="28" t="s">
        <v>10254</v>
      </c>
    </row>
    <row r="13" spans="1:1" x14ac:dyDescent="0.3">
      <c r="A13" s="20" t="s">
        <v>10255</v>
      </c>
    </row>
    <row r="14" spans="1:1" ht="28.8" x14ac:dyDescent="0.3">
      <c r="A14" s="20" t="s">
        <v>10256</v>
      </c>
    </row>
    <row r="15" spans="1:1" x14ac:dyDescent="0.3">
      <c r="A15" s="20" t="s">
        <v>10257</v>
      </c>
    </row>
    <row r="16" spans="1:1" x14ac:dyDescent="0.3">
      <c r="A16" s="20" t="s">
        <v>10258</v>
      </c>
    </row>
    <row r="17" spans="1:1" x14ac:dyDescent="0.3">
      <c r="A17" s="20" t="s">
        <v>10259</v>
      </c>
    </row>
    <row r="18" spans="1:1" ht="28.8" x14ac:dyDescent="0.3">
      <c r="A18" s="20" t="s">
        <v>10260</v>
      </c>
    </row>
    <row r="19" spans="1:1" x14ac:dyDescent="0.3">
      <c r="A19" s="20" t="s">
        <v>10261</v>
      </c>
    </row>
    <row r="20" spans="1:1" x14ac:dyDescent="0.3">
      <c r="A20" s="20" t="s">
        <v>10262</v>
      </c>
    </row>
    <row r="21" spans="1:1" ht="28.8" x14ac:dyDescent="0.3">
      <c r="A21" s="20" t="s">
        <v>10263</v>
      </c>
    </row>
    <row r="22" spans="1:1" x14ac:dyDescent="0.3">
      <c r="A22" s="20"/>
    </row>
    <row r="23" spans="1:1" x14ac:dyDescent="0.3">
      <c r="A23" s="28" t="s">
        <v>10264</v>
      </c>
    </row>
    <row r="24" spans="1:1" x14ac:dyDescent="0.3">
      <c r="A24" s="20" t="s">
        <v>10265</v>
      </c>
    </row>
    <row r="25" spans="1:1" x14ac:dyDescent="0.3">
      <c r="A25" s="20" t="s">
        <v>10266</v>
      </c>
    </row>
    <row r="26" spans="1:1" x14ac:dyDescent="0.3">
      <c r="A26" s="20" t="s">
        <v>10267</v>
      </c>
    </row>
    <row r="27" spans="1:1" x14ac:dyDescent="0.3">
      <c r="A27" s="20"/>
    </row>
    <row r="28" spans="1:1" x14ac:dyDescent="0.3">
      <c r="A28" s="28" t="s">
        <v>10268</v>
      </c>
    </row>
    <row r="29" spans="1:1" ht="28.8" x14ac:dyDescent="0.3">
      <c r="A29" s="20" t="s">
        <v>10269</v>
      </c>
    </row>
    <row r="30" spans="1:1" ht="28.8" x14ac:dyDescent="0.3">
      <c r="A30" s="20" t="s">
        <v>10270</v>
      </c>
    </row>
    <row r="32" spans="1:1" x14ac:dyDescent="0.3">
      <c r="A32" s="3" t="s">
        <v>10303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Relatório de Mudanças</vt:lpstr>
      <vt:lpstr>Clientes</vt:lpstr>
      <vt:lpstr>Resgates</vt:lpstr>
      <vt:lpstr>Pendências</vt:lpstr>
      <vt:lpstr>Regras e Parâmetros</vt:lpstr>
      <vt:lpstr>Varredura (automação)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vulto</dc:creator>
  <cp:lastModifiedBy>Pedro Pace Costa</cp:lastModifiedBy>
  <dcterms:created xsi:type="dcterms:W3CDTF">2026-09-30T18:00:00Z</dcterms:created>
  <dcterms:modified xsi:type="dcterms:W3CDTF">2026-10-19T23:22:16Z</dcterms:modified>
</cp:coreProperties>
</file>