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alinsperedu-my.sharepoint.com/personal/lucasbs10_al_insper_edu_br/Documents/"/>
    </mc:Choice>
  </mc:AlternateContent>
  <xr:revisionPtr revIDLastSave="0" documentId="8_{8FB9EB09-E9D9-41FA-AB37-33D6BF43A762}" xr6:coauthVersionLast="47" xr6:coauthVersionMax="47" xr10:uidLastSave="{00000000-0000-0000-0000-000000000000}"/>
  <bookViews>
    <workbookView xWindow="0" yWindow="760" windowWidth="30240" windowHeight="17580" firstSheet="3" activeTab="3" xr2:uid="{00000000-000D-0000-FFFF-FFFF00000000}"/>
  </bookViews>
  <sheets>
    <sheet name="LEIA ISSO - REGRAS" sheetId="6" r:id="rId1"/>
    <sheet name="Consulta de preço" sheetId="14" r:id="rId2"/>
    <sheet name="Verão 25" sheetId="1" r:id="rId3"/>
    <sheet name="Inverno 25" sheetId="2" r:id="rId4"/>
    <sheet name="Verão 26" sheetId="3" r:id="rId5"/>
    <sheet name="Inverno 26" sheetId="11" r:id="rId6"/>
    <sheet name="Atemporais" sheetId="4" r:id="rId7"/>
    <sheet name="Pendências" sheetId="13" r:id="rId8"/>
    <sheet name="Listas" sheetId="10" r:id="rId9"/>
    <sheet name="PLANILHA ANTIGA NAO USAR" sheetId="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3" l="1"/>
  <c r="N9" i="13"/>
  <c r="N8" i="13"/>
  <c r="N7" i="13"/>
  <c r="N6" i="13"/>
  <c r="N5" i="13"/>
  <c r="A14" i="13" a="1"/>
  <c r="A14" i="13" s="1"/>
  <c r="J5" i="13"/>
  <c r="J6" i="13"/>
  <c r="J7" i="13"/>
  <c r="J8" i="13"/>
  <c r="J9" i="13"/>
  <c r="K9" i="13"/>
  <c r="L9" i="13"/>
  <c r="M9" i="13"/>
  <c r="K8" i="13"/>
  <c r="L8" i="13"/>
  <c r="M8" i="13"/>
  <c r="K7" i="13"/>
  <c r="L7" i="13"/>
  <c r="M7" i="13"/>
  <c r="K6" i="13"/>
  <c r="L6" i="13"/>
  <c r="M6" i="13"/>
  <c r="K5" i="13"/>
  <c r="L5" i="13"/>
  <c r="M5" i="13"/>
  <c r="C12" i="14" a="1"/>
  <c r="C12" i="14" s="1"/>
  <c r="D12" i="14" a="1"/>
  <c r="D12" i="14" s="1"/>
  <c r="C11" i="14" a="1"/>
  <c r="C11" i="14" s="1"/>
  <c r="D11" i="14" a="1"/>
  <c r="D11" i="14" s="1"/>
  <c r="C10" i="14" a="1"/>
  <c r="C10" i="14" s="1"/>
  <c r="D10" i="14" a="1"/>
  <c r="D10" i="14" s="1"/>
  <c r="C9" i="14" a="1"/>
  <c r="C9" i="14" s="1"/>
  <c r="D9" i="14" a="1"/>
  <c r="D9" i="14" s="1"/>
  <c r="C8" i="14" a="1"/>
  <c r="C8" i="14" s="1"/>
  <c r="D8" i="14" a="1"/>
  <c r="D8" i="14" s="1"/>
  <c r="N4" i="10" a="1"/>
  <c r="N4" i="10" s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C7" i="13" l="1"/>
  <c r="G5" i="13"/>
  <c r="F9" i="13"/>
  <c r="G9" i="13"/>
  <c r="F8" i="13"/>
  <c r="G8" i="13"/>
  <c r="F7" i="13"/>
  <c r="G7" i="13"/>
  <c r="F6" i="13"/>
  <c r="G6" i="13"/>
  <c r="F5" i="13"/>
  <c r="D9" i="13"/>
  <c r="B7" i="13"/>
  <c r="C9" i="13"/>
  <c r="E6" i="13"/>
  <c r="D6" i="13"/>
  <c r="B9" i="13"/>
  <c r="E8" i="13"/>
  <c r="C6" i="13"/>
  <c r="D8" i="13"/>
  <c r="B6" i="13"/>
  <c r="E5" i="13"/>
  <c r="C8" i="13"/>
  <c r="B8" i="13"/>
  <c r="D5" i="13"/>
  <c r="E7" i="13"/>
  <c r="C5" i="13"/>
  <c r="D7" i="13"/>
  <c r="B5" i="13"/>
  <c r="E9" i="13"/>
  <c r="L10" i="13"/>
  <c r="K10" i="13"/>
  <c r="J10" i="13"/>
  <c r="M10" i="13"/>
  <c r="B15" i="14" a="1"/>
  <c r="B15" i="14" s="1"/>
  <c r="B14" i="14" a="1"/>
  <c r="B14" i="14" s="1"/>
  <c r="G10" i="13" l="1"/>
  <c r="B12" i="13" s="1"/>
  <c r="F10" i="13"/>
  <c r="D10" i="13"/>
  <c r="C10" i="13"/>
  <c r="B10" i="13"/>
  <c r="E1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<sst xmlns="http://schemas.openxmlformats.org/spreadsheetml/2006/main" count="10824" uniqueCount="2556">
  <si>
    <t>LEIA ISSO ANTES DE MEXER (Marina - Compras, atualizado em mar/2026)</t>
  </si>
  <si>
    <t>1. Cada coleção tem sua aba. Produto que continua de uma coleção pra outra é copiado pra aba nova com o preço novo.</t>
  </si>
  <si>
    <t>2. Se a peça está em duas abas, vale o preço da coleção MAIS NOVA.</t>
  </si>
  <si>
    <t>3. Custo: usar sempre o ÚLTIMO custo de nota (o que está na aba). Custo médio é coisa do financeiro.</t>
  </si>
  <si>
    <t>4. Peça descontinuada fica tachada (ou vermelha, depende de quem marcou). NÃO apagar a linha, o histórico precisa.</t>
  </si>
  <si>
    <t>5. Promoção NÃO muda preço aqui. Desconto é dado no PDV / no site.</t>
  </si>
  <si>
    <t>6. Atemporais: preço revisado 1x por ano (mar). A aba antiga tem os preços de 2024.</t>
  </si>
  <si>
    <t>7. SKU padrão: VLT-CAT-NNN-COR-TAM. O CD usa o código curto (CAM001PM). O fiscal digita do jeito dele.</t>
  </si>
  <si>
    <t>8. Quando um modelo sai de linha o código pode ser reaproveitado na próxima coleção (pedido do CD pra não abrir código novo).</t>
  </si>
  <si>
    <t>Dúvida de preço: a regra do financeiro é diferente (ver REGRAS_OPERACAO.txt do Diego). Eles usam o menor preço.</t>
  </si>
  <si>
    <t>CONSULTA DE PREÇO VIGENTE</t>
  </si>
  <si>
    <t>Escolha o produto (e a cor, se quiser). Vale o preço da coleção mais nova (regra 2). Atemporais entram só se o produto não estiver em nenhuma coleção.</t>
  </si>
  <si>
    <t>Produto</t>
  </si>
  <si>
    <t>Bermuda Cargo Barra Desfiada</t>
  </si>
  <si>
    <t>Cor (opcional)</t>
  </si>
  <si>
    <t>Prioridade</t>
  </si>
  <si>
    <t>Coleção</t>
  </si>
  <si>
    <t>Preço (R$)</t>
  </si>
  <si>
    <t>Status</t>
  </si>
  <si>
    <t>Inverno 26</t>
  </si>
  <si>
    <t>Verão 26</t>
  </si>
  <si>
    <t>Inverno 25</t>
  </si>
  <si>
    <t>Verão 25</t>
  </si>
  <si>
    <t>Atemporais</t>
  </si>
  <si>
    <t>Preço vigente</t>
  </si>
  <si>
    <t>Vem da aba</t>
  </si>
  <si>
    <t>VERÃO 2025</t>
  </si>
  <si>
    <t>Status: Descontinuado = linha cinza e tachada (não apagar a linha)  ·  Revisar preço = amarelo  ·  Custo em branco = pendente (laranja)  ·  EAN repetido = vermelho  ·  Margem abaixo da mínima (aba Listas) = vermelho  ·  Roxo itálico = valor estimado ou de referência (ver Obs)</t>
  </si>
  <si>
    <t>SKU</t>
  </si>
  <si>
    <t>Código CD</t>
  </si>
  <si>
    <t>Modelo</t>
  </si>
  <si>
    <t>Categoria</t>
  </si>
  <si>
    <t>Cor</t>
  </si>
  <si>
    <t>Tamanho</t>
  </si>
  <si>
    <t>Custo (R$)</t>
  </si>
  <si>
    <t>Margem (%)</t>
  </si>
  <si>
    <t>EAN</t>
  </si>
  <si>
    <t>Fornecedor</t>
  </si>
  <si>
    <t>Lançamento</t>
  </si>
  <si>
    <t>Obs</t>
  </si>
  <si>
    <t>BER004E36</t>
  </si>
  <si>
    <t>BER-004</t>
  </si>
  <si>
    <t>Short Jeans Clássica</t>
  </si>
  <si>
    <t>Bermudas e Shorts</t>
  </si>
  <si>
    <t>Jeans Escuro</t>
  </si>
  <si>
    <t>XP</t>
  </si>
  <si>
    <t>7897969295881</t>
  </si>
  <si>
    <t>Jeans Rio Claro</t>
  </si>
  <si>
    <t>Preço conferido: igual aos demais tamanhos do modelo · Código CD copiado do mesmo SKU/produto (Verão 26)</t>
  </si>
  <si>
    <t>Ativo</t>
  </si>
  <si>
    <t>BER004E38</t>
  </si>
  <si>
    <t>P</t>
  </si>
  <si>
    <t>7898245366875</t>
  </si>
  <si>
    <t>BER004E40</t>
  </si>
  <si>
    <t>M</t>
  </si>
  <si>
    <t>7890071164724</t>
  </si>
  <si>
    <t>Código CD copiado do mesmo SKU/produto (Verão 26)</t>
  </si>
  <si>
    <t>BER004E42</t>
  </si>
  <si>
    <t>G</t>
  </si>
  <si>
    <t>7894678310263</t>
  </si>
  <si>
    <t>BER004E44</t>
  </si>
  <si>
    <t>GG</t>
  </si>
  <si>
    <t>7899614955171</t>
  </si>
  <si>
    <t>Custo de referência: último custo de nota do VLT-BER-004-JES-G (mesmo modelo/cor) · Código CD copiado do mesmo SKU/produto (Verão 26)</t>
  </si>
  <si>
    <t/>
  </si>
  <si>
    <t>CMS-004</t>
  </si>
  <si>
    <t>Camisa Cuban Estonada</t>
  </si>
  <si>
    <t>Camisas</t>
  </si>
  <si>
    <t>Azul Marinho</t>
  </si>
  <si>
    <t>7897481898430</t>
  </si>
  <si>
    <t>Confecções Aurora</t>
  </si>
  <si>
    <t>Descontinuado</t>
  </si>
  <si>
    <t>7898756296593</t>
  </si>
  <si>
    <t>7897426609756</t>
  </si>
  <si>
    <t>7898425708563</t>
  </si>
  <si>
    <t>CMS-005</t>
  </si>
  <si>
    <t>Camisa Jeans Listrada</t>
  </si>
  <si>
    <t>Branco</t>
  </si>
  <si>
    <t>7897375487689</t>
  </si>
  <si>
    <t>Acessórios Ventura</t>
  </si>
  <si>
    <t>7896823406852</t>
  </si>
  <si>
    <t>7892681299902</t>
  </si>
  <si>
    <t>7892172707473</t>
  </si>
  <si>
    <t>CAL010M38</t>
  </si>
  <si>
    <t>CAL-010</t>
  </si>
  <si>
    <t>Calça Cargo Parachute</t>
  </si>
  <si>
    <t>Calças</t>
  </si>
  <si>
    <t>Marrom</t>
  </si>
  <si>
    <t>7899007133629</t>
  </si>
  <si>
    <t>Código CD provisório (padrão do CD) – confirmar cadastro no CD</t>
  </si>
  <si>
    <t>CAL010M40</t>
  </si>
  <si>
    <t>7895611186433</t>
  </si>
  <si>
    <t>CAL010M42</t>
  </si>
  <si>
    <t>7899470152837</t>
  </si>
  <si>
    <t>CAL010M44</t>
  </si>
  <si>
    <t>7894855963077</t>
  </si>
  <si>
    <t>MOL-006</t>
  </si>
  <si>
    <t>Moletom Careca College</t>
  </si>
  <si>
    <t>Moletons</t>
  </si>
  <si>
    <t>Amarelo</t>
  </si>
  <si>
    <t>7896280062431</t>
  </si>
  <si>
    <t>Malharia Serra Azul</t>
  </si>
  <si>
    <t>7894165724856</t>
  </si>
  <si>
    <t>7890186076257</t>
  </si>
  <si>
    <t>7894813033972</t>
  </si>
  <si>
    <t>VES-001</t>
  </si>
  <si>
    <t>Vestido Midi Floral</t>
  </si>
  <si>
    <t>Vestidos</t>
  </si>
  <si>
    <t>7895742084127</t>
  </si>
  <si>
    <t>Atelier Pequi</t>
  </si>
  <si>
    <t>7894866000143</t>
  </si>
  <si>
    <t>7893790492789</t>
  </si>
  <si>
    <t>7890976627188</t>
  </si>
  <si>
    <t>SAI003OP</t>
  </si>
  <si>
    <t>SAI-003</t>
  </si>
  <si>
    <t>Saia Midi Evasê</t>
  </si>
  <si>
    <t>Saias</t>
  </si>
  <si>
    <t>Off White</t>
  </si>
  <si>
    <t>7899963858444</t>
  </si>
  <si>
    <t>Custo de referência: último custo de nota do VLT-SAI-003-OFF-M (mesmo modelo/cor) · Código CD copiado do mesmo SKU/produto (Verão 26)</t>
  </si>
  <si>
    <t>SAI003OM</t>
  </si>
  <si>
    <t>7894699175094</t>
  </si>
  <si>
    <t>SAI003OG</t>
  </si>
  <si>
    <t>7895091710920</t>
  </si>
  <si>
    <t>SAI003OGG</t>
  </si>
  <si>
    <t>7898995431700</t>
  </si>
  <si>
    <t>CAM-006</t>
  </si>
  <si>
    <t>Camiseta Raglan Retrô</t>
  </si>
  <si>
    <t>Camisetas</t>
  </si>
  <si>
    <t>Vinho</t>
  </si>
  <si>
    <t>7896209660540</t>
  </si>
  <si>
    <t>7897811465486</t>
  </si>
  <si>
    <t>7898917321461</t>
  </si>
  <si>
    <t>7895884591613</t>
  </si>
  <si>
    <t>SAI004MP</t>
  </si>
  <si>
    <t>SAI-004</t>
  </si>
  <si>
    <t>Saia Cargo Utilitária</t>
  </si>
  <si>
    <t>7891661785282</t>
  </si>
  <si>
    <t>SAI004MM</t>
  </si>
  <si>
    <t>7892890744989</t>
  </si>
  <si>
    <t>Custo de referência: último custo de nota do VLT-SAI-004-MRR-P (mesmo modelo/cor) · Código CD copiado do mesmo SKU/produto (Verão 26)</t>
  </si>
  <si>
    <t>SAI004MG</t>
  </si>
  <si>
    <t>7897476877778</t>
  </si>
  <si>
    <t>SAI004MGG</t>
  </si>
  <si>
    <t>7890197254118</t>
  </si>
  <si>
    <t>Preço e custo estavam trocados (corrigido em Wed Oct 14 2026) · Código CD copiado do mesmo SKU/produto (Verão 26)</t>
  </si>
  <si>
    <t>SAI005OP</t>
  </si>
  <si>
    <t>SAI-005</t>
  </si>
  <si>
    <t>Saia Jeans Utilitária</t>
  </si>
  <si>
    <t>7894750319665</t>
  </si>
  <si>
    <t>Custo de referência: último custo de nota do VLT-SAI-005-OFF-M (mesmo modelo/cor) · Código CD copiado do mesmo SKU/produto (Verão 26)</t>
  </si>
  <si>
    <t>SAI005OM</t>
  </si>
  <si>
    <t>7898522976216</t>
  </si>
  <si>
    <t>SAI005OG</t>
  </si>
  <si>
    <t>7895520946852</t>
  </si>
  <si>
    <t>CMS-006</t>
  </si>
  <si>
    <t>Camisa Oxford Listrada</t>
  </si>
  <si>
    <t>7893592893890</t>
  </si>
  <si>
    <t>7899058618052</t>
  </si>
  <si>
    <t>7896913119525</t>
  </si>
  <si>
    <t>7895866809774</t>
  </si>
  <si>
    <t>7893777714118</t>
  </si>
  <si>
    <t>CAM-007</t>
  </si>
  <si>
    <t>Camiseta Manga Longa Listrada</t>
  </si>
  <si>
    <t>Cinza Mescla</t>
  </si>
  <si>
    <t>7898047807200</t>
  </si>
  <si>
    <t>7898955660126</t>
  </si>
  <si>
    <t>7899708900834</t>
  </si>
  <si>
    <t>7894094560686</t>
  </si>
  <si>
    <t>BER-005</t>
  </si>
  <si>
    <t>Bermuda Sarja Ampla</t>
  </si>
  <si>
    <t>7895266904499</t>
  </si>
  <si>
    <t>7890664473387</t>
  </si>
  <si>
    <t>7894403261044</t>
  </si>
  <si>
    <t>7891963876183</t>
  </si>
  <si>
    <t>7894671128995</t>
  </si>
  <si>
    <t>TOP004VP</t>
  </si>
  <si>
    <t>TOP-004</t>
  </si>
  <si>
    <t>Cropped Canelado Cetim</t>
  </si>
  <si>
    <t>Tops e Croppeds</t>
  </si>
  <si>
    <t>Verde Oliva</t>
  </si>
  <si>
    <t>7897779951571</t>
  </si>
  <si>
    <t>TOP004VM</t>
  </si>
  <si>
    <t>7894543597287</t>
  </si>
  <si>
    <t>Custo de referência: último custo de nota do VLT-TOP-004-OLI-P (mesmo modelo/cor) · Código CD copiado do mesmo SKU/produto (Verão 26)</t>
  </si>
  <si>
    <t>TOP004VG</t>
  </si>
  <si>
    <t>7891602424126</t>
  </si>
  <si>
    <t>TOP004VGG</t>
  </si>
  <si>
    <t>7897704648583</t>
  </si>
  <si>
    <t>Custo de referência: último custo de nota do VLT-TOP-004-OLI-G (mesmo modelo/cor) · Código CD copiado do mesmo SKU/produto (Verão 26)</t>
  </si>
  <si>
    <t>MOL-007</t>
  </si>
  <si>
    <t>Hoodie Oversized College</t>
  </si>
  <si>
    <t>7892502468685</t>
  </si>
  <si>
    <t>7899725027408</t>
  </si>
  <si>
    <t>Custo estava 7636 (sem vírgula), corrigido para 76,36</t>
  </si>
  <si>
    <t>7898432404847</t>
  </si>
  <si>
    <t>7897497642973</t>
  </si>
  <si>
    <t>MOL-008</t>
  </si>
  <si>
    <t>Moletom Canguru Estonado</t>
  </si>
  <si>
    <t>7896473611866</t>
  </si>
  <si>
    <t>7893524158288</t>
  </si>
  <si>
    <t>7895359425542</t>
  </si>
  <si>
    <t>7890693895631</t>
  </si>
  <si>
    <t>Lilás</t>
  </si>
  <si>
    <t>7891719820347</t>
  </si>
  <si>
    <t>Custo: ver NF</t>
  </si>
  <si>
    <t>7897880560471</t>
  </si>
  <si>
    <t>7897208595666</t>
  </si>
  <si>
    <t>7896586377932</t>
  </si>
  <si>
    <t>VES002MP</t>
  </si>
  <si>
    <t>VES-002</t>
  </si>
  <si>
    <t>Vestido Slip Canelado</t>
  </si>
  <si>
    <t>7898474125045</t>
  </si>
  <si>
    <t>VES002MM</t>
  </si>
  <si>
    <t>7890796683869</t>
  </si>
  <si>
    <t>Custo de referência: último custo de nota do VLT-VES-002-MRR-P (mesmo modelo/cor) · Código CD provisório (padrão do CD) – confirmar cadastro no CD</t>
  </si>
  <si>
    <t>VES002MG</t>
  </si>
  <si>
    <t>7891935980610</t>
  </si>
  <si>
    <t>VES002MGG</t>
  </si>
  <si>
    <t>7890432440825</t>
  </si>
  <si>
    <t>TOP005OP</t>
  </si>
  <si>
    <t>TOP-005</t>
  </si>
  <si>
    <t>Cropped Canelado Basic</t>
  </si>
  <si>
    <t>7895774643026</t>
  </si>
  <si>
    <t>TOP005OM</t>
  </si>
  <si>
    <t>7899783931464</t>
  </si>
  <si>
    <t>TOP005OG</t>
  </si>
  <si>
    <t>7894498214659</t>
  </si>
  <si>
    <t>Custo de referência: último custo de nota do VLT-TOP-005-OFF-M (mesmo modelo/cor) · Código CD provisório (padrão do CD) – confirmar cadastro no CD</t>
  </si>
  <si>
    <t>TOP005OGG</t>
  </si>
  <si>
    <t>7897074862121</t>
  </si>
  <si>
    <t>Custo de referência: último custo de nota do VLT-TOP-005-OFF-M (mesmo modelo/cor) · Preço conferido: igual aos demais tamanhos do modelo · Código CD provisório (padrão do CD) – confirmar cadastro no CD</t>
  </si>
  <si>
    <t>VES-003</t>
  </si>
  <si>
    <t>Macacão Canelado</t>
  </si>
  <si>
    <t>7898198424691</t>
  </si>
  <si>
    <t>7894146456639</t>
  </si>
  <si>
    <t>7897487896270</t>
  </si>
  <si>
    <t>7895062352623</t>
  </si>
  <si>
    <t>7894280713612</t>
  </si>
  <si>
    <t>7894134874094</t>
  </si>
  <si>
    <t>7892420628611</t>
  </si>
  <si>
    <t>7896347069342</t>
  </si>
  <si>
    <t>VES-004</t>
  </si>
  <si>
    <t>Macacão Cetim</t>
  </si>
  <si>
    <t>7891300596965</t>
  </si>
  <si>
    <t>7892018222429</t>
  </si>
  <si>
    <t>7893867743455</t>
  </si>
  <si>
    <t>7898378323882</t>
  </si>
  <si>
    <t>7894388009372</t>
  </si>
  <si>
    <t>VES-005</t>
  </si>
  <si>
    <t>Macacão Floral</t>
  </si>
  <si>
    <t>Preto</t>
  </si>
  <si>
    <t>7892183730866</t>
  </si>
  <si>
    <t>7895802458141</t>
  </si>
  <si>
    <t>7893332465073</t>
  </si>
  <si>
    <t>7890317851487</t>
  </si>
  <si>
    <t>TOP006MP</t>
  </si>
  <si>
    <t>TOP-006</t>
  </si>
  <si>
    <t>Cropped Amarração Canelado</t>
  </si>
  <si>
    <t>7892062665753</t>
  </si>
  <si>
    <t>Têxtil Horizonte</t>
  </si>
  <si>
    <t>TOP006MM</t>
  </si>
  <si>
    <t>7891583415069</t>
  </si>
  <si>
    <t>TOP006MG</t>
  </si>
  <si>
    <t>7893849530141</t>
  </si>
  <si>
    <t>TOP006MGG</t>
  </si>
  <si>
    <t>7899847014720</t>
  </si>
  <si>
    <t>CAM-008</t>
  </si>
  <si>
    <t>Regata Sunset</t>
  </si>
  <si>
    <t>7899780840240</t>
  </si>
  <si>
    <t>7891205080170</t>
  </si>
  <si>
    <t>7896176462215</t>
  </si>
  <si>
    <t>7893101139198</t>
  </si>
  <si>
    <t>TOP-007</t>
  </si>
  <si>
    <t>Body Floral</t>
  </si>
  <si>
    <t>7890454004326</t>
  </si>
  <si>
    <t>7895646785663</t>
  </si>
  <si>
    <t>7897051127168</t>
  </si>
  <si>
    <t>7896704008540</t>
  </si>
  <si>
    <t>ACE-006</t>
  </si>
  <si>
    <t>Bolsa Tiracolo Logo</t>
  </si>
  <si>
    <t>Acessórios</t>
  </si>
  <si>
    <t>Único</t>
  </si>
  <si>
    <t>7896935250107</t>
  </si>
  <si>
    <t>MOL009MP</t>
  </si>
  <si>
    <t>MOL-009</t>
  </si>
  <si>
    <t>Moletom Zíper Logo</t>
  </si>
  <si>
    <t>7893169674501</t>
  </si>
  <si>
    <t>Custo: ver NF · Custo de referência: último custo de nota do VLT-MOL-009-MRR-M (mesmo modelo/cor) · Código CD provisório (padrão do CD) – confirmar cadastro no CD</t>
  </si>
  <si>
    <t>MOL009MM</t>
  </si>
  <si>
    <t>7894786146358</t>
  </si>
  <si>
    <t>MOL009MG</t>
  </si>
  <si>
    <t>7897915505392</t>
  </si>
  <si>
    <t>MOL009MGG</t>
  </si>
  <si>
    <t>7895221364887</t>
  </si>
  <si>
    <t>Custo de referência: último custo de nota do VLT-MOL-009-MRR-G (mesmo modelo/cor) · Código CD provisório (padrão do CD) – confirmar cadastro no CD</t>
  </si>
  <si>
    <t>TOP008GP</t>
  </si>
  <si>
    <t>TOP-008</t>
  </si>
  <si>
    <t>Top Alcinha Floral</t>
  </si>
  <si>
    <t>Bege</t>
  </si>
  <si>
    <t>7893659599963</t>
  </si>
  <si>
    <t>TOP008GM</t>
  </si>
  <si>
    <t>7899046292073</t>
  </si>
  <si>
    <t>EAN copiado do mesmo SKU (Verão 26) · Código CD copiado do mesmo SKU/produto (Verão 26)</t>
  </si>
  <si>
    <t>TOP008GG</t>
  </si>
  <si>
    <t>7891250474115</t>
  </si>
  <si>
    <t>CAM009HP</t>
  </si>
  <si>
    <t>CAM-009</t>
  </si>
  <si>
    <t>Camiseta Estampada Pixel</t>
  </si>
  <si>
    <t>7895471411317</t>
  </si>
  <si>
    <t>CAM009HM</t>
  </si>
  <si>
    <t>7890372816100</t>
  </si>
  <si>
    <t>Custo de referência: último custo de nota do VLT-CAM-009-VIN-P (mesmo modelo/cor) · Código CD provisório (padrão do CD) – confirmar cadastro no CD</t>
  </si>
  <si>
    <t>CAM009HG</t>
  </si>
  <si>
    <t>7890477583235</t>
  </si>
  <si>
    <t>CAM009HGG</t>
  </si>
  <si>
    <t>7896941889193</t>
  </si>
  <si>
    <t>Preço conferido: igual aos demais tamanhos do modelo · Código CD provisório (padrão do CD) – confirmar cadastro no CD</t>
  </si>
  <si>
    <t>ACE-007</t>
  </si>
  <si>
    <t>Ecobag Couro Eco</t>
  </si>
  <si>
    <t>7890314853514</t>
  </si>
  <si>
    <t>TOP-009</t>
  </si>
  <si>
    <t>Top Alcinha Cetim</t>
  </si>
  <si>
    <t>7894560965199</t>
  </si>
  <si>
    <t>7896718887032</t>
  </si>
  <si>
    <t>7890524236022</t>
  </si>
  <si>
    <t>7899872837974</t>
  </si>
  <si>
    <t>TOP-010</t>
  </si>
  <si>
    <t>Body Canelado</t>
  </si>
  <si>
    <t>7891891911123</t>
  </si>
  <si>
    <t>7890853516413</t>
  </si>
  <si>
    <t>7896136306382</t>
  </si>
  <si>
    <t>7896988029965</t>
  </si>
  <si>
    <t>7899272703619</t>
  </si>
  <si>
    <t>7898963322566</t>
  </si>
  <si>
    <t>CAM-010</t>
  </si>
  <si>
    <t>Baby Tee Tie-Dye</t>
  </si>
  <si>
    <t>7897775204435</t>
  </si>
  <si>
    <t>7890492692738</t>
  </si>
  <si>
    <t>7894606793205</t>
  </si>
  <si>
    <t>7896556225829</t>
  </si>
  <si>
    <t>7894198026378</t>
  </si>
  <si>
    <t>7896438247932</t>
  </si>
  <si>
    <t>7891094123118</t>
  </si>
  <si>
    <t>7896692554852</t>
  </si>
  <si>
    <t>CAM-011</t>
  </si>
  <si>
    <t>Camiseta Boxy Urbana</t>
  </si>
  <si>
    <t>7895053965597</t>
  </si>
  <si>
    <t>7894671024785</t>
  </si>
  <si>
    <t>7894508226580</t>
  </si>
  <si>
    <t>7895753292160</t>
  </si>
  <si>
    <t>7892836131729</t>
  </si>
  <si>
    <t>7897181484247</t>
  </si>
  <si>
    <t>CMS-007</t>
  </si>
  <si>
    <t>Camisa Linho Bolso</t>
  </si>
  <si>
    <t>7894088316152</t>
  </si>
  <si>
    <t>7893100612142</t>
  </si>
  <si>
    <t>EAN recuperado da planilha 2024 (mesmo SKU)</t>
  </si>
  <si>
    <t>7890563892630</t>
  </si>
  <si>
    <t>7896415253895</t>
  </si>
  <si>
    <t>7890546602249</t>
  </si>
  <si>
    <t>7896989347174</t>
  </si>
  <si>
    <t>7897342756350</t>
  </si>
  <si>
    <t>7891667169444</t>
  </si>
  <si>
    <t>INVERNO 2025</t>
  </si>
  <si>
    <t>Liquidação jul/25: 40% off aplicado no PDV/site — não altera o preço aqui.</t>
  </si>
  <si>
    <t>CAM012VP</t>
  </si>
  <si>
    <t>CAM-012</t>
  </si>
  <si>
    <t>Camiseta Raglan Wave</t>
  </si>
  <si>
    <t>7893728650984</t>
  </si>
  <si>
    <t>ver com Diego · Fornecedor estimado: principal da categoria (100% em Verão 25) · Código CD provisório (padrão do CD) – confirmar cadastro no CD</t>
  </si>
  <si>
    <t>CAM012VM</t>
  </si>
  <si>
    <t>7895844395299</t>
  </si>
  <si>
    <t>Custo de referência: último custo de nota do VLT-CAM-012-OLI-P (mesmo modelo/cor) · Fornecedor estimado: principal da categoria (100% em Verão 25) · Código CD provisório (padrão do CD) – confirmar cadastro no CD</t>
  </si>
  <si>
    <t>CAM012VG</t>
  </si>
  <si>
    <t>7893283045034</t>
  </si>
  <si>
    <t>Fornecedor estimado: principal da categoria (100% em Verão 25) · Código CD provisório (padrão do CD) – confirmar cadastro no CD</t>
  </si>
  <si>
    <t>CAM012VGG</t>
  </si>
  <si>
    <t>7894958950417</t>
  </si>
  <si>
    <t>MOL010YP</t>
  </si>
  <si>
    <t>MOL-010</t>
  </si>
  <si>
    <t>Moletom Canguru College</t>
  </si>
  <si>
    <t>7896527434670</t>
  </si>
  <si>
    <t>ver com Diego; custo: ver NF · Custo de referência: último custo de nota do VLT-MOL-010-AMA-M (mesmo modelo/cor) · Fornecedor estimado: principal da categoria (60% em Verão 25) · Código CD copiado do mesmo SKU/produto (Inverno 26)</t>
  </si>
  <si>
    <t>MOL010YM</t>
  </si>
  <si>
    <t>7893775609980</t>
  </si>
  <si>
    <t>Fornecedor estimado: principal da categoria (60% em Verão 25) · Código CD copiado do mesmo SKU/produto (Inverno 26)</t>
  </si>
  <si>
    <t>MOL010YG</t>
  </si>
  <si>
    <t>7895899442702</t>
  </si>
  <si>
    <t>JAQ004HP</t>
  </si>
  <si>
    <t>JAQ-004</t>
  </si>
  <si>
    <t>Jaqueta Couro Eco Clássica</t>
  </si>
  <si>
    <t>Jaquetas</t>
  </si>
  <si>
    <t>7892539839182</t>
  </si>
  <si>
    <t>Custo: ver NF · Custo de referência: último custo de nota do VLT-JAQ-004-VIN-M (mesmo modelo/cor) · Fornecedor estimado: padrão "Couro Eco" (ver Listas) · Código CD provisório (padrão do CD) – confirmar cadastro no CD</t>
  </si>
  <si>
    <t>JAQ004HM</t>
  </si>
  <si>
    <t>7898617107013</t>
  </si>
  <si>
    <t>Fornecedor estimado: padrão "Couro Eco" (ver Listas) · Código CD provisório (padrão do CD) – confirmar cadastro no CD</t>
  </si>
  <si>
    <t>JAQ004HG</t>
  </si>
  <si>
    <t>7895198740943</t>
  </si>
  <si>
    <t>JAQ004HGG</t>
  </si>
  <si>
    <t>7898550668718</t>
  </si>
  <si>
    <t>CAL011L36</t>
  </si>
  <si>
    <t>CAL-011</t>
  </si>
  <si>
    <t>Calça Wide Leg Parachute</t>
  </si>
  <si>
    <t>7893641530936</t>
  </si>
  <si>
    <t>CAL011L38</t>
  </si>
  <si>
    <t>7899088742550</t>
  </si>
  <si>
    <t>reposição ok · Custo de referência: último custo de nota do VLT-CAL-011-LIL-XP (mesmo modelo/cor) · Fornecedor estimado: principal da categoria (100% em Verão 25) · Código CD provisório (padrão do CD) – confirmar cadastro no CD</t>
  </si>
  <si>
    <t>CAL011L40</t>
  </si>
  <si>
    <t>7891366005098</t>
  </si>
  <si>
    <t>atrasou fornecedor · Fornecedor estimado: principal da categoria (100% em Verão 25) · Código CD provisório (padrão do CD) – confirmar cadastro no CD</t>
  </si>
  <si>
    <t>CAL011L42</t>
  </si>
  <si>
    <t>7898683746406</t>
  </si>
  <si>
    <t>reposição ok · Fornecedor estimado: principal da categoria (100% em Verão 25) · Código CD provisório (padrão do CD) – confirmar cadastro no CD</t>
  </si>
  <si>
    <t>CAL011L44</t>
  </si>
  <si>
    <t>7895711218737</t>
  </si>
  <si>
    <t>ACE008VU</t>
  </si>
  <si>
    <t>ACE-008</t>
  </si>
  <si>
    <t>Meia Cano Alto (par) Bordado</t>
  </si>
  <si>
    <t>7892910073907</t>
  </si>
  <si>
    <t>Fornecedor estimado: principal da categoria (100% em Verão 25) · Código CD copiado do mesmo SKU/produto (Inverno 26)</t>
  </si>
  <si>
    <t>VES006MP</t>
  </si>
  <si>
    <t>VES-006</t>
  </si>
  <si>
    <t>Vestido Slip Linho</t>
  </si>
  <si>
    <t>2000000000015</t>
  </si>
  <si>
    <t>comprado em grade; Separado da grade fechada · EAN interno provisório (faixa 200, uso interno) – trocar pelo EAN oficial GS1 quando houver · Fornecedor estimado: principal da categoria (100% em Verão 25) · Código CD provisório (padrão do CD) – confirmar cadastro no CD</t>
  </si>
  <si>
    <t>VES006MM</t>
  </si>
  <si>
    <t>2000000000022</t>
  </si>
  <si>
    <t>VES006MG</t>
  </si>
  <si>
    <t>2000000000039</t>
  </si>
  <si>
    <t>VES006MGG</t>
  </si>
  <si>
    <t>2000000000046</t>
  </si>
  <si>
    <t>VES006HP</t>
  </si>
  <si>
    <t>2000000000053</t>
  </si>
  <si>
    <t>Separado da grade fechada · EAN interno provisório (faixa 200, uso interno) – trocar pelo EAN oficial GS1 quando houver · Fornecedor estimado: principal da categoria (100% em Verão 25) · Código CD provisório (padrão do CD) – confirmar cadastro no CD</t>
  </si>
  <si>
    <t>VES006HM</t>
  </si>
  <si>
    <t>2000000000060</t>
  </si>
  <si>
    <t>VES006HG</t>
  </si>
  <si>
    <t>2000000000077</t>
  </si>
  <si>
    <t>VES006HGG</t>
  </si>
  <si>
    <t>2000000000084</t>
  </si>
  <si>
    <t>TRI005VP</t>
  </si>
  <si>
    <t>TRI-005</t>
  </si>
  <si>
    <t>Colete Tricô Fio Leve</t>
  </si>
  <si>
    <t>Tricô</t>
  </si>
  <si>
    <t>7898939312409</t>
  </si>
  <si>
    <t>atrasou fornecedor · Fornecedor estimado: padrão "Colete" (ver Listas) · Código CD provisório (padrão do CD) – confirmar cadastro no CD</t>
  </si>
  <si>
    <t>TRI005VM</t>
  </si>
  <si>
    <t>7896660685915</t>
  </si>
  <si>
    <t>Fornecedor estimado: padrão "Colete" (ver Listas) · Código CD provisório (padrão do CD) – confirmar cadastro no CD</t>
  </si>
  <si>
    <t>TRI005VG</t>
  </si>
  <si>
    <t>7895434068459</t>
  </si>
  <si>
    <t>TRI005VGG</t>
  </si>
  <si>
    <t>7897106770639</t>
  </si>
  <si>
    <t>CAM013VPP</t>
  </si>
  <si>
    <t>CAM-013</t>
  </si>
  <si>
    <t>Camiseta Manga Longa Concreto</t>
  </si>
  <si>
    <t>2000000000091</t>
  </si>
  <si>
    <t>CAM013VP</t>
  </si>
  <si>
    <t>2000000000107</t>
  </si>
  <si>
    <t>CAM013VM</t>
  </si>
  <si>
    <t>2000000000114</t>
  </si>
  <si>
    <t>CAM013VG</t>
  </si>
  <si>
    <t>2000000000121</t>
  </si>
  <si>
    <t>CAM013VGG</t>
  </si>
  <si>
    <t>2000000000138</t>
  </si>
  <si>
    <t>CAM-014</t>
  </si>
  <si>
    <t>Baby Tee Neon</t>
  </si>
  <si>
    <t>7896878216192</t>
  </si>
  <si>
    <t>Fornecedor estimado: principal da categoria (100% em Verão 25)</t>
  </si>
  <si>
    <t>7890510337054</t>
  </si>
  <si>
    <t>7895787338995</t>
  </si>
  <si>
    <t>7892773800986</t>
  </si>
  <si>
    <t>7890000000000</t>
  </si>
  <si>
    <t>ver com Diego · Fornecedor estimado: principal da categoria (100% em Verão 25)</t>
  </si>
  <si>
    <t>7894189000707</t>
  </si>
  <si>
    <t>SAI006PPP</t>
  </si>
  <si>
    <t>SAI-006</t>
  </si>
  <si>
    <t>Saia Jeans Fenda</t>
  </si>
  <si>
    <t>7897350995086</t>
  </si>
  <si>
    <t>grade fechada; Separado da grade fechada · EAN copiado do mesmo SKU (Inverno 26) · Fornecedor estimado: principal da categoria (100% em Verão 25) · Código CD copiado do mesmo SKU/produto (Inverno 26)</t>
  </si>
  <si>
    <t>SAI006PP</t>
  </si>
  <si>
    <t>7898644094171</t>
  </si>
  <si>
    <t>SAI006PM</t>
  </si>
  <si>
    <t>7896739757246</t>
  </si>
  <si>
    <t>SAI006PG</t>
  </si>
  <si>
    <t>7892144983294</t>
  </si>
  <si>
    <t>SAI006PGG</t>
  </si>
  <si>
    <t>7893389418596</t>
  </si>
  <si>
    <t>TRI-006</t>
  </si>
  <si>
    <t>Blusa Tricot Chunky</t>
  </si>
  <si>
    <t>7894932849874</t>
  </si>
  <si>
    <t>Fornecedor estimado: padrão "Tricot" (ver Listas)</t>
  </si>
  <si>
    <t>7893876927327</t>
  </si>
  <si>
    <t>Preço e custo estavam trocados (corrigido em Wed Oct 14 2026) · Fornecedor estimado: padrão "Tricot" (ver Listas)</t>
  </si>
  <si>
    <t>7899354654211</t>
  </si>
  <si>
    <t>ver com Diego · Fornecedor estimado: padrão "Tricot" (ver Listas)</t>
  </si>
  <si>
    <t>7893739527862</t>
  </si>
  <si>
    <t>CAL012P38</t>
  </si>
  <si>
    <t>CAL-012</t>
  </si>
  <si>
    <t>Calça Alfaiataria Sarja</t>
  </si>
  <si>
    <t>7895364736480</t>
  </si>
  <si>
    <t>CAL012P40</t>
  </si>
  <si>
    <t>7893307906334</t>
  </si>
  <si>
    <t>CAL012P42</t>
  </si>
  <si>
    <t>7892578261005</t>
  </si>
  <si>
    <t>Custo: ver NF · Custo de referência: último custo de nota do VLT-CAL-012-PRE-M (mesmo modelo/cor) · Fornecedor estimado: principal da categoria (100% em Verão 25) · Código CD provisório (padrão do CD) – confirmar cadastro no CD</t>
  </si>
  <si>
    <t>CAL012P44</t>
  </si>
  <si>
    <t>7892220346234</t>
  </si>
  <si>
    <t>TRI007LPP</t>
  </si>
  <si>
    <t>TRI-007</t>
  </si>
  <si>
    <t>Suéter Tricô Gola V</t>
  </si>
  <si>
    <t>7898574303435</t>
  </si>
  <si>
    <t>grade fechada; Separado da grade fechada · Custo de referência: último custo de nota do mesmo SKU (Inverno 26) · EAN copiado do mesmo SKU (Inverno 26) · Fornecedor estimado: padrão "Suéter" (ver Listas) · Código CD copiado do mesmo SKU/produto (Inverno 26)</t>
  </si>
  <si>
    <t>TRI007LP</t>
  </si>
  <si>
    <t>7896770170264</t>
  </si>
  <si>
    <t>TRI007LM</t>
  </si>
  <si>
    <t>7891699432943</t>
  </si>
  <si>
    <t>grade fechada; Separado da grade fechada · Custo de referência: último custo de nota do VLT-TRI-007-LIL-P (Inverno 26) · EAN copiado do mesmo SKU (Inverno 26) · Fornecedor estimado: padrão "Suéter" (ver Listas) · Código CD copiado do mesmo SKU/produto (Inverno 26)</t>
  </si>
  <si>
    <t>TRI007LG</t>
  </si>
  <si>
    <t>7890613916453</t>
  </si>
  <si>
    <t>TRI007LGG</t>
  </si>
  <si>
    <t>7897812810810</t>
  </si>
  <si>
    <t>BER006L36</t>
  </si>
  <si>
    <t>BER-006</t>
  </si>
  <si>
    <t>Short Alfaiataria Leve</t>
  </si>
  <si>
    <t>7895067495868</t>
  </si>
  <si>
    <t>ver com Diego · Fornecedor estimado: padrão "Alfaiataria" (ver Listas) · Código CD provisório (padrão do CD) – confirmar cadastro no CD</t>
  </si>
  <si>
    <t>BER006L38</t>
  </si>
  <si>
    <t>7899395508566</t>
  </si>
  <si>
    <t>Fornecedor estimado: padrão "Alfaiataria" (ver Listas) · Código CD provisório (padrão do CD) – confirmar cadastro no CD</t>
  </si>
  <si>
    <t>BER006L40</t>
  </si>
  <si>
    <t>7893828998856</t>
  </si>
  <si>
    <t>BER006L42</t>
  </si>
  <si>
    <t>7893740876546</t>
  </si>
  <si>
    <t>ver com Diego · Custo de referência: último custo de nota do VLT-BER-006-LIL-M (mesmo modelo/cor) · Fornecedor estimado: padrão "Alfaiataria" (ver Listas) · Código CD provisório (padrão do CD) – confirmar cadastro no CD</t>
  </si>
  <si>
    <t>BER006L44</t>
  </si>
  <si>
    <t>7893767932539</t>
  </si>
  <si>
    <t>Custo: ver NF · Custo de referência: último custo de nota do VLT-BER-006-LIL-M (mesmo modelo/cor) · Fornecedor estimado: padrão "Alfaiataria" (ver Listas) · Código CD provisório (padrão do CD) – confirmar cadastro no CD</t>
  </si>
  <si>
    <t>CAL-013</t>
  </si>
  <si>
    <t>Calça Jogger Parachute</t>
  </si>
  <si>
    <t>comprado em grade; Separado da grade fechada – EAN pendente · Fornecedor estimado: principal da categoria (100% em Verão 25)</t>
  </si>
  <si>
    <t>VES007VP</t>
  </si>
  <si>
    <t>VES-007</t>
  </si>
  <si>
    <t>Vestido Slip Floral</t>
  </si>
  <si>
    <t>7891575029342</t>
  </si>
  <si>
    <t>VES007VM</t>
  </si>
  <si>
    <t>7891288289743</t>
  </si>
  <si>
    <t>reposição ok · Custo de referência: último custo de nota do VLT-VES-007-OLI-P (mesmo modelo/cor) · Fornecedor estimado: principal da categoria (100% em Verão 25) · Código CD copiado do mesmo SKU/produto (Inverno 26)</t>
  </si>
  <si>
    <t>VES007VG</t>
  </si>
  <si>
    <t>7894033994855</t>
  </si>
  <si>
    <t>Custo de referência: último custo de nota do VLT-VES-007-OLI-GG (mesmo modelo/cor) · Fornecedor estimado: principal da categoria (100% em Verão 25) · Código CD copiado do mesmo SKU/produto (Inverno 26)</t>
  </si>
  <si>
    <t>VES007VGG</t>
  </si>
  <si>
    <t>7890920108084</t>
  </si>
  <si>
    <t>atrasou fornecedor · Fornecedor estimado: principal da categoria (100% em Verão 25) · Código CD copiado do mesmo SKU/produto (Inverno 26)</t>
  </si>
  <si>
    <t>TRI008LP</t>
  </si>
  <si>
    <t>TRI-008</t>
  </si>
  <si>
    <t>Cardigan Chunky</t>
  </si>
  <si>
    <t>7890539955727</t>
  </si>
  <si>
    <t>Fornecedor estimado: padrão "Cardigan" (ver Listas) · Código CD provisório (padrão do CD) – confirmar cadastro no CD</t>
  </si>
  <si>
    <t>TRI008LM</t>
  </si>
  <si>
    <t>7892516304641</t>
  </si>
  <si>
    <t>atrasou fornecedor · Fornecedor estimado: padrão "Cardigan" (ver Listas) · Código CD provisório (padrão do CD) – confirmar cadastro no CD</t>
  </si>
  <si>
    <t>TRI008LG</t>
  </si>
  <si>
    <t>7897992476295</t>
  </si>
  <si>
    <t>ACE-009</t>
  </si>
  <si>
    <t>Ecobag Básico</t>
  </si>
  <si>
    <t>grade fechada · Fornecedor estimado: principal da categoria (100% em Verão 25)</t>
  </si>
  <si>
    <t>CAL-014</t>
  </si>
  <si>
    <t>Calça Jeans Reta Comfort</t>
  </si>
  <si>
    <t>7896060277727</t>
  </si>
  <si>
    <t>7891935172411</t>
  </si>
  <si>
    <t>7891429453453</t>
  </si>
  <si>
    <t>atrasou fornecedor · Fornecedor estimado: principal da categoria (100% em Verão 25)</t>
  </si>
  <si>
    <t>7896607666953</t>
  </si>
  <si>
    <t>7896055955210</t>
  </si>
  <si>
    <t>reposição ok · Fornecedor estimado: principal da categoria (100% em Verão 25)</t>
  </si>
  <si>
    <t>XG</t>
  </si>
  <si>
    <t>7893412613417</t>
  </si>
  <si>
    <t>MOL-011</t>
  </si>
  <si>
    <t>Hoodie Oversized Logo</t>
  </si>
  <si>
    <t>grade fechada; Separado da grade fechada – EAN pendente · Fornecedor estimado: principal da categoria (60% em Verão 25)</t>
  </si>
  <si>
    <t>CAM-015</t>
  </si>
  <si>
    <t>Camiseta Raglan Skate</t>
  </si>
  <si>
    <t>Separado da grade fechada – EAN pendente · Fornecedor estimado: principal da categoria (100% em Verão 25)</t>
  </si>
  <si>
    <t>SAI-007</t>
  </si>
  <si>
    <t>Saia Cargo Plissada</t>
  </si>
  <si>
    <t>7899491254527</t>
  </si>
  <si>
    <t>7890592075530</t>
  </si>
  <si>
    <t>7891872725060</t>
  </si>
  <si>
    <t>7893444219854</t>
  </si>
  <si>
    <t>TRI009YP</t>
  </si>
  <si>
    <t>TRI-009</t>
  </si>
  <si>
    <t>Cardigan Gola V</t>
  </si>
  <si>
    <t>7890986152083</t>
  </si>
  <si>
    <t>Fornecedor estimado: padrão "Cardigan" (ver Listas) · Código CD copiado do mesmo SKU/produto (Inverno 26)</t>
  </si>
  <si>
    <t>TRI009YM</t>
  </si>
  <si>
    <t>7890035888642</t>
  </si>
  <si>
    <t>ver com Diego · Fornecedor estimado: padrão "Cardigan" (ver Listas) · Código CD copiado do mesmo SKU/produto (Inverno 26)</t>
  </si>
  <si>
    <t>TRI009YG</t>
  </si>
  <si>
    <t>7891685748683</t>
  </si>
  <si>
    <t>TRI009YGG</t>
  </si>
  <si>
    <t>7899976148754</t>
  </si>
  <si>
    <t>Custo de referência: último custo de nota do VLT-TRI-009-AMA-G (mesmo modelo/cor) · Fornecedor estimado: padrão "Cardigan" (ver Listas) · Código CD copiado do mesmo SKU/produto (Inverno 26)</t>
  </si>
  <si>
    <t>MOL012OPP</t>
  </si>
  <si>
    <t>MOL-012</t>
  </si>
  <si>
    <t>Moletom Zíper Bordado</t>
  </si>
  <si>
    <t>7892395452839</t>
  </si>
  <si>
    <t>comprado em grade; Separado da grade fechada · EAN copiado do mesmo SKU (Inverno 26) · Fornecedor estimado: principal da categoria (60% em Verão 25) · Código CD copiado do mesmo SKU/produto (Inverno 26)</t>
  </si>
  <si>
    <t>MOL012OP</t>
  </si>
  <si>
    <t>7893505694477</t>
  </si>
  <si>
    <t>MOL012OM</t>
  </si>
  <si>
    <t>7896918789341</t>
  </si>
  <si>
    <t>MOL012OG</t>
  </si>
  <si>
    <t>7894187433163</t>
  </si>
  <si>
    <t>MOL012OGG</t>
  </si>
  <si>
    <t>7895773536343</t>
  </si>
  <si>
    <t>CAL-015</t>
  </si>
  <si>
    <t>Calça Wide Leg Destroyed</t>
  </si>
  <si>
    <t>7892277076184</t>
  </si>
  <si>
    <t>7896013929505</t>
  </si>
  <si>
    <t>Custo estava 7368 (sem vírgula), corrigido para 73,68 · Fornecedor estimado: principal da categoria (100% em Verão 25)</t>
  </si>
  <si>
    <t>7890207918832</t>
  </si>
  <si>
    <t>7890715415496</t>
  </si>
  <si>
    <t>7897549655760</t>
  </si>
  <si>
    <t>CAL-016</t>
  </si>
  <si>
    <t>Calça Alfaiataria Pregas</t>
  </si>
  <si>
    <t>7895268172346</t>
  </si>
  <si>
    <t>7899049112415</t>
  </si>
  <si>
    <t>7897205183088</t>
  </si>
  <si>
    <t>7893663791278</t>
  </si>
  <si>
    <t>7891783377181</t>
  </si>
  <si>
    <t>atrasou fornecedor; custo: ver NF · Fornecedor estimado: principal da categoria (100% em Verão 25)</t>
  </si>
  <si>
    <t>CAL-017</t>
  </si>
  <si>
    <t>Calça Mom Comfort</t>
  </si>
  <si>
    <t>7890962739468</t>
  </si>
  <si>
    <t>7892537466540</t>
  </si>
  <si>
    <t>7897741171914</t>
  </si>
  <si>
    <t>7897691721764</t>
  </si>
  <si>
    <t>TRI-010</t>
  </si>
  <si>
    <t>Suéter Tricô Fio Leve</t>
  </si>
  <si>
    <t>7899226900095</t>
  </si>
  <si>
    <t>Fornecedor estimado: padrão "Suéter" (ver Listas)</t>
  </si>
  <si>
    <t>7890044209551</t>
  </si>
  <si>
    <t>atrasou fornecedor · Fornecedor estimado: padrão "Suéter" (ver Listas)</t>
  </si>
  <si>
    <t>7899739042404</t>
  </si>
  <si>
    <t>TRI011GP</t>
  </si>
  <si>
    <t>TRI-011</t>
  </si>
  <si>
    <t>Cardigan Fio Leve</t>
  </si>
  <si>
    <t>7899830173120</t>
  </si>
  <si>
    <t>ver com Diego · Fornecedor estimado: padrão "Cardigan" (ver Listas) · Código CD provisório (padrão do CD) – confirmar cadastro no CD</t>
  </si>
  <si>
    <t>TRI011GM</t>
  </si>
  <si>
    <t>7899267994114</t>
  </si>
  <si>
    <t>TRI011GG</t>
  </si>
  <si>
    <t>7891710400951</t>
  </si>
  <si>
    <t>CAL018G36</t>
  </si>
  <si>
    <t>CAL-018</t>
  </si>
  <si>
    <t>Calça Wide Leg Escura</t>
  </si>
  <si>
    <t>2000000000145</t>
  </si>
  <si>
    <t>grade fechada; Separado da grade fechada · EAN interno provisório (faixa 200, uso interno) – trocar pelo EAN oficial GS1 quando houver · Fornecedor estimado: principal da categoria (100% em Verão 25) · Código CD provisório (padrão do CD) – confirmar cadastro no CD</t>
  </si>
  <si>
    <t>CAL018G38</t>
  </si>
  <si>
    <t>2000000000152</t>
  </si>
  <si>
    <t>CAL018G40</t>
  </si>
  <si>
    <t>2000000000169</t>
  </si>
  <si>
    <t>CAL018G42</t>
  </si>
  <si>
    <t>2000000000176</t>
  </si>
  <si>
    <t>CAL018G44</t>
  </si>
  <si>
    <t>2000000000183</t>
  </si>
  <si>
    <t>TOP-011</t>
  </si>
  <si>
    <t>Body Lisa</t>
  </si>
  <si>
    <t>7894288384425</t>
  </si>
  <si>
    <t>Fornecedor estimado: principal da categoria (72% em Verão 25)</t>
  </si>
  <si>
    <t>7894330899211</t>
  </si>
  <si>
    <t>7899379129008</t>
  </si>
  <si>
    <t>7893027013329</t>
  </si>
  <si>
    <t>Custo: ver NF · Fornecedor estimado: principal da categoria (72% em Verão 25)</t>
  </si>
  <si>
    <t>JAQ005YP</t>
  </si>
  <si>
    <t>JAQ-005</t>
  </si>
  <si>
    <t>Blazer Oversized Matelassê</t>
  </si>
  <si>
    <t>7892635387860</t>
  </si>
  <si>
    <t>Custo de referência: último custo de nota do VLT-JAQ-005-AMA-M (mesmo modelo/cor) · Fornecedor estimado: padrão "Blazer" (ver Listas) · Código CD copiado do mesmo SKU/produto (Inverno 26)</t>
  </si>
  <si>
    <t>JAQ005YM</t>
  </si>
  <si>
    <t>7898234126268</t>
  </si>
  <si>
    <t>ver com Diego · Fornecedor estimado: padrão "Blazer" (ver Listas) · Código CD copiado do mesmo SKU/produto (Inverno 26)</t>
  </si>
  <si>
    <t>JAQ005YG</t>
  </si>
  <si>
    <t>7890176130105</t>
  </si>
  <si>
    <t>Fornecedor estimado: padrão "Blazer" (ver Listas) · Código CD copiado do mesmo SKU/produto (Inverno 26)</t>
  </si>
  <si>
    <t>JAQ005YGG</t>
  </si>
  <si>
    <t>7894805659395</t>
  </si>
  <si>
    <t>CAL-019</t>
  </si>
  <si>
    <t>Calça Cargo Escura</t>
  </si>
  <si>
    <t>7897136569753</t>
  </si>
  <si>
    <t>7899667177353</t>
  </si>
  <si>
    <t>7891864398036</t>
  </si>
  <si>
    <t>7892775912687</t>
  </si>
  <si>
    <t>Custo: ver NF · Fornecedor estimado: principal da categoria (100% em Verão 25)</t>
  </si>
  <si>
    <t>CAL020Y36</t>
  </si>
  <si>
    <t>CAL-020</t>
  </si>
  <si>
    <t>Calça Cargo Sarja</t>
  </si>
  <si>
    <t>7893637536706</t>
  </si>
  <si>
    <t>CAL020Y38</t>
  </si>
  <si>
    <t>7892183801184</t>
  </si>
  <si>
    <t>reposição ok · Custo de referência: último custo de nota do VLT-CAL-020-AMA-XP (mesmo modelo/cor) · Fornecedor estimado: principal da categoria (100% em Verão 25) · Código CD provisório (padrão do CD) – confirmar cadastro no CD</t>
  </si>
  <si>
    <t>CAL020Y40</t>
  </si>
  <si>
    <t>7897801861182</t>
  </si>
  <si>
    <t>CAL020Y42</t>
  </si>
  <si>
    <t>7890964796445</t>
  </si>
  <si>
    <t>CAL020Y44</t>
  </si>
  <si>
    <t>7897216628387</t>
  </si>
  <si>
    <t>VERÃO 2026</t>
  </si>
  <si>
    <t>CAM016GP</t>
  </si>
  <si>
    <t>CAM-016</t>
  </si>
  <si>
    <t>Camiseta Oversized Urbana</t>
  </si>
  <si>
    <t>7896825456794</t>
  </si>
  <si>
    <t>CAM016GM</t>
  </si>
  <si>
    <t>7890887328778</t>
  </si>
  <si>
    <t>CAM016GG</t>
  </si>
  <si>
    <t>7899746914442</t>
  </si>
  <si>
    <t>CMS008VP</t>
  </si>
  <si>
    <t>CMS-008</t>
  </si>
  <si>
    <t>Overshirt Praia</t>
  </si>
  <si>
    <t>7897039575868</t>
  </si>
  <si>
    <t>Preço reajustado de R$ 289,90 para R$ 299,90 (margem mínima 50%, aprovado em 15/10/2026) · Fornecedor estimado: padrão "Overshirt" (ver Listas)</t>
  </si>
  <si>
    <t>CMS008VM</t>
  </si>
  <si>
    <t>7897717216212</t>
  </si>
  <si>
    <t>Custo de referência: último custo de nota do VLT-CMS-008-OLI-P (mesmo modelo/cor) · Preço reajustado de R$ 289,90 para R$ 299,90 (margem mínima 50%, aprovado em 15/10/2026) · Fornecedor estimado: padrão "Overshirt" (ver Listas)</t>
  </si>
  <si>
    <t>CMS008VG</t>
  </si>
  <si>
    <t>7897249379249</t>
  </si>
  <si>
    <t>CMS008VGG</t>
  </si>
  <si>
    <t>7890888967044</t>
  </si>
  <si>
    <t>ACE010GU</t>
  </si>
  <si>
    <t>ACE-010</t>
  </si>
  <si>
    <t>Bolsa Tiracolo Couro Eco</t>
  </si>
  <si>
    <t>7891621975487</t>
  </si>
  <si>
    <t>Custo de referência: último custo de nota do VLT-ACE-010-LIL-U (mesmo modelo) · Fornecedor estimado: principal da categoria (100% em Verão 25)</t>
  </si>
  <si>
    <t>ACE010LU</t>
  </si>
  <si>
    <t>7899486075823</t>
  </si>
  <si>
    <t>ACE010YU</t>
  </si>
  <si>
    <t>7896845411865</t>
  </si>
  <si>
    <t>TOP012VP</t>
  </si>
  <si>
    <t>TOP-012</t>
  </si>
  <si>
    <t>Top Alcinha Canelado</t>
  </si>
  <si>
    <t>7897608763719</t>
  </si>
  <si>
    <t>Custo de referência: último custo de nota do VLT-TOP-012-OLI-M (mesmo modelo/cor) · Fornecedor estimado: principal da categoria (72% em Verão 25)</t>
  </si>
  <si>
    <t>TOP012VM</t>
  </si>
  <si>
    <t>7891089056735</t>
  </si>
  <si>
    <t>TOP012VG</t>
  </si>
  <si>
    <t>7897272364656</t>
  </si>
  <si>
    <t>TOP012VGG</t>
  </si>
  <si>
    <t>7895727580682</t>
  </si>
  <si>
    <t>Custo de referência: último custo de nota do VLT-TOP-012-OLI-G (mesmo modelo/cor) · Fornecedor estimado: principal da categoria (72% em Verão 25)</t>
  </si>
  <si>
    <t>TOP012PP</t>
  </si>
  <si>
    <t>7897879535909</t>
  </si>
  <si>
    <t>Custo de referência: último custo de nota do VLT-TOP-012-PRE-M (mesmo modelo/cor) · Fornecedor estimado: principal da categoria (72% em Verão 25)</t>
  </si>
  <si>
    <t>TOP012PM</t>
  </si>
  <si>
    <t>7896560072006</t>
  </si>
  <si>
    <t>TOP012PG</t>
  </si>
  <si>
    <t>7898945063654</t>
  </si>
  <si>
    <t>TOP012PGG</t>
  </si>
  <si>
    <t>7892007078044</t>
  </si>
  <si>
    <t>SAI008HP</t>
  </si>
  <si>
    <t>SAI-008</t>
  </si>
  <si>
    <t>Saia Cargo Cetim</t>
  </si>
  <si>
    <t>7891830520560</t>
  </si>
  <si>
    <t>SAI008HM</t>
  </si>
  <si>
    <t>7899569560673</t>
  </si>
  <si>
    <t>Custo: ver NF · Custo de referência: último custo de nota do VLT-SAI-008-VIN-P (mesmo modelo/cor) · Fornecedor estimado: principal da categoria (100% em Verão 25)</t>
  </si>
  <si>
    <t>SAI008HG</t>
  </si>
  <si>
    <t>7891526081894</t>
  </si>
  <si>
    <t>SAI008HGG</t>
  </si>
  <si>
    <t>7898883868861</t>
  </si>
  <si>
    <t>CAL021P36</t>
  </si>
  <si>
    <t>CAL-021</t>
  </si>
  <si>
    <t>Calça Jeans Reta Parachute</t>
  </si>
  <si>
    <t>7899040143647</t>
  </si>
  <si>
    <t>CAL021P38</t>
  </si>
  <si>
    <t>7894874932290</t>
  </si>
  <si>
    <t>CAL021P40</t>
  </si>
  <si>
    <t>7896786749010</t>
  </si>
  <si>
    <t>CAL021P42</t>
  </si>
  <si>
    <t>2000000000190</t>
  </si>
  <si>
    <t>Custo de referência: último custo de nota do VLT-CAL-021-PRE-M (mesmo modelo/cor) · EAN interno provisório (faixa 200, uso interno) – trocar pelo EAN oficial GS1 quando houver · Fornecedor estimado: principal da categoria (100% em Verão 25)</t>
  </si>
  <si>
    <t>CAL021P44</t>
  </si>
  <si>
    <t>7892104916348</t>
  </si>
  <si>
    <t>CMS009LPP</t>
  </si>
  <si>
    <t>CMS-009</t>
  </si>
  <si>
    <t>Camisa Linho Leve</t>
  </si>
  <si>
    <t>7895001768058</t>
  </si>
  <si>
    <t>Preço reajustado de R$ 169,90 para R$ 179,90 (margem mínima 50%, aprovado em 15/10/2026) · Fornecedor estimado: padrão "Linho" (ver Listas)</t>
  </si>
  <si>
    <t>CMS009LP</t>
  </si>
  <si>
    <t>7896986612220</t>
  </si>
  <si>
    <t>CMS009LM</t>
  </si>
  <si>
    <t>7895840861293</t>
  </si>
  <si>
    <t>CMS009LG</t>
  </si>
  <si>
    <t>7893515914640</t>
  </si>
  <si>
    <t>CMS009LGG</t>
  </si>
  <si>
    <t>7896067900093</t>
  </si>
  <si>
    <t>VES008AP</t>
  </si>
  <si>
    <t>VES-008</t>
  </si>
  <si>
    <t>Vestido Tubinho Cetim</t>
  </si>
  <si>
    <t>7892132004666</t>
  </si>
  <si>
    <t>Preço reajustado de R$ 249,90 para R$ 259,90 (margem mínima 50%, aprovado em 15/10/2026) · Fornecedor estimado: principal da categoria (100% em Verão 25)</t>
  </si>
  <si>
    <t>VES008AM</t>
  </si>
  <si>
    <t>7892946698068</t>
  </si>
  <si>
    <t>VES008AG</t>
  </si>
  <si>
    <t>7895199196251</t>
  </si>
  <si>
    <t>VES008AGG</t>
  </si>
  <si>
    <t>7893935062211</t>
  </si>
  <si>
    <t>VES008OP</t>
  </si>
  <si>
    <t>7893079679788</t>
  </si>
  <si>
    <t>VES008OM</t>
  </si>
  <si>
    <t>7896563281559</t>
  </si>
  <si>
    <t>Custo de referência: último custo de nota do VLT-VES-008-OFF-P (mesmo modelo/cor) · Preço reajustado de R$ 249,90 para R$ 259,90 (margem mínima 50%, aprovado em 15/10/2026) · Fornecedor estimado: principal da categoria (100% em Verão 25)</t>
  </si>
  <si>
    <t>VES008OG</t>
  </si>
  <si>
    <t>7892353439650</t>
  </si>
  <si>
    <t>VES008OGG</t>
  </si>
  <si>
    <t>7890128198061</t>
  </si>
  <si>
    <t>CAL022G36</t>
  </si>
  <si>
    <t>CAL-022</t>
  </si>
  <si>
    <t>Calça Mom Clara</t>
  </si>
  <si>
    <t>7890219332985</t>
  </si>
  <si>
    <t>CAL022G38</t>
  </si>
  <si>
    <t>7894695462174</t>
  </si>
  <si>
    <t>CAL022G40</t>
  </si>
  <si>
    <t>7890207011304</t>
  </si>
  <si>
    <t>CAL022G42</t>
  </si>
  <si>
    <t>7897501233951</t>
  </si>
  <si>
    <t>CAL022G44</t>
  </si>
  <si>
    <t>7899176092253</t>
  </si>
  <si>
    <t>CAL022O36</t>
  </si>
  <si>
    <t>7898104391826</t>
  </si>
  <si>
    <t>CAL022O38</t>
  </si>
  <si>
    <t>7895347258138</t>
  </si>
  <si>
    <t>CAL022O40</t>
  </si>
  <si>
    <t>7899617266564</t>
  </si>
  <si>
    <t>CAL022O42</t>
  </si>
  <si>
    <t>7899218431538</t>
  </si>
  <si>
    <t>CAL022O44</t>
  </si>
  <si>
    <t>7893589852947</t>
  </si>
  <si>
    <t>CAL023L36</t>
  </si>
  <si>
    <t>CAL-023</t>
  </si>
  <si>
    <t>Calça Alfaiataria Parachute</t>
  </si>
  <si>
    <t>7891926462828</t>
  </si>
  <si>
    <t>Custo de referência: último custo de nota do VLT-CAL-023-LIL-M (mesmo modelo/cor) · Preço reajustado de R$ 259,90 para R$ 269,90 (margem mínima 50%, aprovado em 15/10/2026) · Fornecedor estimado: principal da categoria (100% em Verão 25)</t>
  </si>
  <si>
    <t>CAL023L38</t>
  </si>
  <si>
    <t>7896273727811</t>
  </si>
  <si>
    <t>CAL023L40</t>
  </si>
  <si>
    <t>7891646580833</t>
  </si>
  <si>
    <t>Preço reajustado de R$ 259,90 para R$ 269,90 (margem mínima 50%, aprovado em 15/10/2026) · Fornecedor estimado: principal da categoria (100% em Verão 25)</t>
  </si>
  <si>
    <t>CAL023L42</t>
  </si>
  <si>
    <t>7898053777665</t>
  </si>
  <si>
    <t>CAL023L44</t>
  </si>
  <si>
    <t>2000000000206</t>
  </si>
  <si>
    <t>EAN interno provisório (faixa 200, uso interno) – trocar pelo EAN oficial GS1 quando houver · Preço reajustado de R$ 259,90 para R$ 269,90 (margem mínima 50%, aprovado em 15/10/2026) · Fornecedor estimado: principal da categoria (100% em Verão 25)</t>
  </si>
  <si>
    <t>BER007A38</t>
  </si>
  <si>
    <t>BER-007</t>
  </si>
  <si>
    <t>Bermuda Moletom Ampla</t>
  </si>
  <si>
    <t>7895643343095</t>
  </si>
  <si>
    <t>Custo de referência: último custo de nota do VLT-BER-007-AZM-M (mesmo modelo/cor) · Fornecedor estimado: padrão "Moletom" (ver Listas)</t>
  </si>
  <si>
    <t>BER007A40</t>
  </si>
  <si>
    <t>7899061513924</t>
  </si>
  <si>
    <t>Fornecedor estimado: padrão "Moletom" (ver Listas)</t>
  </si>
  <si>
    <t>BER007A42</t>
  </si>
  <si>
    <t>7895252373865</t>
  </si>
  <si>
    <t>BER007A44</t>
  </si>
  <si>
    <t>7894166703836</t>
  </si>
  <si>
    <t>CMS010MP</t>
  </si>
  <si>
    <t>CMS-010</t>
  </si>
  <si>
    <t>Camisa Cuban Bolso</t>
  </si>
  <si>
    <t>7894747016638</t>
  </si>
  <si>
    <t>Fornecedor estimado: padrão "Cuban" (ver Listas)</t>
  </si>
  <si>
    <t>CMS010MM</t>
  </si>
  <si>
    <t>7899866985872</t>
  </si>
  <si>
    <t>CMS010MG</t>
  </si>
  <si>
    <t>7890791238422</t>
  </si>
  <si>
    <t>Custo de referência: último custo de nota do VLT-CMS-010-MRR-M (mesmo modelo/cor) · Fornecedor estimado: padrão "Cuban" (ver Listas)</t>
  </si>
  <si>
    <t>CMS010MGG</t>
  </si>
  <si>
    <t>7897023513050</t>
  </si>
  <si>
    <t>Custo: ver NF · Custo de referência: último custo de nota do VLT-CMS-010-MRR-M (mesmo modelo/cor) · Fornecedor estimado: padrão "Cuban" (ver Listas)</t>
  </si>
  <si>
    <t>CMS011EP</t>
  </si>
  <si>
    <t>CMS-011</t>
  </si>
  <si>
    <t>Camisa Jeans Estonada</t>
  </si>
  <si>
    <t>7890476122725</t>
  </si>
  <si>
    <t>Fornecedor estimado: padrão "Jeans" (ver Listas)</t>
  </si>
  <si>
    <t>CMS011EM</t>
  </si>
  <si>
    <t>7892199986172</t>
  </si>
  <si>
    <t>CMS011EG</t>
  </si>
  <si>
    <t>7890155536461</t>
  </si>
  <si>
    <t>CMS011EGG</t>
  </si>
  <si>
    <t>7897711221236</t>
  </si>
  <si>
    <t>CMS011JP</t>
  </si>
  <si>
    <t>Jeans Claro</t>
  </si>
  <si>
    <t>7897699032053</t>
  </si>
  <si>
    <t>CMS011JM</t>
  </si>
  <si>
    <t>7890436050341</t>
  </si>
  <si>
    <t>CMS011JG</t>
  </si>
  <si>
    <t>7895369801190</t>
  </si>
  <si>
    <t>CMS011JGG</t>
  </si>
  <si>
    <t>7891683637729</t>
  </si>
  <si>
    <t>SAI009BP</t>
  </si>
  <si>
    <t>SAI-009</t>
  </si>
  <si>
    <t>Saia Jeans Plissada</t>
  </si>
  <si>
    <t>7890798931180</t>
  </si>
  <si>
    <t>Custo de referência: último custo de nota do VLT-SAI-009-BRA-M (mesmo modelo/cor) · Fornecedor estimado: principal da categoria (100% em Verão 25)</t>
  </si>
  <si>
    <t>SAI009BM</t>
  </si>
  <si>
    <t>7896322260108</t>
  </si>
  <si>
    <t>SAI009BG</t>
  </si>
  <si>
    <t>7894787613507</t>
  </si>
  <si>
    <t>SAI009BGG</t>
  </si>
  <si>
    <t>7891375488226</t>
  </si>
  <si>
    <t>SAI009GP</t>
  </si>
  <si>
    <t>7895183194027</t>
  </si>
  <si>
    <t>Custo de referência: último custo de nota do VLT-SAI-009-BEG-M (mesmo modelo/cor) · Fornecedor estimado: principal da categoria (100% em Verão 25)</t>
  </si>
  <si>
    <t>SAI009GM</t>
  </si>
  <si>
    <t>7897250532947</t>
  </si>
  <si>
    <t>SAI009GG</t>
  </si>
  <si>
    <t>7899565387359</t>
  </si>
  <si>
    <t>SAI009GGG</t>
  </si>
  <si>
    <t>7897929500727</t>
  </si>
  <si>
    <t>TOP013VP</t>
  </si>
  <si>
    <t>TOP-013</t>
  </si>
  <si>
    <t>Cropped Canelado Canelado</t>
  </si>
  <si>
    <t>7891056649250</t>
  </si>
  <si>
    <t>TOP013VM</t>
  </si>
  <si>
    <t>7895336890882</t>
  </si>
  <si>
    <t>TOP013VG</t>
  </si>
  <si>
    <t>7892470930542</t>
  </si>
  <si>
    <t>TOP013VGG</t>
  </si>
  <si>
    <t>2000000000213</t>
  </si>
  <si>
    <t>EAN interno provisório (faixa 200, uso interno) – trocar pelo EAN oficial GS1 quando houver · Fornecedor estimado: principal da categoria (72% em Verão 25)</t>
  </si>
  <si>
    <t>BER008G36</t>
  </si>
  <si>
    <t>BER-008</t>
  </si>
  <si>
    <t>Bermuda Sarja Leve</t>
  </si>
  <si>
    <t>7896470063699</t>
  </si>
  <si>
    <t>Preço reajustado de R$ 219,90 para R$ 229,90 (margem mínima 50%, aprovado em 15/10/2026) · Fornecedor estimado: padrão "Sarja" (ver Listas)</t>
  </si>
  <si>
    <t>BER008G38</t>
  </si>
  <si>
    <t>7897650675817</t>
  </si>
  <si>
    <t>BER008G40</t>
  </si>
  <si>
    <t>7897201006855</t>
  </si>
  <si>
    <t>BER008G42</t>
  </si>
  <si>
    <t>7899497280971</t>
  </si>
  <si>
    <t>BER008G44</t>
  </si>
  <si>
    <t>7896014716388</t>
  </si>
  <si>
    <t>Custo de referência: último custo de nota do VLT-BER-008-BEG-G (mesmo modelo/cor) · Preço reajustado de R$ 219,90 para R$ 229,90 (margem mínima 50%, aprovado em 15/10/2026) · Fornecedor estimado: padrão "Sarja" (ver Listas)</t>
  </si>
  <si>
    <t>BER008G46</t>
  </si>
  <si>
    <t>7898433780612</t>
  </si>
  <si>
    <t>TOP014YP</t>
  </si>
  <si>
    <t>TOP-014</t>
  </si>
  <si>
    <t>Body Cetim</t>
  </si>
  <si>
    <t>7891311176446</t>
  </si>
  <si>
    <t>Custo de referência: último custo de nota do VLT-TOP-014-AMA-M (mesmo modelo/cor) · Fornecedor estimado: principal da categoria (72% em Verão 25)</t>
  </si>
  <si>
    <t>TOP014YM</t>
  </si>
  <si>
    <t>7896682063296</t>
  </si>
  <si>
    <t>TOP014YG</t>
  </si>
  <si>
    <t>7893607245065</t>
  </si>
  <si>
    <t>CAM017YP</t>
  </si>
  <si>
    <t>CAM-017</t>
  </si>
  <si>
    <t>Camiseta Básica Urbana</t>
  </si>
  <si>
    <t>7896143048572</t>
  </si>
  <si>
    <t>CAM017YM</t>
  </si>
  <si>
    <t>7892465825082</t>
  </si>
  <si>
    <t>CAM017YG</t>
  </si>
  <si>
    <t>7895588237589</t>
  </si>
  <si>
    <t>CAM017YGG</t>
  </si>
  <si>
    <t>7893005375227</t>
  </si>
  <si>
    <t>CAM018LP</t>
  </si>
  <si>
    <t>CAM-018</t>
  </si>
  <si>
    <t>Regata Retrô</t>
  </si>
  <si>
    <t>7897520129358</t>
  </si>
  <si>
    <t>CAM018LM</t>
  </si>
  <si>
    <t>7890100798012</t>
  </si>
  <si>
    <t>Custo de referência: último custo de nota do VLT-CAM-018-LIL-P (mesmo modelo/cor) · Fornecedor estimado: principal da categoria (100% em Verão 25)</t>
  </si>
  <si>
    <t>CAM018LG</t>
  </si>
  <si>
    <t>7890359209635</t>
  </si>
  <si>
    <t>CAM018LGG</t>
  </si>
  <si>
    <t>7891601815178</t>
  </si>
  <si>
    <t>VES009GP</t>
  </si>
  <si>
    <t>VES-009</t>
  </si>
  <si>
    <t>Vestido Midi Linho</t>
  </si>
  <si>
    <t>7890799813874</t>
  </si>
  <si>
    <t>VES009GM</t>
  </si>
  <si>
    <t>7891254320296</t>
  </si>
  <si>
    <t>VES009GG</t>
  </si>
  <si>
    <t>7896117908390</t>
  </si>
  <si>
    <t>VES009PP</t>
  </si>
  <si>
    <t>7891553978761</t>
  </si>
  <si>
    <t>VES009PM</t>
  </si>
  <si>
    <t>7890529785006</t>
  </si>
  <si>
    <t>VES009PG</t>
  </si>
  <si>
    <t>7897714584741</t>
  </si>
  <si>
    <t>VES010CP</t>
  </si>
  <si>
    <t>VES-010</t>
  </si>
  <si>
    <t>Vestido Midi Cetim</t>
  </si>
  <si>
    <t>7898207751657</t>
  </si>
  <si>
    <t>VES010CM</t>
  </si>
  <si>
    <t>7892583944276</t>
  </si>
  <si>
    <t>VES010CG</t>
  </si>
  <si>
    <t>7896248566452</t>
  </si>
  <si>
    <t>VES010CGG</t>
  </si>
  <si>
    <t>7899818652142</t>
  </si>
  <si>
    <t>VES010OP</t>
  </si>
  <si>
    <t>7897669184652</t>
  </si>
  <si>
    <t>VES010OM</t>
  </si>
  <si>
    <t>7892364935318</t>
  </si>
  <si>
    <t>VES010OG</t>
  </si>
  <si>
    <t>2000000000220</t>
  </si>
  <si>
    <t>EAN interno provisório (faixa 200, uso interno) – trocar pelo EAN oficial GS1 quando houver · Fornecedor estimado: principal da categoria (100% em Verão 25)</t>
  </si>
  <si>
    <t>VES010OGG</t>
  </si>
  <si>
    <t>7893422036466</t>
  </si>
  <si>
    <t>VES010MP</t>
  </si>
  <si>
    <t>7895825564102</t>
  </si>
  <si>
    <t>VES010MM</t>
  </si>
  <si>
    <t>7892441463383</t>
  </si>
  <si>
    <t>VES010MG</t>
  </si>
  <si>
    <t>7896209142831</t>
  </si>
  <si>
    <t>VES010MGG</t>
  </si>
  <si>
    <t>7894678518829</t>
  </si>
  <si>
    <t>BER009J36</t>
  </si>
  <si>
    <t>BER-009</t>
  </si>
  <si>
    <t>Short Alfaiataria Clássica</t>
  </si>
  <si>
    <t>7892612583131</t>
  </si>
  <si>
    <t>Fornecedor estimado: padrão "Alfaiataria" (ver Listas)</t>
  </si>
  <si>
    <t>BER009J38</t>
  </si>
  <si>
    <t>7893859615913</t>
  </si>
  <si>
    <t>BER009J40</t>
  </si>
  <si>
    <t>7899992970773</t>
  </si>
  <si>
    <t>BER009J42</t>
  </si>
  <si>
    <t>7899600460047</t>
  </si>
  <si>
    <t>BER009J44</t>
  </si>
  <si>
    <t>7897608453566</t>
  </si>
  <si>
    <t>BER009J46</t>
  </si>
  <si>
    <t>7897932102314</t>
  </si>
  <si>
    <t>TOP015HP</t>
  </si>
  <si>
    <t>TOP-015</t>
  </si>
  <si>
    <t>Cropped Canelado Tricot</t>
  </si>
  <si>
    <t>7892242889382</t>
  </si>
  <si>
    <t>TOP015HM</t>
  </si>
  <si>
    <t>7895281890883</t>
  </si>
  <si>
    <t>TOP015HG</t>
  </si>
  <si>
    <t>7895226311510</t>
  </si>
  <si>
    <t>TOP015HGG</t>
  </si>
  <si>
    <t>7895390119592</t>
  </si>
  <si>
    <t>CMS012VPP</t>
  </si>
  <si>
    <t>CMS-012</t>
  </si>
  <si>
    <t>Camisa Xadrez Ampla</t>
  </si>
  <si>
    <t>7892901848026</t>
  </si>
  <si>
    <t>Custo de referência: último custo de nota do VLT-CMS-012-OLI-G (mesmo modelo/cor) · Fornecedor estimado: padrão "Xadrez" (ver Listas)</t>
  </si>
  <si>
    <t>CMS012VP</t>
  </si>
  <si>
    <t>7892454817203</t>
  </si>
  <si>
    <t>CMS012VM</t>
  </si>
  <si>
    <t>7894100219485</t>
  </si>
  <si>
    <t>CMS012VG</t>
  </si>
  <si>
    <t>7899747504567</t>
  </si>
  <si>
    <t>Fornecedor estimado: padrão "Xadrez" (ver Listas)</t>
  </si>
  <si>
    <t>CMS012VGG</t>
  </si>
  <si>
    <t>7896358126454</t>
  </si>
  <si>
    <t>CMS012YPP</t>
  </si>
  <si>
    <t>7898755357806</t>
  </si>
  <si>
    <t>CMS012YP</t>
  </si>
  <si>
    <t>7890392208596</t>
  </si>
  <si>
    <t>Custo: ver NF · Custo de referência: último custo de nota do VLT-CMS-012-AMA-XP (mesmo modelo/cor) · Fornecedor estimado: padrão "Xadrez" (ver Listas)</t>
  </si>
  <si>
    <t>CMS012YM</t>
  </si>
  <si>
    <t>7894241056840</t>
  </si>
  <si>
    <t>CMS012YG</t>
  </si>
  <si>
    <t>7896513500457</t>
  </si>
  <si>
    <t>Custo: ver NF · Custo de referência: último custo de nota do VLT-CMS-012-AMA-M (mesmo modelo/cor) · Fornecedor estimado: padrão "Xadrez" (ver Listas)</t>
  </si>
  <si>
    <t>CMS012YGG</t>
  </si>
  <si>
    <t>7896549798163</t>
  </si>
  <si>
    <t>CAL024A38</t>
  </si>
  <si>
    <t>CAL-024</t>
  </si>
  <si>
    <t>Calça Jogger Pregas</t>
  </si>
  <si>
    <t>7897143827754</t>
  </si>
  <si>
    <t>CAL024A40</t>
  </si>
  <si>
    <t>7898612702756</t>
  </si>
  <si>
    <t>CAL024A42</t>
  </si>
  <si>
    <t>7898578787798</t>
  </si>
  <si>
    <t>CAL024A44</t>
  </si>
  <si>
    <t>7896617132479</t>
  </si>
  <si>
    <t>TRI012CP</t>
  </si>
  <si>
    <t>TRI-012</t>
  </si>
  <si>
    <t>Cardigan Listrado</t>
  </si>
  <si>
    <t>7896211804727</t>
  </si>
  <si>
    <t>Custo de referência: último custo de nota do VLT-TRI-012-CIN-GG (mesmo modelo/cor) · Fornecedor estimado: padrão "Cardigan" (ver Listas)</t>
  </si>
  <si>
    <t>TRI012CM</t>
  </si>
  <si>
    <t>7894023241402</t>
  </si>
  <si>
    <t>Custo: ver NF · Custo de referência: último custo de nota do VLT-TRI-012-CIN-GG (mesmo modelo/cor) · Fornecedor estimado: padrão "Cardigan" (ver Listas)</t>
  </si>
  <si>
    <t>TRI012CG</t>
  </si>
  <si>
    <t>7890245184077</t>
  </si>
  <si>
    <t>TRI012CGG</t>
  </si>
  <si>
    <t>7899951478326</t>
  </si>
  <si>
    <t>Fornecedor estimado: padrão "Cardigan" (ver Listas)</t>
  </si>
  <si>
    <t>CMS013BP</t>
  </si>
  <si>
    <t>CMS-013</t>
  </si>
  <si>
    <t>Camisa Xadrez Bolso</t>
  </si>
  <si>
    <t>2000000000237</t>
  </si>
  <si>
    <t>EAN interno provisório (faixa 200, uso interno) – trocar pelo EAN oficial GS1 quando houver · Fornecedor estimado: padrão "Xadrez" (ver Listas)</t>
  </si>
  <si>
    <t>CMS013BM</t>
  </si>
  <si>
    <t>7898506990313</t>
  </si>
  <si>
    <t>CMS013BG</t>
  </si>
  <si>
    <t>7894124646854</t>
  </si>
  <si>
    <t>TOP001YPP</t>
  </si>
  <si>
    <t>TOP-001</t>
  </si>
  <si>
    <t>Cropped Amarração Floral</t>
  </si>
  <si>
    <t>7898691201959</t>
  </si>
  <si>
    <t>TOP001YP</t>
  </si>
  <si>
    <t>7898131403769</t>
  </si>
  <si>
    <t>TOP001YM</t>
  </si>
  <si>
    <t>7893314423756</t>
  </si>
  <si>
    <t>TOP001YG</t>
  </si>
  <si>
    <t>7893102010595</t>
  </si>
  <si>
    <t>Custo: ver NF · Custo de referência: último custo de nota do VLT-TOP-001-AMA-M (mesmo modelo/cor) · Fornecedor estimado: principal da categoria (72% em Verão 25)</t>
  </si>
  <si>
    <t>TOP001YGG</t>
  </si>
  <si>
    <t>7893253134881</t>
  </si>
  <si>
    <t>Custo de referência: último custo de nota do VLT-TOP-001-AMA-M (mesmo modelo/cor) · Fornecedor estimado: principal da categoria (72% em Verão 25)</t>
  </si>
  <si>
    <t>JAQ002MP</t>
  </si>
  <si>
    <t>JAQ-002</t>
  </si>
  <si>
    <t>Jaqueta Puffer Matelassê</t>
  </si>
  <si>
    <t>7893820621820</t>
  </si>
  <si>
    <t>Fornecedor estimado: padrão "Puffer" (ver Listas)</t>
  </si>
  <si>
    <t>JAQ002MM</t>
  </si>
  <si>
    <t>7899233000000</t>
  </si>
  <si>
    <t>JAQ002MG</t>
  </si>
  <si>
    <t>7896023178719</t>
  </si>
  <si>
    <t>JAQ002MGG</t>
  </si>
  <si>
    <t>7897273104602</t>
  </si>
  <si>
    <t>CAM019VP</t>
  </si>
  <si>
    <t>CAM-019</t>
  </si>
  <si>
    <t>Camiseta Básica Vintage</t>
  </si>
  <si>
    <t>7892696338795</t>
  </si>
  <si>
    <t>CAM019VM</t>
  </si>
  <si>
    <t>7893954377341</t>
  </si>
  <si>
    <t>CAM019VG</t>
  </si>
  <si>
    <t>7891940398172</t>
  </si>
  <si>
    <t>CAM019VGG</t>
  </si>
  <si>
    <t>7895800160923</t>
  </si>
  <si>
    <t>JAQ007OPP</t>
  </si>
  <si>
    <t>JAQ-007</t>
  </si>
  <si>
    <t>Corta-Vento Utilitária</t>
  </si>
  <si>
    <t>7895951799959</t>
  </si>
  <si>
    <t>Fornecedor estimado: padrão "Utilitária" (ver Listas)</t>
  </si>
  <si>
    <t>JAQ007OP</t>
  </si>
  <si>
    <t>7895719205999</t>
  </si>
  <si>
    <t>JAQ007OM</t>
  </si>
  <si>
    <t>7891407794189</t>
  </si>
  <si>
    <t>Custo: ver NF · Custo de referência: último custo de nota do VLT-JAQ-007-OFF-P (mesmo modelo/cor) · Fornecedor estimado: padrão "Utilitária" (ver Listas)</t>
  </si>
  <si>
    <t>JAQ007OG</t>
  </si>
  <si>
    <t>7898925100935</t>
  </si>
  <si>
    <t>JAQ007OGG</t>
  </si>
  <si>
    <t>7895025035372</t>
  </si>
  <si>
    <t>MOL013MP</t>
  </si>
  <si>
    <t>MOL-013</t>
  </si>
  <si>
    <t>Moletom Careca Fleece</t>
  </si>
  <si>
    <t>7896903105187</t>
  </si>
  <si>
    <t>Fornecedor estimado: principal da categoria (60% em Verão 25)</t>
  </si>
  <si>
    <t>MOL013MM</t>
  </si>
  <si>
    <t>7897941517550</t>
  </si>
  <si>
    <t>MOL013MG</t>
  </si>
  <si>
    <t>7899355101325</t>
  </si>
  <si>
    <t>MOL013MGG</t>
  </si>
  <si>
    <t>7898664253091</t>
  </si>
  <si>
    <t>CMS014YPP</t>
  </si>
  <si>
    <t>CMS-014</t>
  </si>
  <si>
    <t>Camisa Oxford Clássica</t>
  </si>
  <si>
    <t>7891500553546</t>
  </si>
  <si>
    <t>Fornecedor estimado: padrão "Oxford" (ver Listas)</t>
  </si>
  <si>
    <t>CMS014YP</t>
  </si>
  <si>
    <t>7896793851317</t>
  </si>
  <si>
    <t>CMS014YM</t>
  </si>
  <si>
    <t>7897853151705</t>
  </si>
  <si>
    <t>CMS014YG</t>
  </si>
  <si>
    <t>7891259438002</t>
  </si>
  <si>
    <t>CMS014YGG</t>
  </si>
  <si>
    <t>7895839866681</t>
  </si>
  <si>
    <t>VES011OP</t>
  </si>
  <si>
    <t>VES-011</t>
  </si>
  <si>
    <t>Vestido Chemise Canelado</t>
  </si>
  <si>
    <t>7899541307890</t>
  </si>
  <si>
    <t>Preço reajustado de R$ 329,90 para R$ 339,90 (margem mínima 50%, aprovado em 15/10/2026) · Fornecedor estimado: principal da categoria (100% em Verão 25)</t>
  </si>
  <si>
    <t>VES011OM</t>
  </si>
  <si>
    <t>7899006676578</t>
  </si>
  <si>
    <t>VES011OG</t>
  </si>
  <si>
    <t>7898359707014</t>
  </si>
  <si>
    <t>SAI010CP</t>
  </si>
  <si>
    <t>SAI-010</t>
  </si>
  <si>
    <t>Minissaia Utilitária</t>
  </si>
  <si>
    <t>7897788344661</t>
  </si>
  <si>
    <t>SAI010CM</t>
  </si>
  <si>
    <t>7899273519066</t>
  </si>
  <si>
    <t>SAI010CG</t>
  </si>
  <si>
    <t>7892286277473</t>
  </si>
  <si>
    <t>SAI010CGG</t>
  </si>
  <si>
    <t>7895001286958</t>
  </si>
  <si>
    <t>CAM020YP</t>
  </si>
  <si>
    <t>CAM-020</t>
  </si>
  <si>
    <t>Camiseta Estampada Vintage</t>
  </si>
  <si>
    <t>7896326448595</t>
  </si>
  <si>
    <t>CAM020YM</t>
  </si>
  <si>
    <t>7896000535832</t>
  </si>
  <si>
    <t>CAM020YG</t>
  </si>
  <si>
    <t>7896193896833</t>
  </si>
  <si>
    <t>CAM020YGG</t>
  </si>
  <si>
    <t>7899097649437</t>
  </si>
  <si>
    <t>CAM020LP</t>
  </si>
  <si>
    <t>7895536137749</t>
  </si>
  <si>
    <t>CAM020LM</t>
  </si>
  <si>
    <t>7892356069762</t>
  </si>
  <si>
    <t>CAM020LG</t>
  </si>
  <si>
    <t>7894366518018</t>
  </si>
  <si>
    <t>CAM020LGG</t>
  </si>
  <si>
    <t>7897762990907</t>
  </si>
  <si>
    <t>BER010L38</t>
  </si>
  <si>
    <t>BER-010</t>
  </si>
  <si>
    <t>Bermuda Moletom Utilitária</t>
  </si>
  <si>
    <t>7890540342158</t>
  </si>
  <si>
    <t>BER010L40</t>
  </si>
  <si>
    <t>7895847653150</t>
  </si>
  <si>
    <t>BER010L42</t>
  </si>
  <si>
    <t>7892120777398</t>
  </si>
  <si>
    <t>BER010L44</t>
  </si>
  <si>
    <t>7891388653970</t>
  </si>
  <si>
    <t>ACE011BU</t>
  </si>
  <si>
    <t>ACE-011</t>
  </si>
  <si>
    <t>Pochete Nylon</t>
  </si>
  <si>
    <t>7895926446000</t>
  </si>
  <si>
    <t>Preço reajustado de R$ 109,90 para R$ 119,90 (margem mínima 50%, aprovado em 15/10/2026) · Fornecedor estimado: principal da categoria (100% em Verão 25)</t>
  </si>
  <si>
    <t>CAL025E36</t>
  </si>
  <si>
    <t>CAL-025</t>
  </si>
  <si>
    <t>Calça Jogger Sarja</t>
  </si>
  <si>
    <t>7897594009082</t>
  </si>
  <si>
    <t>CAL025E38</t>
  </si>
  <si>
    <t>7895493135901</t>
  </si>
  <si>
    <t>CAL025E40</t>
  </si>
  <si>
    <t>7897338305258</t>
  </si>
  <si>
    <t>CAL025E42</t>
  </si>
  <si>
    <t>7892304724019</t>
  </si>
  <si>
    <t>CAL025E44</t>
  </si>
  <si>
    <t>7899241231617</t>
  </si>
  <si>
    <t>SAI011CP</t>
  </si>
  <si>
    <t>SAI-011</t>
  </si>
  <si>
    <t>Saia Cargo Fenda</t>
  </si>
  <si>
    <t>7898430363214</t>
  </si>
  <si>
    <t>SAI011CM</t>
  </si>
  <si>
    <t>7895504728658</t>
  </si>
  <si>
    <t>SAI011CG</t>
  </si>
  <si>
    <t>7893598653290</t>
  </si>
  <si>
    <t>SAI011CGG</t>
  </si>
  <si>
    <t>7898945300971</t>
  </si>
  <si>
    <t>CAL004C36</t>
  </si>
  <si>
    <t>CAL-004</t>
  </si>
  <si>
    <t>Calça Jogger Destroyed</t>
  </si>
  <si>
    <t>7890234136537</t>
  </si>
  <si>
    <t>CAL004C38</t>
  </si>
  <si>
    <t>7895166764988</t>
  </si>
  <si>
    <t>CAL004C40</t>
  </si>
  <si>
    <t>7894227479489</t>
  </si>
  <si>
    <t>CAL004C42</t>
  </si>
  <si>
    <t>7892323516329</t>
  </si>
  <si>
    <t>CAL004C44</t>
  </si>
  <si>
    <t>7894998521615</t>
  </si>
  <si>
    <t>CAL004C46</t>
  </si>
  <si>
    <t>7890306814691</t>
  </si>
  <si>
    <t>CAL004G36</t>
  </si>
  <si>
    <t>7894903281368</t>
  </si>
  <si>
    <t>CAL004G38</t>
  </si>
  <si>
    <t>7894628165028</t>
  </si>
  <si>
    <t>Custo de referência: último custo de nota do VLT-CAL-004-BEG-XP (mesmo modelo/cor) · Fornecedor estimado: principal da categoria (100% em Verão 25)</t>
  </si>
  <si>
    <t>CAL004G40</t>
  </si>
  <si>
    <t>7895587804591</t>
  </si>
  <si>
    <t>CAL004G42</t>
  </si>
  <si>
    <t>7897709877957</t>
  </si>
  <si>
    <t>CAL004G44</t>
  </si>
  <si>
    <t>7894475017723</t>
  </si>
  <si>
    <t>CAL004G46</t>
  </si>
  <si>
    <t>7894691703462</t>
  </si>
  <si>
    <t>CAL005P36</t>
  </si>
  <si>
    <t>CAL-005</t>
  </si>
  <si>
    <t>Calça Jogger Ripstop</t>
  </si>
  <si>
    <t>7893382069832</t>
  </si>
  <si>
    <t>CAL005P38</t>
  </si>
  <si>
    <t>7892648660479</t>
  </si>
  <si>
    <t>Custo de referência: último custo de nota do VLT-CAL-005-PRE-XP (mesmo modelo/cor) · Fornecedor estimado: principal da categoria (100% em Verão 25)</t>
  </si>
  <si>
    <t>CAL005P40</t>
  </si>
  <si>
    <t>7892512915216</t>
  </si>
  <si>
    <t>CAL005P42</t>
  </si>
  <si>
    <t>7895262858192</t>
  </si>
  <si>
    <t>CAL005P44</t>
  </si>
  <si>
    <t>7899675032736</t>
  </si>
  <si>
    <t>Custo de referência: último custo de nota do VLT-CAL-005-PRE-G (mesmo modelo/cor) · Fornecedor estimado: principal da categoria (100% em Verão 25)</t>
  </si>
  <si>
    <t>BER003B36</t>
  </si>
  <si>
    <t>BER-003</t>
  </si>
  <si>
    <t>7893799285887</t>
  </si>
  <si>
    <t>Fornecedor estimado: padrão "Cargo" (ver Listas)</t>
  </si>
  <si>
    <t>BER003B38</t>
  </si>
  <si>
    <t>7892554477277</t>
  </si>
  <si>
    <t>BER003B40</t>
  </si>
  <si>
    <t>7898471795678</t>
  </si>
  <si>
    <t>BER003B42</t>
  </si>
  <si>
    <t>7894923360555</t>
  </si>
  <si>
    <t>BER003B44</t>
  </si>
  <si>
    <t>7899483661913</t>
  </si>
  <si>
    <t>BER003B46</t>
  </si>
  <si>
    <t>7894336313858</t>
  </si>
  <si>
    <t>ACE005OU</t>
  </si>
  <si>
    <t>ACE-005</t>
  </si>
  <si>
    <t>Cinto Básico</t>
  </si>
  <si>
    <t>7895255657313</t>
  </si>
  <si>
    <t>ACE005GU</t>
  </si>
  <si>
    <t>7894286954484</t>
  </si>
  <si>
    <t>Custo de referência: último custo de nota do VLT-ACE-005-OFF-U (mesmo modelo) · Fornecedor estimado: principal da categoria (100% em Verão 25)</t>
  </si>
  <si>
    <t>CAL007A38</t>
  </si>
  <si>
    <t>CAL-007</t>
  </si>
  <si>
    <t>Calça Cargo Pregas</t>
  </si>
  <si>
    <t>7895680874347</t>
  </si>
  <si>
    <t>CAL007A40</t>
  </si>
  <si>
    <t>7893252811578</t>
  </si>
  <si>
    <t>CAL007A42</t>
  </si>
  <si>
    <t>7898842709990</t>
  </si>
  <si>
    <t>Custo de referência: último custo de nota do VLT-CAL-007-AZM-M (mesmo modelo/cor) · Fornecedor estimado: principal da categoria (100% em Verão 25)</t>
  </si>
  <si>
    <t>CAL007A44</t>
  </si>
  <si>
    <t>7898459156286</t>
  </si>
  <si>
    <t>MOL004BP</t>
  </si>
  <si>
    <t>MOL-004</t>
  </si>
  <si>
    <t>Hoodie Oversized Bordado</t>
  </si>
  <si>
    <t>7896203731215</t>
  </si>
  <si>
    <t>MOL004BM</t>
  </si>
  <si>
    <t>7892434169780</t>
  </si>
  <si>
    <t>MOL004BG</t>
  </si>
  <si>
    <t>7898347055592</t>
  </si>
  <si>
    <t>MOL004BGG</t>
  </si>
  <si>
    <t>7891115574387</t>
  </si>
  <si>
    <t>MOL005OPP</t>
  </si>
  <si>
    <t>MOL-005</t>
  </si>
  <si>
    <t>Moletom Canguru Bordado</t>
  </si>
  <si>
    <t>7892781372949</t>
  </si>
  <si>
    <t>Custo de referência: último custo de nota do VLT-MOL-005-OFF-P (mesmo modelo/cor) · Fornecedor estimado: principal da categoria (60% em Verão 25)</t>
  </si>
  <si>
    <t>MOL005OP</t>
  </si>
  <si>
    <t>7893417036235</t>
  </si>
  <si>
    <t>MOL005OM</t>
  </si>
  <si>
    <t>7891424094156</t>
  </si>
  <si>
    <t>MOL005OG</t>
  </si>
  <si>
    <t>7890865242096</t>
  </si>
  <si>
    <t>MOL005OGG</t>
  </si>
  <si>
    <t>7899087809704</t>
  </si>
  <si>
    <t>CAL009O36</t>
  </si>
  <si>
    <t>CAL-009</t>
  </si>
  <si>
    <t>Calça Wide Leg Clara</t>
  </si>
  <si>
    <t>7897038524577</t>
  </si>
  <si>
    <t>CAL009O38</t>
  </si>
  <si>
    <t>7890484599472</t>
  </si>
  <si>
    <t>Custo de referência: último custo de nota do VLT-CAL-009-OFF-XP (mesmo modelo/cor) · Fornecedor estimado: principal da categoria (100% em Verão 25)</t>
  </si>
  <si>
    <t>CAL009O40</t>
  </si>
  <si>
    <t>7892915958469</t>
  </si>
  <si>
    <t>Custo de referência: último custo de nota do VLT-CAL-009-OFF-G (mesmo modelo/cor) · Fornecedor estimado: principal da categoria (100% em Verão 25)</t>
  </si>
  <si>
    <t>CAL009O42</t>
  </si>
  <si>
    <t>7896644842006</t>
  </si>
  <si>
    <t>CAL009O44</t>
  </si>
  <si>
    <t>7897963064759</t>
  </si>
  <si>
    <t>Fornecedor copiado do mesmo modelo</t>
  </si>
  <si>
    <t>Custo de referência: último custo de nota do VLT-BER-004-JES-P (mesmo modelo/cor) · Fornecedor copiado do mesmo modelo</t>
  </si>
  <si>
    <t>Custo de referência: último custo de nota do VLT-BER-004-JES-G (mesmo modelo/cor) · Fornecedor copiado do mesmo modelo</t>
  </si>
  <si>
    <t>Custo de referência: último custo de nota do VLT-SAI-003-OFF-M (mesmo modelo/cor) · Fornecedor copiado do mesmo modelo</t>
  </si>
  <si>
    <t>Custo: ver NF · Custo de referência: último custo de nota do VLT-SAI-004-MRR-M (mesmo modelo/cor) · Fornecedor copiado do mesmo modelo</t>
  </si>
  <si>
    <t>Custo de referência: último custo de nota do VLT-TOP-008-BEG-M (mesmo modelo/cor) · Fornecedor copiado do mesmo modelo</t>
  </si>
  <si>
    <t>INVERNO 2026 (provisório – Marina)</t>
  </si>
  <si>
    <t>Coleção provisória; estava no fim da aba Verão 26 e ganhou aba própria.</t>
  </si>
  <si>
    <t>MOL014VP</t>
  </si>
  <si>
    <t>MOL-014</t>
  </si>
  <si>
    <t>Moletom Canguru Fleece</t>
  </si>
  <si>
    <t>7899129250761</t>
  </si>
  <si>
    <t>Preço reajustado de R$ 349,90 para R$ 359,90 (margem mínima 50%, aprovado em 15/10/2026) · Fornecedor estimado: principal da categoria (60% em Verão 25)</t>
  </si>
  <si>
    <t>MOL014VM</t>
  </si>
  <si>
    <t>7891525316959</t>
  </si>
  <si>
    <t>MOL014VG</t>
  </si>
  <si>
    <t>7891814633705</t>
  </si>
  <si>
    <t>MOL014VGG</t>
  </si>
  <si>
    <t>7893155848527</t>
  </si>
  <si>
    <t>MOL014YP</t>
  </si>
  <si>
    <t>7892643469794</t>
  </si>
  <si>
    <t>MOL014YM</t>
  </si>
  <si>
    <t>2000000000244</t>
  </si>
  <si>
    <t>Custo de referência: último custo de nota do VLT-MOL-014-AMA-P (mesmo modelo/cor) · EAN interno provisório (faixa 200, uso interno) – trocar pelo EAN oficial GS1 quando houver · Preço reajustado de R$ 349,90 para R$ 359,90 (margem mínima 50%, aprovado em 15/10/2026) · Fornecedor estimado: principal da categoria (60% em Verão 25)</t>
  </si>
  <si>
    <t>MOL014YG</t>
  </si>
  <si>
    <t>7891343256413</t>
  </si>
  <si>
    <t>Custo de referência: último custo de nota do VLT-MOL-014-AMA-P (mesmo modelo/cor) · Preço reajustado de R$ 349,90 para R$ 359,90 (margem mínima 50%, aprovado em 15/10/2026) · Fornecedor estimado: principal da categoria (60% em Verão 25)</t>
  </si>
  <si>
    <t>MOL014YGG</t>
  </si>
  <si>
    <t>7891463166500</t>
  </si>
  <si>
    <t>MOL015AP</t>
  </si>
  <si>
    <t>MOL-015</t>
  </si>
  <si>
    <t>Moletom Zíper Fleece</t>
  </si>
  <si>
    <t>7895898146137</t>
  </si>
  <si>
    <t>MOL015AM</t>
  </si>
  <si>
    <t>7898540453133</t>
  </si>
  <si>
    <t>MOL015AG</t>
  </si>
  <si>
    <t>7893524619345</t>
  </si>
  <si>
    <t>MOL015AGG</t>
  </si>
  <si>
    <t>7891355641986</t>
  </si>
  <si>
    <t>Custo de referência: último custo de nota do VLT-MOL-015-AZM-G (mesmo modelo/cor) · Fornecedor estimado: principal da categoria (60% em Verão 25)</t>
  </si>
  <si>
    <t>JAQ001VP</t>
  </si>
  <si>
    <t>JAQ-001</t>
  </si>
  <si>
    <t>Bomber Matelassê</t>
  </si>
  <si>
    <t>7893250683443</t>
  </si>
  <si>
    <t>Fornecedor estimado: padrão "Bomber" (ver Listas)</t>
  </si>
  <si>
    <t>JAQ001VM</t>
  </si>
  <si>
    <t>7893325050156</t>
  </si>
  <si>
    <t>JAQ001VG</t>
  </si>
  <si>
    <t>7898505267447</t>
  </si>
  <si>
    <t>JAQ001VGG</t>
  </si>
  <si>
    <t>7896484664608</t>
  </si>
  <si>
    <t>JAQ001BP</t>
  </si>
  <si>
    <t>7891208086766</t>
  </si>
  <si>
    <t>Custo de referência: último custo de nota do VLT-JAQ-001-BRA-M (mesmo modelo/cor) · Fornecedor estimado: padrão "Bomber" (ver Listas)</t>
  </si>
  <si>
    <t>JAQ001BM</t>
  </si>
  <si>
    <t>7891725170825</t>
  </si>
  <si>
    <t>JAQ001BG</t>
  </si>
  <si>
    <t>7890453571591</t>
  </si>
  <si>
    <t>Preço e custo estavam trocados (corrigido em Wed Oct 14 2026) · Fornecedor estimado: padrão "Bomber" (ver Listas)</t>
  </si>
  <si>
    <t>JAQ001BGG</t>
  </si>
  <si>
    <t>7890712952307</t>
  </si>
  <si>
    <t>MOL002BP</t>
  </si>
  <si>
    <t>MOL-002</t>
  </si>
  <si>
    <t>Moletom Careca Básico</t>
  </si>
  <si>
    <t>7898421158928</t>
  </si>
  <si>
    <t>MOL002BM</t>
  </si>
  <si>
    <t>7893967607893</t>
  </si>
  <si>
    <t>MOL002BG</t>
  </si>
  <si>
    <t>7893495979752</t>
  </si>
  <si>
    <t>MOL002BGG</t>
  </si>
  <si>
    <t>7894563441072</t>
  </si>
  <si>
    <t>TRI013MPP</t>
  </si>
  <si>
    <t>TRI-013</t>
  </si>
  <si>
    <t>Suéter Tricô Trançado</t>
  </si>
  <si>
    <t>7898391492732</t>
  </si>
  <si>
    <t>TRI013MP</t>
  </si>
  <si>
    <t>7897780561172</t>
  </si>
  <si>
    <t>TRI013MM</t>
  </si>
  <si>
    <t>7891341244634</t>
  </si>
  <si>
    <t>TRI013MG</t>
  </si>
  <si>
    <t>7899188931502</t>
  </si>
  <si>
    <t>Custo de referência: último custo de nota do VLT-TRI-013-MRR-M (mesmo modelo/cor) · Fornecedor estimado: padrão "Suéter" (ver Listas)</t>
  </si>
  <si>
    <t>TRI013MGG</t>
  </si>
  <si>
    <t>7894352626963</t>
  </si>
  <si>
    <t>BER011G38</t>
  </si>
  <si>
    <t>BER-011</t>
  </si>
  <si>
    <t>Bermuda Cargo Utilitária</t>
  </si>
  <si>
    <t>7890398849427</t>
  </si>
  <si>
    <t>BER011G40</t>
  </si>
  <si>
    <t>7890308580143</t>
  </si>
  <si>
    <t>Custo de referência: último custo de nota do VLT-BER-011-BEG-P (mesmo modelo/cor) · Fornecedor estimado: padrão "Cargo" (ver Listas)</t>
  </si>
  <si>
    <t>BER011G42</t>
  </si>
  <si>
    <t>7890429186828</t>
  </si>
  <si>
    <t>BER011G44</t>
  </si>
  <si>
    <t>7893928279039</t>
  </si>
  <si>
    <t>JAQ009YP</t>
  </si>
  <si>
    <t>JAQ-009</t>
  </si>
  <si>
    <t>Bomber Vintage</t>
  </si>
  <si>
    <t>7891212396684</t>
  </si>
  <si>
    <t>JAQ009YM</t>
  </si>
  <si>
    <t>7899289570792</t>
  </si>
  <si>
    <t>JAQ009YG</t>
  </si>
  <si>
    <t>7894209241882</t>
  </si>
  <si>
    <t>JAQ009YGG</t>
  </si>
  <si>
    <t>7893358399284</t>
  </si>
  <si>
    <t>JAQ010HPP</t>
  </si>
  <si>
    <t>JAQ-010</t>
  </si>
  <si>
    <t>Corta-Vento Clássica</t>
  </si>
  <si>
    <t>7897499105797</t>
  </si>
  <si>
    <t>Fornecedor estimado: padrão "Corta-Vento" (ver Listas)</t>
  </si>
  <si>
    <t>JAQ010HP</t>
  </si>
  <si>
    <t>2000000000251</t>
  </si>
  <si>
    <t>EAN interno provisório (faixa 200, uso interno) – trocar pelo EAN oficial GS1 quando houver · Fornecedor estimado: padrão "Corta-Vento" (ver Listas)</t>
  </si>
  <si>
    <t>JAQ010HM</t>
  </si>
  <si>
    <t>2000000000268</t>
  </si>
  <si>
    <t>JAQ010HG</t>
  </si>
  <si>
    <t>2000000000275</t>
  </si>
  <si>
    <t>Custo: ver NF · Custo de referência: último custo de nota do VLT-JAQ-010-VIN-M (mesmo modelo/cor) · EAN interno provisório (faixa 200, uso interno) – trocar pelo EAN oficial GS1 quando houver · Fornecedor estimado: padrão "Corta-Vento" (ver Listas)</t>
  </si>
  <si>
    <t>JAQ010HGG</t>
  </si>
  <si>
    <t>7890376020565</t>
  </si>
  <si>
    <t>Custo de referência: último custo de nota do VLT-JAQ-010-VIN-M (mesmo modelo/cor) · Fornecedor estimado: padrão "Corta-Vento" (ver Listas)</t>
  </si>
  <si>
    <t>JAQ010VPP</t>
  </si>
  <si>
    <t>7896365590507</t>
  </si>
  <si>
    <t>JAQ010VP</t>
  </si>
  <si>
    <t>7890872709728</t>
  </si>
  <si>
    <t>JAQ010VM</t>
  </si>
  <si>
    <t>7899793662013</t>
  </si>
  <si>
    <t>Custo: ver NF · Custo de referência: último custo de nota do VLT-JAQ-010-OLI-P (mesmo modelo/cor) · Fornecedor estimado: padrão "Corta-Vento" (ver Listas)</t>
  </si>
  <si>
    <t>JAQ010VG</t>
  </si>
  <si>
    <t>7898323353049</t>
  </si>
  <si>
    <t>JAQ010VGG</t>
  </si>
  <si>
    <t>7898011678881</t>
  </si>
  <si>
    <t>TRI001MP</t>
  </si>
  <si>
    <t>TRI-001</t>
  </si>
  <si>
    <t>Cardigan Trançado</t>
  </si>
  <si>
    <t>7892395469059</t>
  </si>
  <si>
    <t>Custo: ver NF · Custo de referência: último custo de nota do VLT-TRI-001-MRR-M (mesmo modelo/cor) · Fornecedor estimado: padrão "Cardigan" (ver Listas)</t>
  </si>
  <si>
    <t>TRI001MM</t>
  </si>
  <si>
    <t>7892654208023</t>
  </si>
  <si>
    <t>TRI001MG</t>
  </si>
  <si>
    <t>7896830776283</t>
  </si>
  <si>
    <t>TRI001MGG</t>
  </si>
  <si>
    <t>7897685577308</t>
  </si>
  <si>
    <t>SAI012GP</t>
  </si>
  <si>
    <t>SAI-012</t>
  </si>
  <si>
    <t>Saia Cargo Evasê</t>
  </si>
  <si>
    <t>7897302566487</t>
  </si>
  <si>
    <t>Preço reajustado de R$ 219,90 para R$ 239,90 (margem mínima 50%, aprovado em 15/10/2026) · Fornecedor estimado: principal da categoria (100% em Verão 25)</t>
  </si>
  <si>
    <t>SAI012GM</t>
  </si>
  <si>
    <t>7897824527980</t>
  </si>
  <si>
    <t>SAI012GG</t>
  </si>
  <si>
    <t>7898432776470</t>
  </si>
  <si>
    <t>SAI012GGG</t>
  </si>
  <si>
    <t>7894070228104</t>
  </si>
  <si>
    <t>MOL017LP</t>
  </si>
  <si>
    <t>MOL-017</t>
  </si>
  <si>
    <t>Hoodie Oversized Fleece</t>
  </si>
  <si>
    <t>7893478116945</t>
  </si>
  <si>
    <t>MOL017LM</t>
  </si>
  <si>
    <t>7898830707120</t>
  </si>
  <si>
    <t>Custo: ver NF · Custo de referência: último custo de nota do VLT-MOL-017-LIL-P (mesmo modelo/cor) · Fornecedor estimado: principal da categoria (60% em Verão 25)</t>
  </si>
  <si>
    <t>MOL017LG</t>
  </si>
  <si>
    <t>7892562370089</t>
  </si>
  <si>
    <t>MOL017LGG</t>
  </si>
  <si>
    <t>7896242373018</t>
  </si>
  <si>
    <t>Custo: ver NF · Custo de referência: último custo de nota do VLT-MOL-017-LIL-G (mesmo modelo/cor) · Fornecedor estimado: principal da categoria (60% em Verão 25)</t>
  </si>
  <si>
    <t>ACE012AU</t>
  </si>
  <si>
    <t>ACE-012</t>
  </si>
  <si>
    <t>Boné Logo</t>
  </si>
  <si>
    <t>2000000000282</t>
  </si>
  <si>
    <t>Custo estimado: % médio de custo da categoria Acessórios nesta aba × preço · EAN interno provisório (faixa 200, uso interno) – trocar pelo EAN oficial GS1 quando houver · Fornecedor estimado: principal da categoria (100% em Verão 25)</t>
  </si>
  <si>
    <t>MOL018BP</t>
  </si>
  <si>
    <t>MOL-018</t>
  </si>
  <si>
    <t>Moletom Careca Logo</t>
  </si>
  <si>
    <t>2000000000299</t>
  </si>
  <si>
    <t>EAN interno provisório (faixa 200, uso interno) – trocar pelo EAN oficial GS1 quando houver · Preço reajustado de R$ 199,90 para R$ 209,90 (margem mínima 50%, aprovado em 15/10/2026) · Fornecedor estimado: principal da categoria (60% em Verão 25)</t>
  </si>
  <si>
    <t>MOL018BM</t>
  </si>
  <si>
    <t>7894107523448</t>
  </si>
  <si>
    <t>Preço reajustado de R$ 199,90 para R$ 209,90 (margem mínima 50%, aprovado em 15/10/2026) · Fornecedor estimado: principal da categoria (60% em Verão 25)</t>
  </si>
  <si>
    <t>MOL018BG</t>
  </si>
  <si>
    <t>7892621507449</t>
  </si>
  <si>
    <t>MOL018BGG</t>
  </si>
  <si>
    <t>7891053455298</t>
  </si>
  <si>
    <t>Custo de referência: último custo de nota do VLT-MOL-018-BRA-G (mesmo modelo/cor) · Preço reajustado de R$ 199,90 para R$ 209,90 (margem mínima 50%, aprovado em 15/10/2026) · Fornecedor estimado: principal da categoria (60% em Verão 25)</t>
  </si>
  <si>
    <t>ACE013VU</t>
  </si>
  <si>
    <t>ACE-013</t>
  </si>
  <si>
    <t>Bucket Hat Listrado</t>
  </si>
  <si>
    <t>7893913460466</t>
  </si>
  <si>
    <t>Custo estimado: % médio de custo da categoria Acessórios nesta aba × preço · Fornecedor estimado: principal da categoria (100% em Verão 25)</t>
  </si>
  <si>
    <t>CAL026O36</t>
  </si>
  <si>
    <t>CAL-026</t>
  </si>
  <si>
    <t>Calça Alfaiataria Escura</t>
  </si>
  <si>
    <t>7898830595161</t>
  </si>
  <si>
    <t>CAL026O38</t>
  </si>
  <si>
    <t>7897341571084</t>
  </si>
  <si>
    <t>CAL026O40</t>
  </si>
  <si>
    <t>7891016243139</t>
  </si>
  <si>
    <t>CAL026O42</t>
  </si>
  <si>
    <t>7890387410270</t>
  </si>
  <si>
    <t>CAL026O44</t>
  </si>
  <si>
    <t>7892414671760</t>
  </si>
  <si>
    <t>CAM021AP</t>
  </si>
  <si>
    <t>CAM-021</t>
  </si>
  <si>
    <t>Camiseta Boxy Sunset</t>
  </si>
  <si>
    <t>7892505836436</t>
  </si>
  <si>
    <t>Custo de referência: último custo de nota do VLT-CAM-021-AZM-M (mesmo modelo/cor) · Preço reajustado de R$ 119,90 para R$ 129,90 (margem mínima 50%, aprovado em 15/10/2026) · Fornecedor estimado: principal da categoria (100% em Verão 25)</t>
  </si>
  <si>
    <t>CAM021AM</t>
  </si>
  <si>
    <t>7893742883054</t>
  </si>
  <si>
    <t>Preço reajustado de R$ 119,90 para R$ 129,90 (margem mínima 50%, aprovado em 15/10/2026) · Fornecedor estimado: principal da categoria (100% em Verão 25)</t>
  </si>
  <si>
    <t>CAM021AG</t>
  </si>
  <si>
    <t>7892418515312</t>
  </si>
  <si>
    <t>CAM021AGG</t>
  </si>
  <si>
    <t>7898305157603</t>
  </si>
  <si>
    <t>CAM022MP</t>
  </si>
  <si>
    <t>CAM-022</t>
  </si>
  <si>
    <t>Camiseta Estampada Neon</t>
  </si>
  <si>
    <t>7897944057596</t>
  </si>
  <si>
    <t>Custo: ver NF · Custo de referência: último custo de nota do VLT-CAM-022-MRR-M (mesmo modelo/cor) · Preço reajustado de R$ 99,90 para R$ 109,90 (margem mínima 50%, aprovado em 15/10/2026) · Fornecedor estimado: principal da categoria (100% em Verão 25)</t>
  </si>
  <si>
    <t>CAM022MM</t>
  </si>
  <si>
    <t>7892809324707</t>
  </si>
  <si>
    <t>Preço reajustado de R$ 99,90 para R$ 109,90 (margem mínima 50%, aprovado em 15/10/2026) · Fornecedor estimado: principal da categoria (100% em Verão 25)</t>
  </si>
  <si>
    <t>CAM022MG</t>
  </si>
  <si>
    <t>7894253349152</t>
  </si>
  <si>
    <t>CAM022MGG</t>
  </si>
  <si>
    <t>7891547863370</t>
  </si>
  <si>
    <t>CMS015LP</t>
  </si>
  <si>
    <t>CMS-015</t>
  </si>
  <si>
    <t>Camisa Xadrez Listrada</t>
  </si>
  <si>
    <t>7896824586379</t>
  </si>
  <si>
    <t>CMS015LM</t>
  </si>
  <si>
    <t>7890487549597</t>
  </si>
  <si>
    <t>CMS015LG</t>
  </si>
  <si>
    <t>7890611462167</t>
  </si>
  <si>
    <t>Custo: ver NF · Custo de referência: último custo de nota do VLT-CMS-015-LIL-M (mesmo modelo/cor) · Fornecedor estimado: padrão "Xadrez" (ver Listas)</t>
  </si>
  <si>
    <t>CMS015OP</t>
  </si>
  <si>
    <t>7893077515057</t>
  </si>
  <si>
    <t>CMS015OM</t>
  </si>
  <si>
    <t>7890666730235</t>
  </si>
  <si>
    <t>CMS015OG</t>
  </si>
  <si>
    <t>7895695549971</t>
  </si>
  <si>
    <t>Custo de referência: último custo de nota do VLT-CMS-015-OFF-M (mesmo modelo/cor) · Fornecedor estimado: padrão "Xadrez" (ver Listas)</t>
  </si>
  <si>
    <t>CAM023YP</t>
  </si>
  <si>
    <t>CAM-023</t>
  </si>
  <si>
    <t>Camiseta Boxy Skate</t>
  </si>
  <si>
    <t>7893513428385</t>
  </si>
  <si>
    <t>Preço reajustado de R$ 129,90 para R$ 139,90 (margem mínima 50%, aprovado em 15/10/2026) · Fornecedor estimado: principal da categoria (100% em Verão 25)</t>
  </si>
  <si>
    <t>CAM023YM</t>
  </si>
  <si>
    <t>7899504609719</t>
  </si>
  <si>
    <t>CAM023YG</t>
  </si>
  <si>
    <t>7890156057866</t>
  </si>
  <si>
    <t>CAM023YGG</t>
  </si>
  <si>
    <t>7892541849889</t>
  </si>
  <si>
    <t>CAL027P36</t>
  </si>
  <si>
    <t>CAL-027</t>
  </si>
  <si>
    <t>Calça Wide Leg Ripstop</t>
  </si>
  <si>
    <t>7893064498615</t>
  </si>
  <si>
    <t>CAL027P38</t>
  </si>
  <si>
    <t>7899785129487</t>
  </si>
  <si>
    <t>CAL027P40</t>
  </si>
  <si>
    <t>7894587251275</t>
  </si>
  <si>
    <t>Custo de referência: último custo de nota do VLT-CAL-027-PRE-P (mesmo modelo/cor) · Fornecedor estimado: principal da categoria (100% em Verão 25)</t>
  </si>
  <si>
    <t>CAL027P42</t>
  </si>
  <si>
    <t>7895066303751</t>
  </si>
  <si>
    <t>CAL027P44</t>
  </si>
  <si>
    <t>7897690372868</t>
  </si>
  <si>
    <t>Custo de referência: último custo de nota do VLT-CAL-027-PRE-G (mesmo modelo/cor) · Fornecedor estimado: principal da categoria (100% em Verão 25)</t>
  </si>
  <si>
    <t>MOL019VP</t>
  </si>
  <si>
    <t>MOL-019</t>
  </si>
  <si>
    <t>Moletom Zíper Básico</t>
  </si>
  <si>
    <t>7892401572919</t>
  </si>
  <si>
    <t>Preço reajustado de R$ 349,90 para R$ 369,90 (margem mínima 50%, aprovado em 15/10/2026) · Fornecedor estimado: principal da categoria (60% em Verão 25)</t>
  </si>
  <si>
    <t>MOL019VM</t>
  </si>
  <si>
    <t>7897099386404</t>
  </si>
  <si>
    <t>MOL019VG</t>
  </si>
  <si>
    <t>7890993083646</t>
  </si>
  <si>
    <t>MOL019VGG</t>
  </si>
  <si>
    <t>7896157428506</t>
  </si>
  <si>
    <t>CAM024LP</t>
  </si>
  <si>
    <t>CAM-024</t>
  </si>
  <si>
    <t>Camiseta Básica Sunset</t>
  </si>
  <si>
    <t>7890441494543</t>
  </si>
  <si>
    <t>Custo: ver NF · Custo de referência: último custo de nota do VLT-CAM-024-LIL-M (mesmo modelo/cor) · Fornecedor estimado: principal da categoria (100% em Verão 25)</t>
  </si>
  <si>
    <t>CAM024LM</t>
  </si>
  <si>
    <t>7894505057057</t>
  </si>
  <si>
    <t>CAM024LG</t>
  </si>
  <si>
    <t>7892490709142</t>
  </si>
  <si>
    <t>CAM024LGG</t>
  </si>
  <si>
    <t>2000000000305</t>
  </si>
  <si>
    <t>Custo de referência: último custo de nota do VLT-CAM-024-LIL-G (mesmo modelo/cor) · EAN interno provisório (faixa 200, uso interno) – trocar pelo EAN oficial GS1 quando houver · Fornecedor estimado: principal da categoria (100% em Verão 25)</t>
  </si>
  <si>
    <t>CAM024YP</t>
  </si>
  <si>
    <t>7890347079837</t>
  </si>
  <si>
    <t>CAM024YM</t>
  </si>
  <si>
    <t>7895209544805</t>
  </si>
  <si>
    <t>CAM024YG</t>
  </si>
  <si>
    <t>7895890830287</t>
  </si>
  <si>
    <t>CAM024YGG</t>
  </si>
  <si>
    <t>7892755608272</t>
  </si>
  <si>
    <t>MOL020HPP</t>
  </si>
  <si>
    <t>MOL-020</t>
  </si>
  <si>
    <t>Moletom Careca Bordado</t>
  </si>
  <si>
    <t>7892833591489</t>
  </si>
  <si>
    <t>MOL020HP</t>
  </si>
  <si>
    <t>7895104119153</t>
  </si>
  <si>
    <t>MOL020HM</t>
  </si>
  <si>
    <t>2000000000312</t>
  </si>
  <si>
    <t>Custo de referência: último custo de nota do VLT-MOL-020-VIN-P (mesmo modelo/cor) · EAN interno provisório (faixa 200, uso interno) – trocar pelo EAN oficial GS1 quando houver · Fornecedor estimado: principal da categoria (60% em Verão 25)</t>
  </si>
  <si>
    <t>MOL020HG</t>
  </si>
  <si>
    <t>7897309859643</t>
  </si>
  <si>
    <t>Custo de referência: último custo de nota do VLT-MOL-020-VIN-GG (mesmo modelo/cor) · Fornecedor estimado: principal da categoria (60% em Verão 25)</t>
  </si>
  <si>
    <t>MOL020HGG</t>
  </si>
  <si>
    <t>7896232094114</t>
  </si>
  <si>
    <t>CAM025MP</t>
  </si>
  <si>
    <t>CAM-025</t>
  </si>
  <si>
    <t>Regata Neon</t>
  </si>
  <si>
    <t>7898909657387</t>
  </si>
  <si>
    <t>CAM025MM</t>
  </si>
  <si>
    <t>7891697570319</t>
  </si>
  <si>
    <t>CAM025MG</t>
  </si>
  <si>
    <t>7898176347295</t>
  </si>
  <si>
    <t>CAM025MGG</t>
  </si>
  <si>
    <t>7894078408973</t>
  </si>
  <si>
    <t>Custo: ver NF · Custo de referência: último custo de nota do VLT-CAM-025-MRR-G (mesmo modelo/cor) · Fornecedor estimado: principal da categoria (100% em Verão 25)</t>
  </si>
  <si>
    <t>TRI015VP</t>
  </si>
  <si>
    <t>TRI-015</t>
  </si>
  <si>
    <t>Suéter Tricô Chunky</t>
  </si>
  <si>
    <t>7894056483381</t>
  </si>
  <si>
    <t>Custo de referência: último custo de nota do VLT-TRI-015-OLI-G (mesmo modelo/cor) · Fornecedor estimado: padrão "Suéter" (ver Listas)</t>
  </si>
  <si>
    <t>TRI015VM</t>
  </si>
  <si>
    <t>7892274465905</t>
  </si>
  <si>
    <t>TRI015VG</t>
  </si>
  <si>
    <t>7891231293162</t>
  </si>
  <si>
    <t>TRI015VGG</t>
  </si>
  <si>
    <t>7896379214000</t>
  </si>
  <si>
    <t>CAL028A36</t>
  </si>
  <si>
    <t>CAL-028</t>
  </si>
  <si>
    <t>Calça Wide Leg Pregas</t>
  </si>
  <si>
    <t>7895664883396</t>
  </si>
  <si>
    <t>CAL028A38</t>
  </si>
  <si>
    <t>7897434067555</t>
  </si>
  <si>
    <t>CAL028A40</t>
  </si>
  <si>
    <t>7899879232161</t>
  </si>
  <si>
    <t>CAL028A42</t>
  </si>
  <si>
    <t>7892929013833</t>
  </si>
  <si>
    <t>CAL028A44</t>
  </si>
  <si>
    <t>7895377878443</t>
  </si>
  <si>
    <t>MOL001MPP</t>
  </si>
  <si>
    <t>MOL-001</t>
  </si>
  <si>
    <t>Moletom Canguru Logo</t>
  </si>
  <si>
    <t>7892551191336</t>
  </si>
  <si>
    <t>Preço reajustado de R$ 329,90 para R$ 349,90 (margem mínima 50%, aprovado em 15/10/2026) · Fornecedor estimado: principal da categoria (60% em Verão 25)</t>
  </si>
  <si>
    <t>MOL001MP</t>
  </si>
  <si>
    <t>7892244749318</t>
  </si>
  <si>
    <t>MOL001MM</t>
  </si>
  <si>
    <t>7893723118137</t>
  </si>
  <si>
    <t>MOL001MG</t>
  </si>
  <si>
    <t>7896015902193</t>
  </si>
  <si>
    <t>Custo de referência: último custo de nota do VLT-MOL-001-MRR-M (mesmo modelo/cor) · Preço reajustado de R$ 329,90 para R$ 349,90 (margem mínima 50%, aprovado em 15/10/2026) · Fornecedor estimado: principal da categoria (60% em Verão 25)</t>
  </si>
  <si>
    <t>MOL001MGG</t>
  </si>
  <si>
    <t>7895937756921</t>
  </si>
  <si>
    <t>CMS016HPP</t>
  </si>
  <si>
    <t>CMS-016</t>
  </si>
  <si>
    <t>Overshirt Listrada</t>
  </si>
  <si>
    <t>7890476810714</t>
  </si>
  <si>
    <t>Fornecedor estimado: padrão "Overshirt" (ver Listas)</t>
  </si>
  <si>
    <t>CMS016HP</t>
  </si>
  <si>
    <t>7897332793112</t>
  </si>
  <si>
    <t>CMS016HM</t>
  </si>
  <si>
    <t>7890179317442</t>
  </si>
  <si>
    <t>Custo de referência: último custo de nota do VLT-CMS-016-VIN-P (mesmo modelo/cor) · Fornecedor estimado: padrão "Overshirt" (ver Listas)</t>
  </si>
  <si>
    <t>CMS016HG</t>
  </si>
  <si>
    <t>7893616969433</t>
  </si>
  <si>
    <t>CMS016HGG</t>
  </si>
  <si>
    <t>7894306266542</t>
  </si>
  <si>
    <t>CMS016BPP</t>
  </si>
  <si>
    <t>7898424262257</t>
  </si>
  <si>
    <t>CMS016BP</t>
  </si>
  <si>
    <t>7899512875588</t>
  </si>
  <si>
    <t>CMS016BM</t>
  </si>
  <si>
    <t>7894161702742</t>
  </si>
  <si>
    <t>Custo de referência: último custo de nota do VLT-CMS-016-BRA-P (mesmo modelo/cor) · Fornecedor estimado: padrão "Overshirt" (ver Listas)</t>
  </si>
  <si>
    <t>CMS016BG</t>
  </si>
  <si>
    <t>7897258071950</t>
  </si>
  <si>
    <t>CMS016BGG</t>
  </si>
  <si>
    <t>7898345031253</t>
  </si>
  <si>
    <t>MOL022YP</t>
  </si>
  <si>
    <t>MOL-022</t>
  </si>
  <si>
    <t>Moletom Zíper Estonado</t>
  </si>
  <si>
    <t>7894186362747</t>
  </si>
  <si>
    <t>MOL022YM</t>
  </si>
  <si>
    <t>7894038745254</t>
  </si>
  <si>
    <t>Custo de referência: último custo de nota do VLT-MOL-022-AMA-P (mesmo modelo/cor) · Fornecedor estimado: principal da categoria (60% em Verão 25)</t>
  </si>
  <si>
    <t>MOL022YG</t>
  </si>
  <si>
    <t>7898603480588</t>
  </si>
  <si>
    <t>MOL022YGG</t>
  </si>
  <si>
    <t>7892500613773</t>
  </si>
  <si>
    <t>JAQ011VP</t>
  </si>
  <si>
    <t>JAQ-011</t>
  </si>
  <si>
    <t>Bomber Clássica</t>
  </si>
  <si>
    <t>7894309305972</t>
  </si>
  <si>
    <t>Preço reajustado de R$ 519,90 para R$ 549,90 (margem mínima 50%, aprovado em 15/10/2026) · Fornecedor estimado: padrão "Bomber" (ver Listas)</t>
  </si>
  <si>
    <t>JAQ011VM</t>
  </si>
  <si>
    <t>7893765504158</t>
  </si>
  <si>
    <t>JAQ011VG</t>
  </si>
  <si>
    <t>7895552403576</t>
  </si>
  <si>
    <t>JAQ011VGG</t>
  </si>
  <si>
    <t>7892404050513</t>
  </si>
  <si>
    <t>Custo de referência: último custo de nota do VLT-SAI-006-PRE-XP (mesmo modelo/cor) · Fornecedor estimado: principal da categoria (100% em Verão 25)</t>
  </si>
  <si>
    <t>Custo de referência: último custo de nota do VLT-TRI-007-LIL-P (mesmo modelo/cor) · Fornecedor estimado: padrão "Suéter" (ver Listas)</t>
  </si>
  <si>
    <t>Custo de referência: último custo de nota do VLT-VES-007-OLI-M (mesmo modelo/cor) · Fornecedor estimado: principal da categoria (100% em Verão 25)</t>
  </si>
  <si>
    <t>Custo de referência: último custo de nota do VLT-VES-007-OLI-G (mesmo modelo/cor) · Fornecedor estimado: principal da categoria (100% em Verão 25)</t>
  </si>
  <si>
    <t>Custo: ver NF · Custo de referência: último custo de nota do VLT-MOL-012-OFF-P (mesmo modelo/cor) · Fornecedor estimado: principal da categoria (60% em Verão 25)</t>
  </si>
  <si>
    <t>Fornecedor estimado: padrão "Blazer" (ver Listas)</t>
  </si>
  <si>
    <t>Custo de referência: último custo de nota do VLT-JAQ-005-AMA-P (mesmo modelo/cor) · Fornecedor estimado: padrão "Blazer" (ver Listas)</t>
  </si>
  <si>
    <t>ATEMPORAIS</t>
  </si>
  <si>
    <t>Preço revisado 1x por ano (mar). Atenção: o custo desta aba veio como custo médio. Onde o mesmo produto existe numa coleção, o custo foi trocado pelo último custo de nota (ver Obs).</t>
  </si>
  <si>
    <t>BER001B38</t>
  </si>
  <si>
    <t>BER-001</t>
  </si>
  <si>
    <t>Short Alfaiataria Barra Desfiada</t>
  </si>
  <si>
    <t>7898796176565</t>
  </si>
  <si>
    <t>BER001B40</t>
  </si>
  <si>
    <t>7899753385082</t>
  </si>
  <si>
    <t>BER001B42</t>
  </si>
  <si>
    <t>7896347367011</t>
  </si>
  <si>
    <t>BER001B44</t>
  </si>
  <si>
    <t>7892975406726</t>
  </si>
  <si>
    <t>Custo de referência: último custo de nota do VLT-BER-001-BRA-G (mesmo modelo/cor) · Fornecedor estimado: padrão "Alfaiataria" (ver Listas) · Código CD provisório (padrão do CD) – confirmar cadastro no CD</t>
  </si>
  <si>
    <t>CAL003P38</t>
  </si>
  <si>
    <t>CAL-003</t>
  </si>
  <si>
    <t>Calça Jeans Reta Destroyed</t>
  </si>
  <si>
    <t>7894611826721</t>
  </si>
  <si>
    <t>EAN recuperado da planilha 2024 (mesmo SKU) · Fornecedor estimado: principal da categoria (100% em Verão 25) · Código CD provisório (padrão do CD) – confirmar cadastro no CD</t>
  </si>
  <si>
    <t>CAL003P40</t>
  </si>
  <si>
    <t>7893357707806</t>
  </si>
  <si>
    <t>CAL003P42</t>
  </si>
  <si>
    <t>7890923947949</t>
  </si>
  <si>
    <t>Custo de referência: último custo de nota do VLT-CAL-003-PRE-M (mesmo modelo/cor) · Fornecedor estimado: principal da categoria (100% em Verão 25) · Código CD provisório (padrão do CD) – confirmar cadastro no CD</t>
  </si>
  <si>
    <t>CAL003P44</t>
  </si>
  <si>
    <t>7892822183848</t>
  </si>
  <si>
    <t>Custo de referência: último custo de nota do VLT-CAL-004-CIN-XP (Verão 26) · Fornecedor estimado: principal da categoria (100% em Verão 25)</t>
  </si>
  <si>
    <t>Custo de referência: último custo de nota do VLT-CAL-004-CIN-P (Verão 26) · Fornecedor estimado: principal da categoria (100% em Verão 25) · Código CD copiado do mesmo SKU/produto (Verão 26)</t>
  </si>
  <si>
    <t>Fornecedor estimado: principal da categoria (100% em Verão 25) · Custo atualizado: último custo de nota (Verão 26, mesmo SKU) – antes custo médio R$ 71,52</t>
  </si>
  <si>
    <t>Fornecedor estimado: principal da categoria (100% em Verão 25) · Custo atualizado: último custo de nota (Verão 26, mesmo SKU) – antes custo médio R$ 71,52 · Código CD copiado do mesmo SKU/produto (Verão 26)</t>
  </si>
  <si>
    <t>Fornecedor estimado: principal da categoria (100% em Verão 25) · Custo atualizado: último custo de nota (Verão 26, VLT-CAL-004-BEG-XP) – antes custo médio R$ 71,52</t>
  </si>
  <si>
    <t>EAN copiado do mesmo SKU (Verão 26) · Fornecedor estimado: principal da categoria (100% em Verão 25) · Custo atualizado: último custo de nota (Verão 26, mesmo SKU) – antes custo médio R$ 71,52</t>
  </si>
  <si>
    <t>Custo de referência: último custo de nota do VLT-CAL-005-PRE-XP (Verão 26) · Fornecedor estimado: principal da categoria (100% em Verão 25) · Código CD copiado do mesmo SKU/produto (Verão 26)</t>
  </si>
  <si>
    <t>Fornecedor estimado: principal da categoria (100% em Verão 25) · Custo atualizado: último custo de nota (Verão 26, VLT-CAL-005-PRE-XP) – antes custo médio R$ 119,28</t>
  </si>
  <si>
    <t>Fornecedor estimado: principal da categoria (100% em Verão 25) · Custo atualizado: último custo de nota (Verão 26, mesmo SKU) – antes custo médio R$ 119,28 · Código CD copiado do mesmo SKU/produto (Verão 26)</t>
  </si>
  <si>
    <t>TOP002AP</t>
  </si>
  <si>
    <t>TOP-002</t>
  </si>
  <si>
    <t>Top Faixa Tricot</t>
  </si>
  <si>
    <t>7891224731619</t>
  </si>
  <si>
    <t>Fornecedor estimado: principal da categoria (72% em Verão 25) · Código CD provisório (padrão do CD) – confirmar cadastro no CD</t>
  </si>
  <si>
    <t>TOP002AM</t>
  </si>
  <si>
    <t>7891638760618</t>
  </si>
  <si>
    <t>TOP002AG</t>
  </si>
  <si>
    <t>7895072613233</t>
  </si>
  <si>
    <t>TOP002AGG</t>
  </si>
  <si>
    <t>7892452724152</t>
  </si>
  <si>
    <t>TOP002PP</t>
  </si>
  <si>
    <t>7898983185189</t>
  </si>
  <si>
    <t>TOP002PM</t>
  </si>
  <si>
    <t>7890970005371</t>
  </si>
  <si>
    <t>TOP002PG</t>
  </si>
  <si>
    <t>7892482720681</t>
  </si>
  <si>
    <t>TOP002PGG</t>
  </si>
  <si>
    <t>7891316556823</t>
  </si>
  <si>
    <t>BER002C36</t>
  </si>
  <si>
    <t>BER-002</t>
  </si>
  <si>
    <t>Bermuda Moletom Leve</t>
  </si>
  <si>
    <t>7896809126149</t>
  </si>
  <si>
    <t>BER002C38</t>
  </si>
  <si>
    <t>7893631370825</t>
  </si>
  <si>
    <t>Fornecedor estimado: padrão "Moletom" (ver Listas) · Código CD provisório (padrão do CD) – confirmar cadastro no CD</t>
  </si>
  <si>
    <t>BER002C40</t>
  </si>
  <si>
    <t>7899871360923</t>
  </si>
  <si>
    <t>BER002C42</t>
  </si>
  <si>
    <t>7893687023553</t>
  </si>
  <si>
    <t>Custo de referência: último custo de nota do VLT-BER-002-CIN-M (mesmo modelo/cor) · Fornecedor estimado: padrão "Moletom" (ver Listas) · Código CD provisório (padrão do CD) – confirmar cadastro no CD</t>
  </si>
  <si>
    <t>BER002C44</t>
  </si>
  <si>
    <t>7894514102298</t>
  </si>
  <si>
    <t>Fornecedor estimado: padrão "Cargo" (ver Listas) · Custo atualizado: último custo de nota (Verão 26, mesmo SKU) – antes custo médio R$ 62,44 · Código CD copiado do mesmo SKU/produto (Verão 26)</t>
  </si>
  <si>
    <t>Fornecedor estimado: padrão "Cargo" (ver Listas) · Custo atualizado: último custo de nota (Verão 26, mesmo SKU) – antes custo médio R$ 62,44</t>
  </si>
  <si>
    <t>ACE003GU</t>
  </si>
  <si>
    <t>ACE-003</t>
  </si>
  <si>
    <t>Meia Cano Alto (par) Couro Eco</t>
  </si>
  <si>
    <t>7891184384085</t>
  </si>
  <si>
    <t>7899810548429</t>
  </si>
  <si>
    <t>CAM001CP</t>
  </si>
  <si>
    <t>CAM-001</t>
  </si>
  <si>
    <t>Regata Skate</t>
  </si>
  <si>
    <t>7890840960915</t>
  </si>
  <si>
    <t>CAM001CM</t>
  </si>
  <si>
    <t>7895742378981</t>
  </si>
  <si>
    <t>CAM001CG</t>
  </si>
  <si>
    <t>7894816836099</t>
  </si>
  <si>
    <t>CAM001CGG</t>
  </si>
  <si>
    <t>7895251141700</t>
  </si>
  <si>
    <t>ACE004CU</t>
  </si>
  <si>
    <t>ACE-004</t>
  </si>
  <si>
    <t>Cinto Nylon</t>
  </si>
  <si>
    <t>7896728819115</t>
  </si>
  <si>
    <t>Custo estimado: % de custo do modelo na planilha 2024 × preço · Fornecedor estimado: principal da categoria (100% em Verão 25)</t>
  </si>
  <si>
    <t>Fornecedor estimado: principal da categoria (100% em Verão 25) · Custo atualizado: último custo de nota (Verão 26, mesmo SKU) – antes custo médio R$ 48,69 · Código CD copiado do mesmo SKU/produto (Verão 26)</t>
  </si>
  <si>
    <t>Fornecedor estimado: principal da categoria (100% em Verão 25) · Custo atualizado: último custo de nota (Verão 26, VLT-ACE-005-OFF-U) – antes custo médio R$ 48,69</t>
  </si>
  <si>
    <t>MOL003AP</t>
  </si>
  <si>
    <t>MOL-003</t>
  </si>
  <si>
    <t>Moletom Zíper College</t>
  </si>
  <si>
    <t>7899435918584</t>
  </si>
  <si>
    <t>Fornecedor estimado: principal da categoria (60% em Verão 25) · Código CD provisório (padrão do CD) – confirmar cadastro no CD</t>
  </si>
  <si>
    <t>MOL003AM</t>
  </si>
  <si>
    <t>7895336962961</t>
  </si>
  <si>
    <t>MOL003AG</t>
  </si>
  <si>
    <t>7893473499302</t>
  </si>
  <si>
    <t>MOL003AGG</t>
  </si>
  <si>
    <t>7899864325885</t>
  </si>
  <si>
    <t>MOL003GP</t>
  </si>
  <si>
    <t>7895566544517</t>
  </si>
  <si>
    <t>MOL003GM</t>
  </si>
  <si>
    <t>7895907194722</t>
  </si>
  <si>
    <t>MOL003GG</t>
  </si>
  <si>
    <t>7894185304175</t>
  </si>
  <si>
    <t>MOL003GGG</t>
  </si>
  <si>
    <t>7893377447003</t>
  </si>
  <si>
    <t>MOL003CP</t>
  </si>
  <si>
    <t>7898868262325</t>
  </si>
  <si>
    <t>7894709409966</t>
  </si>
  <si>
    <t>7891316392872</t>
  </si>
  <si>
    <t>MOL003CGG</t>
  </si>
  <si>
    <t>7895224418860</t>
  </si>
  <si>
    <t>SAI002BP</t>
  </si>
  <si>
    <t>SAI-002</t>
  </si>
  <si>
    <t>Saia Midi Fenda</t>
  </si>
  <si>
    <t>7899932812040</t>
  </si>
  <si>
    <t>SAI002BM</t>
  </si>
  <si>
    <t>7895681063948</t>
  </si>
  <si>
    <t>SAI002BG</t>
  </si>
  <si>
    <t>7893506448574</t>
  </si>
  <si>
    <t>SAI002BGG</t>
  </si>
  <si>
    <t>7894087517338</t>
  </si>
  <si>
    <t>7891536086032</t>
  </si>
  <si>
    <t>SAI002OM</t>
  </si>
  <si>
    <t>7898672975930</t>
  </si>
  <si>
    <t>7896689473616</t>
  </si>
  <si>
    <t>EAN recuperado da planilha 2024 (mesmo SKU) · Fornecedor estimado: principal da categoria (100% em Verão 25)</t>
  </si>
  <si>
    <t>7891911312442</t>
  </si>
  <si>
    <t>CAL006J36</t>
  </si>
  <si>
    <t>CAL-006</t>
  </si>
  <si>
    <t>Calça Jeans Reta Escura</t>
  </si>
  <si>
    <t>7897892473943</t>
  </si>
  <si>
    <t>CAL006J38</t>
  </si>
  <si>
    <t>7894641205077</t>
  </si>
  <si>
    <t>CAL006J40</t>
  </si>
  <si>
    <t>7894718651820</t>
  </si>
  <si>
    <t>CAL006J42</t>
  </si>
  <si>
    <t>7892674078736</t>
  </si>
  <si>
    <t>Custo de referência: último custo de nota do VLT-CAL-006-JCL-M (mesmo modelo/cor) · Fornecedor estimado: principal da categoria (100% em Verão 25) · Código CD provisório (padrão do CD) – confirmar cadastro no CD</t>
  </si>
  <si>
    <t>CAL006J44</t>
  </si>
  <si>
    <t>7899109668630</t>
  </si>
  <si>
    <t>7898374890715</t>
  </si>
  <si>
    <t>CAL006G38</t>
  </si>
  <si>
    <t>7898650899258</t>
  </si>
  <si>
    <t>7897191217163</t>
  </si>
  <si>
    <t>CAL006G42</t>
  </si>
  <si>
    <t>7894802231037</t>
  </si>
  <si>
    <t>7893469266192</t>
  </si>
  <si>
    <t>Fornecedor estimado: principal da categoria (100% em Verão 25) · Custo atualizado: último custo de nota (Verão 26, mesmo SKU) – antes custo médio R$ 110,90 · Código CD copiado do mesmo SKU/produto (Verão 26)</t>
  </si>
  <si>
    <t>Fornecedor estimado: principal da categoria (100% em Verão 25) · Custo atualizado: último custo de nota (Verão 26, mesmo SKU) – antes custo médio R$ 110,90</t>
  </si>
  <si>
    <t>Fornecedor estimado: principal da categoria (100% em Verão 25) · Custo atualizado: último custo de nota (Verão 26, VLT-CAL-007-AZM-P) – antes custo médio R$ 110,90</t>
  </si>
  <si>
    <t>TRI004BP</t>
  </si>
  <si>
    <t>TRI-004</t>
  </si>
  <si>
    <t>Blusa Tricot Gola V</t>
  </si>
  <si>
    <t>7896604314468</t>
  </si>
  <si>
    <t>TRI004BM</t>
  </si>
  <si>
    <t>7896292927063</t>
  </si>
  <si>
    <t>EAN recuperado da planilha 2024 (mesmo SKU) · Fornecedor estimado: padrão "Tricot" (ver Listas) · Código CD provisório (padrão do CD) – confirmar cadastro no CD</t>
  </si>
  <si>
    <t>TRI004BG</t>
  </si>
  <si>
    <t>7895324047854</t>
  </si>
  <si>
    <t>Fornecedor estimado: padrão "Tricot" (ver Listas) · Código CD provisório (padrão do CD) – confirmar cadastro no CD</t>
  </si>
  <si>
    <t>TRI004BGG</t>
  </si>
  <si>
    <t>7895071746840</t>
  </si>
  <si>
    <t>CMS001GP</t>
  </si>
  <si>
    <t>CMS-001</t>
  </si>
  <si>
    <t>Camisa Xadrez Leve</t>
  </si>
  <si>
    <t>7898336642840</t>
  </si>
  <si>
    <t>Fornecedor estimado: padrão "Xadrez" (ver Listas) · Código CD provisório (padrão do CD) – confirmar cadastro no CD</t>
  </si>
  <si>
    <t>CMS001GM</t>
  </si>
  <si>
    <t>7892360156359</t>
  </si>
  <si>
    <t>CMS001GG</t>
  </si>
  <si>
    <t>7899533262916</t>
  </si>
  <si>
    <t>CMS001GGG</t>
  </si>
  <si>
    <t>7895012821292</t>
  </si>
  <si>
    <t>CAM002APP</t>
  </si>
  <si>
    <t>CAM-002</t>
  </si>
  <si>
    <t>Camiseta Boxy Concreto</t>
  </si>
  <si>
    <t>7895426873795</t>
  </si>
  <si>
    <t>Custo de referência: último custo de nota do VLT-CAM-002-AZM-P (mesmo modelo/cor) · Fornecedor estimado: principal da categoria (100% em Verão 25) · Código CD provisório (padrão do CD) – confirmar cadastro no CD</t>
  </si>
  <si>
    <t>CAM002AP</t>
  </si>
  <si>
    <t>7893349981702</t>
  </si>
  <si>
    <t>CAM002AM</t>
  </si>
  <si>
    <t>7891609294432</t>
  </si>
  <si>
    <t>CAM002AG</t>
  </si>
  <si>
    <t>7898383297376</t>
  </si>
  <si>
    <t>CAM002AGG</t>
  </si>
  <si>
    <t>7897666736809</t>
  </si>
  <si>
    <t>CMS002GP</t>
  </si>
  <si>
    <t>CMS-002</t>
  </si>
  <si>
    <t>Camisa Cuban Ampla</t>
  </si>
  <si>
    <t>7893459825767</t>
  </si>
  <si>
    <t>Custo de referência: último custo de nota do VLT-CMS-002-BEG-M (mesmo modelo/cor) · Fornecedor estimado: padrão "Cuban" (ver Listas) · Código CD provisório (padrão do CD) – confirmar cadastro no CD</t>
  </si>
  <si>
    <t>CMS002GM</t>
  </si>
  <si>
    <t>7893095438444</t>
  </si>
  <si>
    <t>CMS002GG</t>
  </si>
  <si>
    <t>7891366768993</t>
  </si>
  <si>
    <t>CMS002GGG</t>
  </si>
  <si>
    <t>7891152073423</t>
  </si>
  <si>
    <t>Fornecedor estimado: padrão "Cuban" (ver Listas) · Código CD provisório (padrão do CD) – confirmar cadastro no CD</t>
  </si>
  <si>
    <t>CAM003CP</t>
  </si>
  <si>
    <t>CAM-003</t>
  </si>
  <si>
    <t>Camiseta Oversized Listrada</t>
  </si>
  <si>
    <t>7893010021669</t>
  </si>
  <si>
    <t>CAM003CM</t>
  </si>
  <si>
    <t>7898001227846</t>
  </si>
  <si>
    <t>CAM003CG</t>
  </si>
  <si>
    <t>7899957880017</t>
  </si>
  <si>
    <t>CAM003CGG</t>
  </si>
  <si>
    <t>7895343023433</t>
  </si>
  <si>
    <t>CAM003AP</t>
  </si>
  <si>
    <t>7894280977076</t>
  </si>
  <si>
    <t>Custo de referência: último custo de nota do VLT-CAM-003-AZM-M (mesmo modelo/cor) · Fornecedor estimado: principal da categoria (100% em Verão 25)</t>
  </si>
  <si>
    <t>CAM003AM</t>
  </si>
  <si>
    <t>7890272313440</t>
  </si>
  <si>
    <t>CAM003AG</t>
  </si>
  <si>
    <t>7892334340289</t>
  </si>
  <si>
    <t>CAM003AGG</t>
  </si>
  <si>
    <t>7891394091018</t>
  </si>
  <si>
    <t>Fornecedor estimado: principal da categoria (60% em Verão 25) · Custo atualizado: último custo de nota (Verão 26, mesmo SKU) – antes custo médio R$ 124,01</t>
  </si>
  <si>
    <t>Fornecedor estimado: principal da categoria (60% em Verão 25) · Custo atualizado: último custo de nota (Verão 26, mesmo SKU) – antes custo médio R$ 124,01 · Código CD copiado do mesmo SKU/produto (Verão 26)</t>
  </si>
  <si>
    <t>CAM004BP</t>
  </si>
  <si>
    <t>CAM-004</t>
  </si>
  <si>
    <t>Camiseta Boxy Logo</t>
  </si>
  <si>
    <t>7894105009227</t>
  </si>
  <si>
    <t>CAM004BM</t>
  </si>
  <si>
    <t>7892502372296</t>
  </si>
  <si>
    <t>CAM004BG</t>
  </si>
  <si>
    <t>7898090373110</t>
  </si>
  <si>
    <t>Custo de referência: último custo de nota do VLT-CAM-004-BRA-M (mesmo modelo/cor) · Fornecedor estimado: principal da categoria (100% em Verão 25) · Código CD provisório (padrão do CD) – confirmar cadastro no CD</t>
  </si>
  <si>
    <t>CAM004BGG</t>
  </si>
  <si>
    <t>7897282332256</t>
  </si>
  <si>
    <t>CAM004CP</t>
  </si>
  <si>
    <t>7891286055654</t>
  </si>
  <si>
    <t>Custo de referência: último custo de nota do VLT-CAM-004-CIN-M (mesmo modelo/cor) · Fornecedor estimado: principal da categoria (100% em Verão 25) · Código CD provisório (padrão do CD) – confirmar cadastro no CD</t>
  </si>
  <si>
    <t>CAM004CM</t>
  </si>
  <si>
    <t>7897790302437</t>
  </si>
  <si>
    <t>CAM004CG</t>
  </si>
  <si>
    <t>7895538222894</t>
  </si>
  <si>
    <t>CAM004CGG</t>
  </si>
  <si>
    <t>7893972035964</t>
  </si>
  <si>
    <t>Custo de referência: último custo de nota do VLT-CAM-004-CIN-G (mesmo modelo/cor) · Fornecedor estimado: principal da categoria (100% em Verão 25) · Código CD provisório (padrão do CD) – confirmar cadastro no CD</t>
  </si>
  <si>
    <t>CAM004PP</t>
  </si>
  <si>
    <t>7894420746852</t>
  </si>
  <si>
    <t>CAM004PM</t>
  </si>
  <si>
    <t>7896002694605</t>
  </si>
  <si>
    <t>CAM004PG</t>
  </si>
  <si>
    <t>7897833748130</t>
  </si>
  <si>
    <t>CAM004PGG</t>
  </si>
  <si>
    <t>7892057307941</t>
  </si>
  <si>
    <t>Custo de referência: último custo de nota do VLT-CAM-004-PRE-G (mesmo modelo/cor) · Fornecedor estimado: principal da categoria (100% em Verão 25) · Código CD provisório (padrão do CD) – confirmar cadastro no CD</t>
  </si>
  <si>
    <t>TOP003BP</t>
  </si>
  <si>
    <t>TOP-003</t>
  </si>
  <si>
    <t>Top Faixa Cetim</t>
  </si>
  <si>
    <t>7890621423714</t>
  </si>
  <si>
    <t>TOP003BM</t>
  </si>
  <si>
    <t>7892552032089</t>
  </si>
  <si>
    <t>Custo de referência: último custo de nota do VLT-TOP-003-BRA-P (mesmo modelo/cor) · Fornecedor estimado: principal da categoria (72% em Verão 25)</t>
  </si>
  <si>
    <t>TOP003BG</t>
  </si>
  <si>
    <t>7895928813909</t>
  </si>
  <si>
    <t>Custo de referência: último custo de nota do VLT-TOP-003-BRA-GG (mesmo modelo/cor) · Fornecedor estimado: principal da categoria (72% em Verão 25) · Código CD provisório (padrão do CD) – confirmar cadastro no CD</t>
  </si>
  <si>
    <t>TOP003BGG</t>
  </si>
  <si>
    <t>7897245245685</t>
  </si>
  <si>
    <t>CMS003BPP</t>
  </si>
  <si>
    <t>CMS-003</t>
  </si>
  <si>
    <t>Overshirt Ampla</t>
  </si>
  <si>
    <t>7894257529543</t>
  </si>
  <si>
    <t>Custo de referência: último custo de nota do VLT-CMS-003-BRA-P (mesmo modelo/cor) · Fornecedor estimado: padrão "Overshirt" (ver Listas) · Código CD provisório (padrão do CD) – confirmar cadastro no CD</t>
  </si>
  <si>
    <t>CMS003BP</t>
  </si>
  <si>
    <t>7894491355342</t>
  </si>
  <si>
    <t>CMS003BM</t>
  </si>
  <si>
    <t>7892701968382</t>
  </si>
  <si>
    <t>CMS003BG</t>
  </si>
  <si>
    <t>7890739669806</t>
  </si>
  <si>
    <t>Fornecedor estimado: padrão "Overshirt" (ver Listas) · Código CD provisório (padrão do CD) – confirmar cadastro no CD</t>
  </si>
  <si>
    <t>CMS003BGG</t>
  </si>
  <si>
    <t>7890796119351</t>
  </si>
  <si>
    <t>Fornecedor estimado: principal da categoria (60% em Verão 25) · Custo atualizado: último custo de nota (Verão 26, VLT-MOL-005-OFF-P) – antes custo médio R$ 115,65</t>
  </si>
  <si>
    <t>Fornecedor estimado: principal da categoria (60% em Verão 25) · Custo atualizado: último custo de nota (Verão 26, mesmo SKU) – antes custo médio R$ 115,65 · Código CD copiado do mesmo SKU/produto (Verão 26)</t>
  </si>
  <si>
    <t>Fornecedor estimado: principal da categoria (60% em Verão 25) · Custo atualizado: último custo de nota (Verão 26, mesmo SKU) – antes custo médio R$ 115,65</t>
  </si>
  <si>
    <t>CAM005OP</t>
  </si>
  <si>
    <t>CAM-005</t>
  </si>
  <si>
    <t>Camiseta Oversized Logo</t>
  </si>
  <si>
    <t>7891195645052</t>
  </si>
  <si>
    <t>Custo de referência: último custo de nota do VLT-CAM-005-OFF-M (mesmo modelo/cor) · Fornecedor estimado: principal da categoria (100% em Verão 25) · Código CD provisório (padrão do CD) – confirmar cadastro no CD</t>
  </si>
  <si>
    <t>CAM005OM</t>
  </si>
  <si>
    <t>7899409347730</t>
  </si>
  <si>
    <t>CAM005OG</t>
  </si>
  <si>
    <t>7896433789673</t>
  </si>
  <si>
    <t>CAM005OGG</t>
  </si>
  <si>
    <t>7894077402873</t>
  </si>
  <si>
    <t>CAL008B38</t>
  </si>
  <si>
    <t>CAL-008</t>
  </si>
  <si>
    <t>Calça Cargo Comfort</t>
  </si>
  <si>
    <t>7890413543187</t>
  </si>
  <si>
    <t>Custo de referência: último custo de nota do VLT-CAL-008-BRA-M (mesmo modelo/cor) · Fornecedor estimado: principal da categoria (100% em Verão 25) · Código CD provisório (padrão do CD) – confirmar cadastro no CD</t>
  </si>
  <si>
    <t>CAL008B40</t>
  </si>
  <si>
    <t>7898945982252</t>
  </si>
  <si>
    <t>CAL008B42</t>
  </si>
  <si>
    <t>7895324112651</t>
  </si>
  <si>
    <t>CAL008B44</t>
  </si>
  <si>
    <t>7894594839978</t>
  </si>
  <si>
    <t>CAL008A38</t>
  </si>
  <si>
    <t>7899733962524</t>
  </si>
  <si>
    <t>Custo estava 15449 (sem vírgula), corrigido para 154,49 · Fornecedor estimado: principal da categoria (100% em Verão 25) · Código CD provisório (padrão do CD) – confirmar cadastro no CD</t>
  </si>
  <si>
    <t>CAL008A40</t>
  </si>
  <si>
    <t>7896296212530</t>
  </si>
  <si>
    <t>CAL008A42</t>
  </si>
  <si>
    <t>7890802528054</t>
  </si>
  <si>
    <t>CAL008A44</t>
  </si>
  <si>
    <t>7897522448310</t>
  </si>
  <si>
    <t>CAL008O38</t>
  </si>
  <si>
    <t>7899668648517</t>
  </si>
  <si>
    <t>Custo de referência: último custo de nota do VLT-CAL-008-OFF-M (mesmo modelo/cor) · Fornecedor estimado: principal da categoria (100% em Verão 25)</t>
  </si>
  <si>
    <t>CAL008O40</t>
  </si>
  <si>
    <t>7894968164828</t>
  </si>
  <si>
    <t>CAL008O42</t>
  </si>
  <si>
    <t>7894249042036</t>
  </si>
  <si>
    <t>CAL008O44</t>
  </si>
  <si>
    <t>7890194735757</t>
  </si>
  <si>
    <t>Fornecedor estimado: principal da categoria (100% em Verão 25) · Custo atualizado: último custo de nota (Verão 26, mesmo SKU) – antes custo médio R$ 90,82</t>
  </si>
  <si>
    <t>Fornecedor estimado: principal da categoria (100% em Verão 25) · Custo atualizado: último custo de nota (Verão 26, VLT-CAL-009-OFF-XP) – antes custo médio R$ 90,82 · Código CD copiado do mesmo SKU/produto (Verão 26)</t>
  </si>
  <si>
    <t>Fornecedor estimado: principal da categoria (100% em Verão 25) · Custo atualizado: último custo de nota (Verão 26, VLT-CAL-009-OFF-XP) – antes custo médio R$ 90,82</t>
  </si>
  <si>
    <t>Fornecedor estimado: principal da categoria (100% em Verão 25) · Custo atualizado: último custo de nota (Verão 26, mesmo SKU) – antes custo médio R$ 90,82 · Código CD copiado do mesmo SKU/produto (Verão 26)</t>
  </si>
  <si>
    <t>Custo de referência: último custo de nota do VLT-CAL-009-OFF-XP (Verão 26) · Fornecedor estimado: principal da categoria (100% em Verão 25) · Código CD copiado do mesmo SKU/produto (Verão 26)</t>
  </si>
  <si>
    <t>PENDÊNCIAS – peças ativas com dado faltando ou suspeito</t>
  </si>
  <si>
    <t>Atualiza sozinha. Mostra só peças não descontinuadas. Quando o dado for corrigido na aba da coleção, a linha some daqui. Margem mínima: aba Listas.</t>
  </si>
  <si>
    <t>Preenchido por estimativa – conferir quando houver o dado real (roxo itálico nas abas)</t>
  </si>
  <si>
    <t>Aba</t>
  </si>
  <si>
    <t>Custo em branco</t>
  </si>
  <si>
    <t>Revisar preço</t>
  </si>
  <si>
    <t>Margem baixa</t>
  </si>
  <si>
    <t>Linhas com pendência</t>
  </si>
  <si>
    <t>Custo estimado / de referência</t>
  </si>
  <si>
    <t>EAN interno provisório</t>
  </si>
  <si>
    <t>Fornecedor estimado</t>
  </si>
  <si>
    <t>Fornecedor a definir</t>
  </si>
  <si>
    <t>Código CD provisório</t>
  </si>
  <si>
    <t>Total</t>
  </si>
  <si>
    <t>Lista detalhada</t>
  </si>
  <si>
    <t>Pendências</t>
  </si>
  <si>
    <t>LISTAS PADRÃO – usadas nas listas suspensas e no SKU padrão</t>
  </si>
  <si>
    <t>Padrões usados para estimar fornecedor (aplicados em ordem; o 1º que bater vale)</t>
  </si>
  <si>
    <t>Sigla</t>
  </si>
  <si>
    <t>Margem mínima</t>
  </si>
  <si>
    <t>Produtos (automático)</t>
  </si>
  <si>
    <t>Padrão (palavra no produto)</t>
  </si>
  <si>
    <t>Fornecedor provável</t>
  </si>
  <si>
    <t>Evidência</t>
  </si>
  <si>
    <t>AMA</t>
  </si>
  <si>
    <t>ACE</t>
  </si>
  <si>
    <t>Couro Eco</t>
  </si>
  <si>
    <t>Faz os itens de couro eco (Ecobag Couro Eco, Bolsa Tiracolo)</t>
  </si>
  <si>
    <t>AZM</t>
  </si>
  <si>
    <t>BER</t>
  </si>
  <si>
    <t>Margens abaixo disso ficam em vermelho nas abas de coleção.</t>
  </si>
  <si>
    <t>Tricô|Tricot|Cardigan|Suéter|Colete</t>
  </si>
  <si>
    <t>Malharia = tricô/malha; já faz todo o canelado e moletom da Verão 25</t>
  </si>
  <si>
    <t>BEG</t>
  </si>
  <si>
    <t>CAL</t>
  </si>
  <si>
    <t>Moletom</t>
  </si>
  <si>
    <t>3 de 4 moletons da Verão 25 (College, Canguru, Careca)</t>
  </si>
  <si>
    <t>BRA</t>
  </si>
  <si>
    <t>CMS</t>
  </si>
  <si>
    <t>Alfaiataria|Blazer</t>
  </si>
  <si>
    <t>Faz as peças de tecido plano estruturado (vestidos, macacões, Bermuda Sarja)</t>
  </si>
  <si>
    <t>CIN</t>
  </si>
  <si>
    <t>CAM</t>
  </si>
  <si>
    <t>Sarja</t>
  </si>
  <si>
    <t>Bermuda Sarja Ampla (Verão 25)</t>
  </si>
  <si>
    <t>JCL</t>
  </si>
  <si>
    <t>JAQ</t>
  </si>
  <si>
    <t>Cuban</t>
  </si>
  <si>
    <t>Camisa Cuban Estonada (Verão 25)</t>
  </si>
  <si>
    <t>JES</t>
  </si>
  <si>
    <t>MOL</t>
  </si>
  <si>
    <t>U</t>
  </si>
  <si>
    <t>Linho</t>
  </si>
  <si>
    <t>Camisa Linho Bolso (Verão 25)</t>
  </si>
  <si>
    <t>LIL</t>
  </si>
  <si>
    <t>SAI</t>
  </si>
  <si>
    <t>Jeans|Cargo|Oxford|Utilitária</t>
  </si>
  <si>
    <t>Short Jeans, Calça Cargo Parachute, Camisa Oxford (Verão 25)</t>
  </si>
  <si>
    <t>MRR</t>
  </si>
  <si>
    <t>TOP</t>
  </si>
  <si>
    <t>Corta-Vento|Puffer|Bomber|Matelassê</t>
  </si>
  <si>
    <t>Faz as peças de nylon/zíper (Calça Parachute, Moletom Zíper Logo)</t>
  </si>
  <si>
    <t>OFF</t>
  </si>
  <si>
    <t>TRI</t>
  </si>
  <si>
    <t>Xadrez|Overshirt|Listrada</t>
  </si>
  <si>
    <t>Camisas de tecido plano mais pesado (Camisa Oxford Listrada)</t>
  </si>
  <si>
    <t>PRE</t>
  </si>
  <si>
    <t>VES</t>
  </si>
  <si>
    <t>OLI</t>
  </si>
  <si>
    <t>VIN</t>
  </si>
  <si>
    <t>Tamanhos numéricos convertidos: 36=XP, 38=P, 40=M, 42=G, 44=GG, 46=XG. Grades fechadas (ex.: P/M/G/GG) ficam numa linha só e aparecem como GRADE no SKU.</t>
  </si>
  <si>
    <t>NAO USAR - PRECOS 2024 - USAR AS ABAS NOVAS</t>
  </si>
  <si>
    <t>DESCRICAO</t>
  </si>
  <si>
    <t>GRUPO</t>
  </si>
  <si>
    <t>COR</t>
  </si>
  <si>
    <t>TAM</t>
  </si>
  <si>
    <t>PRECO</t>
  </si>
  <si>
    <t>CUSTO</t>
  </si>
  <si>
    <t>VLT-MOL-001-MRR-PP</t>
  </si>
  <si>
    <t>MOLETOM CARECA ESTONADO</t>
  </si>
  <si>
    <t>MOLETONS</t>
  </si>
  <si>
    <t>MARROM</t>
  </si>
  <si>
    <t>PP</t>
  </si>
  <si>
    <t>VLT-MOL-001-MRR-P</t>
  </si>
  <si>
    <t>VLT-MOL-001-MRR-M</t>
  </si>
  <si>
    <t>VLT-MOL-001-MRR-G</t>
  </si>
  <si>
    <t>VLT-MOL-001-MRR-GG</t>
  </si>
  <si>
    <t>VLT-TOP-001-AMA-P</t>
  </si>
  <si>
    <t>CROPPED CANELADO LISA</t>
  </si>
  <si>
    <t>TOPS E CROPPEDS</t>
  </si>
  <si>
    <t>AMARELO</t>
  </si>
  <si>
    <t>VLT-TOP-001-AMA-M</t>
  </si>
  <si>
    <t>VLT-TOP-001-AMA-G</t>
  </si>
  <si>
    <t>VLT-TOP-001-AMA-GG</t>
  </si>
  <si>
    <t>VLT-TRI-001-MRR-P</t>
  </si>
  <si>
    <t>COLETE TRICÔ TRANÇADO</t>
  </si>
  <si>
    <t>TRICÔ</t>
  </si>
  <si>
    <t>VLT-TRI-001-MRR-M</t>
  </si>
  <si>
    <t>VLT-TRI-001-MRR-G</t>
  </si>
  <si>
    <t>VLT-TRI-001-MRR-GG</t>
  </si>
  <si>
    <t>VLT-TRI-001-AMA-P</t>
  </si>
  <si>
    <t>VLT-TRI-001-AMA-M</t>
  </si>
  <si>
    <t>VLT-TRI-001-AMA-G</t>
  </si>
  <si>
    <t>VLT-TRI-001-AMA-GG</t>
  </si>
  <si>
    <t>VLT-JAQ-001-OLI-P</t>
  </si>
  <si>
    <t>CORTA-VENTO CROPPED</t>
  </si>
  <si>
    <t>JAQUETAS</t>
  </si>
  <si>
    <t>VERDE OLIVA</t>
  </si>
  <si>
    <t>VLT-JAQ-001-OLI-M</t>
  </si>
  <si>
    <t>VLT-JAQ-001-OLI-G</t>
  </si>
  <si>
    <t>VLT-JAQ-001-OLI-GG</t>
  </si>
  <si>
    <t>VLT-MOL-002-BRA-P</t>
  </si>
  <si>
    <t>HOODIE OVERSIZED BÁSICO</t>
  </si>
  <si>
    <t>BRANCO</t>
  </si>
  <si>
    <t>VLT-MOL-002-BRA-M</t>
  </si>
  <si>
    <t>VLT-MOL-002-BRA-G</t>
  </si>
  <si>
    <t>VLT-MOL-002-BRA-GG</t>
  </si>
  <si>
    <t>VLT-MOL-002-OLI-P</t>
  </si>
  <si>
    <t>VLT-MOL-002-OLI-M</t>
  </si>
  <si>
    <t>VLT-MOL-002-OLI-G</t>
  </si>
  <si>
    <t>VLT-MOL-002-OLI-GG</t>
  </si>
  <si>
    <t>VLT-JAQ-002-MRR-P</t>
  </si>
  <si>
    <t>JAQUETA COURO ECO UTILITÁRIA</t>
  </si>
  <si>
    <t>VLT-JAQ-002-MRR-M</t>
  </si>
  <si>
    <t>VLT-JAQ-002-MRR-G</t>
  </si>
  <si>
    <t>VLT-JAQ-002-MRR-GG</t>
  </si>
  <si>
    <t>VLT-JAQ-003-LIL-P</t>
  </si>
  <si>
    <t>BOMBER CROPPED</t>
  </si>
  <si>
    <t>LILÁS</t>
  </si>
  <si>
    <t>VLT-JAQ-003-LIL-M</t>
  </si>
  <si>
    <t>VLT-JAQ-003-LIL-G</t>
  </si>
  <si>
    <t>VLT-JAQ-003-LIL-GG</t>
  </si>
  <si>
    <t>VLT-CAL-001-OLI-36</t>
  </si>
  <si>
    <t>CALÇA CARGO RIPSTOP</t>
  </si>
  <si>
    <t>CALÇAS</t>
  </si>
  <si>
    <t>36</t>
  </si>
  <si>
    <t>VLT-CAL-001-OLI-38</t>
  </si>
  <si>
    <t>38</t>
  </si>
  <si>
    <t>VLT-CAL-001-OLI-40</t>
  </si>
  <si>
    <t>40</t>
  </si>
  <si>
    <t>VLT-CAL-001-OLI-42</t>
  </si>
  <si>
    <t>42</t>
  </si>
  <si>
    <t>VLT-CAL-001-OLI-44</t>
  </si>
  <si>
    <t>44</t>
  </si>
  <si>
    <t>VLT-CAL-001-VIN-36</t>
  </si>
  <si>
    <t>VINHO</t>
  </si>
  <si>
    <t>VLT-CAL-001-VIN-38</t>
  </si>
  <si>
    <t>VLT-CAL-001-VIN-40</t>
  </si>
  <si>
    <t>VLT-CAL-001-VIN-42</t>
  </si>
  <si>
    <t>VLT-CAL-001-VIN-44</t>
  </si>
  <si>
    <t>VLT-ACE-001-OLI-U</t>
  </si>
  <si>
    <t>MEIA CANO ALTO (PAR) BÁSICO</t>
  </si>
  <si>
    <t>ACESSÓRIOS</t>
  </si>
  <si>
    <t>VLT-ACE-001-OFF-U</t>
  </si>
  <si>
    <t>OFF WHITE</t>
  </si>
  <si>
    <t>VLT-ACE-001-PRE-U</t>
  </si>
  <si>
    <t>PRETO</t>
  </si>
  <si>
    <t>VLT-TRI-002-BEG-P</t>
  </si>
  <si>
    <t>SUÉTER TRICÔ LISTRADO</t>
  </si>
  <si>
    <t>BEGE</t>
  </si>
  <si>
    <t>VLT-TRI-002-BEG-M</t>
  </si>
  <si>
    <t>VLT-TRI-002-BEG-G</t>
  </si>
  <si>
    <t>VLT-TRI-002-BEG-GG</t>
  </si>
  <si>
    <t>VLT-TRI-003-BEG-P</t>
  </si>
  <si>
    <t>BLUSA TRICOT TRANÇADO</t>
  </si>
  <si>
    <t>VLT-TRI-003-BEG-M</t>
  </si>
  <si>
    <t>VLT-TRI-003-BEG-G</t>
  </si>
  <si>
    <t>VLT-TRI-003-BEG-GG</t>
  </si>
  <si>
    <t>VLT-TRI-003-MRR-P</t>
  </si>
  <si>
    <t>VLT-TRI-003-MRR-M</t>
  </si>
  <si>
    <t>VLT-TRI-003-MRR-G</t>
  </si>
  <si>
    <t>VLT-TRI-003-MRR-GG</t>
  </si>
  <si>
    <t>VLT-SAI-001-PRE-P</t>
  </si>
  <si>
    <t>SAIA JEANS CETIM</t>
  </si>
  <si>
    <t>SAIAS</t>
  </si>
  <si>
    <t>VLT-SAI-001-PRE-M</t>
  </si>
  <si>
    <t>VLT-SAI-001-PRE-G</t>
  </si>
  <si>
    <t>VLT-SAI-001-PRE-GG</t>
  </si>
  <si>
    <t>VLT-SAI-001-BEG-P</t>
  </si>
  <si>
    <t>VLT-SAI-001-BEG-M</t>
  </si>
  <si>
    <t>VLT-SAI-001-BEG-G</t>
  </si>
  <si>
    <t>VLT-SAI-001-BEG-GG</t>
  </si>
  <si>
    <t>VLT-SAI-001-JCL-P</t>
  </si>
  <si>
    <t>JEANS CLARO</t>
  </si>
  <si>
    <t>VLT-SAI-001-JCL-M</t>
  </si>
  <si>
    <t>VLT-SAI-001-JCL-G</t>
  </si>
  <si>
    <t>VLT-SAI-001-JCL-GG</t>
  </si>
  <si>
    <t>VLT-ACE-002-VIN-U</t>
  </si>
  <si>
    <t>GORRO LISTRADO</t>
  </si>
  <si>
    <t>VLT-CAL-002-OFF-36</t>
  </si>
  <si>
    <t>CALÇA JEANS RETA CLARA</t>
  </si>
  <si>
    <t>VLT-CAL-002-OFF-38</t>
  </si>
  <si>
    <t>VLT-CAL-002-OFF-40</t>
  </si>
  <si>
    <t>VLT-CAL-002-OFF-42</t>
  </si>
  <si>
    <t>VLT-CAL-002-OFF-44</t>
  </si>
  <si>
    <t>VLT-BER-001-BRA-38</t>
  </si>
  <si>
    <t>SHORT ALFAIATARIA BARRA DESFIADA</t>
  </si>
  <si>
    <t>BERMUDAS E SHORTS</t>
  </si>
  <si>
    <t>VLT-BER-001-BRA-40</t>
  </si>
  <si>
    <t>VLT-BER-001-BRA-42</t>
  </si>
  <si>
    <t>VLT-BER-001-BRA-44</t>
  </si>
  <si>
    <t>VLT-CAL-003-PRE-38</t>
  </si>
  <si>
    <t>CALÇA JEANS RETA DESTROYED</t>
  </si>
  <si>
    <t>VLT-CAL-003-PRE-40</t>
  </si>
  <si>
    <t>VLT-CAL-003-PRE-42</t>
  </si>
  <si>
    <t>VLT-CAL-003-PRE-44</t>
  </si>
  <si>
    <t>VLT-CAL-004-CIN-36</t>
  </si>
  <si>
    <t>CALÇA JOGGER DESTROYED</t>
  </si>
  <si>
    <t>CINZA MESCLA</t>
  </si>
  <si>
    <t>VLT-CAL-004-CIN-38</t>
  </si>
  <si>
    <t>VLT-CAL-004-CIN-40</t>
  </si>
  <si>
    <t>VLT-CAL-004-CIN-42</t>
  </si>
  <si>
    <t>VLT-CAL-004-CIN-44</t>
  </si>
  <si>
    <t>VLT-CAL-004-CIN-46</t>
  </si>
  <si>
    <t>46</t>
  </si>
  <si>
    <t>VLT-CAL-004-BEG-36</t>
  </si>
  <si>
    <t>VLT-CAL-004-BEG-38</t>
  </si>
  <si>
    <t>VLT-CAL-004-BEG-40</t>
  </si>
  <si>
    <t>VLT-CAL-004-BEG-42</t>
  </si>
  <si>
    <t>VLT-CAL-004-BEG-44</t>
  </si>
  <si>
    <t>VLT-CAL-004-BEG-46</t>
  </si>
  <si>
    <t>VLT-CAL-005-PRE-36</t>
  </si>
  <si>
    <t>CALÇA JOGGER RIPSTOP</t>
  </si>
  <si>
    <t>VLT-CAL-005-PRE-38</t>
  </si>
  <si>
    <t>VLT-CAL-005-PRE-40</t>
  </si>
  <si>
    <t>VLT-CAL-005-PRE-42</t>
  </si>
  <si>
    <t>VLT-CAL-005-PRE-44</t>
  </si>
  <si>
    <t>VLT-TOP-002-AZM-P</t>
  </si>
  <si>
    <t>TOP FAIXA TRICOT</t>
  </si>
  <si>
    <t>AZUL MARINHO</t>
  </si>
  <si>
    <t>VLT-TOP-002-AZM-M</t>
  </si>
  <si>
    <t>VLT-TOP-002-AZM-G</t>
  </si>
  <si>
    <t>VLT-TOP-002-AZM-GG</t>
  </si>
  <si>
    <t>VLT-TOP-002-PRE-P</t>
  </si>
  <si>
    <t>VLT-TOP-002-PRE-M</t>
  </si>
  <si>
    <t>VLT-TOP-002-PRE-G</t>
  </si>
  <si>
    <t>VLT-TOP-002-PRE-GG</t>
  </si>
  <si>
    <t>VLT-BER-002-CIN-36</t>
  </si>
  <si>
    <t>BERMUDA MOLETOM LEVE</t>
  </si>
  <si>
    <t>VLT-BER-002-CIN-38</t>
  </si>
  <si>
    <t>VLT-BER-002-CIN-40</t>
  </si>
  <si>
    <t>VLT-BER-002-CIN-42</t>
  </si>
  <si>
    <t>VLT-BER-002-CIN-44</t>
  </si>
  <si>
    <t>VLT-BER-003-BRA-36</t>
  </si>
  <si>
    <t>BERMUDA CARGO BARRA DESFIADA</t>
  </si>
  <si>
    <t>VLT-BER-003-BRA-38</t>
  </si>
  <si>
    <t>VLT-BER-003-BRA-40</t>
  </si>
  <si>
    <t>VLT-BER-003-BRA-42</t>
  </si>
  <si>
    <t>VLT-BER-003-BRA-44</t>
  </si>
  <si>
    <t>VLT-BER-003-BRA-46</t>
  </si>
  <si>
    <t>VLT-ACE-003-BEG-U</t>
  </si>
  <si>
    <t>MEIA CANO ALTO (PAR) COURO ECO</t>
  </si>
  <si>
    <t>VLT-ACE-003-OFF-U</t>
  </si>
  <si>
    <t>VLT-CAM-001-CIN-P</t>
  </si>
  <si>
    <t>REGATA SKATE</t>
  </si>
  <si>
    <t>CAMISETAS</t>
  </si>
  <si>
    <t>VLT-CAM-001-CIN-M</t>
  </si>
  <si>
    <t>VLT-CAM-001-CIN-G</t>
  </si>
  <si>
    <t>VLT-CAM-001-CIN-GG</t>
  </si>
  <si>
    <t>VLT-ACE-004-CIN-U</t>
  </si>
  <si>
    <t>CINTO NYLON</t>
  </si>
  <si>
    <t>VLT-ACE-005-OFF-U</t>
  </si>
  <si>
    <t>CINTO BÁSICO</t>
  </si>
  <si>
    <t>VLT-ACE-005-BEG-U</t>
  </si>
  <si>
    <t>VLT-MOL-003-AZM-P</t>
  </si>
  <si>
    <t>MOLETOM ZÍPER COLLEGE</t>
  </si>
  <si>
    <t>VLT-MOL-003-AZM-M</t>
  </si>
  <si>
    <t>VLT-MOL-003-AZM-G</t>
  </si>
  <si>
    <t>VLT-MOL-003-AZM-GG</t>
  </si>
  <si>
    <t>VLT-MOL-003-BEG-P</t>
  </si>
  <si>
    <t>VLT-MOL-003-BEG-M</t>
  </si>
  <si>
    <t>VLT-MOL-003-BEG-G</t>
  </si>
  <si>
    <t>VLT-MOL-003-BEG-GG</t>
  </si>
  <si>
    <t>VLT-MOL-003-CIN-P</t>
  </si>
  <si>
    <t>VLT-MOL-003-CIN-M</t>
  </si>
  <si>
    <t>VLT-MOL-003-CIN-G</t>
  </si>
  <si>
    <t>VLT-MOL-003-CIN-GG</t>
  </si>
  <si>
    <t>VLT-SAI-002-BRA-P</t>
  </si>
  <si>
    <t>SAIA MIDI FENDA</t>
  </si>
  <si>
    <t>VLT-SAI-002-BRA-M</t>
  </si>
  <si>
    <t>VLT-SAI-002-BRA-G</t>
  </si>
  <si>
    <t>VLT-SAI-002-BRA-GG</t>
  </si>
  <si>
    <t>VLT-SAI-002-OFF-P</t>
  </si>
  <si>
    <t>VLT-SAI-002-OFF-M</t>
  </si>
  <si>
    <t>VLT-SAI-002-OFF-G</t>
  </si>
  <si>
    <t>VLT-SAI-002-OFF-GG</t>
  </si>
  <si>
    <t>VLT-CAL-006-JCL-36</t>
  </si>
  <si>
    <t>CALÇA JEANS RETA ESCURA</t>
  </si>
  <si>
    <t>VLT-CAL-006-JCL-38</t>
  </si>
  <si>
    <t>VLT-CAL-006-JCL-40</t>
  </si>
  <si>
    <t>VLT-CAL-006-JCL-42</t>
  </si>
  <si>
    <t>VLT-CAL-006-JCL-44</t>
  </si>
  <si>
    <t>VLT-CAL-006-BEG-36</t>
  </si>
  <si>
    <t>VLT-CAL-006-BEG-38</t>
  </si>
  <si>
    <t>VLT-CAL-006-BEG-40</t>
  </si>
  <si>
    <t>VLT-CAL-006-BEG-42</t>
  </si>
  <si>
    <t>VLT-CAL-006-BEG-44</t>
  </si>
  <si>
    <t>VLT-CAL-007-AZM-38</t>
  </si>
  <si>
    <t>CALÇA CARGO PREGAS</t>
  </si>
  <si>
    <t>VLT-CAL-007-AZM-40</t>
  </si>
  <si>
    <t>VLT-CAL-007-AZM-42</t>
  </si>
  <si>
    <t>VLT-CAL-007-AZM-44</t>
  </si>
  <si>
    <t>VLT-TRI-004-BRA-P</t>
  </si>
  <si>
    <t>BLUSA TRICOT GOLA V</t>
  </si>
  <si>
    <t>VLT-TRI-004-BRA-M</t>
  </si>
  <si>
    <t>VLT-TRI-004-BRA-G</t>
  </si>
  <si>
    <t>VLT-TRI-004-BRA-GG</t>
  </si>
  <si>
    <t>VLT-CMS-001-BEG-P</t>
  </si>
  <si>
    <t>CAMISA XADREZ LEVE</t>
  </si>
  <si>
    <t>CAMISAS</t>
  </si>
  <si>
    <t>VLT-CMS-001-BEG-M</t>
  </si>
  <si>
    <t>VLT-CMS-001-BEG-G</t>
  </si>
  <si>
    <t>VLT-CMS-001-BEG-GG</t>
  </si>
  <si>
    <t>VLT-CAM-002-AZM-PP</t>
  </si>
  <si>
    <t>CAMISETA BOXY CONCRETO</t>
  </si>
  <si>
    <t>VLT-CAM-002-AZM-P</t>
  </si>
  <si>
    <t>VLT-CAM-002-AZM-M</t>
  </si>
  <si>
    <t>VLT-CAM-002-AZM-G</t>
  </si>
  <si>
    <t>VLT-CAM-002-AZM-GG</t>
  </si>
  <si>
    <t>VLT-CMS-002-BEG-P</t>
  </si>
  <si>
    <t>CAMISA CUBAN AMPLA</t>
  </si>
  <si>
    <t>VLT-CMS-002-BEG-M</t>
  </si>
  <si>
    <t>VLT-CMS-002-BEG-G</t>
  </si>
  <si>
    <t>VLT-CMS-002-BEG-GG</t>
  </si>
  <si>
    <t>VLT-CAM-003-CIN-P</t>
  </si>
  <si>
    <t>CAMISETA OVERSIZED LISTRADA</t>
  </si>
  <si>
    <t>VLT-CAM-003-CIN-M</t>
  </si>
  <si>
    <t>VLT-CAM-003-CIN-G</t>
  </si>
  <si>
    <t>VLT-CAM-003-CIN-GG</t>
  </si>
  <si>
    <t>VLT-CAM-003-AZM-P</t>
  </si>
  <si>
    <t>VLT-CAM-003-AZM-M</t>
  </si>
  <si>
    <t>VLT-CAM-003-AZM-G</t>
  </si>
  <si>
    <t>VLT-CAM-003-AZM-GG</t>
  </si>
  <si>
    <t>VLT-MOL-004-BRA-P</t>
  </si>
  <si>
    <t>HOODIE OVERSIZED BORDADO</t>
  </si>
  <si>
    <t>VLT-MOL-004-BRA-M</t>
  </si>
  <si>
    <t>VLT-MOL-004-BRA-G</t>
  </si>
  <si>
    <t>VLT-MOL-004-BRA-GG</t>
  </si>
  <si>
    <t>VLT-CAM-004-BRA-P</t>
  </si>
  <si>
    <t>CAMISETA BOXY LOGO</t>
  </si>
  <si>
    <t>VLT-CAM-004-BRA-M</t>
  </si>
  <si>
    <t>VLT-CAM-004-BRA-G</t>
  </si>
  <si>
    <t>VLT-CAM-004-BRA-GG</t>
  </si>
  <si>
    <t>VLT-CAM-004-CIN-P</t>
  </si>
  <si>
    <t>VLT-CAM-004-CIN-M</t>
  </si>
  <si>
    <t>VLT-CAM-004-CIN-G</t>
  </si>
  <si>
    <t>VLT-CAM-004-CIN-GG</t>
  </si>
  <si>
    <t>VLT-CAM-004-PRE-P</t>
  </si>
  <si>
    <t>VLT-CAM-004-PRE-M</t>
  </si>
  <si>
    <t>VLT-CAM-004-PRE-G</t>
  </si>
  <si>
    <t>VLT-CAM-004-PRE-GG</t>
  </si>
  <si>
    <t>VLT-TOP-003-BRA-P</t>
  </si>
  <si>
    <t>TOP FAIXA CETIM</t>
  </si>
  <si>
    <t>VLT-TOP-003-BRA-M</t>
  </si>
  <si>
    <t>VLT-TOP-003-BRA-G</t>
  </si>
  <si>
    <t>VLT-TOP-003-BRA-GG</t>
  </si>
  <si>
    <t>VLT-CMS-003-BRA-PP</t>
  </si>
  <si>
    <t>OVERSHIRT AMPLA</t>
  </si>
  <si>
    <t>VLT-CMS-003-BRA-P</t>
  </si>
  <si>
    <t>VLT-CMS-003-BRA-M</t>
  </si>
  <si>
    <t>VLT-CMS-003-BRA-G</t>
  </si>
  <si>
    <t>VLT-CMS-003-BRA-GG</t>
  </si>
  <si>
    <t>VLT-MOL-005-OFF-PP</t>
  </si>
  <si>
    <t>MOLETOM CANGURU BORDADO</t>
  </si>
  <si>
    <t>VLT-MOL-005-OFF-P</t>
  </si>
  <si>
    <t>VLT-MOL-005-OFF-M</t>
  </si>
  <si>
    <t>VLT-MOL-005-OFF-G</t>
  </si>
  <si>
    <t>VLT-MOL-005-OFF-GG</t>
  </si>
  <si>
    <t>VLT-CAM-005-OFF-P</t>
  </si>
  <si>
    <t>CAMISETA OVERSIZED LOGO</t>
  </si>
  <si>
    <t>VLT-CAM-005-OFF-M</t>
  </si>
  <si>
    <t>VLT-CAM-005-OFF-G</t>
  </si>
  <si>
    <t>VLT-CAM-005-OFF-GG</t>
  </si>
  <si>
    <t>VLT-CAL-008-BRA-38</t>
  </si>
  <si>
    <t>CALÇA CARGO COMFORT</t>
  </si>
  <si>
    <t>VLT-CAL-008-BRA-40</t>
  </si>
  <si>
    <t>VLT-CAL-008-BRA-42</t>
  </si>
  <si>
    <t>VLT-CAL-008-BRA-44</t>
  </si>
  <si>
    <t>VLT-CAL-008-AZM-38</t>
  </si>
  <si>
    <t>VLT-CAL-008-AZM-40</t>
  </si>
  <si>
    <t>VLT-CAL-008-AZM-42</t>
  </si>
  <si>
    <t>VLT-CAL-008-AZM-44</t>
  </si>
  <si>
    <t>VLT-CAL-008-OFF-38</t>
  </si>
  <si>
    <t>VLT-CAL-008-OFF-40</t>
  </si>
  <si>
    <t>VLT-CAL-008-OFF-42</t>
  </si>
  <si>
    <t>VLT-CAL-008-OFF-44</t>
  </si>
  <si>
    <t>VLT-CAL-009-OFF-36</t>
  </si>
  <si>
    <t>CALÇA WIDE LEG CLARA</t>
  </si>
  <si>
    <t>VLT-CAL-009-OFF-38</t>
  </si>
  <si>
    <t>VLT-CAL-009-OFF-40</t>
  </si>
  <si>
    <t>VLT-CAL-009-OFF-42</t>
  </si>
  <si>
    <t>VLT-CAL-009-OFF-44</t>
  </si>
  <si>
    <t>VLT-MOL-006-AMA-P</t>
  </si>
  <si>
    <t>MOLETOM CARECA COLLEGE</t>
  </si>
  <si>
    <t>VLT-MOL-006-AMA-M</t>
  </si>
  <si>
    <t>VLT-MOL-006-AMA-G</t>
  </si>
  <si>
    <t>VLT-MOL-006-AMA-GG</t>
  </si>
  <si>
    <t>VLT-SAI-004-MRR-P</t>
  </si>
  <si>
    <t>SAIA CARGO UTILITÁRIA</t>
  </si>
  <si>
    <t>VLT-SAI-004-MRR-M</t>
  </si>
  <si>
    <t>VLT-SAI-004-MRR-G</t>
  </si>
  <si>
    <t>VLT-SAI-004-MRR-GG</t>
  </si>
  <si>
    <t>VLT-SAI-005-OFF-P</t>
  </si>
  <si>
    <t>SAIA JEANS UTILITÁRIA</t>
  </si>
  <si>
    <t>VLT-SAI-005-OFF-M</t>
  </si>
  <si>
    <t>VLT-SAI-005-OFF-G</t>
  </si>
  <si>
    <t>VLT-CMS-006-AMA-PP</t>
  </si>
  <si>
    <t>CAMISA OXFORD LISTRADA</t>
  </si>
  <si>
    <t>VLT-CMS-006-AMA-P</t>
  </si>
  <si>
    <t>VLT-CMS-006-AMA-M</t>
  </si>
  <si>
    <t>VLT-CMS-006-AMA-G</t>
  </si>
  <si>
    <t>VLT-CMS-006-AMA-GG</t>
  </si>
  <si>
    <t>VLT-BER-005-VIN-36</t>
  </si>
  <si>
    <t>BERMUDA SARJA AMPLA</t>
  </si>
  <si>
    <t>VLT-BER-005-VIN-38</t>
  </si>
  <si>
    <t>VLT-BER-005-VIN-40</t>
  </si>
  <si>
    <t>VLT-BER-005-VIN-42</t>
  </si>
  <si>
    <t>VLT-BER-005-VIN-44</t>
  </si>
  <si>
    <t>VLT-VES-003-CIN-P</t>
  </si>
  <si>
    <t>MACACÃO CANELADO</t>
  </si>
  <si>
    <t>VESTIDOS</t>
  </si>
  <si>
    <t>VLT-VES-003-CIN-M</t>
  </si>
  <si>
    <t>VLT-VES-003-CIN-G</t>
  </si>
  <si>
    <t>VLT-VES-003-CIN-GG</t>
  </si>
  <si>
    <t>VLT-VES-003-AMA-P</t>
  </si>
  <si>
    <t>VLT-VES-003-AMA-M</t>
  </si>
  <si>
    <t>VLT-VES-003-AMA-G</t>
  </si>
  <si>
    <t>VLT-VES-003-AMA-GG</t>
  </si>
  <si>
    <t>VLT-VES-004-AMA-PP</t>
  </si>
  <si>
    <t>MACACÃO CETIM</t>
  </si>
  <si>
    <t>VLT-VES-004-AMA-P</t>
  </si>
  <si>
    <t>VLT-VES-004-AMA-M</t>
  </si>
  <si>
    <t>VLT-VES-004-AMA-G</t>
  </si>
  <si>
    <t>VLT-VES-004-AMA-GG</t>
  </si>
  <si>
    <t>VLT-TOP-010-AMA-P</t>
  </si>
  <si>
    <t>BODY CANELADO</t>
  </si>
  <si>
    <t>VLT-TOP-010-AMA-M</t>
  </si>
  <si>
    <t>VLT-TOP-010-AMA-G</t>
  </si>
  <si>
    <t>VLT-TOP-010-VIN-P</t>
  </si>
  <si>
    <t>VLT-TOP-010-VIN-M</t>
  </si>
  <si>
    <t>VLT-TOP-010-VIN-G</t>
  </si>
  <si>
    <t>VLT-CAM-011-VIN-P</t>
  </si>
  <si>
    <t>CAMISETA BOXY URBANA</t>
  </si>
  <si>
    <t>VLT-CAM-011-VIN-M</t>
  </si>
  <si>
    <t>VLT-CAM-011-VIN-G</t>
  </si>
  <si>
    <t>VLT-CAM-011-LIL-P</t>
  </si>
  <si>
    <t>VLT-CAM-011-LIL-M</t>
  </si>
  <si>
    <t>VLT-CAM-011-LIL-G</t>
  </si>
  <si>
    <t>VLT-CMS-007-LIL-P</t>
  </si>
  <si>
    <t>CAMISA LINHO BOLSO</t>
  </si>
  <si>
    <t>VLT-CMS-007-LIL-M</t>
  </si>
  <si>
    <t>VLT-CMS-007-LIL-G</t>
  </si>
  <si>
    <t>VLT-CMS-007-LIL-GG</t>
  </si>
  <si>
    <t>VLT-CMS-007-BRA-P</t>
  </si>
  <si>
    <t>VLT-CMS-007-BRA-M</t>
  </si>
  <si>
    <t>VLT-CMS-007-BRA-G</t>
  </si>
  <si>
    <t>VLT-CMS-007-BRA-GG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</si>
</sst>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"/>
    <numFmt numFmtId="165" formatCode="0.0%"/>
    <numFmt numFmtId="166" formatCode="#,##0;\-#,##0;&quot;-&quot;"/>
  </numFmts>
  <fonts count="1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i/>
      <sz val="9"/>
      <color rgb="FFC55A11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sz val="11"/>
      <color rgb="FF54823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49" fontId="0" fillId="0" borderId="0" xfId="0" applyNumberFormat="1"/>
    <xf numFmtId="49" fontId="5" fillId="0" borderId="0" xfId="0" applyNumberFormat="1" applyFont="1"/>
    <xf numFmtId="0" fontId="6" fillId="0" borderId="0" xfId="0" applyFont="1"/>
    <xf numFmtId="0" fontId="7" fillId="0" borderId="0" xfId="0" applyFont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9" fillId="0" borderId="0" xfId="0" applyNumberFormat="1" applyFont="1"/>
    <xf numFmtId="49" fontId="9" fillId="0" borderId="0" xfId="0" applyNumberFormat="1" applyFont="1"/>
    <xf numFmtId="0" fontId="10" fillId="0" borderId="0" xfId="0" applyFont="1"/>
    <xf numFmtId="0" fontId="4" fillId="0" borderId="0" xfId="0" applyFont="1"/>
    <xf numFmtId="164" fontId="11" fillId="0" borderId="0" xfId="0" applyNumberFormat="1" applyFont="1"/>
    <xf numFmtId="0" fontId="2" fillId="0" borderId="0" xfId="0" applyFont="1" applyAlignment="1">
      <alignment vertical="center" wrapText="1"/>
    </xf>
    <xf numFmtId="49" fontId="2" fillId="0" borderId="0" xfId="0" applyNumberFormat="1" applyFont="1"/>
    <xf numFmtId="0" fontId="12" fillId="0" borderId="0" xfId="0" applyFont="1"/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/>
    </xf>
    <xf numFmtId="0" fontId="2" fillId="0" borderId="1" xfId="0" applyFont="1" applyBorder="1"/>
    <xf numFmtId="166" fontId="2" fillId="0" borderId="1" xfId="0" applyNumberFormat="1" applyFont="1" applyBorder="1" applyAlignment="1">
      <alignment horizontal="center"/>
    </xf>
    <xf numFmtId="0" fontId="13" fillId="0" borderId="0" xfId="0" applyFont="1"/>
    <xf numFmtId="0" fontId="13" fillId="0" borderId="2" xfId="0" applyFont="1" applyBorder="1"/>
    <xf numFmtId="164" fontId="14" fillId="0" borderId="0" xfId="0" applyNumberFormat="1" applyFont="1"/>
    <xf numFmtId="0" fontId="11" fillId="0" borderId="7" xfId="0" applyFont="1" applyBorder="1"/>
    <xf numFmtId="165" fontId="11" fillId="0" borderId="0" xfId="0" applyNumberFormat="1" applyFont="1"/>
  </cellXfs>
  <cellStyles count="1">
    <cellStyle name="Normal" xfId="0" builtinId="0"/>
  </cellStyles>
  <dxfs count="118">
    <dxf>
      <font>
        <b/>
      </font>
    </dxf>
    <dxf>
      <numFmt numFmtId="30" formatCode="@"/>
    </dxf>
    <dxf>
      <numFmt numFmtId="30" formatCode="@"/>
    </dxf>
    <dxf>
      <font>
        <b/>
      </font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</dxf>
    <dxf>
      <numFmt numFmtId="30" formatCode="@"/>
      <alignment horizontal="center"/>
    </dxf>
    <dxf>
      <numFmt numFmtId="30" formatCode="@"/>
    </dxf>
    <dxf>
      <numFmt numFmtId="167" formatCode="dd/mm/yyyy"/>
      <alignment horizontal="center"/>
    </dxf>
    <dxf>
      <numFmt numFmtId="30" formatCode="@"/>
    </dxf>
    <dxf>
      <numFmt numFmtId="30" formatCode="@"/>
    </dxf>
    <dxf>
      <numFmt numFmtId="164" formatCode="[$R$-416]\ #,##0.00"/>
      <alignment horizontal="center"/>
    </dxf>
    <dxf>
      <numFmt numFmtId="164" formatCode="[$R$-416]\ #,##0.00"/>
    </dxf>
    <dxf>
      <numFmt numFmtId="164" formatCode="[$R$-416]\ #,##0.00"/>
    </dxf>
    <dxf>
      <numFmt numFmtId="30" formatCode="@"/>
      <alignment horizontal="center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/>
    </dxf>
    <dxf>
      <numFmt numFmtId="30" formatCode="@"/>
    </dxf>
    <dxf>
      <font>
        <b/>
      </font>
      <alignment vertical="center" wrapText="1"/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ont>
        <strike/>
        <color rgb="FFA6A6A6"/>
      </font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167" formatCode="dd/mm/yyyy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R$-416]\ #,##0.00"/>
      <alignment horizontal="center"/>
    </dxf>
    <dxf>
      <font>
        <name val="Calibri"/>
      </font>
      <numFmt numFmtId="168" formatCode="\R&quot;R$&quot;\ #,##0.00"/>
    </dxf>
    <dxf>
      <font>
        <name val="Calibri"/>
      </font>
      <numFmt numFmtId="168" formatCode="\R&quot;R$&quot;\ #,##0.00"/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  <alignment horizontal="center"/>
    </dxf>
    <dxf>
      <font>
        <name val="Calibri"/>
      </font>
    </dxf>
    <dxf>
      <font>
        <name val="Calibri"/>
      </font>
      <numFmt numFmtId="30" formatCode="@"/>
    </dxf>
    <dxf>
      <font>
        <name val="Calibri"/>
      </font>
    </dxf>
    <dxf>
      <font>
        <b/>
        <name val="Calibri"/>
      </font>
      <alignment vertical="center" wrapText="1"/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ont>
        <strike/>
        <color rgb="FFA6A6A6"/>
      </font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167" formatCode="dd/mm/yyyy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R$-416]\ #,##0.00"/>
      <alignment horizontal="center"/>
    </dxf>
    <dxf>
      <font>
        <name val="Calibri"/>
      </font>
      <numFmt numFmtId="168" formatCode="\R&quot;R$&quot;\ #,##0.00"/>
    </dxf>
    <dxf>
      <font>
        <name val="Calibri"/>
      </font>
      <numFmt numFmtId="168" formatCode="\R&quot;R$&quot;\ #,##0.00"/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  <alignment horizontal="center"/>
    </dxf>
    <dxf>
      <font>
        <name val="Calibri"/>
      </font>
    </dxf>
    <dxf>
      <font>
        <name val="Calibri"/>
      </font>
      <numFmt numFmtId="30" formatCode="@"/>
    </dxf>
    <dxf>
      <font>
        <name val="Calibri"/>
      </font>
    </dxf>
    <dxf>
      <font>
        <b/>
        <name val="Calibri"/>
      </font>
      <alignment vertical="center" wrapText="1"/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ont>
        <strike/>
        <color rgb="FFA6A6A6"/>
      </font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167" formatCode="dd/mm/yyyy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R$-416]\ #,##0.00"/>
      <alignment horizontal="center"/>
    </dxf>
    <dxf>
      <font>
        <name val="Calibri"/>
      </font>
      <numFmt numFmtId="168" formatCode="\R&quot;R$&quot;\ #,##0.00"/>
    </dxf>
    <dxf>
      <font>
        <name val="Calibri"/>
      </font>
      <numFmt numFmtId="168" formatCode="\R&quot;R$&quot;\ #,##0.00"/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  <alignment horizontal="center"/>
    </dxf>
    <dxf>
      <font>
        <name val="Calibri"/>
      </font>
    </dxf>
    <dxf>
      <font>
        <name val="Calibri"/>
      </font>
      <numFmt numFmtId="30" formatCode="@"/>
    </dxf>
    <dxf>
      <font>
        <name val="Calibri"/>
      </font>
    </dxf>
    <dxf>
      <font>
        <b/>
        <name val="Calibri"/>
      </font>
      <alignment vertical="center" wrapText="1"/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ont>
        <strike/>
        <color rgb="FFA6A6A6"/>
      </font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167" formatCode="dd/mm/yyyy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R$-416]\ #,##0.00"/>
      <alignment horizontal="center"/>
    </dxf>
    <dxf>
      <font>
        <name val="Calibri"/>
      </font>
      <numFmt numFmtId="168" formatCode="\R&quot;R$&quot;\ #,##0.00"/>
    </dxf>
    <dxf>
      <font>
        <name val="Calibri"/>
      </font>
      <numFmt numFmtId="168" formatCode="\R&quot;R$&quot;\ #,##0.00"/>
    </dxf>
    <dxf>
      <font>
        <name val="Calibri"/>
      </font>
      <numFmt numFmtId="30" formatCode="@"/>
      <alignment horizontal="center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</dxf>
    <dxf>
      <font>
        <name val="Calibri"/>
      </font>
      <numFmt numFmtId="30" formatCode="@"/>
      <alignment horizontal="center"/>
    </dxf>
    <dxf>
      <font>
        <name val="Calibri"/>
      </font>
    </dxf>
    <dxf>
      <font>
        <name val="Calibri"/>
      </font>
      <numFmt numFmtId="30" formatCode="@"/>
    </dxf>
    <dxf>
      <font>
        <name val="Calibri"/>
      </font>
    </dxf>
    <dxf>
      <font>
        <b/>
        <name val="Calibri"/>
      </font>
      <alignment vertical="center" wrapText="1"/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ont>
        <strike/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C42CA9-D88D-F24F-AE14-C2F102ED99F5}" name="tVerao25" displayName="tVerao25" ref="A4:O156" totalsRowShown="0" headerRowDxfId="112" dataDxfId="111">
  <autoFilter ref="A4:O156" xr:uid="{5DC42CA9-D88D-F24F-AE14-C2F102ED99F5}"/>
  <tableColumns count="15">
    <tableColumn id="1" xr3:uid="{94BDBFA3-678F-654B-AB5C-1B62083731A6}" name="SKU" dataDxfId="110">
      <calculatedColumnFormula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calculatedColumnFormula>
    </tableColumn>
    <tableColumn id="2" xr3:uid="{FB1E9FB2-512E-6F4C-979F-5827D523B521}" name="Código CD" dataDxfId="109"/>
    <tableColumn id="3" xr3:uid="{778CB4CB-A3A3-EF42-98FC-D049C765DA67}" name="Modelo" dataDxfId="108"/>
    <tableColumn id="4" xr3:uid="{5E1EF88E-5CCD-6E48-BC1F-770E5F63AE64}" name="Produto" dataDxfId="107"/>
    <tableColumn id="5" xr3:uid="{E59B669A-0B1E-7E4E-8CAA-2BDC2E6B93C7}" name="Categoria" dataDxfId="106"/>
    <tableColumn id="6" xr3:uid="{C0BDC1FE-55C7-4B45-89B2-50AD23CF9961}" name="Cor" dataDxfId="105"/>
    <tableColumn id="7" xr3:uid="{62EEBC12-6336-0449-89C9-05612BDE2CF4}" name="Tamanho" dataDxfId="104"/>
    <tableColumn id="8" xr3:uid="{6D0296E4-67AA-C749-812D-5CBFEC81B398}" name="Preço (R$)" dataDxfId="103"/>
    <tableColumn id="9" xr3:uid="{C693C463-B386-AB47-9DE3-16D2DC2F161B}" name="Custo (R$)" dataDxfId="102"/>
    <tableColumn id="15" xr3:uid="{BE0806D5-14F1-E94B-94ED-1DB1B0BD0124}" name="Margem (%)" dataDxfId="101">
      <calculatedColumnFormula>IF(OR(tVerao25[[#This Row],[Preço (R$)]]="",tVerao25[[#This Row],[Custo (R$)]]=""),"",(tVerao25[[#This Row],[Preço (R$)]]-tVerao25[[#This Row],[Custo (R$)]])/tVerao25[[#This Row],[Preço (R$)]])</calculatedColumnFormula>
    </tableColumn>
    <tableColumn id="10" xr3:uid="{B608BCFA-0667-F44C-A0D0-7EB8F15062C6}" name="EAN" dataDxfId="100"/>
    <tableColumn id="11" xr3:uid="{853E7059-86E8-5A40-9859-272295DBFDBB}" name="Fornecedor" dataDxfId="99"/>
    <tableColumn id="12" xr3:uid="{CD7BEB2B-E17B-664E-B3CF-AA3186C12132}" name="Lançamento" dataDxfId="98"/>
    <tableColumn id="13" xr3:uid="{9FDCF0DA-7B57-8A45-80CB-D1176971F258}" name="Obs" dataDxfId="97"/>
    <tableColumn id="14" xr3:uid="{7470AD17-B24A-A64A-80C1-83879B894C19}" name="Status" dataDxfId="96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767F69-E0FE-6540-9C39-D12D432E2C17}" name="tInverno25" displayName="tInverno25" ref="A4:O148" totalsRowShown="0" headerRowDxfId="90" dataDxfId="89">
  <autoFilter ref="A4:O148" xr:uid="{28767F69-E0FE-6540-9C39-D12D432E2C17}"/>
  <tableColumns count="15">
    <tableColumn id="1" xr3:uid="{A99BE4C9-2784-8044-97C5-F2711DE3EFB0}" name="SKU" dataDxfId="88">
      <calculatedColumnFormula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calculatedColumnFormula>
    </tableColumn>
    <tableColumn id="2" xr3:uid="{BEA7C53F-CDAC-394A-91F6-A0ED2DC6C90C}" name="Código CD" dataDxfId="87"/>
    <tableColumn id="3" xr3:uid="{DDA96D59-686D-0348-A57F-8B200F4D6633}" name="Modelo" dataDxfId="86"/>
    <tableColumn id="4" xr3:uid="{98B1380D-13BB-E44E-8BF9-0507ABFA7719}" name="Produto" dataDxfId="85"/>
    <tableColumn id="5" xr3:uid="{36FD1287-380E-804F-B9B7-F92388C3AEBF}" name="Categoria" dataDxfId="84"/>
    <tableColumn id="6" xr3:uid="{6328E988-BEEB-A04E-8001-DBCCB531F364}" name="Cor" dataDxfId="83"/>
    <tableColumn id="7" xr3:uid="{7CB445EE-F044-E342-B6C9-5D2865495F0B}" name="Tamanho" dataDxfId="82"/>
    <tableColumn id="8" xr3:uid="{683D2EE3-6C44-7F4C-AC3A-D617D0E877A3}" name="Preço (R$)" dataDxfId="81"/>
    <tableColumn id="9" xr3:uid="{1313128C-DDCF-734C-9DB1-653A4475FC63}" name="Custo (R$)" dataDxfId="80"/>
    <tableColumn id="15" xr3:uid="{51040697-530C-4245-BDBD-8FDE293CE883}" name="Margem (%)" dataDxfId="79">
      <calculatedColumnFormula>IF(OR(tInverno25[[#This Row],[Preço (R$)]]="",tInverno25[[#This Row],[Custo (R$)]]=""),"",(tInverno25[[#This Row],[Preço (R$)]]-tInverno25[[#This Row],[Custo (R$)]])/tInverno25[[#This Row],[Preço (R$)]])</calculatedColumnFormula>
    </tableColumn>
    <tableColumn id="10" xr3:uid="{97961282-E765-1741-B944-D7757F89478D}" name="EAN" dataDxfId="78"/>
    <tableColumn id="11" xr3:uid="{81EDD694-6D20-DD43-9E1F-50B5E6B94108}" name="Fornecedor" dataDxfId="77"/>
    <tableColumn id="12" xr3:uid="{EEB5994C-17C7-754A-BEE9-151AD3AABFB6}" name="Lançamento" dataDxfId="76"/>
    <tableColumn id="13" xr3:uid="{A7C45A8E-69B1-0544-A879-AEF7ED6406D6}" name="Obs" dataDxfId="75"/>
    <tableColumn id="14" xr3:uid="{370B5774-6FFA-CF46-8941-40050BC63E6A}" name="Status" dataDxfId="74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8D9DEB-0DFD-1744-9F4C-832530EBF267}" name="tVerao26" displayName="tVerao26" ref="A4:O275" totalsRowShown="0" headerRowDxfId="68" dataDxfId="67">
  <autoFilter ref="A4:O275" xr:uid="{238D9DEB-0DFD-1744-9F4C-832530EBF267}"/>
  <tableColumns count="15">
    <tableColumn id="1" xr3:uid="{FB225B78-9393-1249-9DA7-12B58BD9B080}" name="SKU" dataDxfId="66">
      <calculatedColumnFormula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calculatedColumnFormula>
    </tableColumn>
    <tableColumn id="2" xr3:uid="{ACA34617-18E0-304B-9353-C2814D563602}" name="Código CD" dataDxfId="65"/>
    <tableColumn id="3" xr3:uid="{9BF66A1E-FAE9-7E45-8668-869249AB19A6}" name="Modelo" dataDxfId="64"/>
    <tableColumn id="4" xr3:uid="{FABCC670-0331-7C4C-9679-0528DE2D3E16}" name="Produto" dataDxfId="63"/>
    <tableColumn id="5" xr3:uid="{32AAC16A-0927-B44B-9193-A4B914CE48C1}" name="Categoria" dataDxfId="62"/>
    <tableColumn id="6" xr3:uid="{A0D7295B-EF86-B94A-A626-DA9F880C7DAF}" name="Cor" dataDxfId="61"/>
    <tableColumn id="7" xr3:uid="{A10D38C7-1185-744D-890A-E2368BBDDEDF}" name="Tamanho" dataDxfId="60"/>
    <tableColumn id="8" xr3:uid="{0FC18CBC-A7C2-8945-8F0C-8245A86A4145}" name="Preço (R$)" dataDxfId="59"/>
    <tableColumn id="9" xr3:uid="{CD2F389F-56B2-9240-BA11-079B9EDEAD15}" name="Custo (R$)" dataDxfId="58"/>
    <tableColumn id="15" xr3:uid="{8ED19A3F-74BB-5B42-9450-843FD54CBB37}" name="Margem (%)" dataDxfId="57">
      <calculatedColumnFormula>IF(OR(tVerao26[[#This Row],[Preço (R$)]]="",tVerao26[[#This Row],[Custo (R$)]]=""),"",(tVerao26[[#This Row],[Preço (R$)]]-tVerao26[[#This Row],[Custo (R$)]])/tVerao26[[#This Row],[Preço (R$)]])</calculatedColumnFormula>
    </tableColumn>
    <tableColumn id="10" xr3:uid="{494E1FEB-C5F7-D94C-BA2F-8F7935833EC7}" name="EAN" dataDxfId="56"/>
    <tableColumn id="11" xr3:uid="{66EB9C21-7F42-BF42-B858-786CD3D14DAD}" name="Fornecedor" dataDxfId="55"/>
    <tableColumn id="12" xr3:uid="{530BFD85-E23F-8346-B1A2-274D1E02C371}" name="Lançamento" dataDxfId="54"/>
    <tableColumn id="13" xr3:uid="{0D97B4AA-099A-DF43-AEC4-AACB8058A937}" name="Obs" dataDxfId="53"/>
    <tableColumn id="14" xr3:uid="{F5382897-4C59-8E49-B780-FFC33D3DD219}" name="Status" dataDxfId="52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8ABF54-7B9D-A140-A447-801492AE6A25}" name="tInverno26" displayName="tInverno26" ref="A4:O181" totalsRowShown="0" headerRowDxfId="46" dataDxfId="45">
  <autoFilter ref="A4:O181" xr:uid="{BB8ABF54-7B9D-A140-A447-801492AE6A25}"/>
  <tableColumns count="15">
    <tableColumn id="1" xr3:uid="{B1754E89-BAFA-5248-8995-378E1CEE4ED4}" name="SKU" dataDxfId="44">
      <calculatedColumnFormula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calculatedColumnFormula>
    </tableColumn>
    <tableColumn id="2" xr3:uid="{576D6115-DF27-3B46-885C-0CF2E0BB8C63}" name="Código CD" dataDxfId="43"/>
    <tableColumn id="3" xr3:uid="{5E00B6B4-A4EE-B540-ACC8-6CEB0E7393D7}" name="Modelo" dataDxfId="42"/>
    <tableColumn id="4" xr3:uid="{93168104-C591-CA40-B323-43EC9A67159B}" name="Produto" dataDxfId="41"/>
    <tableColumn id="5" xr3:uid="{4C9F66A8-D562-5847-BF79-2B4314D44F85}" name="Categoria" dataDxfId="40"/>
    <tableColumn id="6" xr3:uid="{826C83FE-D499-DA44-A5D8-6F6B9EAAE633}" name="Cor" dataDxfId="39"/>
    <tableColumn id="7" xr3:uid="{E1DA535E-3F04-1D41-9FD8-4F3BDE595BF5}" name="Tamanho" dataDxfId="38"/>
    <tableColumn id="8" xr3:uid="{4362E819-33D0-044B-8207-1A1345F29B46}" name="Preço (R$)" dataDxfId="37"/>
    <tableColumn id="9" xr3:uid="{58753683-0BB8-4A4E-843A-671474F15421}" name="Custo (R$)" dataDxfId="36"/>
    <tableColumn id="15" xr3:uid="{37AECEDC-1C5B-4041-938A-483820D25C68}" name="Margem (%)" dataDxfId="35">
      <calculatedColumnFormula>IF(OR(tInverno26[[#This Row],[Preço (R$)]]="",tInverno26[[#This Row],[Custo (R$)]]=""),"",(tInverno26[[#This Row],[Preço (R$)]]-tInverno26[[#This Row],[Custo (R$)]])/tInverno26[[#This Row],[Preço (R$)]])</calculatedColumnFormula>
    </tableColumn>
    <tableColumn id="10" xr3:uid="{ECBDBF46-8164-F14F-91F4-4C425CC95353}" name="EAN" dataDxfId="34"/>
    <tableColumn id="11" xr3:uid="{37DA0523-E201-444E-A5BB-822638CABC13}" name="Fornecedor" dataDxfId="33"/>
    <tableColumn id="12" xr3:uid="{927B430B-07CE-0341-89BF-BE30163EBD68}" name="Lançamento" dataDxfId="32"/>
    <tableColumn id="13" xr3:uid="{A8D991A0-89D6-1049-BC52-5822AB7E1B5D}" name="Obs" dataDxfId="31"/>
    <tableColumn id="14" xr3:uid="{6A7F89C8-408F-DA4F-B1CB-C4D806D07632}" name="Status" dataDxfId="30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3DA607-AB26-7049-AF79-AD281EB306B2}" name="tAtemporais" displayName="tAtemporais" ref="A4:O167" totalsRowShown="0" headerRowDxfId="24">
  <autoFilter ref="A4:O167" xr:uid="{3A3DA607-AB26-7049-AF79-AD281EB306B2}"/>
  <tableColumns count="15">
    <tableColumn id="1" xr3:uid="{344F388A-2944-F342-81B0-DEB7CFAA92D2}" name="SKU">
      <calculatedColumnFormula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calculatedColumnFormula>
    </tableColumn>
    <tableColumn id="2" xr3:uid="{7EA55CBE-9DEC-2149-A42A-349672EA5276}" name="Código CD" dataDxfId="23"/>
    <tableColumn id="3" xr3:uid="{93F5AC5E-0C2D-4E4B-B5B5-D2827CCAA1D4}" name="Modelo" dataDxfId="22"/>
    <tableColumn id="4" xr3:uid="{11BBE8F3-62D8-1144-86D6-A1827137D01D}" name="Produto" dataDxfId="21"/>
    <tableColumn id="5" xr3:uid="{E6E50BBE-754C-6C40-95C0-93C1FF347F48}" name="Categoria" dataDxfId="20"/>
    <tableColumn id="6" xr3:uid="{C0C69BE6-CA3F-E745-B108-47900FC04FC0}" name="Cor" dataDxfId="19"/>
    <tableColumn id="7" xr3:uid="{C83500BE-FE29-1140-8B90-879EFE3DA121}" name="Tamanho" dataDxfId="18"/>
    <tableColumn id="8" xr3:uid="{4F968743-7B3E-0E42-9741-2ED05E85CED6}" name="Preço (R$)" dataDxfId="17"/>
    <tableColumn id="9" xr3:uid="{51412EF0-EA80-8A42-8029-AC47983E7AFD}" name="Custo (R$)" dataDxfId="16"/>
    <tableColumn id="15" xr3:uid="{C0646946-6180-374C-979D-D33602521FF3}" name="Margem (%)" dataDxfId="15">
      <calculatedColumnFormula>IF(OR(tAtemporais[[#This Row],[Preço (R$)]]="",tAtemporais[[#This Row],[Custo (R$)]]=""),"",(tAtemporais[[#This Row],[Preço (R$)]]-tAtemporais[[#This Row],[Custo (R$)]])/tAtemporais[[#This Row],[Preço (R$)]])</calculatedColumnFormula>
    </tableColumn>
    <tableColumn id="10" xr3:uid="{BC018208-A1F8-294A-97AB-958E96103BB1}" name="EAN" dataDxfId="14"/>
    <tableColumn id="11" xr3:uid="{983DC0D4-40F5-564E-8EDC-29BE1AD0D8E2}" name="Fornecedor" dataDxfId="13"/>
    <tableColumn id="12" xr3:uid="{3A050FA1-DD12-7E46-B29B-F24C0AA03EA2}" name="Lançamento" dataDxfId="12"/>
    <tableColumn id="13" xr3:uid="{73E680FE-0DFD-934F-97F0-640825C241C8}" name="Obs" dataDxfId="11"/>
    <tableColumn id="14" xr3:uid="{CCB43E7F-077A-4D42-9F84-DBEBF313EEC4}" name="Status" dataDxfId="10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094C7-81D9-2F46-BE4F-7FCEBF32ED29}" name="tCores" displayName="tCores" ref="A3:B16" totalsRowShown="0" headerRowDxfId="9">
  <autoFilter ref="A3:B16" xr:uid="{AC8094C7-81D9-2F46-BE4F-7FCEBF32ED29}"/>
  <tableColumns count="2">
    <tableColumn id="1" xr3:uid="{24D769C9-5305-F442-B93F-321CFC8CCDE0}" name="Cor" dataDxfId="8"/>
    <tableColumn id="2" xr3:uid="{065D52B8-2CF3-9341-B385-9EBEA7CCD6DA}" name="Sigla" dataDxfId="7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2E6CD-6487-7641-B16A-ED64E14452A2}" name="tCategorias" displayName="tCategorias" ref="D3:E14" totalsRowShown="0" headerRowDxfId="6">
  <autoFilter ref="D3:E14" xr:uid="{0FA2E6CD-6487-7641-B16A-ED64E14452A2}"/>
  <tableColumns count="2">
    <tableColumn id="1" xr3:uid="{A5719A4D-AEA5-C442-A30C-2D46DB92482C}" name="Categoria" dataDxfId="5"/>
    <tableColumn id="2" xr3:uid="{565412C3-8C1A-0246-AEF7-06995E1F85CB}" name="Sigla" dataDxfId="4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5C5C9C-A76F-5C45-9969-ABFE7B56F219}" name="tTamanhos" displayName="tTamanhos" ref="G3:H10" totalsRowShown="0" headerRowDxfId="3">
  <autoFilter ref="G3:H10" xr:uid="{065C5C9C-A76F-5C45-9969-ABFE7B56F219}"/>
  <tableColumns count="2">
    <tableColumn id="1" xr3:uid="{A05148AA-3A6C-FE41-AFCA-EC84238FD1F4}" name="Tamanho" dataDxfId="2"/>
    <tableColumn id="2" xr3:uid="{1C6E372C-E6B9-F645-9D25-A416413E01DB}" name="Sigla" dataDxfId="1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392143-F07A-4D47-B6B5-11D8A552B01B}" name="tStatus" displayName="tStatus" ref="J3:J6" totalsRowShown="0" headerRowDxfId="0">
  <autoFilter ref="J3:J6" xr:uid="{95392143-F07A-4D47-B6B5-11D8A552B01B}"/>
  <tableColumns count="1">
    <tableColumn id="1" xr3:uid="{A982C6A0-2478-4246-B8E3-CE1DDDFCE6F4}" name="Statu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215A1D-13F7-A646-8B7E-B2289D47D822}">
  <we:reference id="wa200010725" version="1.0.0.1" store="pt-BR" storeType="OMEX"/>
  <we:alternateReferences>
    <we:reference id="wa200010725" version="1.0.0.1" store="pt-BR" storeType="OMEX"/>
  </we:alternateReferences>
  <we:properties>
    <we:property name="claude.fileId" value="&quot;c410afcb-71b5-4b10-a50b-b42fa0dd675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workbookViewId="0"/>
  </sheetViews>
  <sheetFormatPr defaultColWidth="8.85546875"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103A-B200-5142-BBE6-20D0CC4D825D}">
  <dimension ref="A1:D15"/>
  <sheetViews>
    <sheetView workbookViewId="0">
      <selection activeCell="B4" sqref="B4"/>
    </sheetView>
  </sheetViews>
  <sheetFormatPr defaultColWidth="11.42578125" defaultRowHeight="15"/>
  <cols>
    <col min="1" max="1" width="18.28515625" customWidth="1"/>
    <col min="2" max="2" width="36.7109375" customWidth="1"/>
    <col min="3" max="3" width="16.7109375" customWidth="1"/>
    <col min="4" max="4" width="18.28515625" customWidth="1"/>
  </cols>
  <sheetData>
    <row r="1" spans="1:4" ht="21">
      <c r="A1" s="34" t="s">
        <v>10</v>
      </c>
    </row>
    <row r="2" spans="1:4">
      <c r="A2" s="7" t="s">
        <v>11</v>
      </c>
    </row>
    <row r="4" spans="1:4">
      <c r="A4" s="3" t="s">
        <v>12</v>
      </c>
      <c r="B4" s="43" t="s">
        <v>13</v>
      </c>
    </row>
    <row r="5" spans="1:4">
      <c r="A5" s="3" t="s">
        <v>14</v>
      </c>
      <c r="B5" s="43"/>
    </row>
    <row r="7" spans="1:4">
      <c r="A7" s="41" t="s">
        <v>15</v>
      </c>
      <c r="B7" s="41" t="s">
        <v>16</v>
      </c>
      <c r="C7" s="41" t="s">
        <v>17</v>
      </c>
      <c r="D7" s="41" t="s">
        <v>18</v>
      </c>
    </row>
    <row r="8" spans="1:4">
      <c r="A8" s="16">
        <v>1</v>
      </c>
      <c r="B8" s="15" t="s">
        <v>19</v>
      </c>
      <c r="C8" s="24" t="str" cm="1">
        <f t="array" ref="C8">IFERROR(_xlfn.XLOOKUP(1,(tInverno26[Produto]=$B$4)*((($B$5="")+(tInverno26[Cor]=$B$5))&gt;0),tInverno26[Preço (R$)]),"")</f>
        <v/>
      </c>
      <c r="D8" s="16" t="str" cm="1">
        <f t="array" ref="D8">IFERROR(_xlfn.XLOOKUP(1,(tInverno26[Produto]=$B$4)*((($B$5="")+(tInverno26[Cor]=$B$5))&gt;0),tInverno26[Status]),"")</f>
        <v/>
      </c>
    </row>
    <row r="9" spans="1:4">
      <c r="A9" s="18">
        <v>2</v>
      </c>
      <c r="B9" s="17" t="s">
        <v>20</v>
      </c>
      <c r="C9" s="25" cm="1">
        <f t="array" ref="C9">IFERROR(_xlfn.XLOOKUP(1,(tVerao26[Produto]=$B$4)*((($B$5="")+(tVerao26[Cor]=$B$5))&gt;0),tVerao26[Preço (R$)]),"")</f>
        <v>189.9</v>
      </c>
      <c r="D9" s="18" t="str" cm="1">
        <f t="array" ref="D9">IFERROR(_xlfn.XLOOKUP(1,(tVerao26[Produto]=$B$4)*((($B$5="")+(tVerao26[Cor]=$B$5))&gt;0),tVerao26[Status]),"")</f>
        <v>Ativo</v>
      </c>
    </row>
    <row r="10" spans="1:4">
      <c r="A10" s="18">
        <v>3</v>
      </c>
      <c r="B10" s="17" t="s">
        <v>21</v>
      </c>
      <c r="C10" s="25" t="str" cm="1">
        <f t="array" ref="C10">IFERROR(_xlfn.XLOOKUP(1,(tInverno25[Produto]=$B$4)*((($B$5="")+(tInverno25[Cor]=$B$5))&gt;0),tInverno25[Preço (R$)]),"")</f>
        <v/>
      </c>
      <c r="D10" s="18" t="str" cm="1">
        <f t="array" ref="D10">IFERROR(_xlfn.XLOOKUP(1,(tInverno25[Produto]=$B$4)*((($B$5="")+(tInverno25[Cor]=$B$5))&gt;0),tInverno25[Status]),"")</f>
        <v/>
      </c>
    </row>
    <row r="11" spans="1:4">
      <c r="A11" s="18">
        <v>4</v>
      </c>
      <c r="B11" s="17" t="s">
        <v>22</v>
      </c>
      <c r="C11" s="25" t="str" cm="1">
        <f t="array" ref="C11">IFERROR(_xlfn.XLOOKUP(1,(tVerao25[Produto]=$B$4)*((($B$5="")+(tVerao25[Cor]=$B$5))&gt;0),tVerao25[Preço (R$)]),"")</f>
        <v/>
      </c>
      <c r="D11" s="18" t="str" cm="1">
        <f t="array" ref="D11">IFERROR(_xlfn.XLOOKUP(1,(tVerao25[Produto]=$B$4)*((($B$5="")+(tVerao25[Cor]=$B$5))&gt;0),tVerao25[Status]),"")</f>
        <v/>
      </c>
    </row>
    <row r="12" spans="1:4">
      <c r="A12" s="20">
        <v>5</v>
      </c>
      <c r="B12" s="19" t="s">
        <v>23</v>
      </c>
      <c r="C12" s="26" cm="1">
        <f t="array" ref="C12">IFERROR(_xlfn.XLOOKUP(1,(tAtemporais[Produto]=$B$4)*((($B$5="")+(tAtemporais[Cor]=$B$5))&gt;0),tAtemporais[Preço (R$)]),"")</f>
        <v>169.9</v>
      </c>
      <c r="D12" s="20" t="str" cm="1">
        <f t="array" ref="D12">IFERROR(_xlfn.XLOOKUP(1,(tAtemporais[Produto]=$B$4)*((($B$5="")+(tAtemporais[Cor]=$B$5))&gt;0),tAtemporais[Status]),"")</f>
        <v>Ativo</v>
      </c>
    </row>
    <row r="14" spans="1:4" ht="18.95">
      <c r="A14" s="3" t="s">
        <v>24</v>
      </c>
      <c r="B14" s="42" cm="1">
        <f t="array" ref="B14">IFERROR(INDEX(_xlfn._xlws.FILTER(C8:C12,C8:C12&lt;&gt;""),1),"Produto não encontrado")</f>
        <v>189.9</v>
      </c>
    </row>
    <row r="15" spans="1:4">
      <c r="A15" s="3" t="s">
        <v>25</v>
      </c>
      <c r="B15" t="str" cm="1">
        <f t="array" ref="B15">IFERROR(INDEX(_xlfn._xlws.FILTER(B8:B12,C8:C12&lt;&gt;""),1),"-")</f>
        <v>Verão 26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AD2227-DBAA-9F4E-A339-0CE13445D6E2}">
          <x14:formula1>
            <xm:f>_xlfn.ANCHORARRAY(Listas!$N$4)</xm:f>
          </x14:formula1>
          <xm:sqref>B4</xm:sqref>
        </x14:dataValidation>
        <x14:dataValidation type="list" allowBlank="1" showInputMessage="1" showErrorMessage="1" xr:uid="{2B3AC31C-105B-844D-AF78-F39747390C9B}">
          <x14:formula1>
            <xm:f>Listas!$A$4:$A$16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zoomScaleNormal="100" workbookViewId="0">
      <pane ySplit="4" topLeftCell="A5" activePane="bottomLeft" state="frozen"/>
      <selection pane="bottomLeft" activeCell="Q16" sqref="Q16"/>
    </sheetView>
  </sheetViews>
  <sheetFormatPr defaultColWidth="8.85546875" defaultRowHeight="15"/>
  <cols>
    <col min="1" max="1" width="20.140625" customWidth="1"/>
    <col min="2" max="2" width="11.42578125" bestFit="1" customWidth="1"/>
    <col min="3" max="3" width="9.85546875" bestFit="1" customWidth="1"/>
    <col min="4" max="4" width="24.85546875" bestFit="1" customWidth="1"/>
    <col min="5" max="5" width="19.140625" customWidth="1"/>
    <col min="6" max="6" width="15" customWidth="1"/>
    <col min="7" max="7" width="12.42578125" customWidth="1"/>
    <col min="8" max="9" width="13.28515625" customWidth="1"/>
    <col min="10" max="10" width="11.7109375" customWidth="1"/>
    <col min="11" max="11" width="20" customWidth="1"/>
    <col min="12" max="12" width="16.140625" customWidth="1"/>
    <col min="13" max="13" width="25" customWidth="1"/>
    <col min="14" max="14" width="11.85546875" customWidth="1"/>
    <col min="15" max="15" width="13.42578125" customWidth="1"/>
  </cols>
  <sheetData>
    <row r="1" spans="1:15" ht="21">
      <c r="A1" s="34" t="s">
        <v>26</v>
      </c>
    </row>
    <row r="2" spans="1:15">
      <c r="A2" s="7" t="s">
        <v>27</v>
      </c>
    </row>
    <row r="4" spans="1:15" ht="30" customHeight="1">
      <c r="A4" s="32" t="s">
        <v>28</v>
      </c>
      <c r="B4" s="32" t="s">
        <v>29</v>
      </c>
      <c r="C4" s="32" t="s">
        <v>30</v>
      </c>
      <c r="D4" s="32" t="s">
        <v>12</v>
      </c>
      <c r="E4" s="32" t="s">
        <v>31</v>
      </c>
      <c r="F4" s="32" t="s">
        <v>32</v>
      </c>
      <c r="G4" s="32" t="s">
        <v>33</v>
      </c>
      <c r="H4" s="32" t="s">
        <v>17</v>
      </c>
      <c r="I4" s="32" t="s">
        <v>34</v>
      </c>
      <c r="J4" s="32" t="s">
        <v>35</v>
      </c>
      <c r="K4" s="32" t="s">
        <v>36</v>
      </c>
      <c r="L4" s="32" t="s">
        <v>37</v>
      </c>
      <c r="M4" s="32" t="s">
        <v>38</v>
      </c>
      <c r="N4" s="32" t="s">
        <v>39</v>
      </c>
      <c r="O4" s="32" t="s">
        <v>18</v>
      </c>
    </row>
    <row r="5" spans="1:15">
      <c r="A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VLT-BER-004-JES-XP</v>
      </c>
      <c r="B5" s="5" t="s">
        <v>40</v>
      </c>
      <c r="C5" s="9" t="s">
        <v>41</v>
      </c>
      <c r="D5" s="5" t="s">
        <v>42</v>
      </c>
      <c r="E5" s="5" t="s">
        <v>43</v>
      </c>
      <c r="F5" s="5" t="s">
        <v>44</v>
      </c>
      <c r="G5" s="9" t="s">
        <v>45</v>
      </c>
      <c r="H5" s="11">
        <v>129.9</v>
      </c>
      <c r="I5" s="11">
        <v>52.66</v>
      </c>
      <c r="J5" s="12">
        <f>IF(OR(tVerao25[[#This Row],[Preço (R$)]]="",tVerao25[[#This Row],[Custo (R$)]]=""),"",(tVerao25[[#This Row],[Preço (R$)]]-tVerao25[[#This Row],[Custo (R$)]])/tVerao25[[#This Row],[Preço (R$)]])</f>
        <v>0.59461123941493466</v>
      </c>
      <c r="K5" s="5" t="s">
        <v>46</v>
      </c>
      <c r="L5" s="5" t="s">
        <v>47</v>
      </c>
      <c r="M5" s="10"/>
      <c r="N5" s="5" t="s">
        <v>48</v>
      </c>
      <c r="O5" s="9" t="s">
        <v>49</v>
      </c>
    </row>
    <row r="6" spans="1:15">
      <c r="A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VLT-BER-004-JES-P</v>
      </c>
      <c r="B6" s="5" t="s">
        <v>50</v>
      </c>
      <c r="C6" s="9" t="s">
        <v>41</v>
      </c>
      <c r="D6" s="5" t="s">
        <v>42</v>
      </c>
      <c r="E6" s="5" t="s">
        <v>43</v>
      </c>
      <c r="F6" s="5" t="s">
        <v>44</v>
      </c>
      <c r="G6" s="9" t="s">
        <v>51</v>
      </c>
      <c r="H6" s="11">
        <v>129.9</v>
      </c>
      <c r="I6" s="11">
        <v>52.66</v>
      </c>
      <c r="J6" s="12">
        <f>IF(OR(tVerao25[[#This Row],[Preço (R$)]]="",tVerao25[[#This Row],[Custo (R$)]]=""),"",(tVerao25[[#This Row],[Preço (R$)]]-tVerao25[[#This Row],[Custo (R$)]])/tVerao25[[#This Row],[Preço (R$)]])</f>
        <v>0.59461123941493466</v>
      </c>
      <c r="K6" s="5" t="s">
        <v>52</v>
      </c>
      <c r="L6" s="5" t="s">
        <v>47</v>
      </c>
      <c r="M6" s="10"/>
      <c r="N6" s="5" t="s">
        <v>48</v>
      </c>
      <c r="O6" s="9" t="s">
        <v>49</v>
      </c>
    </row>
    <row r="7" spans="1:15">
      <c r="A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VLT-BER-004-JES-M</v>
      </c>
      <c r="B7" s="5" t="s">
        <v>53</v>
      </c>
      <c r="C7" s="9" t="s">
        <v>41</v>
      </c>
      <c r="D7" s="5" t="s">
        <v>42</v>
      </c>
      <c r="E7" s="5" t="s">
        <v>43</v>
      </c>
      <c r="F7" s="5" t="s">
        <v>44</v>
      </c>
      <c r="G7" s="9" t="s">
        <v>54</v>
      </c>
      <c r="H7" s="11">
        <v>129.9</v>
      </c>
      <c r="I7" s="11">
        <v>52.66</v>
      </c>
      <c r="J7" s="12">
        <f>IF(OR(tVerao25[[#This Row],[Preço (R$)]]="",tVerao25[[#This Row],[Custo (R$)]]=""),"",(tVerao25[[#This Row],[Preço (R$)]]-tVerao25[[#This Row],[Custo (R$)]])/tVerao25[[#This Row],[Preço (R$)]])</f>
        <v>0.59461123941493466</v>
      </c>
      <c r="K7" s="5" t="s">
        <v>55</v>
      </c>
      <c r="L7" s="5" t="s">
        <v>47</v>
      </c>
      <c r="M7" s="10"/>
      <c r="N7" s="5" t="s">
        <v>56</v>
      </c>
      <c r="O7" s="9" t="s">
        <v>49</v>
      </c>
    </row>
    <row r="8" spans="1:15">
      <c r="A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VLT-BER-004-JES-G</v>
      </c>
      <c r="B8" s="5" t="s">
        <v>57</v>
      </c>
      <c r="C8" s="9" t="s">
        <v>41</v>
      </c>
      <c r="D8" s="5" t="s">
        <v>42</v>
      </c>
      <c r="E8" s="5" t="s">
        <v>43</v>
      </c>
      <c r="F8" s="5" t="s">
        <v>44</v>
      </c>
      <c r="G8" s="9" t="s">
        <v>58</v>
      </c>
      <c r="H8" s="11">
        <v>129.9</v>
      </c>
      <c r="I8" s="11">
        <v>52.66</v>
      </c>
      <c r="J8" s="12">
        <f>IF(OR(tVerao25[[#This Row],[Preço (R$)]]="",tVerao25[[#This Row],[Custo (R$)]]=""),"",(tVerao25[[#This Row],[Preço (R$)]]-tVerao25[[#This Row],[Custo (R$)]])/tVerao25[[#This Row],[Preço (R$)]])</f>
        <v>0.59461123941493466</v>
      </c>
      <c r="K8" s="5" t="s">
        <v>59</v>
      </c>
      <c r="L8" s="5" t="s">
        <v>47</v>
      </c>
      <c r="M8" s="10"/>
      <c r="N8" s="5" t="s">
        <v>56</v>
      </c>
      <c r="O8" s="9" t="s">
        <v>49</v>
      </c>
    </row>
    <row r="9" spans="1:15">
      <c r="A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VLT-BER-004-JES-GG</v>
      </c>
      <c r="B9" s="5" t="s">
        <v>60</v>
      </c>
      <c r="C9" s="9" t="s">
        <v>41</v>
      </c>
      <c r="D9" s="5" t="s">
        <v>42</v>
      </c>
      <c r="E9" s="5" t="s">
        <v>43</v>
      </c>
      <c r="F9" s="5" t="s">
        <v>44</v>
      </c>
      <c r="G9" s="9" t="s">
        <v>61</v>
      </c>
      <c r="H9" s="11">
        <v>129.9</v>
      </c>
      <c r="I9" s="27">
        <v>52.66</v>
      </c>
      <c r="J9" s="12">
        <f>IF(OR(tVerao25[[#This Row],[Preço (R$)]]="",tVerao25[[#This Row],[Custo (R$)]]=""),"",(tVerao25[[#This Row],[Preço (R$)]]-tVerao25[[#This Row],[Custo (R$)]])/tVerao25[[#This Row],[Preço (R$)]])</f>
        <v>0.59461123941493466</v>
      </c>
      <c r="K9" s="5" t="s">
        <v>62</v>
      </c>
      <c r="L9" s="5" t="s">
        <v>47</v>
      </c>
      <c r="M9" s="10"/>
      <c r="N9" s="5" t="s">
        <v>63</v>
      </c>
      <c r="O9" s="9" t="s">
        <v>49</v>
      </c>
    </row>
    <row r="10" spans="1:15">
      <c r="A1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VLT-CMS-004-AZM-P</v>
      </c>
      <c r="B10" s="5" t="s">
        <v>64</v>
      </c>
      <c r="C10" s="9" t="s">
        <v>65</v>
      </c>
      <c r="D10" s="5" t="s">
        <v>66</v>
      </c>
      <c r="E10" s="5" t="s">
        <v>67</v>
      </c>
      <c r="F10" s="5" t="s">
        <v>68</v>
      </c>
      <c r="G10" s="9" t="s">
        <v>51</v>
      </c>
      <c r="H10" s="11">
        <v>199.9</v>
      </c>
      <c r="I10" s="11">
        <v>80.97</v>
      </c>
      <c r="J10" s="12">
        <f>IF(OR(tVerao25[[#This Row],[Preço (R$)]]="",tVerao25[[#This Row],[Custo (R$)]]=""),"",(tVerao25[[#This Row],[Preço (R$)]]-tVerao25[[#This Row],[Custo (R$)]])/tVerao25[[#This Row],[Preço (R$)]])</f>
        <v>0.5949474737368684</v>
      </c>
      <c r="K10" s="5" t="s">
        <v>69</v>
      </c>
      <c r="L10" s="5" t="s">
        <v>70</v>
      </c>
      <c r="M10" s="10"/>
      <c r="N10" s="5" t="s">
        <v>64</v>
      </c>
      <c r="O10" s="9" t="s">
        <v>71</v>
      </c>
    </row>
    <row r="11" spans="1:15">
      <c r="A1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VLT-CMS-004-AZM-M</v>
      </c>
      <c r="B11" s="5" t="s">
        <v>64</v>
      </c>
      <c r="C11" s="9" t="s">
        <v>65</v>
      </c>
      <c r="D11" s="5" t="s">
        <v>66</v>
      </c>
      <c r="E11" s="5" t="s">
        <v>67</v>
      </c>
      <c r="F11" s="5" t="s">
        <v>68</v>
      </c>
      <c r="G11" s="9" t="s">
        <v>54</v>
      </c>
      <c r="H11" s="11">
        <v>199.9</v>
      </c>
      <c r="I11" s="11">
        <v>80.97</v>
      </c>
      <c r="J11" s="12">
        <f>IF(OR(tVerao25[[#This Row],[Preço (R$)]]="",tVerao25[[#This Row],[Custo (R$)]]=""),"",(tVerao25[[#This Row],[Preço (R$)]]-tVerao25[[#This Row],[Custo (R$)]])/tVerao25[[#This Row],[Preço (R$)]])</f>
        <v>0.5949474737368684</v>
      </c>
      <c r="K11" s="5" t="s">
        <v>72</v>
      </c>
      <c r="L11" s="5" t="s">
        <v>70</v>
      </c>
      <c r="M11" s="10"/>
      <c r="N11" s="5" t="s">
        <v>64</v>
      </c>
      <c r="O11" s="9" t="s">
        <v>71</v>
      </c>
    </row>
    <row r="12" spans="1:15">
      <c r="A1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VLT-CMS-004-AZM-G</v>
      </c>
      <c r="B12" s="5" t="s">
        <v>64</v>
      </c>
      <c r="C12" s="9" t="s">
        <v>65</v>
      </c>
      <c r="D12" s="5" t="s">
        <v>66</v>
      </c>
      <c r="E12" s="5" t="s">
        <v>67</v>
      </c>
      <c r="F12" s="5" t="s">
        <v>68</v>
      </c>
      <c r="G12" s="9" t="s">
        <v>58</v>
      </c>
      <c r="H12" s="11">
        <v>199.9</v>
      </c>
      <c r="I12" s="11">
        <v>80.97</v>
      </c>
      <c r="J12" s="12">
        <f>IF(OR(tVerao25[[#This Row],[Preço (R$)]]="",tVerao25[[#This Row],[Custo (R$)]]=""),"",(tVerao25[[#This Row],[Preço (R$)]]-tVerao25[[#This Row],[Custo (R$)]])/tVerao25[[#This Row],[Preço (R$)]])</f>
        <v>0.5949474737368684</v>
      </c>
      <c r="K12" s="5" t="s">
        <v>73</v>
      </c>
      <c r="L12" s="5" t="s">
        <v>70</v>
      </c>
      <c r="M12" s="10"/>
      <c r="N12" s="5" t="s">
        <v>64</v>
      </c>
      <c r="O12" s="9" t="s">
        <v>71</v>
      </c>
    </row>
    <row r="13" spans="1:15">
      <c r="A1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VLT-CMS-004-AZM-GG</v>
      </c>
      <c r="B13" s="5" t="s">
        <v>64</v>
      </c>
      <c r="C13" s="9" t="s">
        <v>65</v>
      </c>
      <c r="D13" s="5" t="s">
        <v>66</v>
      </c>
      <c r="E13" s="5" t="s">
        <v>67</v>
      </c>
      <c r="F13" s="5" t="s">
        <v>68</v>
      </c>
      <c r="G13" s="9" t="s">
        <v>61</v>
      </c>
      <c r="H13" s="11">
        <v>199.9</v>
      </c>
      <c r="I13" s="11">
        <v>80.97</v>
      </c>
      <c r="J13" s="12">
        <f>IF(OR(tVerao25[[#This Row],[Preço (R$)]]="",tVerao25[[#This Row],[Custo (R$)]]=""),"",(tVerao25[[#This Row],[Preço (R$)]]-tVerao25[[#This Row],[Custo (R$)]])/tVerao25[[#This Row],[Preço (R$)]])</f>
        <v>0.5949474737368684</v>
      </c>
      <c r="K13" s="5" t="s">
        <v>74</v>
      </c>
      <c r="L13" s="5" t="s">
        <v>70</v>
      </c>
      <c r="M13" s="10"/>
      <c r="N13" s="5" t="s">
        <v>64</v>
      </c>
      <c r="O13" s="9" t="s">
        <v>71</v>
      </c>
    </row>
    <row r="14" spans="1:15">
      <c r="A1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VLT-CMS-005-BRA-P</v>
      </c>
      <c r="B14" s="5" t="s">
        <v>64</v>
      </c>
      <c r="C14" s="9" t="s">
        <v>75</v>
      </c>
      <c r="D14" s="5" t="s">
        <v>76</v>
      </c>
      <c r="E14" s="5" t="s">
        <v>67</v>
      </c>
      <c r="F14" s="5" t="s">
        <v>77</v>
      </c>
      <c r="G14" s="9" t="s">
        <v>51</v>
      </c>
      <c r="H14" s="11">
        <v>289.89999999999998</v>
      </c>
      <c r="I14" s="11">
        <v>123.9</v>
      </c>
      <c r="J14" s="12">
        <f>IF(OR(tVerao25[[#This Row],[Preço (R$)]]="",tVerao25[[#This Row],[Custo (R$)]]=""),"",(tVerao25[[#This Row],[Preço (R$)]]-tVerao25[[#This Row],[Custo (R$)]])/tVerao25[[#This Row],[Preço (R$)]])</f>
        <v>0.57261124525698515</v>
      </c>
      <c r="K14" s="5" t="s">
        <v>78</v>
      </c>
      <c r="L14" s="5" t="s">
        <v>79</v>
      </c>
      <c r="M14" s="10"/>
      <c r="N14" s="5" t="s">
        <v>64</v>
      </c>
      <c r="O14" s="9" t="s">
        <v>71</v>
      </c>
    </row>
    <row r="15" spans="1:15">
      <c r="A1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VLT-CMS-005-BRA-M</v>
      </c>
      <c r="B15" s="5" t="s">
        <v>64</v>
      </c>
      <c r="C15" s="9" t="s">
        <v>75</v>
      </c>
      <c r="D15" s="5" t="s">
        <v>76</v>
      </c>
      <c r="E15" s="5" t="s">
        <v>67</v>
      </c>
      <c r="F15" s="5" t="s">
        <v>77</v>
      </c>
      <c r="G15" s="9" t="s">
        <v>54</v>
      </c>
      <c r="H15" s="11">
        <v>289.89999999999998</v>
      </c>
      <c r="I15" s="11">
        <v>123.9</v>
      </c>
      <c r="J15" s="12">
        <f>IF(OR(tVerao25[[#This Row],[Preço (R$)]]="",tVerao25[[#This Row],[Custo (R$)]]=""),"",(tVerao25[[#This Row],[Preço (R$)]]-tVerao25[[#This Row],[Custo (R$)]])/tVerao25[[#This Row],[Preço (R$)]])</f>
        <v>0.57261124525698515</v>
      </c>
      <c r="K15" s="5" t="s">
        <v>80</v>
      </c>
      <c r="L15" s="5" t="s">
        <v>79</v>
      </c>
      <c r="M15" s="10"/>
      <c r="N15" s="5" t="s">
        <v>64</v>
      </c>
      <c r="O15" s="9" t="s">
        <v>71</v>
      </c>
    </row>
    <row r="16" spans="1:15">
      <c r="A1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VLT-CMS-005-BRA-G</v>
      </c>
      <c r="B16" s="5" t="s">
        <v>64</v>
      </c>
      <c r="C16" s="9" t="s">
        <v>75</v>
      </c>
      <c r="D16" s="5" t="s">
        <v>76</v>
      </c>
      <c r="E16" s="5" t="s">
        <v>67</v>
      </c>
      <c r="F16" s="5" t="s">
        <v>77</v>
      </c>
      <c r="G16" s="9" t="s">
        <v>58</v>
      </c>
      <c r="H16" s="11">
        <v>289.89999999999998</v>
      </c>
      <c r="I16" s="11">
        <v>123.9</v>
      </c>
      <c r="J16" s="12">
        <f>IF(OR(tVerao25[[#This Row],[Preço (R$)]]="",tVerao25[[#This Row],[Custo (R$)]]=""),"",(tVerao25[[#This Row],[Preço (R$)]]-tVerao25[[#This Row],[Custo (R$)]])/tVerao25[[#This Row],[Preço (R$)]])</f>
        <v>0.57261124525698515</v>
      </c>
      <c r="K16" s="5" t="s">
        <v>81</v>
      </c>
      <c r="L16" s="5" t="s">
        <v>79</v>
      </c>
      <c r="M16" s="10"/>
      <c r="N16" s="5" t="s">
        <v>64</v>
      </c>
      <c r="O16" s="9" t="s">
        <v>71</v>
      </c>
    </row>
    <row r="17" spans="1:15">
      <c r="A1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VLT-CMS-005-BRA-GG</v>
      </c>
      <c r="B17" s="5" t="s">
        <v>64</v>
      </c>
      <c r="C17" s="9" t="s">
        <v>75</v>
      </c>
      <c r="D17" s="5" t="s">
        <v>76</v>
      </c>
      <c r="E17" s="5" t="s">
        <v>67</v>
      </c>
      <c r="F17" s="5" t="s">
        <v>77</v>
      </c>
      <c r="G17" s="9" t="s">
        <v>61</v>
      </c>
      <c r="H17" s="11">
        <v>289.89999999999998</v>
      </c>
      <c r="I17" s="11">
        <v>123.9</v>
      </c>
      <c r="J17" s="12">
        <f>IF(OR(tVerao25[[#This Row],[Preço (R$)]]="",tVerao25[[#This Row],[Custo (R$)]]=""),"",(tVerao25[[#This Row],[Preço (R$)]]-tVerao25[[#This Row],[Custo (R$)]])/tVerao25[[#This Row],[Preço (R$)]])</f>
        <v>0.57261124525698515</v>
      </c>
      <c r="K17" s="5" t="s">
        <v>82</v>
      </c>
      <c r="L17" s="5" t="s">
        <v>79</v>
      </c>
      <c r="M17" s="10"/>
      <c r="N17" s="5" t="s">
        <v>64</v>
      </c>
      <c r="O17" s="9" t="s">
        <v>71</v>
      </c>
    </row>
    <row r="18" spans="1:15">
      <c r="A1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VLT-CAL-010-MRR-P</v>
      </c>
      <c r="B18" s="28" t="s">
        <v>83</v>
      </c>
      <c r="C18" s="9" t="s">
        <v>84</v>
      </c>
      <c r="D18" s="5" t="s">
        <v>85</v>
      </c>
      <c r="E18" s="5" t="s">
        <v>86</v>
      </c>
      <c r="F18" s="5" t="s">
        <v>87</v>
      </c>
      <c r="G18" s="9" t="s">
        <v>51</v>
      </c>
      <c r="H18" s="11">
        <v>309.89999999999998</v>
      </c>
      <c r="I18" s="11">
        <v>140</v>
      </c>
      <c r="J18" s="12">
        <f>IF(OR(tVerao25[[#This Row],[Preço (R$)]]="",tVerao25[[#This Row],[Custo (R$)]]=""),"",(tVerao25[[#This Row],[Preço (R$)]]-tVerao25[[#This Row],[Custo (R$)]])/tVerao25[[#This Row],[Preço (R$)]])</f>
        <v>0.54824136818328495</v>
      </c>
      <c r="K18" s="5" t="s">
        <v>88</v>
      </c>
      <c r="L18" s="5" t="s">
        <v>47</v>
      </c>
      <c r="M18" s="10"/>
      <c r="N18" s="5" t="s">
        <v>89</v>
      </c>
      <c r="O18" s="9" t="s">
        <v>49</v>
      </c>
    </row>
    <row r="19" spans="1:15">
      <c r="A1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VLT-CAL-010-MRR-M</v>
      </c>
      <c r="B19" s="28" t="s">
        <v>90</v>
      </c>
      <c r="C19" s="9" t="s">
        <v>84</v>
      </c>
      <c r="D19" s="5" t="s">
        <v>85</v>
      </c>
      <c r="E19" s="5" t="s">
        <v>86</v>
      </c>
      <c r="F19" s="5" t="s">
        <v>87</v>
      </c>
      <c r="G19" s="9" t="s">
        <v>54</v>
      </c>
      <c r="H19" s="11">
        <v>309.89999999999998</v>
      </c>
      <c r="I19" s="11">
        <v>140</v>
      </c>
      <c r="J19" s="12">
        <f>IF(OR(tVerao25[[#This Row],[Preço (R$)]]="",tVerao25[[#This Row],[Custo (R$)]]=""),"",(tVerao25[[#This Row],[Preço (R$)]]-tVerao25[[#This Row],[Custo (R$)]])/tVerao25[[#This Row],[Preço (R$)]])</f>
        <v>0.54824136818328495</v>
      </c>
      <c r="K19" s="5" t="s">
        <v>91</v>
      </c>
      <c r="L19" s="5" t="s">
        <v>47</v>
      </c>
      <c r="M19" s="10"/>
      <c r="N19" s="5" t="s">
        <v>89</v>
      </c>
      <c r="O19" s="9" t="s">
        <v>49</v>
      </c>
    </row>
    <row r="20" spans="1:15">
      <c r="A2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VLT-CAL-010-MRR-G</v>
      </c>
      <c r="B20" s="28" t="s">
        <v>92</v>
      </c>
      <c r="C20" s="9" t="s">
        <v>84</v>
      </c>
      <c r="D20" s="5" t="s">
        <v>85</v>
      </c>
      <c r="E20" s="5" t="s">
        <v>86</v>
      </c>
      <c r="F20" s="5" t="s">
        <v>87</v>
      </c>
      <c r="G20" s="9" t="s">
        <v>58</v>
      </c>
      <c r="H20" s="11">
        <v>309.89999999999998</v>
      </c>
      <c r="I20" s="11">
        <v>140</v>
      </c>
      <c r="J20" s="12">
        <f>IF(OR(tVerao25[[#This Row],[Preço (R$)]]="",tVerao25[[#This Row],[Custo (R$)]]=""),"",(tVerao25[[#This Row],[Preço (R$)]]-tVerao25[[#This Row],[Custo (R$)]])/tVerao25[[#This Row],[Preço (R$)]])</f>
        <v>0.54824136818328495</v>
      </c>
      <c r="K20" s="5" t="s">
        <v>93</v>
      </c>
      <c r="L20" s="5" t="s">
        <v>47</v>
      </c>
      <c r="M20" s="10"/>
      <c r="N20" s="5" t="s">
        <v>89</v>
      </c>
      <c r="O20" s="9" t="s">
        <v>49</v>
      </c>
    </row>
    <row r="21" spans="1:15">
      <c r="A2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VLT-CAL-010-MRR-GG</v>
      </c>
      <c r="B21" s="28" t="s">
        <v>94</v>
      </c>
      <c r="C21" s="9" t="s">
        <v>84</v>
      </c>
      <c r="D21" s="5" t="s">
        <v>85</v>
      </c>
      <c r="E21" s="5" t="s">
        <v>86</v>
      </c>
      <c r="F21" s="5" t="s">
        <v>87</v>
      </c>
      <c r="G21" s="9" t="s">
        <v>61</v>
      </c>
      <c r="H21" s="11">
        <v>309.89999999999998</v>
      </c>
      <c r="I21" s="11">
        <v>140</v>
      </c>
      <c r="J21" s="12">
        <f>IF(OR(tVerao25[[#This Row],[Preço (R$)]]="",tVerao25[[#This Row],[Custo (R$)]]=""),"",(tVerao25[[#This Row],[Preço (R$)]]-tVerao25[[#This Row],[Custo (R$)]])/tVerao25[[#This Row],[Preço (R$)]])</f>
        <v>0.54824136818328495</v>
      </c>
      <c r="K21" s="5" t="s">
        <v>95</v>
      </c>
      <c r="L21" s="5" t="s">
        <v>47</v>
      </c>
      <c r="M21" s="10"/>
      <c r="N21" s="5" t="s">
        <v>89</v>
      </c>
      <c r="O21" s="9" t="s">
        <v>49</v>
      </c>
    </row>
    <row r="22" spans="1:15">
      <c r="A2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VLT-MOL-006-AMA-P</v>
      </c>
      <c r="B22" s="5" t="s">
        <v>64</v>
      </c>
      <c r="C22" s="9" t="s">
        <v>96</v>
      </c>
      <c r="D22" s="5" t="s">
        <v>97</v>
      </c>
      <c r="E22" s="5" t="s">
        <v>98</v>
      </c>
      <c r="F22" s="5" t="s">
        <v>99</v>
      </c>
      <c r="G22" s="9" t="s">
        <v>51</v>
      </c>
      <c r="H22" s="11">
        <v>279.89999999999998</v>
      </c>
      <c r="I22" s="11">
        <v>99.9</v>
      </c>
      <c r="J22" s="12">
        <f>IF(OR(tVerao25[[#This Row],[Preço (R$)]]="",tVerao25[[#This Row],[Custo (R$)]]=""),"",(tVerao25[[#This Row],[Preço (R$)]]-tVerao25[[#This Row],[Custo (R$)]])/tVerao25[[#This Row],[Preço (R$)]])</f>
        <v>0.64308681672025714</v>
      </c>
      <c r="K22" s="5" t="s">
        <v>100</v>
      </c>
      <c r="L22" s="5" t="s">
        <v>101</v>
      </c>
      <c r="M22" s="10"/>
      <c r="N22" s="5" t="s">
        <v>64</v>
      </c>
      <c r="O22" s="9" t="s">
        <v>71</v>
      </c>
    </row>
    <row r="23" spans="1:15">
      <c r="A2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VLT-MOL-006-AMA-M</v>
      </c>
      <c r="B23" s="5" t="s">
        <v>64</v>
      </c>
      <c r="C23" s="9" t="s">
        <v>96</v>
      </c>
      <c r="D23" s="5" t="s">
        <v>97</v>
      </c>
      <c r="E23" s="5" t="s">
        <v>98</v>
      </c>
      <c r="F23" s="5" t="s">
        <v>99</v>
      </c>
      <c r="G23" s="9" t="s">
        <v>54</v>
      </c>
      <c r="H23" s="11">
        <v>279.89999999999998</v>
      </c>
      <c r="I23" s="11">
        <v>99.9</v>
      </c>
      <c r="J23" s="12">
        <f>IF(OR(tVerao25[[#This Row],[Preço (R$)]]="",tVerao25[[#This Row],[Custo (R$)]]=""),"",(tVerao25[[#This Row],[Preço (R$)]]-tVerao25[[#This Row],[Custo (R$)]])/tVerao25[[#This Row],[Preço (R$)]])</f>
        <v>0.64308681672025714</v>
      </c>
      <c r="K23" s="5" t="s">
        <v>102</v>
      </c>
      <c r="L23" s="5" t="s">
        <v>101</v>
      </c>
      <c r="M23" s="10"/>
      <c r="N23" s="5" t="s">
        <v>64</v>
      </c>
      <c r="O23" s="9" t="s">
        <v>71</v>
      </c>
    </row>
    <row r="24" spans="1:15">
      <c r="A2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VLT-MOL-006-AMA-G</v>
      </c>
      <c r="B24" s="5" t="s">
        <v>64</v>
      </c>
      <c r="C24" s="9" t="s">
        <v>96</v>
      </c>
      <c r="D24" s="5" t="s">
        <v>97</v>
      </c>
      <c r="E24" s="5" t="s">
        <v>98</v>
      </c>
      <c r="F24" s="5" t="s">
        <v>99</v>
      </c>
      <c r="G24" s="9" t="s">
        <v>58</v>
      </c>
      <c r="H24" s="11">
        <v>279.89999999999998</v>
      </c>
      <c r="I24" s="11">
        <v>99.9</v>
      </c>
      <c r="J24" s="12">
        <f>IF(OR(tVerao25[[#This Row],[Preço (R$)]]="",tVerao25[[#This Row],[Custo (R$)]]=""),"",(tVerao25[[#This Row],[Preço (R$)]]-tVerao25[[#This Row],[Custo (R$)]])/tVerao25[[#This Row],[Preço (R$)]])</f>
        <v>0.64308681672025714</v>
      </c>
      <c r="K24" s="5" t="s">
        <v>103</v>
      </c>
      <c r="L24" s="5" t="s">
        <v>101</v>
      </c>
      <c r="M24" s="10"/>
      <c r="N24" s="5" t="s">
        <v>64</v>
      </c>
      <c r="O24" s="9" t="s">
        <v>71</v>
      </c>
    </row>
    <row r="25" spans="1:15">
      <c r="A2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VLT-MOL-006-AMA-GG</v>
      </c>
      <c r="B25" s="5" t="s">
        <v>64</v>
      </c>
      <c r="C25" s="9" t="s">
        <v>96</v>
      </c>
      <c r="D25" s="5" t="s">
        <v>97</v>
      </c>
      <c r="E25" s="5" t="s">
        <v>98</v>
      </c>
      <c r="F25" s="5" t="s">
        <v>99</v>
      </c>
      <c r="G25" s="9" t="s">
        <v>61</v>
      </c>
      <c r="H25" s="11">
        <v>279.89999999999998</v>
      </c>
      <c r="I25" s="11">
        <v>99.9</v>
      </c>
      <c r="J25" s="12">
        <f>IF(OR(tVerao25[[#This Row],[Preço (R$)]]="",tVerao25[[#This Row],[Custo (R$)]]=""),"",(tVerao25[[#This Row],[Preço (R$)]]-tVerao25[[#This Row],[Custo (R$)]])/tVerao25[[#This Row],[Preço (R$)]])</f>
        <v>0.64308681672025714</v>
      </c>
      <c r="K25" s="5" t="s">
        <v>104</v>
      </c>
      <c r="L25" s="5" t="s">
        <v>101</v>
      </c>
      <c r="M25" s="10"/>
      <c r="N25" s="5" t="s">
        <v>64</v>
      </c>
      <c r="O25" s="9" t="s">
        <v>71</v>
      </c>
    </row>
    <row r="26" spans="1:15">
      <c r="A2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VLT-VES-001-AZM-P</v>
      </c>
      <c r="B26" s="5" t="s">
        <v>64</v>
      </c>
      <c r="C26" s="9" t="s">
        <v>105</v>
      </c>
      <c r="D26" s="5" t="s">
        <v>106</v>
      </c>
      <c r="E26" s="5" t="s">
        <v>107</v>
      </c>
      <c r="F26" s="5" t="s">
        <v>68</v>
      </c>
      <c r="G26" s="9" t="s">
        <v>51</v>
      </c>
      <c r="H26" s="11">
        <v>259.89999999999998</v>
      </c>
      <c r="I26" s="11">
        <v>116.83</v>
      </c>
      <c r="J26" s="12">
        <f>IF(OR(tVerao25[[#This Row],[Preço (R$)]]="",tVerao25[[#This Row],[Custo (R$)]]=""),"",(tVerao25[[#This Row],[Preço (R$)]]-tVerao25[[#This Row],[Custo (R$)]])/tVerao25[[#This Row],[Preço (R$)]])</f>
        <v>0.5504809542131589</v>
      </c>
      <c r="K26" s="5" t="s">
        <v>108</v>
      </c>
      <c r="L26" s="5" t="s">
        <v>109</v>
      </c>
      <c r="M26" s="10"/>
      <c r="N26" s="5" t="s">
        <v>64</v>
      </c>
      <c r="O26" s="9" t="s">
        <v>71</v>
      </c>
    </row>
    <row r="27" spans="1:15">
      <c r="A2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VLT-VES-001-AZM-M</v>
      </c>
      <c r="B27" s="5" t="s">
        <v>64</v>
      </c>
      <c r="C27" s="9" t="s">
        <v>105</v>
      </c>
      <c r="D27" s="5" t="s">
        <v>106</v>
      </c>
      <c r="E27" s="5" t="s">
        <v>107</v>
      </c>
      <c r="F27" s="5" t="s">
        <v>68</v>
      </c>
      <c r="G27" s="9" t="s">
        <v>54</v>
      </c>
      <c r="H27" s="11">
        <v>259.89999999999998</v>
      </c>
      <c r="I27" s="11">
        <v>116.83</v>
      </c>
      <c r="J27" s="12">
        <f>IF(OR(tVerao25[[#This Row],[Preço (R$)]]="",tVerao25[[#This Row],[Custo (R$)]]=""),"",(tVerao25[[#This Row],[Preço (R$)]]-tVerao25[[#This Row],[Custo (R$)]])/tVerao25[[#This Row],[Preço (R$)]])</f>
        <v>0.5504809542131589</v>
      </c>
      <c r="K27" s="5" t="s">
        <v>110</v>
      </c>
      <c r="L27" s="5" t="s">
        <v>109</v>
      </c>
      <c r="M27" s="10"/>
      <c r="N27" s="5" t="s">
        <v>64</v>
      </c>
      <c r="O27" s="9" t="s">
        <v>71</v>
      </c>
    </row>
    <row r="28" spans="1:15">
      <c r="A2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VLT-VES-001-AZM-G</v>
      </c>
      <c r="B28" s="5" t="s">
        <v>64</v>
      </c>
      <c r="C28" s="9" t="s">
        <v>105</v>
      </c>
      <c r="D28" s="5" t="s">
        <v>106</v>
      </c>
      <c r="E28" s="5" t="s">
        <v>107</v>
      </c>
      <c r="F28" s="5" t="s">
        <v>68</v>
      </c>
      <c r="G28" s="9" t="s">
        <v>58</v>
      </c>
      <c r="H28" s="11">
        <v>259.89999999999998</v>
      </c>
      <c r="I28" s="11">
        <v>116.83</v>
      </c>
      <c r="J28" s="12">
        <f>IF(OR(tVerao25[[#This Row],[Preço (R$)]]="",tVerao25[[#This Row],[Custo (R$)]]=""),"",(tVerao25[[#This Row],[Preço (R$)]]-tVerao25[[#This Row],[Custo (R$)]])/tVerao25[[#This Row],[Preço (R$)]])</f>
        <v>0.5504809542131589</v>
      </c>
      <c r="K28" s="5" t="s">
        <v>111</v>
      </c>
      <c r="L28" s="5" t="s">
        <v>109</v>
      </c>
      <c r="M28" s="10"/>
      <c r="N28" s="5" t="s">
        <v>64</v>
      </c>
      <c r="O28" s="9" t="s">
        <v>71</v>
      </c>
    </row>
    <row r="29" spans="1:15">
      <c r="A2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VLT-VES-001-AZM-GG</v>
      </c>
      <c r="B29" s="5" t="s">
        <v>64</v>
      </c>
      <c r="C29" s="9" t="s">
        <v>105</v>
      </c>
      <c r="D29" s="5" t="s">
        <v>106</v>
      </c>
      <c r="E29" s="5" t="s">
        <v>107</v>
      </c>
      <c r="F29" s="5" t="s">
        <v>68</v>
      </c>
      <c r="G29" s="9" t="s">
        <v>61</v>
      </c>
      <c r="H29" s="11">
        <v>259.89999999999998</v>
      </c>
      <c r="I29" s="11"/>
      <c r="J29" s="12" t="str">
        <f>IF(OR(tVerao25[[#This Row],[Preço (R$)]]="",tVerao25[[#This Row],[Custo (R$)]]=""),"",(tVerao25[[#This Row],[Preço (R$)]]-tVerao25[[#This Row],[Custo (R$)]])/tVerao25[[#This Row],[Preço (R$)]])</f>
        <v/>
      </c>
      <c r="K29" s="5" t="s">
        <v>112</v>
      </c>
      <c r="L29" s="5" t="s">
        <v>109</v>
      </c>
      <c r="M29" s="10"/>
      <c r="N29" s="5" t="s">
        <v>64</v>
      </c>
      <c r="O29" s="9" t="s">
        <v>71</v>
      </c>
    </row>
    <row r="30" spans="1:15">
      <c r="A3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VLT-SAI-003-OFF-P</v>
      </c>
      <c r="B30" s="5" t="s">
        <v>113</v>
      </c>
      <c r="C30" s="9" t="s">
        <v>114</v>
      </c>
      <c r="D30" s="5" t="s">
        <v>115</v>
      </c>
      <c r="E30" s="5" t="s">
        <v>116</v>
      </c>
      <c r="F30" s="5" t="s">
        <v>117</v>
      </c>
      <c r="G30" s="9" t="s">
        <v>51</v>
      </c>
      <c r="H30" s="11">
        <v>149.9</v>
      </c>
      <c r="I30" s="27">
        <v>66.77</v>
      </c>
      <c r="J30" s="12">
        <f>IF(OR(tVerao25[[#This Row],[Preço (R$)]]="",tVerao25[[#This Row],[Custo (R$)]]=""),"",(tVerao25[[#This Row],[Preço (R$)]]-tVerao25[[#This Row],[Custo (R$)]])/tVerao25[[#This Row],[Preço (R$)]])</f>
        <v>0.5545697131420948</v>
      </c>
      <c r="K30" s="5" t="s">
        <v>118</v>
      </c>
      <c r="L30" s="5" t="s">
        <v>70</v>
      </c>
      <c r="M30" s="10"/>
      <c r="N30" s="5" t="s">
        <v>119</v>
      </c>
      <c r="O30" s="9" t="s">
        <v>49</v>
      </c>
    </row>
    <row r="31" spans="1:15">
      <c r="A3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VLT-SAI-003-OFF-M</v>
      </c>
      <c r="B31" s="5" t="s">
        <v>120</v>
      </c>
      <c r="C31" s="9" t="s">
        <v>114</v>
      </c>
      <c r="D31" s="5" t="s">
        <v>115</v>
      </c>
      <c r="E31" s="5" t="s">
        <v>116</v>
      </c>
      <c r="F31" s="5" t="s">
        <v>117</v>
      </c>
      <c r="G31" s="9" t="s">
        <v>54</v>
      </c>
      <c r="H31" s="11">
        <v>149.9</v>
      </c>
      <c r="I31" s="11">
        <v>66.77</v>
      </c>
      <c r="J31" s="12">
        <f>IF(OR(tVerao25[[#This Row],[Preço (R$)]]="",tVerao25[[#This Row],[Custo (R$)]]=""),"",(tVerao25[[#This Row],[Preço (R$)]]-tVerao25[[#This Row],[Custo (R$)]])/tVerao25[[#This Row],[Preço (R$)]])</f>
        <v>0.5545697131420948</v>
      </c>
      <c r="K31" s="5" t="s">
        <v>121</v>
      </c>
      <c r="L31" s="5" t="s">
        <v>70</v>
      </c>
      <c r="M31" s="10"/>
      <c r="N31" s="5" t="s">
        <v>56</v>
      </c>
      <c r="O31" s="9" t="s">
        <v>49</v>
      </c>
    </row>
    <row r="32" spans="1:15">
      <c r="A3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VLT-SAI-003-OFF-G</v>
      </c>
      <c r="B32" s="5" t="s">
        <v>122</v>
      </c>
      <c r="C32" s="9" t="s">
        <v>114</v>
      </c>
      <c r="D32" s="5" t="s">
        <v>115</v>
      </c>
      <c r="E32" s="5" t="s">
        <v>116</v>
      </c>
      <c r="F32" s="5" t="s">
        <v>117</v>
      </c>
      <c r="G32" s="9" t="s">
        <v>58</v>
      </c>
      <c r="H32" s="11">
        <v>149.9</v>
      </c>
      <c r="I32" s="11">
        <v>66.77</v>
      </c>
      <c r="J32" s="12">
        <f>IF(OR(tVerao25[[#This Row],[Preço (R$)]]="",tVerao25[[#This Row],[Custo (R$)]]=""),"",(tVerao25[[#This Row],[Preço (R$)]]-tVerao25[[#This Row],[Custo (R$)]])/tVerao25[[#This Row],[Preço (R$)]])</f>
        <v>0.5545697131420948</v>
      </c>
      <c r="K32" s="5" t="s">
        <v>123</v>
      </c>
      <c r="L32" s="5" t="s">
        <v>70</v>
      </c>
      <c r="M32" s="10"/>
      <c r="N32" s="5" t="s">
        <v>56</v>
      </c>
      <c r="O32" s="9" t="s">
        <v>49</v>
      </c>
    </row>
    <row r="33" spans="1:15">
      <c r="A3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VLT-SAI-003-OFF-GG</v>
      </c>
      <c r="B33" s="5" t="s">
        <v>124</v>
      </c>
      <c r="C33" s="9" t="s">
        <v>114</v>
      </c>
      <c r="D33" s="5" t="s">
        <v>115</v>
      </c>
      <c r="E33" s="5" t="s">
        <v>116</v>
      </c>
      <c r="F33" s="5" t="s">
        <v>117</v>
      </c>
      <c r="G33" s="9" t="s">
        <v>61</v>
      </c>
      <c r="H33" s="11">
        <v>149.9</v>
      </c>
      <c r="I33" s="11">
        <v>66.77</v>
      </c>
      <c r="J33" s="12">
        <f>IF(OR(tVerao25[[#This Row],[Preço (R$)]]="",tVerao25[[#This Row],[Custo (R$)]]=""),"",(tVerao25[[#This Row],[Preço (R$)]]-tVerao25[[#This Row],[Custo (R$)]])/tVerao25[[#This Row],[Preço (R$)]])</f>
        <v>0.5545697131420948</v>
      </c>
      <c r="K33" s="5" t="s">
        <v>125</v>
      </c>
      <c r="L33" s="5" t="s">
        <v>70</v>
      </c>
      <c r="M33" s="10"/>
      <c r="N33" s="5" t="s">
        <v>48</v>
      </c>
      <c r="O33" s="9" t="s">
        <v>49</v>
      </c>
    </row>
    <row r="34" spans="1:15">
      <c r="A3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VLT-CAM-006-VIN-P</v>
      </c>
      <c r="B34" s="5" t="s">
        <v>64</v>
      </c>
      <c r="C34" s="9" t="s">
        <v>126</v>
      </c>
      <c r="D34" s="5" t="s">
        <v>127</v>
      </c>
      <c r="E34" s="5" t="s">
        <v>128</v>
      </c>
      <c r="F34" s="5" t="s">
        <v>129</v>
      </c>
      <c r="G34" s="9" t="s">
        <v>51</v>
      </c>
      <c r="H34" s="11">
        <v>89.9</v>
      </c>
      <c r="I34" s="11">
        <v>38.08</v>
      </c>
      <c r="J34" s="12">
        <f>IF(OR(tVerao25[[#This Row],[Preço (R$)]]="",tVerao25[[#This Row],[Custo (R$)]]=""),"",(tVerao25[[#This Row],[Preço (R$)]]-tVerao25[[#This Row],[Custo (R$)]])/tVerao25[[#This Row],[Preço (R$)]])</f>
        <v>0.57641824249165741</v>
      </c>
      <c r="K34" s="5" t="s">
        <v>130</v>
      </c>
      <c r="L34" s="5" t="s">
        <v>101</v>
      </c>
      <c r="M34" s="10"/>
      <c r="N34" s="5" t="s">
        <v>64</v>
      </c>
      <c r="O34" s="9" t="s">
        <v>71</v>
      </c>
    </row>
    <row r="35" spans="1:15">
      <c r="A3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VLT-CAM-006-VIN-M</v>
      </c>
      <c r="B35" s="5" t="s">
        <v>64</v>
      </c>
      <c r="C35" s="9" t="s">
        <v>126</v>
      </c>
      <c r="D35" s="5" t="s">
        <v>127</v>
      </c>
      <c r="E35" s="5" t="s">
        <v>128</v>
      </c>
      <c r="F35" s="5" t="s">
        <v>129</v>
      </c>
      <c r="G35" s="9" t="s">
        <v>54</v>
      </c>
      <c r="H35" s="11">
        <v>89.9</v>
      </c>
      <c r="I35" s="11">
        <v>38.08</v>
      </c>
      <c r="J35" s="12">
        <f>IF(OR(tVerao25[[#This Row],[Preço (R$)]]="",tVerao25[[#This Row],[Custo (R$)]]=""),"",(tVerao25[[#This Row],[Preço (R$)]]-tVerao25[[#This Row],[Custo (R$)]])/tVerao25[[#This Row],[Preço (R$)]])</f>
        <v>0.57641824249165741</v>
      </c>
      <c r="K35" s="5" t="s">
        <v>131</v>
      </c>
      <c r="L35" s="5" t="s">
        <v>101</v>
      </c>
      <c r="M35" s="10"/>
      <c r="N35" s="5" t="s">
        <v>64</v>
      </c>
      <c r="O35" s="9" t="s">
        <v>71</v>
      </c>
    </row>
    <row r="36" spans="1:15">
      <c r="A3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VLT-CAM-006-VIN-G</v>
      </c>
      <c r="B36" s="5" t="s">
        <v>64</v>
      </c>
      <c r="C36" s="9" t="s">
        <v>126</v>
      </c>
      <c r="D36" s="5" t="s">
        <v>127</v>
      </c>
      <c r="E36" s="5" t="s">
        <v>128</v>
      </c>
      <c r="F36" s="5" t="s">
        <v>129</v>
      </c>
      <c r="G36" s="9" t="s">
        <v>58</v>
      </c>
      <c r="H36" s="11">
        <v>89.9</v>
      </c>
      <c r="I36" s="11"/>
      <c r="J36" s="12" t="str">
        <f>IF(OR(tVerao25[[#This Row],[Preço (R$)]]="",tVerao25[[#This Row],[Custo (R$)]]=""),"",(tVerao25[[#This Row],[Preço (R$)]]-tVerao25[[#This Row],[Custo (R$)]])/tVerao25[[#This Row],[Preço (R$)]])</f>
        <v/>
      </c>
      <c r="K36" s="5" t="s">
        <v>132</v>
      </c>
      <c r="L36" s="5" t="s">
        <v>101</v>
      </c>
      <c r="M36" s="10"/>
      <c r="N36" s="5" t="s">
        <v>64</v>
      </c>
      <c r="O36" s="9" t="s">
        <v>71</v>
      </c>
    </row>
    <row r="37" spans="1:15">
      <c r="A3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VLT-CAM-006-VIN-GG</v>
      </c>
      <c r="B37" s="5" t="s">
        <v>64</v>
      </c>
      <c r="C37" s="9" t="s">
        <v>126</v>
      </c>
      <c r="D37" s="5" t="s">
        <v>127</v>
      </c>
      <c r="E37" s="5" t="s">
        <v>128</v>
      </c>
      <c r="F37" s="5" t="s">
        <v>129</v>
      </c>
      <c r="G37" s="9" t="s">
        <v>61</v>
      </c>
      <c r="H37" s="11">
        <v>89.9</v>
      </c>
      <c r="I37" s="11">
        <v>38.08</v>
      </c>
      <c r="J37" s="12">
        <f>IF(OR(tVerao25[[#This Row],[Preço (R$)]]="",tVerao25[[#This Row],[Custo (R$)]]=""),"",(tVerao25[[#This Row],[Preço (R$)]]-tVerao25[[#This Row],[Custo (R$)]])/tVerao25[[#This Row],[Preço (R$)]])</f>
        <v>0.57641824249165741</v>
      </c>
      <c r="K37" s="5" t="s">
        <v>133</v>
      </c>
      <c r="L37" s="5" t="s">
        <v>101</v>
      </c>
      <c r="M37" s="10"/>
      <c r="N37" s="5" t="s">
        <v>64</v>
      </c>
      <c r="O37" s="9" t="s">
        <v>71</v>
      </c>
    </row>
    <row r="38" spans="1:15">
      <c r="A3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VLT-SAI-004-MRR-P</v>
      </c>
      <c r="B38" s="5" t="s">
        <v>134</v>
      </c>
      <c r="C38" s="9" t="s">
        <v>135</v>
      </c>
      <c r="D38" s="5" t="s">
        <v>136</v>
      </c>
      <c r="E38" s="5" t="s">
        <v>116</v>
      </c>
      <c r="F38" s="5" t="s">
        <v>87</v>
      </c>
      <c r="G38" s="9" t="s">
        <v>51</v>
      </c>
      <c r="H38" s="11">
        <v>209.9</v>
      </c>
      <c r="I38" s="11">
        <v>84.41</v>
      </c>
      <c r="J38" s="12">
        <f>IF(OR(tVerao25[[#This Row],[Preço (R$)]]="",tVerao25[[#This Row],[Custo (R$)]]=""),"",(tVerao25[[#This Row],[Preço (R$)]]-tVerao25[[#This Row],[Custo (R$)]])/tVerao25[[#This Row],[Preço (R$)]])</f>
        <v>0.59785612196283944</v>
      </c>
      <c r="K38" s="5" t="s">
        <v>137</v>
      </c>
      <c r="L38" s="5" t="s">
        <v>70</v>
      </c>
      <c r="M38" s="10"/>
      <c r="N38" s="5" t="s">
        <v>56</v>
      </c>
      <c r="O38" s="9" t="s">
        <v>49</v>
      </c>
    </row>
    <row r="39" spans="1:15">
      <c r="A3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VLT-SAI-004-MRR-M</v>
      </c>
      <c r="B39" s="5" t="s">
        <v>138</v>
      </c>
      <c r="C39" s="9" t="s">
        <v>135</v>
      </c>
      <c r="D39" s="5" t="s">
        <v>136</v>
      </c>
      <c r="E39" s="5" t="s">
        <v>116</v>
      </c>
      <c r="F39" s="5" t="s">
        <v>87</v>
      </c>
      <c r="G39" s="9" t="s">
        <v>54</v>
      </c>
      <c r="H39" s="11">
        <v>209.9</v>
      </c>
      <c r="I39" s="27">
        <v>84.41</v>
      </c>
      <c r="J39" s="12">
        <f>IF(OR(tVerao25[[#This Row],[Preço (R$)]]="",tVerao25[[#This Row],[Custo (R$)]]=""),"",(tVerao25[[#This Row],[Preço (R$)]]-tVerao25[[#This Row],[Custo (R$)]])/tVerao25[[#This Row],[Preço (R$)]])</f>
        <v>0.59785612196283944</v>
      </c>
      <c r="K39" s="5" t="s">
        <v>139</v>
      </c>
      <c r="L39" s="5" t="s">
        <v>70</v>
      </c>
      <c r="M39" s="10"/>
      <c r="N39" s="5" t="s">
        <v>140</v>
      </c>
      <c r="O39" s="9" t="s">
        <v>49</v>
      </c>
    </row>
    <row r="40" spans="1:15">
      <c r="A4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VLT-SAI-004-MRR-G</v>
      </c>
      <c r="B40" s="5" t="s">
        <v>141</v>
      </c>
      <c r="C40" s="9" t="s">
        <v>135</v>
      </c>
      <c r="D40" s="5" t="s">
        <v>136</v>
      </c>
      <c r="E40" s="5" t="s">
        <v>116</v>
      </c>
      <c r="F40" s="5" t="s">
        <v>87</v>
      </c>
      <c r="G40" s="9" t="s">
        <v>58</v>
      </c>
      <c r="H40" s="11">
        <v>209.9</v>
      </c>
      <c r="I40" s="11">
        <v>84.41</v>
      </c>
      <c r="J40" s="12">
        <f>IF(OR(tVerao25[[#This Row],[Preço (R$)]]="",tVerao25[[#This Row],[Custo (R$)]]=""),"",(tVerao25[[#This Row],[Preço (R$)]]-tVerao25[[#This Row],[Custo (R$)]])/tVerao25[[#This Row],[Preço (R$)]])</f>
        <v>0.59785612196283944</v>
      </c>
      <c r="K40" s="5" t="s">
        <v>142</v>
      </c>
      <c r="L40" s="5" t="s">
        <v>70</v>
      </c>
      <c r="M40" s="10"/>
      <c r="N40" s="5" t="s">
        <v>56</v>
      </c>
      <c r="O40" s="9" t="s">
        <v>49</v>
      </c>
    </row>
    <row r="41" spans="1:15">
      <c r="A4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VLT-SAI-004-MRR-GG</v>
      </c>
      <c r="B41" s="5" t="s">
        <v>143</v>
      </c>
      <c r="C41" s="9" t="s">
        <v>135</v>
      </c>
      <c r="D41" s="5" t="s">
        <v>136</v>
      </c>
      <c r="E41" s="5" t="s">
        <v>116</v>
      </c>
      <c r="F41" s="5" t="s">
        <v>87</v>
      </c>
      <c r="G41" s="9" t="s">
        <v>61</v>
      </c>
      <c r="H41" s="11">
        <v>209.9</v>
      </c>
      <c r="I41" s="11">
        <v>84.41</v>
      </c>
      <c r="J41" s="12">
        <f>IF(OR(tVerao25[[#This Row],[Preço (R$)]]="",tVerao25[[#This Row],[Custo (R$)]]=""),"",(tVerao25[[#This Row],[Preço (R$)]]-tVerao25[[#This Row],[Custo (R$)]])/tVerao25[[#This Row],[Preço (R$)]])</f>
        <v>0.59785612196283944</v>
      </c>
      <c r="K41" s="5" t="s">
        <v>144</v>
      </c>
      <c r="L41" s="5" t="s">
        <v>70</v>
      </c>
      <c r="M41" s="10"/>
      <c r="N41" s="5" t="s">
        <v>145</v>
      </c>
      <c r="O41" s="9" t="s">
        <v>49</v>
      </c>
    </row>
    <row r="42" spans="1:15">
      <c r="A4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VLT-SAI-005-OFF-P</v>
      </c>
      <c r="B42" s="5" t="s">
        <v>146</v>
      </c>
      <c r="C42" s="9" t="s">
        <v>147</v>
      </c>
      <c r="D42" s="5" t="s">
        <v>148</v>
      </c>
      <c r="E42" s="5" t="s">
        <v>116</v>
      </c>
      <c r="F42" s="5" t="s">
        <v>117</v>
      </c>
      <c r="G42" s="9" t="s">
        <v>51</v>
      </c>
      <c r="H42" s="11">
        <v>209.9</v>
      </c>
      <c r="I42" s="27">
        <v>91.99</v>
      </c>
      <c r="J42" s="12">
        <f>IF(OR(tVerao25[[#This Row],[Preço (R$)]]="",tVerao25[[#This Row],[Custo (R$)]]=""),"",(tVerao25[[#This Row],[Preço (R$)]]-tVerao25[[#This Row],[Custo (R$)]])/tVerao25[[#This Row],[Preço (R$)]])</f>
        <v>0.56174368747022396</v>
      </c>
      <c r="K42" s="5" t="s">
        <v>149</v>
      </c>
      <c r="L42" s="5" t="s">
        <v>70</v>
      </c>
      <c r="M42" s="10"/>
      <c r="N42" s="5" t="s">
        <v>150</v>
      </c>
      <c r="O42" s="9" t="s">
        <v>49</v>
      </c>
    </row>
    <row r="43" spans="1:15">
      <c r="A4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VLT-SAI-005-OFF-M</v>
      </c>
      <c r="B43" s="5" t="s">
        <v>151</v>
      </c>
      <c r="C43" s="9" t="s">
        <v>147</v>
      </c>
      <c r="D43" s="5" t="s">
        <v>148</v>
      </c>
      <c r="E43" s="5" t="s">
        <v>116</v>
      </c>
      <c r="F43" s="5" t="s">
        <v>117</v>
      </c>
      <c r="G43" s="9" t="s">
        <v>54</v>
      </c>
      <c r="H43" s="11">
        <v>209.9</v>
      </c>
      <c r="I43" s="11">
        <v>91.99</v>
      </c>
      <c r="J43" s="12">
        <f>IF(OR(tVerao25[[#This Row],[Preço (R$)]]="",tVerao25[[#This Row],[Custo (R$)]]=""),"",(tVerao25[[#This Row],[Preço (R$)]]-tVerao25[[#This Row],[Custo (R$)]])/tVerao25[[#This Row],[Preço (R$)]])</f>
        <v>0.56174368747022396</v>
      </c>
      <c r="K43" s="5" t="s">
        <v>152</v>
      </c>
      <c r="L43" s="5" t="s">
        <v>70</v>
      </c>
      <c r="M43" s="10"/>
      <c r="N43" s="5" t="s">
        <v>56</v>
      </c>
      <c r="O43" s="9" t="s">
        <v>49</v>
      </c>
    </row>
    <row r="44" spans="1:15">
      <c r="A4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VLT-SAI-005-OFF-G</v>
      </c>
      <c r="B44" s="5" t="s">
        <v>153</v>
      </c>
      <c r="C44" s="9" t="s">
        <v>147</v>
      </c>
      <c r="D44" s="5" t="s">
        <v>148</v>
      </c>
      <c r="E44" s="5" t="s">
        <v>116</v>
      </c>
      <c r="F44" s="5" t="s">
        <v>117</v>
      </c>
      <c r="G44" s="9" t="s">
        <v>58</v>
      </c>
      <c r="H44" s="11">
        <v>209.9</v>
      </c>
      <c r="I44" s="11">
        <v>91.99</v>
      </c>
      <c r="J44" s="12">
        <f>IF(OR(tVerao25[[#This Row],[Preço (R$)]]="",tVerao25[[#This Row],[Custo (R$)]]=""),"",(tVerao25[[#This Row],[Preço (R$)]]-tVerao25[[#This Row],[Custo (R$)]])/tVerao25[[#This Row],[Preço (R$)]])</f>
        <v>0.56174368747022396</v>
      </c>
      <c r="K44" s="5" t="s">
        <v>154</v>
      </c>
      <c r="L44" s="5" t="s">
        <v>70</v>
      </c>
      <c r="M44" s="10"/>
      <c r="N44" s="5" t="s">
        <v>56</v>
      </c>
      <c r="O44" s="9" t="s">
        <v>49</v>
      </c>
    </row>
    <row r="45" spans="1:15">
      <c r="A4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VLT-CMS-006-AMA-XP</v>
      </c>
      <c r="B45" s="5" t="s">
        <v>64</v>
      </c>
      <c r="C45" s="9" t="s">
        <v>155</v>
      </c>
      <c r="D45" s="5" t="s">
        <v>156</v>
      </c>
      <c r="E45" s="5" t="s">
        <v>67</v>
      </c>
      <c r="F45" s="5" t="s">
        <v>99</v>
      </c>
      <c r="G45" s="9" t="s">
        <v>45</v>
      </c>
      <c r="H45" s="11">
        <v>259.89999999999998</v>
      </c>
      <c r="I45" s="11">
        <v>104.66</v>
      </c>
      <c r="J45" s="12">
        <f>IF(OR(tVerao25[[#This Row],[Preço (R$)]]="",tVerao25[[#This Row],[Custo (R$)]]=""),"",(tVerao25[[#This Row],[Preço (R$)]]-tVerao25[[#This Row],[Custo (R$)]])/tVerao25[[#This Row],[Preço (R$)]])</f>
        <v>0.59730665640631009</v>
      </c>
      <c r="K45" s="5" t="s">
        <v>157</v>
      </c>
      <c r="L45" s="5" t="s">
        <v>47</v>
      </c>
      <c r="M45" s="10"/>
      <c r="N45" s="5" t="s">
        <v>64</v>
      </c>
      <c r="O45" s="9" t="s">
        <v>71</v>
      </c>
    </row>
    <row r="46" spans="1:15">
      <c r="A4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VLT-CMS-006-AMA-P</v>
      </c>
      <c r="B46" s="5" t="s">
        <v>64</v>
      </c>
      <c r="C46" s="9" t="s">
        <v>155</v>
      </c>
      <c r="D46" s="5" t="s">
        <v>156</v>
      </c>
      <c r="E46" s="5" t="s">
        <v>67</v>
      </c>
      <c r="F46" s="5" t="s">
        <v>99</v>
      </c>
      <c r="G46" s="9" t="s">
        <v>51</v>
      </c>
      <c r="H46" s="11">
        <v>259.89999999999998</v>
      </c>
      <c r="I46" s="11">
        <v>104.66</v>
      </c>
      <c r="J46" s="12">
        <f>IF(OR(tVerao25[[#This Row],[Preço (R$)]]="",tVerao25[[#This Row],[Custo (R$)]]=""),"",(tVerao25[[#This Row],[Preço (R$)]]-tVerao25[[#This Row],[Custo (R$)]])/tVerao25[[#This Row],[Preço (R$)]])</f>
        <v>0.59730665640631009</v>
      </c>
      <c r="K46" s="5" t="s">
        <v>158</v>
      </c>
      <c r="L46" s="5" t="s">
        <v>47</v>
      </c>
      <c r="M46" s="10"/>
      <c r="N46" s="5" t="s">
        <v>64</v>
      </c>
      <c r="O46" s="9" t="s">
        <v>71</v>
      </c>
    </row>
    <row r="47" spans="1:15">
      <c r="A4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VLT-CMS-006-AMA-M</v>
      </c>
      <c r="B47" s="5" t="s">
        <v>64</v>
      </c>
      <c r="C47" s="9" t="s">
        <v>155</v>
      </c>
      <c r="D47" s="5" t="s">
        <v>156</v>
      </c>
      <c r="E47" s="5" t="s">
        <v>67</v>
      </c>
      <c r="F47" s="5" t="s">
        <v>99</v>
      </c>
      <c r="G47" s="9" t="s">
        <v>54</v>
      </c>
      <c r="H47" s="11">
        <v>259.89999999999998</v>
      </c>
      <c r="I47" s="11"/>
      <c r="J47" s="12" t="str">
        <f>IF(OR(tVerao25[[#This Row],[Preço (R$)]]="",tVerao25[[#This Row],[Custo (R$)]]=""),"",(tVerao25[[#This Row],[Preço (R$)]]-tVerao25[[#This Row],[Custo (R$)]])/tVerao25[[#This Row],[Preço (R$)]])</f>
        <v/>
      </c>
      <c r="K47" s="5" t="s">
        <v>159</v>
      </c>
      <c r="L47" s="5" t="s">
        <v>47</v>
      </c>
      <c r="M47" s="10"/>
      <c r="N47" s="5" t="s">
        <v>64</v>
      </c>
      <c r="O47" s="9" t="s">
        <v>71</v>
      </c>
    </row>
    <row r="48" spans="1:15">
      <c r="A4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VLT-CMS-006-AMA-G</v>
      </c>
      <c r="B48" s="5" t="s">
        <v>64</v>
      </c>
      <c r="C48" s="9" t="s">
        <v>155</v>
      </c>
      <c r="D48" s="5" t="s">
        <v>156</v>
      </c>
      <c r="E48" s="5" t="s">
        <v>67</v>
      </c>
      <c r="F48" s="5" t="s">
        <v>99</v>
      </c>
      <c r="G48" s="9" t="s">
        <v>58</v>
      </c>
      <c r="H48" s="11">
        <v>259.89999999999998</v>
      </c>
      <c r="I48" s="11">
        <v>104.66</v>
      </c>
      <c r="J48" s="12">
        <f>IF(OR(tVerao25[[#This Row],[Preço (R$)]]="",tVerao25[[#This Row],[Custo (R$)]]=""),"",(tVerao25[[#This Row],[Preço (R$)]]-tVerao25[[#This Row],[Custo (R$)]])/tVerao25[[#This Row],[Preço (R$)]])</f>
        <v>0.59730665640631009</v>
      </c>
      <c r="K48" s="5" t="s">
        <v>160</v>
      </c>
      <c r="L48" s="5" t="s">
        <v>47</v>
      </c>
      <c r="M48" s="10"/>
      <c r="N48" s="5" t="s">
        <v>64</v>
      </c>
      <c r="O48" s="9" t="s">
        <v>71</v>
      </c>
    </row>
    <row r="49" spans="1:15">
      <c r="A4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VLT-CMS-006-AMA-GG</v>
      </c>
      <c r="B49" s="5" t="s">
        <v>64</v>
      </c>
      <c r="C49" s="9" t="s">
        <v>155</v>
      </c>
      <c r="D49" s="5" t="s">
        <v>156</v>
      </c>
      <c r="E49" s="5" t="s">
        <v>67</v>
      </c>
      <c r="F49" s="5" t="s">
        <v>99</v>
      </c>
      <c r="G49" s="9" t="s">
        <v>61</v>
      </c>
      <c r="H49" s="11">
        <v>259.89999999999998</v>
      </c>
      <c r="I49" s="11">
        <v>104.66</v>
      </c>
      <c r="J49" s="12">
        <f>IF(OR(tVerao25[[#This Row],[Preço (R$)]]="",tVerao25[[#This Row],[Custo (R$)]]=""),"",(tVerao25[[#This Row],[Preço (R$)]]-tVerao25[[#This Row],[Custo (R$)]])/tVerao25[[#This Row],[Preço (R$)]])</f>
        <v>0.59730665640631009</v>
      </c>
      <c r="K49" s="5" t="s">
        <v>161</v>
      </c>
      <c r="L49" s="5" t="s">
        <v>47</v>
      </c>
      <c r="M49" s="10"/>
      <c r="N49" s="5" t="s">
        <v>64</v>
      </c>
      <c r="O49" s="9" t="s">
        <v>71</v>
      </c>
    </row>
    <row r="50" spans="1:15">
      <c r="A5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VLT-CAM-007-CIN-P</v>
      </c>
      <c r="B50" s="5" t="s">
        <v>64</v>
      </c>
      <c r="C50" s="9" t="s">
        <v>162</v>
      </c>
      <c r="D50" s="5" t="s">
        <v>163</v>
      </c>
      <c r="E50" s="5" t="s">
        <v>128</v>
      </c>
      <c r="F50" s="5" t="s">
        <v>164</v>
      </c>
      <c r="G50" s="9" t="s">
        <v>51</v>
      </c>
      <c r="H50" s="11">
        <v>159.9</v>
      </c>
      <c r="I50" s="11">
        <v>59.11</v>
      </c>
      <c r="J50" s="12">
        <f>IF(OR(tVerao25[[#This Row],[Preço (R$)]]="",tVerao25[[#This Row],[Custo (R$)]]=""),"",(tVerao25[[#This Row],[Preço (R$)]]-tVerao25[[#This Row],[Custo (R$)]])/tVerao25[[#This Row],[Preço (R$)]])</f>
        <v>0.63033145716072547</v>
      </c>
      <c r="K50" s="5" t="s">
        <v>165</v>
      </c>
      <c r="L50" s="5" t="s">
        <v>101</v>
      </c>
      <c r="M50" s="10"/>
      <c r="N50" s="5" t="s">
        <v>64</v>
      </c>
      <c r="O50" s="9" t="s">
        <v>71</v>
      </c>
    </row>
    <row r="51" spans="1:15">
      <c r="A5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VLT-CAM-007-CIN-M</v>
      </c>
      <c r="B51" s="5" t="s">
        <v>64</v>
      </c>
      <c r="C51" s="9" t="s">
        <v>162</v>
      </c>
      <c r="D51" s="5" t="s">
        <v>163</v>
      </c>
      <c r="E51" s="5" t="s">
        <v>128</v>
      </c>
      <c r="F51" s="5" t="s">
        <v>164</v>
      </c>
      <c r="G51" s="9" t="s">
        <v>54</v>
      </c>
      <c r="H51" s="11">
        <v>159.9</v>
      </c>
      <c r="I51" s="11">
        <v>59.11</v>
      </c>
      <c r="J51" s="12">
        <f>IF(OR(tVerao25[[#This Row],[Preço (R$)]]="",tVerao25[[#This Row],[Custo (R$)]]=""),"",(tVerao25[[#This Row],[Preço (R$)]]-tVerao25[[#This Row],[Custo (R$)]])/tVerao25[[#This Row],[Preço (R$)]])</f>
        <v>0.63033145716072547</v>
      </c>
      <c r="K51" s="5" t="s">
        <v>166</v>
      </c>
      <c r="L51" s="5" t="s">
        <v>101</v>
      </c>
      <c r="M51" s="10"/>
      <c r="N51" s="5" t="s">
        <v>64</v>
      </c>
      <c r="O51" s="9" t="s">
        <v>71</v>
      </c>
    </row>
    <row r="52" spans="1:15">
      <c r="A5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VLT-CAM-007-CIN-G</v>
      </c>
      <c r="B52" s="5" t="s">
        <v>64</v>
      </c>
      <c r="C52" s="9" t="s">
        <v>162</v>
      </c>
      <c r="D52" s="5" t="s">
        <v>163</v>
      </c>
      <c r="E52" s="5" t="s">
        <v>128</v>
      </c>
      <c r="F52" s="5" t="s">
        <v>164</v>
      </c>
      <c r="G52" s="9" t="s">
        <v>58</v>
      </c>
      <c r="H52" s="11">
        <v>159.9</v>
      </c>
      <c r="I52" s="11"/>
      <c r="J52" s="12" t="str">
        <f>IF(OR(tVerao25[[#This Row],[Preço (R$)]]="",tVerao25[[#This Row],[Custo (R$)]]=""),"",(tVerao25[[#This Row],[Preço (R$)]]-tVerao25[[#This Row],[Custo (R$)]])/tVerao25[[#This Row],[Preço (R$)]])</f>
        <v/>
      </c>
      <c r="K52" s="5" t="s">
        <v>167</v>
      </c>
      <c r="L52" s="5" t="s">
        <v>101</v>
      </c>
      <c r="M52" s="10"/>
      <c r="N52" s="5" t="s">
        <v>64</v>
      </c>
      <c r="O52" s="9" t="s">
        <v>71</v>
      </c>
    </row>
    <row r="53" spans="1:15">
      <c r="A5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VLT-CAM-007-CIN-GG</v>
      </c>
      <c r="B53" s="5" t="s">
        <v>64</v>
      </c>
      <c r="C53" s="9" t="s">
        <v>162</v>
      </c>
      <c r="D53" s="5" t="s">
        <v>163</v>
      </c>
      <c r="E53" s="5" t="s">
        <v>128</v>
      </c>
      <c r="F53" s="5" t="s">
        <v>164</v>
      </c>
      <c r="G53" s="9" t="s">
        <v>61</v>
      </c>
      <c r="H53" s="11">
        <v>159.9</v>
      </c>
      <c r="I53" s="11">
        <v>59.11</v>
      </c>
      <c r="J53" s="12">
        <f>IF(OR(tVerao25[[#This Row],[Preço (R$)]]="",tVerao25[[#This Row],[Custo (R$)]]=""),"",(tVerao25[[#This Row],[Preço (R$)]]-tVerao25[[#This Row],[Custo (R$)]])/tVerao25[[#This Row],[Preço (R$)]])</f>
        <v>0.63033145716072547</v>
      </c>
      <c r="K53" s="5" t="s">
        <v>168</v>
      </c>
      <c r="L53" s="5" t="s">
        <v>101</v>
      </c>
      <c r="M53" s="10"/>
      <c r="N53" s="5" t="s">
        <v>64</v>
      </c>
      <c r="O53" s="9" t="s">
        <v>71</v>
      </c>
    </row>
    <row r="54" spans="1:15">
      <c r="A5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VLT-BER-005-VIN-XP</v>
      </c>
      <c r="B54" s="5" t="s">
        <v>64</v>
      </c>
      <c r="C54" s="9" t="s">
        <v>169</v>
      </c>
      <c r="D54" s="5" t="s">
        <v>170</v>
      </c>
      <c r="E54" s="5" t="s">
        <v>43</v>
      </c>
      <c r="F54" s="5" t="s">
        <v>129</v>
      </c>
      <c r="G54" s="9" t="s">
        <v>45</v>
      </c>
      <c r="H54" s="11">
        <v>159.9</v>
      </c>
      <c r="I54" s="11">
        <v>59.82</v>
      </c>
      <c r="J54" s="12">
        <f>IF(OR(tVerao25[[#This Row],[Preço (R$)]]="",tVerao25[[#This Row],[Custo (R$)]]=""),"",(tVerao25[[#This Row],[Preço (R$)]]-tVerao25[[#This Row],[Custo (R$)]])/tVerao25[[#This Row],[Preço (R$)]])</f>
        <v>0.62589118198874305</v>
      </c>
      <c r="K54" s="5" t="s">
        <v>171</v>
      </c>
      <c r="L54" s="5" t="s">
        <v>109</v>
      </c>
      <c r="M54" s="10"/>
      <c r="N54" s="5" t="s">
        <v>64</v>
      </c>
      <c r="O54" s="9" t="s">
        <v>71</v>
      </c>
    </row>
    <row r="55" spans="1:15">
      <c r="A5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VLT-BER-005-VIN-P</v>
      </c>
      <c r="B55" s="5" t="s">
        <v>64</v>
      </c>
      <c r="C55" s="9" t="s">
        <v>169</v>
      </c>
      <c r="D55" s="5" t="s">
        <v>170</v>
      </c>
      <c r="E55" s="5" t="s">
        <v>43</v>
      </c>
      <c r="F55" s="5" t="s">
        <v>129</v>
      </c>
      <c r="G55" s="9" t="s">
        <v>51</v>
      </c>
      <c r="H55" s="11">
        <v>159.9</v>
      </c>
      <c r="I55" s="11">
        <v>59.82</v>
      </c>
      <c r="J55" s="12">
        <f>IF(OR(tVerao25[[#This Row],[Preço (R$)]]="",tVerao25[[#This Row],[Custo (R$)]]=""),"",(tVerao25[[#This Row],[Preço (R$)]]-tVerao25[[#This Row],[Custo (R$)]])/tVerao25[[#This Row],[Preço (R$)]])</f>
        <v>0.62589118198874305</v>
      </c>
      <c r="K55" s="5" t="s">
        <v>172</v>
      </c>
      <c r="L55" s="5" t="s">
        <v>109</v>
      </c>
      <c r="M55" s="10"/>
      <c r="N55" s="5" t="s">
        <v>64</v>
      </c>
      <c r="O55" s="9" t="s">
        <v>71</v>
      </c>
    </row>
    <row r="56" spans="1:15">
      <c r="A5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VLT-BER-005-VIN-M</v>
      </c>
      <c r="B56" s="5" t="s">
        <v>64</v>
      </c>
      <c r="C56" s="9" t="s">
        <v>169</v>
      </c>
      <c r="D56" s="5" t="s">
        <v>170</v>
      </c>
      <c r="E56" s="5" t="s">
        <v>43</v>
      </c>
      <c r="F56" s="5" t="s">
        <v>129</v>
      </c>
      <c r="G56" s="9" t="s">
        <v>54</v>
      </c>
      <c r="H56" s="11">
        <v>159.9</v>
      </c>
      <c r="I56" s="11">
        <v>59.82</v>
      </c>
      <c r="J56" s="12">
        <f>IF(OR(tVerao25[[#This Row],[Preço (R$)]]="",tVerao25[[#This Row],[Custo (R$)]]=""),"",(tVerao25[[#This Row],[Preço (R$)]]-tVerao25[[#This Row],[Custo (R$)]])/tVerao25[[#This Row],[Preço (R$)]])</f>
        <v>0.62589118198874305</v>
      </c>
      <c r="K56" s="5" t="s">
        <v>173</v>
      </c>
      <c r="L56" s="5" t="s">
        <v>109</v>
      </c>
      <c r="M56" s="10"/>
      <c r="N56" s="5" t="s">
        <v>64</v>
      </c>
      <c r="O56" s="9" t="s">
        <v>71</v>
      </c>
    </row>
    <row r="57" spans="1:15">
      <c r="A5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VLT-BER-005-VIN-G</v>
      </c>
      <c r="B57" s="5" t="s">
        <v>64</v>
      </c>
      <c r="C57" s="9" t="s">
        <v>169</v>
      </c>
      <c r="D57" s="5" t="s">
        <v>170</v>
      </c>
      <c r="E57" s="5" t="s">
        <v>43</v>
      </c>
      <c r="F57" s="5" t="s">
        <v>129</v>
      </c>
      <c r="G57" s="9" t="s">
        <v>58</v>
      </c>
      <c r="H57" s="11">
        <v>159.9</v>
      </c>
      <c r="I57" s="11"/>
      <c r="J57" s="12" t="str">
        <f>IF(OR(tVerao25[[#This Row],[Preço (R$)]]="",tVerao25[[#This Row],[Custo (R$)]]=""),"",(tVerao25[[#This Row],[Preço (R$)]]-tVerao25[[#This Row],[Custo (R$)]])/tVerao25[[#This Row],[Preço (R$)]])</f>
        <v/>
      </c>
      <c r="K57" s="5" t="s">
        <v>174</v>
      </c>
      <c r="L57" s="5" t="s">
        <v>109</v>
      </c>
      <c r="M57" s="10"/>
      <c r="N57" s="5" t="s">
        <v>64</v>
      </c>
      <c r="O57" s="9" t="s">
        <v>71</v>
      </c>
    </row>
    <row r="58" spans="1:15">
      <c r="A5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VLT-BER-005-VIN-GG</v>
      </c>
      <c r="B58" s="5" t="s">
        <v>64</v>
      </c>
      <c r="C58" s="9" t="s">
        <v>169</v>
      </c>
      <c r="D58" s="5" t="s">
        <v>170</v>
      </c>
      <c r="E58" s="5" t="s">
        <v>43</v>
      </c>
      <c r="F58" s="5" t="s">
        <v>129</v>
      </c>
      <c r="G58" s="9" t="s">
        <v>61</v>
      </c>
      <c r="H58" s="11">
        <v>159.9</v>
      </c>
      <c r="I58" s="11">
        <v>59.82</v>
      </c>
      <c r="J58" s="12">
        <f>IF(OR(tVerao25[[#This Row],[Preço (R$)]]="",tVerao25[[#This Row],[Custo (R$)]]=""),"",(tVerao25[[#This Row],[Preço (R$)]]-tVerao25[[#This Row],[Custo (R$)]])/tVerao25[[#This Row],[Preço (R$)]])</f>
        <v>0.62589118198874305</v>
      </c>
      <c r="K58" s="5" t="s">
        <v>175</v>
      </c>
      <c r="L58" s="5" t="s">
        <v>109</v>
      </c>
      <c r="M58" s="10"/>
      <c r="N58" s="5" t="s">
        <v>64</v>
      </c>
      <c r="O58" s="9" t="s">
        <v>71</v>
      </c>
    </row>
    <row r="59" spans="1:15">
      <c r="A5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VLT-TOP-004-OLI-P</v>
      </c>
      <c r="B59" s="5" t="s">
        <v>176</v>
      </c>
      <c r="C59" s="9" t="s">
        <v>177</v>
      </c>
      <c r="D59" s="5" t="s">
        <v>178</v>
      </c>
      <c r="E59" s="5" t="s">
        <v>179</v>
      </c>
      <c r="F59" s="5" t="s">
        <v>180</v>
      </c>
      <c r="G59" s="9" t="s">
        <v>51</v>
      </c>
      <c r="H59" s="11">
        <v>139.9</v>
      </c>
      <c r="I59" s="11">
        <v>47.96</v>
      </c>
      <c r="J59" s="12">
        <f>IF(OR(tVerao25[[#This Row],[Preço (R$)]]="",tVerao25[[#This Row],[Custo (R$)]]=""),"",(tVerao25[[#This Row],[Preço (R$)]]-tVerao25[[#This Row],[Custo (R$)]])/tVerao25[[#This Row],[Preço (R$)]])</f>
        <v>0.65718370264474624</v>
      </c>
      <c r="K59" s="5" t="s">
        <v>181</v>
      </c>
      <c r="L59" s="5" t="s">
        <v>70</v>
      </c>
      <c r="M59" s="10"/>
      <c r="N59" s="5" t="s">
        <v>56</v>
      </c>
      <c r="O59" s="9" t="s">
        <v>49</v>
      </c>
    </row>
    <row r="60" spans="1:15">
      <c r="A6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VLT-TOP-004-OLI-M</v>
      </c>
      <c r="B60" s="5" t="s">
        <v>182</v>
      </c>
      <c r="C60" s="9" t="s">
        <v>177</v>
      </c>
      <c r="D60" s="5" t="s">
        <v>178</v>
      </c>
      <c r="E60" s="5" t="s">
        <v>179</v>
      </c>
      <c r="F60" s="5" t="s">
        <v>180</v>
      </c>
      <c r="G60" s="9" t="s">
        <v>54</v>
      </c>
      <c r="H60" s="11">
        <v>139.9</v>
      </c>
      <c r="I60" s="27">
        <v>47.96</v>
      </c>
      <c r="J60" s="12">
        <f>IF(OR(tVerao25[[#This Row],[Preço (R$)]]="",tVerao25[[#This Row],[Custo (R$)]]=""),"",(tVerao25[[#This Row],[Preço (R$)]]-tVerao25[[#This Row],[Custo (R$)]])/tVerao25[[#This Row],[Preço (R$)]])</f>
        <v>0.65718370264474624</v>
      </c>
      <c r="K60" s="5" t="s">
        <v>183</v>
      </c>
      <c r="L60" s="5" t="s">
        <v>70</v>
      </c>
      <c r="M60" s="10"/>
      <c r="N60" s="5" t="s">
        <v>184</v>
      </c>
      <c r="O60" s="9" t="s">
        <v>49</v>
      </c>
    </row>
    <row r="61" spans="1:15">
      <c r="A6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VLT-TOP-004-OLI-G</v>
      </c>
      <c r="B61" s="5" t="s">
        <v>185</v>
      </c>
      <c r="C61" s="9" t="s">
        <v>177</v>
      </c>
      <c r="D61" s="5" t="s">
        <v>178</v>
      </c>
      <c r="E61" s="5" t="s">
        <v>179</v>
      </c>
      <c r="F61" s="5" t="s">
        <v>180</v>
      </c>
      <c r="G61" s="9" t="s">
        <v>58</v>
      </c>
      <c r="H61" s="11">
        <v>139.9</v>
      </c>
      <c r="I61" s="11">
        <v>47.96</v>
      </c>
      <c r="J61" s="12">
        <f>IF(OR(tVerao25[[#This Row],[Preço (R$)]]="",tVerao25[[#This Row],[Custo (R$)]]=""),"",(tVerao25[[#This Row],[Preço (R$)]]-tVerao25[[#This Row],[Custo (R$)]])/tVerao25[[#This Row],[Preço (R$)]])</f>
        <v>0.65718370264474624</v>
      </c>
      <c r="K61" s="5" t="s">
        <v>186</v>
      </c>
      <c r="L61" s="5" t="s">
        <v>70</v>
      </c>
      <c r="M61" s="10"/>
      <c r="N61" s="5" t="s">
        <v>56</v>
      </c>
      <c r="O61" s="9" t="s">
        <v>49</v>
      </c>
    </row>
    <row r="62" spans="1:15">
      <c r="A6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VLT-TOP-004-OLI-GG</v>
      </c>
      <c r="B62" s="5" t="s">
        <v>187</v>
      </c>
      <c r="C62" s="9" t="s">
        <v>177</v>
      </c>
      <c r="D62" s="5" t="s">
        <v>178</v>
      </c>
      <c r="E62" s="5" t="s">
        <v>179</v>
      </c>
      <c r="F62" s="5" t="s">
        <v>180</v>
      </c>
      <c r="G62" s="9" t="s">
        <v>61</v>
      </c>
      <c r="H62" s="11">
        <v>139.9</v>
      </c>
      <c r="I62" s="27">
        <v>47.96</v>
      </c>
      <c r="J62" s="12">
        <f>IF(OR(tVerao25[[#This Row],[Preço (R$)]]="",tVerao25[[#This Row],[Custo (R$)]]=""),"",(tVerao25[[#This Row],[Preço (R$)]]-tVerao25[[#This Row],[Custo (R$)]])/tVerao25[[#This Row],[Preço (R$)]])</f>
        <v>0.65718370264474624</v>
      </c>
      <c r="K62" s="5" t="s">
        <v>188</v>
      </c>
      <c r="L62" s="5" t="s">
        <v>70</v>
      </c>
      <c r="M62" s="10"/>
      <c r="N62" s="5" t="s">
        <v>189</v>
      </c>
      <c r="O62" s="9" t="s">
        <v>49</v>
      </c>
    </row>
    <row r="63" spans="1:15">
      <c r="A6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VLT-MOL-007-CIN-P</v>
      </c>
      <c r="B63" s="5" t="s">
        <v>64</v>
      </c>
      <c r="C63" s="9" t="s">
        <v>190</v>
      </c>
      <c r="D63" s="5" t="s">
        <v>191</v>
      </c>
      <c r="E63" s="5" t="s">
        <v>98</v>
      </c>
      <c r="F63" s="5" t="s">
        <v>164</v>
      </c>
      <c r="G63" s="9" t="s">
        <v>51</v>
      </c>
      <c r="H63" s="11">
        <v>219.9</v>
      </c>
      <c r="I63" s="11">
        <v>76.36</v>
      </c>
      <c r="J63" s="12">
        <f>IF(OR(tVerao25[[#This Row],[Preço (R$)]]="",tVerao25[[#This Row],[Custo (R$)]]=""),"",(tVerao25[[#This Row],[Preço (R$)]]-tVerao25[[#This Row],[Custo (R$)]])/tVerao25[[#This Row],[Preço (R$)]])</f>
        <v>0.6527512505684403</v>
      </c>
      <c r="K63" s="5" t="s">
        <v>192</v>
      </c>
      <c r="L63" s="5" t="s">
        <v>70</v>
      </c>
      <c r="M63" s="10"/>
      <c r="N63" s="5" t="s">
        <v>64</v>
      </c>
      <c r="O63" s="9" t="s">
        <v>71</v>
      </c>
    </row>
    <row r="64" spans="1:15">
      <c r="A6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VLT-MOL-007-CIN-M</v>
      </c>
      <c r="B64" s="5" t="s">
        <v>64</v>
      </c>
      <c r="C64" s="9" t="s">
        <v>190</v>
      </c>
      <c r="D64" s="5" t="s">
        <v>191</v>
      </c>
      <c r="E64" s="5" t="s">
        <v>98</v>
      </c>
      <c r="F64" s="5" t="s">
        <v>164</v>
      </c>
      <c r="G64" s="9" t="s">
        <v>54</v>
      </c>
      <c r="H64" s="11">
        <v>219.9</v>
      </c>
      <c r="I64" s="11">
        <v>76.36</v>
      </c>
      <c r="J64" s="12">
        <f>IF(OR(tVerao25[[#This Row],[Preço (R$)]]="",tVerao25[[#This Row],[Custo (R$)]]=""),"",(tVerao25[[#This Row],[Preço (R$)]]-tVerao25[[#This Row],[Custo (R$)]])/tVerao25[[#This Row],[Preço (R$)]])</f>
        <v>0.6527512505684403</v>
      </c>
      <c r="K64" s="5" t="s">
        <v>193</v>
      </c>
      <c r="L64" s="5" t="s">
        <v>70</v>
      </c>
      <c r="M64" s="10"/>
      <c r="N64" s="5" t="s">
        <v>194</v>
      </c>
      <c r="O64" s="9" t="s">
        <v>71</v>
      </c>
    </row>
    <row r="65" spans="1:15">
      <c r="A6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VLT-MOL-007-CIN-G</v>
      </c>
      <c r="B65" s="5" t="s">
        <v>64</v>
      </c>
      <c r="C65" s="9" t="s">
        <v>190</v>
      </c>
      <c r="D65" s="5" t="s">
        <v>191</v>
      </c>
      <c r="E65" s="5" t="s">
        <v>98</v>
      </c>
      <c r="F65" s="5" t="s">
        <v>164</v>
      </c>
      <c r="G65" s="9" t="s">
        <v>58</v>
      </c>
      <c r="H65" s="11">
        <v>219.9</v>
      </c>
      <c r="I65" s="11">
        <v>76.36</v>
      </c>
      <c r="J65" s="12">
        <f>IF(OR(tVerao25[[#This Row],[Preço (R$)]]="",tVerao25[[#This Row],[Custo (R$)]]=""),"",(tVerao25[[#This Row],[Preço (R$)]]-tVerao25[[#This Row],[Custo (R$)]])/tVerao25[[#This Row],[Preço (R$)]])</f>
        <v>0.6527512505684403</v>
      </c>
      <c r="K65" s="5" t="s">
        <v>195</v>
      </c>
      <c r="L65" s="5" t="s">
        <v>70</v>
      </c>
      <c r="M65" s="10"/>
      <c r="N65" s="5" t="s">
        <v>64</v>
      </c>
      <c r="O65" s="9" t="s">
        <v>71</v>
      </c>
    </row>
    <row r="66" spans="1:15">
      <c r="A6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VLT-MOL-007-CIN-GG</v>
      </c>
      <c r="B66" s="5" t="s">
        <v>64</v>
      </c>
      <c r="C66" s="9" t="s">
        <v>190</v>
      </c>
      <c r="D66" s="5" t="s">
        <v>191</v>
      </c>
      <c r="E66" s="5" t="s">
        <v>98</v>
      </c>
      <c r="F66" s="5" t="s">
        <v>164</v>
      </c>
      <c r="G66" s="9" t="s">
        <v>61</v>
      </c>
      <c r="H66" s="11">
        <v>219.9</v>
      </c>
      <c r="I66" s="11">
        <v>76.36</v>
      </c>
      <c r="J66" s="12">
        <f>IF(OR(tVerao25[[#This Row],[Preço (R$)]]="",tVerao25[[#This Row],[Custo (R$)]]=""),"",(tVerao25[[#This Row],[Preço (R$)]]-tVerao25[[#This Row],[Custo (R$)]])/tVerao25[[#This Row],[Preço (R$)]])</f>
        <v>0.6527512505684403</v>
      </c>
      <c r="K66" s="5" t="s">
        <v>196</v>
      </c>
      <c r="L66" s="5" t="s">
        <v>70</v>
      </c>
      <c r="M66" s="10"/>
      <c r="N66" s="5" t="s">
        <v>64</v>
      </c>
      <c r="O66" s="9" t="s">
        <v>71</v>
      </c>
    </row>
    <row r="67" spans="1:15">
      <c r="A6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VLT-MOL-008-VIN-P</v>
      </c>
      <c r="B67" s="5" t="s">
        <v>64</v>
      </c>
      <c r="C67" s="9" t="s">
        <v>197</v>
      </c>
      <c r="D67" s="5" t="s">
        <v>198</v>
      </c>
      <c r="E67" s="5" t="s">
        <v>98</v>
      </c>
      <c r="F67" s="5" t="s">
        <v>129</v>
      </c>
      <c r="G67" s="9" t="s">
        <v>51</v>
      </c>
      <c r="H67" s="11">
        <v>319.89999999999998</v>
      </c>
      <c r="I67" s="11">
        <v>136.11000000000001</v>
      </c>
      <c r="J67" s="12">
        <f>IF(OR(tVerao25[[#This Row],[Preço (R$)]]="",tVerao25[[#This Row],[Custo (R$)]]=""),"",(tVerao25[[#This Row],[Preço (R$)]]-tVerao25[[#This Row],[Custo (R$)]])/tVerao25[[#This Row],[Preço (R$)]])</f>
        <v>0.57452328852766488</v>
      </c>
      <c r="K67" s="5" t="s">
        <v>199</v>
      </c>
      <c r="L67" s="5" t="s">
        <v>101</v>
      </c>
      <c r="M67" s="10"/>
      <c r="N67" s="5" t="s">
        <v>64</v>
      </c>
      <c r="O67" s="9" t="s">
        <v>71</v>
      </c>
    </row>
    <row r="68" spans="1:15">
      <c r="A6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VLT-MOL-008-VIN-M</v>
      </c>
      <c r="B68" s="5" t="s">
        <v>64</v>
      </c>
      <c r="C68" s="9" t="s">
        <v>197</v>
      </c>
      <c r="D68" s="5" t="s">
        <v>198</v>
      </c>
      <c r="E68" s="5" t="s">
        <v>98</v>
      </c>
      <c r="F68" s="5" t="s">
        <v>129</v>
      </c>
      <c r="G68" s="9" t="s">
        <v>54</v>
      </c>
      <c r="H68" s="11">
        <v>319.89999999999998</v>
      </c>
      <c r="I68" s="11">
        <v>136.11000000000001</v>
      </c>
      <c r="J68" s="12">
        <f>IF(OR(tVerao25[[#This Row],[Preço (R$)]]="",tVerao25[[#This Row],[Custo (R$)]]=""),"",(tVerao25[[#This Row],[Preço (R$)]]-tVerao25[[#This Row],[Custo (R$)]])/tVerao25[[#This Row],[Preço (R$)]])</f>
        <v>0.57452328852766488</v>
      </c>
      <c r="K68" s="5" t="s">
        <v>200</v>
      </c>
      <c r="L68" s="5" t="s">
        <v>101</v>
      </c>
      <c r="M68" s="10"/>
      <c r="N68" s="5" t="s">
        <v>64</v>
      </c>
      <c r="O68" s="9" t="s">
        <v>71</v>
      </c>
    </row>
    <row r="69" spans="1:15">
      <c r="A6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VLT-MOL-008-VIN-G</v>
      </c>
      <c r="B69" s="5" t="s">
        <v>64</v>
      </c>
      <c r="C69" s="9" t="s">
        <v>197</v>
      </c>
      <c r="D69" s="5" t="s">
        <v>198</v>
      </c>
      <c r="E69" s="5" t="s">
        <v>98</v>
      </c>
      <c r="F69" s="5" t="s">
        <v>129</v>
      </c>
      <c r="G69" s="9" t="s">
        <v>58</v>
      </c>
      <c r="H69" s="11">
        <v>319.89999999999998</v>
      </c>
      <c r="I69" s="11"/>
      <c r="J69" s="12" t="str">
        <f>IF(OR(tVerao25[[#This Row],[Preço (R$)]]="",tVerao25[[#This Row],[Custo (R$)]]=""),"",(tVerao25[[#This Row],[Preço (R$)]]-tVerao25[[#This Row],[Custo (R$)]])/tVerao25[[#This Row],[Preço (R$)]])</f>
        <v/>
      </c>
      <c r="K69" s="5" t="s">
        <v>201</v>
      </c>
      <c r="L69" s="5" t="s">
        <v>101</v>
      </c>
      <c r="M69" s="10"/>
      <c r="N69" s="5" t="s">
        <v>64</v>
      </c>
      <c r="O69" s="9" t="s">
        <v>71</v>
      </c>
    </row>
    <row r="70" spans="1:15">
      <c r="A7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VLT-MOL-008-VIN-GG</v>
      </c>
      <c r="B70" s="5" t="s">
        <v>64</v>
      </c>
      <c r="C70" s="9" t="s">
        <v>197</v>
      </c>
      <c r="D70" s="5" t="s">
        <v>198</v>
      </c>
      <c r="E70" s="5" t="s">
        <v>98</v>
      </c>
      <c r="F70" s="5" t="s">
        <v>129</v>
      </c>
      <c r="G70" s="9" t="s">
        <v>61</v>
      </c>
      <c r="H70" s="11">
        <v>319.89999999999998</v>
      </c>
      <c r="I70" s="11">
        <v>136.11000000000001</v>
      </c>
      <c r="J70" s="12">
        <f>IF(OR(tVerao25[[#This Row],[Preço (R$)]]="",tVerao25[[#This Row],[Custo (R$)]]=""),"",(tVerao25[[#This Row],[Preço (R$)]]-tVerao25[[#This Row],[Custo (R$)]])/tVerao25[[#This Row],[Preço (R$)]])</f>
        <v>0.57452328852766488</v>
      </c>
      <c r="K70" s="5" t="s">
        <v>202</v>
      </c>
      <c r="L70" s="5" t="s">
        <v>101</v>
      </c>
      <c r="M70" s="10"/>
      <c r="N70" s="5" t="s">
        <v>64</v>
      </c>
      <c r="O70" s="9" t="s">
        <v>71</v>
      </c>
    </row>
    <row r="71" spans="1:15">
      <c r="A7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VLT-MOL-008-LIL-P</v>
      </c>
      <c r="B71" s="5" t="s">
        <v>64</v>
      </c>
      <c r="C71" s="9" t="s">
        <v>197</v>
      </c>
      <c r="D71" s="5" t="s">
        <v>198</v>
      </c>
      <c r="E71" s="5" t="s">
        <v>98</v>
      </c>
      <c r="F71" s="5" t="s">
        <v>203</v>
      </c>
      <c r="G71" s="9" t="s">
        <v>51</v>
      </c>
      <c r="H71" s="11">
        <v>319.89999999999998</v>
      </c>
      <c r="I71" s="11"/>
      <c r="J71" s="12" t="str">
        <f>IF(OR(tVerao25[[#This Row],[Preço (R$)]]="",tVerao25[[#This Row],[Custo (R$)]]=""),"",(tVerao25[[#This Row],[Preço (R$)]]-tVerao25[[#This Row],[Custo (R$)]])/tVerao25[[#This Row],[Preço (R$)]])</f>
        <v/>
      </c>
      <c r="K71" s="5" t="s">
        <v>204</v>
      </c>
      <c r="L71" s="5" t="s">
        <v>101</v>
      </c>
      <c r="M71" s="10"/>
      <c r="N71" s="5" t="s">
        <v>205</v>
      </c>
      <c r="O71" s="9" t="s">
        <v>71</v>
      </c>
    </row>
    <row r="72" spans="1:15">
      <c r="A7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VLT-MOL-008-LIL-M</v>
      </c>
      <c r="B72" s="5" t="s">
        <v>64</v>
      </c>
      <c r="C72" s="9" t="s">
        <v>197</v>
      </c>
      <c r="D72" s="5" t="s">
        <v>198</v>
      </c>
      <c r="E72" s="5" t="s">
        <v>98</v>
      </c>
      <c r="F72" s="5" t="s">
        <v>203</v>
      </c>
      <c r="G72" s="9" t="s">
        <v>54</v>
      </c>
      <c r="H72" s="11">
        <v>319.89999999999998</v>
      </c>
      <c r="I72" s="11">
        <v>136.11000000000001</v>
      </c>
      <c r="J72" s="12">
        <f>IF(OR(tVerao25[[#This Row],[Preço (R$)]]="",tVerao25[[#This Row],[Custo (R$)]]=""),"",(tVerao25[[#This Row],[Preço (R$)]]-tVerao25[[#This Row],[Custo (R$)]])/tVerao25[[#This Row],[Preço (R$)]])</f>
        <v>0.57452328852766488</v>
      </c>
      <c r="K72" s="5" t="s">
        <v>206</v>
      </c>
      <c r="L72" s="5" t="s">
        <v>101</v>
      </c>
      <c r="M72" s="10"/>
      <c r="N72" s="5" t="s">
        <v>64</v>
      </c>
      <c r="O72" s="9" t="s">
        <v>71</v>
      </c>
    </row>
    <row r="73" spans="1:15">
      <c r="A7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VLT-MOL-008-LIL-G</v>
      </c>
      <c r="B73" s="5" t="s">
        <v>64</v>
      </c>
      <c r="C73" s="9" t="s">
        <v>197</v>
      </c>
      <c r="D73" s="5" t="s">
        <v>198</v>
      </c>
      <c r="E73" s="5" t="s">
        <v>98</v>
      </c>
      <c r="F73" s="5" t="s">
        <v>203</v>
      </c>
      <c r="G73" s="9" t="s">
        <v>58</v>
      </c>
      <c r="H73" s="11">
        <v>319.89999999999998</v>
      </c>
      <c r="I73" s="11">
        <v>136.11000000000001</v>
      </c>
      <c r="J73" s="12">
        <f>IF(OR(tVerao25[[#This Row],[Preço (R$)]]="",tVerao25[[#This Row],[Custo (R$)]]=""),"",(tVerao25[[#This Row],[Preço (R$)]]-tVerao25[[#This Row],[Custo (R$)]])/tVerao25[[#This Row],[Preço (R$)]])</f>
        <v>0.57452328852766488</v>
      </c>
      <c r="K73" s="5" t="s">
        <v>207</v>
      </c>
      <c r="L73" s="5" t="s">
        <v>101</v>
      </c>
      <c r="M73" s="10"/>
      <c r="N73" s="5" t="s">
        <v>64</v>
      </c>
      <c r="O73" s="9" t="s">
        <v>71</v>
      </c>
    </row>
    <row r="74" spans="1:15">
      <c r="A7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VLT-MOL-008-LIL-GG</v>
      </c>
      <c r="B74" s="5" t="s">
        <v>64</v>
      </c>
      <c r="C74" s="9" t="s">
        <v>197</v>
      </c>
      <c r="D74" s="5" t="s">
        <v>198</v>
      </c>
      <c r="E74" s="5" t="s">
        <v>98</v>
      </c>
      <c r="F74" s="5" t="s">
        <v>203</v>
      </c>
      <c r="G74" s="9" t="s">
        <v>61</v>
      </c>
      <c r="H74" s="11">
        <v>319.89999999999998</v>
      </c>
      <c r="I74" s="11">
        <v>136.11000000000001</v>
      </c>
      <c r="J74" s="12">
        <f>IF(OR(tVerao25[[#This Row],[Preço (R$)]]="",tVerao25[[#This Row],[Custo (R$)]]=""),"",(tVerao25[[#This Row],[Preço (R$)]]-tVerao25[[#This Row],[Custo (R$)]])/tVerao25[[#This Row],[Preço (R$)]])</f>
        <v>0.57452328852766488</v>
      </c>
      <c r="K74" s="5" t="s">
        <v>208</v>
      </c>
      <c r="L74" s="5" t="s">
        <v>101</v>
      </c>
      <c r="M74" s="10"/>
      <c r="N74" s="5" t="s">
        <v>64</v>
      </c>
      <c r="O74" s="9" t="s">
        <v>71</v>
      </c>
    </row>
    <row r="75" spans="1:15">
      <c r="A7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VLT-VES-002-MRR-P</v>
      </c>
      <c r="B75" s="28" t="s">
        <v>209</v>
      </c>
      <c r="C75" s="9" t="s">
        <v>210</v>
      </c>
      <c r="D75" s="5" t="s">
        <v>211</v>
      </c>
      <c r="E75" s="5" t="s">
        <v>107</v>
      </c>
      <c r="F75" s="5" t="s">
        <v>87</v>
      </c>
      <c r="G75" s="9" t="s">
        <v>51</v>
      </c>
      <c r="H75" s="11">
        <v>289.89999999999998</v>
      </c>
      <c r="I75" s="11">
        <v>112.28</v>
      </c>
      <c r="J75" s="12">
        <f>IF(OR(tVerao25[[#This Row],[Preço (R$)]]="",tVerao25[[#This Row],[Custo (R$)]]=""),"",(tVerao25[[#This Row],[Preço (R$)]]-tVerao25[[#This Row],[Custo (R$)]])/tVerao25[[#This Row],[Preço (R$)]])</f>
        <v>0.61269403242497411</v>
      </c>
      <c r="K75" s="5" t="s">
        <v>212</v>
      </c>
      <c r="L75" s="5" t="s">
        <v>109</v>
      </c>
      <c r="M75" s="10"/>
      <c r="N75" s="5" t="s">
        <v>89</v>
      </c>
      <c r="O75" s="9" t="s">
        <v>49</v>
      </c>
    </row>
    <row r="76" spans="1:15">
      <c r="A7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VLT-VES-002-MRR-M</v>
      </c>
      <c r="B76" s="28" t="s">
        <v>213</v>
      </c>
      <c r="C76" s="9" t="s">
        <v>210</v>
      </c>
      <c r="D76" s="5" t="s">
        <v>211</v>
      </c>
      <c r="E76" s="5" t="s">
        <v>107</v>
      </c>
      <c r="F76" s="5" t="s">
        <v>87</v>
      </c>
      <c r="G76" s="9" t="s">
        <v>54</v>
      </c>
      <c r="H76" s="11">
        <v>289.89999999999998</v>
      </c>
      <c r="I76" s="27">
        <v>112.28</v>
      </c>
      <c r="J76" s="12">
        <f>IF(OR(tVerao25[[#This Row],[Preço (R$)]]="",tVerao25[[#This Row],[Custo (R$)]]=""),"",(tVerao25[[#This Row],[Preço (R$)]]-tVerao25[[#This Row],[Custo (R$)]])/tVerao25[[#This Row],[Preço (R$)]])</f>
        <v>0.61269403242497411</v>
      </c>
      <c r="K76" s="5" t="s">
        <v>214</v>
      </c>
      <c r="L76" s="5" t="s">
        <v>109</v>
      </c>
      <c r="M76" s="10"/>
      <c r="N76" s="5" t="s">
        <v>215</v>
      </c>
      <c r="O76" s="9" t="s">
        <v>49</v>
      </c>
    </row>
    <row r="77" spans="1:15">
      <c r="A7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VLT-VES-002-MRR-G</v>
      </c>
      <c r="B77" s="28" t="s">
        <v>216</v>
      </c>
      <c r="C77" s="9" t="s">
        <v>210</v>
      </c>
      <c r="D77" s="5" t="s">
        <v>211</v>
      </c>
      <c r="E77" s="5" t="s">
        <v>107</v>
      </c>
      <c r="F77" s="5" t="s">
        <v>87</v>
      </c>
      <c r="G77" s="9" t="s">
        <v>58</v>
      </c>
      <c r="H77" s="11">
        <v>289.89999999999998</v>
      </c>
      <c r="I77" s="11">
        <v>112.28</v>
      </c>
      <c r="J77" s="12">
        <f>IF(OR(tVerao25[[#This Row],[Preço (R$)]]="",tVerao25[[#This Row],[Custo (R$)]]=""),"",(tVerao25[[#This Row],[Preço (R$)]]-tVerao25[[#This Row],[Custo (R$)]])/tVerao25[[#This Row],[Preço (R$)]])</f>
        <v>0.61269403242497411</v>
      </c>
      <c r="K77" s="5" t="s">
        <v>217</v>
      </c>
      <c r="L77" s="5" t="s">
        <v>109</v>
      </c>
      <c r="M77" s="10"/>
      <c r="N77" s="5" t="s">
        <v>89</v>
      </c>
      <c r="O77" s="9" t="s">
        <v>49</v>
      </c>
    </row>
    <row r="78" spans="1:15">
      <c r="A7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VLT-VES-002-MRR-GG</v>
      </c>
      <c r="B78" s="28" t="s">
        <v>218</v>
      </c>
      <c r="C78" s="9" t="s">
        <v>210</v>
      </c>
      <c r="D78" s="5" t="s">
        <v>211</v>
      </c>
      <c r="E78" s="5" t="s">
        <v>107</v>
      </c>
      <c r="F78" s="5" t="s">
        <v>87</v>
      </c>
      <c r="G78" s="9" t="s">
        <v>61</v>
      </c>
      <c r="H78" s="11">
        <v>289.89999999999998</v>
      </c>
      <c r="I78" s="11">
        <v>112.28</v>
      </c>
      <c r="J78" s="12">
        <f>IF(OR(tVerao25[[#This Row],[Preço (R$)]]="",tVerao25[[#This Row],[Custo (R$)]]=""),"",(tVerao25[[#This Row],[Preço (R$)]]-tVerao25[[#This Row],[Custo (R$)]])/tVerao25[[#This Row],[Preço (R$)]])</f>
        <v>0.61269403242497411</v>
      </c>
      <c r="K78" s="5" t="s">
        <v>219</v>
      </c>
      <c r="L78" s="5" t="s">
        <v>109</v>
      </c>
      <c r="M78" s="10"/>
      <c r="N78" s="5" t="s">
        <v>89</v>
      </c>
      <c r="O78" s="9" t="s">
        <v>49</v>
      </c>
    </row>
    <row r="79" spans="1:15">
      <c r="A7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VLT-TOP-005-OFF-P</v>
      </c>
      <c r="B79" s="28" t="s">
        <v>220</v>
      </c>
      <c r="C79" s="9" t="s">
        <v>221</v>
      </c>
      <c r="D79" s="5" t="s">
        <v>222</v>
      </c>
      <c r="E79" s="5" t="s">
        <v>179</v>
      </c>
      <c r="F79" s="5" t="s">
        <v>117</v>
      </c>
      <c r="G79" s="9" t="s">
        <v>51</v>
      </c>
      <c r="H79" s="11">
        <v>139.9</v>
      </c>
      <c r="I79" s="11">
        <v>60.35</v>
      </c>
      <c r="J79" s="12">
        <f>IF(OR(tVerao25[[#This Row],[Preço (R$)]]="",tVerao25[[#This Row],[Custo (R$)]]=""),"",(tVerao25[[#This Row],[Preço (R$)]]-tVerao25[[#This Row],[Custo (R$)]])/tVerao25[[#This Row],[Preço (R$)]])</f>
        <v>0.56862044317369553</v>
      </c>
      <c r="K79" s="5" t="s">
        <v>223</v>
      </c>
      <c r="L79" s="5" t="s">
        <v>101</v>
      </c>
      <c r="M79" s="10"/>
      <c r="N79" s="5" t="s">
        <v>89</v>
      </c>
      <c r="O79" s="9" t="s">
        <v>49</v>
      </c>
    </row>
    <row r="80" spans="1:15">
      <c r="A8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VLT-TOP-005-OFF-M</v>
      </c>
      <c r="B80" s="28" t="s">
        <v>224</v>
      </c>
      <c r="C80" s="9" t="s">
        <v>221</v>
      </c>
      <c r="D80" s="5" t="s">
        <v>222</v>
      </c>
      <c r="E80" s="5" t="s">
        <v>179</v>
      </c>
      <c r="F80" s="5" t="s">
        <v>117</v>
      </c>
      <c r="G80" s="9" t="s">
        <v>54</v>
      </c>
      <c r="H80" s="11">
        <v>139.9</v>
      </c>
      <c r="I80" s="11">
        <v>60.35</v>
      </c>
      <c r="J80" s="12">
        <f>IF(OR(tVerao25[[#This Row],[Preço (R$)]]="",tVerao25[[#This Row],[Custo (R$)]]=""),"",(tVerao25[[#This Row],[Preço (R$)]]-tVerao25[[#This Row],[Custo (R$)]])/tVerao25[[#This Row],[Preço (R$)]])</f>
        <v>0.56862044317369553</v>
      </c>
      <c r="K80" s="5" t="s">
        <v>225</v>
      </c>
      <c r="L80" s="5" t="s">
        <v>101</v>
      </c>
      <c r="M80" s="10"/>
      <c r="N80" s="5" t="s">
        <v>89</v>
      </c>
      <c r="O80" s="9" t="s">
        <v>49</v>
      </c>
    </row>
    <row r="81" spans="1:15">
      <c r="A8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VLT-TOP-005-OFF-G</v>
      </c>
      <c r="B81" s="28" t="s">
        <v>226</v>
      </c>
      <c r="C81" s="9" t="s">
        <v>221</v>
      </c>
      <c r="D81" s="5" t="s">
        <v>222</v>
      </c>
      <c r="E81" s="5" t="s">
        <v>179</v>
      </c>
      <c r="F81" s="5" t="s">
        <v>117</v>
      </c>
      <c r="G81" s="9" t="s">
        <v>58</v>
      </c>
      <c r="H81" s="11">
        <v>139.9</v>
      </c>
      <c r="I81" s="27">
        <v>60.35</v>
      </c>
      <c r="J81" s="12">
        <f>IF(OR(tVerao25[[#This Row],[Preço (R$)]]="",tVerao25[[#This Row],[Custo (R$)]]=""),"",(tVerao25[[#This Row],[Preço (R$)]]-tVerao25[[#This Row],[Custo (R$)]])/tVerao25[[#This Row],[Preço (R$)]])</f>
        <v>0.56862044317369553</v>
      </c>
      <c r="K81" s="5" t="s">
        <v>227</v>
      </c>
      <c r="L81" s="5" t="s">
        <v>101</v>
      </c>
      <c r="M81" s="10"/>
      <c r="N81" s="5" t="s">
        <v>228</v>
      </c>
      <c r="O81" s="9" t="s">
        <v>49</v>
      </c>
    </row>
    <row r="82" spans="1:15">
      <c r="A8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VLT-TOP-005-OFF-GG</v>
      </c>
      <c r="B82" s="28" t="s">
        <v>229</v>
      </c>
      <c r="C82" s="9" t="s">
        <v>221</v>
      </c>
      <c r="D82" s="5" t="s">
        <v>222</v>
      </c>
      <c r="E82" s="5" t="s">
        <v>179</v>
      </c>
      <c r="F82" s="5" t="s">
        <v>117</v>
      </c>
      <c r="G82" s="9" t="s">
        <v>61</v>
      </c>
      <c r="H82" s="11">
        <v>139.9</v>
      </c>
      <c r="I82" s="27">
        <v>60.35</v>
      </c>
      <c r="J82" s="12">
        <f>IF(OR(tVerao25[[#This Row],[Preço (R$)]]="",tVerao25[[#This Row],[Custo (R$)]]=""),"",(tVerao25[[#This Row],[Preço (R$)]]-tVerao25[[#This Row],[Custo (R$)]])/tVerao25[[#This Row],[Preço (R$)]])</f>
        <v>0.56862044317369553</v>
      </c>
      <c r="K82" s="5" t="s">
        <v>230</v>
      </c>
      <c r="L82" s="5" t="s">
        <v>101</v>
      </c>
      <c r="M82" s="10"/>
      <c r="N82" s="5" t="s">
        <v>231</v>
      </c>
      <c r="O82" s="9" t="s">
        <v>49</v>
      </c>
    </row>
    <row r="83" spans="1:15">
      <c r="A8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VLT-VES-003-CIN-P</v>
      </c>
      <c r="B83" s="5" t="s">
        <v>64</v>
      </c>
      <c r="C83" s="9" t="s">
        <v>232</v>
      </c>
      <c r="D83" s="5" t="s">
        <v>233</v>
      </c>
      <c r="E83" s="5" t="s">
        <v>107</v>
      </c>
      <c r="F83" s="5" t="s">
        <v>164</v>
      </c>
      <c r="G83" s="9" t="s">
        <v>51</v>
      </c>
      <c r="H83" s="11">
        <v>249.9</v>
      </c>
      <c r="I83" s="11">
        <v>115.68</v>
      </c>
      <c r="J83" s="12">
        <f>IF(OR(tVerao25[[#This Row],[Preço (R$)]]="",tVerao25[[#This Row],[Custo (R$)]]=""),"",(tVerao25[[#This Row],[Preço (R$)]]-tVerao25[[#This Row],[Custo (R$)]])/tVerao25[[#This Row],[Preço (R$)]])</f>
        <v>0.5370948379351741</v>
      </c>
      <c r="K83" s="5" t="s">
        <v>234</v>
      </c>
      <c r="L83" s="5" t="s">
        <v>109</v>
      </c>
      <c r="M83" s="10"/>
      <c r="N83" s="5" t="s">
        <v>64</v>
      </c>
      <c r="O83" s="9" t="s">
        <v>71</v>
      </c>
    </row>
    <row r="84" spans="1:15">
      <c r="A8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VLT-VES-003-CIN-M</v>
      </c>
      <c r="B84" s="5" t="s">
        <v>64</v>
      </c>
      <c r="C84" s="9" t="s">
        <v>232</v>
      </c>
      <c r="D84" s="5" t="s">
        <v>233</v>
      </c>
      <c r="E84" s="5" t="s">
        <v>107</v>
      </c>
      <c r="F84" s="5" t="s">
        <v>164</v>
      </c>
      <c r="G84" s="9" t="s">
        <v>54</v>
      </c>
      <c r="H84" s="11">
        <v>249.9</v>
      </c>
      <c r="I84" s="11">
        <v>115.68</v>
      </c>
      <c r="J84" s="12">
        <f>IF(OR(tVerao25[[#This Row],[Preço (R$)]]="",tVerao25[[#This Row],[Custo (R$)]]=""),"",(tVerao25[[#This Row],[Preço (R$)]]-tVerao25[[#This Row],[Custo (R$)]])/tVerao25[[#This Row],[Preço (R$)]])</f>
        <v>0.5370948379351741</v>
      </c>
      <c r="K84" s="5" t="s">
        <v>235</v>
      </c>
      <c r="L84" s="5" t="s">
        <v>109</v>
      </c>
      <c r="M84" s="10"/>
      <c r="N84" s="5" t="s">
        <v>64</v>
      </c>
      <c r="O84" s="9" t="s">
        <v>71</v>
      </c>
    </row>
    <row r="85" spans="1:15">
      <c r="A8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VLT-VES-003-CIN-G</v>
      </c>
      <c r="B85" s="5" t="s">
        <v>64</v>
      </c>
      <c r="C85" s="9" t="s">
        <v>232</v>
      </c>
      <c r="D85" s="5" t="s">
        <v>233</v>
      </c>
      <c r="E85" s="5" t="s">
        <v>107</v>
      </c>
      <c r="F85" s="5" t="s">
        <v>164</v>
      </c>
      <c r="G85" s="9" t="s">
        <v>58</v>
      </c>
      <c r="H85" s="11">
        <v>249.9</v>
      </c>
      <c r="I85" s="11">
        <v>115.68</v>
      </c>
      <c r="J85" s="12">
        <f>IF(OR(tVerao25[[#This Row],[Preço (R$)]]="",tVerao25[[#This Row],[Custo (R$)]]=""),"",(tVerao25[[#This Row],[Preço (R$)]]-tVerao25[[#This Row],[Custo (R$)]])/tVerao25[[#This Row],[Preço (R$)]])</f>
        <v>0.5370948379351741</v>
      </c>
      <c r="K85" s="5" t="s">
        <v>236</v>
      </c>
      <c r="L85" s="5" t="s">
        <v>109</v>
      </c>
      <c r="M85" s="10"/>
      <c r="N85" s="5" t="s">
        <v>64</v>
      </c>
      <c r="O85" s="9" t="s">
        <v>71</v>
      </c>
    </row>
    <row r="86" spans="1:15">
      <c r="A8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VLT-VES-003-CIN-GG</v>
      </c>
      <c r="B86" s="5" t="s">
        <v>64</v>
      </c>
      <c r="C86" s="9" t="s">
        <v>232</v>
      </c>
      <c r="D86" s="5" t="s">
        <v>233</v>
      </c>
      <c r="E86" s="5" t="s">
        <v>107</v>
      </c>
      <c r="F86" s="5" t="s">
        <v>164</v>
      </c>
      <c r="G86" s="9" t="s">
        <v>61</v>
      </c>
      <c r="H86" s="11">
        <v>249.9</v>
      </c>
      <c r="I86" s="11"/>
      <c r="J86" s="12" t="str">
        <f>IF(OR(tVerao25[[#This Row],[Preço (R$)]]="",tVerao25[[#This Row],[Custo (R$)]]=""),"",(tVerao25[[#This Row],[Preço (R$)]]-tVerao25[[#This Row],[Custo (R$)]])/tVerao25[[#This Row],[Preço (R$)]])</f>
        <v/>
      </c>
      <c r="K86" s="5" t="s">
        <v>237</v>
      </c>
      <c r="L86" s="5" t="s">
        <v>109</v>
      </c>
      <c r="M86" s="10"/>
      <c r="N86" s="5" t="s">
        <v>64</v>
      </c>
      <c r="O86" s="9" t="s">
        <v>71</v>
      </c>
    </row>
    <row r="87" spans="1:15">
      <c r="A8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VLT-VES-003-AMA-P</v>
      </c>
      <c r="B87" s="5" t="s">
        <v>64</v>
      </c>
      <c r="C87" s="9" t="s">
        <v>232</v>
      </c>
      <c r="D87" s="5" t="s">
        <v>233</v>
      </c>
      <c r="E87" s="5" t="s">
        <v>107</v>
      </c>
      <c r="F87" s="5" t="s">
        <v>99</v>
      </c>
      <c r="G87" s="9" t="s">
        <v>51</v>
      </c>
      <c r="H87" s="11">
        <v>249.9</v>
      </c>
      <c r="I87" s="11">
        <v>115.68</v>
      </c>
      <c r="J87" s="12">
        <f>IF(OR(tVerao25[[#This Row],[Preço (R$)]]="",tVerao25[[#This Row],[Custo (R$)]]=""),"",(tVerao25[[#This Row],[Preço (R$)]]-tVerao25[[#This Row],[Custo (R$)]])/tVerao25[[#This Row],[Preço (R$)]])</f>
        <v>0.5370948379351741</v>
      </c>
      <c r="K87" s="5" t="s">
        <v>238</v>
      </c>
      <c r="L87" s="5" t="s">
        <v>109</v>
      </c>
      <c r="M87" s="10"/>
      <c r="N87" s="5" t="s">
        <v>64</v>
      </c>
      <c r="O87" s="9" t="s">
        <v>71</v>
      </c>
    </row>
    <row r="88" spans="1:15">
      <c r="A8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VLT-VES-003-AMA-M</v>
      </c>
      <c r="B88" s="5" t="s">
        <v>64</v>
      </c>
      <c r="C88" s="9" t="s">
        <v>232</v>
      </c>
      <c r="D88" s="5" t="s">
        <v>233</v>
      </c>
      <c r="E88" s="5" t="s">
        <v>107</v>
      </c>
      <c r="F88" s="5" t="s">
        <v>99</v>
      </c>
      <c r="G88" s="9" t="s">
        <v>54</v>
      </c>
      <c r="H88" s="11">
        <v>249.9</v>
      </c>
      <c r="I88" s="11"/>
      <c r="J88" s="12" t="str">
        <f>IF(OR(tVerao25[[#This Row],[Preço (R$)]]="",tVerao25[[#This Row],[Custo (R$)]]=""),"",(tVerao25[[#This Row],[Preço (R$)]]-tVerao25[[#This Row],[Custo (R$)]])/tVerao25[[#This Row],[Preço (R$)]])</f>
        <v/>
      </c>
      <c r="K88" s="5" t="s">
        <v>239</v>
      </c>
      <c r="L88" s="5" t="s">
        <v>109</v>
      </c>
      <c r="M88" s="10"/>
      <c r="N88" s="5" t="s">
        <v>64</v>
      </c>
      <c r="O88" s="9" t="s">
        <v>71</v>
      </c>
    </row>
    <row r="89" spans="1:15">
      <c r="A8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VLT-VES-003-AMA-G</v>
      </c>
      <c r="B89" s="5" t="s">
        <v>64</v>
      </c>
      <c r="C89" s="9" t="s">
        <v>232</v>
      </c>
      <c r="D89" s="5" t="s">
        <v>233</v>
      </c>
      <c r="E89" s="5" t="s">
        <v>107</v>
      </c>
      <c r="F89" s="5" t="s">
        <v>99</v>
      </c>
      <c r="G89" s="9" t="s">
        <v>58</v>
      </c>
      <c r="H89" s="11">
        <v>249.9</v>
      </c>
      <c r="I89" s="11">
        <v>115.68</v>
      </c>
      <c r="J89" s="12">
        <f>IF(OR(tVerao25[[#This Row],[Preço (R$)]]="",tVerao25[[#This Row],[Custo (R$)]]=""),"",(tVerao25[[#This Row],[Preço (R$)]]-tVerao25[[#This Row],[Custo (R$)]])/tVerao25[[#This Row],[Preço (R$)]])</f>
        <v>0.5370948379351741</v>
      </c>
      <c r="K89" s="5" t="s">
        <v>240</v>
      </c>
      <c r="L89" s="5" t="s">
        <v>109</v>
      </c>
      <c r="M89" s="10"/>
      <c r="N89" s="5" t="s">
        <v>64</v>
      </c>
      <c r="O89" s="9" t="s">
        <v>71</v>
      </c>
    </row>
    <row r="90" spans="1:15">
      <c r="A9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VLT-VES-003-AMA-GG</v>
      </c>
      <c r="B90" s="5" t="s">
        <v>64</v>
      </c>
      <c r="C90" s="9" t="s">
        <v>232</v>
      </c>
      <c r="D90" s="5" t="s">
        <v>233</v>
      </c>
      <c r="E90" s="5" t="s">
        <v>107</v>
      </c>
      <c r="F90" s="5" t="s">
        <v>99</v>
      </c>
      <c r="G90" s="9" t="s">
        <v>61</v>
      </c>
      <c r="H90" s="11">
        <v>249.9</v>
      </c>
      <c r="I90" s="11">
        <v>115.68</v>
      </c>
      <c r="J90" s="12">
        <f>IF(OR(tVerao25[[#This Row],[Preço (R$)]]="",tVerao25[[#This Row],[Custo (R$)]]=""),"",(tVerao25[[#This Row],[Preço (R$)]]-tVerao25[[#This Row],[Custo (R$)]])/tVerao25[[#This Row],[Preço (R$)]])</f>
        <v>0.5370948379351741</v>
      </c>
      <c r="K90" s="5" t="s">
        <v>241</v>
      </c>
      <c r="L90" s="5" t="s">
        <v>109</v>
      </c>
      <c r="M90" s="10"/>
      <c r="N90" s="5" t="s">
        <v>64</v>
      </c>
      <c r="O90" s="9" t="s">
        <v>71</v>
      </c>
    </row>
    <row r="91" spans="1:15">
      <c r="A9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VLT-VES-004-AMA-XP</v>
      </c>
      <c r="B91" s="5" t="s">
        <v>64</v>
      </c>
      <c r="C91" s="9" t="s">
        <v>242</v>
      </c>
      <c r="D91" s="5" t="s">
        <v>243</v>
      </c>
      <c r="E91" s="5" t="s">
        <v>107</v>
      </c>
      <c r="F91" s="5" t="s">
        <v>99</v>
      </c>
      <c r="G91" s="9" t="s">
        <v>45</v>
      </c>
      <c r="H91" s="11">
        <v>219.9</v>
      </c>
      <c r="I91" s="11">
        <v>79.28</v>
      </c>
      <c r="J91" s="12">
        <f>IF(OR(tVerao25[[#This Row],[Preço (R$)]]="",tVerao25[[#This Row],[Custo (R$)]]=""),"",(tVerao25[[#This Row],[Preço (R$)]]-tVerao25[[#This Row],[Custo (R$)]])/tVerao25[[#This Row],[Preço (R$)]])</f>
        <v>0.63947248749431562</v>
      </c>
      <c r="K91" s="5" t="s">
        <v>244</v>
      </c>
      <c r="L91" s="5" t="s">
        <v>109</v>
      </c>
      <c r="M91" s="10"/>
      <c r="N91" s="5" t="s">
        <v>64</v>
      </c>
      <c r="O91" s="9" t="s">
        <v>71</v>
      </c>
    </row>
    <row r="92" spans="1:15">
      <c r="A9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VLT-VES-004-AMA-P</v>
      </c>
      <c r="B92" s="5" t="s">
        <v>64</v>
      </c>
      <c r="C92" s="9" t="s">
        <v>242</v>
      </c>
      <c r="D92" s="5" t="s">
        <v>243</v>
      </c>
      <c r="E92" s="5" t="s">
        <v>107</v>
      </c>
      <c r="F92" s="5" t="s">
        <v>99</v>
      </c>
      <c r="G92" s="9" t="s">
        <v>51</v>
      </c>
      <c r="H92" s="11">
        <v>219.9</v>
      </c>
      <c r="I92" s="11">
        <v>79.28</v>
      </c>
      <c r="J92" s="12">
        <f>IF(OR(tVerao25[[#This Row],[Preço (R$)]]="",tVerao25[[#This Row],[Custo (R$)]]=""),"",(tVerao25[[#This Row],[Preço (R$)]]-tVerao25[[#This Row],[Custo (R$)]])/tVerao25[[#This Row],[Preço (R$)]])</f>
        <v>0.63947248749431562</v>
      </c>
      <c r="K92" s="5" t="s">
        <v>245</v>
      </c>
      <c r="L92" s="5" t="s">
        <v>109</v>
      </c>
      <c r="M92" s="10"/>
      <c r="N92" s="5" t="s">
        <v>64</v>
      </c>
      <c r="O92" s="9" t="s">
        <v>71</v>
      </c>
    </row>
    <row r="93" spans="1:15">
      <c r="A9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VLT-VES-004-AMA-M</v>
      </c>
      <c r="B93" s="5" t="s">
        <v>64</v>
      </c>
      <c r="C93" s="9" t="s">
        <v>242</v>
      </c>
      <c r="D93" s="5" t="s">
        <v>243</v>
      </c>
      <c r="E93" s="5" t="s">
        <v>107</v>
      </c>
      <c r="F93" s="5" t="s">
        <v>99</v>
      </c>
      <c r="G93" s="9" t="s">
        <v>54</v>
      </c>
      <c r="H93" s="11">
        <v>219.9</v>
      </c>
      <c r="I93" s="11">
        <v>79.28</v>
      </c>
      <c r="J93" s="12">
        <f>IF(OR(tVerao25[[#This Row],[Preço (R$)]]="",tVerao25[[#This Row],[Custo (R$)]]=""),"",(tVerao25[[#This Row],[Preço (R$)]]-tVerao25[[#This Row],[Custo (R$)]])/tVerao25[[#This Row],[Preço (R$)]])</f>
        <v>0.63947248749431562</v>
      </c>
      <c r="K93" s="5" t="s">
        <v>246</v>
      </c>
      <c r="L93" s="5" t="s">
        <v>109</v>
      </c>
      <c r="M93" s="10"/>
      <c r="N93" s="5" t="s">
        <v>64</v>
      </c>
      <c r="O93" s="9" t="s">
        <v>71</v>
      </c>
    </row>
    <row r="94" spans="1:15">
      <c r="A9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VLT-VES-004-AMA-G</v>
      </c>
      <c r="B94" s="5" t="s">
        <v>64</v>
      </c>
      <c r="C94" s="9" t="s">
        <v>242</v>
      </c>
      <c r="D94" s="5" t="s">
        <v>243</v>
      </c>
      <c r="E94" s="5" t="s">
        <v>107</v>
      </c>
      <c r="F94" s="5" t="s">
        <v>99</v>
      </c>
      <c r="G94" s="9" t="s">
        <v>58</v>
      </c>
      <c r="H94" s="11">
        <v>219.9</v>
      </c>
      <c r="I94" s="11">
        <v>79.28</v>
      </c>
      <c r="J94" s="12">
        <f>IF(OR(tVerao25[[#This Row],[Preço (R$)]]="",tVerao25[[#This Row],[Custo (R$)]]=""),"",(tVerao25[[#This Row],[Preço (R$)]]-tVerao25[[#This Row],[Custo (R$)]])/tVerao25[[#This Row],[Preço (R$)]])</f>
        <v>0.63947248749431562</v>
      </c>
      <c r="K94" s="5" t="s">
        <v>247</v>
      </c>
      <c r="L94" s="5" t="s">
        <v>109</v>
      </c>
      <c r="M94" s="10"/>
      <c r="N94" s="5" t="s">
        <v>64</v>
      </c>
      <c r="O94" s="9" t="s">
        <v>71</v>
      </c>
    </row>
    <row r="95" spans="1:15">
      <c r="A9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VLT-VES-004-AMA-GG</v>
      </c>
      <c r="B95" s="5" t="s">
        <v>64</v>
      </c>
      <c r="C95" s="9" t="s">
        <v>242</v>
      </c>
      <c r="D95" s="5" t="s">
        <v>243</v>
      </c>
      <c r="E95" s="5" t="s">
        <v>107</v>
      </c>
      <c r="F95" s="5" t="s">
        <v>99</v>
      </c>
      <c r="G95" s="9" t="s">
        <v>61</v>
      </c>
      <c r="H95" s="11">
        <v>219.9</v>
      </c>
      <c r="I95" s="11">
        <v>79.28</v>
      </c>
      <c r="J95" s="12">
        <f>IF(OR(tVerao25[[#This Row],[Preço (R$)]]="",tVerao25[[#This Row],[Custo (R$)]]=""),"",(tVerao25[[#This Row],[Preço (R$)]]-tVerao25[[#This Row],[Custo (R$)]])/tVerao25[[#This Row],[Preço (R$)]])</f>
        <v>0.63947248749431562</v>
      </c>
      <c r="K95" s="5" t="s">
        <v>248</v>
      </c>
      <c r="L95" s="5" t="s">
        <v>109</v>
      </c>
      <c r="M95" s="10"/>
      <c r="N95" s="5" t="s">
        <v>64</v>
      </c>
      <c r="O95" s="9" t="s">
        <v>71</v>
      </c>
    </row>
    <row r="96" spans="1:15">
      <c r="A9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VLT-VES-005-PRE-P</v>
      </c>
      <c r="B96" s="5" t="s">
        <v>64</v>
      </c>
      <c r="C96" s="9" t="s">
        <v>249</v>
      </c>
      <c r="D96" s="5" t="s">
        <v>250</v>
      </c>
      <c r="E96" s="5" t="s">
        <v>107</v>
      </c>
      <c r="F96" s="5" t="s">
        <v>251</v>
      </c>
      <c r="G96" s="9" t="s">
        <v>51</v>
      </c>
      <c r="H96" s="11">
        <v>209.9</v>
      </c>
      <c r="I96" s="11"/>
      <c r="J96" s="12" t="str">
        <f>IF(OR(tVerao25[[#This Row],[Preço (R$)]]="",tVerao25[[#This Row],[Custo (R$)]]=""),"",(tVerao25[[#This Row],[Preço (R$)]]-tVerao25[[#This Row],[Custo (R$)]])/tVerao25[[#This Row],[Preço (R$)]])</f>
        <v/>
      </c>
      <c r="K96" s="5" t="s">
        <v>252</v>
      </c>
      <c r="L96" s="5" t="s">
        <v>109</v>
      </c>
      <c r="M96" s="10"/>
      <c r="N96" s="5" t="s">
        <v>205</v>
      </c>
      <c r="O96" s="9" t="s">
        <v>71</v>
      </c>
    </row>
    <row r="97" spans="1:15">
      <c r="A9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VLT-VES-005-PRE-M</v>
      </c>
      <c r="B97" s="5" t="s">
        <v>64</v>
      </c>
      <c r="C97" s="9" t="s">
        <v>249</v>
      </c>
      <c r="D97" s="5" t="s">
        <v>250</v>
      </c>
      <c r="E97" s="5" t="s">
        <v>107</v>
      </c>
      <c r="F97" s="5" t="s">
        <v>251</v>
      </c>
      <c r="G97" s="9" t="s">
        <v>54</v>
      </c>
      <c r="H97" s="11">
        <v>209.9</v>
      </c>
      <c r="I97" s="11">
        <v>84.44</v>
      </c>
      <c r="J97" s="12">
        <f>IF(OR(tVerao25[[#This Row],[Preço (R$)]]="",tVerao25[[#This Row],[Custo (R$)]]=""),"",(tVerao25[[#This Row],[Preço (R$)]]-tVerao25[[#This Row],[Custo (R$)]])/tVerao25[[#This Row],[Preço (R$)]])</f>
        <v>0.59771319676036205</v>
      </c>
      <c r="K97" s="5" t="s">
        <v>253</v>
      </c>
      <c r="L97" s="5" t="s">
        <v>109</v>
      </c>
      <c r="M97" s="10"/>
      <c r="N97" s="5" t="s">
        <v>64</v>
      </c>
      <c r="O97" s="9" t="s">
        <v>71</v>
      </c>
    </row>
    <row r="98" spans="1:15">
      <c r="A9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VLT-VES-005-PRE-G</v>
      </c>
      <c r="B98" s="5" t="s">
        <v>64</v>
      </c>
      <c r="C98" s="9" t="s">
        <v>249</v>
      </c>
      <c r="D98" s="5" t="s">
        <v>250</v>
      </c>
      <c r="E98" s="5" t="s">
        <v>107</v>
      </c>
      <c r="F98" s="5" t="s">
        <v>251</v>
      </c>
      <c r="G98" s="9" t="s">
        <v>58</v>
      </c>
      <c r="H98" s="11">
        <v>209.9</v>
      </c>
      <c r="I98" s="11">
        <v>84.44</v>
      </c>
      <c r="J98" s="12">
        <f>IF(OR(tVerao25[[#This Row],[Preço (R$)]]="",tVerao25[[#This Row],[Custo (R$)]]=""),"",(tVerao25[[#This Row],[Preço (R$)]]-tVerao25[[#This Row],[Custo (R$)]])/tVerao25[[#This Row],[Preço (R$)]])</f>
        <v>0.59771319676036205</v>
      </c>
      <c r="K98" s="5" t="s">
        <v>254</v>
      </c>
      <c r="L98" s="5" t="s">
        <v>109</v>
      </c>
      <c r="M98" s="10"/>
      <c r="N98" s="5" t="s">
        <v>64</v>
      </c>
      <c r="O98" s="9" t="s">
        <v>71</v>
      </c>
    </row>
    <row r="99" spans="1:15">
      <c r="A9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VLT-VES-005-PRE-GG</v>
      </c>
      <c r="B99" s="5" t="s">
        <v>64</v>
      </c>
      <c r="C99" s="9" t="s">
        <v>249</v>
      </c>
      <c r="D99" s="5" t="s">
        <v>250</v>
      </c>
      <c r="E99" s="5" t="s">
        <v>107</v>
      </c>
      <c r="F99" s="5" t="s">
        <v>251</v>
      </c>
      <c r="G99" s="9" t="s">
        <v>61</v>
      </c>
      <c r="H99" s="11">
        <v>209.9</v>
      </c>
      <c r="I99" s="11">
        <v>84.44</v>
      </c>
      <c r="J99" s="12">
        <f>IF(OR(tVerao25[[#This Row],[Preço (R$)]]="",tVerao25[[#This Row],[Custo (R$)]]=""),"",(tVerao25[[#This Row],[Preço (R$)]]-tVerao25[[#This Row],[Custo (R$)]])/tVerao25[[#This Row],[Preço (R$)]])</f>
        <v>0.59771319676036205</v>
      </c>
      <c r="K99" s="5" t="s">
        <v>255</v>
      </c>
      <c r="L99" s="5" t="s">
        <v>109</v>
      </c>
      <c r="M99" s="10"/>
      <c r="N99" s="5" t="s">
        <v>64</v>
      </c>
      <c r="O99" s="9" t="s">
        <v>71</v>
      </c>
    </row>
    <row r="100" spans="1:15">
      <c r="A10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VLT-TOP-006-MRR-P</v>
      </c>
      <c r="B100" s="28" t="s">
        <v>256</v>
      </c>
      <c r="C100" s="9" t="s">
        <v>257</v>
      </c>
      <c r="D100" s="5" t="s">
        <v>258</v>
      </c>
      <c r="E100" s="5" t="s">
        <v>179</v>
      </c>
      <c r="F100" s="5" t="s">
        <v>87</v>
      </c>
      <c r="G100" s="9" t="s">
        <v>51</v>
      </c>
      <c r="H100" s="11">
        <v>89.9</v>
      </c>
      <c r="I100" s="11">
        <v>38.590000000000003</v>
      </c>
      <c r="J100" s="12">
        <f>IF(OR(tVerao25[[#This Row],[Preço (R$)]]="",tVerao25[[#This Row],[Custo (R$)]]=""),"",(tVerao25[[#This Row],[Preço (R$)]]-tVerao25[[#This Row],[Custo (R$)]])/tVerao25[[#This Row],[Preço (R$)]])</f>
        <v>0.57074527252502782</v>
      </c>
      <c r="K100" s="5" t="s">
        <v>259</v>
      </c>
      <c r="L100" s="5" t="s">
        <v>260</v>
      </c>
      <c r="M100" s="10"/>
      <c r="N100" s="5" t="s">
        <v>89</v>
      </c>
      <c r="O100" s="9" t="s">
        <v>49</v>
      </c>
    </row>
    <row r="101" spans="1:15">
      <c r="A10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VLT-TOP-006-MRR-M</v>
      </c>
      <c r="B101" s="28" t="s">
        <v>261</v>
      </c>
      <c r="C101" s="9" t="s">
        <v>257</v>
      </c>
      <c r="D101" s="5" t="s">
        <v>258</v>
      </c>
      <c r="E101" s="5" t="s">
        <v>179</v>
      </c>
      <c r="F101" s="5" t="s">
        <v>87</v>
      </c>
      <c r="G101" s="9" t="s">
        <v>54</v>
      </c>
      <c r="H101" s="11">
        <v>89.9</v>
      </c>
      <c r="I101" s="11">
        <v>38.590000000000003</v>
      </c>
      <c r="J101" s="12">
        <f>IF(OR(tVerao25[[#This Row],[Preço (R$)]]="",tVerao25[[#This Row],[Custo (R$)]]=""),"",(tVerao25[[#This Row],[Preço (R$)]]-tVerao25[[#This Row],[Custo (R$)]])/tVerao25[[#This Row],[Preço (R$)]])</f>
        <v>0.57074527252502782</v>
      </c>
      <c r="K101" s="5" t="s">
        <v>262</v>
      </c>
      <c r="L101" s="5" t="s">
        <v>260</v>
      </c>
      <c r="M101" s="10"/>
      <c r="N101" s="5" t="s">
        <v>89</v>
      </c>
      <c r="O101" s="9" t="s">
        <v>49</v>
      </c>
    </row>
    <row r="102" spans="1:15">
      <c r="A10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VLT-TOP-006-MRR-G</v>
      </c>
      <c r="B102" s="28" t="s">
        <v>263</v>
      </c>
      <c r="C102" s="9" t="s">
        <v>257</v>
      </c>
      <c r="D102" s="5" t="s">
        <v>258</v>
      </c>
      <c r="E102" s="5" t="s">
        <v>179</v>
      </c>
      <c r="F102" s="5" t="s">
        <v>87</v>
      </c>
      <c r="G102" s="9" t="s">
        <v>58</v>
      </c>
      <c r="H102" s="11">
        <v>89.9</v>
      </c>
      <c r="I102" s="11">
        <v>38.590000000000003</v>
      </c>
      <c r="J102" s="12">
        <f>IF(OR(tVerao25[[#This Row],[Preço (R$)]]="",tVerao25[[#This Row],[Custo (R$)]]=""),"",(tVerao25[[#This Row],[Preço (R$)]]-tVerao25[[#This Row],[Custo (R$)]])/tVerao25[[#This Row],[Preço (R$)]])</f>
        <v>0.57074527252502782</v>
      </c>
      <c r="K102" s="5" t="s">
        <v>264</v>
      </c>
      <c r="L102" s="5" t="s">
        <v>260</v>
      </c>
      <c r="M102" s="10"/>
      <c r="N102" s="5" t="s">
        <v>89</v>
      </c>
      <c r="O102" s="9" t="s">
        <v>49</v>
      </c>
    </row>
    <row r="103" spans="1:15">
      <c r="A10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VLT-TOP-006-MRR-GG</v>
      </c>
      <c r="B103" s="28" t="s">
        <v>265</v>
      </c>
      <c r="C103" s="9" t="s">
        <v>257</v>
      </c>
      <c r="D103" s="5" t="s">
        <v>258</v>
      </c>
      <c r="E103" s="5" t="s">
        <v>179</v>
      </c>
      <c r="F103" s="5" t="s">
        <v>87</v>
      </c>
      <c r="G103" s="9" t="s">
        <v>61</v>
      </c>
      <c r="H103" s="11">
        <v>89.9</v>
      </c>
      <c r="I103" s="11">
        <v>38.590000000000003</v>
      </c>
      <c r="J103" s="12">
        <f>IF(OR(tVerao25[[#This Row],[Preço (R$)]]="",tVerao25[[#This Row],[Custo (R$)]]=""),"",(tVerao25[[#This Row],[Preço (R$)]]-tVerao25[[#This Row],[Custo (R$)]])/tVerao25[[#This Row],[Preço (R$)]])</f>
        <v>0.57074527252502782</v>
      </c>
      <c r="K103" s="5" t="s">
        <v>266</v>
      </c>
      <c r="L103" s="5" t="s">
        <v>260</v>
      </c>
      <c r="M103" s="10"/>
      <c r="N103" s="5" t="s">
        <v>89</v>
      </c>
      <c r="O103" s="9" t="s">
        <v>49</v>
      </c>
    </row>
    <row r="104" spans="1:15">
      <c r="A10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VLT-CAM-008-VIN-P</v>
      </c>
      <c r="B104" s="5" t="s">
        <v>64</v>
      </c>
      <c r="C104" s="9" t="s">
        <v>267</v>
      </c>
      <c r="D104" s="5" t="s">
        <v>268</v>
      </c>
      <c r="E104" s="5" t="s">
        <v>128</v>
      </c>
      <c r="F104" s="5" t="s">
        <v>129</v>
      </c>
      <c r="G104" s="9" t="s">
        <v>51</v>
      </c>
      <c r="H104" s="11">
        <v>99.9</v>
      </c>
      <c r="I104" s="11">
        <v>41.28</v>
      </c>
      <c r="J104" s="12">
        <f>IF(OR(tVerao25[[#This Row],[Preço (R$)]]="",tVerao25[[#This Row],[Custo (R$)]]=""),"",(tVerao25[[#This Row],[Preço (R$)]]-tVerao25[[#This Row],[Custo (R$)]])/tVerao25[[#This Row],[Preço (R$)]])</f>
        <v>0.58678678678678675</v>
      </c>
      <c r="K104" s="5" t="s">
        <v>269</v>
      </c>
      <c r="L104" s="5" t="s">
        <v>101</v>
      </c>
      <c r="M104" s="10"/>
      <c r="N104" s="5" t="s">
        <v>64</v>
      </c>
      <c r="O104" s="9" t="s">
        <v>71</v>
      </c>
    </row>
    <row r="105" spans="1:15">
      <c r="A10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VLT-CAM-008-VIN-M</v>
      </c>
      <c r="B105" s="5" t="s">
        <v>64</v>
      </c>
      <c r="C105" s="9" t="s">
        <v>267</v>
      </c>
      <c r="D105" s="5" t="s">
        <v>268</v>
      </c>
      <c r="E105" s="5" t="s">
        <v>128</v>
      </c>
      <c r="F105" s="5" t="s">
        <v>129</v>
      </c>
      <c r="G105" s="9" t="s">
        <v>54</v>
      </c>
      <c r="H105" s="11">
        <v>99.9</v>
      </c>
      <c r="I105" s="11">
        <v>41.28</v>
      </c>
      <c r="J105" s="12">
        <f>IF(OR(tVerao25[[#This Row],[Preço (R$)]]="",tVerao25[[#This Row],[Custo (R$)]]=""),"",(tVerao25[[#This Row],[Preço (R$)]]-tVerao25[[#This Row],[Custo (R$)]])/tVerao25[[#This Row],[Preço (R$)]])</f>
        <v>0.58678678678678675</v>
      </c>
      <c r="K105" s="5" t="s">
        <v>270</v>
      </c>
      <c r="L105" s="5" t="s">
        <v>101</v>
      </c>
      <c r="M105" s="10"/>
      <c r="N105" s="5" t="s">
        <v>64</v>
      </c>
      <c r="O105" s="9" t="s">
        <v>71</v>
      </c>
    </row>
    <row r="106" spans="1:15">
      <c r="A10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VLT-CAM-008-VIN-G</v>
      </c>
      <c r="B106" s="5" t="s">
        <v>64</v>
      </c>
      <c r="C106" s="9" t="s">
        <v>267</v>
      </c>
      <c r="D106" s="5" t="s">
        <v>268</v>
      </c>
      <c r="E106" s="5" t="s">
        <v>128</v>
      </c>
      <c r="F106" s="5" t="s">
        <v>129</v>
      </c>
      <c r="G106" s="9" t="s">
        <v>58</v>
      </c>
      <c r="H106" s="11">
        <v>99.9</v>
      </c>
      <c r="I106" s="11">
        <v>41.28</v>
      </c>
      <c r="J106" s="12">
        <f>IF(OR(tVerao25[[#This Row],[Preço (R$)]]="",tVerao25[[#This Row],[Custo (R$)]]=""),"",(tVerao25[[#This Row],[Preço (R$)]]-tVerao25[[#This Row],[Custo (R$)]])/tVerao25[[#This Row],[Preço (R$)]])</f>
        <v>0.58678678678678675</v>
      </c>
      <c r="K106" s="5" t="s">
        <v>271</v>
      </c>
      <c r="L106" s="5" t="s">
        <v>101</v>
      </c>
      <c r="M106" s="10"/>
      <c r="N106" s="5" t="s">
        <v>64</v>
      </c>
      <c r="O106" s="9" t="s">
        <v>71</v>
      </c>
    </row>
    <row r="107" spans="1:15">
      <c r="A10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VLT-CAM-008-VIN-GG</v>
      </c>
      <c r="B107" s="5" t="s">
        <v>64</v>
      </c>
      <c r="C107" s="9" t="s">
        <v>267</v>
      </c>
      <c r="D107" s="5" t="s">
        <v>268</v>
      </c>
      <c r="E107" s="5" t="s">
        <v>128</v>
      </c>
      <c r="F107" s="5" t="s">
        <v>129</v>
      </c>
      <c r="G107" s="9" t="s">
        <v>61</v>
      </c>
      <c r="H107" s="11">
        <v>99.9</v>
      </c>
      <c r="I107" s="11">
        <v>41.28</v>
      </c>
      <c r="J107" s="12">
        <f>IF(OR(tVerao25[[#This Row],[Preço (R$)]]="",tVerao25[[#This Row],[Custo (R$)]]=""),"",(tVerao25[[#This Row],[Preço (R$)]]-tVerao25[[#This Row],[Custo (R$)]])/tVerao25[[#This Row],[Preço (R$)]])</f>
        <v>0.58678678678678675</v>
      </c>
      <c r="K107" s="5" t="s">
        <v>272</v>
      </c>
      <c r="L107" s="5" t="s">
        <v>101</v>
      </c>
      <c r="M107" s="10"/>
      <c r="N107" s="5" t="s">
        <v>64</v>
      </c>
      <c r="O107" s="9" t="s">
        <v>71</v>
      </c>
    </row>
    <row r="108" spans="1:15">
      <c r="A10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VLT-TOP-007-MRR-P</v>
      </c>
      <c r="B108" s="5" t="s">
        <v>64</v>
      </c>
      <c r="C108" s="9" t="s">
        <v>273</v>
      </c>
      <c r="D108" s="5" t="s">
        <v>274</v>
      </c>
      <c r="E108" s="5" t="s">
        <v>179</v>
      </c>
      <c r="F108" s="5" t="s">
        <v>87</v>
      </c>
      <c r="G108" s="9" t="s">
        <v>51</v>
      </c>
      <c r="H108" s="11">
        <v>109.9</v>
      </c>
      <c r="I108" s="11">
        <v>49.53</v>
      </c>
      <c r="J108" s="12">
        <f>IF(OR(tVerao25[[#This Row],[Preço (R$)]]="",tVerao25[[#This Row],[Custo (R$)]]=""),"",(tVerao25[[#This Row],[Preço (R$)]]-tVerao25[[#This Row],[Custo (R$)]])/tVerao25[[#This Row],[Preço (R$)]])</f>
        <v>0.5493175614194723</v>
      </c>
      <c r="K108" s="5" t="s">
        <v>275</v>
      </c>
      <c r="L108" s="5" t="s">
        <v>101</v>
      </c>
      <c r="M108" s="10"/>
      <c r="N108" s="5" t="s">
        <v>64</v>
      </c>
      <c r="O108" s="9" t="s">
        <v>71</v>
      </c>
    </row>
    <row r="109" spans="1:15">
      <c r="A10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VLT-TOP-007-MRR-M</v>
      </c>
      <c r="B109" s="5" t="s">
        <v>64</v>
      </c>
      <c r="C109" s="9" t="s">
        <v>273</v>
      </c>
      <c r="D109" s="5" t="s">
        <v>274</v>
      </c>
      <c r="E109" s="5" t="s">
        <v>179</v>
      </c>
      <c r="F109" s="5" t="s">
        <v>87</v>
      </c>
      <c r="G109" s="9" t="s">
        <v>54</v>
      </c>
      <c r="H109" s="11">
        <v>109.9</v>
      </c>
      <c r="I109" s="11">
        <v>49.53</v>
      </c>
      <c r="J109" s="12">
        <f>IF(OR(tVerao25[[#This Row],[Preço (R$)]]="",tVerao25[[#This Row],[Custo (R$)]]=""),"",(tVerao25[[#This Row],[Preço (R$)]]-tVerao25[[#This Row],[Custo (R$)]])/tVerao25[[#This Row],[Preço (R$)]])</f>
        <v>0.5493175614194723</v>
      </c>
      <c r="K109" s="5" t="s">
        <v>276</v>
      </c>
      <c r="L109" s="5" t="s">
        <v>101</v>
      </c>
      <c r="M109" s="10"/>
      <c r="N109" s="5" t="s">
        <v>64</v>
      </c>
      <c r="O109" s="9" t="s">
        <v>71</v>
      </c>
    </row>
    <row r="110" spans="1:15">
      <c r="A11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VLT-TOP-007-MRR-G</v>
      </c>
      <c r="B110" s="5" t="s">
        <v>64</v>
      </c>
      <c r="C110" s="9" t="s">
        <v>273</v>
      </c>
      <c r="D110" s="5" t="s">
        <v>274</v>
      </c>
      <c r="E110" s="5" t="s">
        <v>179</v>
      </c>
      <c r="F110" s="5" t="s">
        <v>87</v>
      </c>
      <c r="G110" s="9" t="s">
        <v>58</v>
      </c>
      <c r="H110" s="11">
        <v>109.9</v>
      </c>
      <c r="I110" s="11"/>
      <c r="J110" s="12" t="str">
        <f>IF(OR(tVerao25[[#This Row],[Preço (R$)]]="",tVerao25[[#This Row],[Custo (R$)]]=""),"",(tVerao25[[#This Row],[Preço (R$)]]-tVerao25[[#This Row],[Custo (R$)]])/tVerao25[[#This Row],[Preço (R$)]])</f>
        <v/>
      </c>
      <c r="K110" s="5" t="s">
        <v>277</v>
      </c>
      <c r="L110" s="5" t="s">
        <v>101</v>
      </c>
      <c r="M110" s="10"/>
      <c r="N110" s="5" t="s">
        <v>64</v>
      </c>
      <c r="O110" s="9" t="s">
        <v>71</v>
      </c>
    </row>
    <row r="111" spans="1:15">
      <c r="A11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VLT-TOP-007-MRR-GG</v>
      </c>
      <c r="B111" s="5" t="s">
        <v>64</v>
      </c>
      <c r="C111" s="9" t="s">
        <v>273</v>
      </c>
      <c r="D111" s="5" t="s">
        <v>274</v>
      </c>
      <c r="E111" s="5" t="s">
        <v>179</v>
      </c>
      <c r="F111" s="5" t="s">
        <v>87</v>
      </c>
      <c r="G111" s="9" t="s">
        <v>61</v>
      </c>
      <c r="H111" s="11">
        <v>109.9</v>
      </c>
      <c r="I111" s="11">
        <v>49.53</v>
      </c>
      <c r="J111" s="12">
        <f>IF(OR(tVerao25[[#This Row],[Preço (R$)]]="",tVerao25[[#This Row],[Custo (R$)]]=""),"",(tVerao25[[#This Row],[Preço (R$)]]-tVerao25[[#This Row],[Custo (R$)]])/tVerao25[[#This Row],[Preço (R$)]])</f>
        <v>0.5493175614194723</v>
      </c>
      <c r="K111" s="5" t="s">
        <v>278</v>
      </c>
      <c r="L111" s="5" t="s">
        <v>101</v>
      </c>
      <c r="M111" s="10"/>
      <c r="N111" s="5" t="s">
        <v>64</v>
      </c>
      <c r="O111" s="9" t="s">
        <v>71</v>
      </c>
    </row>
    <row r="112" spans="1:15">
      <c r="A11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VLT-ACE-006-PRE-U</v>
      </c>
      <c r="B112" s="5" t="s">
        <v>64</v>
      </c>
      <c r="C112" s="9" t="s">
        <v>279</v>
      </c>
      <c r="D112" s="5" t="s">
        <v>280</v>
      </c>
      <c r="E112" s="5" t="s">
        <v>281</v>
      </c>
      <c r="F112" s="5" t="s">
        <v>251</v>
      </c>
      <c r="G112" s="9" t="s">
        <v>282</v>
      </c>
      <c r="H112" s="11">
        <v>109.9</v>
      </c>
      <c r="I112" s="11">
        <v>40.270000000000003</v>
      </c>
      <c r="J112" s="12">
        <f>IF(OR(tVerao25[[#This Row],[Preço (R$)]]="",tVerao25[[#This Row],[Custo (R$)]]=""),"",(tVerao25[[#This Row],[Preço (R$)]]-tVerao25[[#This Row],[Custo (R$)]])/tVerao25[[#This Row],[Preço (R$)]])</f>
        <v>0.63357597816196531</v>
      </c>
      <c r="K112" s="5" t="s">
        <v>283</v>
      </c>
      <c r="L112" s="5" t="s">
        <v>79</v>
      </c>
      <c r="M112" s="10"/>
      <c r="N112" s="5" t="s">
        <v>64</v>
      </c>
      <c r="O112" s="9" t="s">
        <v>71</v>
      </c>
    </row>
    <row r="113" spans="1:15">
      <c r="A11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VLT-MOL-009-MRR-P</v>
      </c>
      <c r="B113" s="28" t="s">
        <v>284</v>
      </c>
      <c r="C113" s="9" t="s">
        <v>285</v>
      </c>
      <c r="D113" s="5" t="s">
        <v>286</v>
      </c>
      <c r="E113" s="5" t="s">
        <v>98</v>
      </c>
      <c r="F113" s="5" t="s">
        <v>87</v>
      </c>
      <c r="G113" s="9" t="s">
        <v>51</v>
      </c>
      <c r="H113" s="11">
        <v>349.9</v>
      </c>
      <c r="I113" s="27">
        <v>133.04</v>
      </c>
      <c r="J113" s="12">
        <f>IF(OR(tVerao25[[#This Row],[Preço (R$)]]="",tVerao25[[#This Row],[Custo (R$)]]=""),"",(tVerao25[[#This Row],[Preço (R$)]]-tVerao25[[#This Row],[Custo (R$)]])/tVerao25[[#This Row],[Preço (R$)]])</f>
        <v>0.61977707916547586</v>
      </c>
      <c r="K113" s="5" t="s">
        <v>287</v>
      </c>
      <c r="L113" s="5" t="s">
        <v>47</v>
      </c>
      <c r="M113" s="10"/>
      <c r="N113" s="5" t="s">
        <v>288</v>
      </c>
      <c r="O113" s="9" t="s">
        <v>49</v>
      </c>
    </row>
    <row r="114" spans="1:15">
      <c r="A11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VLT-MOL-009-MRR-M</v>
      </c>
      <c r="B114" s="28" t="s">
        <v>289</v>
      </c>
      <c r="C114" s="9" t="s">
        <v>285</v>
      </c>
      <c r="D114" s="5" t="s">
        <v>286</v>
      </c>
      <c r="E114" s="5" t="s">
        <v>98</v>
      </c>
      <c r="F114" s="5" t="s">
        <v>87</v>
      </c>
      <c r="G114" s="9" t="s">
        <v>54</v>
      </c>
      <c r="H114" s="11">
        <v>349.9</v>
      </c>
      <c r="I114" s="11">
        <v>133.04</v>
      </c>
      <c r="J114" s="12">
        <f>IF(OR(tVerao25[[#This Row],[Preço (R$)]]="",tVerao25[[#This Row],[Custo (R$)]]=""),"",(tVerao25[[#This Row],[Preço (R$)]]-tVerao25[[#This Row],[Custo (R$)]])/tVerao25[[#This Row],[Preço (R$)]])</f>
        <v>0.61977707916547586</v>
      </c>
      <c r="K114" s="5" t="s">
        <v>290</v>
      </c>
      <c r="L114" s="5" t="s">
        <v>47</v>
      </c>
      <c r="M114" s="10"/>
      <c r="N114" s="5" t="s">
        <v>89</v>
      </c>
      <c r="O114" s="9" t="s">
        <v>49</v>
      </c>
    </row>
    <row r="115" spans="1:15">
      <c r="A11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VLT-MOL-009-MRR-G</v>
      </c>
      <c r="B115" s="28" t="s">
        <v>291</v>
      </c>
      <c r="C115" s="9" t="s">
        <v>285</v>
      </c>
      <c r="D115" s="5" t="s">
        <v>286</v>
      </c>
      <c r="E115" s="5" t="s">
        <v>98</v>
      </c>
      <c r="F115" s="5" t="s">
        <v>87</v>
      </c>
      <c r="G115" s="9" t="s">
        <v>58</v>
      </c>
      <c r="H115" s="11">
        <v>349.9</v>
      </c>
      <c r="I115" s="11">
        <v>133.04</v>
      </c>
      <c r="J115" s="12">
        <f>IF(OR(tVerao25[[#This Row],[Preço (R$)]]="",tVerao25[[#This Row],[Custo (R$)]]=""),"",(tVerao25[[#This Row],[Preço (R$)]]-tVerao25[[#This Row],[Custo (R$)]])/tVerao25[[#This Row],[Preço (R$)]])</f>
        <v>0.61977707916547586</v>
      </c>
      <c r="K115" s="5" t="s">
        <v>292</v>
      </c>
      <c r="L115" s="5" t="s">
        <v>47</v>
      </c>
      <c r="M115" s="10"/>
      <c r="N115" s="5" t="s">
        <v>89</v>
      </c>
      <c r="O115" s="9" t="s">
        <v>49</v>
      </c>
    </row>
    <row r="116" spans="1:15">
      <c r="A11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VLT-MOL-009-MRR-GG</v>
      </c>
      <c r="B116" s="28" t="s">
        <v>293</v>
      </c>
      <c r="C116" s="9" t="s">
        <v>285</v>
      </c>
      <c r="D116" s="5" t="s">
        <v>286</v>
      </c>
      <c r="E116" s="5" t="s">
        <v>98</v>
      </c>
      <c r="F116" s="5" t="s">
        <v>87</v>
      </c>
      <c r="G116" s="9" t="s">
        <v>61</v>
      </c>
      <c r="H116" s="11">
        <v>349.9</v>
      </c>
      <c r="I116" s="27">
        <v>133.04</v>
      </c>
      <c r="J116" s="12">
        <f>IF(OR(tVerao25[[#This Row],[Preço (R$)]]="",tVerao25[[#This Row],[Custo (R$)]]=""),"",(tVerao25[[#This Row],[Preço (R$)]]-tVerao25[[#This Row],[Custo (R$)]])/tVerao25[[#This Row],[Preço (R$)]])</f>
        <v>0.61977707916547586</v>
      </c>
      <c r="K116" s="5" t="s">
        <v>294</v>
      </c>
      <c r="L116" s="5" t="s">
        <v>47</v>
      </c>
      <c r="M116" s="10"/>
      <c r="N116" s="5" t="s">
        <v>295</v>
      </c>
      <c r="O116" s="9" t="s">
        <v>49</v>
      </c>
    </row>
    <row r="117" spans="1:15">
      <c r="A11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VLT-TOP-008-BEG-P</v>
      </c>
      <c r="B117" s="5" t="s">
        <v>296</v>
      </c>
      <c r="C117" s="9" t="s">
        <v>297</v>
      </c>
      <c r="D117" s="5" t="s">
        <v>298</v>
      </c>
      <c r="E117" s="5" t="s">
        <v>179</v>
      </c>
      <c r="F117" s="5" t="s">
        <v>299</v>
      </c>
      <c r="G117" s="9" t="s">
        <v>51</v>
      </c>
      <c r="H117" s="11">
        <v>139.9</v>
      </c>
      <c r="I117" s="11">
        <v>53.19</v>
      </c>
      <c r="J117" s="12">
        <f>IF(OR(tVerao25[[#This Row],[Preço (R$)]]="",tVerao25[[#This Row],[Custo (R$)]]=""),"",(tVerao25[[#This Row],[Preço (R$)]]-tVerao25[[#This Row],[Custo (R$)]])/tVerao25[[#This Row],[Preço (R$)]])</f>
        <v>0.61979985704074347</v>
      </c>
      <c r="K117" s="5" t="s">
        <v>300</v>
      </c>
      <c r="L117" s="5" t="s">
        <v>101</v>
      </c>
      <c r="M117" s="10"/>
      <c r="N117" s="5" t="s">
        <v>56</v>
      </c>
      <c r="O117" s="9" t="s">
        <v>49</v>
      </c>
    </row>
    <row r="118" spans="1:15">
      <c r="A11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VLT-TOP-008-BEG-M</v>
      </c>
      <c r="B118" s="5" t="s">
        <v>301</v>
      </c>
      <c r="C118" s="9" t="s">
        <v>297</v>
      </c>
      <c r="D118" s="5" t="s">
        <v>298</v>
      </c>
      <c r="E118" s="5" t="s">
        <v>179</v>
      </c>
      <c r="F118" s="5" t="s">
        <v>299</v>
      </c>
      <c r="G118" s="9" t="s">
        <v>54</v>
      </c>
      <c r="H118" s="11">
        <v>139.9</v>
      </c>
      <c r="I118" s="11">
        <v>53.19</v>
      </c>
      <c r="J118" s="12">
        <f>IF(OR(tVerao25[[#This Row],[Preço (R$)]]="",tVerao25[[#This Row],[Custo (R$)]]=""),"",(tVerao25[[#This Row],[Preço (R$)]]-tVerao25[[#This Row],[Custo (R$)]])/tVerao25[[#This Row],[Preço (R$)]])</f>
        <v>0.61979985704074347</v>
      </c>
      <c r="K118" s="5" t="s">
        <v>302</v>
      </c>
      <c r="L118" s="5" t="s">
        <v>101</v>
      </c>
      <c r="M118" s="10"/>
      <c r="N118" s="5" t="s">
        <v>303</v>
      </c>
      <c r="O118" s="9" t="s">
        <v>49</v>
      </c>
    </row>
    <row r="119" spans="1:15">
      <c r="A11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VLT-TOP-008-BEG-G</v>
      </c>
      <c r="B119" s="5" t="s">
        <v>304</v>
      </c>
      <c r="C119" s="9" t="s">
        <v>297</v>
      </c>
      <c r="D119" s="5" t="s">
        <v>298</v>
      </c>
      <c r="E119" s="5" t="s">
        <v>179</v>
      </c>
      <c r="F119" s="5" t="s">
        <v>299</v>
      </c>
      <c r="G119" s="9" t="s">
        <v>58</v>
      </c>
      <c r="H119" s="11">
        <v>139.9</v>
      </c>
      <c r="I119" s="11">
        <v>53.19</v>
      </c>
      <c r="J119" s="12">
        <f>IF(OR(tVerao25[[#This Row],[Preço (R$)]]="",tVerao25[[#This Row],[Custo (R$)]]=""),"",(tVerao25[[#This Row],[Preço (R$)]]-tVerao25[[#This Row],[Custo (R$)]])/tVerao25[[#This Row],[Preço (R$)]])</f>
        <v>0.61979985704074347</v>
      </c>
      <c r="K119" s="5" t="s">
        <v>305</v>
      </c>
      <c r="L119" s="5" t="s">
        <v>101</v>
      </c>
      <c r="M119" s="10"/>
      <c r="N119" s="5" t="s">
        <v>56</v>
      </c>
      <c r="O119" s="9" t="s">
        <v>49</v>
      </c>
    </row>
    <row r="120" spans="1:15">
      <c r="A12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VLT-CAM-009-VIN-P</v>
      </c>
      <c r="B120" s="28" t="s">
        <v>306</v>
      </c>
      <c r="C120" s="9" t="s">
        <v>307</v>
      </c>
      <c r="D120" s="5" t="s">
        <v>308</v>
      </c>
      <c r="E120" s="5" t="s">
        <v>128</v>
      </c>
      <c r="F120" s="5" t="s">
        <v>129</v>
      </c>
      <c r="G120" s="9" t="s">
        <v>51</v>
      </c>
      <c r="H120" s="11">
        <v>139.9</v>
      </c>
      <c r="I120" s="11">
        <v>48.89</v>
      </c>
      <c r="J120" s="12">
        <f>IF(OR(tVerao25[[#This Row],[Preço (R$)]]="",tVerao25[[#This Row],[Custo (R$)]]=""),"",(tVerao25[[#This Row],[Preço (R$)]]-tVerao25[[#This Row],[Custo (R$)]])/tVerao25[[#This Row],[Preço (R$)]])</f>
        <v>0.65053609721229455</v>
      </c>
      <c r="K120" s="5" t="s">
        <v>309</v>
      </c>
      <c r="L120" s="5" t="s">
        <v>101</v>
      </c>
      <c r="M120" s="10"/>
      <c r="N120" s="5" t="s">
        <v>89</v>
      </c>
      <c r="O120" s="9" t="s">
        <v>49</v>
      </c>
    </row>
    <row r="121" spans="1:15">
      <c r="A12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VLT-CAM-009-VIN-M</v>
      </c>
      <c r="B121" s="28" t="s">
        <v>310</v>
      </c>
      <c r="C121" s="9" t="s">
        <v>307</v>
      </c>
      <c r="D121" s="5" t="s">
        <v>308</v>
      </c>
      <c r="E121" s="5" t="s">
        <v>128</v>
      </c>
      <c r="F121" s="5" t="s">
        <v>129</v>
      </c>
      <c r="G121" s="9" t="s">
        <v>54</v>
      </c>
      <c r="H121" s="11">
        <v>139.9</v>
      </c>
      <c r="I121" s="27">
        <v>48.89</v>
      </c>
      <c r="J121" s="12">
        <f>IF(OR(tVerao25[[#This Row],[Preço (R$)]]="",tVerao25[[#This Row],[Custo (R$)]]=""),"",(tVerao25[[#This Row],[Preço (R$)]]-tVerao25[[#This Row],[Custo (R$)]])/tVerao25[[#This Row],[Preço (R$)]])</f>
        <v>0.65053609721229455</v>
      </c>
      <c r="K121" s="5" t="s">
        <v>311</v>
      </c>
      <c r="L121" s="5" t="s">
        <v>101</v>
      </c>
      <c r="M121" s="10"/>
      <c r="N121" s="5" t="s">
        <v>312</v>
      </c>
      <c r="O121" s="9" t="s">
        <v>49</v>
      </c>
    </row>
    <row r="122" spans="1:15">
      <c r="A12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VLT-CAM-009-VIN-G</v>
      </c>
      <c r="B122" s="28" t="s">
        <v>313</v>
      </c>
      <c r="C122" s="9" t="s">
        <v>307</v>
      </c>
      <c r="D122" s="5" t="s">
        <v>308</v>
      </c>
      <c r="E122" s="5" t="s">
        <v>128</v>
      </c>
      <c r="F122" s="5" t="s">
        <v>129</v>
      </c>
      <c r="G122" s="9" t="s">
        <v>58</v>
      </c>
      <c r="H122" s="11">
        <v>139.9</v>
      </c>
      <c r="I122" s="11">
        <v>48.89</v>
      </c>
      <c r="J122" s="12">
        <f>IF(OR(tVerao25[[#This Row],[Preço (R$)]]="",tVerao25[[#This Row],[Custo (R$)]]=""),"",(tVerao25[[#This Row],[Preço (R$)]]-tVerao25[[#This Row],[Custo (R$)]])/tVerao25[[#This Row],[Preço (R$)]])</f>
        <v>0.65053609721229455</v>
      </c>
      <c r="K122" s="5" t="s">
        <v>314</v>
      </c>
      <c r="L122" s="5" t="s">
        <v>101</v>
      </c>
      <c r="M122" s="10"/>
      <c r="N122" s="5" t="s">
        <v>89</v>
      </c>
      <c r="O122" s="9" t="s">
        <v>49</v>
      </c>
    </row>
    <row r="123" spans="1:15">
      <c r="A12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VLT-CAM-009-VIN-GG</v>
      </c>
      <c r="B123" s="28" t="s">
        <v>315</v>
      </c>
      <c r="C123" s="9" t="s">
        <v>307</v>
      </c>
      <c r="D123" s="5" t="s">
        <v>308</v>
      </c>
      <c r="E123" s="5" t="s">
        <v>128</v>
      </c>
      <c r="F123" s="5" t="s">
        <v>129</v>
      </c>
      <c r="G123" s="9" t="s">
        <v>61</v>
      </c>
      <c r="H123" s="11">
        <v>139.9</v>
      </c>
      <c r="I123" s="11">
        <v>48.89</v>
      </c>
      <c r="J123" s="12">
        <f>IF(OR(tVerao25[[#This Row],[Preço (R$)]]="",tVerao25[[#This Row],[Custo (R$)]]=""),"",(tVerao25[[#This Row],[Preço (R$)]]-tVerao25[[#This Row],[Custo (R$)]])/tVerao25[[#This Row],[Preço (R$)]])</f>
        <v>0.65053609721229455</v>
      </c>
      <c r="K123" s="5" t="s">
        <v>316</v>
      </c>
      <c r="L123" s="5" t="s">
        <v>101</v>
      </c>
      <c r="M123" s="10"/>
      <c r="N123" s="5" t="s">
        <v>317</v>
      </c>
      <c r="O123" s="9" t="s">
        <v>49</v>
      </c>
    </row>
    <row r="124" spans="1:15">
      <c r="A12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VLT-ACE-007-BEG-U</v>
      </c>
      <c r="B124" s="5" t="s">
        <v>64</v>
      </c>
      <c r="C124" s="9" t="s">
        <v>318</v>
      </c>
      <c r="D124" s="5" t="s">
        <v>319</v>
      </c>
      <c r="E124" s="5" t="s">
        <v>281</v>
      </c>
      <c r="F124" s="5" t="s">
        <v>299</v>
      </c>
      <c r="G124" s="9" t="s">
        <v>282</v>
      </c>
      <c r="H124" s="11">
        <v>69.900000000000006</v>
      </c>
      <c r="I124" s="11">
        <v>25.4</v>
      </c>
      <c r="J124" s="12">
        <f>IF(OR(tVerao25[[#This Row],[Preço (R$)]]="",tVerao25[[#This Row],[Custo (R$)]]=""),"",(tVerao25[[#This Row],[Preço (R$)]]-tVerao25[[#This Row],[Custo (R$)]])/tVerao25[[#This Row],[Preço (R$)]])</f>
        <v>0.63662374821173107</v>
      </c>
      <c r="K124" s="5" t="s">
        <v>320</v>
      </c>
      <c r="L124" s="5" t="s">
        <v>79</v>
      </c>
      <c r="M124" s="10"/>
      <c r="N124" s="5" t="s">
        <v>64</v>
      </c>
      <c r="O124" s="9" t="s">
        <v>71</v>
      </c>
    </row>
    <row r="125" spans="1:15">
      <c r="A12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VLT-TOP-009-BEG-P</v>
      </c>
      <c r="B125" s="5" t="s">
        <v>64</v>
      </c>
      <c r="C125" s="9" t="s">
        <v>321</v>
      </c>
      <c r="D125" s="5" t="s">
        <v>322</v>
      </c>
      <c r="E125" s="5" t="s">
        <v>179</v>
      </c>
      <c r="F125" s="5" t="s">
        <v>299</v>
      </c>
      <c r="G125" s="9" t="s">
        <v>51</v>
      </c>
      <c r="H125" s="11">
        <v>89.9</v>
      </c>
      <c r="I125" s="11">
        <v>35.72</v>
      </c>
      <c r="J125" s="12">
        <f>IF(OR(tVerao25[[#This Row],[Preço (R$)]]="",tVerao25[[#This Row],[Custo (R$)]]=""),"",(tVerao25[[#This Row],[Preço (R$)]]-tVerao25[[#This Row],[Custo (R$)]])/tVerao25[[#This Row],[Preço (R$)]])</f>
        <v>0.60266963292547282</v>
      </c>
      <c r="K125" s="5" t="s">
        <v>323</v>
      </c>
      <c r="L125" s="5" t="s">
        <v>101</v>
      </c>
      <c r="M125" s="10"/>
      <c r="N125" s="5" t="s">
        <v>64</v>
      </c>
      <c r="O125" s="9" t="s">
        <v>71</v>
      </c>
    </row>
    <row r="126" spans="1:15">
      <c r="A12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VLT-TOP-009-BEG-M</v>
      </c>
      <c r="B126" s="5" t="s">
        <v>64</v>
      </c>
      <c r="C126" s="9" t="s">
        <v>321</v>
      </c>
      <c r="D126" s="5" t="s">
        <v>322</v>
      </c>
      <c r="E126" s="5" t="s">
        <v>179</v>
      </c>
      <c r="F126" s="5" t="s">
        <v>299</v>
      </c>
      <c r="G126" s="9" t="s">
        <v>54</v>
      </c>
      <c r="H126" s="11">
        <v>89.9</v>
      </c>
      <c r="I126" s="11">
        <v>35.72</v>
      </c>
      <c r="J126" s="12">
        <f>IF(OR(tVerao25[[#This Row],[Preço (R$)]]="",tVerao25[[#This Row],[Custo (R$)]]=""),"",(tVerao25[[#This Row],[Preço (R$)]]-tVerao25[[#This Row],[Custo (R$)]])/tVerao25[[#This Row],[Preço (R$)]])</f>
        <v>0.60266963292547282</v>
      </c>
      <c r="K126" s="5" t="s">
        <v>324</v>
      </c>
      <c r="L126" s="5" t="s">
        <v>101</v>
      </c>
      <c r="M126" s="10"/>
      <c r="N126" s="5" t="s">
        <v>64</v>
      </c>
      <c r="O126" s="9" t="s">
        <v>71</v>
      </c>
    </row>
    <row r="127" spans="1:15">
      <c r="A12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VLT-TOP-009-BEG-G</v>
      </c>
      <c r="B127" s="5" t="s">
        <v>64</v>
      </c>
      <c r="C127" s="9" t="s">
        <v>321</v>
      </c>
      <c r="D127" s="5" t="s">
        <v>322</v>
      </c>
      <c r="E127" s="5" t="s">
        <v>179</v>
      </c>
      <c r="F127" s="5" t="s">
        <v>299</v>
      </c>
      <c r="G127" s="9" t="s">
        <v>58</v>
      </c>
      <c r="H127" s="11">
        <v>89.9</v>
      </c>
      <c r="I127" s="11"/>
      <c r="J127" s="12" t="str">
        <f>IF(OR(tVerao25[[#This Row],[Preço (R$)]]="",tVerao25[[#This Row],[Custo (R$)]]=""),"",(tVerao25[[#This Row],[Preço (R$)]]-tVerao25[[#This Row],[Custo (R$)]])/tVerao25[[#This Row],[Preço (R$)]])</f>
        <v/>
      </c>
      <c r="K127" s="5" t="s">
        <v>325</v>
      </c>
      <c r="L127" s="5" t="s">
        <v>101</v>
      </c>
      <c r="M127" s="10"/>
      <c r="N127" s="5" t="s">
        <v>64</v>
      </c>
      <c r="O127" s="9" t="s">
        <v>71</v>
      </c>
    </row>
    <row r="128" spans="1:15">
      <c r="A12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VLT-TOP-009-BEG-GG</v>
      </c>
      <c r="B128" s="5" t="s">
        <v>64</v>
      </c>
      <c r="C128" s="9" t="s">
        <v>321</v>
      </c>
      <c r="D128" s="5" t="s">
        <v>322</v>
      </c>
      <c r="E128" s="5" t="s">
        <v>179</v>
      </c>
      <c r="F128" s="5" t="s">
        <v>299</v>
      </c>
      <c r="G128" s="9" t="s">
        <v>61</v>
      </c>
      <c r="H128" s="11">
        <v>89.9</v>
      </c>
      <c r="I128" s="11">
        <v>35.72</v>
      </c>
      <c r="J128" s="12">
        <f>IF(OR(tVerao25[[#This Row],[Preço (R$)]]="",tVerao25[[#This Row],[Custo (R$)]]=""),"",(tVerao25[[#This Row],[Preço (R$)]]-tVerao25[[#This Row],[Custo (R$)]])/tVerao25[[#This Row],[Preço (R$)]])</f>
        <v>0.60266963292547282</v>
      </c>
      <c r="K128" s="5" t="s">
        <v>326</v>
      </c>
      <c r="L128" s="5" t="s">
        <v>101</v>
      </c>
      <c r="M128" s="10"/>
      <c r="N128" s="5" t="s">
        <v>64</v>
      </c>
      <c r="O128" s="9" t="s">
        <v>71</v>
      </c>
    </row>
    <row r="129" spans="1:15">
      <c r="A12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VLT-TOP-010-AMA-P</v>
      </c>
      <c r="B129" s="5" t="s">
        <v>64</v>
      </c>
      <c r="C129" s="9" t="s">
        <v>327</v>
      </c>
      <c r="D129" s="5" t="s">
        <v>328</v>
      </c>
      <c r="E129" s="5" t="s">
        <v>179</v>
      </c>
      <c r="F129" s="5" t="s">
        <v>99</v>
      </c>
      <c r="G129" s="9" t="s">
        <v>51</v>
      </c>
      <c r="H129" s="11">
        <v>89.9</v>
      </c>
      <c r="I129" s="11">
        <v>32.5</v>
      </c>
      <c r="J129" s="12">
        <f>IF(OR(tVerao25[[#This Row],[Preço (R$)]]="",tVerao25[[#This Row],[Custo (R$)]]=""),"",(tVerao25[[#This Row],[Preço (R$)]]-tVerao25[[#This Row],[Custo (R$)]])/tVerao25[[#This Row],[Preço (R$)]])</f>
        <v>0.6384872080088988</v>
      </c>
      <c r="K129" s="5" t="s">
        <v>329</v>
      </c>
      <c r="L129" s="5" t="s">
        <v>101</v>
      </c>
      <c r="M129" s="10"/>
      <c r="N129" s="5" t="s">
        <v>64</v>
      </c>
      <c r="O129" s="9" t="s">
        <v>71</v>
      </c>
    </row>
    <row r="130" spans="1:15">
      <c r="A13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VLT-TOP-010-AMA-M</v>
      </c>
      <c r="B130" s="5" t="s">
        <v>64</v>
      </c>
      <c r="C130" s="9" t="s">
        <v>327</v>
      </c>
      <c r="D130" s="5" t="s">
        <v>328</v>
      </c>
      <c r="E130" s="5" t="s">
        <v>179</v>
      </c>
      <c r="F130" s="5" t="s">
        <v>99</v>
      </c>
      <c r="G130" s="9" t="s">
        <v>54</v>
      </c>
      <c r="H130" s="11">
        <v>89.9</v>
      </c>
      <c r="I130" s="11">
        <v>32.5</v>
      </c>
      <c r="J130" s="12">
        <f>IF(OR(tVerao25[[#This Row],[Preço (R$)]]="",tVerao25[[#This Row],[Custo (R$)]]=""),"",(tVerao25[[#This Row],[Preço (R$)]]-tVerao25[[#This Row],[Custo (R$)]])/tVerao25[[#This Row],[Preço (R$)]])</f>
        <v>0.6384872080088988</v>
      </c>
      <c r="K130" s="5" t="s">
        <v>330</v>
      </c>
      <c r="L130" s="5" t="s">
        <v>101</v>
      </c>
      <c r="M130" s="10"/>
      <c r="N130" s="5" t="s">
        <v>64</v>
      </c>
      <c r="O130" s="9" t="s">
        <v>71</v>
      </c>
    </row>
    <row r="131" spans="1:15">
      <c r="A13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VLT-TOP-010-AMA-G</v>
      </c>
      <c r="B131" s="5" t="s">
        <v>64</v>
      </c>
      <c r="C131" s="9" t="s">
        <v>327</v>
      </c>
      <c r="D131" s="5" t="s">
        <v>328</v>
      </c>
      <c r="E131" s="5" t="s">
        <v>179</v>
      </c>
      <c r="F131" s="5" t="s">
        <v>99</v>
      </c>
      <c r="G131" s="9" t="s">
        <v>58</v>
      </c>
      <c r="H131" s="11">
        <v>89.9</v>
      </c>
      <c r="I131" s="11">
        <v>32.5</v>
      </c>
      <c r="J131" s="12">
        <f>IF(OR(tVerao25[[#This Row],[Preço (R$)]]="",tVerao25[[#This Row],[Custo (R$)]]=""),"",(tVerao25[[#This Row],[Preço (R$)]]-tVerao25[[#This Row],[Custo (R$)]])/tVerao25[[#This Row],[Preço (R$)]])</f>
        <v>0.6384872080088988</v>
      </c>
      <c r="K131" s="5" t="s">
        <v>331</v>
      </c>
      <c r="L131" s="5" t="s">
        <v>101</v>
      </c>
      <c r="M131" s="10"/>
      <c r="N131" s="5" t="s">
        <v>64</v>
      </c>
      <c r="O131" s="9" t="s">
        <v>71</v>
      </c>
    </row>
    <row r="132" spans="1:15">
      <c r="A13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VLT-TOP-010-VIN-P</v>
      </c>
      <c r="B132" s="5" t="s">
        <v>64</v>
      </c>
      <c r="C132" s="9" t="s">
        <v>327</v>
      </c>
      <c r="D132" s="5" t="s">
        <v>328</v>
      </c>
      <c r="E132" s="5" t="s">
        <v>179</v>
      </c>
      <c r="F132" s="5" t="s">
        <v>129</v>
      </c>
      <c r="G132" s="9" t="s">
        <v>51</v>
      </c>
      <c r="H132" s="11">
        <v>89.9</v>
      </c>
      <c r="I132" s="11"/>
      <c r="J132" s="12" t="str">
        <f>IF(OR(tVerao25[[#This Row],[Preço (R$)]]="",tVerao25[[#This Row],[Custo (R$)]]=""),"",(tVerao25[[#This Row],[Preço (R$)]]-tVerao25[[#This Row],[Custo (R$)]])/tVerao25[[#This Row],[Preço (R$)]])</f>
        <v/>
      </c>
      <c r="K132" s="5" t="s">
        <v>332</v>
      </c>
      <c r="L132" s="5" t="s">
        <v>101</v>
      </c>
      <c r="M132" s="10"/>
      <c r="N132" s="5" t="s">
        <v>64</v>
      </c>
      <c r="O132" s="9" t="s">
        <v>71</v>
      </c>
    </row>
    <row r="133" spans="1:15">
      <c r="A13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VLT-TOP-010-VIN-M</v>
      </c>
      <c r="B133" s="5" t="s">
        <v>64</v>
      </c>
      <c r="C133" s="9" t="s">
        <v>327</v>
      </c>
      <c r="D133" s="5" t="s">
        <v>328</v>
      </c>
      <c r="E133" s="5" t="s">
        <v>179</v>
      </c>
      <c r="F133" s="5" t="s">
        <v>129</v>
      </c>
      <c r="G133" s="9" t="s">
        <v>54</v>
      </c>
      <c r="H133" s="11">
        <v>89.9</v>
      </c>
      <c r="I133" s="11">
        <v>32.5</v>
      </c>
      <c r="J133" s="12">
        <f>IF(OR(tVerao25[[#This Row],[Preço (R$)]]="",tVerao25[[#This Row],[Custo (R$)]]=""),"",(tVerao25[[#This Row],[Preço (R$)]]-tVerao25[[#This Row],[Custo (R$)]])/tVerao25[[#This Row],[Preço (R$)]])</f>
        <v>0.6384872080088988</v>
      </c>
      <c r="K133" s="5" t="s">
        <v>333</v>
      </c>
      <c r="L133" s="5" t="s">
        <v>101</v>
      </c>
      <c r="M133" s="10"/>
      <c r="N133" s="5" t="s">
        <v>64</v>
      </c>
      <c r="O133" s="9" t="s">
        <v>71</v>
      </c>
    </row>
    <row r="134" spans="1:15">
      <c r="A13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VLT-TOP-010-VIN-G</v>
      </c>
      <c r="B134" s="5" t="s">
        <v>64</v>
      </c>
      <c r="C134" s="9" t="s">
        <v>327</v>
      </c>
      <c r="D134" s="5" t="s">
        <v>328</v>
      </c>
      <c r="E134" s="5" t="s">
        <v>179</v>
      </c>
      <c r="F134" s="5" t="s">
        <v>129</v>
      </c>
      <c r="G134" s="9" t="s">
        <v>58</v>
      </c>
      <c r="H134" s="11">
        <v>89.9</v>
      </c>
      <c r="I134" s="11">
        <v>32.5</v>
      </c>
      <c r="J134" s="12">
        <f>IF(OR(tVerao25[[#This Row],[Preço (R$)]]="",tVerao25[[#This Row],[Custo (R$)]]=""),"",(tVerao25[[#This Row],[Preço (R$)]]-tVerao25[[#This Row],[Custo (R$)]])/tVerao25[[#This Row],[Preço (R$)]])</f>
        <v>0.6384872080088988</v>
      </c>
      <c r="K134" s="5" t="s">
        <v>334</v>
      </c>
      <c r="L134" s="5" t="s">
        <v>101</v>
      </c>
      <c r="M134" s="10"/>
      <c r="N134" s="5" t="s">
        <v>64</v>
      </c>
      <c r="O134" s="9" t="s">
        <v>71</v>
      </c>
    </row>
    <row r="135" spans="1:15">
      <c r="A13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VLT-CAM-010-OLI-P</v>
      </c>
      <c r="B135" s="5" t="s">
        <v>64</v>
      </c>
      <c r="C135" s="9" t="s">
        <v>335</v>
      </c>
      <c r="D135" s="5" t="s">
        <v>336</v>
      </c>
      <c r="E135" s="5" t="s">
        <v>128</v>
      </c>
      <c r="F135" s="5" t="s">
        <v>180</v>
      </c>
      <c r="G135" s="9" t="s">
        <v>51</v>
      </c>
      <c r="H135" s="11">
        <v>139.9</v>
      </c>
      <c r="I135" s="11"/>
      <c r="J135" s="12" t="str">
        <f>IF(OR(tVerao25[[#This Row],[Preço (R$)]]="",tVerao25[[#This Row],[Custo (R$)]]=""),"",(tVerao25[[#This Row],[Preço (R$)]]-tVerao25[[#This Row],[Custo (R$)]])/tVerao25[[#This Row],[Preço (R$)]])</f>
        <v/>
      </c>
      <c r="K135" s="5" t="s">
        <v>337</v>
      </c>
      <c r="L135" s="5" t="s">
        <v>101</v>
      </c>
      <c r="M135" s="10"/>
      <c r="N135" s="5" t="s">
        <v>64</v>
      </c>
      <c r="O135" s="9" t="s">
        <v>71</v>
      </c>
    </row>
    <row r="136" spans="1:15">
      <c r="A13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VLT-CAM-010-OLI-M</v>
      </c>
      <c r="B136" s="5" t="s">
        <v>64</v>
      </c>
      <c r="C136" s="9" t="s">
        <v>335</v>
      </c>
      <c r="D136" s="5" t="s">
        <v>336</v>
      </c>
      <c r="E136" s="5" t="s">
        <v>128</v>
      </c>
      <c r="F136" s="5" t="s">
        <v>180</v>
      </c>
      <c r="G136" s="9" t="s">
        <v>54</v>
      </c>
      <c r="H136" s="11">
        <v>139.9</v>
      </c>
      <c r="I136" s="11">
        <v>57.6</v>
      </c>
      <c r="J136" s="12">
        <f>IF(OR(tVerao25[[#This Row],[Preço (R$)]]="",tVerao25[[#This Row],[Custo (R$)]]=""),"",(tVerao25[[#This Row],[Preço (R$)]]-tVerao25[[#This Row],[Custo (R$)]])/tVerao25[[#This Row],[Preço (R$)]])</f>
        <v>0.58827734095782702</v>
      </c>
      <c r="K136" s="5" t="s">
        <v>338</v>
      </c>
      <c r="L136" s="5" t="s">
        <v>101</v>
      </c>
      <c r="M136" s="10"/>
      <c r="N136" s="5" t="s">
        <v>64</v>
      </c>
      <c r="O136" s="9" t="s">
        <v>71</v>
      </c>
    </row>
    <row r="137" spans="1:15">
      <c r="A13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VLT-CAM-010-OLI-G</v>
      </c>
      <c r="B137" s="5" t="s">
        <v>64</v>
      </c>
      <c r="C137" s="9" t="s">
        <v>335</v>
      </c>
      <c r="D137" s="5" t="s">
        <v>336</v>
      </c>
      <c r="E137" s="5" t="s">
        <v>128</v>
      </c>
      <c r="F137" s="5" t="s">
        <v>180</v>
      </c>
      <c r="G137" s="9" t="s">
        <v>58</v>
      </c>
      <c r="H137" s="11">
        <v>139.9</v>
      </c>
      <c r="I137" s="11">
        <v>57.6</v>
      </c>
      <c r="J137" s="12">
        <f>IF(OR(tVerao25[[#This Row],[Preço (R$)]]="",tVerao25[[#This Row],[Custo (R$)]]=""),"",(tVerao25[[#This Row],[Preço (R$)]]-tVerao25[[#This Row],[Custo (R$)]])/tVerao25[[#This Row],[Preço (R$)]])</f>
        <v>0.58827734095782702</v>
      </c>
      <c r="K137" s="5" t="s">
        <v>339</v>
      </c>
      <c r="L137" s="5" t="s">
        <v>101</v>
      </c>
      <c r="M137" s="10"/>
      <c r="N137" s="5" t="s">
        <v>64</v>
      </c>
      <c r="O137" s="9" t="s">
        <v>71</v>
      </c>
    </row>
    <row r="138" spans="1:15">
      <c r="A13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VLT-CAM-010-OLI-GG</v>
      </c>
      <c r="B138" s="5" t="s">
        <v>64</v>
      </c>
      <c r="C138" s="9" t="s">
        <v>335</v>
      </c>
      <c r="D138" s="5" t="s">
        <v>336</v>
      </c>
      <c r="E138" s="5" t="s">
        <v>128</v>
      </c>
      <c r="F138" s="5" t="s">
        <v>180</v>
      </c>
      <c r="G138" s="9" t="s">
        <v>61</v>
      </c>
      <c r="H138" s="11">
        <v>139.9</v>
      </c>
      <c r="I138" s="11">
        <v>57.6</v>
      </c>
      <c r="J138" s="12">
        <f>IF(OR(tVerao25[[#This Row],[Preço (R$)]]="",tVerao25[[#This Row],[Custo (R$)]]=""),"",(tVerao25[[#This Row],[Preço (R$)]]-tVerao25[[#This Row],[Custo (R$)]])/tVerao25[[#This Row],[Preço (R$)]])</f>
        <v>0.58827734095782702</v>
      </c>
      <c r="K138" s="5" t="s">
        <v>340</v>
      </c>
      <c r="L138" s="5" t="s">
        <v>101</v>
      </c>
      <c r="M138" s="10"/>
      <c r="N138" s="5" t="s">
        <v>64</v>
      </c>
      <c r="O138" s="9" t="s">
        <v>71</v>
      </c>
    </row>
    <row r="139" spans="1:15">
      <c r="A13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VLT-CAM-010-VIN-P</v>
      </c>
      <c r="B139" s="5" t="s">
        <v>64</v>
      </c>
      <c r="C139" s="9" t="s">
        <v>335</v>
      </c>
      <c r="D139" s="5" t="s">
        <v>336</v>
      </c>
      <c r="E139" s="5" t="s">
        <v>128</v>
      </c>
      <c r="F139" s="5" t="s">
        <v>129</v>
      </c>
      <c r="G139" s="9" t="s">
        <v>51</v>
      </c>
      <c r="H139" s="11">
        <v>139.9</v>
      </c>
      <c r="I139" s="11"/>
      <c r="J139" s="12" t="str">
        <f>IF(OR(tVerao25[[#This Row],[Preço (R$)]]="",tVerao25[[#This Row],[Custo (R$)]]=""),"",(tVerao25[[#This Row],[Preço (R$)]]-tVerao25[[#This Row],[Custo (R$)]])/tVerao25[[#This Row],[Preço (R$)]])</f>
        <v/>
      </c>
      <c r="K139" s="5" t="s">
        <v>341</v>
      </c>
      <c r="L139" s="5" t="s">
        <v>101</v>
      </c>
      <c r="M139" s="10"/>
      <c r="N139" s="5" t="s">
        <v>205</v>
      </c>
      <c r="O139" s="9" t="s">
        <v>71</v>
      </c>
    </row>
    <row r="140" spans="1:15">
      <c r="A14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VLT-CAM-010-VIN-M</v>
      </c>
      <c r="B140" s="5" t="s">
        <v>64</v>
      </c>
      <c r="C140" s="9" t="s">
        <v>335</v>
      </c>
      <c r="D140" s="5" t="s">
        <v>336</v>
      </c>
      <c r="E140" s="5" t="s">
        <v>128</v>
      </c>
      <c r="F140" s="5" t="s">
        <v>129</v>
      </c>
      <c r="G140" s="9" t="s">
        <v>54</v>
      </c>
      <c r="H140" s="11">
        <v>139.9</v>
      </c>
      <c r="I140" s="11">
        <v>57.6</v>
      </c>
      <c r="J140" s="12">
        <f>IF(OR(tVerao25[[#This Row],[Preço (R$)]]="",tVerao25[[#This Row],[Custo (R$)]]=""),"",(tVerao25[[#This Row],[Preço (R$)]]-tVerao25[[#This Row],[Custo (R$)]])/tVerao25[[#This Row],[Preço (R$)]])</f>
        <v>0.58827734095782702</v>
      </c>
      <c r="K140" s="5" t="s">
        <v>342</v>
      </c>
      <c r="L140" s="5" t="s">
        <v>101</v>
      </c>
      <c r="M140" s="10"/>
      <c r="N140" s="5" t="s">
        <v>64</v>
      </c>
      <c r="O140" s="9" t="s">
        <v>71</v>
      </c>
    </row>
    <row r="141" spans="1:15">
      <c r="A14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VLT-CAM-010-VIN-G</v>
      </c>
      <c r="B141" s="5" t="s">
        <v>64</v>
      </c>
      <c r="C141" s="9" t="s">
        <v>335</v>
      </c>
      <c r="D141" s="5" t="s">
        <v>336</v>
      </c>
      <c r="E141" s="5" t="s">
        <v>128</v>
      </c>
      <c r="F141" s="5" t="s">
        <v>129</v>
      </c>
      <c r="G141" s="9" t="s">
        <v>58</v>
      </c>
      <c r="H141" s="11">
        <v>139.9</v>
      </c>
      <c r="I141" s="11">
        <v>57.6</v>
      </c>
      <c r="J141" s="12">
        <f>IF(OR(tVerao25[[#This Row],[Preço (R$)]]="",tVerao25[[#This Row],[Custo (R$)]]=""),"",(tVerao25[[#This Row],[Preço (R$)]]-tVerao25[[#This Row],[Custo (R$)]])/tVerao25[[#This Row],[Preço (R$)]])</f>
        <v>0.58827734095782702</v>
      </c>
      <c r="K141" s="5" t="s">
        <v>343</v>
      </c>
      <c r="L141" s="5" t="s">
        <v>101</v>
      </c>
      <c r="M141" s="10"/>
      <c r="N141" s="5" t="s">
        <v>64</v>
      </c>
      <c r="O141" s="9" t="s">
        <v>71</v>
      </c>
    </row>
    <row r="142" spans="1:15">
      <c r="A14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VLT-CAM-010-VIN-GG</v>
      </c>
      <c r="B142" s="5" t="s">
        <v>64</v>
      </c>
      <c r="C142" s="9" t="s">
        <v>335</v>
      </c>
      <c r="D142" s="5" t="s">
        <v>336</v>
      </c>
      <c r="E142" s="5" t="s">
        <v>128</v>
      </c>
      <c r="F142" s="5" t="s">
        <v>129</v>
      </c>
      <c r="G142" s="9" t="s">
        <v>61</v>
      </c>
      <c r="H142" s="11">
        <v>139.9</v>
      </c>
      <c r="I142" s="11">
        <v>57.6</v>
      </c>
      <c r="J142" s="12">
        <f>IF(OR(tVerao25[[#This Row],[Preço (R$)]]="",tVerao25[[#This Row],[Custo (R$)]]=""),"",(tVerao25[[#This Row],[Preço (R$)]]-tVerao25[[#This Row],[Custo (R$)]])/tVerao25[[#This Row],[Preço (R$)]])</f>
        <v>0.58827734095782702</v>
      </c>
      <c r="K142" s="5" t="s">
        <v>344</v>
      </c>
      <c r="L142" s="5" t="s">
        <v>101</v>
      </c>
      <c r="M142" s="10"/>
      <c r="N142" s="5" t="s">
        <v>64</v>
      </c>
      <c r="O142" s="9" t="s">
        <v>71</v>
      </c>
    </row>
    <row r="143" spans="1:15">
      <c r="A14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VLT-CAM-011-VIN-P</v>
      </c>
      <c r="B143" s="5" t="s">
        <v>64</v>
      </c>
      <c r="C143" s="9" t="s">
        <v>345</v>
      </c>
      <c r="D143" s="5" t="s">
        <v>346</v>
      </c>
      <c r="E143" s="5" t="s">
        <v>128</v>
      </c>
      <c r="F143" s="5" t="s">
        <v>129</v>
      </c>
      <c r="G143" s="9" t="s">
        <v>51</v>
      </c>
      <c r="H143" s="11">
        <v>149.9</v>
      </c>
      <c r="I143" s="11"/>
      <c r="J143" s="12" t="str">
        <f>IF(OR(tVerao25[[#This Row],[Preço (R$)]]="",tVerao25[[#This Row],[Custo (R$)]]=""),"",(tVerao25[[#This Row],[Preço (R$)]]-tVerao25[[#This Row],[Custo (R$)]])/tVerao25[[#This Row],[Preço (R$)]])</f>
        <v/>
      </c>
      <c r="K143" s="5" t="s">
        <v>347</v>
      </c>
      <c r="L143" s="5" t="s">
        <v>101</v>
      </c>
      <c r="M143" s="10"/>
      <c r="N143" s="5" t="s">
        <v>64</v>
      </c>
      <c r="O143" s="9" t="s">
        <v>71</v>
      </c>
    </row>
    <row r="144" spans="1:15">
      <c r="A14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VLT-CAM-011-VIN-M</v>
      </c>
      <c r="B144" s="5" t="s">
        <v>64</v>
      </c>
      <c r="C144" s="9" t="s">
        <v>345</v>
      </c>
      <c r="D144" s="5" t="s">
        <v>346</v>
      </c>
      <c r="E144" s="5" t="s">
        <v>128</v>
      </c>
      <c r="F144" s="5" t="s">
        <v>129</v>
      </c>
      <c r="G144" s="9" t="s">
        <v>54</v>
      </c>
      <c r="H144" s="11">
        <v>149.9</v>
      </c>
      <c r="I144" s="11"/>
      <c r="J144" s="12" t="str">
        <f>IF(OR(tVerao25[[#This Row],[Preço (R$)]]="",tVerao25[[#This Row],[Custo (R$)]]=""),"",(tVerao25[[#This Row],[Preço (R$)]]-tVerao25[[#This Row],[Custo (R$)]])/tVerao25[[#This Row],[Preço (R$)]])</f>
        <v/>
      </c>
      <c r="K144" s="5" t="s">
        <v>348</v>
      </c>
      <c r="L144" s="5" t="s">
        <v>101</v>
      </c>
      <c r="M144" s="10"/>
      <c r="N144" s="5" t="s">
        <v>64</v>
      </c>
      <c r="O144" s="9" t="s">
        <v>71</v>
      </c>
    </row>
    <row r="145" spans="1:15">
      <c r="A14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VLT-CAM-011-VIN-G</v>
      </c>
      <c r="B145" s="5" t="s">
        <v>64</v>
      </c>
      <c r="C145" s="9" t="s">
        <v>345</v>
      </c>
      <c r="D145" s="5" t="s">
        <v>346</v>
      </c>
      <c r="E145" s="5" t="s">
        <v>128</v>
      </c>
      <c r="F145" s="5" t="s">
        <v>129</v>
      </c>
      <c r="G145" s="9" t="s">
        <v>58</v>
      </c>
      <c r="H145" s="11">
        <v>149.9</v>
      </c>
      <c r="I145" s="11">
        <v>64.48</v>
      </c>
      <c r="J145" s="12">
        <f>IF(OR(tVerao25[[#This Row],[Preço (R$)]]="",tVerao25[[#This Row],[Custo (R$)]]=""),"",(tVerao25[[#This Row],[Preço (R$)]]-tVerao25[[#This Row],[Custo (R$)]])/tVerao25[[#This Row],[Preço (R$)]])</f>
        <v>0.56984656437625081</v>
      </c>
      <c r="K145" s="5" t="s">
        <v>349</v>
      </c>
      <c r="L145" s="5" t="s">
        <v>101</v>
      </c>
      <c r="M145" s="10"/>
      <c r="N145" s="5" t="s">
        <v>64</v>
      </c>
      <c r="O145" s="9" t="s">
        <v>71</v>
      </c>
    </row>
    <row r="146" spans="1:15">
      <c r="A14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VLT-CAM-011-LIL-P</v>
      </c>
      <c r="B146" s="5" t="s">
        <v>64</v>
      </c>
      <c r="C146" s="9" t="s">
        <v>345</v>
      </c>
      <c r="D146" s="5" t="s">
        <v>346</v>
      </c>
      <c r="E146" s="5" t="s">
        <v>128</v>
      </c>
      <c r="F146" s="5" t="s">
        <v>203</v>
      </c>
      <c r="G146" s="9" t="s">
        <v>51</v>
      </c>
      <c r="H146" s="11">
        <v>149.9</v>
      </c>
      <c r="I146" s="11"/>
      <c r="J146" s="12" t="str">
        <f>IF(OR(tVerao25[[#This Row],[Preço (R$)]]="",tVerao25[[#This Row],[Custo (R$)]]=""),"",(tVerao25[[#This Row],[Preço (R$)]]-tVerao25[[#This Row],[Custo (R$)]])/tVerao25[[#This Row],[Preço (R$)]])</f>
        <v/>
      </c>
      <c r="K146" s="5" t="s">
        <v>350</v>
      </c>
      <c r="L146" s="5" t="s">
        <v>101</v>
      </c>
      <c r="M146" s="10"/>
      <c r="N146" s="5" t="s">
        <v>64</v>
      </c>
      <c r="O146" s="9" t="s">
        <v>71</v>
      </c>
    </row>
    <row r="147" spans="1:15">
      <c r="A147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VLT-CAM-011-LIL-M</v>
      </c>
      <c r="B147" s="5" t="s">
        <v>64</v>
      </c>
      <c r="C147" s="9" t="s">
        <v>345</v>
      </c>
      <c r="D147" s="5" t="s">
        <v>346</v>
      </c>
      <c r="E147" s="5" t="s">
        <v>128</v>
      </c>
      <c r="F147" s="5" t="s">
        <v>203</v>
      </c>
      <c r="G147" s="9" t="s">
        <v>54</v>
      </c>
      <c r="H147" s="11">
        <v>149.9</v>
      </c>
      <c r="I147" s="11">
        <v>64.48</v>
      </c>
      <c r="J147" s="12">
        <f>IF(OR(tVerao25[[#This Row],[Preço (R$)]]="",tVerao25[[#This Row],[Custo (R$)]]=""),"",(tVerao25[[#This Row],[Preço (R$)]]-tVerao25[[#This Row],[Custo (R$)]])/tVerao25[[#This Row],[Preço (R$)]])</f>
        <v>0.56984656437625081</v>
      </c>
      <c r="K147" s="5" t="s">
        <v>351</v>
      </c>
      <c r="L147" s="5" t="s">
        <v>101</v>
      </c>
      <c r="M147" s="10"/>
      <c r="N147" s="5" t="s">
        <v>64</v>
      </c>
      <c r="O147" s="9" t="s">
        <v>71</v>
      </c>
    </row>
    <row r="148" spans="1:15">
      <c r="A148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VLT-CAM-011-LIL-G</v>
      </c>
      <c r="B148" s="5" t="s">
        <v>64</v>
      </c>
      <c r="C148" s="9" t="s">
        <v>345</v>
      </c>
      <c r="D148" s="5" t="s">
        <v>346</v>
      </c>
      <c r="E148" s="5" t="s">
        <v>128</v>
      </c>
      <c r="F148" s="5" t="s">
        <v>203</v>
      </c>
      <c r="G148" s="9" t="s">
        <v>58</v>
      </c>
      <c r="H148" s="11">
        <v>149.9</v>
      </c>
      <c r="I148" s="11"/>
      <c r="J148" s="12" t="str">
        <f>IF(OR(tVerao25[[#This Row],[Preço (R$)]]="",tVerao25[[#This Row],[Custo (R$)]]=""),"",(tVerao25[[#This Row],[Preço (R$)]]-tVerao25[[#This Row],[Custo (R$)]])/tVerao25[[#This Row],[Preço (R$)]])</f>
        <v/>
      </c>
      <c r="K148" s="5" t="s">
        <v>352</v>
      </c>
      <c r="L148" s="5" t="s">
        <v>101</v>
      </c>
      <c r="M148" s="10"/>
      <c r="N148" s="5" t="s">
        <v>64</v>
      </c>
      <c r="O148" s="9" t="s">
        <v>71</v>
      </c>
    </row>
    <row r="149" spans="1:15">
      <c r="A149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VLT-CMS-007-LIL-P</v>
      </c>
      <c r="B149" s="5" t="s">
        <v>64</v>
      </c>
      <c r="C149" s="9" t="s">
        <v>353</v>
      </c>
      <c r="D149" s="5" t="s">
        <v>354</v>
      </c>
      <c r="E149" s="5" t="s">
        <v>67</v>
      </c>
      <c r="F149" s="5" t="s">
        <v>203</v>
      </c>
      <c r="G149" s="9" t="s">
        <v>51</v>
      </c>
      <c r="H149" s="11">
        <v>259.89999999999998</v>
      </c>
      <c r="I149" s="11"/>
      <c r="J149" s="12" t="str">
        <f>IF(OR(tVerao25[[#This Row],[Preço (R$)]]="",tVerao25[[#This Row],[Custo (R$)]]=""),"",(tVerao25[[#This Row],[Preço (R$)]]-tVerao25[[#This Row],[Custo (R$)]])/tVerao25[[#This Row],[Preço (R$)]])</f>
        <v/>
      </c>
      <c r="K149" s="5" t="s">
        <v>355</v>
      </c>
      <c r="L149" s="5" t="s">
        <v>101</v>
      </c>
      <c r="M149" s="10"/>
      <c r="N149" s="5" t="s">
        <v>64</v>
      </c>
      <c r="O149" s="9" t="s">
        <v>71</v>
      </c>
    </row>
    <row r="150" spans="1:15">
      <c r="A150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VLT-CMS-007-LIL-M</v>
      </c>
      <c r="B150" s="5" t="s">
        <v>64</v>
      </c>
      <c r="C150" s="9" t="s">
        <v>353</v>
      </c>
      <c r="D150" s="5" t="s">
        <v>354</v>
      </c>
      <c r="E150" s="5" t="s">
        <v>67</v>
      </c>
      <c r="F150" s="5" t="s">
        <v>203</v>
      </c>
      <c r="G150" s="9" t="s">
        <v>54</v>
      </c>
      <c r="H150" s="11">
        <v>259.89999999999998</v>
      </c>
      <c r="I150" s="11">
        <v>100.16</v>
      </c>
      <c r="J150" s="12">
        <f>IF(OR(tVerao25[[#This Row],[Preço (R$)]]="",tVerao25[[#This Row],[Custo (R$)]]=""),"",(tVerao25[[#This Row],[Preço (R$)]]-tVerao25[[#This Row],[Custo (R$)]])/tVerao25[[#This Row],[Preço (R$)]])</f>
        <v>0.61462100808003073</v>
      </c>
      <c r="K150" s="5" t="s">
        <v>356</v>
      </c>
      <c r="L150" s="5" t="s">
        <v>101</v>
      </c>
      <c r="M150" s="10"/>
      <c r="N150" s="5" t="s">
        <v>357</v>
      </c>
      <c r="O150" s="9" t="s">
        <v>71</v>
      </c>
    </row>
    <row r="151" spans="1:15">
      <c r="A151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VLT-CMS-007-LIL-G</v>
      </c>
      <c r="B151" s="5" t="s">
        <v>64</v>
      </c>
      <c r="C151" s="9" t="s">
        <v>353</v>
      </c>
      <c r="D151" s="5" t="s">
        <v>354</v>
      </c>
      <c r="E151" s="5" t="s">
        <v>67</v>
      </c>
      <c r="F151" s="5" t="s">
        <v>203</v>
      </c>
      <c r="G151" s="9" t="s">
        <v>58</v>
      </c>
      <c r="H151" s="11">
        <v>259.89999999999998</v>
      </c>
      <c r="I151" s="11">
        <v>100.16</v>
      </c>
      <c r="J151" s="12">
        <f>IF(OR(tVerao25[[#This Row],[Preço (R$)]]="",tVerao25[[#This Row],[Custo (R$)]]=""),"",(tVerao25[[#This Row],[Preço (R$)]]-tVerao25[[#This Row],[Custo (R$)]])/tVerao25[[#This Row],[Preço (R$)]])</f>
        <v>0.61462100808003073</v>
      </c>
      <c r="K151" s="5" t="s">
        <v>358</v>
      </c>
      <c r="L151" s="5" t="s">
        <v>101</v>
      </c>
      <c r="M151" s="10"/>
      <c r="N151" s="5" t="s">
        <v>64</v>
      </c>
      <c r="O151" s="9" t="s">
        <v>71</v>
      </c>
    </row>
    <row r="152" spans="1:15">
      <c r="A152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VLT-CMS-007-LIL-GG</v>
      </c>
      <c r="B152" s="5" t="s">
        <v>64</v>
      </c>
      <c r="C152" s="9" t="s">
        <v>353</v>
      </c>
      <c r="D152" s="5" t="s">
        <v>354</v>
      </c>
      <c r="E152" s="5" t="s">
        <v>67</v>
      </c>
      <c r="F152" s="5" t="s">
        <v>203</v>
      </c>
      <c r="G152" s="9" t="s">
        <v>61</v>
      </c>
      <c r="H152" s="11">
        <v>259.89999999999998</v>
      </c>
      <c r="I152" s="11">
        <v>100.16</v>
      </c>
      <c r="J152" s="12">
        <f>IF(OR(tVerao25[[#This Row],[Preço (R$)]]="",tVerao25[[#This Row],[Custo (R$)]]=""),"",(tVerao25[[#This Row],[Preço (R$)]]-tVerao25[[#This Row],[Custo (R$)]])/tVerao25[[#This Row],[Preço (R$)]])</f>
        <v>0.61462100808003073</v>
      </c>
      <c r="K152" s="5" t="s">
        <v>359</v>
      </c>
      <c r="L152" s="5" t="s">
        <v>101</v>
      </c>
      <c r="M152" s="10"/>
      <c r="N152" s="5" t="s">
        <v>64</v>
      </c>
      <c r="O152" s="9" t="s">
        <v>71</v>
      </c>
    </row>
    <row r="153" spans="1:15">
      <c r="A153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VLT-CMS-007-BRA-P</v>
      </c>
      <c r="B153" s="5" t="s">
        <v>64</v>
      </c>
      <c r="C153" s="9" t="s">
        <v>353</v>
      </c>
      <c r="D153" s="5" t="s">
        <v>354</v>
      </c>
      <c r="E153" s="5" t="s">
        <v>67</v>
      </c>
      <c r="F153" s="5" t="s">
        <v>77</v>
      </c>
      <c r="G153" s="9" t="s">
        <v>51</v>
      </c>
      <c r="H153" s="11">
        <v>259.89999999999998</v>
      </c>
      <c r="I153" s="11">
        <v>100.16</v>
      </c>
      <c r="J153" s="12">
        <f>IF(OR(tVerao25[[#This Row],[Preço (R$)]]="",tVerao25[[#This Row],[Custo (R$)]]=""),"",(tVerao25[[#This Row],[Preço (R$)]]-tVerao25[[#This Row],[Custo (R$)]])/tVerao25[[#This Row],[Preço (R$)]])</f>
        <v>0.61462100808003073</v>
      </c>
      <c r="K153" s="5" t="s">
        <v>360</v>
      </c>
      <c r="L153" s="5" t="s">
        <v>101</v>
      </c>
      <c r="M153" s="10"/>
      <c r="N153" s="5" t="s">
        <v>64</v>
      </c>
      <c r="O153" s="9" t="s">
        <v>71</v>
      </c>
    </row>
    <row r="154" spans="1:15">
      <c r="A154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VLT-CMS-007-BRA-M</v>
      </c>
      <c r="B154" s="5" t="s">
        <v>64</v>
      </c>
      <c r="C154" s="9" t="s">
        <v>353</v>
      </c>
      <c r="D154" s="5" t="s">
        <v>354</v>
      </c>
      <c r="E154" s="5" t="s">
        <v>67</v>
      </c>
      <c r="F154" s="5" t="s">
        <v>77</v>
      </c>
      <c r="G154" s="9" t="s">
        <v>54</v>
      </c>
      <c r="H154" s="11">
        <v>259.89999999999998</v>
      </c>
      <c r="I154" s="11"/>
      <c r="J154" s="12" t="str">
        <f>IF(OR(tVerao25[[#This Row],[Preço (R$)]]="",tVerao25[[#This Row],[Custo (R$)]]=""),"",(tVerao25[[#This Row],[Preço (R$)]]-tVerao25[[#This Row],[Custo (R$)]])/tVerao25[[#This Row],[Preço (R$)]])</f>
        <v/>
      </c>
      <c r="K154" s="5" t="s">
        <v>361</v>
      </c>
      <c r="L154" s="5" t="s">
        <v>101</v>
      </c>
      <c r="M154" s="10"/>
      <c r="N154" s="5" t="s">
        <v>64</v>
      </c>
      <c r="O154" s="9" t="s">
        <v>71</v>
      </c>
    </row>
    <row r="155" spans="1:15">
      <c r="A155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VLT-CMS-007-BRA-G</v>
      </c>
      <c r="B155" s="5" t="s">
        <v>64</v>
      </c>
      <c r="C155" s="9" t="s">
        <v>353</v>
      </c>
      <c r="D155" s="5" t="s">
        <v>354</v>
      </c>
      <c r="E155" s="5" t="s">
        <v>67</v>
      </c>
      <c r="F155" s="5" t="s">
        <v>77</v>
      </c>
      <c r="G155" s="9" t="s">
        <v>58</v>
      </c>
      <c r="H155" s="11">
        <v>259.89999999999998</v>
      </c>
      <c r="I155" s="11">
        <v>100.16</v>
      </c>
      <c r="J155" s="12">
        <f>IF(OR(tVerao25[[#This Row],[Preço (R$)]]="",tVerao25[[#This Row],[Custo (R$)]]=""),"",(tVerao25[[#This Row],[Preço (R$)]]-tVerao25[[#This Row],[Custo (R$)]])/tVerao25[[#This Row],[Preço (R$)]])</f>
        <v>0.61462100808003073</v>
      </c>
      <c r="K155" s="5" t="s">
        <v>362</v>
      </c>
      <c r="L155" s="5" t="s">
        <v>101</v>
      </c>
      <c r="M155" s="10"/>
      <c r="N155" s="5" t="s">
        <v>64</v>
      </c>
      <c r="O155" s="9" t="s">
        <v>71</v>
      </c>
    </row>
    <row r="156" spans="1:15">
      <c r="A156" t="str">
        <f>IF(tVerao25[[#This Row],[Modelo]]="","","VLT-"&amp;tVerao25[[#This Row],[Modelo]]&amp;"-"&amp;IFERROR(INDEX(tCores[Sigla],MATCH(tVerao25[[#This Row],[Cor]],tCores[Cor],0)),"???")&amp;"-"&amp;IFERROR(INDEX(tTamanhos[Sigla],MATCH(tVerao25[[#This Row],[Tamanho]],tTamanhos[Tamanho],0)),IF(ISNUMBER(SEARCH("/",tVerao25[[#This Row],[Tamanho]])),"GRADE",tVerao25[[#This Row],[Tamanho]])))</f>
        <v>VLT-CMS-007-BRA-GG</v>
      </c>
      <c r="B156" s="5" t="s">
        <v>64</v>
      </c>
      <c r="C156" s="9" t="s">
        <v>353</v>
      </c>
      <c r="D156" s="5" t="s">
        <v>354</v>
      </c>
      <c r="E156" s="5" t="s">
        <v>67</v>
      </c>
      <c r="F156" s="5" t="s">
        <v>77</v>
      </c>
      <c r="G156" s="9" t="s">
        <v>61</v>
      </c>
      <c r="H156" s="11">
        <v>259.89999999999998</v>
      </c>
      <c r="I156" s="11">
        <v>100.16</v>
      </c>
      <c r="J156" s="12">
        <f>IF(OR(tVerao25[[#This Row],[Preço (R$)]]="",tVerao25[[#This Row],[Custo (R$)]]=""),"",(tVerao25[[#This Row],[Preço (R$)]]-tVerao25[[#This Row],[Custo (R$)]])/tVerao25[[#This Row],[Preço (R$)]])</f>
        <v>0.61462100808003073</v>
      </c>
      <c r="K156" s="5" t="s">
        <v>363</v>
      </c>
      <c r="L156" s="5" t="s">
        <v>101</v>
      </c>
      <c r="M156" s="10"/>
      <c r="N156" s="5" t="s">
        <v>64</v>
      </c>
      <c r="O156" s="9" t="s">
        <v>71</v>
      </c>
    </row>
  </sheetData>
  <conditionalFormatting sqref="A5:O156">
    <cfRule type="expression" dxfId="117" priority="1">
      <formula>$O5="Descontinuado"</formula>
    </cfRule>
  </conditionalFormatting>
  <conditionalFormatting sqref="A5:O156">
    <cfRule type="expression" dxfId="116" priority="2">
      <formula>$O5="Revisar preço"</formula>
    </cfRule>
  </conditionalFormatting>
  <conditionalFormatting sqref="I5:I156">
    <cfRule type="expression" dxfId="115" priority="3">
      <formula>AND($I5="",$O5&lt;&gt;"Descontinuado")</formula>
    </cfRule>
  </conditionalFormatting>
  <conditionalFormatting sqref="K5:K156">
    <cfRule type="expression" dxfId="114" priority="4">
      <formula>AND($K5&lt;&gt;"",COUNTIF($K$5:$K$156,$K5)&gt;1)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4859EC1C-035E-1E4A-A663-C73D351C08C4}">
            <xm:f>AND(ISNUMBER($J5),$J5&lt;Listas!$L$4,$O5&lt;&gt;"Descontinuado")</xm:f>
            <x14:dxf>
              <font>
                <b/>
                <i val="0"/>
                <color rgb="FFC00000"/>
              </font>
            </x14:dxf>
          </x14:cfRule>
          <xm:sqref>J5:J156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fora da lista" error="Use um valor da aba Listas." xr:uid="{E779B1C0-CF65-9D42-BD28-330774C8A9B5}">
          <x14:formula1>
            <xm:f>Listas!$D$4:$D$14</xm:f>
          </x14:formula1>
          <xm:sqref>E5:E156</xm:sqref>
        </x14:dataValidation>
        <x14:dataValidation type="list" allowBlank="1" showInputMessage="1" showErrorMessage="1" errorTitle="Valor fora da lista" error="Use um valor da aba Listas." xr:uid="{D5720563-15E2-DB40-BFA7-7D1B90CCE969}">
          <x14:formula1>
            <xm:f>Listas!$A$4:$A$16</xm:f>
          </x14:formula1>
          <xm:sqref>F5:F156</xm:sqref>
        </x14:dataValidation>
        <x14:dataValidation type="list" errorStyle="warning" allowBlank="1" showInputMessage="1" showErrorMessage="1" errorTitle="Valor fora da lista" error="Use XP, P, M, G, GG, XG ou Único." xr:uid="{47977FD5-94CA-BE46-B1C5-64C155732E45}">
          <x14:formula1>
            <xm:f>Listas!$G$4:$G$10</xm:f>
          </x14:formula1>
          <xm:sqref>G5:G156</xm:sqref>
        </x14:dataValidation>
        <x14:dataValidation type="list" allowBlank="1" showInputMessage="1" showErrorMessage="1" errorTitle="Valor fora da lista" error="Use um valor da aba Listas." xr:uid="{11AB7BA6-626A-BB47-BBA0-51395E6882BB}">
          <x14:formula1>
            <xm:f>Listas!$J$4:$J$6</xm:f>
          </x14:formula1>
          <xm:sqref>O5:O156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8"/>
  <sheetViews>
    <sheetView tabSelected="1" workbookViewId="0">
      <pane ySplit="4" topLeftCell="A5" activePane="bottomLeft" state="frozen"/>
      <selection pane="bottomLeft"/>
    </sheetView>
  </sheetViews>
  <sheetFormatPr defaultColWidth="8.85546875" defaultRowHeight="15"/>
  <cols>
    <col min="1" max="1" width="25" customWidth="1"/>
    <col min="2" max="2" width="15" customWidth="1"/>
    <col min="3" max="3" width="10" customWidth="1"/>
    <col min="4" max="4" width="35" customWidth="1"/>
    <col min="5" max="5" width="19.140625" customWidth="1"/>
    <col min="6" max="6" width="15" customWidth="1"/>
    <col min="7" max="7" width="12.42578125" customWidth="1"/>
    <col min="8" max="9" width="13.28515625" customWidth="1"/>
    <col min="10" max="10" width="11.7109375" customWidth="1"/>
    <col min="11" max="11" width="20" customWidth="1"/>
    <col min="12" max="12" width="13.28515625" customWidth="1"/>
    <col min="13" max="13" width="25" customWidth="1"/>
    <col min="14" max="14" width="16.7109375" customWidth="1"/>
  </cols>
  <sheetData>
    <row r="1" spans="1:15" ht="21">
      <c r="A1" s="34" t="s">
        <v>364</v>
      </c>
    </row>
    <row r="2" spans="1:15">
      <c r="A2" s="7" t="s">
        <v>27</v>
      </c>
    </row>
    <row r="3" spans="1:15">
      <c r="A3" s="8" t="s">
        <v>365</v>
      </c>
    </row>
    <row r="4" spans="1:15" ht="30" customHeight="1">
      <c r="A4" s="32" t="s">
        <v>28</v>
      </c>
      <c r="B4" s="32" t="s">
        <v>29</v>
      </c>
      <c r="C4" s="32" t="s">
        <v>30</v>
      </c>
      <c r="D4" s="32" t="s">
        <v>12</v>
      </c>
      <c r="E4" s="32" t="s">
        <v>31</v>
      </c>
      <c r="F4" s="32" t="s">
        <v>32</v>
      </c>
      <c r="G4" s="32" t="s">
        <v>33</v>
      </c>
      <c r="H4" s="32" t="s">
        <v>17</v>
      </c>
      <c r="I4" s="32" t="s">
        <v>34</v>
      </c>
      <c r="J4" s="32" t="s">
        <v>35</v>
      </c>
      <c r="K4" s="32" t="s">
        <v>36</v>
      </c>
      <c r="L4" s="32" t="s">
        <v>37</v>
      </c>
      <c r="M4" s="32" t="s">
        <v>38</v>
      </c>
      <c r="N4" s="32" t="s">
        <v>39</v>
      </c>
      <c r="O4" s="32" t="s">
        <v>18</v>
      </c>
    </row>
    <row r="5" spans="1:15">
      <c r="A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VLT-CAM-012-OLI-P</v>
      </c>
      <c r="B5" s="28" t="s">
        <v>366</v>
      </c>
      <c r="C5" s="9" t="s">
        <v>367</v>
      </c>
      <c r="D5" s="5" t="s">
        <v>368</v>
      </c>
      <c r="E5" s="5" t="s">
        <v>128</v>
      </c>
      <c r="F5" s="5" t="s">
        <v>180</v>
      </c>
      <c r="G5" s="9" t="s">
        <v>51</v>
      </c>
      <c r="H5" s="11">
        <v>169.9</v>
      </c>
      <c r="I5" s="11">
        <v>79</v>
      </c>
      <c r="J5" s="12">
        <f>IF(OR(tInverno25[[#This Row],[Preço (R$)]]="",tInverno25[[#This Row],[Custo (R$)]]=""),"",(tInverno25[[#This Row],[Preço (R$)]]-tInverno25[[#This Row],[Custo (R$)]])/tInverno25[[#This Row],[Preço (R$)]])</f>
        <v>0.53502060035314891</v>
      </c>
      <c r="K5" s="5" t="s">
        <v>369</v>
      </c>
      <c r="L5" s="28" t="s">
        <v>101</v>
      </c>
      <c r="M5" s="10"/>
      <c r="N5" s="5" t="s">
        <v>370</v>
      </c>
      <c r="O5" s="9" t="s">
        <v>49</v>
      </c>
    </row>
    <row r="6" spans="1:15">
      <c r="A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VLT-CAM-012-OLI-M</v>
      </c>
      <c r="B6" s="28" t="s">
        <v>371</v>
      </c>
      <c r="C6" s="9" t="s">
        <v>367</v>
      </c>
      <c r="D6" s="5" t="s">
        <v>368</v>
      </c>
      <c r="E6" s="5" t="s">
        <v>128</v>
      </c>
      <c r="F6" s="5" t="s">
        <v>180</v>
      </c>
      <c r="G6" s="9" t="s">
        <v>54</v>
      </c>
      <c r="H6" s="11">
        <v>169.9</v>
      </c>
      <c r="I6" s="27">
        <v>79</v>
      </c>
      <c r="J6" s="12">
        <f>IF(OR(tInverno25[[#This Row],[Preço (R$)]]="",tInverno25[[#This Row],[Custo (R$)]]=""),"",(tInverno25[[#This Row],[Preço (R$)]]-tInverno25[[#This Row],[Custo (R$)]])/tInverno25[[#This Row],[Preço (R$)]])</f>
        <v>0.53502060035314891</v>
      </c>
      <c r="K6" s="5" t="s">
        <v>372</v>
      </c>
      <c r="L6" s="28" t="s">
        <v>101</v>
      </c>
      <c r="M6" s="10"/>
      <c r="N6" s="5" t="s">
        <v>373</v>
      </c>
      <c r="O6" s="9" t="s">
        <v>49</v>
      </c>
    </row>
    <row r="7" spans="1:15">
      <c r="A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VLT-CAM-012-OLI-G</v>
      </c>
      <c r="B7" s="28" t="s">
        <v>374</v>
      </c>
      <c r="C7" s="9" t="s">
        <v>367</v>
      </c>
      <c r="D7" s="5" t="s">
        <v>368</v>
      </c>
      <c r="E7" s="5" t="s">
        <v>128</v>
      </c>
      <c r="F7" s="5" t="s">
        <v>180</v>
      </c>
      <c r="G7" s="9" t="s">
        <v>58</v>
      </c>
      <c r="H7" s="11">
        <v>169.9</v>
      </c>
      <c r="I7" s="11">
        <v>79.489999999999995</v>
      </c>
      <c r="J7" s="12">
        <f>IF(OR(tInverno25[[#This Row],[Preço (R$)]]="",tInverno25[[#This Row],[Custo (R$)]]=""),"",(tInverno25[[#This Row],[Preço (R$)]]-tInverno25[[#This Row],[Custo (R$)]])/tInverno25[[#This Row],[Preço (R$)]])</f>
        <v>0.53213655091230139</v>
      </c>
      <c r="K7" s="5" t="s">
        <v>375</v>
      </c>
      <c r="L7" s="28" t="s">
        <v>101</v>
      </c>
      <c r="M7" s="10"/>
      <c r="N7" s="5" t="s">
        <v>376</v>
      </c>
      <c r="O7" s="9" t="s">
        <v>49</v>
      </c>
    </row>
    <row r="8" spans="1:15">
      <c r="A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VLT-CAM-012-OLI-GG</v>
      </c>
      <c r="B8" s="28" t="s">
        <v>377</v>
      </c>
      <c r="C8" s="9" t="s">
        <v>367</v>
      </c>
      <c r="D8" s="5" t="s">
        <v>368</v>
      </c>
      <c r="E8" s="5" t="s">
        <v>128</v>
      </c>
      <c r="F8" s="5" t="s">
        <v>180</v>
      </c>
      <c r="G8" s="9" t="s">
        <v>61</v>
      </c>
      <c r="H8" s="11">
        <v>169.9</v>
      </c>
      <c r="I8" s="11">
        <v>77.2</v>
      </c>
      <c r="J8" s="12">
        <f>IF(OR(tInverno25[[#This Row],[Preço (R$)]]="",tInverno25[[#This Row],[Custo (R$)]]=""),"",(tInverno25[[#This Row],[Preço (R$)]]-tInverno25[[#This Row],[Custo (R$)]])/tInverno25[[#This Row],[Preço (R$)]])</f>
        <v>0.54561506768687462</v>
      </c>
      <c r="K8" s="5" t="s">
        <v>378</v>
      </c>
      <c r="L8" s="28" t="s">
        <v>101</v>
      </c>
      <c r="M8" s="10"/>
      <c r="N8" s="5" t="s">
        <v>376</v>
      </c>
      <c r="O8" s="9" t="s">
        <v>49</v>
      </c>
    </row>
    <row r="9" spans="1:15">
      <c r="A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VLT-MOL-010-AMA-P</v>
      </c>
      <c r="B9" s="5" t="s">
        <v>379</v>
      </c>
      <c r="C9" s="9" t="s">
        <v>380</v>
      </c>
      <c r="D9" s="5" t="s">
        <v>381</v>
      </c>
      <c r="E9" s="5" t="s">
        <v>98</v>
      </c>
      <c r="F9" s="5" t="s">
        <v>99</v>
      </c>
      <c r="G9" s="9" t="s">
        <v>51</v>
      </c>
      <c r="H9" s="11">
        <v>289.89999999999998</v>
      </c>
      <c r="I9" s="27">
        <v>127.47</v>
      </c>
      <c r="J9" s="12">
        <f>IF(OR(tInverno25[[#This Row],[Preço (R$)]]="",tInverno25[[#This Row],[Custo (R$)]]=""),"",(tInverno25[[#This Row],[Preço (R$)]]-tInverno25[[#This Row],[Custo (R$)]])/tInverno25[[#This Row],[Preço (R$)]])</f>
        <v>0.56029665401862705</v>
      </c>
      <c r="K9" s="5" t="s">
        <v>382</v>
      </c>
      <c r="L9" s="28" t="s">
        <v>101</v>
      </c>
      <c r="M9" s="10"/>
      <c r="N9" s="5" t="s">
        <v>383</v>
      </c>
      <c r="O9" s="9" t="s">
        <v>49</v>
      </c>
    </row>
    <row r="10" spans="1:15">
      <c r="A1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VLT-MOL-010-AMA-M</v>
      </c>
      <c r="B10" s="5" t="s">
        <v>384</v>
      </c>
      <c r="C10" s="9" t="s">
        <v>380</v>
      </c>
      <c r="D10" s="5" t="s">
        <v>381</v>
      </c>
      <c r="E10" s="5" t="s">
        <v>98</v>
      </c>
      <c r="F10" s="5" t="s">
        <v>99</v>
      </c>
      <c r="G10" s="9" t="s">
        <v>54</v>
      </c>
      <c r="H10" s="11">
        <v>289.89999999999998</v>
      </c>
      <c r="I10" s="11">
        <v>127.47</v>
      </c>
      <c r="J10" s="12">
        <f>IF(OR(tInverno25[[#This Row],[Preço (R$)]]="",tInverno25[[#This Row],[Custo (R$)]]=""),"",(tInverno25[[#This Row],[Preço (R$)]]-tInverno25[[#This Row],[Custo (R$)]])/tInverno25[[#This Row],[Preço (R$)]])</f>
        <v>0.56029665401862705</v>
      </c>
      <c r="K10" s="5" t="s">
        <v>385</v>
      </c>
      <c r="L10" s="28" t="s">
        <v>101</v>
      </c>
      <c r="M10" s="10"/>
      <c r="N10" s="5" t="s">
        <v>386</v>
      </c>
      <c r="O10" s="9" t="s">
        <v>49</v>
      </c>
    </row>
    <row r="11" spans="1:15">
      <c r="A1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VLT-MOL-010-AMA-G</v>
      </c>
      <c r="B11" s="5" t="s">
        <v>387</v>
      </c>
      <c r="C11" s="9" t="s">
        <v>380</v>
      </c>
      <c r="D11" s="5" t="s">
        <v>381</v>
      </c>
      <c r="E11" s="5" t="s">
        <v>98</v>
      </c>
      <c r="F11" s="5" t="s">
        <v>99</v>
      </c>
      <c r="G11" s="9" t="s">
        <v>58</v>
      </c>
      <c r="H11" s="11">
        <v>289.89999999999998</v>
      </c>
      <c r="I11" s="11">
        <v>130.94999999999999</v>
      </c>
      <c r="J11" s="12">
        <f>IF(OR(tInverno25[[#This Row],[Preço (R$)]]="",tInverno25[[#This Row],[Custo (R$)]]=""),"",(tInverno25[[#This Row],[Preço (R$)]]-tInverno25[[#This Row],[Custo (R$)]])/tInverno25[[#This Row],[Preço (R$)]])</f>
        <v>0.54829251466022766</v>
      </c>
      <c r="K11" s="5" t="s">
        <v>388</v>
      </c>
      <c r="L11" s="28" t="s">
        <v>101</v>
      </c>
      <c r="M11" s="10"/>
      <c r="N11" s="5" t="s">
        <v>386</v>
      </c>
      <c r="O11" s="9" t="s">
        <v>49</v>
      </c>
    </row>
    <row r="12" spans="1:15">
      <c r="A1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VLT-JAQ-004-VIN-P</v>
      </c>
      <c r="B12" s="28" t="s">
        <v>389</v>
      </c>
      <c r="C12" s="9" t="s">
        <v>390</v>
      </c>
      <c r="D12" s="5" t="s">
        <v>391</v>
      </c>
      <c r="E12" s="5" t="s">
        <v>392</v>
      </c>
      <c r="F12" s="5" t="s">
        <v>129</v>
      </c>
      <c r="G12" s="9" t="s">
        <v>51</v>
      </c>
      <c r="H12" s="11">
        <v>529.9</v>
      </c>
      <c r="I12" s="27">
        <v>197.19</v>
      </c>
      <c r="J12" s="12">
        <f>IF(OR(tInverno25[[#This Row],[Preço (R$)]]="",tInverno25[[#This Row],[Custo (R$)]]=""),"",(tInverno25[[#This Row],[Preço (R$)]]-tInverno25[[#This Row],[Custo (R$)]])/tInverno25[[#This Row],[Preço (R$)]])</f>
        <v>0.6278731836195508</v>
      </c>
      <c r="K12" s="5" t="s">
        <v>393</v>
      </c>
      <c r="L12" s="28" t="s">
        <v>79</v>
      </c>
      <c r="M12" s="10"/>
      <c r="N12" s="5" t="s">
        <v>394</v>
      </c>
      <c r="O12" s="9" t="s">
        <v>49</v>
      </c>
    </row>
    <row r="13" spans="1:15">
      <c r="A1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VLT-JAQ-004-VIN-M</v>
      </c>
      <c r="B13" s="28" t="s">
        <v>395</v>
      </c>
      <c r="C13" s="9" t="s">
        <v>390</v>
      </c>
      <c r="D13" s="5" t="s">
        <v>391</v>
      </c>
      <c r="E13" s="5" t="s">
        <v>392</v>
      </c>
      <c r="F13" s="5" t="s">
        <v>129</v>
      </c>
      <c r="G13" s="9" t="s">
        <v>54</v>
      </c>
      <c r="H13" s="11">
        <v>529.9</v>
      </c>
      <c r="I13" s="11">
        <v>197.19</v>
      </c>
      <c r="J13" s="12">
        <f>IF(OR(tInverno25[[#This Row],[Preço (R$)]]="",tInverno25[[#This Row],[Custo (R$)]]=""),"",(tInverno25[[#This Row],[Preço (R$)]]-tInverno25[[#This Row],[Custo (R$)]])/tInverno25[[#This Row],[Preço (R$)]])</f>
        <v>0.6278731836195508</v>
      </c>
      <c r="K13" s="5" t="s">
        <v>396</v>
      </c>
      <c r="L13" s="28" t="s">
        <v>79</v>
      </c>
      <c r="M13" s="10"/>
      <c r="N13" s="5" t="s">
        <v>397</v>
      </c>
      <c r="O13" s="9" t="s">
        <v>49</v>
      </c>
    </row>
    <row r="14" spans="1:15">
      <c r="A1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VLT-JAQ-004-VIN-G</v>
      </c>
      <c r="B14" s="28" t="s">
        <v>398</v>
      </c>
      <c r="C14" s="9" t="s">
        <v>390</v>
      </c>
      <c r="D14" s="5" t="s">
        <v>391</v>
      </c>
      <c r="E14" s="5" t="s">
        <v>392</v>
      </c>
      <c r="F14" s="5" t="s">
        <v>129</v>
      </c>
      <c r="G14" s="9" t="s">
        <v>58</v>
      </c>
      <c r="H14" s="11">
        <v>529.9</v>
      </c>
      <c r="I14" s="11">
        <v>197.93</v>
      </c>
      <c r="J14" s="12">
        <f>IF(OR(tInverno25[[#This Row],[Preço (R$)]]="",tInverno25[[#This Row],[Custo (R$)]]=""),"",(tInverno25[[#This Row],[Preço (R$)]]-tInverno25[[#This Row],[Custo (R$)]])/tInverno25[[#This Row],[Preço (R$)]])</f>
        <v>0.6264766937157954</v>
      </c>
      <c r="K14" s="5" t="s">
        <v>399</v>
      </c>
      <c r="L14" s="28" t="s">
        <v>79</v>
      </c>
      <c r="M14" s="10"/>
      <c r="N14" s="5" t="s">
        <v>397</v>
      </c>
      <c r="O14" s="9" t="s">
        <v>49</v>
      </c>
    </row>
    <row r="15" spans="1:15">
      <c r="A1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VLT-JAQ-004-VIN-GG</v>
      </c>
      <c r="B15" s="28" t="s">
        <v>400</v>
      </c>
      <c r="C15" s="9" t="s">
        <v>390</v>
      </c>
      <c r="D15" s="5" t="s">
        <v>391</v>
      </c>
      <c r="E15" s="5" t="s">
        <v>392</v>
      </c>
      <c r="F15" s="5" t="s">
        <v>129</v>
      </c>
      <c r="G15" s="9" t="s">
        <v>61</v>
      </c>
      <c r="H15" s="11">
        <v>529.9</v>
      </c>
      <c r="I15" s="11">
        <v>198.02</v>
      </c>
      <c r="J15" s="12">
        <f>IF(OR(tInverno25[[#This Row],[Preço (R$)]]="",tInverno25[[#This Row],[Custo (R$)]]=""),"",(tInverno25[[#This Row],[Preço (R$)]]-tInverno25[[#This Row],[Custo (R$)]])/tInverno25[[#This Row],[Preço (R$)]])</f>
        <v>0.62630685034912248</v>
      </c>
      <c r="K15" s="5" t="s">
        <v>401</v>
      </c>
      <c r="L15" s="28" t="s">
        <v>79</v>
      </c>
      <c r="M15" s="10"/>
      <c r="N15" s="5" t="s">
        <v>397</v>
      </c>
      <c r="O15" s="9" t="s">
        <v>49</v>
      </c>
    </row>
    <row r="16" spans="1:15">
      <c r="A1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VLT-CAL-011-LIL-XP</v>
      </c>
      <c r="B16" s="28" t="s">
        <v>402</v>
      </c>
      <c r="C16" s="9" t="s">
        <v>403</v>
      </c>
      <c r="D16" s="5" t="s">
        <v>404</v>
      </c>
      <c r="E16" s="5" t="s">
        <v>86</v>
      </c>
      <c r="F16" s="5" t="s">
        <v>203</v>
      </c>
      <c r="G16" s="9" t="s">
        <v>45</v>
      </c>
      <c r="H16" s="11">
        <v>249.9</v>
      </c>
      <c r="I16" s="11">
        <v>106.05</v>
      </c>
      <c r="J16" s="12">
        <f>IF(OR(tInverno25[[#This Row],[Preço (R$)]]="",tInverno25[[#This Row],[Custo (R$)]]=""),"",(tInverno25[[#This Row],[Preço (R$)]]-tInverno25[[#This Row],[Custo (R$)]])/tInverno25[[#This Row],[Preço (R$)]])</f>
        <v>0.5756302521008404</v>
      </c>
      <c r="K16" s="5" t="s">
        <v>405</v>
      </c>
      <c r="L16" s="28" t="s">
        <v>47</v>
      </c>
      <c r="M16" s="10"/>
      <c r="N16" s="5" t="s">
        <v>376</v>
      </c>
      <c r="O16" s="9" t="s">
        <v>49</v>
      </c>
    </row>
    <row r="17" spans="1:15">
      <c r="A1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VLT-CAL-011-LIL-P</v>
      </c>
      <c r="B17" s="28" t="s">
        <v>406</v>
      </c>
      <c r="C17" s="9" t="s">
        <v>403</v>
      </c>
      <c r="D17" s="5" t="s">
        <v>404</v>
      </c>
      <c r="E17" s="5" t="s">
        <v>86</v>
      </c>
      <c r="F17" s="5" t="s">
        <v>203</v>
      </c>
      <c r="G17" s="9" t="s">
        <v>51</v>
      </c>
      <c r="H17" s="11">
        <v>249.9</v>
      </c>
      <c r="I17" s="27">
        <v>106.05</v>
      </c>
      <c r="J17" s="12">
        <f>IF(OR(tInverno25[[#This Row],[Preço (R$)]]="",tInverno25[[#This Row],[Custo (R$)]]=""),"",(tInverno25[[#This Row],[Preço (R$)]]-tInverno25[[#This Row],[Custo (R$)]])/tInverno25[[#This Row],[Preço (R$)]])</f>
        <v>0.5756302521008404</v>
      </c>
      <c r="K17" s="5" t="s">
        <v>407</v>
      </c>
      <c r="L17" s="28" t="s">
        <v>47</v>
      </c>
      <c r="M17" s="10"/>
      <c r="N17" s="5" t="s">
        <v>408</v>
      </c>
      <c r="O17" s="9" t="s">
        <v>49</v>
      </c>
    </row>
    <row r="18" spans="1:15">
      <c r="A1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VLT-CAL-011-LIL-M</v>
      </c>
      <c r="B18" s="28" t="s">
        <v>409</v>
      </c>
      <c r="C18" s="9" t="s">
        <v>403</v>
      </c>
      <c r="D18" s="5" t="s">
        <v>404</v>
      </c>
      <c r="E18" s="5" t="s">
        <v>86</v>
      </c>
      <c r="F18" s="5" t="s">
        <v>203</v>
      </c>
      <c r="G18" s="9" t="s">
        <v>54</v>
      </c>
      <c r="H18" s="11">
        <v>249.9</v>
      </c>
      <c r="I18" s="11">
        <v>107.65</v>
      </c>
      <c r="J18" s="12">
        <f>IF(OR(tInverno25[[#This Row],[Preço (R$)]]="",tInverno25[[#This Row],[Custo (R$)]]=""),"",(tInverno25[[#This Row],[Preço (R$)]]-tInverno25[[#This Row],[Custo (R$)]])/tInverno25[[#This Row],[Preço (R$)]])</f>
        <v>0.56922769107643056</v>
      </c>
      <c r="K18" s="5" t="s">
        <v>410</v>
      </c>
      <c r="L18" s="28" t="s">
        <v>47</v>
      </c>
      <c r="M18" s="10"/>
      <c r="N18" s="5" t="s">
        <v>411</v>
      </c>
      <c r="O18" s="9" t="s">
        <v>49</v>
      </c>
    </row>
    <row r="19" spans="1:15">
      <c r="A1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VLT-CAL-011-LIL-G</v>
      </c>
      <c r="B19" s="28" t="s">
        <v>412</v>
      </c>
      <c r="C19" s="9" t="s">
        <v>403</v>
      </c>
      <c r="D19" s="5" t="s">
        <v>404</v>
      </c>
      <c r="E19" s="5" t="s">
        <v>86</v>
      </c>
      <c r="F19" s="5" t="s">
        <v>203</v>
      </c>
      <c r="G19" s="9" t="s">
        <v>58</v>
      </c>
      <c r="H19" s="11">
        <v>249.9</v>
      </c>
      <c r="I19" s="11">
        <v>106.65</v>
      </c>
      <c r="J19" s="12">
        <f>IF(OR(tInverno25[[#This Row],[Preço (R$)]]="",tInverno25[[#This Row],[Custo (R$)]]=""),"",(tInverno25[[#This Row],[Preço (R$)]]-tInverno25[[#This Row],[Custo (R$)]])/tInverno25[[#This Row],[Preço (R$)]])</f>
        <v>0.57322929171668668</v>
      </c>
      <c r="K19" s="5" t="s">
        <v>413</v>
      </c>
      <c r="L19" s="28" t="s">
        <v>47</v>
      </c>
      <c r="M19" s="10"/>
      <c r="N19" s="5" t="s">
        <v>414</v>
      </c>
      <c r="O19" s="9" t="s">
        <v>49</v>
      </c>
    </row>
    <row r="20" spans="1:15">
      <c r="A2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VLT-CAL-011-LIL-GG</v>
      </c>
      <c r="B20" s="28" t="s">
        <v>415</v>
      </c>
      <c r="C20" s="9" t="s">
        <v>403</v>
      </c>
      <c r="D20" s="5" t="s">
        <v>404</v>
      </c>
      <c r="E20" s="5" t="s">
        <v>86</v>
      </c>
      <c r="F20" s="5" t="s">
        <v>203</v>
      </c>
      <c r="G20" s="9" t="s">
        <v>61</v>
      </c>
      <c r="H20" s="11">
        <v>249.9</v>
      </c>
      <c r="I20" s="11">
        <v>107.12</v>
      </c>
      <c r="J20" s="12">
        <f>IF(OR(tInverno25[[#This Row],[Preço (R$)]]="",tInverno25[[#This Row],[Custo (R$)]]=""),"",(tInverno25[[#This Row],[Preço (R$)]]-tInverno25[[#This Row],[Custo (R$)]])/tInverno25[[#This Row],[Preço (R$)]])</f>
        <v>0.57134853941576624</v>
      </c>
      <c r="K20" s="5" t="s">
        <v>416</v>
      </c>
      <c r="L20" s="28" t="s">
        <v>47</v>
      </c>
      <c r="M20" s="10"/>
      <c r="N20" s="5" t="s">
        <v>414</v>
      </c>
      <c r="O20" s="9" t="s">
        <v>49</v>
      </c>
    </row>
    <row r="21" spans="1:15">
      <c r="A2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VLT-ACE-008-OLI-U</v>
      </c>
      <c r="B21" s="5" t="s">
        <v>417</v>
      </c>
      <c r="C21" s="9" t="s">
        <v>418</v>
      </c>
      <c r="D21" s="5" t="s">
        <v>419</v>
      </c>
      <c r="E21" s="5" t="s">
        <v>281</v>
      </c>
      <c r="F21" s="5" t="s">
        <v>180</v>
      </c>
      <c r="G21" s="9" t="s">
        <v>282</v>
      </c>
      <c r="H21" s="11">
        <v>149.9</v>
      </c>
      <c r="I21" s="11">
        <v>61.82</v>
      </c>
      <c r="J21" s="12">
        <f>IF(OR(tInverno25[[#This Row],[Preço (R$)]]="",tInverno25[[#This Row],[Custo (R$)]]=""),"",(tInverno25[[#This Row],[Preço (R$)]]-tInverno25[[#This Row],[Custo (R$)]])/tInverno25[[#This Row],[Preço (R$)]])</f>
        <v>0.58759172781854574</v>
      </c>
      <c r="K21" s="5" t="s">
        <v>420</v>
      </c>
      <c r="L21" s="28" t="s">
        <v>79</v>
      </c>
      <c r="M21" s="10"/>
      <c r="N21" s="5" t="s">
        <v>421</v>
      </c>
      <c r="O21" s="9" t="s">
        <v>49</v>
      </c>
    </row>
    <row r="22" spans="1:15">
      <c r="A2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VLT-VES-006-MRR-P</v>
      </c>
      <c r="B22" s="28" t="s">
        <v>422</v>
      </c>
      <c r="C22" s="9" t="s">
        <v>423</v>
      </c>
      <c r="D22" s="5" t="s">
        <v>424</v>
      </c>
      <c r="E22" s="5" t="s">
        <v>107</v>
      </c>
      <c r="F22" s="5" t="s">
        <v>87</v>
      </c>
      <c r="G22" s="9" t="s">
        <v>51</v>
      </c>
      <c r="H22" s="11">
        <v>259.89999999999998</v>
      </c>
      <c r="I22" s="11">
        <v>108.46</v>
      </c>
      <c r="J22" s="12">
        <f>IF(OR(tInverno25[[#This Row],[Preço (R$)]]="",tInverno25[[#This Row],[Custo (R$)]]=""),"",(tInverno25[[#This Row],[Preço (R$)]]-tInverno25[[#This Row],[Custo (R$)]])/tInverno25[[#This Row],[Preço (R$)]])</f>
        <v>0.58268564832627934</v>
      </c>
      <c r="K22" s="28" t="s">
        <v>425</v>
      </c>
      <c r="L22" s="28" t="s">
        <v>109</v>
      </c>
      <c r="M22" s="10"/>
      <c r="N22" s="5" t="s">
        <v>426</v>
      </c>
      <c r="O22" s="9" t="s">
        <v>49</v>
      </c>
    </row>
    <row r="23" spans="1:15">
      <c r="A2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VLT-VES-006-MRR-M</v>
      </c>
      <c r="B23" s="28" t="s">
        <v>427</v>
      </c>
      <c r="C23" s="9" t="s">
        <v>423</v>
      </c>
      <c r="D23" s="5" t="s">
        <v>424</v>
      </c>
      <c r="E23" s="5" t="s">
        <v>107</v>
      </c>
      <c r="F23" s="5" t="s">
        <v>87</v>
      </c>
      <c r="G23" s="9" t="s">
        <v>54</v>
      </c>
      <c r="H23" s="11">
        <v>259.89999999999998</v>
      </c>
      <c r="I23" s="11">
        <v>108.46</v>
      </c>
      <c r="J23" s="12">
        <f>IF(OR(tInverno25[[#This Row],[Preço (R$)]]="",tInverno25[[#This Row],[Custo (R$)]]=""),"",(tInverno25[[#This Row],[Preço (R$)]]-tInverno25[[#This Row],[Custo (R$)]])/tInverno25[[#This Row],[Preço (R$)]])</f>
        <v>0.58268564832627934</v>
      </c>
      <c r="K23" s="28" t="s">
        <v>428</v>
      </c>
      <c r="L23" s="28" t="s">
        <v>109</v>
      </c>
      <c r="M23" s="10"/>
      <c r="N23" s="5" t="s">
        <v>426</v>
      </c>
      <c r="O23" s="9" t="s">
        <v>49</v>
      </c>
    </row>
    <row r="24" spans="1:15">
      <c r="A2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VLT-VES-006-MRR-G</v>
      </c>
      <c r="B24" s="28" t="s">
        <v>429</v>
      </c>
      <c r="C24" s="9" t="s">
        <v>423</v>
      </c>
      <c r="D24" s="5" t="s">
        <v>424</v>
      </c>
      <c r="E24" s="5" t="s">
        <v>107</v>
      </c>
      <c r="F24" s="5" t="s">
        <v>87</v>
      </c>
      <c r="G24" s="9" t="s">
        <v>58</v>
      </c>
      <c r="H24" s="11">
        <v>259.89999999999998</v>
      </c>
      <c r="I24" s="11">
        <v>108.46</v>
      </c>
      <c r="J24" s="12">
        <f>IF(OR(tInverno25[[#This Row],[Preço (R$)]]="",tInverno25[[#This Row],[Custo (R$)]]=""),"",(tInverno25[[#This Row],[Preço (R$)]]-tInverno25[[#This Row],[Custo (R$)]])/tInverno25[[#This Row],[Preço (R$)]])</f>
        <v>0.58268564832627934</v>
      </c>
      <c r="K24" s="28" t="s">
        <v>430</v>
      </c>
      <c r="L24" s="28" t="s">
        <v>109</v>
      </c>
      <c r="M24" s="10"/>
      <c r="N24" s="5" t="s">
        <v>426</v>
      </c>
      <c r="O24" s="9" t="s">
        <v>49</v>
      </c>
    </row>
    <row r="25" spans="1:15">
      <c r="A2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VLT-VES-006-MRR-GG</v>
      </c>
      <c r="B25" s="28" t="s">
        <v>431</v>
      </c>
      <c r="C25" s="9" t="s">
        <v>423</v>
      </c>
      <c r="D25" s="5" t="s">
        <v>424</v>
      </c>
      <c r="E25" s="5" t="s">
        <v>107</v>
      </c>
      <c r="F25" s="5" t="s">
        <v>87</v>
      </c>
      <c r="G25" s="9" t="s">
        <v>61</v>
      </c>
      <c r="H25" s="11">
        <v>259.89999999999998</v>
      </c>
      <c r="I25" s="11">
        <v>108.46</v>
      </c>
      <c r="J25" s="12">
        <f>IF(OR(tInverno25[[#This Row],[Preço (R$)]]="",tInverno25[[#This Row],[Custo (R$)]]=""),"",(tInverno25[[#This Row],[Preço (R$)]]-tInverno25[[#This Row],[Custo (R$)]])/tInverno25[[#This Row],[Preço (R$)]])</f>
        <v>0.58268564832627934</v>
      </c>
      <c r="K25" s="28" t="s">
        <v>432</v>
      </c>
      <c r="L25" s="28" t="s">
        <v>109</v>
      </c>
      <c r="M25" s="10"/>
      <c r="N25" s="5" t="s">
        <v>426</v>
      </c>
      <c r="O25" s="9" t="s">
        <v>49</v>
      </c>
    </row>
    <row r="26" spans="1:15">
      <c r="A2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VLT-VES-006-VIN-P</v>
      </c>
      <c r="B26" s="28" t="s">
        <v>433</v>
      </c>
      <c r="C26" s="9" t="s">
        <v>423</v>
      </c>
      <c r="D26" s="5" t="s">
        <v>424</v>
      </c>
      <c r="E26" s="5" t="s">
        <v>107</v>
      </c>
      <c r="F26" s="5" t="s">
        <v>129</v>
      </c>
      <c r="G26" s="9" t="s">
        <v>51</v>
      </c>
      <c r="H26" s="11">
        <v>259.89999999999998</v>
      </c>
      <c r="I26" s="11">
        <v>107.78</v>
      </c>
      <c r="J26" s="12">
        <f>IF(OR(tInverno25[[#This Row],[Preço (R$)]]="",tInverno25[[#This Row],[Custo (R$)]]=""),"",(tInverno25[[#This Row],[Preço (R$)]]-tInverno25[[#This Row],[Custo (R$)]])/tInverno25[[#This Row],[Preço (R$)]])</f>
        <v>0.58530203924586377</v>
      </c>
      <c r="K26" s="28" t="s">
        <v>434</v>
      </c>
      <c r="L26" s="28" t="s">
        <v>109</v>
      </c>
      <c r="M26" s="10"/>
      <c r="N26" s="5" t="s">
        <v>435</v>
      </c>
      <c r="O26" s="9" t="s">
        <v>49</v>
      </c>
    </row>
    <row r="27" spans="1:15">
      <c r="A2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VLT-VES-006-VIN-M</v>
      </c>
      <c r="B27" s="28" t="s">
        <v>436</v>
      </c>
      <c r="C27" s="9" t="s">
        <v>423</v>
      </c>
      <c r="D27" s="5" t="s">
        <v>424</v>
      </c>
      <c r="E27" s="5" t="s">
        <v>107</v>
      </c>
      <c r="F27" s="5" t="s">
        <v>129</v>
      </c>
      <c r="G27" s="9" t="s">
        <v>54</v>
      </c>
      <c r="H27" s="11">
        <v>259.89999999999998</v>
      </c>
      <c r="I27" s="11">
        <v>107.78</v>
      </c>
      <c r="J27" s="12">
        <f>IF(OR(tInverno25[[#This Row],[Preço (R$)]]="",tInverno25[[#This Row],[Custo (R$)]]=""),"",(tInverno25[[#This Row],[Preço (R$)]]-tInverno25[[#This Row],[Custo (R$)]])/tInverno25[[#This Row],[Preço (R$)]])</f>
        <v>0.58530203924586377</v>
      </c>
      <c r="K27" s="28" t="s">
        <v>437</v>
      </c>
      <c r="L27" s="28" t="s">
        <v>109</v>
      </c>
      <c r="M27" s="10"/>
      <c r="N27" s="5" t="s">
        <v>435</v>
      </c>
      <c r="O27" s="9" t="s">
        <v>49</v>
      </c>
    </row>
    <row r="28" spans="1:15">
      <c r="A2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VLT-VES-006-VIN-G</v>
      </c>
      <c r="B28" s="28" t="s">
        <v>438</v>
      </c>
      <c r="C28" s="9" t="s">
        <v>423</v>
      </c>
      <c r="D28" s="5" t="s">
        <v>424</v>
      </c>
      <c r="E28" s="5" t="s">
        <v>107</v>
      </c>
      <c r="F28" s="5" t="s">
        <v>129</v>
      </c>
      <c r="G28" s="9" t="s">
        <v>58</v>
      </c>
      <c r="H28" s="11">
        <v>259.89999999999998</v>
      </c>
      <c r="I28" s="11">
        <v>107.78</v>
      </c>
      <c r="J28" s="12">
        <f>IF(OR(tInverno25[[#This Row],[Preço (R$)]]="",tInverno25[[#This Row],[Custo (R$)]]=""),"",(tInverno25[[#This Row],[Preço (R$)]]-tInverno25[[#This Row],[Custo (R$)]])/tInverno25[[#This Row],[Preço (R$)]])</f>
        <v>0.58530203924586377</v>
      </c>
      <c r="K28" s="28" t="s">
        <v>439</v>
      </c>
      <c r="L28" s="28" t="s">
        <v>109</v>
      </c>
      <c r="M28" s="10"/>
      <c r="N28" s="5" t="s">
        <v>435</v>
      </c>
      <c r="O28" s="9" t="s">
        <v>49</v>
      </c>
    </row>
    <row r="29" spans="1:15">
      <c r="A2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VLT-VES-006-VIN-GG</v>
      </c>
      <c r="B29" s="28" t="s">
        <v>440</v>
      </c>
      <c r="C29" s="9" t="s">
        <v>423</v>
      </c>
      <c r="D29" s="5" t="s">
        <v>424</v>
      </c>
      <c r="E29" s="5" t="s">
        <v>107</v>
      </c>
      <c r="F29" s="5" t="s">
        <v>129</v>
      </c>
      <c r="G29" s="9" t="s">
        <v>61</v>
      </c>
      <c r="H29" s="11">
        <v>259.89999999999998</v>
      </c>
      <c r="I29" s="11">
        <v>107.78</v>
      </c>
      <c r="J29" s="12">
        <f>IF(OR(tInverno25[[#This Row],[Preço (R$)]]="",tInverno25[[#This Row],[Custo (R$)]]=""),"",(tInverno25[[#This Row],[Preço (R$)]]-tInverno25[[#This Row],[Custo (R$)]])/tInverno25[[#This Row],[Preço (R$)]])</f>
        <v>0.58530203924586377</v>
      </c>
      <c r="K29" s="28" t="s">
        <v>441</v>
      </c>
      <c r="L29" s="28" t="s">
        <v>109</v>
      </c>
      <c r="M29" s="10"/>
      <c r="N29" s="5" t="s">
        <v>435</v>
      </c>
      <c r="O29" s="9" t="s">
        <v>49</v>
      </c>
    </row>
    <row r="30" spans="1:15">
      <c r="A3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VLT-TRI-005-OLI-P</v>
      </c>
      <c r="B30" s="28" t="s">
        <v>442</v>
      </c>
      <c r="C30" s="9" t="s">
        <v>443</v>
      </c>
      <c r="D30" s="5" t="s">
        <v>444</v>
      </c>
      <c r="E30" s="5" t="s">
        <v>445</v>
      </c>
      <c r="F30" s="5" t="s">
        <v>180</v>
      </c>
      <c r="G30" s="9" t="s">
        <v>51</v>
      </c>
      <c r="H30" s="11">
        <v>219.9</v>
      </c>
      <c r="I30" s="11">
        <v>84.29</v>
      </c>
      <c r="J30" s="12">
        <f>IF(OR(tInverno25[[#This Row],[Preço (R$)]]="",tInverno25[[#This Row],[Custo (R$)]]=""),"",(tInverno25[[#This Row],[Preço (R$)]]-tInverno25[[#This Row],[Custo (R$)]])/tInverno25[[#This Row],[Preço (R$)]])</f>
        <v>0.61668940427467034</v>
      </c>
      <c r="K30" s="5" t="s">
        <v>446</v>
      </c>
      <c r="L30" s="28" t="s">
        <v>101</v>
      </c>
      <c r="M30" s="10"/>
      <c r="N30" s="5" t="s">
        <v>447</v>
      </c>
      <c r="O30" s="9" t="s">
        <v>49</v>
      </c>
    </row>
    <row r="31" spans="1:15">
      <c r="A3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VLT-TRI-005-OLI-M</v>
      </c>
      <c r="B31" s="28" t="s">
        <v>448</v>
      </c>
      <c r="C31" s="9" t="s">
        <v>443</v>
      </c>
      <c r="D31" s="5" t="s">
        <v>444</v>
      </c>
      <c r="E31" s="5" t="s">
        <v>445</v>
      </c>
      <c r="F31" s="5" t="s">
        <v>180</v>
      </c>
      <c r="G31" s="9" t="s">
        <v>54</v>
      </c>
      <c r="H31" s="11">
        <v>219.9</v>
      </c>
      <c r="I31" s="11">
        <v>85.58</v>
      </c>
      <c r="J31" s="12">
        <f>IF(OR(tInverno25[[#This Row],[Preço (R$)]]="",tInverno25[[#This Row],[Custo (R$)]]=""),"",(tInverno25[[#This Row],[Preço (R$)]]-tInverno25[[#This Row],[Custo (R$)]])/tInverno25[[#This Row],[Preço (R$)]])</f>
        <v>0.61082310140973162</v>
      </c>
      <c r="K31" s="5" t="s">
        <v>449</v>
      </c>
      <c r="L31" s="28" t="s">
        <v>101</v>
      </c>
      <c r="M31" s="10"/>
      <c r="N31" s="5" t="s">
        <v>450</v>
      </c>
      <c r="O31" s="9" t="s">
        <v>49</v>
      </c>
    </row>
    <row r="32" spans="1:15">
      <c r="A3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VLT-TRI-005-OLI-G</v>
      </c>
      <c r="B32" s="28" t="s">
        <v>451</v>
      </c>
      <c r="C32" s="9" t="s">
        <v>443</v>
      </c>
      <c r="D32" s="5" t="s">
        <v>444</v>
      </c>
      <c r="E32" s="5" t="s">
        <v>445</v>
      </c>
      <c r="F32" s="5" t="s">
        <v>180</v>
      </c>
      <c r="G32" s="9" t="s">
        <v>58</v>
      </c>
      <c r="H32" s="11">
        <v>219.9</v>
      </c>
      <c r="I32" s="11">
        <v>83.28</v>
      </c>
      <c r="J32" s="12">
        <f>IF(OR(tInverno25[[#This Row],[Preço (R$)]]="",tInverno25[[#This Row],[Custo (R$)]]=""),"",(tInverno25[[#This Row],[Preço (R$)]]-tInverno25[[#This Row],[Custo (R$)]])/tInverno25[[#This Row],[Preço (R$)]])</f>
        <v>0.6212824010914052</v>
      </c>
      <c r="K32" s="5" t="s">
        <v>452</v>
      </c>
      <c r="L32" s="28" t="s">
        <v>101</v>
      </c>
      <c r="M32" s="10"/>
      <c r="N32" s="5" t="s">
        <v>450</v>
      </c>
      <c r="O32" s="9" t="s">
        <v>49</v>
      </c>
    </row>
    <row r="33" spans="1:15">
      <c r="A3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VLT-TRI-005-OLI-GG</v>
      </c>
      <c r="B33" s="28" t="s">
        <v>453</v>
      </c>
      <c r="C33" s="9" t="s">
        <v>443</v>
      </c>
      <c r="D33" s="5" t="s">
        <v>444</v>
      </c>
      <c r="E33" s="5" t="s">
        <v>445</v>
      </c>
      <c r="F33" s="5" t="s">
        <v>180</v>
      </c>
      <c r="G33" s="9" t="s">
        <v>61</v>
      </c>
      <c r="H33" s="11">
        <v>219.9</v>
      </c>
      <c r="I33" s="11">
        <v>85.03</v>
      </c>
      <c r="J33" s="12">
        <f>IF(OR(tInverno25[[#This Row],[Preço (R$)]]="",tInverno25[[#This Row],[Custo (R$)]]=""),"",(tInverno25[[#This Row],[Preço (R$)]]-tInverno25[[#This Row],[Custo (R$)]])/tInverno25[[#This Row],[Preço (R$)]])</f>
        <v>0.61332423829013183</v>
      </c>
      <c r="K33" s="5" t="s">
        <v>454</v>
      </c>
      <c r="L33" s="28" t="s">
        <v>101</v>
      </c>
      <c r="M33" s="10"/>
      <c r="N33" s="5" t="s">
        <v>450</v>
      </c>
      <c r="O33" s="9" t="s">
        <v>49</v>
      </c>
    </row>
    <row r="34" spans="1:15">
      <c r="A3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VLT-CAM-013-OLI-XP</v>
      </c>
      <c r="B34" s="28" t="s">
        <v>455</v>
      </c>
      <c r="C34" s="9" t="s">
        <v>456</v>
      </c>
      <c r="D34" s="5" t="s">
        <v>457</v>
      </c>
      <c r="E34" s="5" t="s">
        <v>128</v>
      </c>
      <c r="F34" s="5" t="s">
        <v>180</v>
      </c>
      <c r="G34" s="9" t="s">
        <v>45</v>
      </c>
      <c r="H34" s="11">
        <v>99.9</v>
      </c>
      <c r="I34" s="11">
        <v>45.33</v>
      </c>
      <c r="J34" s="12">
        <f>IF(OR(tInverno25[[#This Row],[Preço (R$)]]="",tInverno25[[#This Row],[Custo (R$)]]=""),"",(tInverno25[[#This Row],[Preço (R$)]]-tInverno25[[#This Row],[Custo (R$)]])/tInverno25[[#This Row],[Preço (R$)]])</f>
        <v>0.54624624624624629</v>
      </c>
      <c r="K34" s="28" t="s">
        <v>458</v>
      </c>
      <c r="L34" s="28" t="s">
        <v>101</v>
      </c>
      <c r="M34" s="10"/>
      <c r="N34" s="5" t="s">
        <v>435</v>
      </c>
      <c r="O34" s="9" t="s">
        <v>49</v>
      </c>
    </row>
    <row r="35" spans="1:15">
      <c r="A3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VLT-CAM-013-OLI-P</v>
      </c>
      <c r="B35" s="28" t="s">
        <v>459</v>
      </c>
      <c r="C35" s="9" t="s">
        <v>456</v>
      </c>
      <c r="D35" s="5" t="s">
        <v>457</v>
      </c>
      <c r="E35" s="5" t="s">
        <v>128</v>
      </c>
      <c r="F35" s="5" t="s">
        <v>180</v>
      </c>
      <c r="G35" s="9" t="s">
        <v>51</v>
      </c>
      <c r="H35" s="11">
        <v>99.9</v>
      </c>
      <c r="I35" s="11">
        <v>45.33</v>
      </c>
      <c r="J35" s="12">
        <f>IF(OR(tInverno25[[#This Row],[Preço (R$)]]="",tInverno25[[#This Row],[Custo (R$)]]=""),"",(tInverno25[[#This Row],[Preço (R$)]]-tInverno25[[#This Row],[Custo (R$)]])/tInverno25[[#This Row],[Preço (R$)]])</f>
        <v>0.54624624624624629</v>
      </c>
      <c r="K35" s="28" t="s">
        <v>460</v>
      </c>
      <c r="L35" s="28" t="s">
        <v>101</v>
      </c>
      <c r="M35" s="10"/>
      <c r="N35" s="5" t="s">
        <v>435</v>
      </c>
      <c r="O35" s="9" t="s">
        <v>49</v>
      </c>
    </row>
    <row r="36" spans="1:15">
      <c r="A3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VLT-CAM-013-OLI-M</v>
      </c>
      <c r="B36" s="28" t="s">
        <v>461</v>
      </c>
      <c r="C36" s="9" t="s">
        <v>456</v>
      </c>
      <c r="D36" s="5" t="s">
        <v>457</v>
      </c>
      <c r="E36" s="5" t="s">
        <v>128</v>
      </c>
      <c r="F36" s="5" t="s">
        <v>180</v>
      </c>
      <c r="G36" s="9" t="s">
        <v>54</v>
      </c>
      <c r="H36" s="11">
        <v>99.9</v>
      </c>
      <c r="I36" s="11">
        <v>45.33</v>
      </c>
      <c r="J36" s="12">
        <f>IF(OR(tInverno25[[#This Row],[Preço (R$)]]="",tInverno25[[#This Row],[Custo (R$)]]=""),"",(tInverno25[[#This Row],[Preço (R$)]]-tInverno25[[#This Row],[Custo (R$)]])/tInverno25[[#This Row],[Preço (R$)]])</f>
        <v>0.54624624624624629</v>
      </c>
      <c r="K36" s="28" t="s">
        <v>462</v>
      </c>
      <c r="L36" s="28" t="s">
        <v>101</v>
      </c>
      <c r="M36" s="10"/>
      <c r="N36" s="5" t="s">
        <v>435</v>
      </c>
      <c r="O36" s="9" t="s">
        <v>49</v>
      </c>
    </row>
    <row r="37" spans="1:15">
      <c r="A3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VLT-CAM-013-OLI-G</v>
      </c>
      <c r="B37" s="28" t="s">
        <v>463</v>
      </c>
      <c r="C37" s="9" t="s">
        <v>456</v>
      </c>
      <c r="D37" s="5" t="s">
        <v>457</v>
      </c>
      <c r="E37" s="5" t="s">
        <v>128</v>
      </c>
      <c r="F37" s="5" t="s">
        <v>180</v>
      </c>
      <c r="G37" s="9" t="s">
        <v>58</v>
      </c>
      <c r="H37" s="11">
        <v>99.9</v>
      </c>
      <c r="I37" s="11">
        <v>45.33</v>
      </c>
      <c r="J37" s="12">
        <f>IF(OR(tInverno25[[#This Row],[Preço (R$)]]="",tInverno25[[#This Row],[Custo (R$)]]=""),"",(tInverno25[[#This Row],[Preço (R$)]]-tInverno25[[#This Row],[Custo (R$)]])/tInverno25[[#This Row],[Preço (R$)]])</f>
        <v>0.54624624624624629</v>
      </c>
      <c r="K37" s="28" t="s">
        <v>464</v>
      </c>
      <c r="L37" s="28" t="s">
        <v>101</v>
      </c>
      <c r="M37" s="10"/>
      <c r="N37" s="5" t="s">
        <v>435</v>
      </c>
      <c r="O37" s="9" t="s">
        <v>49</v>
      </c>
    </row>
    <row r="38" spans="1:15">
      <c r="A3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VLT-CAM-013-OLI-GG</v>
      </c>
      <c r="B38" s="28" t="s">
        <v>465</v>
      </c>
      <c r="C38" s="9" t="s">
        <v>456</v>
      </c>
      <c r="D38" s="5" t="s">
        <v>457</v>
      </c>
      <c r="E38" s="5" t="s">
        <v>128</v>
      </c>
      <c r="F38" s="5" t="s">
        <v>180</v>
      </c>
      <c r="G38" s="9" t="s">
        <v>61</v>
      </c>
      <c r="H38" s="11">
        <v>99.9</v>
      </c>
      <c r="I38" s="11">
        <v>45.33</v>
      </c>
      <c r="J38" s="12">
        <f>IF(OR(tInverno25[[#This Row],[Preço (R$)]]="",tInverno25[[#This Row],[Custo (R$)]]=""),"",(tInverno25[[#This Row],[Preço (R$)]]-tInverno25[[#This Row],[Custo (R$)]])/tInverno25[[#This Row],[Preço (R$)]])</f>
        <v>0.54624624624624629</v>
      </c>
      <c r="K38" s="28" t="s">
        <v>466</v>
      </c>
      <c r="L38" s="28" t="s">
        <v>101</v>
      </c>
      <c r="M38" s="10"/>
      <c r="N38" s="5" t="s">
        <v>435</v>
      </c>
      <c r="O38" s="9" t="s">
        <v>49</v>
      </c>
    </row>
    <row r="39" spans="1:15">
      <c r="A3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VLT-CAM-014-LIL-P</v>
      </c>
      <c r="B39" s="5" t="s">
        <v>64</v>
      </c>
      <c r="C39" s="9" t="s">
        <v>467</v>
      </c>
      <c r="D39" s="5" t="s">
        <v>468</v>
      </c>
      <c r="E39" s="5" t="s">
        <v>128</v>
      </c>
      <c r="F39" s="5" t="s">
        <v>203</v>
      </c>
      <c r="G39" s="9" t="s">
        <v>51</v>
      </c>
      <c r="H39" s="11">
        <v>149.9</v>
      </c>
      <c r="I39" s="11"/>
      <c r="J39" s="12" t="str">
        <f>IF(OR(tInverno25[[#This Row],[Preço (R$)]]="",tInverno25[[#This Row],[Custo (R$)]]=""),"",(tInverno25[[#This Row],[Preço (R$)]]-tInverno25[[#This Row],[Custo (R$)]])/tInverno25[[#This Row],[Preço (R$)]])</f>
        <v/>
      </c>
      <c r="K39" s="5" t="s">
        <v>469</v>
      </c>
      <c r="L39" s="28" t="s">
        <v>101</v>
      </c>
      <c r="M39" s="10"/>
      <c r="N39" s="5" t="s">
        <v>470</v>
      </c>
      <c r="O39" s="9" t="s">
        <v>71</v>
      </c>
    </row>
    <row r="40" spans="1:15">
      <c r="A4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VLT-CAM-014-LIL-M</v>
      </c>
      <c r="B40" s="5" t="s">
        <v>64</v>
      </c>
      <c r="C40" s="9" t="s">
        <v>467</v>
      </c>
      <c r="D40" s="5" t="s">
        <v>468</v>
      </c>
      <c r="E40" s="5" t="s">
        <v>128</v>
      </c>
      <c r="F40" s="5" t="s">
        <v>203</v>
      </c>
      <c r="G40" s="9" t="s">
        <v>54</v>
      </c>
      <c r="H40" s="11">
        <v>149.9</v>
      </c>
      <c r="I40" s="11">
        <v>60.02</v>
      </c>
      <c r="J40" s="12">
        <f>IF(OR(tInverno25[[#This Row],[Preço (R$)]]="",tInverno25[[#This Row],[Custo (R$)]]=""),"",(tInverno25[[#This Row],[Preço (R$)]]-tInverno25[[#This Row],[Custo (R$)]])/tInverno25[[#This Row],[Preço (R$)]])</f>
        <v>0.59959973315543691</v>
      </c>
      <c r="K40" s="5" t="s">
        <v>471</v>
      </c>
      <c r="L40" s="28" t="s">
        <v>101</v>
      </c>
      <c r="M40" s="10"/>
      <c r="N40" s="5" t="s">
        <v>470</v>
      </c>
      <c r="O40" s="9" t="s">
        <v>71</v>
      </c>
    </row>
    <row r="41" spans="1:15">
      <c r="A4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VLT-CAM-014-LIL-G</v>
      </c>
      <c r="B41" s="5" t="s">
        <v>64</v>
      </c>
      <c r="C41" s="9" t="s">
        <v>467</v>
      </c>
      <c r="D41" s="5" t="s">
        <v>468</v>
      </c>
      <c r="E41" s="5" t="s">
        <v>128</v>
      </c>
      <c r="F41" s="5" t="s">
        <v>203</v>
      </c>
      <c r="G41" s="9" t="s">
        <v>58</v>
      </c>
      <c r="H41" s="11">
        <v>149.9</v>
      </c>
      <c r="I41" s="11"/>
      <c r="J41" s="12" t="str">
        <f>IF(OR(tInverno25[[#This Row],[Preço (R$)]]="",tInverno25[[#This Row],[Custo (R$)]]=""),"",(tInverno25[[#This Row],[Preço (R$)]]-tInverno25[[#This Row],[Custo (R$)]])/tInverno25[[#This Row],[Preço (R$)]])</f>
        <v/>
      </c>
      <c r="K41" s="5" t="s">
        <v>472</v>
      </c>
      <c r="L41" s="28" t="s">
        <v>101</v>
      </c>
      <c r="M41" s="10"/>
      <c r="N41" s="5" t="s">
        <v>470</v>
      </c>
      <c r="O41" s="9" t="s">
        <v>71</v>
      </c>
    </row>
    <row r="42" spans="1:15">
      <c r="A4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VLT-CAM-014-CIN-P</v>
      </c>
      <c r="B42" s="5" t="s">
        <v>64</v>
      </c>
      <c r="C42" s="9" t="s">
        <v>467</v>
      </c>
      <c r="D42" s="5" t="s">
        <v>468</v>
      </c>
      <c r="E42" s="5" t="s">
        <v>128</v>
      </c>
      <c r="F42" s="5" t="s">
        <v>164</v>
      </c>
      <c r="G42" s="9" t="s">
        <v>51</v>
      </c>
      <c r="H42" s="11">
        <v>149.9</v>
      </c>
      <c r="I42" s="11">
        <v>63.33</v>
      </c>
      <c r="J42" s="12">
        <f>IF(OR(tInverno25[[#This Row],[Preço (R$)]]="",tInverno25[[#This Row],[Custo (R$)]]=""),"",(tInverno25[[#This Row],[Preço (R$)]]-tInverno25[[#This Row],[Custo (R$)]])/tInverno25[[#This Row],[Preço (R$)]])</f>
        <v>0.57751834556370918</v>
      </c>
      <c r="K42" s="5" t="s">
        <v>473</v>
      </c>
      <c r="L42" s="28" t="s">
        <v>101</v>
      </c>
      <c r="M42" s="10"/>
      <c r="N42" s="5" t="s">
        <v>470</v>
      </c>
      <c r="O42" s="9" t="s">
        <v>71</v>
      </c>
    </row>
    <row r="43" spans="1:15">
      <c r="A4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VLT-CAM-014-CIN-M</v>
      </c>
      <c r="B43" s="5" t="s">
        <v>64</v>
      </c>
      <c r="C43" s="9" t="s">
        <v>467</v>
      </c>
      <c r="D43" s="5" t="s">
        <v>468</v>
      </c>
      <c r="E43" s="5" t="s">
        <v>128</v>
      </c>
      <c r="F43" s="5" t="s">
        <v>164</v>
      </c>
      <c r="G43" s="9" t="s">
        <v>54</v>
      </c>
      <c r="H43" s="11">
        <v>149.9</v>
      </c>
      <c r="I43" s="11">
        <v>62.67</v>
      </c>
      <c r="J43" s="12">
        <f>IF(OR(tInverno25[[#This Row],[Preço (R$)]]="",tInverno25[[#This Row],[Custo (R$)]]=""),"",(tInverno25[[#This Row],[Preço (R$)]]-tInverno25[[#This Row],[Custo (R$)]])/tInverno25[[#This Row],[Preço (R$)]])</f>
        <v>0.5819212808539026</v>
      </c>
      <c r="K43" s="5" t="s">
        <v>474</v>
      </c>
      <c r="L43" s="28" t="s">
        <v>101</v>
      </c>
      <c r="M43" s="10"/>
      <c r="N43" s="5" t="s">
        <v>475</v>
      </c>
      <c r="O43" s="9" t="s">
        <v>71</v>
      </c>
    </row>
    <row r="44" spans="1:15">
      <c r="A4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VLT-CAM-014-CIN-G</v>
      </c>
      <c r="B44" s="5" t="s">
        <v>64</v>
      </c>
      <c r="C44" s="9" t="s">
        <v>467</v>
      </c>
      <c r="D44" s="5" t="s">
        <v>468</v>
      </c>
      <c r="E44" s="5" t="s">
        <v>128</v>
      </c>
      <c r="F44" s="5" t="s">
        <v>164</v>
      </c>
      <c r="G44" s="9" t="s">
        <v>58</v>
      </c>
      <c r="H44" s="11">
        <v>149.9</v>
      </c>
      <c r="I44" s="11">
        <v>60.97</v>
      </c>
      <c r="J44" s="12">
        <f>IF(OR(tInverno25[[#This Row],[Preço (R$)]]="",tInverno25[[#This Row],[Custo (R$)]]=""),"",(tInverno25[[#This Row],[Preço (R$)]]-tInverno25[[#This Row],[Custo (R$)]])/tInverno25[[#This Row],[Preço (R$)]])</f>
        <v>0.59326217478318877</v>
      </c>
      <c r="K44" s="5" t="s">
        <v>476</v>
      </c>
      <c r="L44" s="28" t="s">
        <v>101</v>
      </c>
      <c r="M44" s="10"/>
      <c r="N44" s="5" t="s">
        <v>470</v>
      </c>
      <c r="O44" s="9" t="s">
        <v>71</v>
      </c>
    </row>
    <row r="45" spans="1:15">
      <c r="A4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VLT-SAI-006-PRE-XP</v>
      </c>
      <c r="B45" s="5" t="s">
        <v>477</v>
      </c>
      <c r="C45" s="9" t="s">
        <v>478</v>
      </c>
      <c r="D45" s="5" t="s">
        <v>479</v>
      </c>
      <c r="E45" s="5" t="s">
        <v>116</v>
      </c>
      <c r="F45" s="5" t="s">
        <v>251</v>
      </c>
      <c r="G45" s="9" t="s">
        <v>45</v>
      </c>
      <c r="H45" s="11">
        <v>179.9</v>
      </c>
      <c r="I45" s="11">
        <v>64.36</v>
      </c>
      <c r="J45" s="12">
        <f>IF(OR(tInverno25[[#This Row],[Preço (R$)]]="",tInverno25[[#This Row],[Custo (R$)]]=""),"",(tInverno25[[#This Row],[Preço (R$)]]-tInverno25[[#This Row],[Custo (R$)]])/tInverno25[[#This Row],[Preço (R$)]])</f>
        <v>0.64224569205113957</v>
      </c>
      <c r="K45" s="5" t="s">
        <v>480</v>
      </c>
      <c r="L45" s="28" t="s">
        <v>70</v>
      </c>
      <c r="M45" s="10"/>
      <c r="N45" s="5" t="s">
        <v>481</v>
      </c>
      <c r="O45" s="9" t="s">
        <v>49</v>
      </c>
    </row>
    <row r="46" spans="1:15">
      <c r="A4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VLT-SAI-006-PRE-P</v>
      </c>
      <c r="B46" s="5" t="s">
        <v>482</v>
      </c>
      <c r="C46" s="9" t="s">
        <v>478</v>
      </c>
      <c r="D46" s="5" t="s">
        <v>479</v>
      </c>
      <c r="E46" s="5" t="s">
        <v>116</v>
      </c>
      <c r="F46" s="5" t="s">
        <v>251</v>
      </c>
      <c r="G46" s="9" t="s">
        <v>51</v>
      </c>
      <c r="H46" s="11">
        <v>179.9</v>
      </c>
      <c r="I46" s="11">
        <v>64.36</v>
      </c>
      <c r="J46" s="12">
        <f>IF(OR(tInverno25[[#This Row],[Preço (R$)]]="",tInverno25[[#This Row],[Custo (R$)]]=""),"",(tInverno25[[#This Row],[Preço (R$)]]-tInverno25[[#This Row],[Custo (R$)]])/tInverno25[[#This Row],[Preço (R$)]])</f>
        <v>0.64224569205113957</v>
      </c>
      <c r="K46" s="5" t="s">
        <v>483</v>
      </c>
      <c r="L46" s="28" t="s">
        <v>70</v>
      </c>
      <c r="M46" s="10"/>
      <c r="N46" s="5" t="s">
        <v>481</v>
      </c>
      <c r="O46" s="9" t="s">
        <v>49</v>
      </c>
    </row>
    <row r="47" spans="1:15">
      <c r="A4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VLT-SAI-006-PRE-M</v>
      </c>
      <c r="B47" s="5" t="s">
        <v>484</v>
      </c>
      <c r="C47" s="9" t="s">
        <v>478</v>
      </c>
      <c r="D47" s="5" t="s">
        <v>479</v>
      </c>
      <c r="E47" s="5" t="s">
        <v>116</v>
      </c>
      <c r="F47" s="5" t="s">
        <v>251</v>
      </c>
      <c r="G47" s="9" t="s">
        <v>54</v>
      </c>
      <c r="H47" s="11">
        <v>179.9</v>
      </c>
      <c r="I47" s="11">
        <v>64.36</v>
      </c>
      <c r="J47" s="12">
        <f>IF(OR(tInverno25[[#This Row],[Preço (R$)]]="",tInverno25[[#This Row],[Custo (R$)]]=""),"",(tInverno25[[#This Row],[Preço (R$)]]-tInverno25[[#This Row],[Custo (R$)]])/tInverno25[[#This Row],[Preço (R$)]])</f>
        <v>0.64224569205113957</v>
      </c>
      <c r="K47" s="5" t="s">
        <v>485</v>
      </c>
      <c r="L47" s="28" t="s">
        <v>70</v>
      </c>
      <c r="M47" s="10"/>
      <c r="N47" s="5" t="s">
        <v>481</v>
      </c>
      <c r="O47" s="9" t="s">
        <v>49</v>
      </c>
    </row>
    <row r="48" spans="1:15">
      <c r="A4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VLT-SAI-006-PRE-G</v>
      </c>
      <c r="B48" s="5" t="s">
        <v>486</v>
      </c>
      <c r="C48" s="9" t="s">
        <v>478</v>
      </c>
      <c r="D48" s="5" t="s">
        <v>479</v>
      </c>
      <c r="E48" s="5" t="s">
        <v>116</v>
      </c>
      <c r="F48" s="5" t="s">
        <v>251</v>
      </c>
      <c r="G48" s="9" t="s">
        <v>58</v>
      </c>
      <c r="H48" s="11">
        <v>179.9</v>
      </c>
      <c r="I48" s="11">
        <v>64.36</v>
      </c>
      <c r="J48" s="12">
        <f>IF(OR(tInverno25[[#This Row],[Preço (R$)]]="",tInverno25[[#This Row],[Custo (R$)]]=""),"",(tInverno25[[#This Row],[Preço (R$)]]-tInverno25[[#This Row],[Custo (R$)]])/tInverno25[[#This Row],[Preço (R$)]])</f>
        <v>0.64224569205113957</v>
      </c>
      <c r="K48" s="5" t="s">
        <v>487</v>
      </c>
      <c r="L48" s="28" t="s">
        <v>70</v>
      </c>
      <c r="M48" s="10"/>
      <c r="N48" s="5" t="s">
        <v>481</v>
      </c>
      <c r="O48" s="9" t="s">
        <v>49</v>
      </c>
    </row>
    <row r="49" spans="1:15">
      <c r="A4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VLT-SAI-006-PRE-GG</v>
      </c>
      <c r="B49" s="5" t="s">
        <v>488</v>
      </c>
      <c r="C49" s="9" t="s">
        <v>478</v>
      </c>
      <c r="D49" s="5" t="s">
        <v>479</v>
      </c>
      <c r="E49" s="5" t="s">
        <v>116</v>
      </c>
      <c r="F49" s="5" t="s">
        <v>251</v>
      </c>
      <c r="G49" s="9" t="s">
        <v>61</v>
      </c>
      <c r="H49" s="11">
        <v>179.9</v>
      </c>
      <c r="I49" s="11">
        <v>64.36</v>
      </c>
      <c r="J49" s="12">
        <f>IF(OR(tInverno25[[#This Row],[Preço (R$)]]="",tInverno25[[#This Row],[Custo (R$)]]=""),"",(tInverno25[[#This Row],[Preço (R$)]]-tInverno25[[#This Row],[Custo (R$)]])/tInverno25[[#This Row],[Preço (R$)]])</f>
        <v>0.64224569205113957</v>
      </c>
      <c r="K49" s="5" t="s">
        <v>489</v>
      </c>
      <c r="L49" s="28" t="s">
        <v>70</v>
      </c>
      <c r="M49" s="10"/>
      <c r="N49" s="5" t="s">
        <v>481</v>
      </c>
      <c r="O49" s="9" t="s">
        <v>49</v>
      </c>
    </row>
    <row r="50" spans="1:15">
      <c r="A5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VLT-TRI-006-BEG-P</v>
      </c>
      <c r="B50" s="5" t="s">
        <v>64</v>
      </c>
      <c r="C50" s="9" t="s">
        <v>490</v>
      </c>
      <c r="D50" s="5" t="s">
        <v>491</v>
      </c>
      <c r="E50" s="5" t="s">
        <v>445</v>
      </c>
      <c r="F50" s="5" t="s">
        <v>299</v>
      </c>
      <c r="G50" s="9" t="s">
        <v>51</v>
      </c>
      <c r="H50" s="11">
        <v>259.89999999999998</v>
      </c>
      <c r="I50" s="11">
        <v>98.06</v>
      </c>
      <c r="J50" s="12">
        <f>IF(OR(tInverno25[[#This Row],[Preço (R$)]]="",tInverno25[[#This Row],[Custo (R$)]]=""),"",(tInverno25[[#This Row],[Preço (R$)]]-tInverno25[[#This Row],[Custo (R$)]])/tInverno25[[#This Row],[Preço (R$)]])</f>
        <v>0.6227010388611004</v>
      </c>
      <c r="K50" s="5" t="s">
        <v>492</v>
      </c>
      <c r="L50" s="28" t="s">
        <v>101</v>
      </c>
      <c r="M50" s="10"/>
      <c r="N50" s="5" t="s">
        <v>493</v>
      </c>
      <c r="O50" s="9" t="s">
        <v>71</v>
      </c>
    </row>
    <row r="51" spans="1:15">
      <c r="A5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VLT-TRI-006-BEG-M</v>
      </c>
      <c r="B51" s="5" t="s">
        <v>64</v>
      </c>
      <c r="C51" s="9" t="s">
        <v>490</v>
      </c>
      <c r="D51" s="5" t="s">
        <v>491</v>
      </c>
      <c r="E51" s="5" t="s">
        <v>445</v>
      </c>
      <c r="F51" s="5" t="s">
        <v>299</v>
      </c>
      <c r="G51" s="9" t="s">
        <v>54</v>
      </c>
      <c r="H51" s="11">
        <v>259.89999999999998</v>
      </c>
      <c r="I51" s="11">
        <v>97.38</v>
      </c>
      <c r="J51" s="12">
        <f>IF(OR(tInverno25[[#This Row],[Preço (R$)]]="",tInverno25[[#This Row],[Custo (R$)]]=""),"",(tInverno25[[#This Row],[Preço (R$)]]-tInverno25[[#This Row],[Custo (R$)]])/tInverno25[[#This Row],[Preço (R$)]])</f>
        <v>0.62531742978068483</v>
      </c>
      <c r="K51" s="5" t="s">
        <v>494</v>
      </c>
      <c r="L51" s="28" t="s">
        <v>101</v>
      </c>
      <c r="M51" s="10"/>
      <c r="N51" s="5" t="s">
        <v>495</v>
      </c>
      <c r="O51" s="9" t="s">
        <v>71</v>
      </c>
    </row>
    <row r="52" spans="1:15">
      <c r="A5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VLT-TRI-006-BEG-G</v>
      </c>
      <c r="B52" s="5" t="s">
        <v>64</v>
      </c>
      <c r="C52" s="9" t="s">
        <v>490</v>
      </c>
      <c r="D52" s="5" t="s">
        <v>491</v>
      </c>
      <c r="E52" s="5" t="s">
        <v>445</v>
      </c>
      <c r="F52" s="5" t="s">
        <v>299</v>
      </c>
      <c r="G52" s="9" t="s">
        <v>58</v>
      </c>
      <c r="H52" s="11">
        <v>259.89999999999998</v>
      </c>
      <c r="I52" s="11">
        <v>96.61</v>
      </c>
      <c r="J52" s="12">
        <f>IF(OR(tInverno25[[#This Row],[Preço (R$)]]="",tInverno25[[#This Row],[Custo (R$)]]=""),"",(tInverno25[[#This Row],[Preço (R$)]]-tInverno25[[#This Row],[Custo (R$)]])/tInverno25[[#This Row],[Preço (R$)]])</f>
        <v>0.62828010773374365</v>
      </c>
      <c r="K52" s="5" t="s">
        <v>496</v>
      </c>
      <c r="L52" s="28" t="s">
        <v>101</v>
      </c>
      <c r="M52" s="10"/>
      <c r="N52" s="5" t="s">
        <v>497</v>
      </c>
      <c r="O52" s="9" t="s">
        <v>71</v>
      </c>
    </row>
    <row r="53" spans="1:15">
      <c r="A5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VLT-TRI-006-BEG-GG</v>
      </c>
      <c r="B53" s="5" t="s">
        <v>64</v>
      </c>
      <c r="C53" s="9" t="s">
        <v>490</v>
      </c>
      <c r="D53" s="5" t="s">
        <v>491</v>
      </c>
      <c r="E53" s="5" t="s">
        <v>445</v>
      </c>
      <c r="F53" s="5" t="s">
        <v>299</v>
      </c>
      <c r="G53" s="9" t="s">
        <v>61</v>
      </c>
      <c r="H53" s="11">
        <v>259.89999999999998</v>
      </c>
      <c r="I53" s="11">
        <v>95.48</v>
      </c>
      <c r="J53" s="12">
        <f>IF(OR(tInverno25[[#This Row],[Preço (R$)]]="",tInverno25[[#This Row],[Custo (R$)]]=""),"",(tInverno25[[#This Row],[Preço (R$)]]-tInverno25[[#This Row],[Custo (R$)]])/tInverno25[[#This Row],[Preço (R$)]])</f>
        <v>0.63262793382070015</v>
      </c>
      <c r="K53" s="5" t="s">
        <v>498</v>
      </c>
      <c r="L53" s="28" t="s">
        <v>101</v>
      </c>
      <c r="M53" s="10"/>
      <c r="N53" s="5" t="s">
        <v>493</v>
      </c>
      <c r="O53" s="9" t="s">
        <v>71</v>
      </c>
    </row>
    <row r="54" spans="1:15">
      <c r="A5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VLT-CAL-012-PRE-P</v>
      </c>
      <c r="B54" s="28" t="s">
        <v>499</v>
      </c>
      <c r="C54" s="9" t="s">
        <v>500</v>
      </c>
      <c r="D54" s="5" t="s">
        <v>501</v>
      </c>
      <c r="E54" s="5" t="s">
        <v>86</v>
      </c>
      <c r="F54" s="5" t="s">
        <v>251</v>
      </c>
      <c r="G54" s="9" t="s">
        <v>51</v>
      </c>
      <c r="H54" s="11">
        <v>189.9</v>
      </c>
      <c r="I54" s="11">
        <v>77.92</v>
      </c>
      <c r="J54" s="12">
        <f>IF(OR(tInverno25[[#This Row],[Preço (R$)]]="",tInverno25[[#This Row],[Custo (R$)]]=""),"",(tInverno25[[#This Row],[Preço (R$)]]-tInverno25[[#This Row],[Custo (R$)]])/tInverno25[[#This Row],[Preço (R$)]])</f>
        <v>0.58967877830437077</v>
      </c>
      <c r="K54" s="5" t="s">
        <v>502</v>
      </c>
      <c r="L54" s="28" t="s">
        <v>47</v>
      </c>
      <c r="M54" s="10"/>
      <c r="N54" s="5" t="s">
        <v>370</v>
      </c>
      <c r="O54" s="9" t="s">
        <v>49</v>
      </c>
    </row>
    <row r="55" spans="1:15">
      <c r="A5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VLT-CAL-012-PRE-M</v>
      </c>
      <c r="B55" s="28" t="s">
        <v>503</v>
      </c>
      <c r="C55" s="9" t="s">
        <v>500</v>
      </c>
      <c r="D55" s="5" t="s">
        <v>501</v>
      </c>
      <c r="E55" s="5" t="s">
        <v>86</v>
      </c>
      <c r="F55" s="5" t="s">
        <v>251</v>
      </c>
      <c r="G55" s="9" t="s">
        <v>54</v>
      </c>
      <c r="H55" s="11">
        <v>189.9</v>
      </c>
      <c r="I55" s="11">
        <v>79.11</v>
      </c>
      <c r="J55" s="12">
        <f>IF(OR(tInverno25[[#This Row],[Preço (R$)]]="",tInverno25[[#This Row],[Custo (R$)]]=""),"",(tInverno25[[#This Row],[Preço (R$)]]-tInverno25[[#This Row],[Custo (R$)]])/tInverno25[[#This Row],[Preço (R$)]])</f>
        <v>0.58341232227488149</v>
      </c>
      <c r="K55" s="5" t="s">
        <v>504</v>
      </c>
      <c r="L55" s="28" t="s">
        <v>47</v>
      </c>
      <c r="M55" s="10"/>
      <c r="N55" s="5" t="s">
        <v>370</v>
      </c>
      <c r="O55" s="9" t="s">
        <v>49</v>
      </c>
    </row>
    <row r="56" spans="1:15">
      <c r="A5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VLT-CAL-012-PRE-G</v>
      </c>
      <c r="B56" s="28" t="s">
        <v>505</v>
      </c>
      <c r="C56" s="9" t="s">
        <v>500</v>
      </c>
      <c r="D56" s="5" t="s">
        <v>501</v>
      </c>
      <c r="E56" s="5" t="s">
        <v>86</v>
      </c>
      <c r="F56" s="5" t="s">
        <v>251</v>
      </c>
      <c r="G56" s="9" t="s">
        <v>58</v>
      </c>
      <c r="H56" s="11">
        <v>189.9</v>
      </c>
      <c r="I56" s="27">
        <v>79.11</v>
      </c>
      <c r="J56" s="12">
        <f>IF(OR(tInverno25[[#This Row],[Preço (R$)]]="",tInverno25[[#This Row],[Custo (R$)]]=""),"",(tInverno25[[#This Row],[Preço (R$)]]-tInverno25[[#This Row],[Custo (R$)]])/tInverno25[[#This Row],[Preço (R$)]])</f>
        <v>0.58341232227488149</v>
      </c>
      <c r="K56" s="5" t="s">
        <v>506</v>
      </c>
      <c r="L56" s="28" t="s">
        <v>47</v>
      </c>
      <c r="M56" s="10"/>
      <c r="N56" s="5" t="s">
        <v>507</v>
      </c>
      <c r="O56" s="9" t="s">
        <v>49</v>
      </c>
    </row>
    <row r="57" spans="1:15">
      <c r="A5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VLT-CAL-012-PRE-GG</v>
      </c>
      <c r="B57" s="28" t="s">
        <v>508</v>
      </c>
      <c r="C57" s="9" t="s">
        <v>500</v>
      </c>
      <c r="D57" s="5" t="s">
        <v>501</v>
      </c>
      <c r="E57" s="5" t="s">
        <v>86</v>
      </c>
      <c r="F57" s="5" t="s">
        <v>251</v>
      </c>
      <c r="G57" s="9" t="s">
        <v>61</v>
      </c>
      <c r="H57" s="11">
        <v>189.9</v>
      </c>
      <c r="I57" s="27">
        <v>79.11</v>
      </c>
      <c r="J57" s="12">
        <f>IF(OR(tInverno25[[#This Row],[Preço (R$)]]="",tInverno25[[#This Row],[Custo (R$)]]=""),"",(tInverno25[[#This Row],[Preço (R$)]]-tInverno25[[#This Row],[Custo (R$)]])/tInverno25[[#This Row],[Preço (R$)]])</f>
        <v>0.58341232227488149</v>
      </c>
      <c r="K57" s="5" t="s">
        <v>509</v>
      </c>
      <c r="L57" s="28" t="s">
        <v>47</v>
      </c>
      <c r="M57" s="10"/>
      <c r="N57" s="5" t="s">
        <v>507</v>
      </c>
      <c r="O57" s="9" t="s">
        <v>49</v>
      </c>
    </row>
    <row r="58" spans="1:15">
      <c r="A5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VLT-TRI-007-LIL-XP</v>
      </c>
      <c r="B58" s="5" t="s">
        <v>510</v>
      </c>
      <c r="C58" s="9" t="s">
        <v>511</v>
      </c>
      <c r="D58" s="5" t="s">
        <v>512</v>
      </c>
      <c r="E58" s="5" t="s">
        <v>445</v>
      </c>
      <c r="F58" s="5" t="s">
        <v>203</v>
      </c>
      <c r="G58" s="9" t="s">
        <v>45</v>
      </c>
      <c r="H58" s="11">
        <v>319.89999999999998</v>
      </c>
      <c r="I58" s="27">
        <v>137.65</v>
      </c>
      <c r="J58" s="12">
        <f>IF(OR(tInverno25[[#This Row],[Preço (R$)]]="",tInverno25[[#This Row],[Custo (R$)]]=""),"",(tInverno25[[#This Row],[Preço (R$)]]-tInverno25[[#This Row],[Custo (R$)]])/tInverno25[[#This Row],[Preço (R$)]])</f>
        <v>0.56970928415129718</v>
      </c>
      <c r="K58" s="5" t="s">
        <v>513</v>
      </c>
      <c r="L58" s="28" t="s">
        <v>101</v>
      </c>
      <c r="M58" s="10"/>
      <c r="N58" s="5" t="s">
        <v>514</v>
      </c>
      <c r="O58" s="9" t="s">
        <v>49</v>
      </c>
    </row>
    <row r="59" spans="1:15">
      <c r="A5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VLT-TRI-007-LIL-P</v>
      </c>
      <c r="B59" s="5" t="s">
        <v>515</v>
      </c>
      <c r="C59" s="9" t="s">
        <v>511</v>
      </c>
      <c r="D59" s="5" t="s">
        <v>512</v>
      </c>
      <c r="E59" s="5" t="s">
        <v>445</v>
      </c>
      <c r="F59" s="5" t="s">
        <v>203</v>
      </c>
      <c r="G59" s="9" t="s">
        <v>51</v>
      </c>
      <c r="H59" s="11">
        <v>319.89999999999998</v>
      </c>
      <c r="I59" s="27">
        <v>132.22</v>
      </c>
      <c r="J59" s="12">
        <f>IF(OR(tInverno25[[#This Row],[Preço (R$)]]="",tInverno25[[#This Row],[Custo (R$)]]=""),"",(tInverno25[[#This Row],[Preço (R$)]]-tInverno25[[#This Row],[Custo (R$)]])/tInverno25[[#This Row],[Preço (R$)]])</f>
        <v>0.5866833385432948</v>
      </c>
      <c r="K59" s="5" t="s">
        <v>516</v>
      </c>
      <c r="L59" s="28" t="s">
        <v>101</v>
      </c>
      <c r="M59" s="10"/>
      <c r="N59" s="5" t="s">
        <v>514</v>
      </c>
      <c r="O59" s="9" t="s">
        <v>49</v>
      </c>
    </row>
    <row r="60" spans="1:15">
      <c r="A6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VLT-TRI-007-LIL-M</v>
      </c>
      <c r="B60" s="5" t="s">
        <v>517</v>
      </c>
      <c r="C60" s="9" t="s">
        <v>511</v>
      </c>
      <c r="D60" s="5" t="s">
        <v>512</v>
      </c>
      <c r="E60" s="5" t="s">
        <v>445</v>
      </c>
      <c r="F60" s="5" t="s">
        <v>203</v>
      </c>
      <c r="G60" s="9" t="s">
        <v>54</v>
      </c>
      <c r="H60" s="11">
        <v>319.89999999999998</v>
      </c>
      <c r="I60" s="27">
        <v>132.22</v>
      </c>
      <c r="J60" s="12">
        <f>IF(OR(tInverno25[[#This Row],[Preço (R$)]]="",tInverno25[[#This Row],[Custo (R$)]]=""),"",(tInverno25[[#This Row],[Preço (R$)]]-tInverno25[[#This Row],[Custo (R$)]])/tInverno25[[#This Row],[Preço (R$)]])</f>
        <v>0.5866833385432948</v>
      </c>
      <c r="K60" s="5" t="s">
        <v>518</v>
      </c>
      <c r="L60" s="28" t="s">
        <v>101</v>
      </c>
      <c r="M60" s="10"/>
      <c r="N60" s="5" t="s">
        <v>519</v>
      </c>
      <c r="O60" s="9" t="s">
        <v>49</v>
      </c>
    </row>
    <row r="61" spans="1:15">
      <c r="A6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VLT-TRI-007-LIL-G</v>
      </c>
      <c r="B61" s="5" t="s">
        <v>520</v>
      </c>
      <c r="C61" s="9" t="s">
        <v>511</v>
      </c>
      <c r="D61" s="5" t="s">
        <v>512</v>
      </c>
      <c r="E61" s="5" t="s">
        <v>445</v>
      </c>
      <c r="F61" s="5" t="s">
        <v>203</v>
      </c>
      <c r="G61" s="9" t="s">
        <v>58</v>
      </c>
      <c r="H61" s="11">
        <v>319.89999999999998</v>
      </c>
      <c r="I61" s="27">
        <v>131.01</v>
      </c>
      <c r="J61" s="12">
        <f>IF(OR(tInverno25[[#This Row],[Preço (R$)]]="",tInverno25[[#This Row],[Custo (R$)]]=""),"",(tInverno25[[#This Row],[Preço (R$)]]-tInverno25[[#This Row],[Custo (R$)]])/tInverno25[[#This Row],[Preço (R$)]])</f>
        <v>0.59046577055329785</v>
      </c>
      <c r="K61" s="5" t="s">
        <v>521</v>
      </c>
      <c r="L61" s="28" t="s">
        <v>101</v>
      </c>
      <c r="M61" s="10"/>
      <c r="N61" s="5" t="s">
        <v>514</v>
      </c>
      <c r="O61" s="9" t="s">
        <v>49</v>
      </c>
    </row>
    <row r="62" spans="1:15">
      <c r="A6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VLT-TRI-007-LIL-GG</v>
      </c>
      <c r="B62" s="5" t="s">
        <v>522</v>
      </c>
      <c r="C62" s="9" t="s">
        <v>511</v>
      </c>
      <c r="D62" s="5" t="s">
        <v>512</v>
      </c>
      <c r="E62" s="5" t="s">
        <v>445</v>
      </c>
      <c r="F62" s="5" t="s">
        <v>203</v>
      </c>
      <c r="G62" s="9" t="s">
        <v>61</v>
      </c>
      <c r="H62" s="11">
        <v>319.89999999999998</v>
      </c>
      <c r="I62" s="27">
        <v>137.07</v>
      </c>
      <c r="J62" s="12">
        <f>IF(OR(tInverno25[[#This Row],[Preço (R$)]]="",tInverno25[[#This Row],[Custo (R$)]]=""),"",(tInverno25[[#This Row],[Preço (R$)]]-tInverno25[[#This Row],[Custo (R$)]])/tInverno25[[#This Row],[Preço (R$)]])</f>
        <v>0.57152235073460456</v>
      </c>
      <c r="K62" s="5" t="s">
        <v>523</v>
      </c>
      <c r="L62" s="28" t="s">
        <v>101</v>
      </c>
      <c r="M62" s="10"/>
      <c r="N62" s="5" t="s">
        <v>514</v>
      </c>
      <c r="O62" s="9" t="s">
        <v>49</v>
      </c>
    </row>
    <row r="63" spans="1:15">
      <c r="A6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VLT-BER-006-LIL-XP</v>
      </c>
      <c r="B63" s="28" t="s">
        <v>524</v>
      </c>
      <c r="C63" s="9" t="s">
        <v>525</v>
      </c>
      <c r="D63" s="5" t="s">
        <v>526</v>
      </c>
      <c r="E63" s="5" t="s">
        <v>43</v>
      </c>
      <c r="F63" s="5" t="s">
        <v>203</v>
      </c>
      <c r="G63" s="9" t="s">
        <v>45</v>
      </c>
      <c r="H63" s="11">
        <v>179.9</v>
      </c>
      <c r="I63" s="11">
        <v>66.45</v>
      </c>
      <c r="J63" s="12">
        <f>IF(OR(tInverno25[[#This Row],[Preço (R$)]]="",tInverno25[[#This Row],[Custo (R$)]]=""),"",(tInverno25[[#This Row],[Preço (R$)]]-tInverno25[[#This Row],[Custo (R$)]])/tInverno25[[#This Row],[Preço (R$)]])</f>
        <v>0.63062812673707613</v>
      </c>
      <c r="K63" s="5" t="s">
        <v>527</v>
      </c>
      <c r="L63" s="28" t="s">
        <v>109</v>
      </c>
      <c r="M63" s="10"/>
      <c r="N63" s="5" t="s">
        <v>528</v>
      </c>
      <c r="O63" s="9" t="s">
        <v>49</v>
      </c>
    </row>
    <row r="64" spans="1:15">
      <c r="A6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VLT-BER-006-LIL-P</v>
      </c>
      <c r="B64" s="28" t="s">
        <v>529</v>
      </c>
      <c r="C64" s="9" t="s">
        <v>525</v>
      </c>
      <c r="D64" s="5" t="s">
        <v>526</v>
      </c>
      <c r="E64" s="5" t="s">
        <v>43</v>
      </c>
      <c r="F64" s="5" t="s">
        <v>203</v>
      </c>
      <c r="G64" s="9" t="s">
        <v>51</v>
      </c>
      <c r="H64" s="11">
        <v>179.9</v>
      </c>
      <c r="I64" s="11">
        <v>65.08</v>
      </c>
      <c r="J64" s="12">
        <f>IF(OR(tInverno25[[#This Row],[Preço (R$)]]="",tInverno25[[#This Row],[Custo (R$)]]=""),"",(tInverno25[[#This Row],[Preço (R$)]]-tInverno25[[#This Row],[Custo (R$)]])/tInverno25[[#This Row],[Preço (R$)]])</f>
        <v>0.63824346859366321</v>
      </c>
      <c r="K64" s="5" t="s">
        <v>530</v>
      </c>
      <c r="L64" s="28" t="s">
        <v>109</v>
      </c>
      <c r="M64" s="10"/>
      <c r="N64" s="5" t="s">
        <v>531</v>
      </c>
      <c r="O64" s="9" t="s">
        <v>49</v>
      </c>
    </row>
    <row r="65" spans="1:15">
      <c r="A6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VLT-BER-006-LIL-M</v>
      </c>
      <c r="B65" s="28" t="s">
        <v>532</v>
      </c>
      <c r="C65" s="9" t="s">
        <v>525</v>
      </c>
      <c r="D65" s="5" t="s">
        <v>526</v>
      </c>
      <c r="E65" s="5" t="s">
        <v>43</v>
      </c>
      <c r="F65" s="5" t="s">
        <v>203</v>
      </c>
      <c r="G65" s="9" t="s">
        <v>54</v>
      </c>
      <c r="H65" s="11">
        <v>179.9</v>
      </c>
      <c r="I65" s="11">
        <v>63.93</v>
      </c>
      <c r="J65" s="12">
        <f>IF(OR(tInverno25[[#This Row],[Preço (R$)]]="",tInverno25[[#This Row],[Custo (R$)]]=""),"",(tInverno25[[#This Row],[Preço (R$)]]-tInverno25[[#This Row],[Custo (R$)]])/tInverno25[[#This Row],[Preço (R$)]])</f>
        <v>0.6446359088382434</v>
      </c>
      <c r="K65" s="5" t="s">
        <v>533</v>
      </c>
      <c r="L65" s="28" t="s">
        <v>109</v>
      </c>
      <c r="M65" s="10"/>
      <c r="N65" s="5" t="s">
        <v>528</v>
      </c>
      <c r="O65" s="9" t="s">
        <v>49</v>
      </c>
    </row>
    <row r="66" spans="1:15">
      <c r="A6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VLT-BER-006-LIL-G</v>
      </c>
      <c r="B66" s="28" t="s">
        <v>534</v>
      </c>
      <c r="C66" s="9" t="s">
        <v>525</v>
      </c>
      <c r="D66" s="5" t="s">
        <v>526</v>
      </c>
      <c r="E66" s="5" t="s">
        <v>43</v>
      </c>
      <c r="F66" s="5" t="s">
        <v>203</v>
      </c>
      <c r="G66" s="9" t="s">
        <v>58</v>
      </c>
      <c r="H66" s="11">
        <v>179.9</v>
      </c>
      <c r="I66" s="27">
        <v>63.93</v>
      </c>
      <c r="J66" s="12">
        <f>IF(OR(tInverno25[[#This Row],[Preço (R$)]]="",tInverno25[[#This Row],[Custo (R$)]]=""),"",(tInverno25[[#This Row],[Preço (R$)]]-tInverno25[[#This Row],[Custo (R$)]])/tInverno25[[#This Row],[Preço (R$)]])</f>
        <v>0.6446359088382434</v>
      </c>
      <c r="K66" s="5" t="s">
        <v>535</v>
      </c>
      <c r="L66" s="28" t="s">
        <v>109</v>
      </c>
      <c r="M66" s="10"/>
      <c r="N66" s="5" t="s">
        <v>536</v>
      </c>
      <c r="O66" s="9" t="s">
        <v>49</v>
      </c>
    </row>
    <row r="67" spans="1:15">
      <c r="A6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VLT-BER-006-LIL-GG</v>
      </c>
      <c r="B67" s="28" t="s">
        <v>537</v>
      </c>
      <c r="C67" s="9" t="s">
        <v>525</v>
      </c>
      <c r="D67" s="5" t="s">
        <v>526</v>
      </c>
      <c r="E67" s="5" t="s">
        <v>43</v>
      </c>
      <c r="F67" s="5" t="s">
        <v>203</v>
      </c>
      <c r="G67" s="9" t="s">
        <v>61</v>
      </c>
      <c r="H67" s="11">
        <v>179.9</v>
      </c>
      <c r="I67" s="27">
        <v>63.93</v>
      </c>
      <c r="J67" s="12">
        <f>IF(OR(tInverno25[[#This Row],[Preço (R$)]]="",tInverno25[[#This Row],[Custo (R$)]]=""),"",(tInverno25[[#This Row],[Preço (R$)]]-tInverno25[[#This Row],[Custo (R$)]])/tInverno25[[#This Row],[Preço (R$)]])</f>
        <v>0.6446359088382434</v>
      </c>
      <c r="K67" s="5" t="s">
        <v>538</v>
      </c>
      <c r="L67" s="28" t="s">
        <v>109</v>
      </c>
      <c r="M67" s="10"/>
      <c r="N67" s="5" t="s">
        <v>539</v>
      </c>
      <c r="O67" s="9" t="s">
        <v>49</v>
      </c>
    </row>
    <row r="68" spans="1:15">
      <c r="A6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VLT-CAL-013-MRR-XP</v>
      </c>
      <c r="B68" s="5" t="s">
        <v>64</v>
      </c>
      <c r="C68" s="9" t="s">
        <v>540</v>
      </c>
      <c r="D68" s="5" t="s">
        <v>541</v>
      </c>
      <c r="E68" s="5" t="s">
        <v>86</v>
      </c>
      <c r="F68" s="5" t="s">
        <v>87</v>
      </c>
      <c r="G68" s="9" t="s">
        <v>45</v>
      </c>
      <c r="H68" s="11">
        <v>189.9</v>
      </c>
      <c r="I68" s="11">
        <v>91.39</v>
      </c>
      <c r="J68" s="12">
        <f>IF(OR(tInverno25[[#This Row],[Preço (R$)]]="",tInverno25[[#This Row],[Custo (R$)]]=""),"",(tInverno25[[#This Row],[Preço (R$)]]-tInverno25[[#This Row],[Custo (R$)]])/tInverno25[[#This Row],[Preço (R$)]])</f>
        <v>0.51874670879410212</v>
      </c>
      <c r="K68" s="5" t="s">
        <v>64</v>
      </c>
      <c r="L68" s="28" t="s">
        <v>47</v>
      </c>
      <c r="M68" s="10"/>
      <c r="N68" s="5" t="s">
        <v>542</v>
      </c>
      <c r="O68" s="9" t="s">
        <v>71</v>
      </c>
    </row>
    <row r="69" spans="1:15">
      <c r="A6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VLT-CAL-013-MRR-P</v>
      </c>
      <c r="B69" s="5" t="s">
        <v>64</v>
      </c>
      <c r="C69" s="9" t="s">
        <v>540</v>
      </c>
      <c r="D69" s="5" t="s">
        <v>541</v>
      </c>
      <c r="E69" s="5" t="s">
        <v>86</v>
      </c>
      <c r="F69" s="5" t="s">
        <v>87</v>
      </c>
      <c r="G69" s="9" t="s">
        <v>51</v>
      </c>
      <c r="H69" s="11">
        <v>189.9</v>
      </c>
      <c r="I69" s="11">
        <v>91.39</v>
      </c>
      <c r="J69" s="12">
        <f>IF(OR(tInverno25[[#This Row],[Preço (R$)]]="",tInverno25[[#This Row],[Custo (R$)]]=""),"",(tInverno25[[#This Row],[Preço (R$)]]-tInverno25[[#This Row],[Custo (R$)]])/tInverno25[[#This Row],[Preço (R$)]])</f>
        <v>0.51874670879410212</v>
      </c>
      <c r="K69" s="5" t="s">
        <v>64</v>
      </c>
      <c r="L69" s="28" t="s">
        <v>47</v>
      </c>
      <c r="M69" s="10"/>
      <c r="N69" s="5" t="s">
        <v>542</v>
      </c>
      <c r="O69" s="9" t="s">
        <v>71</v>
      </c>
    </row>
    <row r="70" spans="1:15">
      <c r="A7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VLT-CAL-013-MRR-M</v>
      </c>
      <c r="B70" s="5" t="s">
        <v>64</v>
      </c>
      <c r="C70" s="9" t="s">
        <v>540</v>
      </c>
      <c r="D70" s="5" t="s">
        <v>541</v>
      </c>
      <c r="E70" s="5" t="s">
        <v>86</v>
      </c>
      <c r="F70" s="5" t="s">
        <v>87</v>
      </c>
      <c r="G70" s="9" t="s">
        <v>54</v>
      </c>
      <c r="H70" s="11">
        <v>189.9</v>
      </c>
      <c r="I70" s="11">
        <v>91.39</v>
      </c>
      <c r="J70" s="12">
        <f>IF(OR(tInverno25[[#This Row],[Preço (R$)]]="",tInverno25[[#This Row],[Custo (R$)]]=""),"",(tInverno25[[#This Row],[Preço (R$)]]-tInverno25[[#This Row],[Custo (R$)]])/tInverno25[[#This Row],[Preço (R$)]])</f>
        <v>0.51874670879410212</v>
      </c>
      <c r="K70" s="5" t="s">
        <v>64</v>
      </c>
      <c r="L70" s="28" t="s">
        <v>47</v>
      </c>
      <c r="M70" s="10"/>
      <c r="N70" s="5" t="s">
        <v>542</v>
      </c>
      <c r="O70" s="9" t="s">
        <v>71</v>
      </c>
    </row>
    <row r="71" spans="1:15">
      <c r="A7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VLT-CAL-013-MRR-G</v>
      </c>
      <c r="B71" s="5" t="s">
        <v>64</v>
      </c>
      <c r="C71" s="9" t="s">
        <v>540</v>
      </c>
      <c r="D71" s="5" t="s">
        <v>541</v>
      </c>
      <c r="E71" s="5" t="s">
        <v>86</v>
      </c>
      <c r="F71" s="5" t="s">
        <v>87</v>
      </c>
      <c r="G71" s="9" t="s">
        <v>58</v>
      </c>
      <c r="H71" s="11">
        <v>189.9</v>
      </c>
      <c r="I71" s="11">
        <v>91.39</v>
      </c>
      <c r="J71" s="12">
        <f>IF(OR(tInverno25[[#This Row],[Preço (R$)]]="",tInverno25[[#This Row],[Custo (R$)]]=""),"",(tInverno25[[#This Row],[Preço (R$)]]-tInverno25[[#This Row],[Custo (R$)]])/tInverno25[[#This Row],[Preço (R$)]])</f>
        <v>0.51874670879410212</v>
      </c>
      <c r="K71" s="5" t="s">
        <v>64</v>
      </c>
      <c r="L71" s="28" t="s">
        <v>47</v>
      </c>
      <c r="M71" s="10"/>
      <c r="N71" s="5" t="s">
        <v>542</v>
      </c>
      <c r="O71" s="9" t="s">
        <v>71</v>
      </c>
    </row>
    <row r="72" spans="1:15">
      <c r="A7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VLT-CAL-013-MRR-GG</v>
      </c>
      <c r="B72" s="5" t="s">
        <v>64</v>
      </c>
      <c r="C72" s="9" t="s">
        <v>540</v>
      </c>
      <c r="D72" s="5" t="s">
        <v>541</v>
      </c>
      <c r="E72" s="5" t="s">
        <v>86</v>
      </c>
      <c r="F72" s="5" t="s">
        <v>87</v>
      </c>
      <c r="G72" s="9" t="s">
        <v>61</v>
      </c>
      <c r="H72" s="11">
        <v>189.9</v>
      </c>
      <c r="I72" s="11">
        <v>91.39</v>
      </c>
      <c r="J72" s="12">
        <f>IF(OR(tInverno25[[#This Row],[Preço (R$)]]="",tInverno25[[#This Row],[Custo (R$)]]=""),"",(tInverno25[[#This Row],[Preço (R$)]]-tInverno25[[#This Row],[Custo (R$)]])/tInverno25[[#This Row],[Preço (R$)]])</f>
        <v>0.51874670879410212</v>
      </c>
      <c r="K72" s="5" t="s">
        <v>64</v>
      </c>
      <c r="L72" s="28" t="s">
        <v>47</v>
      </c>
      <c r="M72" s="10"/>
      <c r="N72" s="5" t="s">
        <v>542</v>
      </c>
      <c r="O72" s="9" t="s">
        <v>71</v>
      </c>
    </row>
    <row r="73" spans="1:15">
      <c r="A7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VLT-VES-007-OLI-P</v>
      </c>
      <c r="B73" s="5" t="s">
        <v>543</v>
      </c>
      <c r="C73" s="9" t="s">
        <v>544</v>
      </c>
      <c r="D73" s="5" t="s">
        <v>545</v>
      </c>
      <c r="E73" s="5" t="s">
        <v>107</v>
      </c>
      <c r="F73" s="5" t="s">
        <v>180</v>
      </c>
      <c r="G73" s="9" t="s">
        <v>51</v>
      </c>
      <c r="H73" s="11">
        <v>359.9</v>
      </c>
      <c r="I73" s="11">
        <v>163.03</v>
      </c>
      <c r="J73" s="12">
        <f>IF(OR(tInverno25[[#This Row],[Preço (R$)]]="",tInverno25[[#This Row],[Custo (R$)]]=""),"",(tInverno25[[#This Row],[Preço (R$)]]-tInverno25[[#This Row],[Custo (R$)]])/tInverno25[[#This Row],[Preço (R$)]])</f>
        <v>0.54701305918310639</v>
      </c>
      <c r="K73" s="5" t="s">
        <v>546</v>
      </c>
      <c r="L73" s="28" t="s">
        <v>109</v>
      </c>
      <c r="M73" s="10"/>
      <c r="N73" s="5" t="s">
        <v>421</v>
      </c>
      <c r="O73" s="9" t="s">
        <v>49</v>
      </c>
    </row>
    <row r="74" spans="1:15">
      <c r="A7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VLT-VES-007-OLI-M</v>
      </c>
      <c r="B74" s="5" t="s">
        <v>547</v>
      </c>
      <c r="C74" s="9" t="s">
        <v>544</v>
      </c>
      <c r="D74" s="5" t="s">
        <v>545</v>
      </c>
      <c r="E74" s="5" t="s">
        <v>107</v>
      </c>
      <c r="F74" s="5" t="s">
        <v>180</v>
      </c>
      <c r="G74" s="9" t="s">
        <v>54</v>
      </c>
      <c r="H74" s="11">
        <v>359.9</v>
      </c>
      <c r="I74" s="27">
        <v>163.03</v>
      </c>
      <c r="J74" s="12">
        <f>IF(OR(tInverno25[[#This Row],[Preço (R$)]]="",tInverno25[[#This Row],[Custo (R$)]]=""),"",(tInverno25[[#This Row],[Preço (R$)]]-tInverno25[[#This Row],[Custo (R$)]])/tInverno25[[#This Row],[Preço (R$)]])</f>
        <v>0.54701305918310639</v>
      </c>
      <c r="K74" s="5" t="s">
        <v>548</v>
      </c>
      <c r="L74" s="28" t="s">
        <v>109</v>
      </c>
      <c r="M74" s="10"/>
      <c r="N74" s="5" t="s">
        <v>549</v>
      </c>
      <c r="O74" s="9" t="s">
        <v>49</v>
      </c>
    </row>
    <row r="75" spans="1:15">
      <c r="A7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VLT-VES-007-OLI-G</v>
      </c>
      <c r="B75" s="5" t="s">
        <v>550</v>
      </c>
      <c r="C75" s="9" t="s">
        <v>544</v>
      </c>
      <c r="D75" s="5" t="s">
        <v>545</v>
      </c>
      <c r="E75" s="5" t="s">
        <v>107</v>
      </c>
      <c r="F75" s="5" t="s">
        <v>180</v>
      </c>
      <c r="G75" s="9" t="s">
        <v>58</v>
      </c>
      <c r="H75" s="11">
        <v>359.9</v>
      </c>
      <c r="I75" s="27">
        <v>157.91999999999999</v>
      </c>
      <c r="J75" s="12">
        <f>IF(OR(tInverno25[[#This Row],[Preço (R$)]]="",tInverno25[[#This Row],[Custo (R$)]]=""),"",(tInverno25[[#This Row],[Preço (R$)]]-tInverno25[[#This Row],[Custo (R$)]])/tInverno25[[#This Row],[Preço (R$)]])</f>
        <v>0.56121144762434005</v>
      </c>
      <c r="K75" s="5" t="s">
        <v>551</v>
      </c>
      <c r="L75" s="28" t="s">
        <v>109</v>
      </c>
      <c r="M75" s="10"/>
      <c r="N75" s="5" t="s">
        <v>552</v>
      </c>
      <c r="O75" s="9" t="s">
        <v>49</v>
      </c>
    </row>
    <row r="76" spans="1:15">
      <c r="A7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VLT-VES-007-OLI-GG</v>
      </c>
      <c r="B76" s="5" t="s">
        <v>553</v>
      </c>
      <c r="C76" s="9" t="s">
        <v>544</v>
      </c>
      <c r="D76" s="5" t="s">
        <v>545</v>
      </c>
      <c r="E76" s="5" t="s">
        <v>107</v>
      </c>
      <c r="F76" s="5" t="s">
        <v>180</v>
      </c>
      <c r="G76" s="9" t="s">
        <v>61</v>
      </c>
      <c r="H76" s="11">
        <v>359.9</v>
      </c>
      <c r="I76" s="11">
        <v>157.91999999999999</v>
      </c>
      <c r="J76" s="12">
        <f>IF(OR(tInverno25[[#This Row],[Preço (R$)]]="",tInverno25[[#This Row],[Custo (R$)]]=""),"",(tInverno25[[#This Row],[Preço (R$)]]-tInverno25[[#This Row],[Custo (R$)]])/tInverno25[[#This Row],[Preço (R$)]])</f>
        <v>0.56121144762434005</v>
      </c>
      <c r="K76" s="5" t="s">
        <v>554</v>
      </c>
      <c r="L76" s="28" t="s">
        <v>109</v>
      </c>
      <c r="M76" s="10"/>
      <c r="N76" s="5" t="s">
        <v>555</v>
      </c>
      <c r="O76" s="9" t="s">
        <v>49</v>
      </c>
    </row>
    <row r="77" spans="1:15">
      <c r="A7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VLT-TRI-008-LIL-P</v>
      </c>
      <c r="B77" s="28" t="s">
        <v>556</v>
      </c>
      <c r="C77" s="9" t="s">
        <v>557</v>
      </c>
      <c r="D77" s="5" t="s">
        <v>558</v>
      </c>
      <c r="E77" s="5" t="s">
        <v>445</v>
      </c>
      <c r="F77" s="5" t="s">
        <v>203</v>
      </c>
      <c r="G77" s="9" t="s">
        <v>51</v>
      </c>
      <c r="H77" s="11">
        <v>259.89999999999998</v>
      </c>
      <c r="I77" s="11">
        <v>122.71</v>
      </c>
      <c r="J77" s="12">
        <f>IF(OR(tInverno25[[#This Row],[Preço (R$)]]="",tInverno25[[#This Row],[Custo (R$)]]=""),"",(tInverno25[[#This Row],[Preço (R$)]]-tInverno25[[#This Row],[Custo (R$)]])/tInverno25[[#This Row],[Preço (R$)]])</f>
        <v>0.52785686802616394</v>
      </c>
      <c r="K77" s="5" t="s">
        <v>559</v>
      </c>
      <c r="L77" s="28" t="s">
        <v>101</v>
      </c>
      <c r="M77" s="10"/>
      <c r="N77" s="5" t="s">
        <v>560</v>
      </c>
      <c r="O77" s="9" t="s">
        <v>49</v>
      </c>
    </row>
    <row r="78" spans="1:15">
      <c r="A7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VLT-TRI-008-LIL-M</v>
      </c>
      <c r="B78" s="28" t="s">
        <v>561</v>
      </c>
      <c r="C78" s="9" t="s">
        <v>557</v>
      </c>
      <c r="D78" s="5" t="s">
        <v>558</v>
      </c>
      <c r="E78" s="5" t="s">
        <v>445</v>
      </c>
      <c r="F78" s="5" t="s">
        <v>203</v>
      </c>
      <c r="G78" s="9" t="s">
        <v>54</v>
      </c>
      <c r="H78" s="11">
        <v>259.89999999999998</v>
      </c>
      <c r="I78" s="11">
        <v>127.01</v>
      </c>
      <c r="J78" s="12">
        <f>IF(OR(tInverno25[[#This Row],[Preço (R$)]]="",tInverno25[[#This Row],[Custo (R$)]]=""),"",(tInverno25[[#This Row],[Preço (R$)]]-tInverno25[[#This Row],[Custo (R$)]])/tInverno25[[#This Row],[Preço (R$)]])</f>
        <v>0.51131204309349754</v>
      </c>
      <c r="K78" s="5" t="s">
        <v>562</v>
      </c>
      <c r="L78" s="28" t="s">
        <v>101</v>
      </c>
      <c r="M78" s="10"/>
      <c r="N78" s="5" t="s">
        <v>563</v>
      </c>
      <c r="O78" s="9" t="s">
        <v>49</v>
      </c>
    </row>
    <row r="79" spans="1:15">
      <c r="A7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VLT-TRI-008-LIL-G</v>
      </c>
      <c r="B79" s="28" t="s">
        <v>564</v>
      </c>
      <c r="C79" s="9" t="s">
        <v>557</v>
      </c>
      <c r="D79" s="5" t="s">
        <v>558</v>
      </c>
      <c r="E79" s="5" t="s">
        <v>445</v>
      </c>
      <c r="F79" s="5" t="s">
        <v>203</v>
      </c>
      <c r="G79" s="9" t="s">
        <v>58</v>
      </c>
      <c r="H79" s="11">
        <v>259.89999999999998</v>
      </c>
      <c r="I79" s="11">
        <v>127.58</v>
      </c>
      <c r="J79" s="12">
        <f>IF(OR(tInverno25[[#This Row],[Preço (R$)]]="",tInverno25[[#This Row],[Custo (R$)]]=""),"",(tInverno25[[#This Row],[Preço (R$)]]-tInverno25[[#This Row],[Custo (R$)]])/tInverno25[[#This Row],[Preço (R$)]])</f>
        <v>0.50911889188149295</v>
      </c>
      <c r="K79" s="5" t="s">
        <v>565</v>
      </c>
      <c r="L79" s="28" t="s">
        <v>101</v>
      </c>
      <c r="M79" s="10"/>
      <c r="N79" s="5" t="s">
        <v>560</v>
      </c>
      <c r="O79" s="9" t="s">
        <v>49</v>
      </c>
    </row>
    <row r="80" spans="1:15">
      <c r="A8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VLT-ACE-009-OLI-U</v>
      </c>
      <c r="B80" s="5" t="s">
        <v>64</v>
      </c>
      <c r="C80" s="9" t="s">
        <v>566</v>
      </c>
      <c r="D80" s="5" t="s">
        <v>567</v>
      </c>
      <c r="E80" s="5" t="s">
        <v>281</v>
      </c>
      <c r="F80" s="5" t="s">
        <v>180</v>
      </c>
      <c r="G80" s="9" t="s">
        <v>282</v>
      </c>
      <c r="H80" s="11">
        <v>69.900000000000006</v>
      </c>
      <c r="I80" s="11">
        <v>33.29</v>
      </c>
      <c r="J80" s="12">
        <f>IF(OR(tInverno25[[#This Row],[Preço (R$)]]="",tInverno25[[#This Row],[Custo (R$)]]=""),"",(tInverno25[[#This Row],[Preço (R$)]]-tInverno25[[#This Row],[Custo (R$)]])/tInverno25[[#This Row],[Preço (R$)]])</f>
        <v>0.52374821173104436</v>
      </c>
      <c r="K80" s="5" t="s">
        <v>64</v>
      </c>
      <c r="L80" s="28" t="s">
        <v>79</v>
      </c>
      <c r="M80" s="10"/>
      <c r="N80" s="5" t="s">
        <v>568</v>
      </c>
      <c r="O80" s="9" t="s">
        <v>71</v>
      </c>
    </row>
    <row r="81" spans="1:15">
      <c r="A8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VLT-ACE-009-BRA-U</v>
      </c>
      <c r="B81" s="5" t="s">
        <v>64</v>
      </c>
      <c r="C81" s="9" t="s">
        <v>566</v>
      </c>
      <c r="D81" s="5" t="s">
        <v>567</v>
      </c>
      <c r="E81" s="5" t="s">
        <v>281</v>
      </c>
      <c r="F81" s="5" t="s">
        <v>77</v>
      </c>
      <c r="G81" s="9" t="s">
        <v>282</v>
      </c>
      <c r="H81" s="11">
        <v>69.900000000000006</v>
      </c>
      <c r="I81" s="11">
        <v>34.4</v>
      </c>
      <c r="J81" s="12">
        <f>IF(OR(tInverno25[[#This Row],[Preço (R$)]]="",tInverno25[[#This Row],[Custo (R$)]]=""),"",(tInverno25[[#This Row],[Preço (R$)]]-tInverno25[[#This Row],[Custo (R$)]])/tInverno25[[#This Row],[Preço (R$)]])</f>
        <v>0.50786838340486418</v>
      </c>
      <c r="K81" s="5" t="s">
        <v>64</v>
      </c>
      <c r="L81" s="28" t="s">
        <v>79</v>
      </c>
      <c r="M81" s="10"/>
      <c r="N81" s="5" t="s">
        <v>568</v>
      </c>
      <c r="O81" s="9" t="s">
        <v>71</v>
      </c>
    </row>
    <row r="82" spans="1:15">
      <c r="A8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VLT-CAL-014-AZM-XP</v>
      </c>
      <c r="B82" s="5" t="s">
        <v>64</v>
      </c>
      <c r="C82" s="9" t="s">
        <v>569</v>
      </c>
      <c r="D82" s="5" t="s">
        <v>570</v>
      </c>
      <c r="E82" s="5" t="s">
        <v>86</v>
      </c>
      <c r="F82" s="5" t="s">
        <v>68</v>
      </c>
      <c r="G82" s="9" t="s">
        <v>45</v>
      </c>
      <c r="H82" s="11">
        <v>239.9</v>
      </c>
      <c r="I82" s="11">
        <v>107.73</v>
      </c>
      <c r="J82" s="12">
        <f>IF(OR(tInverno25[[#This Row],[Preço (R$)]]="",tInverno25[[#This Row],[Custo (R$)]]=""),"",(tInverno25[[#This Row],[Preço (R$)]]-tInverno25[[#This Row],[Custo (R$)]])/tInverno25[[#This Row],[Preço (R$)]])</f>
        <v>0.55093789078782829</v>
      </c>
      <c r="K82" s="5" t="s">
        <v>571</v>
      </c>
      <c r="L82" s="28" t="s">
        <v>47</v>
      </c>
      <c r="M82" s="10"/>
      <c r="N82" s="5" t="s">
        <v>470</v>
      </c>
      <c r="O82" s="9" t="s">
        <v>71</v>
      </c>
    </row>
    <row r="83" spans="1:15">
      <c r="A8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VLT-CAL-014-AZM-P</v>
      </c>
      <c r="B83" s="5" t="s">
        <v>64</v>
      </c>
      <c r="C83" s="9" t="s">
        <v>569</v>
      </c>
      <c r="D83" s="5" t="s">
        <v>570</v>
      </c>
      <c r="E83" s="5" t="s">
        <v>86</v>
      </c>
      <c r="F83" s="5" t="s">
        <v>68</v>
      </c>
      <c r="G83" s="9" t="s">
        <v>51</v>
      </c>
      <c r="H83" s="11">
        <v>239.9</v>
      </c>
      <c r="I83" s="11">
        <v>112.23</v>
      </c>
      <c r="J83" s="12">
        <f>IF(OR(tInverno25[[#This Row],[Preço (R$)]]="",tInverno25[[#This Row],[Custo (R$)]]=""),"",(tInverno25[[#This Row],[Preço (R$)]]-tInverno25[[#This Row],[Custo (R$)]])/tInverno25[[#This Row],[Preço (R$)]])</f>
        <v>0.53218007503126297</v>
      </c>
      <c r="K83" s="5" t="s">
        <v>572</v>
      </c>
      <c r="L83" s="28" t="s">
        <v>47</v>
      </c>
      <c r="M83" s="10"/>
      <c r="N83" s="5" t="s">
        <v>475</v>
      </c>
      <c r="O83" s="9" t="s">
        <v>71</v>
      </c>
    </row>
    <row r="84" spans="1:15">
      <c r="A8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VLT-CAL-014-AZM-M</v>
      </c>
      <c r="B84" s="5" t="s">
        <v>64</v>
      </c>
      <c r="C84" s="9" t="s">
        <v>569</v>
      </c>
      <c r="D84" s="5" t="s">
        <v>570</v>
      </c>
      <c r="E84" s="5" t="s">
        <v>86</v>
      </c>
      <c r="F84" s="5" t="s">
        <v>68</v>
      </c>
      <c r="G84" s="9" t="s">
        <v>54</v>
      </c>
      <c r="H84" s="11">
        <v>239.9</v>
      </c>
      <c r="I84" s="11"/>
      <c r="J84" s="12" t="str">
        <f>IF(OR(tInverno25[[#This Row],[Preço (R$)]]="",tInverno25[[#This Row],[Custo (R$)]]=""),"",(tInverno25[[#This Row],[Preço (R$)]]-tInverno25[[#This Row],[Custo (R$)]])/tInverno25[[#This Row],[Preço (R$)]])</f>
        <v/>
      </c>
      <c r="K84" s="5" t="s">
        <v>573</v>
      </c>
      <c r="L84" s="28" t="s">
        <v>47</v>
      </c>
      <c r="M84" s="10"/>
      <c r="N84" s="5" t="s">
        <v>574</v>
      </c>
      <c r="O84" s="9" t="s">
        <v>71</v>
      </c>
    </row>
    <row r="85" spans="1:15">
      <c r="A8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VLT-CAL-014-AZM-G</v>
      </c>
      <c r="B85" s="5" t="s">
        <v>64</v>
      </c>
      <c r="C85" s="9" t="s">
        <v>569</v>
      </c>
      <c r="D85" s="5" t="s">
        <v>570</v>
      </c>
      <c r="E85" s="5" t="s">
        <v>86</v>
      </c>
      <c r="F85" s="5" t="s">
        <v>68</v>
      </c>
      <c r="G85" s="9" t="s">
        <v>58</v>
      </c>
      <c r="H85" s="11">
        <v>239.9</v>
      </c>
      <c r="I85" s="11">
        <v>109.48</v>
      </c>
      <c r="J85" s="12">
        <f>IF(OR(tInverno25[[#This Row],[Preço (R$)]]="",tInverno25[[#This Row],[Custo (R$)]]=""),"",(tInverno25[[#This Row],[Preço (R$)]]-tInverno25[[#This Row],[Custo (R$)]])/tInverno25[[#This Row],[Preço (R$)]])</f>
        <v>0.54364318466027517</v>
      </c>
      <c r="K85" s="5" t="s">
        <v>575</v>
      </c>
      <c r="L85" s="28" t="s">
        <v>47</v>
      </c>
      <c r="M85" s="10"/>
      <c r="N85" s="5" t="s">
        <v>470</v>
      </c>
      <c r="O85" s="9" t="s">
        <v>71</v>
      </c>
    </row>
    <row r="86" spans="1:15">
      <c r="A8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VLT-CAL-014-AZM-GG</v>
      </c>
      <c r="B86" s="5" t="s">
        <v>64</v>
      </c>
      <c r="C86" s="9" t="s">
        <v>569</v>
      </c>
      <c r="D86" s="5" t="s">
        <v>570</v>
      </c>
      <c r="E86" s="5" t="s">
        <v>86</v>
      </c>
      <c r="F86" s="5" t="s">
        <v>68</v>
      </c>
      <c r="G86" s="9" t="s">
        <v>61</v>
      </c>
      <c r="H86" s="11">
        <v>239.9</v>
      </c>
      <c r="I86" s="11">
        <v>107.09</v>
      </c>
      <c r="J86" s="12">
        <f>IF(OR(tInverno25[[#This Row],[Preço (R$)]]="",tInverno25[[#This Row],[Custo (R$)]]=""),"",(tInverno25[[#This Row],[Preço (R$)]]-tInverno25[[#This Row],[Custo (R$)]])/tInverno25[[#This Row],[Preço (R$)]])</f>
        <v>0.55360566902876196</v>
      </c>
      <c r="K86" s="5" t="s">
        <v>576</v>
      </c>
      <c r="L86" s="28" t="s">
        <v>47</v>
      </c>
      <c r="M86" s="10"/>
      <c r="N86" s="5" t="s">
        <v>577</v>
      </c>
      <c r="O86" s="9" t="s">
        <v>71</v>
      </c>
    </row>
    <row r="87" spans="1:15">
      <c r="A8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VLT-CAL-014-AZM-XG</v>
      </c>
      <c r="B87" s="5" t="s">
        <v>64</v>
      </c>
      <c r="C87" s="9" t="s">
        <v>569</v>
      </c>
      <c r="D87" s="5" t="s">
        <v>570</v>
      </c>
      <c r="E87" s="5" t="s">
        <v>86</v>
      </c>
      <c r="F87" s="5" t="s">
        <v>68</v>
      </c>
      <c r="G87" s="9" t="s">
        <v>578</v>
      </c>
      <c r="H87" s="11">
        <v>239.9</v>
      </c>
      <c r="I87" s="11">
        <v>107.51</v>
      </c>
      <c r="J87" s="12">
        <f>IF(OR(tInverno25[[#This Row],[Preço (R$)]]="",tInverno25[[#This Row],[Custo (R$)]]=""),"",(tInverno25[[#This Row],[Preço (R$)]]-tInverno25[[#This Row],[Custo (R$)]])/tInverno25[[#This Row],[Preço (R$)]])</f>
        <v>0.55185493955814913</v>
      </c>
      <c r="K87" s="5" t="s">
        <v>579</v>
      </c>
      <c r="L87" s="28" t="s">
        <v>47</v>
      </c>
      <c r="M87" s="10"/>
      <c r="N87" s="5" t="s">
        <v>470</v>
      </c>
      <c r="O87" s="9" t="s">
        <v>71</v>
      </c>
    </row>
    <row r="88" spans="1:15">
      <c r="A8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VLT-MOL-011-OLI-P</v>
      </c>
      <c r="B88" s="5" t="s">
        <v>64</v>
      </c>
      <c r="C88" s="9" t="s">
        <v>580</v>
      </c>
      <c r="D88" s="5" t="s">
        <v>581</v>
      </c>
      <c r="E88" s="5" t="s">
        <v>98</v>
      </c>
      <c r="F88" s="5" t="s">
        <v>180</v>
      </c>
      <c r="G88" s="9" t="s">
        <v>51</v>
      </c>
      <c r="H88" s="11">
        <v>329.9</v>
      </c>
      <c r="I88" s="11">
        <v>131.87</v>
      </c>
      <c r="J88" s="12">
        <f>IF(OR(tInverno25[[#This Row],[Preço (R$)]]="",tInverno25[[#This Row],[Custo (R$)]]=""),"",(tInverno25[[#This Row],[Preço (R$)]]-tInverno25[[#This Row],[Custo (R$)]])/tInverno25[[#This Row],[Preço (R$)]])</f>
        <v>0.60027280994240673</v>
      </c>
      <c r="K88" s="5" t="s">
        <v>64</v>
      </c>
      <c r="L88" s="28" t="s">
        <v>101</v>
      </c>
      <c r="M88" s="10"/>
      <c r="N88" s="5" t="s">
        <v>582</v>
      </c>
      <c r="O88" s="9" t="s">
        <v>71</v>
      </c>
    </row>
    <row r="89" spans="1:15">
      <c r="A8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VLT-MOL-011-OLI-M</v>
      </c>
      <c r="B89" s="5" t="s">
        <v>64</v>
      </c>
      <c r="C89" s="9" t="s">
        <v>580</v>
      </c>
      <c r="D89" s="5" t="s">
        <v>581</v>
      </c>
      <c r="E89" s="5" t="s">
        <v>98</v>
      </c>
      <c r="F89" s="5" t="s">
        <v>180</v>
      </c>
      <c r="G89" s="9" t="s">
        <v>54</v>
      </c>
      <c r="H89" s="11">
        <v>329.9</v>
      </c>
      <c r="I89" s="11">
        <v>131.87</v>
      </c>
      <c r="J89" s="12">
        <f>IF(OR(tInverno25[[#This Row],[Preço (R$)]]="",tInverno25[[#This Row],[Custo (R$)]]=""),"",(tInverno25[[#This Row],[Preço (R$)]]-tInverno25[[#This Row],[Custo (R$)]])/tInverno25[[#This Row],[Preço (R$)]])</f>
        <v>0.60027280994240673</v>
      </c>
      <c r="K89" s="5" t="s">
        <v>64</v>
      </c>
      <c r="L89" s="28" t="s">
        <v>101</v>
      </c>
      <c r="M89" s="10"/>
      <c r="N89" s="5" t="s">
        <v>582</v>
      </c>
      <c r="O89" s="9" t="s">
        <v>71</v>
      </c>
    </row>
    <row r="90" spans="1:15">
      <c r="A9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VLT-MOL-011-OLI-G</v>
      </c>
      <c r="B90" s="5" t="s">
        <v>64</v>
      </c>
      <c r="C90" s="9" t="s">
        <v>580</v>
      </c>
      <c r="D90" s="5" t="s">
        <v>581</v>
      </c>
      <c r="E90" s="5" t="s">
        <v>98</v>
      </c>
      <c r="F90" s="5" t="s">
        <v>180</v>
      </c>
      <c r="G90" s="9" t="s">
        <v>58</v>
      </c>
      <c r="H90" s="11">
        <v>329.9</v>
      </c>
      <c r="I90" s="11">
        <v>131.87</v>
      </c>
      <c r="J90" s="12">
        <f>IF(OR(tInverno25[[#This Row],[Preço (R$)]]="",tInverno25[[#This Row],[Custo (R$)]]=""),"",(tInverno25[[#This Row],[Preço (R$)]]-tInverno25[[#This Row],[Custo (R$)]])/tInverno25[[#This Row],[Preço (R$)]])</f>
        <v>0.60027280994240673</v>
      </c>
      <c r="K90" s="5" t="s">
        <v>64</v>
      </c>
      <c r="L90" s="28" t="s">
        <v>101</v>
      </c>
      <c r="M90" s="10"/>
      <c r="N90" s="5" t="s">
        <v>582</v>
      </c>
      <c r="O90" s="9" t="s">
        <v>71</v>
      </c>
    </row>
    <row r="91" spans="1:15">
      <c r="A9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VLT-CAM-015-CIN-P</v>
      </c>
      <c r="B91" s="5" t="s">
        <v>64</v>
      </c>
      <c r="C91" s="9" t="s">
        <v>583</v>
      </c>
      <c r="D91" s="5" t="s">
        <v>584</v>
      </c>
      <c r="E91" s="5" t="s">
        <v>128</v>
      </c>
      <c r="F91" s="5" t="s">
        <v>164</v>
      </c>
      <c r="G91" s="9" t="s">
        <v>51</v>
      </c>
      <c r="H91" s="11">
        <v>89.9</v>
      </c>
      <c r="I91" s="11">
        <v>36.85</v>
      </c>
      <c r="J91" s="12">
        <f>IF(OR(tInverno25[[#This Row],[Preço (R$)]]="",tInverno25[[#This Row],[Custo (R$)]]=""),"",(tInverno25[[#This Row],[Preço (R$)]]-tInverno25[[#This Row],[Custo (R$)]])/tInverno25[[#This Row],[Preço (R$)]])</f>
        <v>0.59010011123470529</v>
      </c>
      <c r="K91" s="5" t="s">
        <v>64</v>
      </c>
      <c r="L91" s="28" t="s">
        <v>101</v>
      </c>
      <c r="M91" s="10"/>
      <c r="N91" s="5" t="s">
        <v>585</v>
      </c>
      <c r="O91" s="9" t="s">
        <v>71</v>
      </c>
    </row>
    <row r="92" spans="1:15">
      <c r="A9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VLT-CAM-015-CIN-M</v>
      </c>
      <c r="B92" s="5" t="s">
        <v>64</v>
      </c>
      <c r="C92" s="9" t="s">
        <v>583</v>
      </c>
      <c r="D92" s="5" t="s">
        <v>584</v>
      </c>
      <c r="E92" s="5" t="s">
        <v>128</v>
      </c>
      <c r="F92" s="5" t="s">
        <v>164</v>
      </c>
      <c r="G92" s="9" t="s">
        <v>54</v>
      </c>
      <c r="H92" s="11">
        <v>89.9</v>
      </c>
      <c r="I92" s="11">
        <v>36.85</v>
      </c>
      <c r="J92" s="12">
        <f>IF(OR(tInverno25[[#This Row],[Preço (R$)]]="",tInverno25[[#This Row],[Custo (R$)]]=""),"",(tInverno25[[#This Row],[Preço (R$)]]-tInverno25[[#This Row],[Custo (R$)]])/tInverno25[[#This Row],[Preço (R$)]])</f>
        <v>0.59010011123470529</v>
      </c>
      <c r="K92" s="5" t="s">
        <v>64</v>
      </c>
      <c r="L92" s="28" t="s">
        <v>101</v>
      </c>
      <c r="M92" s="10"/>
      <c r="N92" s="5" t="s">
        <v>585</v>
      </c>
      <c r="O92" s="9" t="s">
        <v>71</v>
      </c>
    </row>
    <row r="93" spans="1:15">
      <c r="A9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VLT-CAM-015-CIN-G</v>
      </c>
      <c r="B93" s="5" t="s">
        <v>64</v>
      </c>
      <c r="C93" s="9" t="s">
        <v>583</v>
      </c>
      <c r="D93" s="5" t="s">
        <v>584</v>
      </c>
      <c r="E93" s="5" t="s">
        <v>128</v>
      </c>
      <c r="F93" s="5" t="s">
        <v>164</v>
      </c>
      <c r="G93" s="9" t="s">
        <v>58</v>
      </c>
      <c r="H93" s="11">
        <v>89.9</v>
      </c>
      <c r="I93" s="11">
        <v>36.85</v>
      </c>
      <c r="J93" s="12">
        <f>IF(OR(tInverno25[[#This Row],[Preço (R$)]]="",tInverno25[[#This Row],[Custo (R$)]]=""),"",(tInverno25[[#This Row],[Preço (R$)]]-tInverno25[[#This Row],[Custo (R$)]])/tInverno25[[#This Row],[Preço (R$)]])</f>
        <v>0.59010011123470529</v>
      </c>
      <c r="K93" s="5" t="s">
        <v>64</v>
      </c>
      <c r="L93" s="28" t="s">
        <v>101</v>
      </c>
      <c r="M93" s="10"/>
      <c r="N93" s="5" t="s">
        <v>585</v>
      </c>
      <c r="O93" s="9" t="s">
        <v>71</v>
      </c>
    </row>
    <row r="94" spans="1:15">
      <c r="A9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VLT-SAI-007-VIN-P</v>
      </c>
      <c r="B94" s="5" t="s">
        <v>64</v>
      </c>
      <c r="C94" s="9" t="s">
        <v>586</v>
      </c>
      <c r="D94" s="5" t="s">
        <v>587</v>
      </c>
      <c r="E94" s="5" t="s">
        <v>116</v>
      </c>
      <c r="F94" s="5" t="s">
        <v>129</v>
      </c>
      <c r="G94" s="9" t="s">
        <v>51</v>
      </c>
      <c r="H94" s="11">
        <v>209.9</v>
      </c>
      <c r="I94" s="11">
        <v>100.57</v>
      </c>
      <c r="J94" s="12">
        <f>IF(OR(tInverno25[[#This Row],[Preço (R$)]]="",tInverno25[[#This Row],[Custo (R$)]]=""),"",(tInverno25[[#This Row],[Preço (R$)]]-tInverno25[[#This Row],[Custo (R$)]])/tInverno25[[#This Row],[Preço (R$)]])</f>
        <v>0.52086707956169609</v>
      </c>
      <c r="K94" s="5" t="s">
        <v>588</v>
      </c>
      <c r="L94" s="28" t="s">
        <v>70</v>
      </c>
      <c r="M94" s="10"/>
      <c r="N94" s="5" t="s">
        <v>470</v>
      </c>
      <c r="O94" s="9" t="s">
        <v>71</v>
      </c>
    </row>
    <row r="95" spans="1:15">
      <c r="A9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VLT-SAI-007-VIN-M</v>
      </c>
      <c r="B95" s="5" t="s">
        <v>64</v>
      </c>
      <c r="C95" s="9" t="s">
        <v>586</v>
      </c>
      <c r="D95" s="5" t="s">
        <v>587</v>
      </c>
      <c r="E95" s="5" t="s">
        <v>116</v>
      </c>
      <c r="F95" s="5" t="s">
        <v>129</v>
      </c>
      <c r="G95" s="9" t="s">
        <v>54</v>
      </c>
      <c r="H95" s="11">
        <v>209.9</v>
      </c>
      <c r="I95" s="11"/>
      <c r="J95" s="12" t="str">
        <f>IF(OR(tInverno25[[#This Row],[Preço (R$)]]="",tInverno25[[#This Row],[Custo (R$)]]=""),"",(tInverno25[[#This Row],[Preço (R$)]]-tInverno25[[#This Row],[Custo (R$)]])/tInverno25[[#This Row],[Preço (R$)]])</f>
        <v/>
      </c>
      <c r="K95" s="5" t="s">
        <v>589</v>
      </c>
      <c r="L95" s="28" t="s">
        <v>70</v>
      </c>
      <c r="M95" s="10"/>
      <c r="N95" s="5" t="s">
        <v>470</v>
      </c>
      <c r="O95" s="9" t="s">
        <v>71</v>
      </c>
    </row>
    <row r="96" spans="1:15">
      <c r="A9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VLT-SAI-007-VIN-G</v>
      </c>
      <c r="B96" s="5" t="s">
        <v>64</v>
      </c>
      <c r="C96" s="9" t="s">
        <v>586</v>
      </c>
      <c r="D96" s="5" t="s">
        <v>587</v>
      </c>
      <c r="E96" s="5" t="s">
        <v>116</v>
      </c>
      <c r="F96" s="5" t="s">
        <v>129</v>
      </c>
      <c r="G96" s="9" t="s">
        <v>58</v>
      </c>
      <c r="H96" s="11">
        <v>209.9</v>
      </c>
      <c r="I96" s="11">
        <v>103.02</v>
      </c>
      <c r="J96" s="12">
        <f>IF(OR(tInverno25[[#This Row],[Preço (R$)]]="",tInverno25[[#This Row],[Custo (R$)]]=""),"",(tInverno25[[#This Row],[Preço (R$)]]-tInverno25[[#This Row],[Custo (R$)]])/tInverno25[[#This Row],[Preço (R$)]])</f>
        <v>0.50919485469271086</v>
      </c>
      <c r="K96" s="5" t="s">
        <v>590</v>
      </c>
      <c r="L96" s="28" t="s">
        <v>70</v>
      </c>
      <c r="M96" s="10"/>
      <c r="N96" s="5" t="s">
        <v>470</v>
      </c>
      <c r="O96" s="9" t="s">
        <v>71</v>
      </c>
    </row>
    <row r="97" spans="1:15">
      <c r="A9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VLT-SAI-007-VIN-GG</v>
      </c>
      <c r="B97" s="5" t="s">
        <v>64</v>
      </c>
      <c r="C97" s="9" t="s">
        <v>586</v>
      </c>
      <c r="D97" s="5" t="s">
        <v>587</v>
      </c>
      <c r="E97" s="5" t="s">
        <v>116</v>
      </c>
      <c r="F97" s="5" t="s">
        <v>129</v>
      </c>
      <c r="G97" s="9" t="s">
        <v>61</v>
      </c>
      <c r="H97" s="11">
        <v>209.9</v>
      </c>
      <c r="I97" s="11">
        <v>103.24</v>
      </c>
      <c r="J97" s="12">
        <f>IF(OR(tInverno25[[#This Row],[Preço (R$)]]="",tInverno25[[#This Row],[Custo (R$)]]=""),"",(tInverno25[[#This Row],[Preço (R$)]]-tInverno25[[#This Row],[Custo (R$)]])/tInverno25[[#This Row],[Preço (R$)]])</f>
        <v>0.50814673654121012</v>
      </c>
      <c r="K97" s="5" t="s">
        <v>591</v>
      </c>
      <c r="L97" s="28" t="s">
        <v>70</v>
      </c>
      <c r="M97" s="10"/>
      <c r="N97" s="5" t="s">
        <v>470</v>
      </c>
      <c r="O97" s="9" t="s">
        <v>71</v>
      </c>
    </row>
    <row r="98" spans="1:15">
      <c r="A9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VLT-TRI-009-AMA-P</v>
      </c>
      <c r="B98" s="5" t="s">
        <v>592</v>
      </c>
      <c r="C98" s="9" t="s">
        <v>593</v>
      </c>
      <c r="D98" s="5" t="s">
        <v>594</v>
      </c>
      <c r="E98" s="5" t="s">
        <v>445</v>
      </c>
      <c r="F98" s="5" t="s">
        <v>99</v>
      </c>
      <c r="G98" s="9" t="s">
        <v>51</v>
      </c>
      <c r="H98" s="11">
        <v>329.9</v>
      </c>
      <c r="I98" s="11">
        <v>155.54</v>
      </c>
      <c r="J98" s="12">
        <f>IF(OR(tInverno25[[#This Row],[Preço (R$)]]="",tInverno25[[#This Row],[Custo (R$)]]=""),"",(tInverno25[[#This Row],[Preço (R$)]]-tInverno25[[#This Row],[Custo (R$)]])/tInverno25[[#This Row],[Preço (R$)]])</f>
        <v>0.52852379508942104</v>
      </c>
      <c r="K98" s="5" t="s">
        <v>595</v>
      </c>
      <c r="L98" s="28" t="s">
        <v>101</v>
      </c>
      <c r="M98" s="10"/>
      <c r="N98" s="5" t="s">
        <v>596</v>
      </c>
      <c r="O98" s="9" t="s">
        <v>49</v>
      </c>
    </row>
    <row r="99" spans="1:15">
      <c r="A9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VLT-TRI-009-AMA-M</v>
      </c>
      <c r="B99" s="5" t="s">
        <v>597</v>
      </c>
      <c r="C99" s="9" t="s">
        <v>593</v>
      </c>
      <c r="D99" s="5" t="s">
        <v>594</v>
      </c>
      <c r="E99" s="5" t="s">
        <v>445</v>
      </c>
      <c r="F99" s="5" t="s">
        <v>99</v>
      </c>
      <c r="G99" s="9" t="s">
        <v>54</v>
      </c>
      <c r="H99" s="11">
        <v>329.9</v>
      </c>
      <c r="I99" s="11">
        <v>154.03</v>
      </c>
      <c r="J99" s="12">
        <f>IF(OR(tInverno25[[#This Row],[Preço (R$)]]="",tInverno25[[#This Row],[Custo (R$)]]=""),"",(tInverno25[[#This Row],[Preço (R$)]]-tInverno25[[#This Row],[Custo (R$)]])/tInverno25[[#This Row],[Preço (R$)]])</f>
        <v>0.53310093967869043</v>
      </c>
      <c r="K99" s="5" t="s">
        <v>598</v>
      </c>
      <c r="L99" s="28" t="s">
        <v>101</v>
      </c>
      <c r="M99" s="10"/>
      <c r="N99" s="5" t="s">
        <v>599</v>
      </c>
      <c r="O99" s="9" t="s">
        <v>49</v>
      </c>
    </row>
    <row r="100" spans="1:15">
      <c r="A10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VLT-TRI-009-AMA-G</v>
      </c>
      <c r="B100" s="5" t="s">
        <v>600</v>
      </c>
      <c r="C100" s="9" t="s">
        <v>593</v>
      </c>
      <c r="D100" s="5" t="s">
        <v>594</v>
      </c>
      <c r="E100" s="5" t="s">
        <v>445</v>
      </c>
      <c r="F100" s="5" t="s">
        <v>99</v>
      </c>
      <c r="G100" s="9" t="s">
        <v>58</v>
      </c>
      <c r="H100" s="11">
        <v>329.9</v>
      </c>
      <c r="I100" s="11">
        <v>156.84</v>
      </c>
      <c r="J100" s="12">
        <f>IF(OR(tInverno25[[#This Row],[Preço (R$)]]="",tInverno25[[#This Row],[Custo (R$)]]=""),"",(tInverno25[[#This Row],[Preço (R$)]]-tInverno25[[#This Row],[Custo (R$)]])/tInverno25[[#This Row],[Preço (R$)]])</f>
        <v>0.524583207032434</v>
      </c>
      <c r="K100" s="5" t="s">
        <v>601</v>
      </c>
      <c r="L100" s="28" t="s">
        <v>101</v>
      </c>
      <c r="M100" s="10"/>
      <c r="N100" s="5" t="s">
        <v>596</v>
      </c>
      <c r="O100" s="9" t="s">
        <v>49</v>
      </c>
    </row>
    <row r="101" spans="1:15">
      <c r="A10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VLT-TRI-009-AMA-GG</v>
      </c>
      <c r="B101" s="5" t="s">
        <v>602</v>
      </c>
      <c r="C101" s="9" t="s">
        <v>593</v>
      </c>
      <c r="D101" s="5" t="s">
        <v>594</v>
      </c>
      <c r="E101" s="5" t="s">
        <v>445</v>
      </c>
      <c r="F101" s="5" t="s">
        <v>99</v>
      </c>
      <c r="G101" s="9" t="s">
        <v>61</v>
      </c>
      <c r="H101" s="11">
        <v>329.9</v>
      </c>
      <c r="I101" s="27">
        <v>156.84</v>
      </c>
      <c r="J101" s="12">
        <f>IF(OR(tInverno25[[#This Row],[Preço (R$)]]="",tInverno25[[#This Row],[Custo (R$)]]=""),"",(tInverno25[[#This Row],[Preço (R$)]]-tInverno25[[#This Row],[Custo (R$)]])/tInverno25[[#This Row],[Preço (R$)]])</f>
        <v>0.524583207032434</v>
      </c>
      <c r="K101" s="5" t="s">
        <v>603</v>
      </c>
      <c r="L101" s="28" t="s">
        <v>101</v>
      </c>
      <c r="M101" s="10"/>
      <c r="N101" s="5" t="s">
        <v>604</v>
      </c>
      <c r="O101" s="9" t="s">
        <v>49</v>
      </c>
    </row>
    <row r="102" spans="1:15">
      <c r="A10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VLT-MOL-012-OFF-XP</v>
      </c>
      <c r="B102" s="5" t="s">
        <v>605</v>
      </c>
      <c r="C102" s="9" t="s">
        <v>606</v>
      </c>
      <c r="D102" s="5" t="s">
        <v>607</v>
      </c>
      <c r="E102" s="5" t="s">
        <v>98</v>
      </c>
      <c r="F102" s="5" t="s">
        <v>117</v>
      </c>
      <c r="G102" s="9" t="s">
        <v>45</v>
      </c>
      <c r="H102" s="11">
        <v>319.89999999999998</v>
      </c>
      <c r="I102" s="11">
        <v>137.74</v>
      </c>
      <c r="J102" s="12">
        <f>IF(OR(tInverno25[[#This Row],[Preço (R$)]]="",tInverno25[[#This Row],[Custo (R$)]]=""),"",(tInverno25[[#This Row],[Preço (R$)]]-tInverno25[[#This Row],[Custo (R$)]])/tInverno25[[#This Row],[Preço (R$)]])</f>
        <v>0.56942794623319781</v>
      </c>
      <c r="K102" s="5" t="s">
        <v>608</v>
      </c>
      <c r="L102" s="28" t="s">
        <v>101</v>
      </c>
      <c r="M102" s="10"/>
      <c r="N102" s="5" t="s">
        <v>609</v>
      </c>
      <c r="O102" s="9" t="s">
        <v>49</v>
      </c>
    </row>
    <row r="103" spans="1:15">
      <c r="A10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VLT-MOL-012-OFF-P</v>
      </c>
      <c r="B103" s="5" t="s">
        <v>610</v>
      </c>
      <c r="C103" s="9" t="s">
        <v>606</v>
      </c>
      <c r="D103" s="5" t="s">
        <v>607</v>
      </c>
      <c r="E103" s="5" t="s">
        <v>98</v>
      </c>
      <c r="F103" s="5" t="s">
        <v>117</v>
      </c>
      <c r="G103" s="9" t="s">
        <v>51</v>
      </c>
      <c r="H103" s="11">
        <v>319.89999999999998</v>
      </c>
      <c r="I103" s="11">
        <v>137.74</v>
      </c>
      <c r="J103" s="12">
        <f>IF(OR(tInverno25[[#This Row],[Preço (R$)]]="",tInverno25[[#This Row],[Custo (R$)]]=""),"",(tInverno25[[#This Row],[Preço (R$)]]-tInverno25[[#This Row],[Custo (R$)]])/tInverno25[[#This Row],[Preço (R$)]])</f>
        <v>0.56942794623319781</v>
      </c>
      <c r="K103" s="5" t="s">
        <v>611</v>
      </c>
      <c r="L103" s="28" t="s">
        <v>101</v>
      </c>
      <c r="M103" s="10"/>
      <c r="N103" s="5" t="s">
        <v>609</v>
      </c>
      <c r="O103" s="9" t="s">
        <v>49</v>
      </c>
    </row>
    <row r="104" spans="1:15">
      <c r="A10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VLT-MOL-012-OFF-M</v>
      </c>
      <c r="B104" s="5" t="s">
        <v>612</v>
      </c>
      <c r="C104" s="9" t="s">
        <v>606</v>
      </c>
      <c r="D104" s="5" t="s">
        <v>607</v>
      </c>
      <c r="E104" s="5" t="s">
        <v>98</v>
      </c>
      <c r="F104" s="5" t="s">
        <v>117</v>
      </c>
      <c r="G104" s="9" t="s">
        <v>54</v>
      </c>
      <c r="H104" s="11">
        <v>319.89999999999998</v>
      </c>
      <c r="I104" s="11">
        <v>137.74</v>
      </c>
      <c r="J104" s="12">
        <f>IF(OR(tInverno25[[#This Row],[Preço (R$)]]="",tInverno25[[#This Row],[Custo (R$)]]=""),"",(tInverno25[[#This Row],[Preço (R$)]]-tInverno25[[#This Row],[Custo (R$)]])/tInverno25[[#This Row],[Preço (R$)]])</f>
        <v>0.56942794623319781</v>
      </c>
      <c r="K104" s="5" t="s">
        <v>613</v>
      </c>
      <c r="L104" s="28" t="s">
        <v>101</v>
      </c>
      <c r="M104" s="10"/>
      <c r="N104" s="5" t="s">
        <v>609</v>
      </c>
      <c r="O104" s="9" t="s">
        <v>49</v>
      </c>
    </row>
    <row r="105" spans="1:15">
      <c r="A10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VLT-MOL-012-OFF-G</v>
      </c>
      <c r="B105" s="5" t="s">
        <v>614</v>
      </c>
      <c r="C105" s="9" t="s">
        <v>606</v>
      </c>
      <c r="D105" s="5" t="s">
        <v>607</v>
      </c>
      <c r="E105" s="5" t="s">
        <v>98</v>
      </c>
      <c r="F105" s="5" t="s">
        <v>117</v>
      </c>
      <c r="G105" s="9" t="s">
        <v>58</v>
      </c>
      <c r="H105" s="11">
        <v>319.89999999999998</v>
      </c>
      <c r="I105" s="11">
        <v>137.74</v>
      </c>
      <c r="J105" s="12">
        <f>IF(OR(tInverno25[[#This Row],[Preço (R$)]]="",tInverno25[[#This Row],[Custo (R$)]]=""),"",(tInverno25[[#This Row],[Preço (R$)]]-tInverno25[[#This Row],[Custo (R$)]])/tInverno25[[#This Row],[Preço (R$)]])</f>
        <v>0.56942794623319781</v>
      </c>
      <c r="K105" s="5" t="s">
        <v>615</v>
      </c>
      <c r="L105" s="28" t="s">
        <v>101</v>
      </c>
      <c r="M105" s="10"/>
      <c r="N105" s="5" t="s">
        <v>609</v>
      </c>
      <c r="O105" s="9" t="s">
        <v>49</v>
      </c>
    </row>
    <row r="106" spans="1:15">
      <c r="A10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VLT-MOL-012-OFF-GG</v>
      </c>
      <c r="B106" s="5" t="s">
        <v>616</v>
      </c>
      <c r="C106" s="9" t="s">
        <v>606</v>
      </c>
      <c r="D106" s="5" t="s">
        <v>607</v>
      </c>
      <c r="E106" s="5" t="s">
        <v>98</v>
      </c>
      <c r="F106" s="5" t="s">
        <v>117</v>
      </c>
      <c r="G106" s="9" t="s">
        <v>61</v>
      </c>
      <c r="H106" s="11">
        <v>319.89999999999998</v>
      </c>
      <c r="I106" s="11">
        <v>137.74</v>
      </c>
      <c r="J106" s="12">
        <f>IF(OR(tInverno25[[#This Row],[Preço (R$)]]="",tInverno25[[#This Row],[Custo (R$)]]=""),"",(tInverno25[[#This Row],[Preço (R$)]]-tInverno25[[#This Row],[Custo (R$)]])/tInverno25[[#This Row],[Preço (R$)]])</f>
        <v>0.56942794623319781</v>
      </c>
      <c r="K106" s="5" t="s">
        <v>617</v>
      </c>
      <c r="L106" s="28" t="s">
        <v>101</v>
      </c>
      <c r="M106" s="10"/>
      <c r="N106" s="5" t="s">
        <v>609</v>
      </c>
      <c r="O106" s="9" t="s">
        <v>49</v>
      </c>
    </row>
    <row r="107" spans="1:15">
      <c r="A10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VLT-CAL-015-BEG-XP</v>
      </c>
      <c r="B107" s="5" t="s">
        <v>64</v>
      </c>
      <c r="C107" s="9" t="s">
        <v>618</v>
      </c>
      <c r="D107" s="5" t="s">
        <v>619</v>
      </c>
      <c r="E107" s="5" t="s">
        <v>86</v>
      </c>
      <c r="F107" s="5" t="s">
        <v>299</v>
      </c>
      <c r="G107" s="9" t="s">
        <v>45</v>
      </c>
      <c r="H107" s="11">
        <v>189.9</v>
      </c>
      <c r="I107" s="11">
        <v>70.55</v>
      </c>
      <c r="J107" s="12">
        <f>IF(OR(tInverno25[[#This Row],[Preço (R$)]]="",tInverno25[[#This Row],[Custo (R$)]]=""),"",(tInverno25[[#This Row],[Preço (R$)]]-tInverno25[[#This Row],[Custo (R$)]])/tInverno25[[#This Row],[Preço (R$)]])</f>
        <v>0.62848867825171151</v>
      </c>
      <c r="K107" s="5" t="s">
        <v>620</v>
      </c>
      <c r="L107" s="28" t="s">
        <v>47</v>
      </c>
      <c r="M107" s="10"/>
      <c r="N107" s="5" t="s">
        <v>470</v>
      </c>
      <c r="O107" s="9" t="s">
        <v>71</v>
      </c>
    </row>
    <row r="108" spans="1:15">
      <c r="A10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VLT-CAL-015-BEG-P</v>
      </c>
      <c r="B108" s="5" t="s">
        <v>64</v>
      </c>
      <c r="C108" s="9" t="s">
        <v>618</v>
      </c>
      <c r="D108" s="5" t="s">
        <v>619</v>
      </c>
      <c r="E108" s="5" t="s">
        <v>86</v>
      </c>
      <c r="F108" s="5" t="s">
        <v>299</v>
      </c>
      <c r="G108" s="9" t="s">
        <v>51</v>
      </c>
      <c r="H108" s="11">
        <v>189.9</v>
      </c>
      <c r="I108" s="11">
        <v>73.680000000000007</v>
      </c>
      <c r="J108" s="12">
        <f>IF(OR(tInverno25[[#This Row],[Preço (R$)]]="",tInverno25[[#This Row],[Custo (R$)]]=""),"",(tInverno25[[#This Row],[Preço (R$)]]-tInverno25[[#This Row],[Custo (R$)]])/tInverno25[[#This Row],[Preço (R$)]])</f>
        <v>0.61200631911532388</v>
      </c>
      <c r="K108" s="5" t="s">
        <v>621</v>
      </c>
      <c r="L108" s="28" t="s">
        <v>47</v>
      </c>
      <c r="M108" s="10"/>
      <c r="N108" s="5" t="s">
        <v>622</v>
      </c>
      <c r="O108" s="9" t="s">
        <v>71</v>
      </c>
    </row>
    <row r="109" spans="1:15">
      <c r="A10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VLT-CAL-015-BEG-M</v>
      </c>
      <c r="B109" s="5" t="s">
        <v>64</v>
      </c>
      <c r="C109" s="9" t="s">
        <v>618</v>
      </c>
      <c r="D109" s="5" t="s">
        <v>619</v>
      </c>
      <c r="E109" s="5" t="s">
        <v>86</v>
      </c>
      <c r="F109" s="5" t="s">
        <v>299</v>
      </c>
      <c r="G109" s="9" t="s">
        <v>54</v>
      </c>
      <c r="H109" s="11">
        <v>189.9</v>
      </c>
      <c r="I109" s="11"/>
      <c r="J109" s="12" t="str">
        <f>IF(OR(tInverno25[[#This Row],[Preço (R$)]]="",tInverno25[[#This Row],[Custo (R$)]]=""),"",(tInverno25[[#This Row],[Preço (R$)]]-tInverno25[[#This Row],[Custo (R$)]])/tInverno25[[#This Row],[Preço (R$)]])</f>
        <v/>
      </c>
      <c r="K109" s="5" t="s">
        <v>623</v>
      </c>
      <c r="L109" s="28" t="s">
        <v>47</v>
      </c>
      <c r="M109" s="10"/>
      <c r="N109" s="5" t="s">
        <v>470</v>
      </c>
      <c r="O109" s="9" t="s">
        <v>71</v>
      </c>
    </row>
    <row r="110" spans="1:15">
      <c r="A11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VLT-CAL-015-BEG-G</v>
      </c>
      <c r="B110" s="5" t="s">
        <v>64</v>
      </c>
      <c r="C110" s="9" t="s">
        <v>618</v>
      </c>
      <c r="D110" s="5" t="s">
        <v>619</v>
      </c>
      <c r="E110" s="5" t="s">
        <v>86</v>
      </c>
      <c r="F110" s="5" t="s">
        <v>299</v>
      </c>
      <c r="G110" s="9" t="s">
        <v>58</v>
      </c>
      <c r="H110" s="11">
        <v>189.9</v>
      </c>
      <c r="I110" s="11">
        <v>73.19</v>
      </c>
      <c r="J110" s="12">
        <f>IF(OR(tInverno25[[#This Row],[Preço (R$)]]="",tInverno25[[#This Row],[Custo (R$)]]=""),"",(tInverno25[[#This Row],[Preço (R$)]]-tInverno25[[#This Row],[Custo (R$)]])/tInverno25[[#This Row],[Preço (R$)]])</f>
        <v>0.61458662453923119</v>
      </c>
      <c r="K110" s="5" t="s">
        <v>624</v>
      </c>
      <c r="L110" s="28" t="s">
        <v>47</v>
      </c>
      <c r="M110" s="10"/>
      <c r="N110" s="5" t="s">
        <v>577</v>
      </c>
      <c r="O110" s="9" t="s">
        <v>71</v>
      </c>
    </row>
    <row r="111" spans="1:15">
      <c r="A11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VLT-CAL-015-BEG-GG</v>
      </c>
      <c r="B111" s="5" t="s">
        <v>64</v>
      </c>
      <c r="C111" s="9" t="s">
        <v>618</v>
      </c>
      <c r="D111" s="5" t="s">
        <v>619</v>
      </c>
      <c r="E111" s="5" t="s">
        <v>86</v>
      </c>
      <c r="F111" s="5" t="s">
        <v>299</v>
      </c>
      <c r="G111" s="9" t="s">
        <v>61</v>
      </c>
      <c r="H111" s="11">
        <v>189.9</v>
      </c>
      <c r="I111" s="11"/>
      <c r="J111" s="12" t="str">
        <f>IF(OR(tInverno25[[#This Row],[Preço (R$)]]="",tInverno25[[#This Row],[Custo (R$)]]=""),"",(tInverno25[[#This Row],[Preço (R$)]]-tInverno25[[#This Row],[Custo (R$)]])/tInverno25[[#This Row],[Preço (R$)]])</f>
        <v/>
      </c>
      <c r="K111" s="5" t="s">
        <v>625</v>
      </c>
      <c r="L111" s="28" t="s">
        <v>47</v>
      </c>
      <c r="M111" s="10"/>
      <c r="N111" s="5" t="s">
        <v>470</v>
      </c>
      <c r="O111" s="9" t="s">
        <v>71</v>
      </c>
    </row>
    <row r="112" spans="1:15">
      <c r="A11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VLT-CAL-016-OLI-XP</v>
      </c>
      <c r="B112" s="5" t="s">
        <v>64</v>
      </c>
      <c r="C112" s="9" t="s">
        <v>626</v>
      </c>
      <c r="D112" s="5" t="s">
        <v>627</v>
      </c>
      <c r="E112" s="5" t="s">
        <v>86</v>
      </c>
      <c r="F112" s="5" t="s">
        <v>180</v>
      </c>
      <c r="G112" s="9" t="s">
        <v>45</v>
      </c>
      <c r="H112" s="11">
        <v>259.89999999999998</v>
      </c>
      <c r="I112" s="11">
        <v>105.53</v>
      </c>
      <c r="J112" s="12">
        <f>IF(OR(tInverno25[[#This Row],[Preço (R$)]]="",tInverno25[[#This Row],[Custo (R$)]]=""),"",(tInverno25[[#This Row],[Preço (R$)]]-tInverno25[[#This Row],[Custo (R$)]])/tInverno25[[#This Row],[Preço (R$)]])</f>
        <v>0.59395921508272409</v>
      </c>
      <c r="K112" s="5" t="s">
        <v>628</v>
      </c>
      <c r="L112" s="28" t="s">
        <v>47</v>
      </c>
      <c r="M112" s="10"/>
      <c r="N112" s="5" t="s">
        <v>574</v>
      </c>
      <c r="O112" s="9" t="s">
        <v>71</v>
      </c>
    </row>
    <row r="113" spans="1:15">
      <c r="A11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VLT-CAL-016-OLI-P</v>
      </c>
      <c r="B113" s="5" t="s">
        <v>64</v>
      </c>
      <c r="C113" s="9" t="s">
        <v>626</v>
      </c>
      <c r="D113" s="5" t="s">
        <v>627</v>
      </c>
      <c r="E113" s="5" t="s">
        <v>86</v>
      </c>
      <c r="F113" s="5" t="s">
        <v>180</v>
      </c>
      <c r="G113" s="9" t="s">
        <v>51</v>
      </c>
      <c r="H113" s="11">
        <v>259.89999999999998</v>
      </c>
      <c r="I113" s="11">
        <v>107.78</v>
      </c>
      <c r="J113" s="12">
        <f>IF(OR(tInverno25[[#This Row],[Preço (R$)]]="",tInverno25[[#This Row],[Custo (R$)]]=""),"",(tInverno25[[#This Row],[Preço (R$)]]-tInverno25[[#This Row],[Custo (R$)]])/tInverno25[[#This Row],[Preço (R$)]])</f>
        <v>0.58530203924586377</v>
      </c>
      <c r="K113" s="5" t="s">
        <v>629</v>
      </c>
      <c r="L113" s="28" t="s">
        <v>47</v>
      </c>
      <c r="M113" s="10"/>
      <c r="N113" s="5" t="s">
        <v>470</v>
      </c>
      <c r="O113" s="9" t="s">
        <v>71</v>
      </c>
    </row>
    <row r="114" spans="1:15">
      <c r="A11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VLT-CAL-016-OLI-M</v>
      </c>
      <c r="B114" s="5" t="s">
        <v>64</v>
      </c>
      <c r="C114" s="9" t="s">
        <v>626</v>
      </c>
      <c r="D114" s="5" t="s">
        <v>627</v>
      </c>
      <c r="E114" s="5" t="s">
        <v>86</v>
      </c>
      <c r="F114" s="5" t="s">
        <v>180</v>
      </c>
      <c r="G114" s="9" t="s">
        <v>54</v>
      </c>
      <c r="H114" s="11">
        <v>259.89999999999998</v>
      </c>
      <c r="I114" s="11"/>
      <c r="J114" s="12" t="str">
        <f>IF(OR(tInverno25[[#This Row],[Preço (R$)]]="",tInverno25[[#This Row],[Custo (R$)]]=""),"",(tInverno25[[#This Row],[Preço (R$)]]-tInverno25[[#This Row],[Custo (R$)]])/tInverno25[[#This Row],[Preço (R$)]])</f>
        <v/>
      </c>
      <c r="K114" s="5" t="s">
        <v>630</v>
      </c>
      <c r="L114" s="28" t="s">
        <v>47</v>
      </c>
      <c r="M114" s="10"/>
      <c r="N114" s="5" t="s">
        <v>470</v>
      </c>
      <c r="O114" s="9" t="s">
        <v>71</v>
      </c>
    </row>
    <row r="115" spans="1:15">
      <c r="A11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VLT-CAL-016-OLI-G</v>
      </c>
      <c r="B115" s="5" t="s">
        <v>64</v>
      </c>
      <c r="C115" s="9" t="s">
        <v>626</v>
      </c>
      <c r="D115" s="5" t="s">
        <v>627</v>
      </c>
      <c r="E115" s="5" t="s">
        <v>86</v>
      </c>
      <c r="F115" s="5" t="s">
        <v>180</v>
      </c>
      <c r="G115" s="9" t="s">
        <v>58</v>
      </c>
      <c r="H115" s="11">
        <v>259.89999999999998</v>
      </c>
      <c r="I115" s="11">
        <v>104.18</v>
      </c>
      <c r="J115" s="12">
        <f>IF(OR(tInverno25[[#This Row],[Preço (R$)]]="",tInverno25[[#This Row],[Custo (R$)]]=""),"",(tInverno25[[#This Row],[Preço (R$)]]-tInverno25[[#This Row],[Custo (R$)]])/tInverno25[[#This Row],[Preço (R$)]])</f>
        <v>0.59915352058484028</v>
      </c>
      <c r="K115" s="5" t="s">
        <v>631</v>
      </c>
      <c r="L115" s="28" t="s">
        <v>47</v>
      </c>
      <c r="M115" s="10"/>
      <c r="N115" s="5" t="s">
        <v>470</v>
      </c>
      <c r="O115" s="9" t="s">
        <v>71</v>
      </c>
    </row>
    <row r="116" spans="1:15">
      <c r="A11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VLT-CAL-016-OLI-GG</v>
      </c>
      <c r="B116" s="5" t="s">
        <v>64</v>
      </c>
      <c r="C116" s="9" t="s">
        <v>626</v>
      </c>
      <c r="D116" s="5" t="s">
        <v>627</v>
      </c>
      <c r="E116" s="5" t="s">
        <v>86</v>
      </c>
      <c r="F116" s="5" t="s">
        <v>180</v>
      </c>
      <c r="G116" s="9" t="s">
        <v>61</v>
      </c>
      <c r="H116" s="11">
        <v>259.89999999999998</v>
      </c>
      <c r="I116" s="11"/>
      <c r="J116" s="12" t="str">
        <f>IF(OR(tInverno25[[#This Row],[Preço (R$)]]="",tInverno25[[#This Row],[Custo (R$)]]=""),"",(tInverno25[[#This Row],[Preço (R$)]]-tInverno25[[#This Row],[Custo (R$)]])/tInverno25[[#This Row],[Preço (R$)]])</f>
        <v/>
      </c>
      <c r="K116" s="5" t="s">
        <v>632</v>
      </c>
      <c r="L116" s="28" t="s">
        <v>47</v>
      </c>
      <c r="M116" s="10"/>
      <c r="N116" s="5" t="s">
        <v>633</v>
      </c>
      <c r="O116" s="9" t="s">
        <v>71</v>
      </c>
    </row>
    <row r="117" spans="1:15">
      <c r="A11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VLT-CAL-017-VIN-P</v>
      </c>
      <c r="B117" s="5" t="s">
        <v>64</v>
      </c>
      <c r="C117" s="9" t="s">
        <v>634</v>
      </c>
      <c r="D117" s="5" t="s">
        <v>635</v>
      </c>
      <c r="E117" s="5" t="s">
        <v>86</v>
      </c>
      <c r="F117" s="5" t="s">
        <v>129</v>
      </c>
      <c r="G117" s="9" t="s">
        <v>51</v>
      </c>
      <c r="H117" s="11">
        <v>279.89999999999998</v>
      </c>
      <c r="I117" s="11">
        <v>101.53</v>
      </c>
      <c r="J117" s="12">
        <f>IF(OR(tInverno25[[#This Row],[Preço (R$)]]="",tInverno25[[#This Row],[Custo (R$)]]=""),"",(tInverno25[[#This Row],[Preço (R$)]]-tInverno25[[#This Row],[Custo (R$)]])/tInverno25[[#This Row],[Preço (R$)]])</f>
        <v>0.63726330832440159</v>
      </c>
      <c r="K117" s="5" t="s">
        <v>636</v>
      </c>
      <c r="L117" s="28" t="s">
        <v>47</v>
      </c>
      <c r="M117" s="10"/>
      <c r="N117" s="5" t="s">
        <v>470</v>
      </c>
      <c r="O117" s="9" t="s">
        <v>71</v>
      </c>
    </row>
    <row r="118" spans="1:15">
      <c r="A11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VLT-CAL-017-VIN-M</v>
      </c>
      <c r="B118" s="5" t="s">
        <v>64</v>
      </c>
      <c r="C118" s="9" t="s">
        <v>634</v>
      </c>
      <c r="D118" s="5" t="s">
        <v>635</v>
      </c>
      <c r="E118" s="5" t="s">
        <v>86</v>
      </c>
      <c r="F118" s="5" t="s">
        <v>129</v>
      </c>
      <c r="G118" s="9" t="s">
        <v>54</v>
      </c>
      <c r="H118" s="11">
        <v>279.89999999999998</v>
      </c>
      <c r="I118" s="11"/>
      <c r="J118" s="12" t="str">
        <f>IF(OR(tInverno25[[#This Row],[Preço (R$)]]="",tInverno25[[#This Row],[Custo (R$)]]=""),"",(tInverno25[[#This Row],[Preço (R$)]]-tInverno25[[#This Row],[Custo (R$)]])/tInverno25[[#This Row],[Preço (R$)]])</f>
        <v/>
      </c>
      <c r="K118" s="5" t="s">
        <v>637</v>
      </c>
      <c r="L118" s="28" t="s">
        <v>47</v>
      </c>
      <c r="M118" s="10"/>
      <c r="N118" s="5" t="s">
        <v>470</v>
      </c>
      <c r="O118" s="9" t="s">
        <v>71</v>
      </c>
    </row>
    <row r="119" spans="1:15">
      <c r="A11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VLT-CAL-017-VIN-G</v>
      </c>
      <c r="B119" s="5" t="s">
        <v>64</v>
      </c>
      <c r="C119" s="9" t="s">
        <v>634</v>
      </c>
      <c r="D119" s="5" t="s">
        <v>635</v>
      </c>
      <c r="E119" s="5" t="s">
        <v>86</v>
      </c>
      <c r="F119" s="5" t="s">
        <v>129</v>
      </c>
      <c r="G119" s="9" t="s">
        <v>58</v>
      </c>
      <c r="H119" s="11">
        <v>279.89999999999998</v>
      </c>
      <c r="I119" s="11">
        <v>101.33</v>
      </c>
      <c r="J119" s="12">
        <f>IF(OR(tInverno25[[#This Row],[Preço (R$)]]="",tInverno25[[#This Row],[Custo (R$)]]=""),"",(tInverno25[[#This Row],[Preço (R$)]]-tInverno25[[#This Row],[Custo (R$)]])/tInverno25[[#This Row],[Preço (R$)]])</f>
        <v>0.63797784923186851</v>
      </c>
      <c r="K119" s="5" t="s">
        <v>638</v>
      </c>
      <c r="L119" s="28" t="s">
        <v>47</v>
      </c>
      <c r="M119" s="10"/>
      <c r="N119" s="5" t="s">
        <v>470</v>
      </c>
      <c r="O119" s="9" t="s">
        <v>71</v>
      </c>
    </row>
    <row r="120" spans="1:15">
      <c r="A12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VLT-CAL-017-VIN-GG</v>
      </c>
      <c r="B120" s="5" t="s">
        <v>64</v>
      </c>
      <c r="C120" s="9" t="s">
        <v>634</v>
      </c>
      <c r="D120" s="5" t="s">
        <v>635</v>
      </c>
      <c r="E120" s="5" t="s">
        <v>86</v>
      </c>
      <c r="F120" s="5" t="s">
        <v>129</v>
      </c>
      <c r="G120" s="9" t="s">
        <v>61</v>
      </c>
      <c r="H120" s="11">
        <v>279.89999999999998</v>
      </c>
      <c r="I120" s="11">
        <v>100.96</v>
      </c>
      <c r="J120" s="12">
        <f>IF(OR(tInverno25[[#This Row],[Preço (R$)]]="",tInverno25[[#This Row],[Custo (R$)]]=""),"",(tInverno25[[#This Row],[Preço (R$)]]-tInverno25[[#This Row],[Custo (R$)]])/tInverno25[[#This Row],[Preço (R$)]])</f>
        <v>0.63929974991068239</v>
      </c>
      <c r="K120" s="5" t="s">
        <v>639</v>
      </c>
      <c r="L120" s="28" t="s">
        <v>47</v>
      </c>
      <c r="M120" s="10"/>
      <c r="N120" s="5" t="s">
        <v>574</v>
      </c>
      <c r="O120" s="9" t="s">
        <v>71</v>
      </c>
    </row>
    <row r="121" spans="1:15">
      <c r="A12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VLT-TRI-010-OLI-P</v>
      </c>
      <c r="B121" s="5" t="s">
        <v>64</v>
      </c>
      <c r="C121" s="9" t="s">
        <v>640</v>
      </c>
      <c r="D121" s="5" t="s">
        <v>641</v>
      </c>
      <c r="E121" s="5" t="s">
        <v>445</v>
      </c>
      <c r="F121" s="5" t="s">
        <v>180</v>
      </c>
      <c r="G121" s="9" t="s">
        <v>51</v>
      </c>
      <c r="H121" s="11">
        <v>229.9</v>
      </c>
      <c r="I121" s="11">
        <v>99.63</v>
      </c>
      <c r="J121" s="12">
        <f>IF(OR(tInverno25[[#This Row],[Preço (R$)]]="",tInverno25[[#This Row],[Custo (R$)]]=""),"",(tInverno25[[#This Row],[Preço (R$)]]-tInverno25[[#This Row],[Custo (R$)]])/tInverno25[[#This Row],[Preço (R$)]])</f>
        <v>0.56663766855154418</v>
      </c>
      <c r="K121" s="5" t="s">
        <v>642</v>
      </c>
      <c r="L121" s="28" t="s">
        <v>101</v>
      </c>
      <c r="M121" s="10"/>
      <c r="N121" s="5" t="s">
        <v>643</v>
      </c>
      <c r="O121" s="9" t="s">
        <v>71</v>
      </c>
    </row>
    <row r="122" spans="1:15">
      <c r="A12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VLT-TRI-010-OLI-M</v>
      </c>
      <c r="B122" s="5" t="s">
        <v>64</v>
      </c>
      <c r="C122" s="9" t="s">
        <v>640</v>
      </c>
      <c r="D122" s="5" t="s">
        <v>641</v>
      </c>
      <c r="E122" s="5" t="s">
        <v>445</v>
      </c>
      <c r="F122" s="5" t="s">
        <v>180</v>
      </c>
      <c r="G122" s="9" t="s">
        <v>54</v>
      </c>
      <c r="H122" s="11">
        <v>229.9</v>
      </c>
      <c r="I122" s="11">
        <v>99.59</v>
      </c>
      <c r="J122" s="12">
        <f>IF(OR(tInverno25[[#This Row],[Preço (R$)]]="",tInverno25[[#This Row],[Custo (R$)]]=""),"",(tInverno25[[#This Row],[Preço (R$)]]-tInverno25[[#This Row],[Custo (R$)]])/tInverno25[[#This Row],[Preço (R$)]])</f>
        <v>0.56681165724227922</v>
      </c>
      <c r="K122" s="5" t="s">
        <v>644</v>
      </c>
      <c r="L122" s="28" t="s">
        <v>101</v>
      </c>
      <c r="M122" s="10"/>
      <c r="N122" s="5" t="s">
        <v>645</v>
      </c>
      <c r="O122" s="9" t="s">
        <v>71</v>
      </c>
    </row>
    <row r="123" spans="1:15">
      <c r="A12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VLT-TRI-010-OLI-G</v>
      </c>
      <c r="B123" s="5" t="s">
        <v>64</v>
      </c>
      <c r="C123" s="9" t="s">
        <v>640</v>
      </c>
      <c r="D123" s="5" t="s">
        <v>641</v>
      </c>
      <c r="E123" s="5" t="s">
        <v>445</v>
      </c>
      <c r="F123" s="5" t="s">
        <v>180</v>
      </c>
      <c r="G123" s="9" t="s">
        <v>58</v>
      </c>
      <c r="H123" s="11">
        <v>229.9</v>
      </c>
      <c r="I123" s="11">
        <v>100.02</v>
      </c>
      <c r="J123" s="12">
        <f>IF(OR(tInverno25[[#This Row],[Preço (R$)]]="",tInverno25[[#This Row],[Custo (R$)]]=""),"",(tInverno25[[#This Row],[Preço (R$)]]-tInverno25[[#This Row],[Custo (R$)]])/tInverno25[[#This Row],[Preço (R$)]])</f>
        <v>0.56494127881687684</v>
      </c>
      <c r="K123" s="5" t="s">
        <v>646</v>
      </c>
      <c r="L123" s="28" t="s">
        <v>101</v>
      </c>
      <c r="M123" s="10"/>
      <c r="N123" s="5" t="s">
        <v>643</v>
      </c>
      <c r="O123" s="9" t="s">
        <v>71</v>
      </c>
    </row>
    <row r="124" spans="1:15">
      <c r="A12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VLT-TRI-011-BEG-P</v>
      </c>
      <c r="B124" s="28" t="s">
        <v>647</v>
      </c>
      <c r="C124" s="9" t="s">
        <v>648</v>
      </c>
      <c r="D124" s="5" t="s">
        <v>649</v>
      </c>
      <c r="E124" s="5" t="s">
        <v>445</v>
      </c>
      <c r="F124" s="5" t="s">
        <v>299</v>
      </c>
      <c r="G124" s="9" t="s">
        <v>51</v>
      </c>
      <c r="H124" s="11">
        <v>279.89999999999998</v>
      </c>
      <c r="I124" s="11">
        <v>133.4</v>
      </c>
      <c r="J124" s="12">
        <f>IF(OR(tInverno25[[#This Row],[Preço (R$)]]="",tInverno25[[#This Row],[Custo (R$)]]=""),"",(tInverno25[[#This Row],[Preço (R$)]]-tInverno25[[#This Row],[Custo (R$)]])/tInverno25[[#This Row],[Preço (R$)]])</f>
        <v>0.5234012147195426</v>
      </c>
      <c r="K124" s="5" t="s">
        <v>650</v>
      </c>
      <c r="L124" s="28" t="s">
        <v>101</v>
      </c>
      <c r="M124" s="10"/>
      <c r="N124" s="5" t="s">
        <v>651</v>
      </c>
      <c r="O124" s="9" t="s">
        <v>49</v>
      </c>
    </row>
    <row r="125" spans="1:15">
      <c r="A12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VLT-TRI-011-BEG-M</v>
      </c>
      <c r="B125" s="28" t="s">
        <v>652</v>
      </c>
      <c r="C125" s="9" t="s">
        <v>648</v>
      </c>
      <c r="D125" s="5" t="s">
        <v>649</v>
      </c>
      <c r="E125" s="5" t="s">
        <v>445</v>
      </c>
      <c r="F125" s="5" t="s">
        <v>299</v>
      </c>
      <c r="G125" s="9" t="s">
        <v>54</v>
      </c>
      <c r="H125" s="11">
        <v>279.89999999999998</v>
      </c>
      <c r="I125" s="11">
        <v>132.26</v>
      </c>
      <c r="J125" s="12">
        <f>IF(OR(tInverno25[[#This Row],[Preço (R$)]]="",tInverno25[[#This Row],[Custo (R$)]]=""),"",(tInverno25[[#This Row],[Preço (R$)]]-tInverno25[[#This Row],[Custo (R$)]])/tInverno25[[#This Row],[Preço (R$)]])</f>
        <v>0.52747409789210431</v>
      </c>
      <c r="K125" s="5" t="s">
        <v>653</v>
      </c>
      <c r="L125" s="28" t="s">
        <v>101</v>
      </c>
      <c r="M125" s="10"/>
      <c r="N125" s="5" t="s">
        <v>560</v>
      </c>
      <c r="O125" s="9" t="s">
        <v>49</v>
      </c>
    </row>
    <row r="126" spans="1:15">
      <c r="A12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VLT-TRI-011-BEG-G</v>
      </c>
      <c r="B126" s="28" t="s">
        <v>654</v>
      </c>
      <c r="C126" s="9" t="s">
        <v>648</v>
      </c>
      <c r="D126" s="5" t="s">
        <v>649</v>
      </c>
      <c r="E126" s="5" t="s">
        <v>445</v>
      </c>
      <c r="F126" s="5" t="s">
        <v>299</v>
      </c>
      <c r="G126" s="9" t="s">
        <v>58</v>
      </c>
      <c r="H126" s="11">
        <v>279.89999999999998</v>
      </c>
      <c r="I126" s="11">
        <v>130.19</v>
      </c>
      <c r="J126" s="12">
        <f>IF(OR(tInverno25[[#This Row],[Preço (R$)]]="",tInverno25[[#This Row],[Custo (R$)]]=""),"",(tInverno25[[#This Row],[Preço (R$)]]-tInverno25[[#This Row],[Custo (R$)]])/tInverno25[[#This Row],[Preço (R$)]])</f>
        <v>0.53486959628438724</v>
      </c>
      <c r="K126" s="5" t="s">
        <v>655</v>
      </c>
      <c r="L126" s="28" t="s">
        <v>101</v>
      </c>
      <c r="M126" s="10"/>
      <c r="N126" s="5" t="s">
        <v>651</v>
      </c>
      <c r="O126" s="9" t="s">
        <v>49</v>
      </c>
    </row>
    <row r="127" spans="1:15">
      <c r="A12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VLT-CAL-018-BEG-XP</v>
      </c>
      <c r="B127" s="28" t="s">
        <v>656</v>
      </c>
      <c r="C127" s="9" t="s">
        <v>657</v>
      </c>
      <c r="D127" s="5" t="s">
        <v>658</v>
      </c>
      <c r="E127" s="5" t="s">
        <v>86</v>
      </c>
      <c r="F127" s="5" t="s">
        <v>299</v>
      </c>
      <c r="G127" s="9" t="s">
        <v>45</v>
      </c>
      <c r="H127" s="11">
        <v>239.9</v>
      </c>
      <c r="I127" s="11">
        <v>109.65</v>
      </c>
      <c r="J127" s="12">
        <f>IF(OR(tInverno25[[#This Row],[Preço (R$)]]="",tInverno25[[#This Row],[Custo (R$)]]=""),"",(tInverno25[[#This Row],[Preço (R$)]]-tInverno25[[#This Row],[Custo (R$)]])/tInverno25[[#This Row],[Preço (R$)]])</f>
        <v>0.54293455606502705</v>
      </c>
      <c r="K127" s="28" t="s">
        <v>659</v>
      </c>
      <c r="L127" s="28" t="s">
        <v>47</v>
      </c>
      <c r="M127" s="10"/>
      <c r="N127" s="5" t="s">
        <v>660</v>
      </c>
      <c r="O127" s="9" t="s">
        <v>49</v>
      </c>
    </row>
    <row r="128" spans="1:15">
      <c r="A12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VLT-CAL-018-BEG-P</v>
      </c>
      <c r="B128" s="28" t="s">
        <v>661</v>
      </c>
      <c r="C128" s="9" t="s">
        <v>657</v>
      </c>
      <c r="D128" s="5" t="s">
        <v>658</v>
      </c>
      <c r="E128" s="5" t="s">
        <v>86</v>
      </c>
      <c r="F128" s="5" t="s">
        <v>299</v>
      </c>
      <c r="G128" s="9" t="s">
        <v>51</v>
      </c>
      <c r="H128" s="11">
        <v>239.9</v>
      </c>
      <c r="I128" s="11">
        <v>109.65</v>
      </c>
      <c r="J128" s="12">
        <f>IF(OR(tInverno25[[#This Row],[Preço (R$)]]="",tInverno25[[#This Row],[Custo (R$)]]=""),"",(tInverno25[[#This Row],[Preço (R$)]]-tInverno25[[#This Row],[Custo (R$)]])/tInverno25[[#This Row],[Preço (R$)]])</f>
        <v>0.54293455606502705</v>
      </c>
      <c r="K128" s="28" t="s">
        <v>662</v>
      </c>
      <c r="L128" s="28" t="s">
        <v>47</v>
      </c>
      <c r="M128" s="10"/>
      <c r="N128" s="5" t="s">
        <v>660</v>
      </c>
      <c r="O128" s="9" t="s">
        <v>49</v>
      </c>
    </row>
    <row r="129" spans="1:15">
      <c r="A12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VLT-CAL-018-BEG-M</v>
      </c>
      <c r="B129" s="28" t="s">
        <v>663</v>
      </c>
      <c r="C129" s="9" t="s">
        <v>657</v>
      </c>
      <c r="D129" s="5" t="s">
        <v>658</v>
      </c>
      <c r="E129" s="5" t="s">
        <v>86</v>
      </c>
      <c r="F129" s="5" t="s">
        <v>299</v>
      </c>
      <c r="G129" s="9" t="s">
        <v>54</v>
      </c>
      <c r="H129" s="11">
        <v>239.9</v>
      </c>
      <c r="I129" s="11">
        <v>109.65</v>
      </c>
      <c r="J129" s="12">
        <f>IF(OR(tInverno25[[#This Row],[Preço (R$)]]="",tInverno25[[#This Row],[Custo (R$)]]=""),"",(tInverno25[[#This Row],[Preço (R$)]]-tInverno25[[#This Row],[Custo (R$)]])/tInverno25[[#This Row],[Preço (R$)]])</f>
        <v>0.54293455606502705</v>
      </c>
      <c r="K129" s="28" t="s">
        <v>664</v>
      </c>
      <c r="L129" s="28" t="s">
        <v>47</v>
      </c>
      <c r="M129" s="10"/>
      <c r="N129" s="5" t="s">
        <v>660</v>
      </c>
      <c r="O129" s="9" t="s">
        <v>49</v>
      </c>
    </row>
    <row r="130" spans="1:15">
      <c r="A13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VLT-CAL-018-BEG-G</v>
      </c>
      <c r="B130" s="28" t="s">
        <v>665</v>
      </c>
      <c r="C130" s="9" t="s">
        <v>657</v>
      </c>
      <c r="D130" s="5" t="s">
        <v>658</v>
      </c>
      <c r="E130" s="5" t="s">
        <v>86</v>
      </c>
      <c r="F130" s="5" t="s">
        <v>299</v>
      </c>
      <c r="G130" s="9" t="s">
        <v>58</v>
      </c>
      <c r="H130" s="11">
        <v>239.9</v>
      </c>
      <c r="I130" s="11">
        <v>109.65</v>
      </c>
      <c r="J130" s="12">
        <f>IF(OR(tInverno25[[#This Row],[Preço (R$)]]="",tInverno25[[#This Row],[Custo (R$)]]=""),"",(tInverno25[[#This Row],[Preço (R$)]]-tInverno25[[#This Row],[Custo (R$)]])/tInverno25[[#This Row],[Preço (R$)]])</f>
        <v>0.54293455606502705</v>
      </c>
      <c r="K130" s="28" t="s">
        <v>666</v>
      </c>
      <c r="L130" s="28" t="s">
        <v>47</v>
      </c>
      <c r="M130" s="10"/>
      <c r="N130" s="5" t="s">
        <v>660</v>
      </c>
      <c r="O130" s="9" t="s">
        <v>49</v>
      </c>
    </row>
    <row r="131" spans="1:15">
      <c r="A13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VLT-CAL-018-BEG-GG</v>
      </c>
      <c r="B131" s="28" t="s">
        <v>667</v>
      </c>
      <c r="C131" s="9" t="s">
        <v>657</v>
      </c>
      <c r="D131" s="5" t="s">
        <v>658</v>
      </c>
      <c r="E131" s="5" t="s">
        <v>86</v>
      </c>
      <c r="F131" s="5" t="s">
        <v>299</v>
      </c>
      <c r="G131" s="9" t="s">
        <v>61</v>
      </c>
      <c r="H131" s="11">
        <v>239.9</v>
      </c>
      <c r="I131" s="11">
        <v>109.65</v>
      </c>
      <c r="J131" s="12">
        <f>IF(OR(tInverno25[[#This Row],[Preço (R$)]]="",tInverno25[[#This Row],[Custo (R$)]]=""),"",(tInverno25[[#This Row],[Preço (R$)]]-tInverno25[[#This Row],[Custo (R$)]])/tInverno25[[#This Row],[Preço (R$)]])</f>
        <v>0.54293455606502705</v>
      </c>
      <c r="K131" s="28" t="s">
        <v>668</v>
      </c>
      <c r="L131" s="28" t="s">
        <v>47</v>
      </c>
      <c r="M131" s="10"/>
      <c r="N131" s="5" t="s">
        <v>660</v>
      </c>
      <c r="O131" s="9" t="s">
        <v>49</v>
      </c>
    </row>
    <row r="132" spans="1:15">
      <c r="A13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VLT-TOP-011-CIN-P</v>
      </c>
      <c r="B132" s="5" t="s">
        <v>64</v>
      </c>
      <c r="C132" s="9" t="s">
        <v>669</v>
      </c>
      <c r="D132" s="5" t="s">
        <v>670</v>
      </c>
      <c r="E132" s="5" t="s">
        <v>179</v>
      </c>
      <c r="F132" s="5" t="s">
        <v>164</v>
      </c>
      <c r="G132" s="9" t="s">
        <v>51</v>
      </c>
      <c r="H132" s="11">
        <v>149.9</v>
      </c>
      <c r="I132" s="11">
        <v>53.31</v>
      </c>
      <c r="J132" s="12">
        <f>IF(OR(tInverno25[[#This Row],[Preço (R$)]]="",tInverno25[[#This Row],[Custo (R$)]]=""),"",(tInverno25[[#This Row],[Preço (R$)]]-tInverno25[[#This Row],[Custo (R$)]])/tInverno25[[#This Row],[Preço (R$)]])</f>
        <v>0.64436290860573719</v>
      </c>
      <c r="K132" s="5" t="s">
        <v>671</v>
      </c>
      <c r="L132" s="28" t="s">
        <v>101</v>
      </c>
      <c r="M132" s="10"/>
      <c r="N132" s="5" t="s">
        <v>672</v>
      </c>
      <c r="O132" s="9" t="s">
        <v>71</v>
      </c>
    </row>
    <row r="133" spans="1:15">
      <c r="A13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VLT-TOP-011-CIN-M</v>
      </c>
      <c r="B133" s="5" t="s">
        <v>64</v>
      </c>
      <c r="C133" s="9" t="s">
        <v>669</v>
      </c>
      <c r="D133" s="5" t="s">
        <v>670</v>
      </c>
      <c r="E133" s="5" t="s">
        <v>179</v>
      </c>
      <c r="F133" s="5" t="s">
        <v>164</v>
      </c>
      <c r="G133" s="9" t="s">
        <v>54</v>
      </c>
      <c r="H133" s="11">
        <v>149.9</v>
      </c>
      <c r="I133" s="11">
        <v>54.3</v>
      </c>
      <c r="J133" s="12">
        <f>IF(OR(tInverno25[[#This Row],[Preço (R$)]]="",tInverno25[[#This Row],[Custo (R$)]]=""),"",(tInverno25[[#This Row],[Preço (R$)]]-tInverno25[[#This Row],[Custo (R$)]])/tInverno25[[#This Row],[Preço (R$)]])</f>
        <v>0.63775850567044701</v>
      </c>
      <c r="K133" s="5" t="s">
        <v>673</v>
      </c>
      <c r="L133" s="28" t="s">
        <v>101</v>
      </c>
      <c r="M133" s="10"/>
      <c r="N133" s="5" t="s">
        <v>672</v>
      </c>
      <c r="O133" s="9" t="s">
        <v>71</v>
      </c>
    </row>
    <row r="134" spans="1:15">
      <c r="A13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VLT-TOP-011-CIN-G</v>
      </c>
      <c r="B134" s="5" t="s">
        <v>64</v>
      </c>
      <c r="C134" s="9" t="s">
        <v>669</v>
      </c>
      <c r="D134" s="5" t="s">
        <v>670</v>
      </c>
      <c r="E134" s="5" t="s">
        <v>179</v>
      </c>
      <c r="F134" s="5" t="s">
        <v>164</v>
      </c>
      <c r="G134" s="9" t="s">
        <v>58</v>
      </c>
      <c r="H134" s="11">
        <v>149.9</v>
      </c>
      <c r="I134" s="11">
        <v>52.91</v>
      </c>
      <c r="J134" s="12">
        <f>IF(OR(tInverno25[[#This Row],[Preço (R$)]]="",tInverno25[[#This Row],[Custo (R$)]]=""),"",(tInverno25[[#This Row],[Preço (R$)]]-tInverno25[[#This Row],[Custo (R$)]])/tInverno25[[#This Row],[Preço (R$)]])</f>
        <v>0.64703135423615743</v>
      </c>
      <c r="K134" s="5" t="s">
        <v>674</v>
      </c>
      <c r="L134" s="28" t="s">
        <v>101</v>
      </c>
      <c r="M134" s="10"/>
      <c r="N134" s="5" t="s">
        <v>672</v>
      </c>
      <c r="O134" s="9" t="s">
        <v>71</v>
      </c>
    </row>
    <row r="135" spans="1:15">
      <c r="A13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VLT-TOP-011-CIN-GG</v>
      </c>
      <c r="B135" s="5" t="s">
        <v>64</v>
      </c>
      <c r="C135" s="9" t="s">
        <v>669</v>
      </c>
      <c r="D135" s="5" t="s">
        <v>670</v>
      </c>
      <c r="E135" s="5" t="s">
        <v>179</v>
      </c>
      <c r="F135" s="5" t="s">
        <v>164</v>
      </c>
      <c r="G135" s="9" t="s">
        <v>61</v>
      </c>
      <c r="H135" s="11">
        <v>149.9</v>
      </c>
      <c r="I135" s="11"/>
      <c r="J135" s="12" t="str">
        <f>IF(OR(tInverno25[[#This Row],[Preço (R$)]]="",tInverno25[[#This Row],[Custo (R$)]]=""),"",(tInverno25[[#This Row],[Preço (R$)]]-tInverno25[[#This Row],[Custo (R$)]])/tInverno25[[#This Row],[Preço (R$)]])</f>
        <v/>
      </c>
      <c r="K135" s="5" t="s">
        <v>675</v>
      </c>
      <c r="L135" s="28" t="s">
        <v>101</v>
      </c>
      <c r="M135" s="10"/>
      <c r="N135" s="5" t="s">
        <v>676</v>
      </c>
      <c r="O135" s="9" t="s">
        <v>71</v>
      </c>
    </row>
    <row r="136" spans="1:15">
      <c r="A13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VLT-JAQ-005-AMA-P</v>
      </c>
      <c r="B136" s="5" t="s">
        <v>677</v>
      </c>
      <c r="C136" s="9" t="s">
        <v>678</v>
      </c>
      <c r="D136" s="5" t="s">
        <v>679</v>
      </c>
      <c r="E136" s="5" t="s">
        <v>392</v>
      </c>
      <c r="F136" s="5" t="s">
        <v>99</v>
      </c>
      <c r="G136" s="9" t="s">
        <v>51</v>
      </c>
      <c r="H136" s="11">
        <v>339.9</v>
      </c>
      <c r="I136" s="27">
        <v>144.16</v>
      </c>
      <c r="J136" s="12">
        <f>IF(OR(tInverno25[[#This Row],[Preço (R$)]]="",tInverno25[[#This Row],[Custo (R$)]]=""),"",(tInverno25[[#This Row],[Preço (R$)]]-tInverno25[[#This Row],[Custo (R$)]])/tInverno25[[#This Row],[Preço (R$)]])</f>
        <v>0.57587525742865542</v>
      </c>
      <c r="K136" s="5" t="s">
        <v>680</v>
      </c>
      <c r="L136" s="28" t="s">
        <v>109</v>
      </c>
      <c r="M136" s="10"/>
      <c r="N136" s="5" t="s">
        <v>681</v>
      </c>
      <c r="O136" s="9" t="s">
        <v>49</v>
      </c>
    </row>
    <row r="137" spans="1:15">
      <c r="A13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VLT-JAQ-005-AMA-M</v>
      </c>
      <c r="B137" s="5" t="s">
        <v>682</v>
      </c>
      <c r="C137" s="9" t="s">
        <v>678</v>
      </c>
      <c r="D137" s="5" t="s">
        <v>679</v>
      </c>
      <c r="E137" s="5" t="s">
        <v>392</v>
      </c>
      <c r="F137" s="5" t="s">
        <v>99</v>
      </c>
      <c r="G137" s="9" t="s">
        <v>54</v>
      </c>
      <c r="H137" s="11">
        <v>339.9</v>
      </c>
      <c r="I137" s="11">
        <v>144.16</v>
      </c>
      <c r="J137" s="12">
        <f>IF(OR(tInverno25[[#This Row],[Preço (R$)]]="",tInverno25[[#This Row],[Custo (R$)]]=""),"",(tInverno25[[#This Row],[Preço (R$)]]-tInverno25[[#This Row],[Custo (R$)]])/tInverno25[[#This Row],[Preço (R$)]])</f>
        <v>0.57587525742865542</v>
      </c>
      <c r="K137" s="5" t="s">
        <v>683</v>
      </c>
      <c r="L137" s="28" t="s">
        <v>109</v>
      </c>
      <c r="M137" s="10"/>
      <c r="N137" s="5" t="s">
        <v>684</v>
      </c>
      <c r="O137" s="9" t="s">
        <v>49</v>
      </c>
    </row>
    <row r="138" spans="1:15">
      <c r="A13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VLT-JAQ-005-AMA-G</v>
      </c>
      <c r="B138" s="5" t="s">
        <v>685</v>
      </c>
      <c r="C138" s="9" t="s">
        <v>678</v>
      </c>
      <c r="D138" s="5" t="s">
        <v>679</v>
      </c>
      <c r="E138" s="5" t="s">
        <v>392</v>
      </c>
      <c r="F138" s="5" t="s">
        <v>99</v>
      </c>
      <c r="G138" s="9" t="s">
        <v>58</v>
      </c>
      <c r="H138" s="11">
        <v>339.9</v>
      </c>
      <c r="I138" s="11">
        <v>149.66999999999999</v>
      </c>
      <c r="J138" s="12">
        <f>IF(OR(tInverno25[[#This Row],[Preço (R$)]]="",tInverno25[[#This Row],[Custo (R$)]]=""),"",(tInverno25[[#This Row],[Preço (R$)]]-tInverno25[[#This Row],[Custo (R$)]])/tInverno25[[#This Row],[Preço (R$)]])</f>
        <v>0.55966460723742273</v>
      </c>
      <c r="K138" s="5" t="s">
        <v>686</v>
      </c>
      <c r="L138" s="28" t="s">
        <v>109</v>
      </c>
      <c r="M138" s="10"/>
      <c r="N138" s="5" t="s">
        <v>687</v>
      </c>
      <c r="O138" s="9" t="s">
        <v>49</v>
      </c>
    </row>
    <row r="139" spans="1:15">
      <c r="A139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VLT-JAQ-005-AMA-GG</v>
      </c>
      <c r="B139" s="5" t="s">
        <v>688</v>
      </c>
      <c r="C139" s="9" t="s">
        <v>678</v>
      </c>
      <c r="D139" s="5" t="s">
        <v>679</v>
      </c>
      <c r="E139" s="5" t="s">
        <v>392</v>
      </c>
      <c r="F139" s="5" t="s">
        <v>99</v>
      </c>
      <c r="G139" s="9" t="s">
        <v>61</v>
      </c>
      <c r="H139" s="11">
        <v>339.9</v>
      </c>
      <c r="I139" s="11">
        <v>148.55000000000001</v>
      </c>
      <c r="J139" s="12">
        <f>IF(OR(tInverno25[[#This Row],[Preço (R$)]]="",tInverno25[[#This Row],[Custo (R$)]]=""),"",(tInverno25[[#This Row],[Preço (R$)]]-tInverno25[[#This Row],[Custo (R$)]])/tInverno25[[#This Row],[Preço (R$)]])</f>
        <v>0.56295969402765511</v>
      </c>
      <c r="K139" s="5" t="s">
        <v>689</v>
      </c>
      <c r="L139" s="28" t="s">
        <v>109</v>
      </c>
      <c r="M139" s="10"/>
      <c r="N139" s="5" t="s">
        <v>687</v>
      </c>
      <c r="O139" s="9" t="s">
        <v>49</v>
      </c>
    </row>
    <row r="140" spans="1:15">
      <c r="A140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VLT-CAL-019-BRA-P</v>
      </c>
      <c r="B140" s="5" t="s">
        <v>64</v>
      </c>
      <c r="C140" s="9" t="s">
        <v>690</v>
      </c>
      <c r="D140" s="5" t="s">
        <v>691</v>
      </c>
      <c r="E140" s="5" t="s">
        <v>86</v>
      </c>
      <c r="F140" s="5" t="s">
        <v>77</v>
      </c>
      <c r="G140" s="9" t="s">
        <v>51</v>
      </c>
      <c r="H140" s="11">
        <v>269.89999999999998</v>
      </c>
      <c r="I140" s="11">
        <v>117.34</v>
      </c>
      <c r="J140" s="12">
        <f>IF(OR(tInverno25[[#This Row],[Preço (R$)]]="",tInverno25[[#This Row],[Custo (R$)]]=""),"",(tInverno25[[#This Row],[Preço (R$)]]-tInverno25[[#This Row],[Custo (R$)]])/tInverno25[[#This Row],[Preço (R$)]])</f>
        <v>0.5652463875509447</v>
      </c>
      <c r="K140" s="5" t="s">
        <v>692</v>
      </c>
      <c r="L140" s="28" t="s">
        <v>47</v>
      </c>
      <c r="M140" s="10"/>
      <c r="N140" s="5" t="s">
        <v>470</v>
      </c>
      <c r="O140" s="9" t="s">
        <v>71</v>
      </c>
    </row>
    <row r="141" spans="1:15">
      <c r="A141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VLT-CAL-019-BRA-M</v>
      </c>
      <c r="B141" s="5" t="s">
        <v>64</v>
      </c>
      <c r="C141" s="9" t="s">
        <v>690</v>
      </c>
      <c r="D141" s="5" t="s">
        <v>691</v>
      </c>
      <c r="E141" s="5" t="s">
        <v>86</v>
      </c>
      <c r="F141" s="5" t="s">
        <v>77</v>
      </c>
      <c r="G141" s="9" t="s">
        <v>54</v>
      </c>
      <c r="H141" s="11">
        <v>269.89999999999998</v>
      </c>
      <c r="I141" s="11"/>
      <c r="J141" s="12" t="str">
        <f>IF(OR(tInverno25[[#This Row],[Preço (R$)]]="",tInverno25[[#This Row],[Custo (R$)]]=""),"",(tInverno25[[#This Row],[Preço (R$)]]-tInverno25[[#This Row],[Custo (R$)]])/tInverno25[[#This Row],[Preço (R$)]])</f>
        <v/>
      </c>
      <c r="K141" s="5" t="s">
        <v>693</v>
      </c>
      <c r="L141" s="28" t="s">
        <v>47</v>
      </c>
      <c r="M141" s="10"/>
      <c r="N141" s="5" t="s">
        <v>470</v>
      </c>
      <c r="O141" s="9" t="s">
        <v>71</v>
      </c>
    </row>
    <row r="142" spans="1:15">
      <c r="A142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VLT-CAL-019-BRA-G</v>
      </c>
      <c r="B142" s="5" t="s">
        <v>64</v>
      </c>
      <c r="C142" s="9" t="s">
        <v>690</v>
      </c>
      <c r="D142" s="5" t="s">
        <v>691</v>
      </c>
      <c r="E142" s="5" t="s">
        <v>86</v>
      </c>
      <c r="F142" s="5" t="s">
        <v>77</v>
      </c>
      <c r="G142" s="9" t="s">
        <v>58</v>
      </c>
      <c r="H142" s="11">
        <v>269.89999999999998</v>
      </c>
      <c r="I142" s="11"/>
      <c r="J142" s="12" t="str">
        <f>IF(OR(tInverno25[[#This Row],[Preço (R$)]]="",tInverno25[[#This Row],[Custo (R$)]]=""),"",(tInverno25[[#This Row],[Preço (R$)]]-tInverno25[[#This Row],[Custo (R$)]])/tInverno25[[#This Row],[Preço (R$)]])</f>
        <v/>
      </c>
      <c r="K142" s="5" t="s">
        <v>694</v>
      </c>
      <c r="L142" s="28" t="s">
        <v>47</v>
      </c>
      <c r="M142" s="10"/>
      <c r="N142" s="5" t="s">
        <v>574</v>
      </c>
      <c r="O142" s="9" t="s">
        <v>71</v>
      </c>
    </row>
    <row r="143" spans="1:15">
      <c r="A143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VLT-CAL-019-BRA-GG</v>
      </c>
      <c r="B143" s="5" t="s">
        <v>64</v>
      </c>
      <c r="C143" s="9" t="s">
        <v>690</v>
      </c>
      <c r="D143" s="5" t="s">
        <v>691</v>
      </c>
      <c r="E143" s="5" t="s">
        <v>86</v>
      </c>
      <c r="F143" s="5" t="s">
        <v>77</v>
      </c>
      <c r="G143" s="9" t="s">
        <v>61</v>
      </c>
      <c r="H143" s="11">
        <v>269.89999999999998</v>
      </c>
      <c r="I143" s="11"/>
      <c r="J143" s="12" t="str">
        <f>IF(OR(tInverno25[[#This Row],[Preço (R$)]]="",tInverno25[[#This Row],[Custo (R$)]]=""),"",(tInverno25[[#This Row],[Preço (R$)]]-tInverno25[[#This Row],[Custo (R$)]])/tInverno25[[#This Row],[Preço (R$)]])</f>
        <v/>
      </c>
      <c r="K143" s="5" t="s">
        <v>695</v>
      </c>
      <c r="L143" s="28" t="s">
        <v>47</v>
      </c>
      <c r="M143" s="10"/>
      <c r="N143" s="5" t="s">
        <v>696</v>
      </c>
      <c r="O143" s="9" t="s">
        <v>71</v>
      </c>
    </row>
    <row r="144" spans="1:15">
      <c r="A144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VLT-CAL-020-AMA-XP</v>
      </c>
      <c r="B144" s="28" t="s">
        <v>697</v>
      </c>
      <c r="C144" s="9" t="s">
        <v>698</v>
      </c>
      <c r="D144" s="5" t="s">
        <v>699</v>
      </c>
      <c r="E144" s="5" t="s">
        <v>86</v>
      </c>
      <c r="F144" s="5" t="s">
        <v>99</v>
      </c>
      <c r="G144" s="9" t="s">
        <v>45</v>
      </c>
      <c r="H144" s="11">
        <v>259.89999999999998</v>
      </c>
      <c r="I144" s="11">
        <v>125.88</v>
      </c>
      <c r="J144" s="12">
        <f>IF(OR(tInverno25[[#This Row],[Preço (R$)]]="",tInverno25[[#This Row],[Custo (R$)]]=""),"",(tInverno25[[#This Row],[Preço (R$)]]-tInverno25[[#This Row],[Custo (R$)]])/tInverno25[[#This Row],[Preço (R$)]])</f>
        <v>0.51565986918045403</v>
      </c>
      <c r="K144" s="5" t="s">
        <v>700</v>
      </c>
      <c r="L144" s="28" t="s">
        <v>47</v>
      </c>
      <c r="M144" s="10"/>
      <c r="N144" s="5" t="s">
        <v>376</v>
      </c>
      <c r="O144" s="9" t="s">
        <v>49</v>
      </c>
    </row>
    <row r="145" spans="1:15">
      <c r="A145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VLT-CAL-020-AMA-P</v>
      </c>
      <c r="B145" s="28" t="s">
        <v>701</v>
      </c>
      <c r="C145" s="9" t="s">
        <v>698</v>
      </c>
      <c r="D145" s="5" t="s">
        <v>699</v>
      </c>
      <c r="E145" s="5" t="s">
        <v>86</v>
      </c>
      <c r="F145" s="5" t="s">
        <v>99</v>
      </c>
      <c r="G145" s="9" t="s">
        <v>51</v>
      </c>
      <c r="H145" s="11">
        <v>259.89999999999998</v>
      </c>
      <c r="I145" s="27">
        <v>125.88</v>
      </c>
      <c r="J145" s="12">
        <f>IF(OR(tInverno25[[#This Row],[Preço (R$)]]="",tInverno25[[#This Row],[Custo (R$)]]=""),"",(tInverno25[[#This Row],[Preço (R$)]]-tInverno25[[#This Row],[Custo (R$)]])/tInverno25[[#This Row],[Preço (R$)]])</f>
        <v>0.51565986918045403</v>
      </c>
      <c r="K145" s="5" t="s">
        <v>702</v>
      </c>
      <c r="L145" s="28" t="s">
        <v>47</v>
      </c>
      <c r="M145" s="10"/>
      <c r="N145" s="5" t="s">
        <v>703</v>
      </c>
      <c r="O145" s="9" t="s">
        <v>49</v>
      </c>
    </row>
    <row r="146" spans="1:15">
      <c r="A146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VLT-CAL-020-AMA-M</v>
      </c>
      <c r="B146" s="28" t="s">
        <v>704</v>
      </c>
      <c r="C146" s="9" t="s">
        <v>698</v>
      </c>
      <c r="D146" s="5" t="s">
        <v>699</v>
      </c>
      <c r="E146" s="5" t="s">
        <v>86</v>
      </c>
      <c r="F146" s="5" t="s">
        <v>99</v>
      </c>
      <c r="G146" s="9" t="s">
        <v>54</v>
      </c>
      <c r="H146" s="11">
        <v>259.89999999999998</v>
      </c>
      <c r="I146" s="11">
        <v>120.92</v>
      </c>
      <c r="J146" s="12">
        <f>IF(OR(tInverno25[[#This Row],[Preço (R$)]]="",tInverno25[[#This Row],[Custo (R$)]]=""),"",(tInverno25[[#This Row],[Preço (R$)]]-tInverno25[[#This Row],[Custo (R$)]])/tInverno25[[#This Row],[Preço (R$)]])</f>
        <v>0.53474413235859941</v>
      </c>
      <c r="K146" s="5" t="s">
        <v>705</v>
      </c>
      <c r="L146" s="28" t="s">
        <v>47</v>
      </c>
      <c r="M146" s="10"/>
      <c r="N146" s="5" t="s">
        <v>376</v>
      </c>
      <c r="O146" s="9" t="s">
        <v>49</v>
      </c>
    </row>
    <row r="147" spans="1:15">
      <c r="A147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VLT-CAL-020-AMA-G</v>
      </c>
      <c r="B147" s="28" t="s">
        <v>706</v>
      </c>
      <c r="C147" s="9" t="s">
        <v>698</v>
      </c>
      <c r="D147" s="5" t="s">
        <v>699</v>
      </c>
      <c r="E147" s="5" t="s">
        <v>86</v>
      </c>
      <c r="F147" s="5" t="s">
        <v>99</v>
      </c>
      <c r="G147" s="9" t="s">
        <v>58</v>
      </c>
      <c r="H147" s="11">
        <v>259.89999999999998</v>
      </c>
      <c r="I147" s="11">
        <v>121.49</v>
      </c>
      <c r="J147" s="12">
        <f>IF(OR(tInverno25[[#This Row],[Preço (R$)]]="",tInverno25[[#This Row],[Custo (R$)]]=""),"",(tInverno25[[#This Row],[Preço (R$)]]-tInverno25[[#This Row],[Custo (R$)]])/tInverno25[[#This Row],[Preço (R$)]])</f>
        <v>0.53255098114659472</v>
      </c>
      <c r="K147" s="5" t="s">
        <v>707</v>
      </c>
      <c r="L147" s="28" t="s">
        <v>47</v>
      </c>
      <c r="M147" s="10"/>
      <c r="N147" s="5" t="s">
        <v>376</v>
      </c>
      <c r="O147" s="9" t="s">
        <v>49</v>
      </c>
    </row>
    <row r="148" spans="1:15">
      <c r="A148" t="str">
        <f>IF(tInverno25[[#This Row],[Modelo]]="","","VLT-"&amp;tInverno25[[#This Row],[Modelo]]&amp;"-"&amp;IFERROR(INDEX(tCores[Sigla],MATCH(tInverno25[[#This Row],[Cor]],tCores[Cor],0)),"???")&amp;"-"&amp;IFERROR(INDEX(tTamanhos[Sigla],MATCH(tInverno25[[#This Row],[Tamanho]],tTamanhos[Tamanho],0)),IF(ISNUMBER(SEARCH("/",tInverno25[[#This Row],[Tamanho]])),"GRADE",tInverno25[[#This Row],[Tamanho]])))</f>
        <v>VLT-CAL-020-AMA-GG</v>
      </c>
      <c r="B148" s="28" t="s">
        <v>708</v>
      </c>
      <c r="C148" s="9" t="s">
        <v>698</v>
      </c>
      <c r="D148" s="5" t="s">
        <v>699</v>
      </c>
      <c r="E148" s="5" t="s">
        <v>86</v>
      </c>
      <c r="F148" s="5" t="s">
        <v>99</v>
      </c>
      <c r="G148" s="9" t="s">
        <v>61</v>
      </c>
      <c r="H148" s="11">
        <v>259.89999999999998</v>
      </c>
      <c r="I148" s="11">
        <v>126.42</v>
      </c>
      <c r="J148" s="12">
        <f>IF(OR(tInverno25[[#This Row],[Preço (R$)]]="",tInverno25[[#This Row],[Custo (R$)]]=""),"",(tInverno25[[#This Row],[Preço (R$)]]-tInverno25[[#This Row],[Custo (R$)]])/tInverno25[[#This Row],[Preço (R$)]])</f>
        <v>0.51358214697960747</v>
      </c>
      <c r="K148" s="5" t="s">
        <v>709</v>
      </c>
      <c r="L148" s="28" t="s">
        <v>47</v>
      </c>
      <c r="M148" s="10"/>
      <c r="N148" s="5" t="s">
        <v>411</v>
      </c>
      <c r="O148" s="9" t="s">
        <v>49</v>
      </c>
    </row>
  </sheetData>
  <conditionalFormatting sqref="A5:O148">
    <cfRule type="expression" dxfId="95" priority="1">
      <formula>$O5="Descontinuado"</formula>
    </cfRule>
  </conditionalFormatting>
  <conditionalFormatting sqref="A5:O148">
    <cfRule type="expression" dxfId="94" priority="2">
      <formula>$O5="Revisar preço"</formula>
    </cfRule>
  </conditionalFormatting>
  <conditionalFormatting sqref="I5:I148">
    <cfRule type="expression" dxfId="93" priority="3">
      <formula>AND($I5="",$O5&lt;&gt;"Descontinuado")</formula>
    </cfRule>
  </conditionalFormatting>
  <conditionalFormatting sqref="K5:K148">
    <cfRule type="expression" dxfId="92" priority="4">
      <formula>AND($K5&lt;&gt;"",COUNTIF($K$5:$K$148,$K5)&gt;1)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1E74FF00-B35B-244A-B014-EF9EF309DD32}">
            <xm:f>AND(ISNUMBER($J5),$J5&lt;Listas!$L$4,$O5&lt;&gt;"Descontinuado")</xm:f>
            <x14:dxf>
              <font>
                <b/>
                <i val="0"/>
                <color rgb="FFC00000"/>
              </font>
            </x14:dxf>
          </x14:cfRule>
          <xm:sqref>J5:J148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fora da lista" error="Use um valor da aba Listas." xr:uid="{53591FC2-8550-7A42-8719-700BBF5421E3}">
          <x14:formula1>
            <xm:f>Listas!$D$4:$D$14</xm:f>
          </x14:formula1>
          <xm:sqref>E5:E148</xm:sqref>
        </x14:dataValidation>
        <x14:dataValidation type="list" allowBlank="1" showInputMessage="1" showErrorMessage="1" errorTitle="Valor fora da lista" error="Use um valor da aba Listas." xr:uid="{7FF4EFB8-F633-2648-A333-925784AEE8A8}">
          <x14:formula1>
            <xm:f>Listas!$A$4:$A$16</xm:f>
          </x14:formula1>
          <xm:sqref>F5:F148</xm:sqref>
        </x14:dataValidation>
        <x14:dataValidation type="list" errorStyle="warning" allowBlank="1" showInputMessage="1" showErrorMessage="1" errorTitle="Valor fora da lista" error="Use XP, P, M, G, GG, XG ou Único." xr:uid="{4B662088-4149-FC4E-96B2-9453C742B40B}">
          <x14:formula1>
            <xm:f>Listas!$G$4:$G$10</xm:f>
          </x14:formula1>
          <xm:sqref>G5:G148</xm:sqref>
        </x14:dataValidation>
        <x14:dataValidation type="list" allowBlank="1" showInputMessage="1" showErrorMessage="1" errorTitle="Valor fora da lista" error="Use um valor da aba Listas." xr:uid="{EE94815F-439A-5448-BB88-2B3BB55DD9B8}">
          <x14:formula1>
            <xm:f>Listas!$J$4:$J$6</xm:f>
          </x14:formula1>
          <xm:sqref>O5:O148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5"/>
  <sheetViews>
    <sheetView workbookViewId="0">
      <pane ySplit="4" topLeftCell="A5" activePane="bottomLeft" state="frozen"/>
      <selection pane="bottomLeft"/>
    </sheetView>
  </sheetViews>
  <sheetFormatPr defaultColWidth="8.85546875" defaultRowHeight="15"/>
  <cols>
    <col min="1" max="1" width="25" customWidth="1"/>
    <col min="2" max="2" width="15" customWidth="1"/>
    <col min="3" max="3" width="10" customWidth="1"/>
    <col min="4" max="4" width="35" customWidth="1"/>
    <col min="5" max="5" width="19.140625" customWidth="1"/>
    <col min="6" max="6" width="15" customWidth="1"/>
    <col min="7" max="7" width="12.42578125" customWidth="1"/>
    <col min="8" max="9" width="13.28515625" customWidth="1"/>
    <col min="10" max="10" width="11.7109375" customWidth="1"/>
    <col min="11" max="11" width="20" customWidth="1"/>
    <col min="12" max="12" width="13.28515625" customWidth="1"/>
    <col min="13" max="13" width="25" customWidth="1"/>
    <col min="14" max="14" width="16.7109375" customWidth="1"/>
  </cols>
  <sheetData>
    <row r="1" spans="1:15" ht="21">
      <c r="A1" s="34" t="s">
        <v>710</v>
      </c>
    </row>
    <row r="2" spans="1:15">
      <c r="A2" s="7" t="s">
        <v>27</v>
      </c>
    </row>
    <row r="4" spans="1:15" ht="30" customHeight="1">
      <c r="A4" s="32" t="s">
        <v>28</v>
      </c>
      <c r="B4" s="32" t="s">
        <v>29</v>
      </c>
      <c r="C4" s="32" t="s">
        <v>30</v>
      </c>
      <c r="D4" s="32" t="s">
        <v>12</v>
      </c>
      <c r="E4" s="32" t="s">
        <v>31</v>
      </c>
      <c r="F4" s="32" t="s">
        <v>32</v>
      </c>
      <c r="G4" s="32" t="s">
        <v>33</v>
      </c>
      <c r="H4" s="32" t="s">
        <v>17</v>
      </c>
      <c r="I4" s="32" t="s">
        <v>34</v>
      </c>
      <c r="J4" s="32" t="s">
        <v>35</v>
      </c>
      <c r="K4" s="32" t="s">
        <v>36</v>
      </c>
      <c r="L4" s="32" t="s">
        <v>37</v>
      </c>
      <c r="M4" s="32" t="s">
        <v>38</v>
      </c>
      <c r="N4" s="32" t="s">
        <v>39</v>
      </c>
      <c r="O4" s="32" t="s">
        <v>18</v>
      </c>
    </row>
    <row r="5" spans="1:15">
      <c r="A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VLT-CAM-016-BEG-P</v>
      </c>
      <c r="B5" s="5" t="s">
        <v>711</v>
      </c>
      <c r="C5" s="9" t="s">
        <v>712</v>
      </c>
      <c r="D5" s="5" t="s">
        <v>713</v>
      </c>
      <c r="E5" s="5" t="s">
        <v>128</v>
      </c>
      <c r="F5" s="5" t="s">
        <v>299</v>
      </c>
      <c r="G5" s="9" t="s">
        <v>51</v>
      </c>
      <c r="H5" s="11">
        <v>149.9</v>
      </c>
      <c r="I5" s="11">
        <v>63.15</v>
      </c>
      <c r="J5" s="12">
        <f>IF(OR(tVerao26[[#This Row],[Preço (R$)]]="",tVerao26[[#This Row],[Custo (R$)]]=""),"",(tVerao26[[#This Row],[Preço (R$)]]-tVerao26[[#This Row],[Custo (R$)]])/tVerao26[[#This Row],[Preço (R$)]])</f>
        <v>0.57871914609739827</v>
      </c>
      <c r="K5" s="5" t="s">
        <v>714</v>
      </c>
      <c r="L5" s="28" t="s">
        <v>101</v>
      </c>
      <c r="M5" s="10">
        <v>45954</v>
      </c>
      <c r="N5" s="5" t="s">
        <v>470</v>
      </c>
      <c r="O5" s="9" t="s">
        <v>49</v>
      </c>
    </row>
    <row r="6" spans="1:15">
      <c r="A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VLT-CAM-016-BEG-M</v>
      </c>
      <c r="B6" s="5" t="s">
        <v>715</v>
      </c>
      <c r="C6" s="9" t="s">
        <v>712</v>
      </c>
      <c r="D6" s="5" t="s">
        <v>713</v>
      </c>
      <c r="E6" s="5" t="s">
        <v>128</v>
      </c>
      <c r="F6" s="5" t="s">
        <v>299</v>
      </c>
      <c r="G6" s="9" t="s">
        <v>54</v>
      </c>
      <c r="H6" s="11">
        <v>149.9</v>
      </c>
      <c r="I6" s="11">
        <v>64.040000000000006</v>
      </c>
      <c r="J6" s="12">
        <f>IF(OR(tVerao26[[#This Row],[Preço (R$)]]="",tVerao26[[#This Row],[Custo (R$)]]=""),"",(tVerao26[[#This Row],[Preço (R$)]]-tVerao26[[#This Row],[Custo (R$)]])/tVerao26[[#This Row],[Preço (R$)]])</f>
        <v>0.57278185456971309</v>
      </c>
      <c r="K6" s="5" t="s">
        <v>716</v>
      </c>
      <c r="L6" s="28" t="s">
        <v>101</v>
      </c>
      <c r="M6" s="10">
        <v>45954</v>
      </c>
      <c r="N6" s="5" t="s">
        <v>470</v>
      </c>
      <c r="O6" s="9" t="s">
        <v>49</v>
      </c>
    </row>
    <row r="7" spans="1:15">
      <c r="A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VLT-CAM-016-BEG-G</v>
      </c>
      <c r="B7" s="5" t="s">
        <v>717</v>
      </c>
      <c r="C7" s="9" t="s">
        <v>712</v>
      </c>
      <c r="D7" s="5" t="s">
        <v>713</v>
      </c>
      <c r="E7" s="5" t="s">
        <v>128</v>
      </c>
      <c r="F7" s="5" t="s">
        <v>299</v>
      </c>
      <c r="G7" s="9" t="s">
        <v>58</v>
      </c>
      <c r="H7" s="11">
        <v>149.9</v>
      </c>
      <c r="I7" s="11">
        <v>61.25</v>
      </c>
      <c r="J7" s="12">
        <f>IF(OR(tVerao26[[#This Row],[Preço (R$)]]="",tVerao26[[#This Row],[Custo (R$)]]=""),"",(tVerao26[[#This Row],[Preço (R$)]]-tVerao26[[#This Row],[Custo (R$)]])/tVerao26[[#This Row],[Preço (R$)]])</f>
        <v>0.59139426284189456</v>
      </c>
      <c r="K7" s="5" t="s">
        <v>718</v>
      </c>
      <c r="L7" s="28" t="s">
        <v>101</v>
      </c>
      <c r="M7" s="10">
        <v>45954</v>
      </c>
      <c r="N7" s="5" t="s">
        <v>470</v>
      </c>
      <c r="O7" s="9" t="s">
        <v>49</v>
      </c>
    </row>
    <row r="8" spans="1:15">
      <c r="A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VLT-CMS-008-OLI-P</v>
      </c>
      <c r="B8" s="5" t="s">
        <v>719</v>
      </c>
      <c r="C8" s="9" t="s">
        <v>720</v>
      </c>
      <c r="D8" s="5" t="s">
        <v>721</v>
      </c>
      <c r="E8" s="5" t="s">
        <v>67</v>
      </c>
      <c r="F8" s="5" t="s">
        <v>180</v>
      </c>
      <c r="G8" s="9" t="s">
        <v>51</v>
      </c>
      <c r="H8" s="31">
        <v>299.89999999999998</v>
      </c>
      <c r="I8" s="11">
        <v>145.02000000000001</v>
      </c>
      <c r="J8" s="12">
        <f>IF(OR(tVerao26[[#This Row],[Preço (R$)]]="",tVerao26[[#This Row],[Custo (R$)]]=""),"",(tVerao26[[#This Row],[Preço (R$)]]-tVerao26[[#This Row],[Custo (R$)]])/tVerao26[[#This Row],[Preço (R$)]])</f>
        <v>0.51643881293764582</v>
      </c>
      <c r="K8" s="5" t="s">
        <v>722</v>
      </c>
      <c r="L8" s="28" t="s">
        <v>47</v>
      </c>
      <c r="M8" s="10">
        <v>45965</v>
      </c>
      <c r="N8" s="5" t="s">
        <v>723</v>
      </c>
      <c r="O8" s="9" t="s">
        <v>49</v>
      </c>
    </row>
    <row r="9" spans="1:15">
      <c r="A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VLT-CMS-008-OLI-M</v>
      </c>
      <c r="B9" s="5" t="s">
        <v>724</v>
      </c>
      <c r="C9" s="9" t="s">
        <v>720</v>
      </c>
      <c r="D9" s="5" t="s">
        <v>721</v>
      </c>
      <c r="E9" s="5" t="s">
        <v>67</v>
      </c>
      <c r="F9" s="5" t="s">
        <v>180</v>
      </c>
      <c r="G9" s="9" t="s">
        <v>54</v>
      </c>
      <c r="H9" s="31">
        <v>299.89999999999998</v>
      </c>
      <c r="I9" s="27">
        <v>145.02000000000001</v>
      </c>
      <c r="J9" s="12">
        <f>IF(OR(tVerao26[[#This Row],[Preço (R$)]]="",tVerao26[[#This Row],[Custo (R$)]]=""),"",(tVerao26[[#This Row],[Preço (R$)]]-tVerao26[[#This Row],[Custo (R$)]])/tVerao26[[#This Row],[Preço (R$)]])</f>
        <v>0.51643881293764582</v>
      </c>
      <c r="K9" s="5" t="s">
        <v>725</v>
      </c>
      <c r="L9" s="28" t="s">
        <v>47</v>
      </c>
      <c r="M9" s="10">
        <v>45965</v>
      </c>
      <c r="N9" s="5" t="s">
        <v>726</v>
      </c>
      <c r="O9" s="9" t="s">
        <v>49</v>
      </c>
    </row>
    <row r="10" spans="1:15">
      <c r="A1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VLT-CMS-008-OLI-G</v>
      </c>
      <c r="B10" s="5" t="s">
        <v>727</v>
      </c>
      <c r="C10" s="9" t="s">
        <v>720</v>
      </c>
      <c r="D10" s="5" t="s">
        <v>721</v>
      </c>
      <c r="E10" s="5" t="s">
        <v>67</v>
      </c>
      <c r="F10" s="5" t="s">
        <v>180</v>
      </c>
      <c r="G10" s="9" t="s">
        <v>58</v>
      </c>
      <c r="H10" s="31">
        <v>299.89999999999998</v>
      </c>
      <c r="I10" s="11">
        <v>145.82</v>
      </c>
      <c r="J10" s="12">
        <f>IF(OR(tVerao26[[#This Row],[Preço (R$)]]="",tVerao26[[#This Row],[Custo (R$)]]=""),"",(tVerao26[[#This Row],[Preço (R$)]]-tVerao26[[#This Row],[Custo (R$)]])/tVerao26[[#This Row],[Preço (R$)]])</f>
        <v>0.51377125708569527</v>
      </c>
      <c r="K10" s="5" t="s">
        <v>728</v>
      </c>
      <c r="L10" s="28" t="s">
        <v>47</v>
      </c>
      <c r="M10" s="10">
        <v>45965</v>
      </c>
      <c r="N10" s="5" t="s">
        <v>723</v>
      </c>
      <c r="O10" s="9" t="s">
        <v>49</v>
      </c>
    </row>
    <row r="11" spans="1:15">
      <c r="A1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VLT-CMS-008-OLI-GG</v>
      </c>
      <c r="B11" s="5" t="s">
        <v>729</v>
      </c>
      <c r="C11" s="9" t="s">
        <v>720</v>
      </c>
      <c r="D11" s="5" t="s">
        <v>721</v>
      </c>
      <c r="E11" s="5" t="s">
        <v>67</v>
      </c>
      <c r="F11" s="5" t="s">
        <v>180</v>
      </c>
      <c r="G11" s="9" t="s">
        <v>61</v>
      </c>
      <c r="H11" s="31">
        <v>299.89999999999998</v>
      </c>
      <c r="I11" s="11">
        <v>144.62</v>
      </c>
      <c r="J11" s="12">
        <f>IF(OR(tVerao26[[#This Row],[Preço (R$)]]="",tVerao26[[#This Row],[Custo (R$)]]=""),"",(tVerao26[[#This Row],[Preço (R$)]]-tVerao26[[#This Row],[Custo (R$)]])/tVerao26[[#This Row],[Preço (R$)]])</f>
        <v>0.51777259086362115</v>
      </c>
      <c r="K11" s="5" t="s">
        <v>730</v>
      </c>
      <c r="L11" s="28" t="s">
        <v>47</v>
      </c>
      <c r="M11" s="10">
        <v>45965</v>
      </c>
      <c r="N11" s="5" t="s">
        <v>723</v>
      </c>
      <c r="O11" s="9" t="s">
        <v>49</v>
      </c>
    </row>
    <row r="12" spans="1:15">
      <c r="A1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VLT-ACE-010-BEG-U</v>
      </c>
      <c r="B12" s="5" t="s">
        <v>731</v>
      </c>
      <c r="C12" s="9" t="s">
        <v>732</v>
      </c>
      <c r="D12" s="5" t="s">
        <v>733</v>
      </c>
      <c r="E12" s="5" t="s">
        <v>281</v>
      </c>
      <c r="F12" s="5" t="s">
        <v>299</v>
      </c>
      <c r="G12" s="9" t="s">
        <v>282</v>
      </c>
      <c r="H12" s="11">
        <v>109.9</v>
      </c>
      <c r="I12" s="27">
        <v>47.3</v>
      </c>
      <c r="J12" s="12">
        <f>IF(OR(tVerao26[[#This Row],[Preço (R$)]]="",tVerao26[[#This Row],[Custo (R$)]]=""),"",(tVerao26[[#This Row],[Preço (R$)]]-tVerao26[[#This Row],[Custo (R$)]])/tVerao26[[#This Row],[Preço (R$)]])</f>
        <v>0.56960873521383082</v>
      </c>
      <c r="K12" s="5" t="s">
        <v>734</v>
      </c>
      <c r="L12" s="28" t="s">
        <v>79</v>
      </c>
      <c r="M12" s="10">
        <v>45969</v>
      </c>
      <c r="N12" s="5" t="s">
        <v>735</v>
      </c>
      <c r="O12" s="9" t="s">
        <v>49</v>
      </c>
    </row>
    <row r="13" spans="1:15">
      <c r="A1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VLT-ACE-010-LIL-U</v>
      </c>
      <c r="B13" s="5" t="s">
        <v>736</v>
      </c>
      <c r="C13" s="9" t="s">
        <v>732</v>
      </c>
      <c r="D13" s="5" t="s">
        <v>733</v>
      </c>
      <c r="E13" s="5" t="s">
        <v>281</v>
      </c>
      <c r="F13" s="5" t="s">
        <v>203</v>
      </c>
      <c r="G13" s="9" t="s">
        <v>282</v>
      </c>
      <c r="H13" s="11">
        <v>109.9</v>
      </c>
      <c r="I13" s="11">
        <v>47.3</v>
      </c>
      <c r="J13" s="12">
        <f>IF(OR(tVerao26[[#This Row],[Preço (R$)]]="",tVerao26[[#This Row],[Custo (R$)]]=""),"",(tVerao26[[#This Row],[Preço (R$)]]-tVerao26[[#This Row],[Custo (R$)]])/tVerao26[[#This Row],[Preço (R$)]])</f>
        <v>0.56960873521383082</v>
      </c>
      <c r="K13" s="5" t="s">
        <v>737</v>
      </c>
      <c r="L13" s="28" t="s">
        <v>79</v>
      </c>
      <c r="M13" s="10">
        <v>45969</v>
      </c>
      <c r="N13" s="5" t="s">
        <v>470</v>
      </c>
      <c r="O13" s="9" t="s">
        <v>49</v>
      </c>
    </row>
    <row r="14" spans="1:15">
      <c r="A1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VLT-ACE-010-AMA-U</v>
      </c>
      <c r="B14" s="5" t="s">
        <v>738</v>
      </c>
      <c r="C14" s="9" t="s">
        <v>732</v>
      </c>
      <c r="D14" s="5" t="s">
        <v>733</v>
      </c>
      <c r="E14" s="5" t="s">
        <v>281</v>
      </c>
      <c r="F14" s="5" t="s">
        <v>99</v>
      </c>
      <c r="G14" s="9" t="s">
        <v>282</v>
      </c>
      <c r="H14" s="11">
        <v>109.9</v>
      </c>
      <c r="I14" s="27">
        <v>47.3</v>
      </c>
      <c r="J14" s="12">
        <f>IF(OR(tVerao26[[#This Row],[Preço (R$)]]="",tVerao26[[#This Row],[Custo (R$)]]=""),"",(tVerao26[[#This Row],[Preço (R$)]]-tVerao26[[#This Row],[Custo (R$)]])/tVerao26[[#This Row],[Preço (R$)]])</f>
        <v>0.56960873521383082</v>
      </c>
      <c r="K14" s="5" t="s">
        <v>739</v>
      </c>
      <c r="L14" s="28" t="s">
        <v>79</v>
      </c>
      <c r="M14" s="10">
        <v>45969</v>
      </c>
      <c r="N14" s="5" t="s">
        <v>735</v>
      </c>
      <c r="O14" s="9" t="s">
        <v>49</v>
      </c>
    </row>
    <row r="15" spans="1:15">
      <c r="A1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VLT-TOP-012-OLI-P</v>
      </c>
      <c r="B15" s="5" t="s">
        <v>740</v>
      </c>
      <c r="C15" s="9" t="s">
        <v>741</v>
      </c>
      <c r="D15" s="5" t="s">
        <v>742</v>
      </c>
      <c r="E15" s="5" t="s">
        <v>179</v>
      </c>
      <c r="F15" s="5" t="s">
        <v>180</v>
      </c>
      <c r="G15" s="9" t="s">
        <v>51</v>
      </c>
      <c r="H15" s="11">
        <v>149.9</v>
      </c>
      <c r="I15" s="27">
        <v>54.13</v>
      </c>
      <c r="J15" s="12">
        <f>IF(OR(tVerao26[[#This Row],[Preço (R$)]]="",tVerao26[[#This Row],[Custo (R$)]]=""),"",(tVerao26[[#This Row],[Preço (R$)]]-tVerao26[[#This Row],[Custo (R$)]])/tVerao26[[#This Row],[Preço (R$)]])</f>
        <v>0.63889259506337559</v>
      </c>
      <c r="K15" s="5" t="s">
        <v>743</v>
      </c>
      <c r="L15" s="28" t="s">
        <v>101</v>
      </c>
      <c r="M15" s="10">
        <v>45940</v>
      </c>
      <c r="N15" s="5" t="s">
        <v>744</v>
      </c>
      <c r="O15" s="9" t="s">
        <v>49</v>
      </c>
    </row>
    <row r="16" spans="1:15">
      <c r="A1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VLT-TOP-012-OLI-M</v>
      </c>
      <c r="B16" s="5" t="s">
        <v>745</v>
      </c>
      <c r="C16" s="9" t="s">
        <v>741</v>
      </c>
      <c r="D16" s="5" t="s">
        <v>742</v>
      </c>
      <c r="E16" s="5" t="s">
        <v>179</v>
      </c>
      <c r="F16" s="5" t="s">
        <v>180</v>
      </c>
      <c r="G16" s="9" t="s">
        <v>54</v>
      </c>
      <c r="H16" s="11">
        <v>149.9</v>
      </c>
      <c r="I16" s="11">
        <v>54.13</v>
      </c>
      <c r="J16" s="12">
        <f>IF(OR(tVerao26[[#This Row],[Preço (R$)]]="",tVerao26[[#This Row],[Custo (R$)]]=""),"",(tVerao26[[#This Row],[Preço (R$)]]-tVerao26[[#This Row],[Custo (R$)]])/tVerao26[[#This Row],[Preço (R$)]])</f>
        <v>0.63889259506337559</v>
      </c>
      <c r="K16" s="5" t="s">
        <v>746</v>
      </c>
      <c r="L16" s="28" t="s">
        <v>101</v>
      </c>
      <c r="M16" s="10">
        <v>45940</v>
      </c>
      <c r="N16" s="5" t="s">
        <v>672</v>
      </c>
      <c r="O16" s="9" t="s">
        <v>49</v>
      </c>
    </row>
    <row r="17" spans="1:15">
      <c r="A1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VLT-TOP-012-OLI-G</v>
      </c>
      <c r="B17" s="5" t="s">
        <v>747</v>
      </c>
      <c r="C17" s="9" t="s">
        <v>741</v>
      </c>
      <c r="D17" s="5" t="s">
        <v>742</v>
      </c>
      <c r="E17" s="5" t="s">
        <v>179</v>
      </c>
      <c r="F17" s="5" t="s">
        <v>180</v>
      </c>
      <c r="G17" s="9" t="s">
        <v>58</v>
      </c>
      <c r="H17" s="11">
        <v>149.9</v>
      </c>
      <c r="I17" s="11">
        <v>55.81</v>
      </c>
      <c r="J17" s="12">
        <f>IF(OR(tVerao26[[#This Row],[Preço (R$)]]="",tVerao26[[#This Row],[Custo (R$)]]=""),"",(tVerao26[[#This Row],[Preço (R$)]]-tVerao26[[#This Row],[Custo (R$)]])/tVerao26[[#This Row],[Preço (R$)]])</f>
        <v>0.62768512341561045</v>
      </c>
      <c r="K17" s="5" t="s">
        <v>748</v>
      </c>
      <c r="L17" s="28" t="s">
        <v>101</v>
      </c>
      <c r="M17" s="10">
        <v>45940</v>
      </c>
      <c r="N17" s="5" t="s">
        <v>672</v>
      </c>
      <c r="O17" s="9" t="s">
        <v>49</v>
      </c>
    </row>
    <row r="18" spans="1:15">
      <c r="A1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VLT-TOP-012-OLI-GG</v>
      </c>
      <c r="B18" s="5" t="s">
        <v>749</v>
      </c>
      <c r="C18" s="9" t="s">
        <v>741</v>
      </c>
      <c r="D18" s="5" t="s">
        <v>742</v>
      </c>
      <c r="E18" s="5" t="s">
        <v>179</v>
      </c>
      <c r="F18" s="5" t="s">
        <v>180</v>
      </c>
      <c r="G18" s="9" t="s">
        <v>61</v>
      </c>
      <c r="H18" s="11">
        <v>149.9</v>
      </c>
      <c r="I18" s="27">
        <v>55.81</v>
      </c>
      <c r="J18" s="12">
        <f>IF(OR(tVerao26[[#This Row],[Preço (R$)]]="",tVerao26[[#This Row],[Custo (R$)]]=""),"",(tVerao26[[#This Row],[Preço (R$)]]-tVerao26[[#This Row],[Custo (R$)]])/tVerao26[[#This Row],[Preço (R$)]])</f>
        <v>0.62768512341561045</v>
      </c>
      <c r="K18" s="5" t="s">
        <v>750</v>
      </c>
      <c r="L18" s="28" t="s">
        <v>101</v>
      </c>
      <c r="M18" s="10">
        <v>45940</v>
      </c>
      <c r="N18" s="5" t="s">
        <v>751</v>
      </c>
      <c r="O18" s="9" t="s">
        <v>49</v>
      </c>
    </row>
    <row r="19" spans="1:15">
      <c r="A1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VLT-TOP-012-PRE-P</v>
      </c>
      <c r="B19" s="5" t="s">
        <v>752</v>
      </c>
      <c r="C19" s="9" t="s">
        <v>741</v>
      </c>
      <c r="D19" s="5" t="s">
        <v>742</v>
      </c>
      <c r="E19" s="5" t="s">
        <v>179</v>
      </c>
      <c r="F19" s="5" t="s">
        <v>251</v>
      </c>
      <c r="G19" s="9" t="s">
        <v>51</v>
      </c>
      <c r="H19" s="11">
        <v>149.9</v>
      </c>
      <c r="I19" s="27">
        <v>56.84</v>
      </c>
      <c r="J19" s="12">
        <f>IF(OR(tVerao26[[#This Row],[Preço (R$)]]="",tVerao26[[#This Row],[Custo (R$)]]=""),"",(tVerao26[[#This Row],[Preço (R$)]]-tVerao26[[#This Row],[Custo (R$)]])/tVerao26[[#This Row],[Preço (R$)]])</f>
        <v>0.62081387591727821</v>
      </c>
      <c r="K19" s="5" t="s">
        <v>753</v>
      </c>
      <c r="L19" s="28" t="s">
        <v>101</v>
      </c>
      <c r="M19" s="10">
        <v>45940</v>
      </c>
      <c r="N19" s="5" t="s">
        <v>754</v>
      </c>
      <c r="O19" s="9" t="s">
        <v>49</v>
      </c>
    </row>
    <row r="20" spans="1:15">
      <c r="A2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VLT-TOP-012-PRE-M</v>
      </c>
      <c r="B20" s="5" t="s">
        <v>755</v>
      </c>
      <c r="C20" s="9" t="s">
        <v>741</v>
      </c>
      <c r="D20" s="5" t="s">
        <v>742</v>
      </c>
      <c r="E20" s="5" t="s">
        <v>179</v>
      </c>
      <c r="F20" s="5" t="s">
        <v>251</v>
      </c>
      <c r="G20" s="9" t="s">
        <v>54</v>
      </c>
      <c r="H20" s="11">
        <v>149.9</v>
      </c>
      <c r="I20" s="11">
        <v>56.84</v>
      </c>
      <c r="J20" s="12">
        <f>IF(OR(tVerao26[[#This Row],[Preço (R$)]]="",tVerao26[[#This Row],[Custo (R$)]]=""),"",(tVerao26[[#This Row],[Preço (R$)]]-tVerao26[[#This Row],[Custo (R$)]])/tVerao26[[#This Row],[Preço (R$)]])</f>
        <v>0.62081387591727821</v>
      </c>
      <c r="K20" s="5" t="s">
        <v>756</v>
      </c>
      <c r="L20" s="28" t="s">
        <v>101</v>
      </c>
      <c r="M20" s="10">
        <v>45940</v>
      </c>
      <c r="N20" s="5" t="s">
        <v>672</v>
      </c>
      <c r="O20" s="9" t="s">
        <v>49</v>
      </c>
    </row>
    <row r="21" spans="1:15">
      <c r="A2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VLT-TOP-012-PRE-G</v>
      </c>
      <c r="B21" s="5" t="s">
        <v>757</v>
      </c>
      <c r="C21" s="9" t="s">
        <v>741</v>
      </c>
      <c r="D21" s="5" t="s">
        <v>742</v>
      </c>
      <c r="E21" s="5" t="s">
        <v>179</v>
      </c>
      <c r="F21" s="5" t="s">
        <v>251</v>
      </c>
      <c r="G21" s="9" t="s">
        <v>58</v>
      </c>
      <c r="H21" s="11">
        <v>149.9</v>
      </c>
      <c r="I21" s="11">
        <v>56.76</v>
      </c>
      <c r="J21" s="12">
        <f>IF(OR(tVerao26[[#This Row],[Preço (R$)]]="",tVerao26[[#This Row],[Custo (R$)]]=""),"",(tVerao26[[#This Row],[Preço (R$)]]-tVerao26[[#This Row],[Custo (R$)]])/tVerao26[[#This Row],[Preço (R$)]])</f>
        <v>0.6213475650433623</v>
      </c>
      <c r="K21" s="5" t="s">
        <v>758</v>
      </c>
      <c r="L21" s="28" t="s">
        <v>101</v>
      </c>
      <c r="M21" s="10">
        <v>45940</v>
      </c>
      <c r="N21" s="5" t="s">
        <v>672</v>
      </c>
      <c r="O21" s="9" t="s">
        <v>49</v>
      </c>
    </row>
    <row r="22" spans="1:15">
      <c r="A2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VLT-TOP-012-PRE-GG</v>
      </c>
      <c r="B22" s="5" t="s">
        <v>759</v>
      </c>
      <c r="C22" s="9" t="s">
        <v>741</v>
      </c>
      <c r="D22" s="5" t="s">
        <v>742</v>
      </c>
      <c r="E22" s="5" t="s">
        <v>179</v>
      </c>
      <c r="F22" s="5" t="s">
        <v>251</v>
      </c>
      <c r="G22" s="9" t="s">
        <v>61</v>
      </c>
      <c r="H22" s="11">
        <v>149.9</v>
      </c>
      <c r="I22" s="11">
        <v>54.53</v>
      </c>
      <c r="J22" s="12">
        <f>IF(OR(tVerao26[[#This Row],[Preço (R$)]]="",tVerao26[[#This Row],[Custo (R$)]]=""),"",(tVerao26[[#This Row],[Preço (R$)]]-tVerao26[[#This Row],[Custo (R$)]])/tVerao26[[#This Row],[Preço (R$)]])</f>
        <v>0.63622414943295535</v>
      </c>
      <c r="K22" s="5" t="s">
        <v>760</v>
      </c>
      <c r="L22" s="28" t="s">
        <v>101</v>
      </c>
      <c r="M22" s="10">
        <v>45940</v>
      </c>
      <c r="N22" s="5" t="s">
        <v>672</v>
      </c>
      <c r="O22" s="9" t="s">
        <v>49</v>
      </c>
    </row>
    <row r="23" spans="1:15">
      <c r="A2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VLT-SAI-008-VIN-P</v>
      </c>
      <c r="B23" s="5" t="s">
        <v>761</v>
      </c>
      <c r="C23" s="9" t="s">
        <v>762</v>
      </c>
      <c r="D23" s="5" t="s">
        <v>763</v>
      </c>
      <c r="E23" s="5" t="s">
        <v>116</v>
      </c>
      <c r="F23" s="5" t="s">
        <v>129</v>
      </c>
      <c r="G23" s="9" t="s">
        <v>51</v>
      </c>
      <c r="H23" s="11">
        <v>219.9</v>
      </c>
      <c r="I23" s="11">
        <v>84.33</v>
      </c>
      <c r="J23" s="12">
        <f>IF(OR(tVerao26[[#This Row],[Preço (R$)]]="",tVerao26[[#This Row],[Custo (R$)]]=""),"",(tVerao26[[#This Row],[Preço (R$)]]-tVerao26[[#This Row],[Custo (R$)]])/tVerao26[[#This Row],[Preço (R$)]])</f>
        <v>0.6165075034106412</v>
      </c>
      <c r="K23" s="5" t="s">
        <v>764</v>
      </c>
      <c r="L23" s="28" t="s">
        <v>70</v>
      </c>
      <c r="M23" s="10">
        <v>45948</v>
      </c>
      <c r="N23" s="5" t="s">
        <v>470</v>
      </c>
      <c r="O23" s="9" t="s">
        <v>49</v>
      </c>
    </row>
    <row r="24" spans="1:15">
      <c r="A2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VLT-SAI-008-VIN-M</v>
      </c>
      <c r="B24" s="5" t="s">
        <v>765</v>
      </c>
      <c r="C24" s="9" t="s">
        <v>762</v>
      </c>
      <c r="D24" s="5" t="s">
        <v>763</v>
      </c>
      <c r="E24" s="5" t="s">
        <v>116</v>
      </c>
      <c r="F24" s="5" t="s">
        <v>129</v>
      </c>
      <c r="G24" s="9" t="s">
        <v>54</v>
      </c>
      <c r="H24" s="11">
        <v>219.9</v>
      </c>
      <c r="I24" s="27">
        <v>84.33</v>
      </c>
      <c r="J24" s="12">
        <f>IF(OR(tVerao26[[#This Row],[Preço (R$)]]="",tVerao26[[#This Row],[Custo (R$)]]=""),"",(tVerao26[[#This Row],[Preço (R$)]]-tVerao26[[#This Row],[Custo (R$)]])/tVerao26[[#This Row],[Preço (R$)]])</f>
        <v>0.6165075034106412</v>
      </c>
      <c r="K24" s="5" t="s">
        <v>766</v>
      </c>
      <c r="L24" s="28" t="s">
        <v>70</v>
      </c>
      <c r="M24" s="10">
        <v>45948</v>
      </c>
      <c r="N24" s="5" t="s">
        <v>767</v>
      </c>
      <c r="O24" s="9" t="s">
        <v>49</v>
      </c>
    </row>
    <row r="25" spans="1:15">
      <c r="A2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VLT-SAI-008-VIN-G</v>
      </c>
      <c r="B25" s="5" t="s">
        <v>768</v>
      </c>
      <c r="C25" s="9" t="s">
        <v>762</v>
      </c>
      <c r="D25" s="5" t="s">
        <v>763</v>
      </c>
      <c r="E25" s="5" t="s">
        <v>116</v>
      </c>
      <c r="F25" s="5" t="s">
        <v>129</v>
      </c>
      <c r="G25" s="9" t="s">
        <v>58</v>
      </c>
      <c r="H25" s="11">
        <v>219.9</v>
      </c>
      <c r="I25" s="11">
        <v>85.52</v>
      </c>
      <c r="J25" s="12">
        <f>IF(OR(tVerao26[[#This Row],[Preço (R$)]]="",tVerao26[[#This Row],[Custo (R$)]]=""),"",(tVerao26[[#This Row],[Preço (R$)]]-tVerao26[[#This Row],[Custo (R$)]])/tVerao26[[#This Row],[Preço (R$)]])</f>
        <v>0.61109595270577532</v>
      </c>
      <c r="K25" s="5" t="s">
        <v>769</v>
      </c>
      <c r="L25" s="28" t="s">
        <v>70</v>
      </c>
      <c r="M25" s="10">
        <v>45948</v>
      </c>
      <c r="N25" s="5" t="s">
        <v>470</v>
      </c>
      <c r="O25" s="9" t="s">
        <v>49</v>
      </c>
    </row>
    <row r="26" spans="1:15">
      <c r="A2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VLT-SAI-008-VIN-GG</v>
      </c>
      <c r="B26" s="5" t="s">
        <v>770</v>
      </c>
      <c r="C26" s="9" t="s">
        <v>762</v>
      </c>
      <c r="D26" s="5" t="s">
        <v>763</v>
      </c>
      <c r="E26" s="5" t="s">
        <v>116</v>
      </c>
      <c r="F26" s="5" t="s">
        <v>129</v>
      </c>
      <c r="G26" s="9" t="s">
        <v>61</v>
      </c>
      <c r="H26" s="11">
        <v>219.9</v>
      </c>
      <c r="I26" s="11">
        <v>85.35</v>
      </c>
      <c r="J26" s="12">
        <f>IF(OR(tVerao26[[#This Row],[Preço (R$)]]="",tVerao26[[#This Row],[Custo (R$)]]=""),"",(tVerao26[[#This Row],[Preço (R$)]]-tVerao26[[#This Row],[Custo (R$)]])/tVerao26[[#This Row],[Preço (R$)]])</f>
        <v>0.61186903137789905</v>
      </c>
      <c r="K26" s="5" t="s">
        <v>771</v>
      </c>
      <c r="L26" s="28" t="s">
        <v>70</v>
      </c>
      <c r="M26" s="10">
        <v>45948</v>
      </c>
      <c r="N26" s="5" t="s">
        <v>470</v>
      </c>
      <c r="O26" s="9" t="s">
        <v>49</v>
      </c>
    </row>
    <row r="27" spans="1:15">
      <c r="A2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VLT-CAL-021-PRE-XP</v>
      </c>
      <c r="B27" s="5" t="s">
        <v>772</v>
      </c>
      <c r="C27" s="9" t="s">
        <v>773</v>
      </c>
      <c r="D27" s="5" t="s">
        <v>774</v>
      </c>
      <c r="E27" s="5" t="s">
        <v>86</v>
      </c>
      <c r="F27" s="5" t="s">
        <v>251</v>
      </c>
      <c r="G27" s="9" t="s">
        <v>45</v>
      </c>
      <c r="H27" s="11">
        <v>309.89999999999998</v>
      </c>
      <c r="I27" s="11">
        <v>122.94</v>
      </c>
      <c r="J27" s="12">
        <f>IF(OR(tVerao26[[#This Row],[Preço (R$)]]="",tVerao26[[#This Row],[Custo (R$)]]=""),"",(tVerao26[[#This Row],[Preço (R$)]]-tVerao26[[#This Row],[Custo (R$)]])/tVerao26[[#This Row],[Preço (R$)]])</f>
        <v>0.60329138431752172</v>
      </c>
      <c r="K27" s="5" t="s">
        <v>775</v>
      </c>
      <c r="L27" s="28" t="s">
        <v>47</v>
      </c>
      <c r="M27" s="10">
        <v>45926</v>
      </c>
      <c r="N27" s="5" t="s">
        <v>470</v>
      </c>
      <c r="O27" s="9" t="s">
        <v>49</v>
      </c>
    </row>
    <row r="28" spans="1:15">
      <c r="A2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VLT-CAL-021-PRE-P</v>
      </c>
      <c r="B28" s="5" t="s">
        <v>776</v>
      </c>
      <c r="C28" s="9" t="s">
        <v>773</v>
      </c>
      <c r="D28" s="5" t="s">
        <v>774</v>
      </c>
      <c r="E28" s="5" t="s">
        <v>86</v>
      </c>
      <c r="F28" s="5" t="s">
        <v>251</v>
      </c>
      <c r="G28" s="9" t="s">
        <v>51</v>
      </c>
      <c r="H28" s="11">
        <v>309.89999999999998</v>
      </c>
      <c r="I28" s="11">
        <v>128.6</v>
      </c>
      <c r="J28" s="12">
        <f>IF(OR(tVerao26[[#This Row],[Preço (R$)]]="",tVerao26[[#This Row],[Custo (R$)]]=""),"",(tVerao26[[#This Row],[Preço (R$)]]-tVerao26[[#This Row],[Custo (R$)]])/tVerao26[[#This Row],[Preço (R$)]])</f>
        <v>0.58502742820264597</v>
      </c>
      <c r="K28" s="5" t="s">
        <v>777</v>
      </c>
      <c r="L28" s="28" t="s">
        <v>47</v>
      </c>
      <c r="M28" s="10">
        <v>45926</v>
      </c>
      <c r="N28" s="5" t="s">
        <v>470</v>
      </c>
      <c r="O28" s="9" t="s">
        <v>49</v>
      </c>
    </row>
    <row r="29" spans="1:15">
      <c r="A2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VLT-CAL-021-PRE-M</v>
      </c>
      <c r="B29" s="5" t="s">
        <v>778</v>
      </c>
      <c r="C29" s="9" t="s">
        <v>773</v>
      </c>
      <c r="D29" s="5" t="s">
        <v>774</v>
      </c>
      <c r="E29" s="5" t="s">
        <v>86</v>
      </c>
      <c r="F29" s="5" t="s">
        <v>251</v>
      </c>
      <c r="G29" s="9" t="s">
        <v>54</v>
      </c>
      <c r="H29" s="11">
        <v>309.89999999999998</v>
      </c>
      <c r="I29" s="11">
        <v>123.62</v>
      </c>
      <c r="J29" s="12">
        <f>IF(OR(tVerao26[[#This Row],[Preço (R$)]]="",tVerao26[[#This Row],[Custo (R$)]]=""),"",(tVerao26[[#This Row],[Preço (R$)]]-tVerao26[[#This Row],[Custo (R$)]])/tVerao26[[#This Row],[Preço (R$)]])</f>
        <v>0.60109712810584059</v>
      </c>
      <c r="K29" s="5" t="s">
        <v>779</v>
      </c>
      <c r="L29" s="28" t="s">
        <v>47</v>
      </c>
      <c r="M29" s="10">
        <v>45926</v>
      </c>
      <c r="N29" s="5" t="s">
        <v>470</v>
      </c>
      <c r="O29" s="9" t="s">
        <v>49</v>
      </c>
    </row>
    <row r="30" spans="1:15">
      <c r="A3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VLT-CAL-021-PRE-G</v>
      </c>
      <c r="B30" s="5" t="s">
        <v>780</v>
      </c>
      <c r="C30" s="9" t="s">
        <v>773</v>
      </c>
      <c r="D30" s="5" t="s">
        <v>774</v>
      </c>
      <c r="E30" s="5" t="s">
        <v>86</v>
      </c>
      <c r="F30" s="5" t="s">
        <v>251</v>
      </c>
      <c r="G30" s="9" t="s">
        <v>58</v>
      </c>
      <c r="H30" s="11">
        <v>309.89999999999998</v>
      </c>
      <c r="I30" s="27">
        <v>123.62</v>
      </c>
      <c r="J30" s="12">
        <f>IF(OR(tVerao26[[#This Row],[Preço (R$)]]="",tVerao26[[#This Row],[Custo (R$)]]=""),"",(tVerao26[[#This Row],[Preço (R$)]]-tVerao26[[#This Row],[Custo (R$)]])/tVerao26[[#This Row],[Preço (R$)]])</f>
        <v>0.60109712810584059</v>
      </c>
      <c r="K30" s="28" t="s">
        <v>781</v>
      </c>
      <c r="L30" s="28" t="s">
        <v>47</v>
      </c>
      <c r="M30" s="10">
        <v>45926</v>
      </c>
      <c r="N30" s="5" t="s">
        <v>782</v>
      </c>
      <c r="O30" s="9" t="s">
        <v>49</v>
      </c>
    </row>
    <row r="31" spans="1:15">
      <c r="A3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VLT-CAL-021-PRE-GG</v>
      </c>
      <c r="B31" s="5" t="s">
        <v>783</v>
      </c>
      <c r="C31" s="9" t="s">
        <v>773</v>
      </c>
      <c r="D31" s="5" t="s">
        <v>774</v>
      </c>
      <c r="E31" s="5" t="s">
        <v>86</v>
      </c>
      <c r="F31" s="5" t="s">
        <v>251</v>
      </c>
      <c r="G31" s="9" t="s">
        <v>61</v>
      </c>
      <c r="H31" s="11">
        <v>309.89999999999998</v>
      </c>
      <c r="I31" s="11">
        <v>123.39</v>
      </c>
      <c r="J31" s="12">
        <f>IF(OR(tVerao26[[#This Row],[Preço (R$)]]="",tVerao26[[#This Row],[Custo (R$)]]=""),"",(tVerao26[[#This Row],[Preço (R$)]]-tVerao26[[#This Row],[Custo (R$)]])/tVerao26[[#This Row],[Preço (R$)]])</f>
        <v>0.60183930300096811</v>
      </c>
      <c r="K31" s="5" t="s">
        <v>784</v>
      </c>
      <c r="L31" s="28" t="s">
        <v>47</v>
      </c>
      <c r="M31" s="10">
        <v>45926</v>
      </c>
      <c r="N31" s="5" t="s">
        <v>470</v>
      </c>
      <c r="O31" s="9" t="s">
        <v>49</v>
      </c>
    </row>
    <row r="32" spans="1:15">
      <c r="A3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VLT-CMS-009-LIL-XP</v>
      </c>
      <c r="B32" s="5" t="s">
        <v>785</v>
      </c>
      <c r="C32" s="9" t="s">
        <v>786</v>
      </c>
      <c r="D32" s="5" t="s">
        <v>787</v>
      </c>
      <c r="E32" s="5" t="s">
        <v>67</v>
      </c>
      <c r="F32" s="5" t="s">
        <v>203</v>
      </c>
      <c r="G32" s="9" t="s">
        <v>45</v>
      </c>
      <c r="H32" s="31">
        <v>179.9</v>
      </c>
      <c r="I32" s="11">
        <v>83.47</v>
      </c>
      <c r="J32" s="12">
        <f>IF(OR(tVerao26[[#This Row],[Preço (R$)]]="",tVerao26[[#This Row],[Custo (R$)]]=""),"",(tVerao26[[#This Row],[Preço (R$)]]-tVerao26[[#This Row],[Custo (R$)]])/tVerao26[[#This Row],[Preço (R$)]])</f>
        <v>0.53602001111728736</v>
      </c>
      <c r="K32" s="5" t="s">
        <v>788</v>
      </c>
      <c r="L32" s="28" t="s">
        <v>101</v>
      </c>
      <c r="M32" s="10">
        <v>45942</v>
      </c>
      <c r="N32" s="5" t="s">
        <v>789</v>
      </c>
      <c r="O32" s="9" t="s">
        <v>49</v>
      </c>
    </row>
    <row r="33" spans="1:15">
      <c r="A3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VLT-CMS-009-LIL-P</v>
      </c>
      <c r="B33" s="5" t="s">
        <v>790</v>
      </c>
      <c r="C33" s="9" t="s">
        <v>786</v>
      </c>
      <c r="D33" s="5" t="s">
        <v>787</v>
      </c>
      <c r="E33" s="5" t="s">
        <v>67</v>
      </c>
      <c r="F33" s="5" t="s">
        <v>203</v>
      </c>
      <c r="G33" s="9" t="s">
        <v>51</v>
      </c>
      <c r="H33" s="31">
        <v>179.9</v>
      </c>
      <c r="I33" s="11">
        <v>87.15</v>
      </c>
      <c r="J33" s="12">
        <f>IF(OR(tVerao26[[#This Row],[Preço (R$)]]="",tVerao26[[#This Row],[Custo (R$)]]=""),"",(tVerao26[[#This Row],[Preço (R$)]]-tVerao26[[#This Row],[Custo (R$)]])/tVerao26[[#This Row],[Preço (R$)]])</f>
        <v>0.51556420233463029</v>
      </c>
      <c r="K33" s="5" t="s">
        <v>791</v>
      </c>
      <c r="L33" s="28" t="s">
        <v>101</v>
      </c>
      <c r="M33" s="10">
        <v>45942</v>
      </c>
      <c r="N33" s="5" t="s">
        <v>789</v>
      </c>
      <c r="O33" s="9" t="s">
        <v>49</v>
      </c>
    </row>
    <row r="34" spans="1:15">
      <c r="A3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VLT-CMS-009-LIL-M</v>
      </c>
      <c r="B34" s="5" t="s">
        <v>792</v>
      </c>
      <c r="C34" s="9" t="s">
        <v>786</v>
      </c>
      <c r="D34" s="5" t="s">
        <v>787</v>
      </c>
      <c r="E34" s="5" t="s">
        <v>67</v>
      </c>
      <c r="F34" s="5" t="s">
        <v>203</v>
      </c>
      <c r="G34" s="9" t="s">
        <v>54</v>
      </c>
      <c r="H34" s="31">
        <v>179.9</v>
      </c>
      <c r="I34" s="11">
        <v>84.94</v>
      </c>
      <c r="J34" s="12">
        <f>IF(OR(tVerao26[[#This Row],[Preço (R$)]]="",tVerao26[[#This Row],[Custo (R$)]]=""),"",(tVerao26[[#This Row],[Preço (R$)]]-tVerao26[[#This Row],[Custo (R$)]])/tVerao26[[#This Row],[Preço (R$)]])</f>
        <v>0.52784880489160646</v>
      </c>
      <c r="K34" s="5" t="s">
        <v>793</v>
      </c>
      <c r="L34" s="28" t="s">
        <v>101</v>
      </c>
      <c r="M34" s="10">
        <v>45942</v>
      </c>
      <c r="N34" s="5" t="s">
        <v>789</v>
      </c>
      <c r="O34" s="9" t="s">
        <v>49</v>
      </c>
    </row>
    <row r="35" spans="1:15">
      <c r="A3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VLT-CMS-009-LIL-G</v>
      </c>
      <c r="B35" s="5" t="s">
        <v>794</v>
      </c>
      <c r="C35" s="9" t="s">
        <v>786</v>
      </c>
      <c r="D35" s="5" t="s">
        <v>787</v>
      </c>
      <c r="E35" s="5" t="s">
        <v>67</v>
      </c>
      <c r="F35" s="5" t="s">
        <v>203</v>
      </c>
      <c r="G35" s="9" t="s">
        <v>58</v>
      </c>
      <c r="H35" s="31">
        <v>179.9</v>
      </c>
      <c r="I35" s="11">
        <v>84.14</v>
      </c>
      <c r="J35" s="12">
        <f>IF(OR(tVerao26[[#This Row],[Preço (R$)]]="",tVerao26[[#This Row],[Custo (R$)]]=""),"",(tVerao26[[#This Row],[Preço (R$)]]-tVerao26[[#This Row],[Custo (R$)]])/tVerao26[[#This Row],[Preço (R$)]])</f>
        <v>0.53229571984435797</v>
      </c>
      <c r="K35" s="5" t="s">
        <v>795</v>
      </c>
      <c r="L35" s="28" t="s">
        <v>101</v>
      </c>
      <c r="M35" s="10">
        <v>45942</v>
      </c>
      <c r="N35" s="5" t="s">
        <v>789</v>
      </c>
      <c r="O35" s="9" t="s">
        <v>49</v>
      </c>
    </row>
    <row r="36" spans="1:15">
      <c r="A3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VLT-CMS-009-LIL-GG</v>
      </c>
      <c r="B36" s="5" t="s">
        <v>796</v>
      </c>
      <c r="C36" s="9" t="s">
        <v>786</v>
      </c>
      <c r="D36" s="5" t="s">
        <v>787</v>
      </c>
      <c r="E36" s="5" t="s">
        <v>67</v>
      </c>
      <c r="F36" s="5" t="s">
        <v>203</v>
      </c>
      <c r="G36" s="9" t="s">
        <v>61</v>
      </c>
      <c r="H36" s="31">
        <v>179.9</v>
      </c>
      <c r="I36" s="11">
        <v>87.18</v>
      </c>
      <c r="J36" s="12">
        <f>IF(OR(tVerao26[[#This Row],[Preço (R$)]]="",tVerao26[[#This Row],[Custo (R$)]]=""),"",(tVerao26[[#This Row],[Preço (R$)]]-tVerao26[[#This Row],[Custo (R$)]])/tVerao26[[#This Row],[Preço (R$)]])</f>
        <v>0.51539744302390211</v>
      </c>
      <c r="K36" s="5" t="s">
        <v>797</v>
      </c>
      <c r="L36" s="28" t="s">
        <v>101</v>
      </c>
      <c r="M36" s="10">
        <v>45942</v>
      </c>
      <c r="N36" s="5" t="s">
        <v>789</v>
      </c>
      <c r="O36" s="9" t="s">
        <v>49</v>
      </c>
    </row>
    <row r="37" spans="1:15">
      <c r="A3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VLT-VES-008-AZM-P</v>
      </c>
      <c r="B37" s="5" t="s">
        <v>798</v>
      </c>
      <c r="C37" s="9" t="s">
        <v>799</v>
      </c>
      <c r="D37" s="5" t="s">
        <v>800</v>
      </c>
      <c r="E37" s="5" t="s">
        <v>107</v>
      </c>
      <c r="F37" s="5" t="s">
        <v>68</v>
      </c>
      <c r="G37" s="9" t="s">
        <v>51</v>
      </c>
      <c r="H37" s="31">
        <v>259.89999999999998</v>
      </c>
      <c r="I37" s="11">
        <v>124.86</v>
      </c>
      <c r="J37" s="12">
        <f>IF(OR(tVerao26[[#This Row],[Preço (R$)]]="",tVerao26[[#This Row],[Custo (R$)]]=""),"",(tVerao26[[#This Row],[Preço (R$)]]-tVerao26[[#This Row],[Custo (R$)]])/tVerao26[[#This Row],[Preço (R$)]])</f>
        <v>0.51958445555983057</v>
      </c>
      <c r="K37" s="5" t="s">
        <v>801</v>
      </c>
      <c r="L37" s="28" t="s">
        <v>109</v>
      </c>
      <c r="M37" s="10">
        <v>45941</v>
      </c>
      <c r="N37" s="5" t="s">
        <v>802</v>
      </c>
      <c r="O37" s="9" t="s">
        <v>49</v>
      </c>
    </row>
    <row r="38" spans="1:15">
      <c r="A3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VLT-VES-008-AZM-M</v>
      </c>
      <c r="B38" s="5" t="s">
        <v>803</v>
      </c>
      <c r="C38" s="9" t="s">
        <v>799</v>
      </c>
      <c r="D38" s="5" t="s">
        <v>800</v>
      </c>
      <c r="E38" s="5" t="s">
        <v>107</v>
      </c>
      <c r="F38" s="5" t="s">
        <v>68</v>
      </c>
      <c r="G38" s="9" t="s">
        <v>54</v>
      </c>
      <c r="H38" s="31">
        <v>259.89999999999998</v>
      </c>
      <c r="I38" s="11">
        <v>125.77</v>
      </c>
      <c r="J38" s="12">
        <f>IF(OR(tVerao26[[#This Row],[Preço (R$)]]="",tVerao26[[#This Row],[Custo (R$)]]=""),"",(tVerao26[[#This Row],[Preço (R$)]]-tVerao26[[#This Row],[Custo (R$)]])/tVerao26[[#This Row],[Preço (R$)]])</f>
        <v>0.51608310888803388</v>
      </c>
      <c r="K38" s="5" t="s">
        <v>804</v>
      </c>
      <c r="L38" s="28" t="s">
        <v>109</v>
      </c>
      <c r="M38" s="10">
        <v>45941</v>
      </c>
      <c r="N38" s="5" t="s">
        <v>802</v>
      </c>
      <c r="O38" s="9" t="s">
        <v>49</v>
      </c>
    </row>
    <row r="39" spans="1:15">
      <c r="A3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VLT-VES-008-AZM-G</v>
      </c>
      <c r="B39" s="5" t="s">
        <v>805</v>
      </c>
      <c r="C39" s="9" t="s">
        <v>799</v>
      </c>
      <c r="D39" s="5" t="s">
        <v>800</v>
      </c>
      <c r="E39" s="5" t="s">
        <v>107</v>
      </c>
      <c r="F39" s="5" t="s">
        <v>68</v>
      </c>
      <c r="G39" s="9" t="s">
        <v>58</v>
      </c>
      <c r="H39" s="31">
        <v>259.89999999999998</v>
      </c>
      <c r="I39" s="11">
        <v>125.62</v>
      </c>
      <c r="J39" s="12">
        <f>IF(OR(tVerao26[[#This Row],[Preço (R$)]]="",tVerao26[[#This Row],[Custo (R$)]]=""),"",(tVerao26[[#This Row],[Preço (R$)]]-tVerao26[[#This Row],[Custo (R$)]])/tVerao26[[#This Row],[Preço (R$)]])</f>
        <v>0.51666025394382453</v>
      </c>
      <c r="K39" s="5" t="s">
        <v>806</v>
      </c>
      <c r="L39" s="28" t="s">
        <v>109</v>
      </c>
      <c r="M39" s="10">
        <v>45941</v>
      </c>
      <c r="N39" s="5" t="s">
        <v>802</v>
      </c>
      <c r="O39" s="9" t="s">
        <v>49</v>
      </c>
    </row>
    <row r="40" spans="1:15">
      <c r="A4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VLT-VES-008-AZM-GG</v>
      </c>
      <c r="B40" s="5" t="s">
        <v>807</v>
      </c>
      <c r="C40" s="9" t="s">
        <v>799</v>
      </c>
      <c r="D40" s="5" t="s">
        <v>800</v>
      </c>
      <c r="E40" s="5" t="s">
        <v>107</v>
      </c>
      <c r="F40" s="5" t="s">
        <v>68</v>
      </c>
      <c r="G40" s="9" t="s">
        <v>61</v>
      </c>
      <c r="H40" s="31">
        <v>259.89999999999998</v>
      </c>
      <c r="I40" s="11">
        <v>126.49</v>
      </c>
      <c r="J40" s="12">
        <f>IF(OR(tVerao26[[#This Row],[Preço (R$)]]="",tVerao26[[#This Row],[Custo (R$)]]=""),"",(tVerao26[[#This Row],[Preço (R$)]]-tVerao26[[#This Row],[Custo (R$)]])/tVerao26[[#This Row],[Preço (R$)]])</f>
        <v>0.51331281262023842</v>
      </c>
      <c r="K40" s="5" t="s">
        <v>808</v>
      </c>
      <c r="L40" s="28" t="s">
        <v>109</v>
      </c>
      <c r="M40" s="10">
        <v>45941</v>
      </c>
      <c r="N40" s="5" t="s">
        <v>802</v>
      </c>
      <c r="O40" s="9" t="s">
        <v>49</v>
      </c>
    </row>
    <row r="41" spans="1:15">
      <c r="A4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VLT-VES-008-OFF-P</v>
      </c>
      <c r="B41" s="5" t="s">
        <v>809</v>
      </c>
      <c r="C41" s="9" t="s">
        <v>799</v>
      </c>
      <c r="D41" s="5" t="s">
        <v>800</v>
      </c>
      <c r="E41" s="5" t="s">
        <v>107</v>
      </c>
      <c r="F41" s="5" t="s">
        <v>117</v>
      </c>
      <c r="G41" s="9" t="s">
        <v>51</v>
      </c>
      <c r="H41" s="31">
        <v>259.89999999999998</v>
      </c>
      <c r="I41" s="11">
        <v>120.87</v>
      </c>
      <c r="J41" s="12">
        <f>IF(OR(tVerao26[[#This Row],[Preço (R$)]]="",tVerao26[[#This Row],[Custo (R$)]]=""),"",(tVerao26[[#This Row],[Preço (R$)]]-tVerao26[[#This Row],[Custo (R$)]])/tVerao26[[#This Row],[Preço (R$)]])</f>
        <v>0.534936514043863</v>
      </c>
      <c r="K41" s="5" t="s">
        <v>810</v>
      </c>
      <c r="L41" s="28" t="s">
        <v>109</v>
      </c>
      <c r="M41" s="10">
        <v>45941</v>
      </c>
      <c r="N41" s="5" t="s">
        <v>802</v>
      </c>
      <c r="O41" s="9" t="s">
        <v>49</v>
      </c>
    </row>
    <row r="42" spans="1:15">
      <c r="A4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VLT-VES-008-OFF-M</v>
      </c>
      <c r="B42" s="5" t="s">
        <v>811</v>
      </c>
      <c r="C42" s="9" t="s">
        <v>799</v>
      </c>
      <c r="D42" s="5" t="s">
        <v>800</v>
      </c>
      <c r="E42" s="5" t="s">
        <v>107</v>
      </c>
      <c r="F42" s="5" t="s">
        <v>117</v>
      </c>
      <c r="G42" s="9" t="s">
        <v>54</v>
      </c>
      <c r="H42" s="31">
        <v>259.89999999999998</v>
      </c>
      <c r="I42" s="27">
        <v>120.87</v>
      </c>
      <c r="J42" s="12">
        <f>IF(OR(tVerao26[[#This Row],[Preço (R$)]]="",tVerao26[[#This Row],[Custo (R$)]]=""),"",(tVerao26[[#This Row],[Preço (R$)]]-tVerao26[[#This Row],[Custo (R$)]])/tVerao26[[#This Row],[Preço (R$)]])</f>
        <v>0.534936514043863</v>
      </c>
      <c r="K42" s="5" t="s">
        <v>812</v>
      </c>
      <c r="L42" s="28" t="s">
        <v>109</v>
      </c>
      <c r="M42" s="10">
        <v>45941</v>
      </c>
      <c r="N42" s="5" t="s">
        <v>813</v>
      </c>
      <c r="O42" s="9" t="s">
        <v>49</v>
      </c>
    </row>
    <row r="43" spans="1:15">
      <c r="A4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VLT-VES-008-OFF-G</v>
      </c>
      <c r="B43" s="5" t="s">
        <v>814</v>
      </c>
      <c r="C43" s="9" t="s">
        <v>799</v>
      </c>
      <c r="D43" s="5" t="s">
        <v>800</v>
      </c>
      <c r="E43" s="5" t="s">
        <v>107</v>
      </c>
      <c r="F43" s="5" t="s">
        <v>117</v>
      </c>
      <c r="G43" s="9" t="s">
        <v>58</v>
      </c>
      <c r="H43" s="31">
        <v>259.89999999999998</v>
      </c>
      <c r="I43" s="11">
        <v>121.06</v>
      </c>
      <c r="J43" s="12">
        <f>IF(OR(tVerao26[[#This Row],[Preço (R$)]]="",tVerao26[[#This Row],[Custo (R$)]]=""),"",(tVerao26[[#This Row],[Preço (R$)]]-tVerao26[[#This Row],[Custo (R$)]])/tVerao26[[#This Row],[Preço (R$)]])</f>
        <v>0.53420546363986143</v>
      </c>
      <c r="K43" s="5" t="s">
        <v>815</v>
      </c>
      <c r="L43" s="28" t="s">
        <v>109</v>
      </c>
      <c r="M43" s="10">
        <v>45941</v>
      </c>
      <c r="N43" s="5" t="s">
        <v>802</v>
      </c>
      <c r="O43" s="9" t="s">
        <v>49</v>
      </c>
    </row>
    <row r="44" spans="1:15">
      <c r="A4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VLT-VES-008-OFF-GG</v>
      </c>
      <c r="B44" s="5" t="s">
        <v>816</v>
      </c>
      <c r="C44" s="9" t="s">
        <v>799</v>
      </c>
      <c r="D44" s="5" t="s">
        <v>800</v>
      </c>
      <c r="E44" s="5" t="s">
        <v>107</v>
      </c>
      <c r="F44" s="5" t="s">
        <v>117</v>
      </c>
      <c r="G44" s="9" t="s">
        <v>61</v>
      </c>
      <c r="H44" s="31">
        <v>259.89999999999998</v>
      </c>
      <c r="I44" s="11">
        <v>120.87</v>
      </c>
      <c r="J44" s="12">
        <f>IF(OR(tVerao26[[#This Row],[Preço (R$)]]="",tVerao26[[#This Row],[Custo (R$)]]=""),"",(tVerao26[[#This Row],[Preço (R$)]]-tVerao26[[#This Row],[Custo (R$)]])/tVerao26[[#This Row],[Preço (R$)]])</f>
        <v>0.534936514043863</v>
      </c>
      <c r="K44" s="5" t="s">
        <v>817</v>
      </c>
      <c r="L44" s="28" t="s">
        <v>109</v>
      </c>
      <c r="M44" s="10">
        <v>45941</v>
      </c>
      <c r="N44" s="5" t="s">
        <v>802</v>
      </c>
      <c r="O44" s="9" t="s">
        <v>49</v>
      </c>
    </row>
    <row r="45" spans="1:15">
      <c r="A4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VLT-CAL-022-BEG-XP</v>
      </c>
      <c r="B45" s="5" t="s">
        <v>818</v>
      </c>
      <c r="C45" s="9" t="s">
        <v>819</v>
      </c>
      <c r="D45" s="5" t="s">
        <v>820</v>
      </c>
      <c r="E45" s="5" t="s">
        <v>86</v>
      </c>
      <c r="F45" s="5" t="s">
        <v>299</v>
      </c>
      <c r="G45" s="9" t="s">
        <v>45</v>
      </c>
      <c r="H45" s="11">
        <v>249.9</v>
      </c>
      <c r="I45" s="11">
        <v>121.38</v>
      </c>
      <c r="J45" s="12">
        <f>IF(OR(tVerao26[[#This Row],[Preço (R$)]]="",tVerao26[[#This Row],[Custo (R$)]]=""),"",(tVerao26[[#This Row],[Preço (R$)]]-tVerao26[[#This Row],[Custo (R$)]])/tVerao26[[#This Row],[Preço (R$)]])</f>
        <v>0.51428571428571435</v>
      </c>
      <c r="K45" s="5" t="s">
        <v>821</v>
      </c>
      <c r="L45" s="28" t="s">
        <v>47</v>
      </c>
      <c r="M45" s="10">
        <v>45936</v>
      </c>
      <c r="N45" s="5" t="s">
        <v>470</v>
      </c>
      <c r="O45" s="9" t="s">
        <v>71</v>
      </c>
    </row>
    <row r="46" spans="1:15">
      <c r="A4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VLT-CAL-022-BEG-P</v>
      </c>
      <c r="B46" s="5" t="s">
        <v>822</v>
      </c>
      <c r="C46" s="9" t="s">
        <v>819</v>
      </c>
      <c r="D46" s="5" t="s">
        <v>820</v>
      </c>
      <c r="E46" s="5" t="s">
        <v>86</v>
      </c>
      <c r="F46" s="5" t="s">
        <v>299</v>
      </c>
      <c r="G46" s="9" t="s">
        <v>51</v>
      </c>
      <c r="H46" s="11">
        <v>249.9</v>
      </c>
      <c r="I46" s="11"/>
      <c r="J46" s="12" t="str">
        <f>IF(OR(tVerao26[[#This Row],[Preço (R$)]]="",tVerao26[[#This Row],[Custo (R$)]]=""),"",(tVerao26[[#This Row],[Preço (R$)]]-tVerao26[[#This Row],[Custo (R$)]])/tVerao26[[#This Row],[Preço (R$)]])</f>
        <v/>
      </c>
      <c r="K46" s="5" t="s">
        <v>823</v>
      </c>
      <c r="L46" s="28" t="s">
        <v>47</v>
      </c>
      <c r="M46" s="10">
        <v>45936</v>
      </c>
      <c r="N46" s="5" t="s">
        <v>470</v>
      </c>
      <c r="O46" s="9" t="s">
        <v>71</v>
      </c>
    </row>
    <row r="47" spans="1:15">
      <c r="A4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VLT-CAL-022-BEG-M</v>
      </c>
      <c r="B47" s="5" t="s">
        <v>824</v>
      </c>
      <c r="C47" s="9" t="s">
        <v>819</v>
      </c>
      <c r="D47" s="5" t="s">
        <v>820</v>
      </c>
      <c r="E47" s="5" t="s">
        <v>86</v>
      </c>
      <c r="F47" s="5" t="s">
        <v>299</v>
      </c>
      <c r="G47" s="9" t="s">
        <v>54</v>
      </c>
      <c r="H47" s="11">
        <v>249.9</v>
      </c>
      <c r="I47" s="11">
        <v>124.06</v>
      </c>
      <c r="J47" s="12">
        <f>IF(OR(tVerao26[[#This Row],[Preço (R$)]]="",tVerao26[[#This Row],[Custo (R$)]]=""),"",(tVerao26[[#This Row],[Preço (R$)]]-tVerao26[[#This Row],[Custo (R$)]])/tVerao26[[#This Row],[Preço (R$)]])</f>
        <v>0.50356142456982789</v>
      </c>
      <c r="K47" s="5" t="s">
        <v>825</v>
      </c>
      <c r="L47" s="28" t="s">
        <v>47</v>
      </c>
      <c r="M47" s="10">
        <v>45936</v>
      </c>
      <c r="N47" s="5" t="s">
        <v>470</v>
      </c>
      <c r="O47" s="9" t="s">
        <v>71</v>
      </c>
    </row>
    <row r="48" spans="1:15">
      <c r="A4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VLT-CAL-022-BEG-G</v>
      </c>
      <c r="B48" s="5" t="s">
        <v>826</v>
      </c>
      <c r="C48" s="9" t="s">
        <v>819</v>
      </c>
      <c r="D48" s="5" t="s">
        <v>820</v>
      </c>
      <c r="E48" s="5" t="s">
        <v>86</v>
      </c>
      <c r="F48" s="5" t="s">
        <v>299</v>
      </c>
      <c r="G48" s="9" t="s">
        <v>58</v>
      </c>
      <c r="H48" s="11">
        <v>249.9</v>
      </c>
      <c r="I48" s="11">
        <v>124.71</v>
      </c>
      <c r="J48" s="12">
        <f>IF(OR(tVerao26[[#This Row],[Preço (R$)]]="",tVerao26[[#This Row],[Custo (R$)]]=""),"",(tVerao26[[#This Row],[Preço (R$)]]-tVerao26[[#This Row],[Custo (R$)]])/tVerao26[[#This Row],[Preço (R$)]])</f>
        <v>0.50096038415366151</v>
      </c>
      <c r="K48" s="5" t="s">
        <v>827</v>
      </c>
      <c r="L48" s="28" t="s">
        <v>47</v>
      </c>
      <c r="M48" s="10">
        <v>45936</v>
      </c>
      <c r="N48" s="5" t="s">
        <v>470</v>
      </c>
      <c r="O48" s="9" t="s">
        <v>71</v>
      </c>
    </row>
    <row r="49" spans="1:15">
      <c r="A4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VLT-CAL-022-BEG-GG</v>
      </c>
      <c r="B49" s="5" t="s">
        <v>828</v>
      </c>
      <c r="C49" s="9" t="s">
        <v>819</v>
      </c>
      <c r="D49" s="5" t="s">
        <v>820</v>
      </c>
      <c r="E49" s="5" t="s">
        <v>86</v>
      </c>
      <c r="F49" s="5" t="s">
        <v>299</v>
      </c>
      <c r="G49" s="9" t="s">
        <v>61</v>
      </c>
      <c r="H49" s="11">
        <v>249.9</v>
      </c>
      <c r="I49" s="11">
        <v>123.65</v>
      </c>
      <c r="J49" s="12">
        <f>IF(OR(tVerao26[[#This Row],[Preço (R$)]]="",tVerao26[[#This Row],[Custo (R$)]]=""),"",(tVerao26[[#This Row],[Preço (R$)]]-tVerao26[[#This Row],[Custo (R$)]])/tVerao26[[#This Row],[Preço (R$)]])</f>
        <v>0.50520208083233287</v>
      </c>
      <c r="K49" s="5" t="s">
        <v>829</v>
      </c>
      <c r="L49" s="28" t="s">
        <v>47</v>
      </c>
      <c r="M49" s="10">
        <v>45936</v>
      </c>
      <c r="N49" s="5" t="s">
        <v>470</v>
      </c>
      <c r="O49" s="9" t="s">
        <v>71</v>
      </c>
    </row>
    <row r="50" spans="1:15">
      <c r="A5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VLT-CAL-022-OFF-XP</v>
      </c>
      <c r="B50" s="5" t="s">
        <v>830</v>
      </c>
      <c r="C50" s="9" t="s">
        <v>819</v>
      </c>
      <c r="D50" s="5" t="s">
        <v>820</v>
      </c>
      <c r="E50" s="5" t="s">
        <v>86</v>
      </c>
      <c r="F50" s="5" t="s">
        <v>117</v>
      </c>
      <c r="G50" s="9" t="s">
        <v>45</v>
      </c>
      <c r="H50" s="11">
        <v>249.9</v>
      </c>
      <c r="I50" s="11">
        <v>121.42</v>
      </c>
      <c r="J50" s="12">
        <f>IF(OR(tVerao26[[#This Row],[Preço (R$)]]="",tVerao26[[#This Row],[Custo (R$)]]=""),"",(tVerao26[[#This Row],[Preço (R$)]]-tVerao26[[#This Row],[Custo (R$)]])/tVerao26[[#This Row],[Preço (R$)]])</f>
        <v>0.51412565026010415</v>
      </c>
      <c r="K50" s="5" t="s">
        <v>831</v>
      </c>
      <c r="L50" s="28" t="s">
        <v>47</v>
      </c>
      <c r="M50" s="10">
        <v>45936</v>
      </c>
      <c r="N50" s="5" t="s">
        <v>470</v>
      </c>
      <c r="O50" s="9" t="s">
        <v>71</v>
      </c>
    </row>
    <row r="51" spans="1:15">
      <c r="A5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VLT-CAL-022-OFF-P</v>
      </c>
      <c r="B51" s="5" t="s">
        <v>832</v>
      </c>
      <c r="C51" s="9" t="s">
        <v>819</v>
      </c>
      <c r="D51" s="5" t="s">
        <v>820</v>
      </c>
      <c r="E51" s="5" t="s">
        <v>86</v>
      </c>
      <c r="F51" s="5" t="s">
        <v>117</v>
      </c>
      <c r="G51" s="9" t="s">
        <v>51</v>
      </c>
      <c r="H51" s="11">
        <v>249.9</v>
      </c>
      <c r="I51" s="11"/>
      <c r="J51" s="12" t="str">
        <f>IF(OR(tVerao26[[#This Row],[Preço (R$)]]="",tVerao26[[#This Row],[Custo (R$)]]=""),"",(tVerao26[[#This Row],[Preço (R$)]]-tVerao26[[#This Row],[Custo (R$)]])/tVerao26[[#This Row],[Preço (R$)]])</f>
        <v/>
      </c>
      <c r="K51" s="5" t="s">
        <v>833</v>
      </c>
      <c r="L51" s="28" t="s">
        <v>47</v>
      </c>
      <c r="M51" s="10">
        <v>45936</v>
      </c>
      <c r="N51" s="5" t="s">
        <v>470</v>
      </c>
      <c r="O51" s="9" t="s">
        <v>71</v>
      </c>
    </row>
    <row r="52" spans="1:15">
      <c r="A5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VLT-CAL-022-OFF-M</v>
      </c>
      <c r="B52" s="5" t="s">
        <v>834</v>
      </c>
      <c r="C52" s="9" t="s">
        <v>819</v>
      </c>
      <c r="D52" s="5" t="s">
        <v>820</v>
      </c>
      <c r="E52" s="5" t="s">
        <v>86</v>
      </c>
      <c r="F52" s="5" t="s">
        <v>117</v>
      </c>
      <c r="G52" s="9" t="s">
        <v>54</v>
      </c>
      <c r="H52" s="11">
        <v>249.9</v>
      </c>
      <c r="I52" s="11"/>
      <c r="J52" s="12" t="str">
        <f>IF(OR(tVerao26[[#This Row],[Preço (R$)]]="",tVerao26[[#This Row],[Custo (R$)]]=""),"",(tVerao26[[#This Row],[Preço (R$)]]-tVerao26[[#This Row],[Custo (R$)]])/tVerao26[[#This Row],[Preço (R$)]])</f>
        <v/>
      </c>
      <c r="K52" s="5" t="s">
        <v>835</v>
      </c>
      <c r="L52" s="28" t="s">
        <v>47</v>
      </c>
      <c r="M52" s="10">
        <v>45936</v>
      </c>
      <c r="N52" s="5" t="s">
        <v>470</v>
      </c>
      <c r="O52" s="9" t="s">
        <v>71</v>
      </c>
    </row>
    <row r="53" spans="1:15">
      <c r="A5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VLT-CAL-022-OFF-G</v>
      </c>
      <c r="B53" s="5" t="s">
        <v>836</v>
      </c>
      <c r="C53" s="9" t="s">
        <v>819</v>
      </c>
      <c r="D53" s="5" t="s">
        <v>820</v>
      </c>
      <c r="E53" s="5" t="s">
        <v>86</v>
      </c>
      <c r="F53" s="5" t="s">
        <v>117</v>
      </c>
      <c r="G53" s="9" t="s">
        <v>58</v>
      </c>
      <c r="H53" s="11">
        <v>249.9</v>
      </c>
      <c r="I53" s="11"/>
      <c r="J53" s="12" t="str">
        <f>IF(OR(tVerao26[[#This Row],[Preço (R$)]]="",tVerao26[[#This Row],[Custo (R$)]]=""),"",(tVerao26[[#This Row],[Preço (R$)]]-tVerao26[[#This Row],[Custo (R$)]])/tVerao26[[#This Row],[Preço (R$)]])</f>
        <v/>
      </c>
      <c r="K53" s="5" t="s">
        <v>837</v>
      </c>
      <c r="L53" s="28" t="s">
        <v>47</v>
      </c>
      <c r="M53" s="10">
        <v>45936</v>
      </c>
      <c r="N53" s="5" t="s">
        <v>470</v>
      </c>
      <c r="O53" s="9" t="s">
        <v>71</v>
      </c>
    </row>
    <row r="54" spans="1:15">
      <c r="A5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VLT-CAL-022-OFF-GG</v>
      </c>
      <c r="B54" s="5" t="s">
        <v>838</v>
      </c>
      <c r="C54" s="9" t="s">
        <v>819</v>
      </c>
      <c r="D54" s="5" t="s">
        <v>820</v>
      </c>
      <c r="E54" s="5" t="s">
        <v>86</v>
      </c>
      <c r="F54" s="5" t="s">
        <v>117</v>
      </c>
      <c r="G54" s="9" t="s">
        <v>61</v>
      </c>
      <c r="H54" s="11">
        <v>249.9</v>
      </c>
      <c r="I54" s="11">
        <v>125.41</v>
      </c>
      <c r="J54" s="12">
        <f>IF(OR(tVerao26[[#This Row],[Preço (R$)]]="",tVerao26[[#This Row],[Custo (R$)]]=""),"",(tVerao26[[#This Row],[Preço (R$)]]-tVerao26[[#This Row],[Custo (R$)]])/tVerao26[[#This Row],[Preço (R$)]])</f>
        <v>0.49815926370548219</v>
      </c>
      <c r="K54" s="5" t="s">
        <v>839</v>
      </c>
      <c r="L54" s="28" t="s">
        <v>47</v>
      </c>
      <c r="M54" s="10">
        <v>45936</v>
      </c>
      <c r="N54" s="5" t="s">
        <v>470</v>
      </c>
      <c r="O54" s="9" t="s">
        <v>71</v>
      </c>
    </row>
    <row r="55" spans="1:15">
      <c r="A5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VLT-CAL-023-LIL-XP</v>
      </c>
      <c r="B55" s="5" t="s">
        <v>840</v>
      </c>
      <c r="C55" s="9" t="s">
        <v>841</v>
      </c>
      <c r="D55" s="5" t="s">
        <v>842</v>
      </c>
      <c r="E55" s="5" t="s">
        <v>86</v>
      </c>
      <c r="F55" s="5" t="s">
        <v>203</v>
      </c>
      <c r="G55" s="9" t="s">
        <v>45</v>
      </c>
      <c r="H55" s="31">
        <v>269.89999999999998</v>
      </c>
      <c r="I55" s="27">
        <v>128.35</v>
      </c>
      <c r="J55" s="12">
        <f>IF(OR(tVerao26[[#This Row],[Preço (R$)]]="",tVerao26[[#This Row],[Custo (R$)]]=""),"",(tVerao26[[#This Row],[Preço (R$)]]-tVerao26[[#This Row],[Custo (R$)]])/tVerao26[[#This Row],[Preço (R$)]])</f>
        <v>0.52445350129677659</v>
      </c>
      <c r="K55" s="5" t="s">
        <v>843</v>
      </c>
      <c r="L55" s="28" t="s">
        <v>47</v>
      </c>
      <c r="M55" s="10">
        <v>45954</v>
      </c>
      <c r="N55" s="5" t="s">
        <v>844</v>
      </c>
      <c r="O55" s="9" t="s">
        <v>49</v>
      </c>
    </row>
    <row r="56" spans="1:15">
      <c r="A5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VLT-CAL-023-LIL-P</v>
      </c>
      <c r="B56" s="5" t="s">
        <v>845</v>
      </c>
      <c r="C56" s="9" t="s">
        <v>841</v>
      </c>
      <c r="D56" s="5" t="s">
        <v>842</v>
      </c>
      <c r="E56" s="5" t="s">
        <v>86</v>
      </c>
      <c r="F56" s="5" t="s">
        <v>203</v>
      </c>
      <c r="G56" s="9" t="s">
        <v>51</v>
      </c>
      <c r="H56" s="31">
        <v>269.89999999999998</v>
      </c>
      <c r="I56" s="27">
        <v>128.35</v>
      </c>
      <c r="J56" s="12">
        <f>IF(OR(tVerao26[[#This Row],[Preço (R$)]]="",tVerao26[[#This Row],[Custo (R$)]]=""),"",(tVerao26[[#This Row],[Preço (R$)]]-tVerao26[[#This Row],[Custo (R$)]])/tVerao26[[#This Row],[Preço (R$)]])</f>
        <v>0.52445350129677659</v>
      </c>
      <c r="K56" s="5" t="s">
        <v>846</v>
      </c>
      <c r="L56" s="28" t="s">
        <v>47</v>
      </c>
      <c r="M56" s="10">
        <v>45954</v>
      </c>
      <c r="N56" s="5" t="s">
        <v>844</v>
      </c>
      <c r="O56" s="9" t="s">
        <v>49</v>
      </c>
    </row>
    <row r="57" spans="1:15">
      <c r="A5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VLT-CAL-023-LIL-M</v>
      </c>
      <c r="B57" s="5" t="s">
        <v>847</v>
      </c>
      <c r="C57" s="9" t="s">
        <v>841</v>
      </c>
      <c r="D57" s="5" t="s">
        <v>842</v>
      </c>
      <c r="E57" s="5" t="s">
        <v>86</v>
      </c>
      <c r="F57" s="5" t="s">
        <v>203</v>
      </c>
      <c r="G57" s="9" t="s">
        <v>54</v>
      </c>
      <c r="H57" s="31">
        <v>269.89999999999998</v>
      </c>
      <c r="I57" s="11">
        <v>128.35</v>
      </c>
      <c r="J57" s="12">
        <f>IF(OR(tVerao26[[#This Row],[Preço (R$)]]="",tVerao26[[#This Row],[Custo (R$)]]=""),"",(tVerao26[[#This Row],[Preço (R$)]]-tVerao26[[#This Row],[Custo (R$)]])/tVerao26[[#This Row],[Preço (R$)]])</f>
        <v>0.52445350129677659</v>
      </c>
      <c r="K57" s="5" t="s">
        <v>848</v>
      </c>
      <c r="L57" s="28" t="s">
        <v>47</v>
      </c>
      <c r="M57" s="10">
        <v>45954</v>
      </c>
      <c r="N57" s="5" t="s">
        <v>849</v>
      </c>
      <c r="O57" s="9" t="s">
        <v>49</v>
      </c>
    </row>
    <row r="58" spans="1:15">
      <c r="A5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VLT-CAL-023-LIL-G</v>
      </c>
      <c r="B58" s="5" t="s">
        <v>850</v>
      </c>
      <c r="C58" s="9" t="s">
        <v>841</v>
      </c>
      <c r="D58" s="5" t="s">
        <v>842</v>
      </c>
      <c r="E58" s="5" t="s">
        <v>86</v>
      </c>
      <c r="F58" s="5" t="s">
        <v>203</v>
      </c>
      <c r="G58" s="9" t="s">
        <v>58</v>
      </c>
      <c r="H58" s="31">
        <v>269.89999999999998</v>
      </c>
      <c r="I58" s="11">
        <v>127.48</v>
      </c>
      <c r="J58" s="12">
        <f>IF(OR(tVerao26[[#This Row],[Preço (R$)]]="",tVerao26[[#This Row],[Custo (R$)]]=""),"",(tVerao26[[#This Row],[Preço (R$)]]-tVerao26[[#This Row],[Custo (R$)]])/tVerao26[[#This Row],[Preço (R$)]])</f>
        <v>0.52767691737680611</v>
      </c>
      <c r="K58" s="5" t="s">
        <v>851</v>
      </c>
      <c r="L58" s="28" t="s">
        <v>47</v>
      </c>
      <c r="M58" s="10">
        <v>45954</v>
      </c>
      <c r="N58" s="5" t="s">
        <v>849</v>
      </c>
      <c r="O58" s="9" t="s">
        <v>49</v>
      </c>
    </row>
    <row r="59" spans="1:15">
      <c r="A5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VLT-CAL-023-LIL-GG</v>
      </c>
      <c r="B59" s="5" t="s">
        <v>852</v>
      </c>
      <c r="C59" s="9" t="s">
        <v>841</v>
      </c>
      <c r="D59" s="5" t="s">
        <v>842</v>
      </c>
      <c r="E59" s="5" t="s">
        <v>86</v>
      </c>
      <c r="F59" s="5" t="s">
        <v>203</v>
      </c>
      <c r="G59" s="9" t="s">
        <v>61</v>
      </c>
      <c r="H59" s="31">
        <v>269.89999999999998</v>
      </c>
      <c r="I59" s="11">
        <v>132.61000000000001</v>
      </c>
      <c r="J59" s="12">
        <f>IF(OR(tVerao26[[#This Row],[Preço (R$)]]="",tVerao26[[#This Row],[Custo (R$)]]=""),"",(tVerao26[[#This Row],[Preço (R$)]]-tVerao26[[#This Row],[Custo (R$)]])/tVerao26[[#This Row],[Preço (R$)]])</f>
        <v>0.50866987773249339</v>
      </c>
      <c r="K59" s="28" t="s">
        <v>853</v>
      </c>
      <c r="L59" s="28" t="s">
        <v>47</v>
      </c>
      <c r="M59" s="10">
        <v>45954</v>
      </c>
      <c r="N59" s="5" t="s">
        <v>854</v>
      </c>
      <c r="O59" s="9" t="s">
        <v>49</v>
      </c>
    </row>
    <row r="60" spans="1:15">
      <c r="A6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VLT-BER-007-AZM-P</v>
      </c>
      <c r="B60" s="5" t="s">
        <v>855</v>
      </c>
      <c r="C60" s="9" t="s">
        <v>856</v>
      </c>
      <c r="D60" s="5" t="s">
        <v>857</v>
      </c>
      <c r="E60" s="5" t="s">
        <v>43</v>
      </c>
      <c r="F60" s="5" t="s">
        <v>68</v>
      </c>
      <c r="G60" s="9" t="s">
        <v>51</v>
      </c>
      <c r="H60" s="11">
        <v>189.9</v>
      </c>
      <c r="I60" s="27">
        <v>79.63</v>
      </c>
      <c r="J60" s="12">
        <f>IF(OR(tVerao26[[#This Row],[Preço (R$)]]="",tVerao26[[#This Row],[Custo (R$)]]=""),"",(tVerao26[[#This Row],[Preço (R$)]]-tVerao26[[#This Row],[Custo (R$)]])/tVerao26[[#This Row],[Preço (R$)]])</f>
        <v>0.58067403896787784</v>
      </c>
      <c r="K60" s="5" t="s">
        <v>858</v>
      </c>
      <c r="L60" s="28" t="s">
        <v>101</v>
      </c>
      <c r="M60" s="10">
        <v>45928</v>
      </c>
      <c r="N60" s="5" t="s">
        <v>859</v>
      </c>
      <c r="O60" s="9" t="s">
        <v>49</v>
      </c>
    </row>
    <row r="61" spans="1:15">
      <c r="A6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VLT-BER-007-AZM-M</v>
      </c>
      <c r="B61" s="5" t="s">
        <v>860</v>
      </c>
      <c r="C61" s="9" t="s">
        <v>856</v>
      </c>
      <c r="D61" s="5" t="s">
        <v>857</v>
      </c>
      <c r="E61" s="5" t="s">
        <v>43</v>
      </c>
      <c r="F61" s="5" t="s">
        <v>68</v>
      </c>
      <c r="G61" s="9" t="s">
        <v>54</v>
      </c>
      <c r="H61" s="11">
        <v>189.9</v>
      </c>
      <c r="I61" s="11">
        <v>79.63</v>
      </c>
      <c r="J61" s="12">
        <f>IF(OR(tVerao26[[#This Row],[Preço (R$)]]="",tVerao26[[#This Row],[Custo (R$)]]=""),"",(tVerao26[[#This Row],[Preço (R$)]]-tVerao26[[#This Row],[Custo (R$)]])/tVerao26[[#This Row],[Preço (R$)]])</f>
        <v>0.58067403896787784</v>
      </c>
      <c r="K61" s="5" t="s">
        <v>861</v>
      </c>
      <c r="L61" s="28" t="s">
        <v>101</v>
      </c>
      <c r="M61" s="10">
        <v>45928</v>
      </c>
      <c r="N61" s="5" t="s">
        <v>862</v>
      </c>
      <c r="O61" s="9" t="s">
        <v>49</v>
      </c>
    </row>
    <row r="62" spans="1:15">
      <c r="A6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VLT-BER-007-AZM-G</v>
      </c>
      <c r="B62" s="5" t="s">
        <v>863</v>
      </c>
      <c r="C62" s="9" t="s">
        <v>856</v>
      </c>
      <c r="D62" s="5" t="s">
        <v>857</v>
      </c>
      <c r="E62" s="5" t="s">
        <v>43</v>
      </c>
      <c r="F62" s="5" t="s">
        <v>68</v>
      </c>
      <c r="G62" s="9" t="s">
        <v>58</v>
      </c>
      <c r="H62" s="11">
        <v>189.9</v>
      </c>
      <c r="I62" s="11">
        <v>80.72</v>
      </c>
      <c r="J62" s="12">
        <f>IF(OR(tVerao26[[#This Row],[Preço (R$)]]="",tVerao26[[#This Row],[Custo (R$)]]=""),"",(tVerao26[[#This Row],[Preço (R$)]]-tVerao26[[#This Row],[Custo (R$)]])/tVerao26[[#This Row],[Preço (R$)]])</f>
        <v>0.57493417588204321</v>
      </c>
      <c r="K62" s="5" t="s">
        <v>864</v>
      </c>
      <c r="L62" s="28" t="s">
        <v>101</v>
      </c>
      <c r="M62" s="10">
        <v>45928</v>
      </c>
      <c r="N62" s="5" t="s">
        <v>862</v>
      </c>
      <c r="O62" s="9" t="s">
        <v>49</v>
      </c>
    </row>
    <row r="63" spans="1:15">
      <c r="A6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VLT-BER-007-AZM-GG</v>
      </c>
      <c r="B63" s="5" t="s">
        <v>865</v>
      </c>
      <c r="C63" s="9" t="s">
        <v>856</v>
      </c>
      <c r="D63" s="5" t="s">
        <v>857</v>
      </c>
      <c r="E63" s="5" t="s">
        <v>43</v>
      </c>
      <c r="F63" s="5" t="s">
        <v>68</v>
      </c>
      <c r="G63" s="9" t="s">
        <v>61</v>
      </c>
      <c r="H63" s="11">
        <v>189.9</v>
      </c>
      <c r="I63" s="11">
        <v>80.98</v>
      </c>
      <c r="J63" s="12">
        <f>IF(OR(tVerao26[[#This Row],[Preço (R$)]]="",tVerao26[[#This Row],[Custo (R$)]]=""),"",(tVerao26[[#This Row],[Preço (R$)]]-tVerao26[[#This Row],[Custo (R$)]])/tVerao26[[#This Row],[Preço (R$)]])</f>
        <v>0.57356503422854133</v>
      </c>
      <c r="K63" s="5" t="s">
        <v>866</v>
      </c>
      <c r="L63" s="28" t="s">
        <v>101</v>
      </c>
      <c r="M63" s="10">
        <v>45928</v>
      </c>
      <c r="N63" s="5" t="s">
        <v>862</v>
      </c>
      <c r="O63" s="9" t="s">
        <v>49</v>
      </c>
    </row>
    <row r="64" spans="1:15">
      <c r="A6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VLT-CMS-010-MRR-P</v>
      </c>
      <c r="B64" s="5" t="s">
        <v>867</v>
      </c>
      <c r="C64" s="9" t="s">
        <v>868</v>
      </c>
      <c r="D64" s="5" t="s">
        <v>869</v>
      </c>
      <c r="E64" s="5" t="s">
        <v>67</v>
      </c>
      <c r="F64" s="5" t="s">
        <v>87</v>
      </c>
      <c r="G64" s="9" t="s">
        <v>51</v>
      </c>
      <c r="H64" s="11">
        <v>279.89999999999998</v>
      </c>
      <c r="I64" s="11">
        <v>102.6</v>
      </c>
      <c r="J64" s="12">
        <f>IF(OR(tVerao26[[#This Row],[Preço (R$)]]="",tVerao26[[#This Row],[Custo (R$)]]=""),"",(tVerao26[[#This Row],[Preço (R$)]]-tVerao26[[#This Row],[Custo (R$)]])/tVerao26[[#This Row],[Preço (R$)]])</f>
        <v>0.63344051446945338</v>
      </c>
      <c r="K64" s="5" t="s">
        <v>870</v>
      </c>
      <c r="L64" s="28" t="s">
        <v>70</v>
      </c>
      <c r="M64" s="10">
        <v>45926</v>
      </c>
      <c r="N64" s="5" t="s">
        <v>871</v>
      </c>
      <c r="O64" s="9" t="s">
        <v>49</v>
      </c>
    </row>
    <row r="65" spans="1:15">
      <c r="A6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VLT-CMS-010-MRR-M</v>
      </c>
      <c r="B65" s="5" t="s">
        <v>872</v>
      </c>
      <c r="C65" s="9" t="s">
        <v>868</v>
      </c>
      <c r="D65" s="5" t="s">
        <v>869</v>
      </c>
      <c r="E65" s="5" t="s">
        <v>67</v>
      </c>
      <c r="F65" s="5" t="s">
        <v>87</v>
      </c>
      <c r="G65" s="9" t="s">
        <v>54</v>
      </c>
      <c r="H65" s="11">
        <v>279.89999999999998</v>
      </c>
      <c r="I65" s="11">
        <v>100.97</v>
      </c>
      <c r="J65" s="12">
        <f>IF(OR(tVerao26[[#This Row],[Preço (R$)]]="",tVerao26[[#This Row],[Custo (R$)]]=""),"",(tVerao26[[#This Row],[Preço (R$)]]-tVerao26[[#This Row],[Custo (R$)]])/tVerao26[[#This Row],[Preço (R$)]])</f>
        <v>0.63926402286530903</v>
      </c>
      <c r="K65" s="5" t="s">
        <v>873</v>
      </c>
      <c r="L65" s="28" t="s">
        <v>70</v>
      </c>
      <c r="M65" s="10">
        <v>45926</v>
      </c>
      <c r="N65" s="5" t="s">
        <v>871</v>
      </c>
      <c r="O65" s="9" t="s">
        <v>49</v>
      </c>
    </row>
    <row r="66" spans="1:15">
      <c r="A6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VLT-CMS-010-MRR-G</v>
      </c>
      <c r="B66" s="5" t="s">
        <v>874</v>
      </c>
      <c r="C66" s="9" t="s">
        <v>868</v>
      </c>
      <c r="D66" s="5" t="s">
        <v>869</v>
      </c>
      <c r="E66" s="5" t="s">
        <v>67</v>
      </c>
      <c r="F66" s="5" t="s">
        <v>87</v>
      </c>
      <c r="G66" s="9" t="s">
        <v>58</v>
      </c>
      <c r="H66" s="11">
        <v>279.89999999999998</v>
      </c>
      <c r="I66" s="27">
        <v>100.97</v>
      </c>
      <c r="J66" s="12">
        <f>IF(OR(tVerao26[[#This Row],[Preço (R$)]]="",tVerao26[[#This Row],[Custo (R$)]]=""),"",(tVerao26[[#This Row],[Preço (R$)]]-tVerao26[[#This Row],[Custo (R$)]])/tVerao26[[#This Row],[Preço (R$)]])</f>
        <v>0.63926402286530903</v>
      </c>
      <c r="K66" s="5" t="s">
        <v>875</v>
      </c>
      <c r="L66" s="28" t="s">
        <v>70</v>
      </c>
      <c r="M66" s="10">
        <v>45926</v>
      </c>
      <c r="N66" s="5" t="s">
        <v>876</v>
      </c>
      <c r="O66" s="9" t="s">
        <v>49</v>
      </c>
    </row>
    <row r="67" spans="1:15">
      <c r="A6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VLT-CMS-010-MRR-GG</v>
      </c>
      <c r="B67" s="5" t="s">
        <v>877</v>
      </c>
      <c r="C67" s="9" t="s">
        <v>868</v>
      </c>
      <c r="D67" s="5" t="s">
        <v>869</v>
      </c>
      <c r="E67" s="5" t="s">
        <v>67</v>
      </c>
      <c r="F67" s="5" t="s">
        <v>87</v>
      </c>
      <c r="G67" s="9" t="s">
        <v>61</v>
      </c>
      <c r="H67" s="11">
        <v>279.89999999999998</v>
      </c>
      <c r="I67" s="27">
        <v>100.97</v>
      </c>
      <c r="J67" s="12">
        <f>IF(OR(tVerao26[[#This Row],[Preço (R$)]]="",tVerao26[[#This Row],[Custo (R$)]]=""),"",(tVerao26[[#This Row],[Preço (R$)]]-tVerao26[[#This Row],[Custo (R$)]])/tVerao26[[#This Row],[Preço (R$)]])</f>
        <v>0.63926402286530903</v>
      </c>
      <c r="K67" s="5" t="s">
        <v>878</v>
      </c>
      <c r="L67" s="28" t="s">
        <v>70</v>
      </c>
      <c r="M67" s="10">
        <v>45926</v>
      </c>
      <c r="N67" s="5" t="s">
        <v>879</v>
      </c>
      <c r="O67" s="9" t="s">
        <v>49</v>
      </c>
    </row>
    <row r="68" spans="1:15">
      <c r="A6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VLT-CMS-011-JES-P</v>
      </c>
      <c r="B68" s="5" t="s">
        <v>880</v>
      </c>
      <c r="C68" s="9" t="s">
        <v>881</v>
      </c>
      <c r="D68" s="5" t="s">
        <v>882</v>
      </c>
      <c r="E68" s="5" t="s">
        <v>67</v>
      </c>
      <c r="F68" s="5" t="s">
        <v>44</v>
      </c>
      <c r="G68" s="9" t="s">
        <v>51</v>
      </c>
      <c r="H68" s="11">
        <v>249.9</v>
      </c>
      <c r="I68" s="11">
        <v>107.88</v>
      </c>
      <c r="J68" s="12">
        <f>IF(OR(tVerao26[[#This Row],[Preço (R$)]]="",tVerao26[[#This Row],[Custo (R$)]]=""),"",(tVerao26[[#This Row],[Preço (R$)]]-tVerao26[[#This Row],[Custo (R$)]])/tVerao26[[#This Row],[Preço (R$)]])</f>
        <v>0.56830732292917174</v>
      </c>
      <c r="K68" s="5" t="s">
        <v>883</v>
      </c>
      <c r="L68" s="28" t="s">
        <v>47</v>
      </c>
      <c r="M68" s="10">
        <v>45937</v>
      </c>
      <c r="N68" s="5" t="s">
        <v>884</v>
      </c>
      <c r="O68" s="9" t="s">
        <v>49</v>
      </c>
    </row>
    <row r="69" spans="1:15">
      <c r="A6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VLT-CMS-011-JES-M</v>
      </c>
      <c r="B69" s="5" t="s">
        <v>885</v>
      </c>
      <c r="C69" s="9" t="s">
        <v>881</v>
      </c>
      <c r="D69" s="5" t="s">
        <v>882</v>
      </c>
      <c r="E69" s="5" t="s">
        <v>67</v>
      </c>
      <c r="F69" s="5" t="s">
        <v>44</v>
      </c>
      <c r="G69" s="9" t="s">
        <v>54</v>
      </c>
      <c r="H69" s="11">
        <v>249.9</v>
      </c>
      <c r="I69" s="11">
        <v>108.86</v>
      </c>
      <c r="J69" s="12">
        <f>IF(OR(tVerao26[[#This Row],[Preço (R$)]]="",tVerao26[[#This Row],[Custo (R$)]]=""),"",(tVerao26[[#This Row],[Preço (R$)]]-tVerao26[[#This Row],[Custo (R$)]])/tVerao26[[#This Row],[Preço (R$)]])</f>
        <v>0.56438575430172078</v>
      </c>
      <c r="K69" s="5" t="s">
        <v>886</v>
      </c>
      <c r="L69" s="28" t="s">
        <v>47</v>
      </c>
      <c r="M69" s="10">
        <v>45937</v>
      </c>
      <c r="N69" s="5" t="s">
        <v>884</v>
      </c>
      <c r="O69" s="9" t="s">
        <v>49</v>
      </c>
    </row>
    <row r="70" spans="1:15">
      <c r="A7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VLT-CMS-011-JES-G</v>
      </c>
      <c r="B70" s="5" t="s">
        <v>887</v>
      </c>
      <c r="C70" s="9" t="s">
        <v>881</v>
      </c>
      <c r="D70" s="5" t="s">
        <v>882</v>
      </c>
      <c r="E70" s="5" t="s">
        <v>67</v>
      </c>
      <c r="F70" s="5" t="s">
        <v>44</v>
      </c>
      <c r="G70" s="9" t="s">
        <v>58</v>
      </c>
      <c r="H70" s="11">
        <v>249.9</v>
      </c>
      <c r="I70" s="11">
        <v>107.75</v>
      </c>
      <c r="J70" s="12">
        <f>IF(OR(tVerao26[[#This Row],[Preço (R$)]]="",tVerao26[[#This Row],[Custo (R$)]]=""),"",(tVerao26[[#This Row],[Preço (R$)]]-tVerao26[[#This Row],[Custo (R$)]])/tVerao26[[#This Row],[Preço (R$)]])</f>
        <v>0.56882753101240502</v>
      </c>
      <c r="K70" s="5" t="s">
        <v>888</v>
      </c>
      <c r="L70" s="28" t="s">
        <v>47</v>
      </c>
      <c r="M70" s="10">
        <v>45937</v>
      </c>
      <c r="N70" s="5" t="s">
        <v>884</v>
      </c>
      <c r="O70" s="9" t="s">
        <v>49</v>
      </c>
    </row>
    <row r="71" spans="1:15">
      <c r="A7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VLT-CMS-011-JES-GG</v>
      </c>
      <c r="B71" s="5" t="s">
        <v>889</v>
      </c>
      <c r="C71" s="9" t="s">
        <v>881</v>
      </c>
      <c r="D71" s="5" t="s">
        <v>882</v>
      </c>
      <c r="E71" s="5" t="s">
        <v>67</v>
      </c>
      <c r="F71" s="5" t="s">
        <v>44</v>
      </c>
      <c r="G71" s="9" t="s">
        <v>61</v>
      </c>
      <c r="H71" s="11">
        <v>249.9</v>
      </c>
      <c r="I71" s="11">
        <v>108.26</v>
      </c>
      <c r="J71" s="12">
        <f>IF(OR(tVerao26[[#This Row],[Preço (R$)]]="",tVerao26[[#This Row],[Custo (R$)]]=""),"",(tVerao26[[#This Row],[Preço (R$)]]-tVerao26[[#This Row],[Custo (R$)]])/tVerao26[[#This Row],[Preço (R$)]])</f>
        <v>0.56678671468587427</v>
      </c>
      <c r="K71" s="5" t="s">
        <v>890</v>
      </c>
      <c r="L71" s="28" t="s">
        <v>47</v>
      </c>
      <c r="M71" s="10">
        <v>45937</v>
      </c>
      <c r="N71" s="5" t="s">
        <v>884</v>
      </c>
      <c r="O71" s="9" t="s">
        <v>49</v>
      </c>
    </row>
    <row r="72" spans="1:15">
      <c r="A7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VLT-CMS-011-JCL-P</v>
      </c>
      <c r="B72" s="5" t="s">
        <v>891</v>
      </c>
      <c r="C72" s="9" t="s">
        <v>881</v>
      </c>
      <c r="D72" s="5" t="s">
        <v>882</v>
      </c>
      <c r="E72" s="5" t="s">
        <v>67</v>
      </c>
      <c r="F72" s="5" t="s">
        <v>892</v>
      </c>
      <c r="G72" s="9" t="s">
        <v>51</v>
      </c>
      <c r="H72" s="11">
        <v>249.9</v>
      </c>
      <c r="I72" s="11">
        <v>108.65</v>
      </c>
      <c r="J72" s="12">
        <f>IF(OR(tVerao26[[#This Row],[Preço (R$)]]="",tVerao26[[#This Row],[Custo (R$)]]=""),"",(tVerao26[[#This Row],[Preço (R$)]]-tVerao26[[#This Row],[Custo (R$)]])/tVerao26[[#This Row],[Preço (R$)]])</f>
        <v>0.56522609043617444</v>
      </c>
      <c r="K72" s="5" t="s">
        <v>893</v>
      </c>
      <c r="L72" s="28" t="s">
        <v>47</v>
      </c>
      <c r="M72" s="10">
        <v>45937</v>
      </c>
      <c r="N72" s="5" t="s">
        <v>884</v>
      </c>
      <c r="O72" s="9" t="s">
        <v>49</v>
      </c>
    </row>
    <row r="73" spans="1:15">
      <c r="A7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VLT-CMS-011-JCL-M</v>
      </c>
      <c r="B73" s="5" t="s">
        <v>894</v>
      </c>
      <c r="C73" s="9" t="s">
        <v>881</v>
      </c>
      <c r="D73" s="5" t="s">
        <v>882</v>
      </c>
      <c r="E73" s="5" t="s">
        <v>67</v>
      </c>
      <c r="F73" s="5" t="s">
        <v>892</v>
      </c>
      <c r="G73" s="9" t="s">
        <v>54</v>
      </c>
      <c r="H73" s="11">
        <v>249.9</v>
      </c>
      <c r="I73" s="11">
        <v>104.84</v>
      </c>
      <c r="J73" s="12">
        <f>IF(OR(tVerao26[[#This Row],[Preço (R$)]]="",tVerao26[[#This Row],[Custo (R$)]]=""),"",(tVerao26[[#This Row],[Preço (R$)]]-tVerao26[[#This Row],[Custo (R$)]])/tVerao26[[#This Row],[Preço (R$)]])</f>
        <v>0.58047218887555019</v>
      </c>
      <c r="K73" s="5" t="s">
        <v>895</v>
      </c>
      <c r="L73" s="28" t="s">
        <v>47</v>
      </c>
      <c r="M73" s="10">
        <v>45937</v>
      </c>
      <c r="N73" s="5" t="s">
        <v>884</v>
      </c>
      <c r="O73" s="9" t="s">
        <v>49</v>
      </c>
    </row>
    <row r="74" spans="1:15">
      <c r="A7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VLT-CMS-011-JCL-G</v>
      </c>
      <c r="B74" s="5" t="s">
        <v>896</v>
      </c>
      <c r="C74" s="9" t="s">
        <v>881</v>
      </c>
      <c r="D74" s="5" t="s">
        <v>882</v>
      </c>
      <c r="E74" s="5" t="s">
        <v>67</v>
      </c>
      <c r="F74" s="5" t="s">
        <v>892</v>
      </c>
      <c r="G74" s="9" t="s">
        <v>58</v>
      </c>
      <c r="H74" s="11">
        <v>249.9</v>
      </c>
      <c r="I74" s="11">
        <v>109.28</v>
      </c>
      <c r="J74" s="12">
        <f>IF(OR(tVerao26[[#This Row],[Preço (R$)]]="",tVerao26[[#This Row],[Custo (R$)]]=""),"",(tVerao26[[#This Row],[Preço (R$)]]-tVerao26[[#This Row],[Custo (R$)]])/tVerao26[[#This Row],[Preço (R$)]])</f>
        <v>0.56270508203281311</v>
      </c>
      <c r="K74" s="5" t="s">
        <v>897</v>
      </c>
      <c r="L74" s="28" t="s">
        <v>47</v>
      </c>
      <c r="M74" s="10">
        <v>45937</v>
      </c>
      <c r="N74" s="5" t="s">
        <v>884</v>
      </c>
      <c r="O74" s="9" t="s">
        <v>49</v>
      </c>
    </row>
    <row r="75" spans="1:15">
      <c r="A7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VLT-CMS-011-JCL-GG</v>
      </c>
      <c r="B75" s="5" t="s">
        <v>898</v>
      </c>
      <c r="C75" s="9" t="s">
        <v>881</v>
      </c>
      <c r="D75" s="5" t="s">
        <v>882</v>
      </c>
      <c r="E75" s="5" t="s">
        <v>67</v>
      </c>
      <c r="F75" s="5" t="s">
        <v>892</v>
      </c>
      <c r="G75" s="9" t="s">
        <v>61</v>
      </c>
      <c r="H75" s="11">
        <v>249.9</v>
      </c>
      <c r="I75" s="11">
        <v>106.81</v>
      </c>
      <c r="J75" s="12">
        <f>IF(OR(tVerao26[[#This Row],[Preço (R$)]]="",tVerao26[[#This Row],[Custo (R$)]]=""),"",(tVerao26[[#This Row],[Preço (R$)]]-tVerao26[[#This Row],[Custo (R$)]])/tVerao26[[#This Row],[Preço (R$)]])</f>
        <v>0.57258903561424568</v>
      </c>
      <c r="K75" s="5" t="s">
        <v>899</v>
      </c>
      <c r="L75" s="28" t="s">
        <v>47</v>
      </c>
      <c r="M75" s="10">
        <v>45937</v>
      </c>
      <c r="N75" s="5" t="s">
        <v>884</v>
      </c>
      <c r="O75" s="9" t="s">
        <v>49</v>
      </c>
    </row>
    <row r="76" spans="1:15">
      <c r="A7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VLT-SAI-009-BRA-P</v>
      </c>
      <c r="B76" s="5" t="s">
        <v>900</v>
      </c>
      <c r="C76" s="9" t="s">
        <v>901</v>
      </c>
      <c r="D76" s="5" t="s">
        <v>902</v>
      </c>
      <c r="E76" s="5" t="s">
        <v>116</v>
      </c>
      <c r="F76" s="5" t="s">
        <v>77</v>
      </c>
      <c r="G76" s="9" t="s">
        <v>51</v>
      </c>
      <c r="H76" s="11">
        <v>179.9</v>
      </c>
      <c r="I76" s="27">
        <v>76.08</v>
      </c>
      <c r="J76" s="12">
        <f>IF(OR(tVerao26[[#This Row],[Preço (R$)]]="",tVerao26[[#This Row],[Custo (R$)]]=""),"",(tVerao26[[#This Row],[Preço (R$)]]-tVerao26[[#This Row],[Custo (R$)]])/tVerao26[[#This Row],[Preço (R$)]])</f>
        <v>0.57709838799332969</v>
      </c>
      <c r="K76" s="5" t="s">
        <v>903</v>
      </c>
      <c r="L76" s="28" t="s">
        <v>70</v>
      </c>
      <c r="M76" s="10">
        <v>45925</v>
      </c>
      <c r="N76" s="5" t="s">
        <v>904</v>
      </c>
      <c r="O76" s="9" t="s">
        <v>49</v>
      </c>
    </row>
    <row r="77" spans="1:15">
      <c r="A7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VLT-SAI-009-BRA-M</v>
      </c>
      <c r="B77" s="5" t="s">
        <v>905</v>
      </c>
      <c r="C77" s="9" t="s">
        <v>901</v>
      </c>
      <c r="D77" s="5" t="s">
        <v>902</v>
      </c>
      <c r="E77" s="5" t="s">
        <v>116</v>
      </c>
      <c r="F77" s="5" t="s">
        <v>77</v>
      </c>
      <c r="G77" s="9" t="s">
        <v>54</v>
      </c>
      <c r="H77" s="11">
        <v>179.9</v>
      </c>
      <c r="I77" s="11">
        <v>76.08</v>
      </c>
      <c r="J77" s="12">
        <f>IF(OR(tVerao26[[#This Row],[Preço (R$)]]="",tVerao26[[#This Row],[Custo (R$)]]=""),"",(tVerao26[[#This Row],[Preço (R$)]]-tVerao26[[#This Row],[Custo (R$)]])/tVerao26[[#This Row],[Preço (R$)]])</f>
        <v>0.57709838799332969</v>
      </c>
      <c r="K77" s="5" t="s">
        <v>906</v>
      </c>
      <c r="L77" s="28" t="s">
        <v>70</v>
      </c>
      <c r="M77" s="10">
        <v>45925</v>
      </c>
      <c r="N77" s="5" t="s">
        <v>470</v>
      </c>
      <c r="O77" s="9" t="s">
        <v>49</v>
      </c>
    </row>
    <row r="78" spans="1:15">
      <c r="A7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VLT-SAI-009-BRA-G</v>
      </c>
      <c r="B78" s="5" t="s">
        <v>907</v>
      </c>
      <c r="C78" s="9" t="s">
        <v>901</v>
      </c>
      <c r="D78" s="5" t="s">
        <v>902</v>
      </c>
      <c r="E78" s="5" t="s">
        <v>116</v>
      </c>
      <c r="F78" s="5" t="s">
        <v>77</v>
      </c>
      <c r="G78" s="9" t="s">
        <v>58</v>
      </c>
      <c r="H78" s="11">
        <v>179.9</v>
      </c>
      <c r="I78" s="11">
        <v>78.88</v>
      </c>
      <c r="J78" s="12">
        <f>IF(OR(tVerao26[[#This Row],[Preço (R$)]]="",tVerao26[[#This Row],[Custo (R$)]]=""),"",(tVerao26[[#This Row],[Preço (R$)]]-tVerao26[[#This Row],[Custo (R$)]])/tVerao26[[#This Row],[Preço (R$)]])</f>
        <v>0.56153418565869928</v>
      </c>
      <c r="K78" s="5" t="s">
        <v>908</v>
      </c>
      <c r="L78" s="28" t="s">
        <v>70</v>
      </c>
      <c r="M78" s="10">
        <v>45925</v>
      </c>
      <c r="N78" s="5" t="s">
        <v>470</v>
      </c>
      <c r="O78" s="9" t="s">
        <v>49</v>
      </c>
    </row>
    <row r="79" spans="1:15">
      <c r="A7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VLT-SAI-009-BRA-GG</v>
      </c>
      <c r="B79" s="5" t="s">
        <v>909</v>
      </c>
      <c r="C79" s="9" t="s">
        <v>901</v>
      </c>
      <c r="D79" s="5" t="s">
        <v>902</v>
      </c>
      <c r="E79" s="5" t="s">
        <v>116</v>
      </c>
      <c r="F79" s="5" t="s">
        <v>77</v>
      </c>
      <c r="G79" s="9" t="s">
        <v>61</v>
      </c>
      <c r="H79" s="11">
        <v>179.9</v>
      </c>
      <c r="I79" s="11">
        <v>78.900000000000006</v>
      </c>
      <c r="J79" s="12">
        <f>IF(OR(tVerao26[[#This Row],[Preço (R$)]]="",tVerao26[[#This Row],[Custo (R$)]]=""),"",(tVerao26[[#This Row],[Preço (R$)]]-tVerao26[[#This Row],[Custo (R$)]])/tVerao26[[#This Row],[Preço (R$)]])</f>
        <v>0.56142301278488049</v>
      </c>
      <c r="K79" s="5" t="s">
        <v>910</v>
      </c>
      <c r="L79" s="28" t="s">
        <v>70</v>
      </c>
      <c r="M79" s="10">
        <v>45925</v>
      </c>
      <c r="N79" s="5" t="s">
        <v>470</v>
      </c>
      <c r="O79" s="9" t="s">
        <v>49</v>
      </c>
    </row>
    <row r="80" spans="1:15">
      <c r="A8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VLT-SAI-009-BEG-P</v>
      </c>
      <c r="B80" s="5" t="s">
        <v>911</v>
      </c>
      <c r="C80" s="9" t="s">
        <v>901</v>
      </c>
      <c r="D80" s="5" t="s">
        <v>902</v>
      </c>
      <c r="E80" s="5" t="s">
        <v>116</v>
      </c>
      <c r="F80" s="5" t="s">
        <v>299</v>
      </c>
      <c r="G80" s="9" t="s">
        <v>51</v>
      </c>
      <c r="H80" s="11">
        <v>179.9</v>
      </c>
      <c r="I80" s="27">
        <v>77.83</v>
      </c>
      <c r="J80" s="12">
        <f>IF(OR(tVerao26[[#This Row],[Preço (R$)]]="",tVerao26[[#This Row],[Custo (R$)]]=""),"",(tVerao26[[#This Row],[Preço (R$)]]-tVerao26[[#This Row],[Custo (R$)]])/tVerao26[[#This Row],[Preço (R$)]])</f>
        <v>0.56737076153418564</v>
      </c>
      <c r="K80" s="5" t="s">
        <v>912</v>
      </c>
      <c r="L80" s="28" t="s">
        <v>70</v>
      </c>
      <c r="M80" s="10">
        <v>45925</v>
      </c>
      <c r="N80" s="5" t="s">
        <v>913</v>
      </c>
      <c r="O80" s="9" t="s">
        <v>49</v>
      </c>
    </row>
    <row r="81" spans="1:15">
      <c r="A8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VLT-SAI-009-BEG-M</v>
      </c>
      <c r="B81" s="5" t="s">
        <v>914</v>
      </c>
      <c r="C81" s="9" t="s">
        <v>901</v>
      </c>
      <c r="D81" s="5" t="s">
        <v>902</v>
      </c>
      <c r="E81" s="5" t="s">
        <v>116</v>
      </c>
      <c r="F81" s="5" t="s">
        <v>299</v>
      </c>
      <c r="G81" s="9" t="s">
        <v>54</v>
      </c>
      <c r="H81" s="11">
        <v>179.9</v>
      </c>
      <c r="I81" s="11">
        <v>77.83</v>
      </c>
      <c r="J81" s="12">
        <f>IF(OR(tVerao26[[#This Row],[Preço (R$)]]="",tVerao26[[#This Row],[Custo (R$)]]=""),"",(tVerao26[[#This Row],[Preço (R$)]]-tVerao26[[#This Row],[Custo (R$)]])/tVerao26[[#This Row],[Preço (R$)]])</f>
        <v>0.56737076153418564</v>
      </c>
      <c r="K81" s="5" t="s">
        <v>915</v>
      </c>
      <c r="L81" s="28" t="s">
        <v>70</v>
      </c>
      <c r="M81" s="10">
        <v>45925</v>
      </c>
      <c r="N81" s="5" t="s">
        <v>470</v>
      </c>
      <c r="O81" s="9" t="s">
        <v>49</v>
      </c>
    </row>
    <row r="82" spans="1:15">
      <c r="A8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VLT-SAI-009-BEG-G</v>
      </c>
      <c r="B82" s="5" t="s">
        <v>916</v>
      </c>
      <c r="C82" s="9" t="s">
        <v>901</v>
      </c>
      <c r="D82" s="5" t="s">
        <v>902</v>
      </c>
      <c r="E82" s="5" t="s">
        <v>116</v>
      </c>
      <c r="F82" s="5" t="s">
        <v>299</v>
      </c>
      <c r="G82" s="9" t="s">
        <v>58</v>
      </c>
      <c r="H82" s="11">
        <v>179.9</v>
      </c>
      <c r="I82" s="11">
        <v>78.709999999999994</v>
      </c>
      <c r="J82" s="12">
        <f>IF(OR(tVerao26[[#This Row],[Preço (R$)]]="",tVerao26[[#This Row],[Custo (R$)]]=""),"",(tVerao26[[#This Row],[Preço (R$)]]-tVerao26[[#This Row],[Custo (R$)]])/tVerao26[[#This Row],[Preço (R$)]])</f>
        <v>0.56247915508615898</v>
      </c>
      <c r="K82" s="5" t="s">
        <v>917</v>
      </c>
      <c r="L82" s="28" t="s">
        <v>70</v>
      </c>
      <c r="M82" s="10">
        <v>45925</v>
      </c>
      <c r="N82" s="5" t="s">
        <v>470</v>
      </c>
      <c r="O82" s="9" t="s">
        <v>49</v>
      </c>
    </row>
    <row r="83" spans="1:15">
      <c r="A8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VLT-SAI-009-BEG-GG</v>
      </c>
      <c r="B83" s="5" t="s">
        <v>918</v>
      </c>
      <c r="C83" s="9" t="s">
        <v>901</v>
      </c>
      <c r="D83" s="5" t="s">
        <v>902</v>
      </c>
      <c r="E83" s="5" t="s">
        <v>116</v>
      </c>
      <c r="F83" s="5" t="s">
        <v>299</v>
      </c>
      <c r="G83" s="9" t="s">
        <v>61</v>
      </c>
      <c r="H83" s="11">
        <v>179.9</v>
      </c>
      <c r="I83" s="11">
        <v>77.819999999999993</v>
      </c>
      <c r="J83" s="12">
        <f>IF(OR(tVerao26[[#This Row],[Preço (R$)]]="",tVerao26[[#This Row],[Custo (R$)]]=""),"",(tVerao26[[#This Row],[Preço (R$)]]-tVerao26[[#This Row],[Custo (R$)]])/tVerao26[[#This Row],[Preço (R$)]])</f>
        <v>0.56742634797109515</v>
      </c>
      <c r="K83" s="5" t="s">
        <v>919</v>
      </c>
      <c r="L83" s="28" t="s">
        <v>70</v>
      </c>
      <c r="M83" s="10">
        <v>45925</v>
      </c>
      <c r="N83" s="5" t="s">
        <v>470</v>
      </c>
      <c r="O83" s="9" t="s">
        <v>49</v>
      </c>
    </row>
    <row r="84" spans="1:15">
      <c r="A8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VLT-TOP-013-OLI-P</v>
      </c>
      <c r="B84" s="5" t="s">
        <v>920</v>
      </c>
      <c r="C84" s="9" t="s">
        <v>921</v>
      </c>
      <c r="D84" s="5" t="s">
        <v>922</v>
      </c>
      <c r="E84" s="5" t="s">
        <v>179</v>
      </c>
      <c r="F84" s="5" t="s">
        <v>180</v>
      </c>
      <c r="G84" s="9" t="s">
        <v>51</v>
      </c>
      <c r="H84" s="11">
        <v>89.9</v>
      </c>
      <c r="I84" s="11">
        <v>36.85</v>
      </c>
      <c r="J84" s="12">
        <f>IF(OR(tVerao26[[#This Row],[Preço (R$)]]="",tVerao26[[#This Row],[Custo (R$)]]=""),"",(tVerao26[[#This Row],[Preço (R$)]]-tVerao26[[#This Row],[Custo (R$)]])/tVerao26[[#This Row],[Preço (R$)]])</f>
        <v>0.59010011123470529</v>
      </c>
      <c r="K84" s="5" t="s">
        <v>923</v>
      </c>
      <c r="L84" s="28" t="s">
        <v>101</v>
      </c>
      <c r="M84" s="10">
        <v>45942</v>
      </c>
      <c r="N84" s="5" t="s">
        <v>672</v>
      </c>
      <c r="O84" s="9" t="s">
        <v>49</v>
      </c>
    </row>
    <row r="85" spans="1:15">
      <c r="A8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VLT-TOP-013-OLI-M</v>
      </c>
      <c r="B85" s="5" t="s">
        <v>924</v>
      </c>
      <c r="C85" s="9" t="s">
        <v>921</v>
      </c>
      <c r="D85" s="5" t="s">
        <v>922</v>
      </c>
      <c r="E85" s="5" t="s">
        <v>179</v>
      </c>
      <c r="F85" s="5" t="s">
        <v>180</v>
      </c>
      <c r="G85" s="9" t="s">
        <v>54</v>
      </c>
      <c r="H85" s="11">
        <v>89.9</v>
      </c>
      <c r="I85" s="11">
        <v>36.6</v>
      </c>
      <c r="J85" s="12">
        <f>IF(OR(tVerao26[[#This Row],[Preço (R$)]]="",tVerao26[[#This Row],[Custo (R$)]]=""),"",(tVerao26[[#This Row],[Preço (R$)]]-tVerao26[[#This Row],[Custo (R$)]])/tVerao26[[#This Row],[Preço (R$)]])</f>
        <v>0.59288097886540603</v>
      </c>
      <c r="K85" s="5" t="s">
        <v>925</v>
      </c>
      <c r="L85" s="28" t="s">
        <v>101</v>
      </c>
      <c r="M85" s="10">
        <v>45942</v>
      </c>
      <c r="N85" s="5" t="s">
        <v>672</v>
      </c>
      <c r="O85" s="9" t="s">
        <v>49</v>
      </c>
    </row>
    <row r="86" spans="1:15">
      <c r="A8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VLT-TOP-013-OLI-G</v>
      </c>
      <c r="B86" s="5" t="s">
        <v>926</v>
      </c>
      <c r="C86" s="9" t="s">
        <v>921</v>
      </c>
      <c r="D86" s="5" t="s">
        <v>922</v>
      </c>
      <c r="E86" s="5" t="s">
        <v>179</v>
      </c>
      <c r="F86" s="5" t="s">
        <v>180</v>
      </c>
      <c r="G86" s="9" t="s">
        <v>58</v>
      </c>
      <c r="H86" s="11">
        <v>89.9</v>
      </c>
      <c r="I86" s="11">
        <v>37.090000000000003</v>
      </c>
      <c r="J86" s="12">
        <f>IF(OR(tVerao26[[#This Row],[Preço (R$)]]="",tVerao26[[#This Row],[Custo (R$)]]=""),"",(tVerao26[[#This Row],[Preço (R$)]]-tVerao26[[#This Row],[Custo (R$)]])/tVerao26[[#This Row],[Preço (R$)]])</f>
        <v>0.58743047830923245</v>
      </c>
      <c r="K86" s="5" t="s">
        <v>927</v>
      </c>
      <c r="L86" s="28" t="s">
        <v>101</v>
      </c>
      <c r="M86" s="10">
        <v>45942</v>
      </c>
      <c r="N86" s="5" t="s">
        <v>672</v>
      </c>
      <c r="O86" s="9" t="s">
        <v>49</v>
      </c>
    </row>
    <row r="87" spans="1:15">
      <c r="A8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VLT-TOP-013-OLI-GG</v>
      </c>
      <c r="B87" s="5" t="s">
        <v>928</v>
      </c>
      <c r="C87" s="9" t="s">
        <v>921</v>
      </c>
      <c r="D87" s="5" t="s">
        <v>922</v>
      </c>
      <c r="E87" s="5" t="s">
        <v>179</v>
      </c>
      <c r="F87" s="5" t="s">
        <v>180</v>
      </c>
      <c r="G87" s="9" t="s">
        <v>61</v>
      </c>
      <c r="H87" s="11">
        <v>89.9</v>
      </c>
      <c r="I87" s="11">
        <v>37.33</v>
      </c>
      <c r="J87" s="12">
        <f>IF(OR(tVerao26[[#This Row],[Preço (R$)]]="",tVerao26[[#This Row],[Custo (R$)]]=""),"",(tVerao26[[#This Row],[Preço (R$)]]-tVerao26[[#This Row],[Custo (R$)]])/tVerao26[[#This Row],[Preço (R$)]])</f>
        <v>0.58476084538375983</v>
      </c>
      <c r="K87" s="28" t="s">
        <v>929</v>
      </c>
      <c r="L87" s="28" t="s">
        <v>101</v>
      </c>
      <c r="M87" s="10">
        <v>45942</v>
      </c>
      <c r="N87" s="5" t="s">
        <v>930</v>
      </c>
      <c r="O87" s="9" t="s">
        <v>49</v>
      </c>
    </row>
    <row r="88" spans="1:15">
      <c r="A8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VLT-BER-008-BEG-XP</v>
      </c>
      <c r="B88" s="5" t="s">
        <v>931</v>
      </c>
      <c r="C88" s="9" t="s">
        <v>932</v>
      </c>
      <c r="D88" s="5" t="s">
        <v>933</v>
      </c>
      <c r="E88" s="5" t="s">
        <v>43</v>
      </c>
      <c r="F88" s="5" t="s">
        <v>299</v>
      </c>
      <c r="G88" s="9" t="s">
        <v>45</v>
      </c>
      <c r="H88" s="31">
        <v>229.9</v>
      </c>
      <c r="I88" s="11">
        <v>111.52</v>
      </c>
      <c r="J88" s="12">
        <f>IF(OR(tVerao26[[#This Row],[Preço (R$)]]="",tVerao26[[#This Row],[Custo (R$)]]=""),"",(tVerao26[[#This Row],[Preço (R$)]]-tVerao26[[#This Row],[Custo (R$)]])/tVerao26[[#This Row],[Preço (R$)]])</f>
        <v>0.51491953023053505</v>
      </c>
      <c r="K88" s="5" t="s">
        <v>934</v>
      </c>
      <c r="L88" s="28" t="s">
        <v>109</v>
      </c>
      <c r="M88" s="10">
        <v>45957</v>
      </c>
      <c r="N88" s="5" t="s">
        <v>935</v>
      </c>
      <c r="O88" s="9" t="s">
        <v>49</v>
      </c>
    </row>
    <row r="89" spans="1:15">
      <c r="A8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VLT-BER-008-BEG-P</v>
      </c>
      <c r="B89" s="5" t="s">
        <v>936</v>
      </c>
      <c r="C89" s="9" t="s">
        <v>932</v>
      </c>
      <c r="D89" s="5" t="s">
        <v>933</v>
      </c>
      <c r="E89" s="5" t="s">
        <v>43</v>
      </c>
      <c r="F89" s="5" t="s">
        <v>299</v>
      </c>
      <c r="G89" s="9" t="s">
        <v>51</v>
      </c>
      <c r="H89" s="31">
        <v>229.9</v>
      </c>
      <c r="I89" s="11">
        <v>111.58</v>
      </c>
      <c r="J89" s="12">
        <f>IF(OR(tVerao26[[#This Row],[Preço (R$)]]="",tVerao26[[#This Row],[Custo (R$)]]=""),"",(tVerao26[[#This Row],[Preço (R$)]]-tVerao26[[#This Row],[Custo (R$)]])/tVerao26[[#This Row],[Preço (R$)]])</f>
        <v>0.51465854719443238</v>
      </c>
      <c r="K89" s="5" t="s">
        <v>937</v>
      </c>
      <c r="L89" s="28" t="s">
        <v>109</v>
      </c>
      <c r="M89" s="10">
        <v>45957</v>
      </c>
      <c r="N89" s="5" t="s">
        <v>935</v>
      </c>
      <c r="O89" s="9" t="s">
        <v>49</v>
      </c>
    </row>
    <row r="90" spans="1:15">
      <c r="A9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VLT-BER-008-BEG-M</v>
      </c>
      <c r="B90" s="5" t="s">
        <v>938</v>
      </c>
      <c r="C90" s="9" t="s">
        <v>932</v>
      </c>
      <c r="D90" s="5" t="s">
        <v>933</v>
      </c>
      <c r="E90" s="5" t="s">
        <v>43</v>
      </c>
      <c r="F90" s="5" t="s">
        <v>299</v>
      </c>
      <c r="G90" s="9" t="s">
        <v>54</v>
      </c>
      <c r="H90" s="31">
        <v>229.9</v>
      </c>
      <c r="I90" s="11">
        <v>112.91</v>
      </c>
      <c r="J90" s="12">
        <f>IF(OR(tVerao26[[#This Row],[Preço (R$)]]="",tVerao26[[#This Row],[Custo (R$)]]=""),"",(tVerao26[[#This Row],[Preço (R$)]]-tVerao26[[#This Row],[Custo (R$)]])/tVerao26[[#This Row],[Preço (R$)]])</f>
        <v>0.50887342322749018</v>
      </c>
      <c r="K90" s="5" t="s">
        <v>939</v>
      </c>
      <c r="L90" s="28" t="s">
        <v>109</v>
      </c>
      <c r="M90" s="10">
        <v>45957</v>
      </c>
      <c r="N90" s="5" t="s">
        <v>935</v>
      </c>
      <c r="O90" s="9" t="s">
        <v>49</v>
      </c>
    </row>
    <row r="91" spans="1:15">
      <c r="A9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VLT-BER-008-BEG-G</v>
      </c>
      <c r="B91" s="5" t="s">
        <v>940</v>
      </c>
      <c r="C91" s="9" t="s">
        <v>932</v>
      </c>
      <c r="D91" s="5" t="s">
        <v>933</v>
      </c>
      <c r="E91" s="5" t="s">
        <v>43</v>
      </c>
      <c r="F91" s="5" t="s">
        <v>299</v>
      </c>
      <c r="G91" s="9" t="s">
        <v>58</v>
      </c>
      <c r="H91" s="31">
        <v>229.9</v>
      </c>
      <c r="I91" s="11">
        <v>111.46</v>
      </c>
      <c r="J91" s="12">
        <f>IF(OR(tVerao26[[#This Row],[Preço (R$)]]="",tVerao26[[#This Row],[Custo (R$)]]=""),"",(tVerao26[[#This Row],[Preço (R$)]]-tVerao26[[#This Row],[Custo (R$)]])/tVerao26[[#This Row],[Preço (R$)]])</f>
        <v>0.51518051326663772</v>
      </c>
      <c r="K91" s="5" t="s">
        <v>941</v>
      </c>
      <c r="L91" s="28" t="s">
        <v>109</v>
      </c>
      <c r="M91" s="10">
        <v>45957</v>
      </c>
      <c r="N91" s="5" t="s">
        <v>935</v>
      </c>
      <c r="O91" s="9" t="s">
        <v>49</v>
      </c>
    </row>
    <row r="92" spans="1:15">
      <c r="A9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VLT-BER-008-BEG-GG</v>
      </c>
      <c r="B92" s="5" t="s">
        <v>942</v>
      </c>
      <c r="C92" s="9" t="s">
        <v>932</v>
      </c>
      <c r="D92" s="5" t="s">
        <v>933</v>
      </c>
      <c r="E92" s="5" t="s">
        <v>43</v>
      </c>
      <c r="F92" s="5" t="s">
        <v>299</v>
      </c>
      <c r="G92" s="9" t="s">
        <v>61</v>
      </c>
      <c r="H92" s="31">
        <v>229.9</v>
      </c>
      <c r="I92" s="27">
        <v>111.46</v>
      </c>
      <c r="J92" s="12">
        <f>IF(OR(tVerao26[[#This Row],[Preço (R$)]]="",tVerao26[[#This Row],[Custo (R$)]]=""),"",(tVerao26[[#This Row],[Preço (R$)]]-tVerao26[[#This Row],[Custo (R$)]])/tVerao26[[#This Row],[Preço (R$)]])</f>
        <v>0.51518051326663772</v>
      </c>
      <c r="K92" s="5" t="s">
        <v>943</v>
      </c>
      <c r="L92" s="28" t="s">
        <v>109</v>
      </c>
      <c r="M92" s="10">
        <v>45957</v>
      </c>
      <c r="N92" s="5" t="s">
        <v>944</v>
      </c>
      <c r="O92" s="9" t="s">
        <v>49</v>
      </c>
    </row>
    <row r="93" spans="1:15">
      <c r="A9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VLT-BER-008-BEG-XG</v>
      </c>
      <c r="B93" s="5" t="s">
        <v>945</v>
      </c>
      <c r="C93" s="9" t="s">
        <v>932</v>
      </c>
      <c r="D93" s="5" t="s">
        <v>933</v>
      </c>
      <c r="E93" s="5" t="s">
        <v>43</v>
      </c>
      <c r="F93" s="5" t="s">
        <v>299</v>
      </c>
      <c r="G93" s="9" t="s">
        <v>578</v>
      </c>
      <c r="H93" s="31">
        <v>229.9</v>
      </c>
      <c r="I93" s="11">
        <v>108.14</v>
      </c>
      <c r="J93" s="12">
        <f>IF(OR(tVerao26[[#This Row],[Preço (R$)]]="",tVerao26[[#This Row],[Custo (R$)]]=""),"",(tVerao26[[#This Row],[Preço (R$)]]-tVerao26[[#This Row],[Custo (R$)]])/tVerao26[[#This Row],[Preço (R$)]])</f>
        <v>0.52962157459765113</v>
      </c>
      <c r="K93" s="5" t="s">
        <v>946</v>
      </c>
      <c r="L93" s="28" t="s">
        <v>109</v>
      </c>
      <c r="M93" s="10">
        <v>45957</v>
      </c>
      <c r="N93" s="5" t="s">
        <v>935</v>
      </c>
      <c r="O93" s="9" t="s">
        <v>49</v>
      </c>
    </row>
    <row r="94" spans="1:15">
      <c r="A9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VLT-TOP-014-AMA-P</v>
      </c>
      <c r="B94" s="5" t="s">
        <v>947</v>
      </c>
      <c r="C94" s="9" t="s">
        <v>948</v>
      </c>
      <c r="D94" s="5" t="s">
        <v>949</v>
      </c>
      <c r="E94" s="5" t="s">
        <v>179</v>
      </c>
      <c r="F94" s="5" t="s">
        <v>99</v>
      </c>
      <c r="G94" s="9" t="s">
        <v>51</v>
      </c>
      <c r="H94" s="11">
        <v>139.9</v>
      </c>
      <c r="I94" s="27">
        <v>57.17</v>
      </c>
      <c r="J94" s="12">
        <f>IF(OR(tVerao26[[#This Row],[Preço (R$)]]="",tVerao26[[#This Row],[Custo (R$)]]=""),"",(tVerao26[[#This Row],[Preço (R$)]]-tVerao26[[#This Row],[Custo (R$)]])/tVerao26[[#This Row],[Preço (R$)]])</f>
        <v>0.59135096497498219</v>
      </c>
      <c r="K94" s="5" t="s">
        <v>950</v>
      </c>
      <c r="L94" s="28" t="s">
        <v>101</v>
      </c>
      <c r="M94" s="10">
        <v>45925</v>
      </c>
      <c r="N94" s="5" t="s">
        <v>951</v>
      </c>
      <c r="O94" s="9" t="s">
        <v>49</v>
      </c>
    </row>
    <row r="95" spans="1:15">
      <c r="A9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VLT-TOP-014-AMA-M</v>
      </c>
      <c r="B95" s="5" t="s">
        <v>952</v>
      </c>
      <c r="C95" s="9" t="s">
        <v>948</v>
      </c>
      <c r="D95" s="5" t="s">
        <v>949</v>
      </c>
      <c r="E95" s="5" t="s">
        <v>179</v>
      </c>
      <c r="F95" s="5" t="s">
        <v>99</v>
      </c>
      <c r="G95" s="9" t="s">
        <v>54</v>
      </c>
      <c r="H95" s="11">
        <v>139.9</v>
      </c>
      <c r="I95" s="11">
        <v>57.17</v>
      </c>
      <c r="J95" s="12">
        <f>IF(OR(tVerao26[[#This Row],[Preço (R$)]]="",tVerao26[[#This Row],[Custo (R$)]]=""),"",(tVerao26[[#This Row],[Preço (R$)]]-tVerao26[[#This Row],[Custo (R$)]])/tVerao26[[#This Row],[Preço (R$)]])</f>
        <v>0.59135096497498219</v>
      </c>
      <c r="K95" s="5" t="s">
        <v>953</v>
      </c>
      <c r="L95" s="28" t="s">
        <v>101</v>
      </c>
      <c r="M95" s="10">
        <v>45925</v>
      </c>
      <c r="N95" s="5" t="s">
        <v>672</v>
      </c>
      <c r="O95" s="9" t="s">
        <v>49</v>
      </c>
    </row>
    <row r="96" spans="1:15">
      <c r="A9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VLT-TOP-014-AMA-G</v>
      </c>
      <c r="B96" s="5" t="s">
        <v>954</v>
      </c>
      <c r="C96" s="9" t="s">
        <v>948</v>
      </c>
      <c r="D96" s="5" t="s">
        <v>949</v>
      </c>
      <c r="E96" s="5" t="s">
        <v>179</v>
      </c>
      <c r="F96" s="5" t="s">
        <v>99</v>
      </c>
      <c r="G96" s="9" t="s">
        <v>58</v>
      </c>
      <c r="H96" s="11">
        <v>139.9</v>
      </c>
      <c r="I96" s="11">
        <v>57.31</v>
      </c>
      <c r="J96" s="12">
        <f>IF(OR(tVerao26[[#This Row],[Preço (R$)]]="",tVerao26[[#This Row],[Custo (R$)]]=""),"",(tVerao26[[#This Row],[Preço (R$)]]-tVerao26[[#This Row],[Custo (R$)]])/tVerao26[[#This Row],[Preço (R$)]])</f>
        <v>0.59035025017869902</v>
      </c>
      <c r="K96" s="5" t="s">
        <v>955</v>
      </c>
      <c r="L96" s="28" t="s">
        <v>101</v>
      </c>
      <c r="M96" s="10">
        <v>45925</v>
      </c>
      <c r="N96" s="5" t="s">
        <v>672</v>
      </c>
      <c r="O96" s="9" t="s">
        <v>49</v>
      </c>
    </row>
    <row r="97" spans="1:15">
      <c r="A9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VLT-CAM-017-AMA-P</v>
      </c>
      <c r="B97" s="5" t="s">
        <v>956</v>
      </c>
      <c r="C97" s="9" t="s">
        <v>957</v>
      </c>
      <c r="D97" s="5" t="s">
        <v>958</v>
      </c>
      <c r="E97" s="5" t="s">
        <v>128</v>
      </c>
      <c r="F97" s="5" t="s">
        <v>99</v>
      </c>
      <c r="G97" s="9" t="s">
        <v>51</v>
      </c>
      <c r="H97" s="11">
        <v>99.9</v>
      </c>
      <c r="I97" s="11">
        <v>41.47</v>
      </c>
      <c r="J97" s="12">
        <f>IF(OR(tVerao26[[#This Row],[Preço (R$)]]="",tVerao26[[#This Row],[Custo (R$)]]=""),"",(tVerao26[[#This Row],[Preço (R$)]]-tVerao26[[#This Row],[Custo (R$)]])/tVerao26[[#This Row],[Preço (R$)]])</f>
        <v>0.58488488488488488</v>
      </c>
      <c r="K97" s="5" t="s">
        <v>959</v>
      </c>
      <c r="L97" s="28" t="s">
        <v>101</v>
      </c>
      <c r="M97" s="10">
        <v>45936</v>
      </c>
      <c r="N97" s="5" t="s">
        <v>470</v>
      </c>
      <c r="O97" s="9" t="s">
        <v>71</v>
      </c>
    </row>
    <row r="98" spans="1:15">
      <c r="A9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VLT-CAM-017-AMA-M</v>
      </c>
      <c r="B98" s="5" t="s">
        <v>960</v>
      </c>
      <c r="C98" s="9" t="s">
        <v>957</v>
      </c>
      <c r="D98" s="5" t="s">
        <v>958</v>
      </c>
      <c r="E98" s="5" t="s">
        <v>128</v>
      </c>
      <c r="F98" s="5" t="s">
        <v>99</v>
      </c>
      <c r="G98" s="9" t="s">
        <v>54</v>
      </c>
      <c r="H98" s="11">
        <v>99.9</v>
      </c>
      <c r="I98" s="11">
        <v>42.57</v>
      </c>
      <c r="J98" s="12">
        <f>IF(OR(tVerao26[[#This Row],[Preço (R$)]]="",tVerao26[[#This Row],[Custo (R$)]]=""),"",(tVerao26[[#This Row],[Preço (R$)]]-tVerao26[[#This Row],[Custo (R$)]])/tVerao26[[#This Row],[Preço (R$)]])</f>
        <v>0.5738738738738739</v>
      </c>
      <c r="K98" s="5" t="s">
        <v>961</v>
      </c>
      <c r="L98" s="28" t="s">
        <v>101</v>
      </c>
      <c r="M98" s="10">
        <v>45936</v>
      </c>
      <c r="N98" s="5" t="s">
        <v>470</v>
      </c>
      <c r="O98" s="9" t="s">
        <v>71</v>
      </c>
    </row>
    <row r="99" spans="1:15">
      <c r="A9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VLT-CAM-017-AMA-G</v>
      </c>
      <c r="B99" s="5" t="s">
        <v>962</v>
      </c>
      <c r="C99" s="9" t="s">
        <v>957</v>
      </c>
      <c r="D99" s="5" t="s">
        <v>958</v>
      </c>
      <c r="E99" s="5" t="s">
        <v>128</v>
      </c>
      <c r="F99" s="5" t="s">
        <v>99</v>
      </c>
      <c r="G99" s="9" t="s">
        <v>58</v>
      </c>
      <c r="H99" s="11">
        <v>99.9</v>
      </c>
      <c r="I99" s="11">
        <v>42.11</v>
      </c>
      <c r="J99" s="12">
        <f>IF(OR(tVerao26[[#This Row],[Preço (R$)]]="",tVerao26[[#This Row],[Custo (R$)]]=""),"",(tVerao26[[#This Row],[Preço (R$)]]-tVerao26[[#This Row],[Custo (R$)]])/tVerao26[[#This Row],[Preço (R$)]])</f>
        <v>0.57847847847847855</v>
      </c>
      <c r="K99" s="5" t="s">
        <v>963</v>
      </c>
      <c r="L99" s="28" t="s">
        <v>101</v>
      </c>
      <c r="M99" s="10">
        <v>45936</v>
      </c>
      <c r="N99" s="5" t="s">
        <v>470</v>
      </c>
      <c r="O99" s="9" t="s">
        <v>71</v>
      </c>
    </row>
    <row r="100" spans="1:15">
      <c r="A10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VLT-CAM-017-AMA-GG</v>
      </c>
      <c r="B100" s="5" t="s">
        <v>964</v>
      </c>
      <c r="C100" s="9" t="s">
        <v>957</v>
      </c>
      <c r="D100" s="5" t="s">
        <v>958</v>
      </c>
      <c r="E100" s="5" t="s">
        <v>128</v>
      </c>
      <c r="F100" s="5" t="s">
        <v>99</v>
      </c>
      <c r="G100" s="9" t="s">
        <v>61</v>
      </c>
      <c r="H100" s="11">
        <v>99.9</v>
      </c>
      <c r="I100" s="11"/>
      <c r="J100" s="12" t="str">
        <f>IF(OR(tVerao26[[#This Row],[Preço (R$)]]="",tVerao26[[#This Row],[Custo (R$)]]=""),"",(tVerao26[[#This Row],[Preço (R$)]]-tVerao26[[#This Row],[Custo (R$)]])/tVerao26[[#This Row],[Preço (R$)]])</f>
        <v/>
      </c>
      <c r="K100" s="5" t="s">
        <v>965</v>
      </c>
      <c r="L100" s="28" t="s">
        <v>101</v>
      </c>
      <c r="M100" s="10">
        <v>45936</v>
      </c>
      <c r="N100" s="5" t="s">
        <v>470</v>
      </c>
      <c r="O100" s="9" t="s">
        <v>71</v>
      </c>
    </row>
    <row r="101" spans="1:15">
      <c r="A10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VLT-CAM-018-LIL-P</v>
      </c>
      <c r="B101" s="5" t="s">
        <v>966</v>
      </c>
      <c r="C101" s="9" t="s">
        <v>967</v>
      </c>
      <c r="D101" s="5" t="s">
        <v>968</v>
      </c>
      <c r="E101" s="5" t="s">
        <v>128</v>
      </c>
      <c r="F101" s="5" t="s">
        <v>203</v>
      </c>
      <c r="G101" s="9" t="s">
        <v>51</v>
      </c>
      <c r="H101" s="11">
        <v>89.9</v>
      </c>
      <c r="I101" s="11">
        <v>35.4</v>
      </c>
      <c r="J101" s="12">
        <f>IF(OR(tVerao26[[#This Row],[Preço (R$)]]="",tVerao26[[#This Row],[Custo (R$)]]=""),"",(tVerao26[[#This Row],[Preço (R$)]]-tVerao26[[#This Row],[Custo (R$)]])/tVerao26[[#This Row],[Preço (R$)]])</f>
        <v>0.6062291434927698</v>
      </c>
      <c r="K101" s="5" t="s">
        <v>969</v>
      </c>
      <c r="L101" s="28" t="s">
        <v>101</v>
      </c>
      <c r="M101" s="10">
        <v>45931</v>
      </c>
      <c r="N101" s="5" t="s">
        <v>470</v>
      </c>
      <c r="O101" s="9" t="s">
        <v>49</v>
      </c>
    </row>
    <row r="102" spans="1:15">
      <c r="A10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VLT-CAM-018-LIL-M</v>
      </c>
      <c r="B102" s="5" t="s">
        <v>970</v>
      </c>
      <c r="C102" s="9" t="s">
        <v>967</v>
      </c>
      <c r="D102" s="5" t="s">
        <v>968</v>
      </c>
      <c r="E102" s="5" t="s">
        <v>128</v>
      </c>
      <c r="F102" s="5" t="s">
        <v>203</v>
      </c>
      <c r="G102" s="9" t="s">
        <v>54</v>
      </c>
      <c r="H102" s="11">
        <v>89.9</v>
      </c>
      <c r="I102" s="27">
        <v>35.4</v>
      </c>
      <c r="J102" s="12">
        <f>IF(OR(tVerao26[[#This Row],[Preço (R$)]]="",tVerao26[[#This Row],[Custo (R$)]]=""),"",(tVerao26[[#This Row],[Preço (R$)]]-tVerao26[[#This Row],[Custo (R$)]])/tVerao26[[#This Row],[Preço (R$)]])</f>
        <v>0.6062291434927698</v>
      </c>
      <c r="K102" s="5" t="s">
        <v>971</v>
      </c>
      <c r="L102" s="28" t="s">
        <v>101</v>
      </c>
      <c r="M102" s="10">
        <v>45931</v>
      </c>
      <c r="N102" s="5" t="s">
        <v>972</v>
      </c>
      <c r="O102" s="9" t="s">
        <v>49</v>
      </c>
    </row>
    <row r="103" spans="1:15">
      <c r="A10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VLT-CAM-018-LIL-G</v>
      </c>
      <c r="B103" s="5" t="s">
        <v>973</v>
      </c>
      <c r="C103" s="9" t="s">
        <v>967</v>
      </c>
      <c r="D103" s="5" t="s">
        <v>968</v>
      </c>
      <c r="E103" s="5" t="s">
        <v>128</v>
      </c>
      <c r="F103" s="5" t="s">
        <v>203</v>
      </c>
      <c r="G103" s="9" t="s">
        <v>58</v>
      </c>
      <c r="H103" s="11">
        <v>89.9</v>
      </c>
      <c r="I103" s="11">
        <v>35.520000000000003</v>
      </c>
      <c r="J103" s="12">
        <f>IF(OR(tVerao26[[#This Row],[Preço (R$)]]="",tVerao26[[#This Row],[Custo (R$)]]=""),"",(tVerao26[[#This Row],[Preço (R$)]]-tVerao26[[#This Row],[Custo (R$)]])/tVerao26[[#This Row],[Preço (R$)]])</f>
        <v>0.60489432703003332</v>
      </c>
      <c r="K103" s="5" t="s">
        <v>974</v>
      </c>
      <c r="L103" s="28" t="s">
        <v>101</v>
      </c>
      <c r="M103" s="10">
        <v>45931</v>
      </c>
      <c r="N103" s="5" t="s">
        <v>470</v>
      </c>
      <c r="O103" s="9" t="s">
        <v>49</v>
      </c>
    </row>
    <row r="104" spans="1:15">
      <c r="A10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VLT-CAM-018-LIL-GG</v>
      </c>
      <c r="B104" s="5" t="s">
        <v>975</v>
      </c>
      <c r="C104" s="9" t="s">
        <v>967</v>
      </c>
      <c r="D104" s="5" t="s">
        <v>968</v>
      </c>
      <c r="E104" s="5" t="s">
        <v>128</v>
      </c>
      <c r="F104" s="5" t="s">
        <v>203</v>
      </c>
      <c r="G104" s="9" t="s">
        <v>61</v>
      </c>
      <c r="H104" s="11">
        <v>89.9</v>
      </c>
      <c r="I104" s="11">
        <v>35.79</v>
      </c>
      <c r="J104" s="12">
        <f>IF(OR(tVerao26[[#This Row],[Preço (R$)]]="",tVerao26[[#This Row],[Custo (R$)]]=""),"",(tVerao26[[#This Row],[Preço (R$)]]-tVerao26[[#This Row],[Custo (R$)]])/tVerao26[[#This Row],[Preço (R$)]])</f>
        <v>0.60189098998887658</v>
      </c>
      <c r="K104" s="5" t="s">
        <v>976</v>
      </c>
      <c r="L104" s="28" t="s">
        <v>101</v>
      </c>
      <c r="M104" s="10">
        <v>45931</v>
      </c>
      <c r="N104" s="5" t="s">
        <v>470</v>
      </c>
      <c r="O104" s="9" t="s">
        <v>49</v>
      </c>
    </row>
    <row r="105" spans="1:15">
      <c r="A10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VLT-VES-009-BEG-P</v>
      </c>
      <c r="B105" s="5" t="s">
        <v>977</v>
      </c>
      <c r="C105" s="9" t="s">
        <v>978</v>
      </c>
      <c r="D105" s="5" t="s">
        <v>979</v>
      </c>
      <c r="E105" s="5" t="s">
        <v>107</v>
      </c>
      <c r="F105" s="5" t="s">
        <v>299</v>
      </c>
      <c r="G105" s="9" t="s">
        <v>51</v>
      </c>
      <c r="H105" s="11">
        <v>239.9</v>
      </c>
      <c r="I105" s="11">
        <v>114.7</v>
      </c>
      <c r="J105" s="12">
        <f>IF(OR(tVerao26[[#This Row],[Preço (R$)]]="",tVerao26[[#This Row],[Custo (R$)]]=""),"",(tVerao26[[#This Row],[Preço (R$)]]-tVerao26[[#This Row],[Custo (R$)]])/tVerao26[[#This Row],[Preço (R$)]])</f>
        <v>0.52188411838265947</v>
      </c>
      <c r="K105" s="5" t="s">
        <v>980</v>
      </c>
      <c r="L105" s="28" t="s">
        <v>109</v>
      </c>
      <c r="M105" s="10">
        <v>45947</v>
      </c>
      <c r="N105" s="5" t="s">
        <v>470</v>
      </c>
      <c r="O105" s="9" t="s">
        <v>71</v>
      </c>
    </row>
    <row r="106" spans="1:15">
      <c r="A10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VLT-VES-009-BEG-M</v>
      </c>
      <c r="B106" s="5" t="s">
        <v>981</v>
      </c>
      <c r="C106" s="9" t="s">
        <v>978</v>
      </c>
      <c r="D106" s="5" t="s">
        <v>979</v>
      </c>
      <c r="E106" s="5" t="s">
        <v>107</v>
      </c>
      <c r="F106" s="5" t="s">
        <v>299</v>
      </c>
      <c r="G106" s="9" t="s">
        <v>54</v>
      </c>
      <c r="H106" s="11">
        <v>239.9</v>
      </c>
      <c r="I106" s="11">
        <v>119.17</v>
      </c>
      <c r="J106" s="12">
        <f>IF(OR(tVerao26[[#This Row],[Preço (R$)]]="",tVerao26[[#This Row],[Custo (R$)]]=""),"",(tVerao26[[#This Row],[Preço (R$)]]-tVerao26[[#This Row],[Custo (R$)]])/tVerao26[[#This Row],[Preço (R$)]])</f>
        <v>0.50325135473113802</v>
      </c>
      <c r="K106" s="5" t="s">
        <v>982</v>
      </c>
      <c r="L106" s="28" t="s">
        <v>109</v>
      </c>
      <c r="M106" s="10">
        <v>45947</v>
      </c>
      <c r="N106" s="5" t="s">
        <v>470</v>
      </c>
      <c r="O106" s="9" t="s">
        <v>71</v>
      </c>
    </row>
    <row r="107" spans="1:15">
      <c r="A10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VLT-VES-009-BEG-G</v>
      </c>
      <c r="B107" s="5" t="s">
        <v>983</v>
      </c>
      <c r="C107" s="9" t="s">
        <v>978</v>
      </c>
      <c r="D107" s="5" t="s">
        <v>979</v>
      </c>
      <c r="E107" s="5" t="s">
        <v>107</v>
      </c>
      <c r="F107" s="5" t="s">
        <v>299</v>
      </c>
      <c r="G107" s="9" t="s">
        <v>58</v>
      </c>
      <c r="H107" s="11">
        <v>239.9</v>
      </c>
      <c r="I107" s="11">
        <v>114.74</v>
      </c>
      <c r="J107" s="12">
        <f>IF(OR(tVerao26[[#This Row],[Preço (R$)]]="",tVerao26[[#This Row],[Custo (R$)]]=""),"",(tVerao26[[#This Row],[Preço (R$)]]-tVerao26[[#This Row],[Custo (R$)]])/tVerao26[[#This Row],[Preço (R$)]])</f>
        <v>0.52171738224260111</v>
      </c>
      <c r="K107" s="5" t="s">
        <v>984</v>
      </c>
      <c r="L107" s="28" t="s">
        <v>109</v>
      </c>
      <c r="M107" s="10">
        <v>45947</v>
      </c>
      <c r="N107" s="5" t="s">
        <v>470</v>
      </c>
      <c r="O107" s="9" t="s">
        <v>71</v>
      </c>
    </row>
    <row r="108" spans="1:15">
      <c r="A10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VLT-VES-009-PRE-P</v>
      </c>
      <c r="B108" s="5" t="s">
        <v>985</v>
      </c>
      <c r="C108" s="9" t="s">
        <v>978</v>
      </c>
      <c r="D108" s="5" t="s">
        <v>979</v>
      </c>
      <c r="E108" s="5" t="s">
        <v>107</v>
      </c>
      <c r="F108" s="5" t="s">
        <v>251</v>
      </c>
      <c r="G108" s="9" t="s">
        <v>51</v>
      </c>
      <c r="H108" s="11">
        <v>239.9</v>
      </c>
      <c r="I108" s="11">
        <v>117.53</v>
      </c>
      <c r="J108" s="12">
        <f>IF(OR(tVerao26[[#This Row],[Preço (R$)]]="",tVerao26[[#This Row],[Custo (R$)]]=""),"",(tVerao26[[#This Row],[Preço (R$)]]-tVerao26[[#This Row],[Custo (R$)]])/tVerao26[[#This Row],[Preço (R$)]])</f>
        <v>0.51008753647353067</v>
      </c>
      <c r="K108" s="5" t="s">
        <v>986</v>
      </c>
      <c r="L108" s="28" t="s">
        <v>109</v>
      </c>
      <c r="M108" s="10">
        <v>45947</v>
      </c>
      <c r="N108" s="5" t="s">
        <v>470</v>
      </c>
      <c r="O108" s="9" t="s">
        <v>71</v>
      </c>
    </row>
    <row r="109" spans="1:15">
      <c r="A10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VLT-VES-009-PRE-M</v>
      </c>
      <c r="B109" s="5" t="s">
        <v>987</v>
      </c>
      <c r="C109" s="9" t="s">
        <v>978</v>
      </c>
      <c r="D109" s="5" t="s">
        <v>979</v>
      </c>
      <c r="E109" s="5" t="s">
        <v>107</v>
      </c>
      <c r="F109" s="5" t="s">
        <v>251</v>
      </c>
      <c r="G109" s="9" t="s">
        <v>54</v>
      </c>
      <c r="H109" s="11">
        <v>239.9</v>
      </c>
      <c r="I109" s="11"/>
      <c r="J109" s="12" t="str">
        <f>IF(OR(tVerao26[[#This Row],[Preço (R$)]]="",tVerao26[[#This Row],[Custo (R$)]]=""),"",(tVerao26[[#This Row],[Preço (R$)]]-tVerao26[[#This Row],[Custo (R$)]])/tVerao26[[#This Row],[Preço (R$)]])</f>
        <v/>
      </c>
      <c r="K109" s="5" t="s">
        <v>988</v>
      </c>
      <c r="L109" s="28" t="s">
        <v>109</v>
      </c>
      <c r="M109" s="10">
        <v>45947</v>
      </c>
      <c r="N109" s="5" t="s">
        <v>470</v>
      </c>
      <c r="O109" s="9" t="s">
        <v>71</v>
      </c>
    </row>
    <row r="110" spans="1:15">
      <c r="A11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VLT-VES-009-PRE-G</v>
      </c>
      <c r="B110" s="5" t="s">
        <v>989</v>
      </c>
      <c r="C110" s="9" t="s">
        <v>978</v>
      </c>
      <c r="D110" s="5" t="s">
        <v>979</v>
      </c>
      <c r="E110" s="5" t="s">
        <v>107</v>
      </c>
      <c r="F110" s="5" t="s">
        <v>251</v>
      </c>
      <c r="G110" s="9" t="s">
        <v>58</v>
      </c>
      <c r="H110" s="11">
        <v>239.9</v>
      </c>
      <c r="I110" s="11">
        <v>120.44</v>
      </c>
      <c r="J110" s="12">
        <f>IF(OR(tVerao26[[#This Row],[Preço (R$)]]="",tVerao26[[#This Row],[Custo (R$)]]=""),"",(tVerao26[[#This Row],[Preço (R$)]]-tVerao26[[#This Row],[Custo (R$)]])/tVerao26[[#This Row],[Preço (R$)]])</f>
        <v>0.49795748228428516</v>
      </c>
      <c r="K110" s="5" t="s">
        <v>990</v>
      </c>
      <c r="L110" s="28" t="s">
        <v>109</v>
      </c>
      <c r="M110" s="10">
        <v>45947</v>
      </c>
      <c r="N110" s="5" t="s">
        <v>470</v>
      </c>
      <c r="O110" s="9" t="s">
        <v>71</v>
      </c>
    </row>
    <row r="111" spans="1:15">
      <c r="A11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VLT-VES-010-CIN-P</v>
      </c>
      <c r="B111" s="5" t="s">
        <v>991</v>
      </c>
      <c r="C111" s="9" t="s">
        <v>992</v>
      </c>
      <c r="D111" s="5" t="s">
        <v>993</v>
      </c>
      <c r="E111" s="5" t="s">
        <v>107</v>
      </c>
      <c r="F111" s="5" t="s">
        <v>164</v>
      </c>
      <c r="G111" s="9" t="s">
        <v>51</v>
      </c>
      <c r="H111" s="11">
        <v>249.9</v>
      </c>
      <c r="I111" s="11">
        <v>89.94</v>
      </c>
      <c r="J111" s="12">
        <f>IF(OR(tVerao26[[#This Row],[Preço (R$)]]="",tVerao26[[#This Row],[Custo (R$)]]=""),"",(tVerao26[[#This Row],[Preço (R$)]]-tVerao26[[#This Row],[Custo (R$)]])/tVerao26[[#This Row],[Preço (R$)]])</f>
        <v>0.64009603841536611</v>
      </c>
      <c r="K111" s="5" t="s">
        <v>994</v>
      </c>
      <c r="L111" s="28" t="s">
        <v>109</v>
      </c>
      <c r="M111" s="10">
        <v>45928</v>
      </c>
      <c r="N111" s="5" t="s">
        <v>470</v>
      </c>
      <c r="O111" s="9" t="s">
        <v>49</v>
      </c>
    </row>
    <row r="112" spans="1:15">
      <c r="A11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VLT-VES-010-CIN-M</v>
      </c>
      <c r="B112" s="5" t="s">
        <v>995</v>
      </c>
      <c r="C112" s="9" t="s">
        <v>992</v>
      </c>
      <c r="D112" s="5" t="s">
        <v>993</v>
      </c>
      <c r="E112" s="5" t="s">
        <v>107</v>
      </c>
      <c r="F112" s="5" t="s">
        <v>164</v>
      </c>
      <c r="G112" s="9" t="s">
        <v>54</v>
      </c>
      <c r="H112" s="11">
        <v>249.9</v>
      </c>
      <c r="I112" s="11">
        <v>94.69</v>
      </c>
      <c r="J112" s="12">
        <f>IF(OR(tVerao26[[#This Row],[Preço (R$)]]="",tVerao26[[#This Row],[Custo (R$)]]=""),"",(tVerao26[[#This Row],[Preço (R$)]]-tVerao26[[#This Row],[Custo (R$)]])/tVerao26[[#This Row],[Preço (R$)]])</f>
        <v>0.62108843537414971</v>
      </c>
      <c r="K112" s="5" t="s">
        <v>996</v>
      </c>
      <c r="L112" s="28" t="s">
        <v>109</v>
      </c>
      <c r="M112" s="10">
        <v>45928</v>
      </c>
      <c r="N112" s="5" t="s">
        <v>470</v>
      </c>
      <c r="O112" s="9" t="s">
        <v>49</v>
      </c>
    </row>
    <row r="113" spans="1:15">
      <c r="A11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VLT-VES-010-CIN-G</v>
      </c>
      <c r="B113" s="5" t="s">
        <v>997</v>
      </c>
      <c r="C113" s="9" t="s">
        <v>992</v>
      </c>
      <c r="D113" s="5" t="s">
        <v>993</v>
      </c>
      <c r="E113" s="5" t="s">
        <v>107</v>
      </c>
      <c r="F113" s="5" t="s">
        <v>164</v>
      </c>
      <c r="G113" s="9" t="s">
        <v>58</v>
      </c>
      <c r="H113" s="11">
        <v>249.9</v>
      </c>
      <c r="I113" s="11">
        <v>93.35</v>
      </c>
      <c r="J113" s="12">
        <f>IF(OR(tVerao26[[#This Row],[Preço (R$)]]="",tVerao26[[#This Row],[Custo (R$)]]=""),"",(tVerao26[[#This Row],[Preço (R$)]]-tVerao26[[#This Row],[Custo (R$)]])/tVerao26[[#This Row],[Preço (R$)]])</f>
        <v>0.62645058023209288</v>
      </c>
      <c r="K113" s="5" t="s">
        <v>998</v>
      </c>
      <c r="L113" s="28" t="s">
        <v>109</v>
      </c>
      <c r="M113" s="10">
        <v>45928</v>
      </c>
      <c r="N113" s="5" t="s">
        <v>470</v>
      </c>
      <c r="O113" s="9" t="s">
        <v>49</v>
      </c>
    </row>
    <row r="114" spans="1:15">
      <c r="A11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VLT-VES-010-CIN-GG</v>
      </c>
      <c r="B114" s="5" t="s">
        <v>999</v>
      </c>
      <c r="C114" s="9" t="s">
        <v>992</v>
      </c>
      <c r="D114" s="5" t="s">
        <v>993</v>
      </c>
      <c r="E114" s="5" t="s">
        <v>107</v>
      </c>
      <c r="F114" s="5" t="s">
        <v>164</v>
      </c>
      <c r="G114" s="9" t="s">
        <v>61</v>
      </c>
      <c r="H114" s="11">
        <v>249.9</v>
      </c>
      <c r="I114" s="11">
        <v>91.04</v>
      </c>
      <c r="J114" s="12">
        <f>IF(OR(tVerao26[[#This Row],[Preço (R$)]]="",tVerao26[[#This Row],[Custo (R$)]]=""),"",(tVerao26[[#This Row],[Preço (R$)]]-tVerao26[[#This Row],[Custo (R$)]])/tVerao26[[#This Row],[Preço (R$)]])</f>
        <v>0.63569427771108444</v>
      </c>
      <c r="K114" s="5" t="s">
        <v>1000</v>
      </c>
      <c r="L114" s="28" t="s">
        <v>109</v>
      </c>
      <c r="M114" s="10">
        <v>45928</v>
      </c>
      <c r="N114" s="5" t="s">
        <v>470</v>
      </c>
      <c r="O114" s="9" t="s">
        <v>49</v>
      </c>
    </row>
    <row r="115" spans="1:15">
      <c r="A11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VLT-VES-010-OFF-P</v>
      </c>
      <c r="B115" s="5" t="s">
        <v>1001</v>
      </c>
      <c r="C115" s="9" t="s">
        <v>992</v>
      </c>
      <c r="D115" s="5" t="s">
        <v>993</v>
      </c>
      <c r="E115" s="5" t="s">
        <v>107</v>
      </c>
      <c r="F115" s="5" t="s">
        <v>117</v>
      </c>
      <c r="G115" s="9" t="s">
        <v>51</v>
      </c>
      <c r="H115" s="11">
        <v>249.9</v>
      </c>
      <c r="I115" s="11">
        <v>93.33</v>
      </c>
      <c r="J115" s="12">
        <f>IF(OR(tVerao26[[#This Row],[Preço (R$)]]="",tVerao26[[#This Row],[Custo (R$)]]=""),"",(tVerao26[[#This Row],[Preço (R$)]]-tVerao26[[#This Row],[Custo (R$)]])/tVerao26[[#This Row],[Preço (R$)]])</f>
        <v>0.62653061224489792</v>
      </c>
      <c r="K115" s="5" t="s">
        <v>1002</v>
      </c>
      <c r="L115" s="28" t="s">
        <v>109</v>
      </c>
      <c r="M115" s="10">
        <v>45928</v>
      </c>
      <c r="N115" s="5" t="s">
        <v>470</v>
      </c>
      <c r="O115" s="9" t="s">
        <v>49</v>
      </c>
    </row>
    <row r="116" spans="1:15">
      <c r="A11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VLT-VES-010-OFF-M</v>
      </c>
      <c r="B116" s="5" t="s">
        <v>1003</v>
      </c>
      <c r="C116" s="9" t="s">
        <v>992</v>
      </c>
      <c r="D116" s="5" t="s">
        <v>993</v>
      </c>
      <c r="E116" s="5" t="s">
        <v>107</v>
      </c>
      <c r="F116" s="5" t="s">
        <v>117</v>
      </c>
      <c r="G116" s="9" t="s">
        <v>54</v>
      </c>
      <c r="H116" s="11">
        <v>249.9</v>
      </c>
      <c r="I116" s="11">
        <v>90.86</v>
      </c>
      <c r="J116" s="12">
        <f>IF(OR(tVerao26[[#This Row],[Preço (R$)]]="",tVerao26[[#This Row],[Custo (R$)]]=""),"",(tVerao26[[#This Row],[Preço (R$)]]-tVerao26[[#This Row],[Custo (R$)]])/tVerao26[[#This Row],[Preço (R$)]])</f>
        <v>0.6364145658263306</v>
      </c>
      <c r="K116" s="5" t="s">
        <v>1004</v>
      </c>
      <c r="L116" s="28" t="s">
        <v>109</v>
      </c>
      <c r="M116" s="10">
        <v>45928</v>
      </c>
      <c r="N116" s="5" t="s">
        <v>470</v>
      </c>
      <c r="O116" s="9" t="s">
        <v>49</v>
      </c>
    </row>
    <row r="117" spans="1:15">
      <c r="A11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VLT-VES-010-OFF-G</v>
      </c>
      <c r="B117" s="5" t="s">
        <v>1005</v>
      </c>
      <c r="C117" s="9" t="s">
        <v>992</v>
      </c>
      <c r="D117" s="5" t="s">
        <v>993</v>
      </c>
      <c r="E117" s="5" t="s">
        <v>107</v>
      </c>
      <c r="F117" s="5" t="s">
        <v>117</v>
      </c>
      <c r="G117" s="9" t="s">
        <v>58</v>
      </c>
      <c r="H117" s="11">
        <v>249.9</v>
      </c>
      <c r="I117" s="11">
        <v>94.36</v>
      </c>
      <c r="J117" s="12">
        <f>IF(OR(tVerao26[[#This Row],[Preço (R$)]]="",tVerao26[[#This Row],[Custo (R$)]]=""),"",(tVerao26[[#This Row],[Preço (R$)]]-tVerao26[[#This Row],[Custo (R$)]])/tVerao26[[#This Row],[Preço (R$)]])</f>
        <v>0.62240896358543429</v>
      </c>
      <c r="K117" s="28" t="s">
        <v>1006</v>
      </c>
      <c r="L117" s="28" t="s">
        <v>109</v>
      </c>
      <c r="M117" s="10">
        <v>45928</v>
      </c>
      <c r="N117" s="5" t="s">
        <v>1007</v>
      </c>
      <c r="O117" s="9" t="s">
        <v>49</v>
      </c>
    </row>
    <row r="118" spans="1:15">
      <c r="A11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VLT-VES-010-OFF-GG</v>
      </c>
      <c r="B118" s="5" t="s">
        <v>1008</v>
      </c>
      <c r="C118" s="9" t="s">
        <v>992</v>
      </c>
      <c r="D118" s="5" t="s">
        <v>993</v>
      </c>
      <c r="E118" s="5" t="s">
        <v>107</v>
      </c>
      <c r="F118" s="5" t="s">
        <v>117</v>
      </c>
      <c r="G118" s="9" t="s">
        <v>61</v>
      </c>
      <c r="H118" s="11">
        <v>249.9</v>
      </c>
      <c r="I118" s="11">
        <v>91.32</v>
      </c>
      <c r="J118" s="12">
        <f>IF(OR(tVerao26[[#This Row],[Preço (R$)]]="",tVerao26[[#This Row],[Custo (R$)]]=""),"",(tVerao26[[#This Row],[Preço (R$)]]-tVerao26[[#This Row],[Custo (R$)]])/tVerao26[[#This Row],[Preço (R$)]])</f>
        <v>0.63457382953181274</v>
      </c>
      <c r="K118" s="5" t="s">
        <v>1009</v>
      </c>
      <c r="L118" s="28" t="s">
        <v>109</v>
      </c>
      <c r="M118" s="10">
        <v>45928</v>
      </c>
      <c r="N118" s="5" t="s">
        <v>470</v>
      </c>
      <c r="O118" s="9" t="s">
        <v>49</v>
      </c>
    </row>
    <row r="119" spans="1:15">
      <c r="A11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VLT-VES-010-MRR-P</v>
      </c>
      <c r="B119" s="5" t="s">
        <v>1010</v>
      </c>
      <c r="C119" s="9" t="s">
        <v>992</v>
      </c>
      <c r="D119" s="5" t="s">
        <v>993</v>
      </c>
      <c r="E119" s="5" t="s">
        <v>107</v>
      </c>
      <c r="F119" s="5" t="s">
        <v>87</v>
      </c>
      <c r="G119" s="9" t="s">
        <v>51</v>
      </c>
      <c r="H119" s="11">
        <v>249.9</v>
      </c>
      <c r="I119" s="11">
        <v>91.22</v>
      </c>
      <c r="J119" s="12">
        <f>IF(OR(tVerao26[[#This Row],[Preço (R$)]]="",tVerao26[[#This Row],[Custo (R$)]]=""),"",(tVerao26[[#This Row],[Preço (R$)]]-tVerao26[[#This Row],[Custo (R$)]])/tVerao26[[#This Row],[Preço (R$)]])</f>
        <v>0.6349739895958384</v>
      </c>
      <c r="K119" s="5" t="s">
        <v>1011</v>
      </c>
      <c r="L119" s="28" t="s">
        <v>109</v>
      </c>
      <c r="M119" s="10">
        <v>45928</v>
      </c>
      <c r="N119" s="5" t="s">
        <v>470</v>
      </c>
      <c r="O119" s="9" t="s">
        <v>49</v>
      </c>
    </row>
    <row r="120" spans="1:15">
      <c r="A12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VLT-VES-010-MRR-M</v>
      </c>
      <c r="B120" s="5" t="s">
        <v>1012</v>
      </c>
      <c r="C120" s="9" t="s">
        <v>992</v>
      </c>
      <c r="D120" s="5" t="s">
        <v>993</v>
      </c>
      <c r="E120" s="5" t="s">
        <v>107</v>
      </c>
      <c r="F120" s="5" t="s">
        <v>87</v>
      </c>
      <c r="G120" s="9" t="s">
        <v>54</v>
      </c>
      <c r="H120" s="11">
        <v>249.9</v>
      </c>
      <c r="I120" s="11">
        <v>95.26</v>
      </c>
      <c r="J120" s="12">
        <f>IF(OR(tVerao26[[#This Row],[Preço (R$)]]="",tVerao26[[#This Row],[Custo (R$)]]=""),"",(tVerao26[[#This Row],[Preço (R$)]]-tVerao26[[#This Row],[Custo (R$)]])/tVerao26[[#This Row],[Preço (R$)]])</f>
        <v>0.61880752300920361</v>
      </c>
      <c r="K120" s="5" t="s">
        <v>1013</v>
      </c>
      <c r="L120" s="28" t="s">
        <v>109</v>
      </c>
      <c r="M120" s="10">
        <v>45928</v>
      </c>
      <c r="N120" s="5" t="s">
        <v>470</v>
      </c>
      <c r="O120" s="9" t="s">
        <v>49</v>
      </c>
    </row>
    <row r="121" spans="1:15">
      <c r="A12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VLT-VES-010-MRR-G</v>
      </c>
      <c r="B121" s="5" t="s">
        <v>1014</v>
      </c>
      <c r="C121" s="9" t="s">
        <v>992</v>
      </c>
      <c r="D121" s="5" t="s">
        <v>993</v>
      </c>
      <c r="E121" s="5" t="s">
        <v>107</v>
      </c>
      <c r="F121" s="5" t="s">
        <v>87</v>
      </c>
      <c r="G121" s="9" t="s">
        <v>58</v>
      </c>
      <c r="H121" s="11">
        <v>249.9</v>
      </c>
      <c r="I121" s="11">
        <v>90.63</v>
      </c>
      <c r="J121" s="12">
        <f>IF(OR(tVerao26[[#This Row],[Preço (R$)]]="",tVerao26[[#This Row],[Custo (R$)]]=""),"",(tVerao26[[#This Row],[Preço (R$)]]-tVerao26[[#This Row],[Custo (R$)]])/tVerao26[[#This Row],[Preço (R$)]])</f>
        <v>0.63733493397358942</v>
      </c>
      <c r="K121" s="5" t="s">
        <v>1015</v>
      </c>
      <c r="L121" s="28" t="s">
        <v>109</v>
      </c>
      <c r="M121" s="10">
        <v>45928</v>
      </c>
      <c r="N121" s="5" t="s">
        <v>470</v>
      </c>
      <c r="O121" s="9" t="s">
        <v>49</v>
      </c>
    </row>
    <row r="122" spans="1:15">
      <c r="A12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VLT-VES-010-MRR-GG</v>
      </c>
      <c r="B122" s="5" t="s">
        <v>1016</v>
      </c>
      <c r="C122" s="9" t="s">
        <v>992</v>
      </c>
      <c r="D122" s="5" t="s">
        <v>993</v>
      </c>
      <c r="E122" s="5" t="s">
        <v>107</v>
      </c>
      <c r="F122" s="5" t="s">
        <v>87</v>
      </c>
      <c r="G122" s="9" t="s">
        <v>61</v>
      </c>
      <c r="H122" s="11">
        <v>249.9</v>
      </c>
      <c r="I122" s="11">
        <v>94.59</v>
      </c>
      <c r="J122" s="12">
        <f>IF(OR(tVerao26[[#This Row],[Preço (R$)]]="",tVerao26[[#This Row],[Custo (R$)]]=""),"",(tVerao26[[#This Row],[Preço (R$)]]-tVerao26[[#This Row],[Custo (R$)]])/tVerao26[[#This Row],[Preço (R$)]])</f>
        <v>0.62148859543817525</v>
      </c>
      <c r="K122" s="5" t="s">
        <v>1017</v>
      </c>
      <c r="L122" s="28" t="s">
        <v>109</v>
      </c>
      <c r="M122" s="10">
        <v>45928</v>
      </c>
      <c r="N122" s="5" t="s">
        <v>470</v>
      </c>
      <c r="O122" s="9" t="s">
        <v>49</v>
      </c>
    </row>
    <row r="123" spans="1:15">
      <c r="A12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VLT-BER-009-JCL-XP</v>
      </c>
      <c r="B123" s="5" t="s">
        <v>1018</v>
      </c>
      <c r="C123" s="9" t="s">
        <v>1019</v>
      </c>
      <c r="D123" s="5" t="s">
        <v>1020</v>
      </c>
      <c r="E123" s="5" t="s">
        <v>43</v>
      </c>
      <c r="F123" s="5" t="s">
        <v>892</v>
      </c>
      <c r="G123" s="9" t="s">
        <v>45</v>
      </c>
      <c r="H123" s="11">
        <v>219.9</v>
      </c>
      <c r="I123" s="11">
        <v>102.98</v>
      </c>
      <c r="J123" s="12">
        <f>IF(OR(tVerao26[[#This Row],[Preço (R$)]]="",tVerao26[[#This Row],[Custo (R$)]]=""),"",(tVerao26[[#This Row],[Preço (R$)]]-tVerao26[[#This Row],[Custo (R$)]])/tVerao26[[#This Row],[Preço (R$)]])</f>
        <v>0.53169622555707141</v>
      </c>
      <c r="K123" s="5" t="s">
        <v>1021</v>
      </c>
      <c r="L123" s="28" t="s">
        <v>109</v>
      </c>
      <c r="M123" s="10">
        <v>45948</v>
      </c>
      <c r="N123" s="5" t="s">
        <v>1022</v>
      </c>
      <c r="O123" s="9" t="s">
        <v>49</v>
      </c>
    </row>
    <row r="124" spans="1:15">
      <c r="A12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VLT-BER-009-JCL-P</v>
      </c>
      <c r="B124" s="5" t="s">
        <v>1023</v>
      </c>
      <c r="C124" s="9" t="s">
        <v>1019</v>
      </c>
      <c r="D124" s="5" t="s">
        <v>1020</v>
      </c>
      <c r="E124" s="5" t="s">
        <v>43</v>
      </c>
      <c r="F124" s="5" t="s">
        <v>892</v>
      </c>
      <c r="G124" s="9" t="s">
        <v>51</v>
      </c>
      <c r="H124" s="11">
        <v>219.9</v>
      </c>
      <c r="I124" s="11">
        <v>102.46</v>
      </c>
      <c r="J124" s="12">
        <f>IF(OR(tVerao26[[#This Row],[Preço (R$)]]="",tVerao26[[#This Row],[Custo (R$)]]=""),"",(tVerao26[[#This Row],[Preço (R$)]]-tVerao26[[#This Row],[Custo (R$)]])/tVerao26[[#This Row],[Preço (R$)]])</f>
        <v>0.53406093678944977</v>
      </c>
      <c r="K124" s="5" t="s">
        <v>1024</v>
      </c>
      <c r="L124" s="28" t="s">
        <v>109</v>
      </c>
      <c r="M124" s="10">
        <v>45948</v>
      </c>
      <c r="N124" s="5" t="s">
        <v>1022</v>
      </c>
      <c r="O124" s="9" t="s">
        <v>49</v>
      </c>
    </row>
    <row r="125" spans="1:15">
      <c r="A12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VLT-BER-009-JCL-M</v>
      </c>
      <c r="B125" s="5" t="s">
        <v>1025</v>
      </c>
      <c r="C125" s="9" t="s">
        <v>1019</v>
      </c>
      <c r="D125" s="5" t="s">
        <v>1020</v>
      </c>
      <c r="E125" s="5" t="s">
        <v>43</v>
      </c>
      <c r="F125" s="5" t="s">
        <v>892</v>
      </c>
      <c r="G125" s="9" t="s">
        <v>54</v>
      </c>
      <c r="H125" s="11">
        <v>219.9</v>
      </c>
      <c r="I125" s="11">
        <v>103.1</v>
      </c>
      <c r="J125" s="12">
        <f>IF(OR(tVerao26[[#This Row],[Preço (R$)]]="",tVerao26[[#This Row],[Custo (R$)]]=""),"",(tVerao26[[#This Row],[Preço (R$)]]-tVerao26[[#This Row],[Custo (R$)]])/tVerao26[[#This Row],[Preço (R$)]])</f>
        <v>0.53115052296498411</v>
      </c>
      <c r="K125" s="5" t="s">
        <v>1026</v>
      </c>
      <c r="L125" s="28" t="s">
        <v>109</v>
      </c>
      <c r="M125" s="10">
        <v>45948</v>
      </c>
      <c r="N125" s="5" t="s">
        <v>1022</v>
      </c>
      <c r="O125" s="9" t="s">
        <v>49</v>
      </c>
    </row>
    <row r="126" spans="1:15">
      <c r="A12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VLT-BER-009-JCL-G</v>
      </c>
      <c r="B126" s="5" t="s">
        <v>1027</v>
      </c>
      <c r="C126" s="9" t="s">
        <v>1019</v>
      </c>
      <c r="D126" s="5" t="s">
        <v>1020</v>
      </c>
      <c r="E126" s="5" t="s">
        <v>43</v>
      </c>
      <c r="F126" s="5" t="s">
        <v>892</v>
      </c>
      <c r="G126" s="9" t="s">
        <v>58</v>
      </c>
      <c r="H126" s="11">
        <v>219.9</v>
      </c>
      <c r="I126" s="11">
        <v>106.1</v>
      </c>
      <c r="J126" s="12">
        <f>IF(OR(tVerao26[[#This Row],[Preço (R$)]]="",tVerao26[[#This Row],[Custo (R$)]]=""),"",(tVerao26[[#This Row],[Preço (R$)]]-tVerao26[[#This Row],[Custo (R$)]])/tVerao26[[#This Row],[Preço (R$)]])</f>
        <v>0.51750795816280126</v>
      </c>
      <c r="K126" s="5" t="s">
        <v>1028</v>
      </c>
      <c r="L126" s="28" t="s">
        <v>109</v>
      </c>
      <c r="M126" s="10">
        <v>45948</v>
      </c>
      <c r="N126" s="5" t="s">
        <v>1022</v>
      </c>
      <c r="O126" s="9" t="s">
        <v>49</v>
      </c>
    </row>
    <row r="127" spans="1:15">
      <c r="A12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VLT-BER-009-JCL-GG</v>
      </c>
      <c r="B127" s="5" t="s">
        <v>1029</v>
      </c>
      <c r="C127" s="9" t="s">
        <v>1019</v>
      </c>
      <c r="D127" s="5" t="s">
        <v>1020</v>
      </c>
      <c r="E127" s="5" t="s">
        <v>43</v>
      </c>
      <c r="F127" s="5" t="s">
        <v>892</v>
      </c>
      <c r="G127" s="9" t="s">
        <v>61</v>
      </c>
      <c r="H127" s="11">
        <v>219.9</v>
      </c>
      <c r="I127" s="11">
        <v>106.18</v>
      </c>
      <c r="J127" s="12">
        <f>IF(OR(tVerao26[[#This Row],[Preço (R$)]]="",tVerao26[[#This Row],[Custo (R$)]]=""),"",(tVerao26[[#This Row],[Preço (R$)]]-tVerao26[[#This Row],[Custo (R$)]])/tVerao26[[#This Row],[Preço (R$)]])</f>
        <v>0.5171441564347431</v>
      </c>
      <c r="K127" s="5" t="s">
        <v>1030</v>
      </c>
      <c r="L127" s="28" t="s">
        <v>109</v>
      </c>
      <c r="M127" s="10">
        <v>45948</v>
      </c>
      <c r="N127" s="5" t="s">
        <v>1022</v>
      </c>
      <c r="O127" s="9" t="s">
        <v>49</v>
      </c>
    </row>
    <row r="128" spans="1:15">
      <c r="A12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VLT-BER-009-JCL-XG</v>
      </c>
      <c r="B128" s="5" t="s">
        <v>1031</v>
      </c>
      <c r="C128" s="9" t="s">
        <v>1019</v>
      </c>
      <c r="D128" s="5" t="s">
        <v>1020</v>
      </c>
      <c r="E128" s="5" t="s">
        <v>43</v>
      </c>
      <c r="F128" s="5" t="s">
        <v>892</v>
      </c>
      <c r="G128" s="9" t="s">
        <v>578</v>
      </c>
      <c r="H128" s="11">
        <v>219.9</v>
      </c>
      <c r="I128" s="11">
        <v>106.82</v>
      </c>
      <c r="J128" s="12">
        <f>IF(OR(tVerao26[[#This Row],[Preço (R$)]]="",tVerao26[[#This Row],[Custo (R$)]]=""),"",(tVerao26[[#This Row],[Preço (R$)]]-tVerao26[[#This Row],[Custo (R$)]])/tVerao26[[#This Row],[Preço (R$)]])</f>
        <v>0.51423374261027743</v>
      </c>
      <c r="K128" s="5" t="s">
        <v>1032</v>
      </c>
      <c r="L128" s="28" t="s">
        <v>109</v>
      </c>
      <c r="M128" s="10">
        <v>45948</v>
      </c>
      <c r="N128" s="5" t="s">
        <v>1022</v>
      </c>
      <c r="O128" s="9" t="s">
        <v>49</v>
      </c>
    </row>
    <row r="129" spans="1:15">
      <c r="A12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VLT-TOP-015-VIN-P</v>
      </c>
      <c r="B129" s="5" t="s">
        <v>1033</v>
      </c>
      <c r="C129" s="9" t="s">
        <v>1034</v>
      </c>
      <c r="D129" s="5" t="s">
        <v>1035</v>
      </c>
      <c r="E129" s="5" t="s">
        <v>179</v>
      </c>
      <c r="F129" s="5" t="s">
        <v>129</v>
      </c>
      <c r="G129" s="9" t="s">
        <v>51</v>
      </c>
      <c r="H129" s="11">
        <v>129.9</v>
      </c>
      <c r="I129" s="11">
        <v>53.99</v>
      </c>
      <c r="J129" s="12">
        <f>IF(OR(tVerao26[[#This Row],[Preço (R$)]]="",tVerao26[[#This Row],[Custo (R$)]]=""),"",(tVerao26[[#This Row],[Preço (R$)]]-tVerao26[[#This Row],[Custo (R$)]])/tVerao26[[#This Row],[Preço (R$)]])</f>
        <v>0.58437259430331023</v>
      </c>
      <c r="K129" s="5" t="s">
        <v>1036</v>
      </c>
      <c r="L129" s="28" t="s">
        <v>101</v>
      </c>
      <c r="M129" s="10">
        <v>45930</v>
      </c>
      <c r="N129" s="5" t="s">
        <v>672</v>
      </c>
      <c r="O129" s="9" t="s">
        <v>49</v>
      </c>
    </row>
    <row r="130" spans="1:15">
      <c r="A13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VLT-TOP-015-VIN-M</v>
      </c>
      <c r="B130" s="5" t="s">
        <v>1037</v>
      </c>
      <c r="C130" s="9" t="s">
        <v>1034</v>
      </c>
      <c r="D130" s="5" t="s">
        <v>1035</v>
      </c>
      <c r="E130" s="5" t="s">
        <v>179</v>
      </c>
      <c r="F130" s="5" t="s">
        <v>129</v>
      </c>
      <c r="G130" s="9" t="s">
        <v>54</v>
      </c>
      <c r="H130" s="11">
        <v>129.9</v>
      </c>
      <c r="I130" s="11">
        <v>53.88</v>
      </c>
      <c r="J130" s="12">
        <f>IF(OR(tVerao26[[#This Row],[Preço (R$)]]="",tVerao26[[#This Row],[Custo (R$)]]=""),"",(tVerao26[[#This Row],[Preço (R$)]]-tVerao26[[#This Row],[Custo (R$)]])/tVerao26[[#This Row],[Preço (R$)]])</f>
        <v>0.58521939953810631</v>
      </c>
      <c r="K130" s="5" t="s">
        <v>1038</v>
      </c>
      <c r="L130" s="28" t="s">
        <v>101</v>
      </c>
      <c r="M130" s="10">
        <v>45930</v>
      </c>
      <c r="N130" s="5" t="s">
        <v>672</v>
      </c>
      <c r="O130" s="9" t="s">
        <v>49</v>
      </c>
    </row>
    <row r="131" spans="1:15">
      <c r="A13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VLT-TOP-015-VIN-G</v>
      </c>
      <c r="B131" s="5" t="s">
        <v>1039</v>
      </c>
      <c r="C131" s="9" t="s">
        <v>1034</v>
      </c>
      <c r="D131" s="5" t="s">
        <v>1035</v>
      </c>
      <c r="E131" s="5" t="s">
        <v>179</v>
      </c>
      <c r="F131" s="5" t="s">
        <v>129</v>
      </c>
      <c r="G131" s="9" t="s">
        <v>58</v>
      </c>
      <c r="H131" s="11">
        <v>129.9</v>
      </c>
      <c r="I131" s="11">
        <v>55.66</v>
      </c>
      <c r="J131" s="12">
        <f>IF(OR(tVerao26[[#This Row],[Preço (R$)]]="",tVerao26[[#This Row],[Custo (R$)]]=""),"",(tVerao26[[#This Row],[Preço (R$)]]-tVerao26[[#This Row],[Custo (R$)]])/tVerao26[[#This Row],[Preço (R$)]])</f>
        <v>0.57151655119322564</v>
      </c>
      <c r="K131" s="5" t="s">
        <v>1040</v>
      </c>
      <c r="L131" s="28" t="s">
        <v>101</v>
      </c>
      <c r="M131" s="10">
        <v>45930</v>
      </c>
      <c r="N131" s="5" t="s">
        <v>672</v>
      </c>
      <c r="O131" s="9" t="s">
        <v>49</v>
      </c>
    </row>
    <row r="132" spans="1:15">
      <c r="A13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VLT-TOP-015-VIN-GG</v>
      </c>
      <c r="B132" s="5" t="s">
        <v>1041</v>
      </c>
      <c r="C132" s="9" t="s">
        <v>1034</v>
      </c>
      <c r="D132" s="5" t="s">
        <v>1035</v>
      </c>
      <c r="E132" s="5" t="s">
        <v>179</v>
      </c>
      <c r="F132" s="5" t="s">
        <v>129</v>
      </c>
      <c r="G132" s="9" t="s">
        <v>61</v>
      </c>
      <c r="H132" s="11">
        <v>129.9</v>
      </c>
      <c r="I132" s="11">
        <v>55.67</v>
      </c>
      <c r="J132" s="12">
        <f>IF(OR(tVerao26[[#This Row],[Preço (R$)]]="",tVerao26[[#This Row],[Custo (R$)]]=""),"",(tVerao26[[#This Row],[Preço (R$)]]-tVerao26[[#This Row],[Custo (R$)]])/tVerao26[[#This Row],[Preço (R$)]])</f>
        <v>0.57143956889915315</v>
      </c>
      <c r="K132" s="5" t="s">
        <v>1042</v>
      </c>
      <c r="L132" s="28" t="s">
        <v>101</v>
      </c>
      <c r="M132" s="10">
        <v>45930</v>
      </c>
      <c r="N132" s="5" t="s">
        <v>672</v>
      </c>
      <c r="O132" s="9" t="s">
        <v>49</v>
      </c>
    </row>
    <row r="133" spans="1:15">
      <c r="A13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VLT-CMS-012-OLI-XP</v>
      </c>
      <c r="B133" s="5" t="s">
        <v>1043</v>
      </c>
      <c r="C133" s="9" t="s">
        <v>1044</v>
      </c>
      <c r="D133" s="5" t="s">
        <v>1045</v>
      </c>
      <c r="E133" s="5" t="s">
        <v>67</v>
      </c>
      <c r="F133" s="5" t="s">
        <v>180</v>
      </c>
      <c r="G133" s="9" t="s">
        <v>45</v>
      </c>
      <c r="H133" s="11">
        <v>189.9</v>
      </c>
      <c r="I133" s="27">
        <v>94.64</v>
      </c>
      <c r="J133" s="12">
        <f>IF(OR(tVerao26[[#This Row],[Preço (R$)]]="",tVerao26[[#This Row],[Custo (R$)]]=""),"",(tVerao26[[#This Row],[Preço (R$)]]-tVerao26[[#This Row],[Custo (R$)]])/tVerao26[[#This Row],[Preço (R$)]])</f>
        <v>0.50163243812532909</v>
      </c>
      <c r="K133" s="5" t="s">
        <v>1046</v>
      </c>
      <c r="L133" s="28" t="s">
        <v>47</v>
      </c>
      <c r="M133" s="10">
        <v>45947</v>
      </c>
      <c r="N133" s="5" t="s">
        <v>1047</v>
      </c>
      <c r="O133" s="9" t="s">
        <v>49</v>
      </c>
    </row>
    <row r="134" spans="1:15">
      <c r="A13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VLT-CMS-012-OLI-P</v>
      </c>
      <c r="B134" s="5" t="s">
        <v>1048</v>
      </c>
      <c r="C134" s="9" t="s">
        <v>1044</v>
      </c>
      <c r="D134" s="5" t="s">
        <v>1045</v>
      </c>
      <c r="E134" s="5" t="s">
        <v>67</v>
      </c>
      <c r="F134" s="5" t="s">
        <v>180</v>
      </c>
      <c r="G134" s="9" t="s">
        <v>51</v>
      </c>
      <c r="H134" s="11">
        <v>189.9</v>
      </c>
      <c r="I134" s="27">
        <v>94.64</v>
      </c>
      <c r="J134" s="12">
        <f>IF(OR(tVerao26[[#This Row],[Preço (R$)]]="",tVerao26[[#This Row],[Custo (R$)]]=""),"",(tVerao26[[#This Row],[Preço (R$)]]-tVerao26[[#This Row],[Custo (R$)]])/tVerao26[[#This Row],[Preço (R$)]])</f>
        <v>0.50163243812532909</v>
      </c>
      <c r="K134" s="5" t="s">
        <v>1049</v>
      </c>
      <c r="L134" s="28" t="s">
        <v>47</v>
      </c>
      <c r="M134" s="10">
        <v>45947</v>
      </c>
      <c r="N134" s="5" t="s">
        <v>1047</v>
      </c>
      <c r="O134" s="9" t="s">
        <v>49</v>
      </c>
    </row>
    <row r="135" spans="1:15">
      <c r="A13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VLT-CMS-012-OLI-M</v>
      </c>
      <c r="B135" s="5" t="s">
        <v>1050</v>
      </c>
      <c r="C135" s="9" t="s">
        <v>1044</v>
      </c>
      <c r="D135" s="5" t="s">
        <v>1045</v>
      </c>
      <c r="E135" s="5" t="s">
        <v>67</v>
      </c>
      <c r="F135" s="5" t="s">
        <v>180</v>
      </c>
      <c r="G135" s="9" t="s">
        <v>54</v>
      </c>
      <c r="H135" s="11">
        <v>189.9</v>
      </c>
      <c r="I135" s="27">
        <v>94.64</v>
      </c>
      <c r="J135" s="12">
        <f>IF(OR(tVerao26[[#This Row],[Preço (R$)]]="",tVerao26[[#This Row],[Custo (R$)]]=""),"",(tVerao26[[#This Row],[Preço (R$)]]-tVerao26[[#This Row],[Custo (R$)]])/tVerao26[[#This Row],[Preço (R$)]])</f>
        <v>0.50163243812532909</v>
      </c>
      <c r="K135" s="5" t="s">
        <v>1051</v>
      </c>
      <c r="L135" s="28" t="s">
        <v>47</v>
      </c>
      <c r="M135" s="10">
        <v>45947</v>
      </c>
      <c r="N135" s="5" t="s">
        <v>1047</v>
      </c>
      <c r="O135" s="9" t="s">
        <v>49</v>
      </c>
    </row>
    <row r="136" spans="1:15">
      <c r="A13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VLT-CMS-012-OLI-G</v>
      </c>
      <c r="B136" s="5" t="s">
        <v>1052</v>
      </c>
      <c r="C136" s="9" t="s">
        <v>1044</v>
      </c>
      <c r="D136" s="5" t="s">
        <v>1045</v>
      </c>
      <c r="E136" s="5" t="s">
        <v>67</v>
      </c>
      <c r="F136" s="5" t="s">
        <v>180</v>
      </c>
      <c r="G136" s="9" t="s">
        <v>58</v>
      </c>
      <c r="H136" s="11">
        <v>189.9</v>
      </c>
      <c r="I136" s="11">
        <v>94.64</v>
      </c>
      <c r="J136" s="12">
        <f>IF(OR(tVerao26[[#This Row],[Preço (R$)]]="",tVerao26[[#This Row],[Custo (R$)]]=""),"",(tVerao26[[#This Row],[Preço (R$)]]-tVerao26[[#This Row],[Custo (R$)]])/tVerao26[[#This Row],[Preço (R$)]])</f>
        <v>0.50163243812532909</v>
      </c>
      <c r="K136" s="5" t="s">
        <v>1053</v>
      </c>
      <c r="L136" s="28" t="s">
        <v>47</v>
      </c>
      <c r="M136" s="10">
        <v>45947</v>
      </c>
      <c r="N136" s="5" t="s">
        <v>1054</v>
      </c>
      <c r="O136" s="9" t="s">
        <v>49</v>
      </c>
    </row>
    <row r="137" spans="1:15">
      <c r="A13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VLT-CMS-012-OLI-GG</v>
      </c>
      <c r="B137" s="5" t="s">
        <v>1055</v>
      </c>
      <c r="C137" s="9" t="s">
        <v>1044</v>
      </c>
      <c r="D137" s="5" t="s">
        <v>1045</v>
      </c>
      <c r="E137" s="5" t="s">
        <v>67</v>
      </c>
      <c r="F137" s="5" t="s">
        <v>180</v>
      </c>
      <c r="G137" s="9" t="s">
        <v>61</v>
      </c>
      <c r="H137" s="11">
        <v>189.9</v>
      </c>
      <c r="I137" s="27">
        <v>94.64</v>
      </c>
      <c r="J137" s="12">
        <f>IF(OR(tVerao26[[#This Row],[Preço (R$)]]="",tVerao26[[#This Row],[Custo (R$)]]=""),"",(tVerao26[[#This Row],[Preço (R$)]]-tVerao26[[#This Row],[Custo (R$)]])/tVerao26[[#This Row],[Preço (R$)]])</f>
        <v>0.50163243812532909</v>
      </c>
      <c r="K137" s="5" t="s">
        <v>1056</v>
      </c>
      <c r="L137" s="28" t="s">
        <v>47</v>
      </c>
      <c r="M137" s="10">
        <v>45947</v>
      </c>
      <c r="N137" s="5" t="s">
        <v>1047</v>
      </c>
      <c r="O137" s="9" t="s">
        <v>49</v>
      </c>
    </row>
    <row r="138" spans="1:15">
      <c r="A13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VLT-CMS-012-AMA-XP</v>
      </c>
      <c r="B138" s="5" t="s">
        <v>1057</v>
      </c>
      <c r="C138" s="9" t="s">
        <v>1044</v>
      </c>
      <c r="D138" s="5" t="s">
        <v>1045</v>
      </c>
      <c r="E138" s="5" t="s">
        <v>67</v>
      </c>
      <c r="F138" s="5" t="s">
        <v>99</v>
      </c>
      <c r="G138" s="9" t="s">
        <v>45</v>
      </c>
      <c r="H138" s="11">
        <v>189.9</v>
      </c>
      <c r="I138" s="11">
        <v>94.9</v>
      </c>
      <c r="J138" s="12">
        <f>IF(OR(tVerao26[[#This Row],[Preço (R$)]]="",tVerao26[[#This Row],[Custo (R$)]]=""),"",(tVerao26[[#This Row],[Preço (R$)]]-tVerao26[[#This Row],[Custo (R$)]])/tVerao26[[#This Row],[Preço (R$)]])</f>
        <v>0.50026329647182721</v>
      </c>
      <c r="K138" s="5" t="s">
        <v>1058</v>
      </c>
      <c r="L138" s="28" t="s">
        <v>47</v>
      </c>
      <c r="M138" s="10">
        <v>45947</v>
      </c>
      <c r="N138" s="5" t="s">
        <v>1054</v>
      </c>
      <c r="O138" s="9" t="s">
        <v>49</v>
      </c>
    </row>
    <row r="139" spans="1:15">
      <c r="A13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VLT-CMS-012-AMA-P</v>
      </c>
      <c r="B139" s="5" t="s">
        <v>1059</v>
      </c>
      <c r="C139" s="9" t="s">
        <v>1044</v>
      </c>
      <c r="D139" s="5" t="s">
        <v>1045</v>
      </c>
      <c r="E139" s="5" t="s">
        <v>67</v>
      </c>
      <c r="F139" s="5" t="s">
        <v>99</v>
      </c>
      <c r="G139" s="9" t="s">
        <v>51</v>
      </c>
      <c r="H139" s="11">
        <v>189.9</v>
      </c>
      <c r="I139" s="27">
        <v>94.9</v>
      </c>
      <c r="J139" s="12">
        <f>IF(OR(tVerao26[[#This Row],[Preço (R$)]]="",tVerao26[[#This Row],[Custo (R$)]]=""),"",(tVerao26[[#This Row],[Preço (R$)]]-tVerao26[[#This Row],[Custo (R$)]])/tVerao26[[#This Row],[Preço (R$)]])</f>
        <v>0.50026329647182721</v>
      </c>
      <c r="K139" s="5" t="s">
        <v>1060</v>
      </c>
      <c r="L139" s="28" t="s">
        <v>47</v>
      </c>
      <c r="M139" s="10">
        <v>45947</v>
      </c>
      <c r="N139" s="5" t="s">
        <v>1061</v>
      </c>
      <c r="O139" s="9" t="s">
        <v>49</v>
      </c>
    </row>
    <row r="140" spans="1:15">
      <c r="A14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VLT-CMS-012-AMA-M</v>
      </c>
      <c r="B140" s="5" t="s">
        <v>1062</v>
      </c>
      <c r="C140" s="9" t="s">
        <v>1044</v>
      </c>
      <c r="D140" s="5" t="s">
        <v>1045</v>
      </c>
      <c r="E140" s="5" t="s">
        <v>67</v>
      </c>
      <c r="F140" s="5" t="s">
        <v>99</v>
      </c>
      <c r="G140" s="9" t="s">
        <v>54</v>
      </c>
      <c r="H140" s="11">
        <v>189.9</v>
      </c>
      <c r="I140" s="11">
        <v>94.64</v>
      </c>
      <c r="J140" s="12">
        <f>IF(OR(tVerao26[[#This Row],[Preço (R$)]]="",tVerao26[[#This Row],[Custo (R$)]]=""),"",(tVerao26[[#This Row],[Preço (R$)]]-tVerao26[[#This Row],[Custo (R$)]])/tVerao26[[#This Row],[Preço (R$)]])</f>
        <v>0.50163243812532909</v>
      </c>
      <c r="K140" s="5" t="s">
        <v>1063</v>
      </c>
      <c r="L140" s="28" t="s">
        <v>47</v>
      </c>
      <c r="M140" s="10">
        <v>45947</v>
      </c>
      <c r="N140" s="5" t="s">
        <v>1054</v>
      </c>
      <c r="O140" s="9" t="s">
        <v>49</v>
      </c>
    </row>
    <row r="141" spans="1:15">
      <c r="A14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VLT-CMS-012-AMA-G</v>
      </c>
      <c r="B141" s="5" t="s">
        <v>1064</v>
      </c>
      <c r="C141" s="9" t="s">
        <v>1044</v>
      </c>
      <c r="D141" s="5" t="s">
        <v>1045</v>
      </c>
      <c r="E141" s="5" t="s">
        <v>67</v>
      </c>
      <c r="F141" s="5" t="s">
        <v>99</v>
      </c>
      <c r="G141" s="9" t="s">
        <v>58</v>
      </c>
      <c r="H141" s="11">
        <v>189.9</v>
      </c>
      <c r="I141" s="27">
        <v>94.64</v>
      </c>
      <c r="J141" s="12">
        <f>IF(OR(tVerao26[[#This Row],[Preço (R$)]]="",tVerao26[[#This Row],[Custo (R$)]]=""),"",(tVerao26[[#This Row],[Preço (R$)]]-tVerao26[[#This Row],[Custo (R$)]])/tVerao26[[#This Row],[Preço (R$)]])</f>
        <v>0.50163243812532909</v>
      </c>
      <c r="K141" s="5" t="s">
        <v>1065</v>
      </c>
      <c r="L141" s="28" t="s">
        <v>47</v>
      </c>
      <c r="M141" s="10">
        <v>45947</v>
      </c>
      <c r="N141" s="5" t="s">
        <v>1066</v>
      </c>
      <c r="O141" s="9" t="s">
        <v>49</v>
      </c>
    </row>
    <row r="142" spans="1:15">
      <c r="A14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VLT-CMS-012-AMA-GG</v>
      </c>
      <c r="B142" s="5" t="s">
        <v>1067</v>
      </c>
      <c r="C142" s="9" t="s">
        <v>1044</v>
      </c>
      <c r="D142" s="5" t="s">
        <v>1045</v>
      </c>
      <c r="E142" s="5" t="s">
        <v>67</v>
      </c>
      <c r="F142" s="5" t="s">
        <v>99</v>
      </c>
      <c r="G142" s="9" t="s">
        <v>61</v>
      </c>
      <c r="H142" s="11">
        <v>189.9</v>
      </c>
      <c r="I142" s="11">
        <v>93.14</v>
      </c>
      <c r="J142" s="12">
        <f>IF(OR(tVerao26[[#This Row],[Preço (R$)]]="",tVerao26[[#This Row],[Custo (R$)]]=""),"",(tVerao26[[#This Row],[Preço (R$)]]-tVerao26[[#This Row],[Custo (R$)]])/tVerao26[[#This Row],[Preço (R$)]])</f>
        <v>0.50953133228014746</v>
      </c>
      <c r="K142" s="5" t="s">
        <v>1068</v>
      </c>
      <c r="L142" s="28" t="s">
        <v>47</v>
      </c>
      <c r="M142" s="10">
        <v>45947</v>
      </c>
      <c r="N142" s="5" t="s">
        <v>1054</v>
      </c>
      <c r="O142" s="9" t="s">
        <v>49</v>
      </c>
    </row>
    <row r="143" spans="1:15">
      <c r="A14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VLT-CAL-024-AZM-P</v>
      </c>
      <c r="B143" s="5" t="s">
        <v>1069</v>
      </c>
      <c r="C143" s="9" t="s">
        <v>1070</v>
      </c>
      <c r="D143" s="5" t="s">
        <v>1071</v>
      </c>
      <c r="E143" s="5" t="s">
        <v>86</v>
      </c>
      <c r="F143" s="5" t="s">
        <v>68</v>
      </c>
      <c r="G143" s="9" t="s">
        <v>51</v>
      </c>
      <c r="H143" s="11">
        <v>329.9</v>
      </c>
      <c r="I143" s="11">
        <v>132.56</v>
      </c>
      <c r="J143" s="12">
        <f>IF(OR(tVerao26[[#This Row],[Preço (R$)]]="",tVerao26[[#This Row],[Custo (R$)]]=""),"",(tVerao26[[#This Row],[Preço (R$)]]-tVerao26[[#This Row],[Custo (R$)]])/tVerao26[[#This Row],[Preço (R$)]])</f>
        <v>0.59818126705062136</v>
      </c>
      <c r="K143" s="5" t="s">
        <v>1072</v>
      </c>
      <c r="L143" s="28" t="s">
        <v>47</v>
      </c>
      <c r="M143" s="10">
        <v>45965</v>
      </c>
      <c r="N143" s="5" t="s">
        <v>470</v>
      </c>
      <c r="O143" s="9" t="s">
        <v>49</v>
      </c>
    </row>
    <row r="144" spans="1:15">
      <c r="A14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VLT-CAL-024-AZM-M</v>
      </c>
      <c r="B144" s="5" t="s">
        <v>1073</v>
      </c>
      <c r="C144" s="9" t="s">
        <v>1070</v>
      </c>
      <c r="D144" s="5" t="s">
        <v>1071</v>
      </c>
      <c r="E144" s="5" t="s">
        <v>86</v>
      </c>
      <c r="F144" s="5" t="s">
        <v>68</v>
      </c>
      <c r="G144" s="9" t="s">
        <v>54</v>
      </c>
      <c r="H144" s="11">
        <v>329.9</v>
      </c>
      <c r="I144" s="11">
        <v>137.32</v>
      </c>
      <c r="J144" s="12">
        <f>IF(OR(tVerao26[[#This Row],[Preço (R$)]]="",tVerao26[[#This Row],[Custo (R$)]]=""),"",(tVerao26[[#This Row],[Preço (R$)]]-tVerao26[[#This Row],[Custo (R$)]])/tVerao26[[#This Row],[Preço (R$)]])</f>
        <v>0.58375265231888451</v>
      </c>
      <c r="K144" s="5" t="s">
        <v>1074</v>
      </c>
      <c r="L144" s="28" t="s">
        <v>47</v>
      </c>
      <c r="M144" s="10">
        <v>45965</v>
      </c>
      <c r="N144" s="5" t="s">
        <v>470</v>
      </c>
      <c r="O144" s="9" t="s">
        <v>49</v>
      </c>
    </row>
    <row r="145" spans="1:15">
      <c r="A14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VLT-CAL-024-AZM-G</v>
      </c>
      <c r="B145" s="5" t="s">
        <v>1075</v>
      </c>
      <c r="C145" s="9" t="s">
        <v>1070</v>
      </c>
      <c r="D145" s="5" t="s">
        <v>1071</v>
      </c>
      <c r="E145" s="5" t="s">
        <v>86</v>
      </c>
      <c r="F145" s="5" t="s">
        <v>68</v>
      </c>
      <c r="G145" s="9" t="s">
        <v>58</v>
      </c>
      <c r="H145" s="11">
        <v>329.9</v>
      </c>
      <c r="I145" s="11">
        <v>131.59</v>
      </c>
      <c r="J145" s="12">
        <f>IF(OR(tVerao26[[#This Row],[Preço (R$)]]="",tVerao26[[#This Row],[Custo (R$)]]=""),"",(tVerao26[[#This Row],[Preço (R$)]]-tVerao26[[#This Row],[Custo (R$)]])/tVerao26[[#This Row],[Preço (R$)]])</f>
        <v>0.60112155198545014</v>
      </c>
      <c r="K145" s="5" t="s">
        <v>1076</v>
      </c>
      <c r="L145" s="28" t="s">
        <v>47</v>
      </c>
      <c r="M145" s="10">
        <v>45965</v>
      </c>
      <c r="N145" s="5" t="s">
        <v>470</v>
      </c>
      <c r="O145" s="9" t="s">
        <v>49</v>
      </c>
    </row>
    <row r="146" spans="1:15">
      <c r="A14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VLT-CAL-024-AZM-GG</v>
      </c>
      <c r="B146" s="5" t="s">
        <v>1077</v>
      </c>
      <c r="C146" s="9" t="s">
        <v>1070</v>
      </c>
      <c r="D146" s="5" t="s">
        <v>1071</v>
      </c>
      <c r="E146" s="5" t="s">
        <v>86</v>
      </c>
      <c r="F146" s="5" t="s">
        <v>68</v>
      </c>
      <c r="G146" s="9" t="s">
        <v>61</v>
      </c>
      <c r="H146" s="11">
        <v>329.9</v>
      </c>
      <c r="I146" s="11">
        <v>132.06</v>
      </c>
      <c r="J146" s="12">
        <f>IF(OR(tVerao26[[#This Row],[Preço (R$)]]="",tVerao26[[#This Row],[Custo (R$)]]=""),"",(tVerao26[[#This Row],[Preço (R$)]]-tVerao26[[#This Row],[Custo (R$)]])/tVerao26[[#This Row],[Preço (R$)]])</f>
        <v>0.59969687784177017</v>
      </c>
      <c r="K146" s="5" t="s">
        <v>1078</v>
      </c>
      <c r="L146" s="28" t="s">
        <v>47</v>
      </c>
      <c r="M146" s="10">
        <v>45965</v>
      </c>
      <c r="N146" s="5" t="s">
        <v>470</v>
      </c>
      <c r="O146" s="9" t="s">
        <v>49</v>
      </c>
    </row>
    <row r="147" spans="1:15">
      <c r="A14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VLT-TRI-012-CIN-P</v>
      </c>
      <c r="B147" s="5" t="s">
        <v>1079</v>
      </c>
      <c r="C147" s="9" t="s">
        <v>1080</v>
      </c>
      <c r="D147" s="5" t="s">
        <v>1081</v>
      </c>
      <c r="E147" s="5" t="s">
        <v>445</v>
      </c>
      <c r="F147" s="5" t="s">
        <v>164</v>
      </c>
      <c r="G147" s="9" t="s">
        <v>51</v>
      </c>
      <c r="H147" s="11">
        <v>299.89999999999998</v>
      </c>
      <c r="I147" s="27">
        <v>129.94999999999999</v>
      </c>
      <c r="J147" s="12">
        <f>IF(OR(tVerao26[[#This Row],[Preço (R$)]]="",tVerao26[[#This Row],[Custo (R$)]]=""),"",(tVerao26[[#This Row],[Preço (R$)]]-tVerao26[[#This Row],[Custo (R$)]])/tVerao26[[#This Row],[Preço (R$)]])</f>
        <v>0.56668889629876629</v>
      </c>
      <c r="K147" s="5" t="s">
        <v>1082</v>
      </c>
      <c r="L147" s="28" t="s">
        <v>101</v>
      </c>
      <c r="M147" s="10">
        <v>45963</v>
      </c>
      <c r="N147" s="5" t="s">
        <v>1083</v>
      </c>
      <c r="O147" s="9" t="s">
        <v>49</v>
      </c>
    </row>
    <row r="148" spans="1:15">
      <c r="A14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VLT-TRI-012-CIN-M</v>
      </c>
      <c r="B148" s="5" t="s">
        <v>1084</v>
      </c>
      <c r="C148" s="9" t="s">
        <v>1080</v>
      </c>
      <c r="D148" s="5" t="s">
        <v>1081</v>
      </c>
      <c r="E148" s="5" t="s">
        <v>445</v>
      </c>
      <c r="F148" s="5" t="s">
        <v>164</v>
      </c>
      <c r="G148" s="9" t="s">
        <v>54</v>
      </c>
      <c r="H148" s="11">
        <v>299.89999999999998</v>
      </c>
      <c r="I148" s="27">
        <v>129.94999999999999</v>
      </c>
      <c r="J148" s="12">
        <f>IF(OR(tVerao26[[#This Row],[Preço (R$)]]="",tVerao26[[#This Row],[Custo (R$)]]=""),"",(tVerao26[[#This Row],[Preço (R$)]]-tVerao26[[#This Row],[Custo (R$)]])/tVerao26[[#This Row],[Preço (R$)]])</f>
        <v>0.56668889629876629</v>
      </c>
      <c r="K148" s="5" t="s">
        <v>1085</v>
      </c>
      <c r="L148" s="28" t="s">
        <v>101</v>
      </c>
      <c r="M148" s="10">
        <v>45963</v>
      </c>
      <c r="N148" s="5" t="s">
        <v>1086</v>
      </c>
      <c r="O148" s="9" t="s">
        <v>49</v>
      </c>
    </row>
    <row r="149" spans="1:15">
      <c r="A14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VLT-TRI-012-CIN-G</v>
      </c>
      <c r="B149" s="5" t="s">
        <v>1087</v>
      </c>
      <c r="C149" s="9" t="s">
        <v>1080</v>
      </c>
      <c r="D149" s="5" t="s">
        <v>1081</v>
      </c>
      <c r="E149" s="5" t="s">
        <v>445</v>
      </c>
      <c r="F149" s="5" t="s">
        <v>164</v>
      </c>
      <c r="G149" s="9" t="s">
        <v>58</v>
      </c>
      <c r="H149" s="11">
        <v>299.89999999999998</v>
      </c>
      <c r="I149" s="27">
        <v>129.94999999999999</v>
      </c>
      <c r="J149" s="12">
        <f>IF(OR(tVerao26[[#This Row],[Preço (R$)]]="",tVerao26[[#This Row],[Custo (R$)]]=""),"",(tVerao26[[#This Row],[Preço (R$)]]-tVerao26[[#This Row],[Custo (R$)]])/tVerao26[[#This Row],[Preço (R$)]])</f>
        <v>0.56668889629876629</v>
      </c>
      <c r="K149" s="5" t="s">
        <v>1088</v>
      </c>
      <c r="L149" s="28" t="s">
        <v>101</v>
      </c>
      <c r="M149" s="10">
        <v>45963</v>
      </c>
      <c r="N149" s="5" t="s">
        <v>1083</v>
      </c>
      <c r="O149" s="9" t="s">
        <v>49</v>
      </c>
    </row>
    <row r="150" spans="1:15">
      <c r="A15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VLT-TRI-012-CIN-GG</v>
      </c>
      <c r="B150" s="5" t="s">
        <v>1089</v>
      </c>
      <c r="C150" s="9" t="s">
        <v>1080</v>
      </c>
      <c r="D150" s="5" t="s">
        <v>1081</v>
      </c>
      <c r="E150" s="5" t="s">
        <v>445</v>
      </c>
      <c r="F150" s="5" t="s">
        <v>164</v>
      </c>
      <c r="G150" s="9" t="s">
        <v>61</v>
      </c>
      <c r="H150" s="11">
        <v>299.89999999999998</v>
      </c>
      <c r="I150" s="11">
        <v>129.94999999999999</v>
      </c>
      <c r="J150" s="12">
        <f>IF(OR(tVerao26[[#This Row],[Preço (R$)]]="",tVerao26[[#This Row],[Custo (R$)]]=""),"",(tVerao26[[#This Row],[Preço (R$)]]-tVerao26[[#This Row],[Custo (R$)]])/tVerao26[[#This Row],[Preço (R$)]])</f>
        <v>0.56668889629876629</v>
      </c>
      <c r="K150" s="5" t="s">
        <v>1090</v>
      </c>
      <c r="L150" s="28" t="s">
        <v>101</v>
      </c>
      <c r="M150" s="10">
        <v>45963</v>
      </c>
      <c r="N150" s="5" t="s">
        <v>1091</v>
      </c>
      <c r="O150" s="9" t="s">
        <v>49</v>
      </c>
    </row>
    <row r="151" spans="1:15">
      <c r="A15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VLT-CMS-013-BRA-P</v>
      </c>
      <c r="B151" s="5" t="s">
        <v>1092</v>
      </c>
      <c r="C151" s="9" t="s">
        <v>1093</v>
      </c>
      <c r="D151" s="5" t="s">
        <v>1094</v>
      </c>
      <c r="E151" s="5" t="s">
        <v>67</v>
      </c>
      <c r="F151" s="5" t="s">
        <v>77</v>
      </c>
      <c r="G151" s="9" t="s">
        <v>51</v>
      </c>
      <c r="H151" s="11">
        <v>169.9</v>
      </c>
      <c r="I151" s="11">
        <v>64.69</v>
      </c>
      <c r="J151" s="12">
        <f>IF(OR(tVerao26[[#This Row],[Preço (R$)]]="",tVerao26[[#This Row],[Custo (R$)]]=""),"",(tVerao26[[#This Row],[Preço (R$)]]-tVerao26[[#This Row],[Custo (R$)]])/tVerao26[[#This Row],[Preço (R$)]])</f>
        <v>0.61924661565626837</v>
      </c>
      <c r="K151" s="28" t="s">
        <v>1095</v>
      </c>
      <c r="L151" s="28" t="s">
        <v>47</v>
      </c>
      <c r="M151" s="10">
        <v>45959</v>
      </c>
      <c r="N151" s="5" t="s">
        <v>1096</v>
      </c>
      <c r="O151" s="9" t="s">
        <v>49</v>
      </c>
    </row>
    <row r="152" spans="1:15">
      <c r="A15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VLT-CMS-013-BRA-M</v>
      </c>
      <c r="B152" s="5" t="s">
        <v>1097</v>
      </c>
      <c r="C152" s="9" t="s">
        <v>1093</v>
      </c>
      <c r="D152" s="5" t="s">
        <v>1094</v>
      </c>
      <c r="E152" s="5" t="s">
        <v>67</v>
      </c>
      <c r="F152" s="5" t="s">
        <v>77</v>
      </c>
      <c r="G152" s="9" t="s">
        <v>54</v>
      </c>
      <c r="H152" s="11">
        <v>169.9</v>
      </c>
      <c r="I152" s="11">
        <v>64.75</v>
      </c>
      <c r="J152" s="12">
        <f>IF(OR(tVerao26[[#This Row],[Preço (R$)]]="",tVerao26[[#This Row],[Custo (R$)]]=""),"",(tVerao26[[#This Row],[Preço (R$)]]-tVerao26[[#This Row],[Custo (R$)]])/tVerao26[[#This Row],[Preço (R$)]])</f>
        <v>0.61889346674514423</v>
      </c>
      <c r="K152" s="5" t="s">
        <v>1098</v>
      </c>
      <c r="L152" s="28" t="s">
        <v>47</v>
      </c>
      <c r="M152" s="10">
        <v>45959</v>
      </c>
      <c r="N152" s="5" t="s">
        <v>1054</v>
      </c>
      <c r="O152" s="9" t="s">
        <v>49</v>
      </c>
    </row>
    <row r="153" spans="1:15">
      <c r="A15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VLT-CMS-013-BRA-G</v>
      </c>
      <c r="B153" s="5" t="s">
        <v>1099</v>
      </c>
      <c r="C153" s="9" t="s">
        <v>1093</v>
      </c>
      <c r="D153" s="5" t="s">
        <v>1094</v>
      </c>
      <c r="E153" s="5" t="s">
        <v>67</v>
      </c>
      <c r="F153" s="5" t="s">
        <v>77</v>
      </c>
      <c r="G153" s="9" t="s">
        <v>58</v>
      </c>
      <c r="H153" s="11">
        <v>169.9</v>
      </c>
      <c r="I153" s="11">
        <v>68.25</v>
      </c>
      <c r="J153" s="12">
        <f>IF(OR(tVerao26[[#This Row],[Preço (R$)]]="",tVerao26[[#This Row],[Custo (R$)]]=""),"",(tVerao26[[#This Row],[Preço (R$)]]-tVerao26[[#This Row],[Custo (R$)]])/tVerao26[[#This Row],[Preço (R$)]])</f>
        <v>0.59829311359623305</v>
      </c>
      <c r="K153" s="5" t="s">
        <v>1100</v>
      </c>
      <c r="L153" s="28" t="s">
        <v>47</v>
      </c>
      <c r="M153" s="10">
        <v>45959</v>
      </c>
      <c r="N153" s="5" t="s">
        <v>1054</v>
      </c>
      <c r="O153" s="9" t="s">
        <v>49</v>
      </c>
    </row>
    <row r="154" spans="1:15">
      <c r="A15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VLT-TOP-001-AMA-XP</v>
      </c>
      <c r="B154" s="5" t="s">
        <v>1101</v>
      </c>
      <c r="C154" s="9" t="s">
        <v>1102</v>
      </c>
      <c r="D154" s="5" t="s">
        <v>1103</v>
      </c>
      <c r="E154" s="5" t="s">
        <v>179</v>
      </c>
      <c r="F154" s="5" t="s">
        <v>99</v>
      </c>
      <c r="G154" s="9" t="s">
        <v>45</v>
      </c>
      <c r="H154" s="11">
        <v>119.9</v>
      </c>
      <c r="I154" s="11">
        <v>45.84</v>
      </c>
      <c r="J154" s="12">
        <f>IF(OR(tVerao26[[#This Row],[Preço (R$)]]="",tVerao26[[#This Row],[Custo (R$)]]=""),"",(tVerao26[[#This Row],[Preço (R$)]]-tVerao26[[#This Row],[Custo (R$)]])/tVerao26[[#This Row],[Preço (R$)]])</f>
        <v>0.6176814011676397</v>
      </c>
      <c r="K154" s="5" t="s">
        <v>1104</v>
      </c>
      <c r="L154" s="28" t="s">
        <v>101</v>
      </c>
      <c r="M154" s="10">
        <v>45961</v>
      </c>
      <c r="N154" s="5" t="s">
        <v>672</v>
      </c>
      <c r="O154" s="9" t="s">
        <v>49</v>
      </c>
    </row>
    <row r="155" spans="1:15">
      <c r="A15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VLT-TOP-001-AMA-P</v>
      </c>
      <c r="B155" s="5" t="s">
        <v>1105</v>
      </c>
      <c r="C155" s="9" t="s">
        <v>1102</v>
      </c>
      <c r="D155" s="5" t="s">
        <v>1103</v>
      </c>
      <c r="E155" s="5" t="s">
        <v>179</v>
      </c>
      <c r="F155" s="5" t="s">
        <v>99</v>
      </c>
      <c r="G155" s="9" t="s">
        <v>51</v>
      </c>
      <c r="H155" s="11">
        <v>119.9</v>
      </c>
      <c r="I155" s="11">
        <v>45.02</v>
      </c>
      <c r="J155" s="12">
        <f>IF(OR(tVerao26[[#This Row],[Preço (R$)]]="",tVerao26[[#This Row],[Custo (R$)]]=""),"",(tVerao26[[#This Row],[Preço (R$)]]-tVerao26[[#This Row],[Custo (R$)]])/tVerao26[[#This Row],[Preço (R$)]])</f>
        <v>0.62452043369474552</v>
      </c>
      <c r="K155" s="5" t="s">
        <v>1106</v>
      </c>
      <c r="L155" s="28" t="s">
        <v>101</v>
      </c>
      <c r="M155" s="10">
        <v>45961</v>
      </c>
      <c r="N155" s="5" t="s">
        <v>672</v>
      </c>
      <c r="O155" s="9" t="s">
        <v>49</v>
      </c>
    </row>
    <row r="156" spans="1:15">
      <c r="A15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VLT-TOP-001-AMA-M</v>
      </c>
      <c r="B156" s="5" t="s">
        <v>1107</v>
      </c>
      <c r="C156" s="9" t="s">
        <v>1102</v>
      </c>
      <c r="D156" s="5" t="s">
        <v>1103</v>
      </c>
      <c r="E156" s="5" t="s">
        <v>179</v>
      </c>
      <c r="F156" s="5" t="s">
        <v>99</v>
      </c>
      <c r="G156" s="9" t="s">
        <v>54</v>
      </c>
      <c r="H156" s="11">
        <v>119.9</v>
      </c>
      <c r="I156" s="11">
        <v>46.35</v>
      </c>
      <c r="J156" s="12">
        <f>IF(OR(tVerao26[[#This Row],[Preço (R$)]]="",tVerao26[[#This Row],[Custo (R$)]]=""),"",(tVerao26[[#This Row],[Preço (R$)]]-tVerao26[[#This Row],[Custo (R$)]])/tVerao26[[#This Row],[Preço (R$)]])</f>
        <v>0.61342785654712262</v>
      </c>
      <c r="K156" s="5" t="s">
        <v>1108</v>
      </c>
      <c r="L156" s="28" t="s">
        <v>101</v>
      </c>
      <c r="M156" s="10">
        <v>45961</v>
      </c>
      <c r="N156" s="5" t="s">
        <v>672</v>
      </c>
      <c r="O156" s="9" t="s">
        <v>49</v>
      </c>
    </row>
    <row r="157" spans="1:15">
      <c r="A15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VLT-TOP-001-AMA-G</v>
      </c>
      <c r="B157" s="5" t="s">
        <v>1109</v>
      </c>
      <c r="C157" s="9" t="s">
        <v>1102</v>
      </c>
      <c r="D157" s="5" t="s">
        <v>1103</v>
      </c>
      <c r="E157" s="5" t="s">
        <v>179</v>
      </c>
      <c r="F157" s="5" t="s">
        <v>99</v>
      </c>
      <c r="G157" s="9" t="s">
        <v>58</v>
      </c>
      <c r="H157" s="11">
        <v>119.9</v>
      </c>
      <c r="I157" s="27">
        <v>46.35</v>
      </c>
      <c r="J157" s="12">
        <f>IF(OR(tVerao26[[#This Row],[Preço (R$)]]="",tVerao26[[#This Row],[Custo (R$)]]=""),"",(tVerao26[[#This Row],[Preço (R$)]]-tVerao26[[#This Row],[Custo (R$)]])/tVerao26[[#This Row],[Preço (R$)]])</f>
        <v>0.61342785654712262</v>
      </c>
      <c r="K157" s="5" t="s">
        <v>1110</v>
      </c>
      <c r="L157" s="28" t="s">
        <v>101</v>
      </c>
      <c r="M157" s="10">
        <v>45961</v>
      </c>
      <c r="N157" s="5" t="s">
        <v>1111</v>
      </c>
      <c r="O157" s="9" t="s">
        <v>49</v>
      </c>
    </row>
    <row r="158" spans="1:15">
      <c r="A15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VLT-TOP-001-AMA-GG</v>
      </c>
      <c r="B158" s="5" t="s">
        <v>1112</v>
      </c>
      <c r="C158" s="9" t="s">
        <v>1102</v>
      </c>
      <c r="D158" s="5" t="s">
        <v>1103</v>
      </c>
      <c r="E158" s="5" t="s">
        <v>179</v>
      </c>
      <c r="F158" s="5" t="s">
        <v>99</v>
      </c>
      <c r="G158" s="9" t="s">
        <v>61</v>
      </c>
      <c r="H158" s="11">
        <v>119.9</v>
      </c>
      <c r="I158" s="27">
        <v>46.35</v>
      </c>
      <c r="J158" s="12">
        <f>IF(OR(tVerao26[[#This Row],[Preço (R$)]]="",tVerao26[[#This Row],[Custo (R$)]]=""),"",(tVerao26[[#This Row],[Preço (R$)]]-tVerao26[[#This Row],[Custo (R$)]])/tVerao26[[#This Row],[Preço (R$)]])</f>
        <v>0.61342785654712262</v>
      </c>
      <c r="K158" s="5" t="s">
        <v>1113</v>
      </c>
      <c r="L158" s="28" t="s">
        <v>101</v>
      </c>
      <c r="M158" s="10">
        <v>45961</v>
      </c>
      <c r="N158" s="5" t="s">
        <v>1114</v>
      </c>
      <c r="O158" s="9" t="s">
        <v>49</v>
      </c>
    </row>
    <row r="159" spans="1:15">
      <c r="A15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VLT-JAQ-002-MRR-P</v>
      </c>
      <c r="B159" s="5" t="s">
        <v>1115</v>
      </c>
      <c r="C159" s="9" t="s">
        <v>1116</v>
      </c>
      <c r="D159" s="5" t="s">
        <v>1117</v>
      </c>
      <c r="E159" s="5" t="s">
        <v>392</v>
      </c>
      <c r="F159" s="5" t="s">
        <v>87</v>
      </c>
      <c r="G159" s="9" t="s">
        <v>51</v>
      </c>
      <c r="H159" s="11">
        <v>439.9</v>
      </c>
      <c r="I159" s="11"/>
      <c r="J159" s="12" t="str">
        <f>IF(OR(tVerao26[[#This Row],[Preço (R$)]]="",tVerao26[[#This Row],[Custo (R$)]]=""),"",(tVerao26[[#This Row],[Preço (R$)]]-tVerao26[[#This Row],[Custo (R$)]])/tVerao26[[#This Row],[Preço (R$)]])</f>
        <v/>
      </c>
      <c r="K159" s="5" t="s">
        <v>1118</v>
      </c>
      <c r="L159" s="28" t="s">
        <v>47</v>
      </c>
      <c r="M159" s="10">
        <v>45967</v>
      </c>
      <c r="N159" s="5" t="s">
        <v>1119</v>
      </c>
      <c r="O159" s="9" t="s">
        <v>71</v>
      </c>
    </row>
    <row r="160" spans="1:15">
      <c r="A16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VLT-JAQ-002-MRR-M</v>
      </c>
      <c r="B160" s="5" t="s">
        <v>1120</v>
      </c>
      <c r="C160" s="9" t="s">
        <v>1116</v>
      </c>
      <c r="D160" s="5" t="s">
        <v>1117</v>
      </c>
      <c r="E160" s="5" t="s">
        <v>392</v>
      </c>
      <c r="F160" s="5" t="s">
        <v>87</v>
      </c>
      <c r="G160" s="9" t="s">
        <v>54</v>
      </c>
      <c r="H160" s="11">
        <v>439.9</v>
      </c>
      <c r="I160" s="11">
        <v>165.41</v>
      </c>
      <c r="J160" s="12">
        <f>IF(OR(tVerao26[[#This Row],[Preço (R$)]]="",tVerao26[[#This Row],[Custo (R$)]]=""),"",(tVerao26[[#This Row],[Preço (R$)]]-tVerao26[[#This Row],[Custo (R$)]])/tVerao26[[#This Row],[Preço (R$)]])</f>
        <v>0.62398272334621507</v>
      </c>
      <c r="K160" s="5" t="s">
        <v>1121</v>
      </c>
      <c r="L160" s="28" t="s">
        <v>47</v>
      </c>
      <c r="M160" s="10">
        <v>45967</v>
      </c>
      <c r="N160" s="5" t="s">
        <v>1119</v>
      </c>
      <c r="O160" s="9" t="s">
        <v>71</v>
      </c>
    </row>
    <row r="161" spans="1:15">
      <c r="A16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VLT-JAQ-002-MRR-G</v>
      </c>
      <c r="B161" s="5" t="s">
        <v>1122</v>
      </c>
      <c r="C161" s="9" t="s">
        <v>1116</v>
      </c>
      <c r="D161" s="5" t="s">
        <v>1117</v>
      </c>
      <c r="E161" s="5" t="s">
        <v>392</v>
      </c>
      <c r="F161" s="5" t="s">
        <v>87</v>
      </c>
      <c r="G161" s="9" t="s">
        <v>58</v>
      </c>
      <c r="H161" s="11">
        <v>439.9</v>
      </c>
      <c r="I161" s="11">
        <v>166.53</v>
      </c>
      <c r="J161" s="12">
        <f>IF(OR(tVerao26[[#This Row],[Preço (R$)]]="",tVerao26[[#This Row],[Custo (R$)]]=""),"",(tVerao26[[#This Row],[Preço (R$)]]-tVerao26[[#This Row],[Custo (R$)]])/tVerao26[[#This Row],[Preço (R$)]])</f>
        <v>0.62143669015685388</v>
      </c>
      <c r="K161" s="5" t="s">
        <v>1123</v>
      </c>
      <c r="L161" s="28" t="s">
        <v>47</v>
      </c>
      <c r="M161" s="10">
        <v>45967</v>
      </c>
      <c r="N161" s="5" t="s">
        <v>1119</v>
      </c>
      <c r="O161" s="9" t="s">
        <v>71</v>
      </c>
    </row>
    <row r="162" spans="1:15">
      <c r="A16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VLT-JAQ-002-MRR-GG</v>
      </c>
      <c r="B162" s="5" t="s">
        <v>1124</v>
      </c>
      <c r="C162" s="9" t="s">
        <v>1116</v>
      </c>
      <c r="D162" s="5" t="s">
        <v>1117</v>
      </c>
      <c r="E162" s="5" t="s">
        <v>392</v>
      </c>
      <c r="F162" s="5" t="s">
        <v>87</v>
      </c>
      <c r="G162" s="9" t="s">
        <v>61</v>
      </c>
      <c r="H162" s="11">
        <v>439.9</v>
      </c>
      <c r="I162" s="11">
        <v>166.39</v>
      </c>
      <c r="J162" s="12">
        <f>IF(OR(tVerao26[[#This Row],[Preço (R$)]]="",tVerao26[[#This Row],[Custo (R$)]]=""),"",(tVerao26[[#This Row],[Preço (R$)]]-tVerao26[[#This Row],[Custo (R$)]])/tVerao26[[#This Row],[Preço (R$)]])</f>
        <v>0.62175494430552403</v>
      </c>
      <c r="K162" s="5" t="s">
        <v>1125</v>
      </c>
      <c r="L162" s="28" t="s">
        <v>47</v>
      </c>
      <c r="M162" s="10">
        <v>45967</v>
      </c>
      <c r="N162" s="5" t="s">
        <v>1119</v>
      </c>
      <c r="O162" s="9" t="s">
        <v>71</v>
      </c>
    </row>
    <row r="163" spans="1:15">
      <c r="A16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VLT-CAM-019-OLI-P</v>
      </c>
      <c r="B163" s="5" t="s">
        <v>1126</v>
      </c>
      <c r="C163" s="9" t="s">
        <v>1127</v>
      </c>
      <c r="D163" s="5" t="s">
        <v>1128</v>
      </c>
      <c r="E163" s="5" t="s">
        <v>128</v>
      </c>
      <c r="F163" s="5" t="s">
        <v>180</v>
      </c>
      <c r="G163" s="9" t="s">
        <v>51</v>
      </c>
      <c r="H163" s="11">
        <v>169.9</v>
      </c>
      <c r="I163" s="11">
        <v>67.98</v>
      </c>
      <c r="J163" s="12">
        <f>IF(OR(tVerao26[[#This Row],[Preço (R$)]]="",tVerao26[[#This Row],[Custo (R$)]]=""),"",(tVerao26[[#This Row],[Preço (R$)]]-tVerao26[[#This Row],[Custo (R$)]])/tVerao26[[#This Row],[Preço (R$)]])</f>
        <v>0.59988228369629193</v>
      </c>
      <c r="K163" s="5" t="s">
        <v>1129</v>
      </c>
      <c r="L163" s="28" t="s">
        <v>101</v>
      </c>
      <c r="M163" s="10">
        <v>45963</v>
      </c>
      <c r="N163" s="5" t="s">
        <v>470</v>
      </c>
      <c r="O163" s="9" t="s">
        <v>49</v>
      </c>
    </row>
    <row r="164" spans="1:15">
      <c r="A16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VLT-CAM-019-OLI-M</v>
      </c>
      <c r="B164" s="5" t="s">
        <v>1130</v>
      </c>
      <c r="C164" s="9" t="s">
        <v>1127</v>
      </c>
      <c r="D164" s="5" t="s">
        <v>1128</v>
      </c>
      <c r="E164" s="5" t="s">
        <v>128</v>
      </c>
      <c r="F164" s="5" t="s">
        <v>180</v>
      </c>
      <c r="G164" s="9" t="s">
        <v>54</v>
      </c>
      <c r="H164" s="11">
        <v>169.9</v>
      </c>
      <c r="I164" s="11">
        <v>69.819999999999993</v>
      </c>
      <c r="J164" s="12">
        <f>IF(OR(tVerao26[[#This Row],[Preço (R$)]]="",tVerao26[[#This Row],[Custo (R$)]]=""),"",(tVerao26[[#This Row],[Preço (R$)]]-tVerao26[[#This Row],[Custo (R$)]])/tVerao26[[#This Row],[Preço (R$)]])</f>
        <v>0.58905238375515012</v>
      </c>
      <c r="K164" s="5" t="s">
        <v>1131</v>
      </c>
      <c r="L164" s="28" t="s">
        <v>101</v>
      </c>
      <c r="M164" s="10">
        <v>45963</v>
      </c>
      <c r="N164" s="5" t="s">
        <v>470</v>
      </c>
      <c r="O164" s="9" t="s">
        <v>49</v>
      </c>
    </row>
    <row r="165" spans="1:15">
      <c r="A16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VLT-CAM-019-OLI-G</v>
      </c>
      <c r="B165" s="5" t="s">
        <v>1132</v>
      </c>
      <c r="C165" s="9" t="s">
        <v>1127</v>
      </c>
      <c r="D165" s="5" t="s">
        <v>1128</v>
      </c>
      <c r="E165" s="5" t="s">
        <v>128</v>
      </c>
      <c r="F165" s="5" t="s">
        <v>180</v>
      </c>
      <c r="G165" s="9" t="s">
        <v>58</v>
      </c>
      <c r="H165" s="11">
        <v>169.9</v>
      </c>
      <c r="I165" s="11">
        <v>70.040000000000006</v>
      </c>
      <c r="J165" s="12">
        <f>IF(OR(tVerao26[[#This Row],[Preço (R$)]]="",tVerao26[[#This Row],[Custo (R$)]]=""),"",(tVerao26[[#This Row],[Preço (R$)]]-tVerao26[[#This Row],[Custo (R$)]])/tVerao26[[#This Row],[Preço (R$)]])</f>
        <v>0.58775750441436136</v>
      </c>
      <c r="K165" s="5" t="s">
        <v>1133</v>
      </c>
      <c r="L165" s="28" t="s">
        <v>101</v>
      </c>
      <c r="M165" s="10">
        <v>45963</v>
      </c>
      <c r="N165" s="5" t="s">
        <v>470</v>
      </c>
      <c r="O165" s="9" t="s">
        <v>49</v>
      </c>
    </row>
    <row r="166" spans="1:15">
      <c r="A16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VLT-CAM-019-OLI-GG</v>
      </c>
      <c r="B166" s="5" t="s">
        <v>1134</v>
      </c>
      <c r="C166" s="9" t="s">
        <v>1127</v>
      </c>
      <c r="D166" s="5" t="s">
        <v>1128</v>
      </c>
      <c r="E166" s="5" t="s">
        <v>128</v>
      </c>
      <c r="F166" s="5" t="s">
        <v>180</v>
      </c>
      <c r="G166" s="9" t="s">
        <v>61</v>
      </c>
      <c r="H166" s="11">
        <v>169.9</v>
      </c>
      <c r="I166" s="11">
        <v>68.75</v>
      </c>
      <c r="J166" s="12">
        <f>IF(OR(tVerao26[[#This Row],[Preço (R$)]]="",tVerao26[[#This Row],[Custo (R$)]]=""),"",(tVerao26[[#This Row],[Preço (R$)]]-tVerao26[[#This Row],[Custo (R$)]])/tVerao26[[#This Row],[Preço (R$)]])</f>
        <v>0.5953502060035315</v>
      </c>
      <c r="K166" s="5" t="s">
        <v>1135</v>
      </c>
      <c r="L166" s="28" t="s">
        <v>101</v>
      </c>
      <c r="M166" s="10">
        <v>45963</v>
      </c>
      <c r="N166" s="5" t="s">
        <v>470</v>
      </c>
      <c r="O166" s="9" t="s">
        <v>49</v>
      </c>
    </row>
    <row r="167" spans="1:15">
      <c r="A16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VLT-JAQ-007-OFF-XP</v>
      </c>
      <c r="B167" s="5" t="s">
        <v>1136</v>
      </c>
      <c r="C167" s="9" t="s">
        <v>1137</v>
      </c>
      <c r="D167" s="5" t="s">
        <v>1138</v>
      </c>
      <c r="E167" s="5" t="s">
        <v>392</v>
      </c>
      <c r="F167" s="5" t="s">
        <v>117</v>
      </c>
      <c r="G167" s="9" t="s">
        <v>45</v>
      </c>
      <c r="H167" s="11">
        <v>489.9</v>
      </c>
      <c r="I167" s="11">
        <v>190.98</v>
      </c>
      <c r="J167" s="12">
        <f>IF(OR(tVerao26[[#This Row],[Preço (R$)]]="",tVerao26[[#This Row],[Custo (R$)]]=""),"",(tVerao26[[#This Row],[Preço (R$)]]-tVerao26[[#This Row],[Custo (R$)]])/tVerao26[[#This Row],[Preço (R$)]])</f>
        <v>0.61016533986527854</v>
      </c>
      <c r="K167" s="5" t="s">
        <v>1139</v>
      </c>
      <c r="L167" s="28" t="s">
        <v>47</v>
      </c>
      <c r="M167" s="10">
        <v>45948</v>
      </c>
      <c r="N167" s="5" t="s">
        <v>1140</v>
      </c>
      <c r="O167" s="9" t="s">
        <v>49</v>
      </c>
    </row>
    <row r="168" spans="1:15">
      <c r="A16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VLT-JAQ-007-OFF-P</v>
      </c>
      <c r="B168" s="5" t="s">
        <v>1141</v>
      </c>
      <c r="C168" s="9" t="s">
        <v>1137</v>
      </c>
      <c r="D168" s="5" t="s">
        <v>1138</v>
      </c>
      <c r="E168" s="5" t="s">
        <v>392</v>
      </c>
      <c r="F168" s="5" t="s">
        <v>117</v>
      </c>
      <c r="G168" s="9" t="s">
        <v>51</v>
      </c>
      <c r="H168" s="11">
        <v>489.9</v>
      </c>
      <c r="I168" s="11">
        <v>192.65</v>
      </c>
      <c r="J168" s="12">
        <f>IF(OR(tVerao26[[#This Row],[Preço (R$)]]="",tVerao26[[#This Row],[Custo (R$)]]=""),"",(tVerao26[[#This Row],[Preço (R$)]]-tVerao26[[#This Row],[Custo (R$)]])/tVerao26[[#This Row],[Preço (R$)]])</f>
        <v>0.60675648091447232</v>
      </c>
      <c r="K168" s="5" t="s">
        <v>1142</v>
      </c>
      <c r="L168" s="28" t="s">
        <v>47</v>
      </c>
      <c r="M168" s="10">
        <v>45948</v>
      </c>
      <c r="N168" s="5" t="s">
        <v>1140</v>
      </c>
      <c r="O168" s="9" t="s">
        <v>49</v>
      </c>
    </row>
    <row r="169" spans="1:15">
      <c r="A16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VLT-JAQ-007-OFF-M</v>
      </c>
      <c r="B169" s="5" t="s">
        <v>1143</v>
      </c>
      <c r="C169" s="9" t="s">
        <v>1137</v>
      </c>
      <c r="D169" s="5" t="s">
        <v>1138</v>
      </c>
      <c r="E169" s="5" t="s">
        <v>392</v>
      </c>
      <c r="F169" s="5" t="s">
        <v>117</v>
      </c>
      <c r="G169" s="9" t="s">
        <v>54</v>
      </c>
      <c r="H169" s="11">
        <v>489.9</v>
      </c>
      <c r="I169" s="27">
        <v>192.65</v>
      </c>
      <c r="J169" s="12">
        <f>IF(OR(tVerao26[[#This Row],[Preço (R$)]]="",tVerao26[[#This Row],[Custo (R$)]]=""),"",(tVerao26[[#This Row],[Preço (R$)]]-tVerao26[[#This Row],[Custo (R$)]])/tVerao26[[#This Row],[Preço (R$)]])</f>
        <v>0.60675648091447232</v>
      </c>
      <c r="K169" s="5" t="s">
        <v>1144</v>
      </c>
      <c r="L169" s="28" t="s">
        <v>47</v>
      </c>
      <c r="M169" s="10">
        <v>45948</v>
      </c>
      <c r="N169" s="5" t="s">
        <v>1145</v>
      </c>
      <c r="O169" s="9" t="s">
        <v>49</v>
      </c>
    </row>
    <row r="170" spans="1:15">
      <c r="A17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VLT-JAQ-007-OFF-G</v>
      </c>
      <c r="B170" s="5" t="s">
        <v>1146</v>
      </c>
      <c r="C170" s="9" t="s">
        <v>1137</v>
      </c>
      <c r="D170" s="5" t="s">
        <v>1138</v>
      </c>
      <c r="E170" s="5" t="s">
        <v>392</v>
      </c>
      <c r="F170" s="5" t="s">
        <v>117</v>
      </c>
      <c r="G170" s="9" t="s">
        <v>58</v>
      </c>
      <c r="H170" s="11">
        <v>489.9</v>
      </c>
      <c r="I170" s="11">
        <v>188.89</v>
      </c>
      <c r="J170" s="12">
        <f>IF(OR(tVerao26[[#This Row],[Preço (R$)]]="",tVerao26[[#This Row],[Custo (R$)]]=""),"",(tVerao26[[#This Row],[Preço (R$)]]-tVerao26[[#This Row],[Custo (R$)]])/tVerao26[[#This Row],[Preço (R$)]])</f>
        <v>0.61443151663604822</v>
      </c>
      <c r="K170" s="5" t="s">
        <v>1147</v>
      </c>
      <c r="L170" s="28" t="s">
        <v>47</v>
      </c>
      <c r="M170" s="10">
        <v>45948</v>
      </c>
      <c r="N170" s="5" t="s">
        <v>1140</v>
      </c>
      <c r="O170" s="9" t="s">
        <v>49</v>
      </c>
    </row>
    <row r="171" spans="1:15">
      <c r="A17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VLT-JAQ-007-OFF-GG</v>
      </c>
      <c r="B171" s="5" t="s">
        <v>1148</v>
      </c>
      <c r="C171" s="9" t="s">
        <v>1137</v>
      </c>
      <c r="D171" s="5" t="s">
        <v>1138</v>
      </c>
      <c r="E171" s="5" t="s">
        <v>392</v>
      </c>
      <c r="F171" s="5" t="s">
        <v>117</v>
      </c>
      <c r="G171" s="9" t="s">
        <v>61</v>
      </c>
      <c r="H171" s="11">
        <v>489.9</v>
      </c>
      <c r="I171" s="11">
        <v>196.3</v>
      </c>
      <c r="J171" s="12">
        <f>IF(OR(tVerao26[[#This Row],[Preço (R$)]]="",tVerao26[[#This Row],[Custo (R$)]]=""),"",(tVerao26[[#This Row],[Preço (R$)]]-tVerao26[[#This Row],[Custo (R$)]])/tVerao26[[#This Row],[Preço (R$)]])</f>
        <v>0.5993059808124106</v>
      </c>
      <c r="K171" s="5" t="s">
        <v>1149</v>
      </c>
      <c r="L171" s="28" t="s">
        <v>47</v>
      </c>
      <c r="M171" s="10">
        <v>45948</v>
      </c>
      <c r="N171" s="5" t="s">
        <v>1140</v>
      </c>
      <c r="O171" s="9" t="s">
        <v>49</v>
      </c>
    </row>
    <row r="172" spans="1:15">
      <c r="A17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VLT-MOL-013-MRR-P</v>
      </c>
      <c r="B172" s="5" t="s">
        <v>1150</v>
      </c>
      <c r="C172" s="9" t="s">
        <v>1151</v>
      </c>
      <c r="D172" s="5" t="s">
        <v>1152</v>
      </c>
      <c r="E172" s="5" t="s">
        <v>98</v>
      </c>
      <c r="F172" s="5" t="s">
        <v>87</v>
      </c>
      <c r="G172" s="9" t="s">
        <v>51</v>
      </c>
      <c r="H172" s="11">
        <v>219.9</v>
      </c>
      <c r="I172" s="11">
        <v>81.400000000000006</v>
      </c>
      <c r="J172" s="12">
        <f>IF(OR(tVerao26[[#This Row],[Preço (R$)]]="",tVerao26[[#This Row],[Custo (R$)]]=""),"",(tVerao26[[#This Row],[Preço (R$)]]-tVerao26[[#This Row],[Custo (R$)]])/tVerao26[[#This Row],[Preço (R$)]])</f>
        <v>0.62983174170077305</v>
      </c>
      <c r="K172" s="5" t="s">
        <v>1153</v>
      </c>
      <c r="L172" s="28" t="s">
        <v>101</v>
      </c>
      <c r="M172" s="10">
        <v>45927</v>
      </c>
      <c r="N172" s="5" t="s">
        <v>1154</v>
      </c>
      <c r="O172" s="9" t="s">
        <v>49</v>
      </c>
    </row>
    <row r="173" spans="1:15">
      <c r="A17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VLT-MOL-013-MRR-M</v>
      </c>
      <c r="B173" s="5" t="s">
        <v>1155</v>
      </c>
      <c r="C173" s="9" t="s">
        <v>1151</v>
      </c>
      <c r="D173" s="5" t="s">
        <v>1152</v>
      </c>
      <c r="E173" s="5" t="s">
        <v>98</v>
      </c>
      <c r="F173" s="5" t="s">
        <v>87</v>
      </c>
      <c r="G173" s="9" t="s">
        <v>54</v>
      </c>
      <c r="H173" s="11">
        <v>219.9</v>
      </c>
      <c r="I173" s="11">
        <v>79.45</v>
      </c>
      <c r="J173" s="12">
        <f>IF(OR(tVerao26[[#This Row],[Preço (R$)]]="",tVerao26[[#This Row],[Custo (R$)]]=""),"",(tVerao26[[#This Row],[Preço (R$)]]-tVerao26[[#This Row],[Custo (R$)]])/tVerao26[[#This Row],[Preço (R$)]])</f>
        <v>0.63869940882219178</v>
      </c>
      <c r="K173" s="5" t="s">
        <v>1156</v>
      </c>
      <c r="L173" s="28" t="s">
        <v>101</v>
      </c>
      <c r="M173" s="10">
        <v>45927</v>
      </c>
      <c r="N173" s="5" t="s">
        <v>1154</v>
      </c>
      <c r="O173" s="9" t="s">
        <v>49</v>
      </c>
    </row>
    <row r="174" spans="1:15">
      <c r="A17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VLT-MOL-013-MRR-G</v>
      </c>
      <c r="B174" s="5" t="s">
        <v>1157</v>
      </c>
      <c r="C174" s="9" t="s">
        <v>1151</v>
      </c>
      <c r="D174" s="5" t="s">
        <v>1152</v>
      </c>
      <c r="E174" s="5" t="s">
        <v>98</v>
      </c>
      <c r="F174" s="5" t="s">
        <v>87</v>
      </c>
      <c r="G174" s="9" t="s">
        <v>58</v>
      </c>
      <c r="H174" s="11">
        <v>219.9</v>
      </c>
      <c r="I174" s="11">
        <v>82.1</v>
      </c>
      <c r="J174" s="12">
        <f>IF(OR(tVerao26[[#This Row],[Preço (R$)]]="",tVerao26[[#This Row],[Custo (R$)]]=""),"",(tVerao26[[#This Row],[Preço (R$)]]-tVerao26[[#This Row],[Custo (R$)]])/tVerao26[[#This Row],[Preço (R$)]])</f>
        <v>0.62664847658026379</v>
      </c>
      <c r="K174" s="5" t="s">
        <v>1158</v>
      </c>
      <c r="L174" s="28" t="s">
        <v>101</v>
      </c>
      <c r="M174" s="10">
        <v>45927</v>
      </c>
      <c r="N174" s="5" t="s">
        <v>1154</v>
      </c>
      <c r="O174" s="9" t="s">
        <v>49</v>
      </c>
    </row>
    <row r="175" spans="1:15">
      <c r="A17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VLT-MOL-013-MRR-GG</v>
      </c>
      <c r="B175" s="5" t="s">
        <v>1159</v>
      </c>
      <c r="C175" s="9" t="s">
        <v>1151</v>
      </c>
      <c r="D175" s="5" t="s">
        <v>1152</v>
      </c>
      <c r="E175" s="5" t="s">
        <v>98</v>
      </c>
      <c r="F175" s="5" t="s">
        <v>87</v>
      </c>
      <c r="G175" s="9" t="s">
        <v>61</v>
      </c>
      <c r="H175" s="11">
        <v>219.9</v>
      </c>
      <c r="I175" s="11">
        <v>79.989999999999995</v>
      </c>
      <c r="J175" s="12">
        <f>IF(OR(tVerao26[[#This Row],[Preço (R$)]]="",tVerao26[[#This Row],[Custo (R$)]]=""),"",(tVerao26[[#This Row],[Preço (R$)]]-tVerao26[[#This Row],[Custo (R$)]])/tVerao26[[#This Row],[Preço (R$)]])</f>
        <v>0.63624374715779908</v>
      </c>
      <c r="K175" s="5" t="s">
        <v>1160</v>
      </c>
      <c r="L175" s="28" t="s">
        <v>101</v>
      </c>
      <c r="M175" s="10">
        <v>45927</v>
      </c>
      <c r="N175" s="5" t="s">
        <v>1154</v>
      </c>
      <c r="O175" s="9" t="s">
        <v>49</v>
      </c>
    </row>
    <row r="176" spans="1:15">
      <c r="A17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VLT-CMS-014-AMA-XP</v>
      </c>
      <c r="B176" s="5" t="s">
        <v>1161</v>
      </c>
      <c r="C176" s="9" t="s">
        <v>1162</v>
      </c>
      <c r="D176" s="5" t="s">
        <v>1163</v>
      </c>
      <c r="E176" s="5" t="s">
        <v>67</v>
      </c>
      <c r="F176" s="5" t="s">
        <v>99</v>
      </c>
      <c r="G176" s="9" t="s">
        <v>45</v>
      </c>
      <c r="H176" s="11">
        <v>259.89999999999998</v>
      </c>
      <c r="I176" s="11">
        <v>121.38</v>
      </c>
      <c r="J176" s="12">
        <f>IF(OR(tVerao26[[#This Row],[Preço (R$)]]="",tVerao26[[#This Row],[Custo (R$)]]=""),"",(tVerao26[[#This Row],[Preço (R$)]]-tVerao26[[#This Row],[Custo (R$)]])/tVerao26[[#This Row],[Preço (R$)]])</f>
        <v>0.53297422085417467</v>
      </c>
      <c r="K176" s="5" t="s">
        <v>1164</v>
      </c>
      <c r="L176" s="28" t="s">
        <v>47</v>
      </c>
      <c r="M176" s="10">
        <v>45967</v>
      </c>
      <c r="N176" s="5" t="s">
        <v>1165</v>
      </c>
      <c r="O176" s="9" t="s">
        <v>49</v>
      </c>
    </row>
    <row r="177" spans="1:15">
      <c r="A17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VLT-CMS-014-AMA-P</v>
      </c>
      <c r="B177" s="5" t="s">
        <v>1166</v>
      </c>
      <c r="C177" s="9" t="s">
        <v>1162</v>
      </c>
      <c r="D177" s="5" t="s">
        <v>1163</v>
      </c>
      <c r="E177" s="5" t="s">
        <v>67</v>
      </c>
      <c r="F177" s="5" t="s">
        <v>99</v>
      </c>
      <c r="G177" s="9" t="s">
        <v>51</v>
      </c>
      <c r="H177" s="11">
        <v>259.89999999999998</v>
      </c>
      <c r="I177" s="11">
        <v>120.04</v>
      </c>
      <c r="J177" s="12">
        <f>IF(OR(tVerao26[[#This Row],[Preço (R$)]]="",tVerao26[[#This Row],[Custo (R$)]]=""),"",(tVerao26[[#This Row],[Preço (R$)]]-tVerao26[[#This Row],[Custo (R$)]])/tVerao26[[#This Row],[Preço (R$)]])</f>
        <v>0.53813005001923808</v>
      </c>
      <c r="K177" s="5" t="s">
        <v>1167</v>
      </c>
      <c r="L177" s="28" t="s">
        <v>47</v>
      </c>
      <c r="M177" s="10">
        <v>45967</v>
      </c>
      <c r="N177" s="5" t="s">
        <v>1165</v>
      </c>
      <c r="O177" s="9" t="s">
        <v>49</v>
      </c>
    </row>
    <row r="178" spans="1:15">
      <c r="A17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VLT-CMS-014-AMA-M</v>
      </c>
      <c r="B178" s="5" t="s">
        <v>1168</v>
      </c>
      <c r="C178" s="9" t="s">
        <v>1162</v>
      </c>
      <c r="D178" s="5" t="s">
        <v>1163</v>
      </c>
      <c r="E178" s="5" t="s">
        <v>67</v>
      </c>
      <c r="F178" s="5" t="s">
        <v>99</v>
      </c>
      <c r="G178" s="9" t="s">
        <v>54</v>
      </c>
      <c r="H178" s="11">
        <v>259.89999999999998</v>
      </c>
      <c r="I178" s="11">
        <v>118.17</v>
      </c>
      <c r="J178" s="12">
        <f>IF(OR(tVerao26[[#This Row],[Preço (R$)]]="",tVerao26[[#This Row],[Custo (R$)]]=""),"",(tVerao26[[#This Row],[Preço (R$)]]-tVerao26[[#This Row],[Custo (R$)]])/tVerao26[[#This Row],[Preço (R$)]])</f>
        <v>0.54532512504809527</v>
      </c>
      <c r="K178" s="5" t="s">
        <v>1169</v>
      </c>
      <c r="L178" s="28" t="s">
        <v>47</v>
      </c>
      <c r="M178" s="10">
        <v>45967</v>
      </c>
      <c r="N178" s="5" t="s">
        <v>1165</v>
      </c>
      <c r="O178" s="9" t="s">
        <v>49</v>
      </c>
    </row>
    <row r="179" spans="1:15">
      <c r="A17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VLT-CMS-014-AMA-G</v>
      </c>
      <c r="B179" s="5" t="s">
        <v>1170</v>
      </c>
      <c r="C179" s="9" t="s">
        <v>1162</v>
      </c>
      <c r="D179" s="5" t="s">
        <v>1163</v>
      </c>
      <c r="E179" s="5" t="s">
        <v>67</v>
      </c>
      <c r="F179" s="5" t="s">
        <v>99</v>
      </c>
      <c r="G179" s="9" t="s">
        <v>58</v>
      </c>
      <c r="H179" s="11">
        <v>259.89999999999998</v>
      </c>
      <c r="I179" s="11">
        <v>116</v>
      </c>
      <c r="J179" s="12">
        <f>IF(OR(tVerao26[[#This Row],[Preço (R$)]]="",tVerao26[[#This Row],[Custo (R$)]]=""),"",(tVerao26[[#This Row],[Preço (R$)]]-tVerao26[[#This Row],[Custo (R$)]])/tVerao26[[#This Row],[Preço (R$)]])</f>
        <v>0.55367449018853399</v>
      </c>
      <c r="K179" s="5" t="s">
        <v>1171</v>
      </c>
      <c r="L179" s="28" t="s">
        <v>47</v>
      </c>
      <c r="M179" s="10">
        <v>45967</v>
      </c>
      <c r="N179" s="5" t="s">
        <v>1165</v>
      </c>
      <c r="O179" s="9" t="s">
        <v>49</v>
      </c>
    </row>
    <row r="180" spans="1:15">
      <c r="A18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VLT-CMS-014-AMA-GG</v>
      </c>
      <c r="B180" s="5" t="s">
        <v>1172</v>
      </c>
      <c r="C180" s="9" t="s">
        <v>1162</v>
      </c>
      <c r="D180" s="5" t="s">
        <v>1163</v>
      </c>
      <c r="E180" s="5" t="s">
        <v>67</v>
      </c>
      <c r="F180" s="5" t="s">
        <v>99</v>
      </c>
      <c r="G180" s="9" t="s">
        <v>61</v>
      </c>
      <c r="H180" s="11">
        <v>259.89999999999998</v>
      </c>
      <c r="I180" s="11">
        <v>122.02</v>
      </c>
      <c r="J180" s="12">
        <f>IF(OR(tVerao26[[#This Row],[Preço (R$)]]="",tVerao26[[#This Row],[Custo (R$)]]=""),"",(tVerao26[[#This Row],[Preço (R$)]]-tVerao26[[#This Row],[Custo (R$)]])/tVerao26[[#This Row],[Preço (R$)]])</f>
        <v>0.53051173528280116</v>
      </c>
      <c r="K180" s="5" t="s">
        <v>1173</v>
      </c>
      <c r="L180" s="28" t="s">
        <v>47</v>
      </c>
      <c r="M180" s="10">
        <v>45967</v>
      </c>
      <c r="N180" s="5" t="s">
        <v>1165</v>
      </c>
      <c r="O180" s="9" t="s">
        <v>49</v>
      </c>
    </row>
    <row r="181" spans="1:15">
      <c r="A18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VLT-VES-011-OFF-P</v>
      </c>
      <c r="B181" s="5" t="s">
        <v>1174</v>
      </c>
      <c r="C181" s="9" t="s">
        <v>1175</v>
      </c>
      <c r="D181" s="5" t="s">
        <v>1176</v>
      </c>
      <c r="E181" s="5" t="s">
        <v>107</v>
      </c>
      <c r="F181" s="5" t="s">
        <v>117</v>
      </c>
      <c r="G181" s="9" t="s">
        <v>51</v>
      </c>
      <c r="H181" s="31">
        <v>339.9</v>
      </c>
      <c r="I181" s="11">
        <v>159.9</v>
      </c>
      <c r="J181" s="12">
        <f>IF(OR(tVerao26[[#This Row],[Preço (R$)]]="",tVerao26[[#This Row],[Custo (R$)]]=""),"",(tVerao26[[#This Row],[Preço (R$)]]-tVerao26[[#This Row],[Custo (R$)]])/tVerao26[[#This Row],[Preço (R$)]])</f>
        <v>0.52956751985878192</v>
      </c>
      <c r="K181" s="5" t="s">
        <v>1177</v>
      </c>
      <c r="L181" s="28" t="s">
        <v>109</v>
      </c>
      <c r="M181" s="10">
        <v>45965</v>
      </c>
      <c r="N181" s="5" t="s">
        <v>1178</v>
      </c>
      <c r="O181" s="9" t="s">
        <v>49</v>
      </c>
    </row>
    <row r="182" spans="1:15">
      <c r="A18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VLT-VES-011-OFF-M</v>
      </c>
      <c r="B182" s="5" t="s">
        <v>1179</v>
      </c>
      <c r="C182" s="9" t="s">
        <v>1175</v>
      </c>
      <c r="D182" s="5" t="s">
        <v>1176</v>
      </c>
      <c r="E182" s="5" t="s">
        <v>107</v>
      </c>
      <c r="F182" s="5" t="s">
        <v>117</v>
      </c>
      <c r="G182" s="9" t="s">
        <v>54</v>
      </c>
      <c r="H182" s="31">
        <v>339.9</v>
      </c>
      <c r="I182" s="11">
        <v>166.38</v>
      </c>
      <c r="J182" s="12">
        <f>IF(OR(tVerao26[[#This Row],[Preço (R$)]]="",tVerao26[[#This Row],[Custo (R$)]]=""),"",(tVerao26[[#This Row],[Preço (R$)]]-tVerao26[[#This Row],[Custo (R$)]])/tVerao26[[#This Row],[Preço (R$)]])</f>
        <v>0.51050308914386577</v>
      </c>
      <c r="K182" s="5" t="s">
        <v>1180</v>
      </c>
      <c r="L182" s="28" t="s">
        <v>109</v>
      </c>
      <c r="M182" s="10">
        <v>45965</v>
      </c>
      <c r="N182" s="5" t="s">
        <v>1178</v>
      </c>
      <c r="O182" s="9" t="s">
        <v>49</v>
      </c>
    </row>
    <row r="183" spans="1:15">
      <c r="A18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VLT-VES-011-OFF-G</v>
      </c>
      <c r="B183" s="5" t="s">
        <v>1181</v>
      </c>
      <c r="C183" s="9" t="s">
        <v>1175</v>
      </c>
      <c r="D183" s="5" t="s">
        <v>1176</v>
      </c>
      <c r="E183" s="5" t="s">
        <v>107</v>
      </c>
      <c r="F183" s="5" t="s">
        <v>117</v>
      </c>
      <c r="G183" s="9" t="s">
        <v>58</v>
      </c>
      <c r="H183" s="31">
        <v>339.9</v>
      </c>
      <c r="I183" s="11">
        <v>159.29</v>
      </c>
      <c r="J183" s="12">
        <f>IF(OR(tVerao26[[#This Row],[Preço (R$)]]="",tVerao26[[#This Row],[Custo (R$)]]=""),"",(tVerao26[[#This Row],[Preço (R$)]]-tVerao26[[#This Row],[Custo (R$)]])/tVerao26[[#This Row],[Preço (R$)]])</f>
        <v>0.53136216534274783</v>
      </c>
      <c r="K183" s="5" t="s">
        <v>1182</v>
      </c>
      <c r="L183" s="28" t="s">
        <v>109</v>
      </c>
      <c r="M183" s="10">
        <v>45965</v>
      </c>
      <c r="N183" s="5" t="s">
        <v>1178</v>
      </c>
      <c r="O183" s="9" t="s">
        <v>49</v>
      </c>
    </row>
    <row r="184" spans="1:15">
      <c r="A18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VLT-SAI-010-CIN-P</v>
      </c>
      <c r="B184" s="5" t="s">
        <v>1183</v>
      </c>
      <c r="C184" s="9" t="s">
        <v>1184</v>
      </c>
      <c r="D184" s="5" t="s">
        <v>1185</v>
      </c>
      <c r="E184" s="5" t="s">
        <v>116</v>
      </c>
      <c r="F184" s="5" t="s">
        <v>164</v>
      </c>
      <c r="G184" s="9" t="s">
        <v>51</v>
      </c>
      <c r="H184" s="11">
        <v>139.9</v>
      </c>
      <c r="I184" s="11"/>
      <c r="J184" s="12" t="str">
        <f>IF(OR(tVerao26[[#This Row],[Preço (R$)]]="",tVerao26[[#This Row],[Custo (R$)]]=""),"",(tVerao26[[#This Row],[Preço (R$)]]-tVerao26[[#This Row],[Custo (R$)]])/tVerao26[[#This Row],[Preço (R$)]])</f>
        <v/>
      </c>
      <c r="K184" s="5" t="s">
        <v>1186</v>
      </c>
      <c r="L184" s="28" t="s">
        <v>70</v>
      </c>
      <c r="M184" s="10">
        <v>45927</v>
      </c>
      <c r="N184" s="5" t="s">
        <v>696</v>
      </c>
      <c r="O184" s="9" t="s">
        <v>71</v>
      </c>
    </row>
    <row r="185" spans="1:15">
      <c r="A18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VLT-SAI-010-CIN-M</v>
      </c>
      <c r="B185" s="5" t="s">
        <v>1187</v>
      </c>
      <c r="C185" s="9" t="s">
        <v>1184</v>
      </c>
      <c r="D185" s="5" t="s">
        <v>1185</v>
      </c>
      <c r="E185" s="5" t="s">
        <v>116</v>
      </c>
      <c r="F185" s="5" t="s">
        <v>164</v>
      </c>
      <c r="G185" s="9" t="s">
        <v>54</v>
      </c>
      <c r="H185" s="11">
        <v>139.9</v>
      </c>
      <c r="I185" s="11">
        <v>63.11</v>
      </c>
      <c r="J185" s="12">
        <f>IF(OR(tVerao26[[#This Row],[Preço (R$)]]="",tVerao26[[#This Row],[Custo (R$)]]=""),"",(tVerao26[[#This Row],[Preço (R$)]]-tVerao26[[#This Row],[Custo (R$)]])/tVerao26[[#This Row],[Preço (R$)]])</f>
        <v>0.54889206576125804</v>
      </c>
      <c r="K185" s="5" t="s">
        <v>1188</v>
      </c>
      <c r="L185" s="28" t="s">
        <v>70</v>
      </c>
      <c r="M185" s="10">
        <v>45927</v>
      </c>
      <c r="N185" s="5" t="s">
        <v>470</v>
      </c>
      <c r="O185" s="9" t="s">
        <v>71</v>
      </c>
    </row>
    <row r="186" spans="1:15">
      <c r="A18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VLT-SAI-010-CIN-G</v>
      </c>
      <c r="B186" s="5" t="s">
        <v>1189</v>
      </c>
      <c r="C186" s="9" t="s">
        <v>1184</v>
      </c>
      <c r="D186" s="5" t="s">
        <v>1185</v>
      </c>
      <c r="E186" s="5" t="s">
        <v>116</v>
      </c>
      <c r="F186" s="5" t="s">
        <v>164</v>
      </c>
      <c r="G186" s="9" t="s">
        <v>58</v>
      </c>
      <c r="H186" s="11">
        <v>139.9</v>
      </c>
      <c r="I186" s="11"/>
      <c r="J186" s="12" t="str">
        <f>IF(OR(tVerao26[[#This Row],[Preço (R$)]]="",tVerao26[[#This Row],[Custo (R$)]]=""),"",(tVerao26[[#This Row],[Preço (R$)]]-tVerao26[[#This Row],[Custo (R$)]])/tVerao26[[#This Row],[Preço (R$)]])</f>
        <v/>
      </c>
      <c r="K186" s="5" t="s">
        <v>1190</v>
      </c>
      <c r="L186" s="28" t="s">
        <v>70</v>
      </c>
      <c r="M186" s="10">
        <v>45927</v>
      </c>
      <c r="N186" s="5" t="s">
        <v>470</v>
      </c>
      <c r="O186" s="9" t="s">
        <v>71</v>
      </c>
    </row>
    <row r="187" spans="1:15">
      <c r="A18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VLT-SAI-010-CIN-GG</v>
      </c>
      <c r="B187" s="5" t="s">
        <v>1191</v>
      </c>
      <c r="C187" s="9" t="s">
        <v>1184</v>
      </c>
      <c r="D187" s="5" t="s">
        <v>1185</v>
      </c>
      <c r="E187" s="5" t="s">
        <v>116</v>
      </c>
      <c r="F187" s="5" t="s">
        <v>164</v>
      </c>
      <c r="G187" s="9" t="s">
        <v>61</v>
      </c>
      <c r="H187" s="11">
        <v>139.9</v>
      </c>
      <c r="I187" s="11">
        <v>66.22</v>
      </c>
      <c r="J187" s="12">
        <f>IF(OR(tVerao26[[#This Row],[Preço (R$)]]="",tVerao26[[#This Row],[Custo (R$)]]=""),"",(tVerao26[[#This Row],[Preço (R$)]]-tVerao26[[#This Row],[Custo (R$)]])/tVerao26[[#This Row],[Preço (R$)]])</f>
        <v>0.52666190135811297</v>
      </c>
      <c r="K187" s="5" t="s">
        <v>1192</v>
      </c>
      <c r="L187" s="28" t="s">
        <v>70</v>
      </c>
      <c r="M187" s="10">
        <v>45927</v>
      </c>
      <c r="N187" s="5" t="s">
        <v>470</v>
      </c>
      <c r="O187" s="9" t="s">
        <v>71</v>
      </c>
    </row>
    <row r="188" spans="1:15">
      <c r="A18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VLT-CAM-020-AMA-P</v>
      </c>
      <c r="B188" s="5" t="s">
        <v>1193</v>
      </c>
      <c r="C188" s="9" t="s">
        <v>1194</v>
      </c>
      <c r="D188" s="5" t="s">
        <v>1195</v>
      </c>
      <c r="E188" s="5" t="s">
        <v>128</v>
      </c>
      <c r="F188" s="5" t="s">
        <v>99</v>
      </c>
      <c r="G188" s="9" t="s">
        <v>51</v>
      </c>
      <c r="H188" s="11">
        <v>89.9</v>
      </c>
      <c r="I188" s="11">
        <v>38.979999999999997</v>
      </c>
      <c r="J188" s="12">
        <f>IF(OR(tVerao26[[#This Row],[Preço (R$)]]="",tVerao26[[#This Row],[Custo (R$)]]=""),"",(tVerao26[[#This Row],[Preço (R$)]]-tVerao26[[#This Row],[Custo (R$)]])/tVerao26[[#This Row],[Preço (R$)]])</f>
        <v>0.56640711902113461</v>
      </c>
      <c r="K188" s="5" t="s">
        <v>1196</v>
      </c>
      <c r="L188" s="28" t="s">
        <v>101</v>
      </c>
      <c r="M188" s="10">
        <v>45952</v>
      </c>
      <c r="N188" s="5" t="s">
        <v>470</v>
      </c>
      <c r="O188" s="9" t="s">
        <v>49</v>
      </c>
    </row>
    <row r="189" spans="1:15">
      <c r="A18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VLT-CAM-020-AMA-M</v>
      </c>
      <c r="B189" s="5" t="s">
        <v>1197</v>
      </c>
      <c r="C189" s="9" t="s">
        <v>1194</v>
      </c>
      <c r="D189" s="5" t="s">
        <v>1195</v>
      </c>
      <c r="E189" s="5" t="s">
        <v>128</v>
      </c>
      <c r="F189" s="5" t="s">
        <v>99</v>
      </c>
      <c r="G189" s="9" t="s">
        <v>54</v>
      </c>
      <c r="H189" s="11">
        <v>89.9</v>
      </c>
      <c r="I189" s="11">
        <v>38.81</v>
      </c>
      <c r="J189" s="12">
        <f>IF(OR(tVerao26[[#This Row],[Preço (R$)]]="",tVerao26[[#This Row],[Custo (R$)]]=""),"",(tVerao26[[#This Row],[Preço (R$)]]-tVerao26[[#This Row],[Custo (R$)]])/tVerao26[[#This Row],[Preço (R$)]])</f>
        <v>0.5682981090100111</v>
      </c>
      <c r="K189" s="5" t="s">
        <v>1198</v>
      </c>
      <c r="L189" s="28" t="s">
        <v>101</v>
      </c>
      <c r="M189" s="10">
        <v>45952</v>
      </c>
      <c r="N189" s="5" t="s">
        <v>470</v>
      </c>
      <c r="O189" s="9" t="s">
        <v>49</v>
      </c>
    </row>
    <row r="190" spans="1:15">
      <c r="A19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VLT-CAM-020-AMA-G</v>
      </c>
      <c r="B190" s="5" t="s">
        <v>1199</v>
      </c>
      <c r="C190" s="9" t="s">
        <v>1194</v>
      </c>
      <c r="D190" s="5" t="s">
        <v>1195</v>
      </c>
      <c r="E190" s="5" t="s">
        <v>128</v>
      </c>
      <c r="F190" s="5" t="s">
        <v>99</v>
      </c>
      <c r="G190" s="9" t="s">
        <v>58</v>
      </c>
      <c r="H190" s="11">
        <v>89.9</v>
      </c>
      <c r="I190" s="11">
        <v>38.78</v>
      </c>
      <c r="J190" s="12">
        <f>IF(OR(tVerao26[[#This Row],[Preço (R$)]]="",tVerao26[[#This Row],[Custo (R$)]]=""),"",(tVerao26[[#This Row],[Preço (R$)]]-tVerao26[[#This Row],[Custo (R$)]])/tVerao26[[#This Row],[Preço (R$)]])</f>
        <v>0.56863181312569522</v>
      </c>
      <c r="K190" s="5" t="s">
        <v>1200</v>
      </c>
      <c r="L190" s="28" t="s">
        <v>101</v>
      </c>
      <c r="M190" s="10">
        <v>45952</v>
      </c>
      <c r="N190" s="5" t="s">
        <v>470</v>
      </c>
      <c r="O190" s="9" t="s">
        <v>49</v>
      </c>
    </row>
    <row r="191" spans="1:15">
      <c r="A19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VLT-CAM-020-AMA-GG</v>
      </c>
      <c r="B191" s="5" t="s">
        <v>1201</v>
      </c>
      <c r="C191" s="9" t="s">
        <v>1194</v>
      </c>
      <c r="D191" s="5" t="s">
        <v>1195</v>
      </c>
      <c r="E191" s="5" t="s">
        <v>128</v>
      </c>
      <c r="F191" s="5" t="s">
        <v>99</v>
      </c>
      <c r="G191" s="9" t="s">
        <v>61</v>
      </c>
      <c r="H191" s="11">
        <v>89.9</v>
      </c>
      <c r="I191" s="11">
        <v>39.06</v>
      </c>
      <c r="J191" s="12">
        <f>IF(OR(tVerao26[[#This Row],[Preço (R$)]]="",tVerao26[[#This Row],[Custo (R$)]]=""),"",(tVerao26[[#This Row],[Preço (R$)]]-tVerao26[[#This Row],[Custo (R$)]])/tVerao26[[#This Row],[Preço (R$)]])</f>
        <v>0.56551724137931036</v>
      </c>
      <c r="K191" s="5" t="s">
        <v>1202</v>
      </c>
      <c r="L191" s="28" t="s">
        <v>101</v>
      </c>
      <c r="M191" s="10">
        <v>45952</v>
      </c>
      <c r="N191" s="5" t="s">
        <v>470</v>
      </c>
      <c r="O191" s="9" t="s">
        <v>49</v>
      </c>
    </row>
    <row r="192" spans="1:15">
      <c r="A19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VLT-CAM-020-LIL-P</v>
      </c>
      <c r="B192" s="5" t="s">
        <v>1203</v>
      </c>
      <c r="C192" s="9" t="s">
        <v>1194</v>
      </c>
      <c r="D192" s="5" t="s">
        <v>1195</v>
      </c>
      <c r="E192" s="5" t="s">
        <v>128</v>
      </c>
      <c r="F192" s="5" t="s">
        <v>203</v>
      </c>
      <c r="G192" s="9" t="s">
        <v>51</v>
      </c>
      <c r="H192" s="11">
        <v>89.9</v>
      </c>
      <c r="I192" s="11">
        <v>38.71</v>
      </c>
      <c r="J192" s="12">
        <f>IF(OR(tVerao26[[#This Row],[Preço (R$)]]="",tVerao26[[#This Row],[Custo (R$)]]=""),"",(tVerao26[[#This Row],[Preço (R$)]]-tVerao26[[#This Row],[Custo (R$)]])/tVerao26[[#This Row],[Preço (R$)]])</f>
        <v>0.56941045606229146</v>
      </c>
      <c r="K192" s="5" t="s">
        <v>1204</v>
      </c>
      <c r="L192" s="28" t="s">
        <v>101</v>
      </c>
      <c r="M192" s="10">
        <v>45952</v>
      </c>
      <c r="N192" s="5" t="s">
        <v>470</v>
      </c>
      <c r="O192" s="9" t="s">
        <v>49</v>
      </c>
    </row>
    <row r="193" spans="1:15">
      <c r="A19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VLT-CAM-020-LIL-M</v>
      </c>
      <c r="B193" s="5" t="s">
        <v>1205</v>
      </c>
      <c r="C193" s="9" t="s">
        <v>1194</v>
      </c>
      <c r="D193" s="5" t="s">
        <v>1195</v>
      </c>
      <c r="E193" s="5" t="s">
        <v>128</v>
      </c>
      <c r="F193" s="5" t="s">
        <v>203</v>
      </c>
      <c r="G193" s="9" t="s">
        <v>54</v>
      </c>
      <c r="H193" s="11">
        <v>89.9</v>
      </c>
      <c r="I193" s="11">
        <v>38.47</v>
      </c>
      <c r="J193" s="12">
        <f>IF(OR(tVerao26[[#This Row],[Preço (R$)]]="",tVerao26[[#This Row],[Custo (R$)]]=""),"",(tVerao26[[#This Row],[Preço (R$)]]-tVerao26[[#This Row],[Custo (R$)]])/tVerao26[[#This Row],[Preço (R$)]])</f>
        <v>0.57208008898776419</v>
      </c>
      <c r="K193" s="5" t="s">
        <v>1206</v>
      </c>
      <c r="L193" s="28" t="s">
        <v>101</v>
      </c>
      <c r="M193" s="10">
        <v>45952</v>
      </c>
      <c r="N193" s="5" t="s">
        <v>470</v>
      </c>
      <c r="O193" s="9" t="s">
        <v>49</v>
      </c>
    </row>
    <row r="194" spans="1:15">
      <c r="A19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VLT-CAM-020-LIL-G</v>
      </c>
      <c r="B194" s="5" t="s">
        <v>1207</v>
      </c>
      <c r="C194" s="9" t="s">
        <v>1194</v>
      </c>
      <c r="D194" s="5" t="s">
        <v>1195</v>
      </c>
      <c r="E194" s="5" t="s">
        <v>128</v>
      </c>
      <c r="F194" s="5" t="s">
        <v>203</v>
      </c>
      <c r="G194" s="9" t="s">
        <v>58</v>
      </c>
      <c r="H194" s="11">
        <v>89.9</v>
      </c>
      <c r="I194" s="11">
        <v>38.93</v>
      </c>
      <c r="J194" s="12">
        <f>IF(OR(tVerao26[[#This Row],[Preço (R$)]]="",tVerao26[[#This Row],[Custo (R$)]]=""),"",(tVerao26[[#This Row],[Preço (R$)]]-tVerao26[[#This Row],[Custo (R$)]])/tVerao26[[#This Row],[Preço (R$)]])</f>
        <v>0.56696329254727473</v>
      </c>
      <c r="K194" s="5" t="s">
        <v>1208</v>
      </c>
      <c r="L194" s="28" t="s">
        <v>101</v>
      </c>
      <c r="M194" s="10">
        <v>45952</v>
      </c>
      <c r="N194" s="5" t="s">
        <v>470</v>
      </c>
      <c r="O194" s="9" t="s">
        <v>49</v>
      </c>
    </row>
    <row r="195" spans="1:15">
      <c r="A19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VLT-CAM-020-LIL-GG</v>
      </c>
      <c r="B195" s="5" t="s">
        <v>1209</v>
      </c>
      <c r="C195" s="9" t="s">
        <v>1194</v>
      </c>
      <c r="D195" s="5" t="s">
        <v>1195</v>
      </c>
      <c r="E195" s="5" t="s">
        <v>128</v>
      </c>
      <c r="F195" s="5" t="s">
        <v>203</v>
      </c>
      <c r="G195" s="9" t="s">
        <v>61</v>
      </c>
      <c r="H195" s="11">
        <v>89.9</v>
      </c>
      <c r="I195" s="11">
        <v>38.04</v>
      </c>
      <c r="J195" s="12">
        <f>IF(OR(tVerao26[[#This Row],[Preço (R$)]]="",tVerao26[[#This Row],[Custo (R$)]]=""),"",(tVerao26[[#This Row],[Preço (R$)]]-tVerao26[[#This Row],[Custo (R$)]])/tVerao26[[#This Row],[Preço (R$)]])</f>
        <v>0.57686318131256953</v>
      </c>
      <c r="K195" s="5" t="s">
        <v>1210</v>
      </c>
      <c r="L195" s="28" t="s">
        <v>101</v>
      </c>
      <c r="M195" s="10">
        <v>45952</v>
      </c>
      <c r="N195" s="5" t="s">
        <v>470</v>
      </c>
      <c r="O195" s="9" t="s">
        <v>49</v>
      </c>
    </row>
    <row r="196" spans="1:15">
      <c r="A19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VLT-BER-010-LIL-P</v>
      </c>
      <c r="B196" s="5" t="s">
        <v>1211</v>
      </c>
      <c r="C196" s="9" t="s">
        <v>1212</v>
      </c>
      <c r="D196" s="5" t="s">
        <v>1213</v>
      </c>
      <c r="E196" s="5" t="s">
        <v>43</v>
      </c>
      <c r="F196" s="5" t="s">
        <v>203</v>
      </c>
      <c r="G196" s="9" t="s">
        <v>51</v>
      </c>
      <c r="H196" s="11">
        <v>149.9</v>
      </c>
      <c r="I196" s="11">
        <v>71.44</v>
      </c>
      <c r="J196" s="12">
        <f>IF(OR(tVerao26[[#This Row],[Preço (R$)]]="",tVerao26[[#This Row],[Custo (R$)]]=""),"",(tVerao26[[#This Row],[Preço (R$)]]-tVerao26[[#This Row],[Custo (R$)]])/tVerao26[[#This Row],[Preço (R$)]])</f>
        <v>0.52341561040693796</v>
      </c>
      <c r="K196" s="5" t="s">
        <v>1214</v>
      </c>
      <c r="L196" s="28" t="s">
        <v>101</v>
      </c>
      <c r="M196" s="10">
        <v>45947</v>
      </c>
      <c r="N196" s="5" t="s">
        <v>862</v>
      </c>
      <c r="O196" s="9" t="s">
        <v>71</v>
      </c>
    </row>
    <row r="197" spans="1:15">
      <c r="A19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VLT-BER-010-LIL-M</v>
      </c>
      <c r="B197" s="5" t="s">
        <v>1215</v>
      </c>
      <c r="C197" s="9" t="s">
        <v>1212</v>
      </c>
      <c r="D197" s="5" t="s">
        <v>1213</v>
      </c>
      <c r="E197" s="5" t="s">
        <v>43</v>
      </c>
      <c r="F197" s="5" t="s">
        <v>203</v>
      </c>
      <c r="G197" s="9" t="s">
        <v>54</v>
      </c>
      <c r="H197" s="11">
        <v>149.9</v>
      </c>
      <c r="I197" s="11">
        <v>71.599999999999994</v>
      </c>
      <c r="J197" s="12">
        <f>IF(OR(tVerao26[[#This Row],[Preço (R$)]]="",tVerao26[[#This Row],[Custo (R$)]]=""),"",(tVerao26[[#This Row],[Preço (R$)]]-tVerao26[[#This Row],[Custo (R$)]])/tVerao26[[#This Row],[Preço (R$)]])</f>
        <v>0.52234823215476989</v>
      </c>
      <c r="K197" s="5" t="s">
        <v>1216</v>
      </c>
      <c r="L197" s="28" t="s">
        <v>101</v>
      </c>
      <c r="M197" s="10">
        <v>45947</v>
      </c>
      <c r="N197" s="5" t="s">
        <v>862</v>
      </c>
      <c r="O197" s="9" t="s">
        <v>71</v>
      </c>
    </row>
    <row r="198" spans="1:15">
      <c r="A19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VLT-BER-010-LIL-G</v>
      </c>
      <c r="B198" s="5" t="s">
        <v>1217</v>
      </c>
      <c r="C198" s="9" t="s">
        <v>1212</v>
      </c>
      <c r="D198" s="5" t="s">
        <v>1213</v>
      </c>
      <c r="E198" s="5" t="s">
        <v>43</v>
      </c>
      <c r="F198" s="5" t="s">
        <v>203</v>
      </c>
      <c r="G198" s="9" t="s">
        <v>58</v>
      </c>
      <c r="H198" s="11">
        <v>149.9</v>
      </c>
      <c r="I198" s="11">
        <v>71.239999999999995</v>
      </c>
      <c r="J198" s="12">
        <f>IF(OR(tVerao26[[#This Row],[Preço (R$)]]="",tVerao26[[#This Row],[Custo (R$)]]=""),"",(tVerao26[[#This Row],[Preço (R$)]]-tVerao26[[#This Row],[Custo (R$)]])/tVerao26[[#This Row],[Preço (R$)]])</f>
        <v>0.52474983322214819</v>
      </c>
      <c r="K198" s="5" t="s">
        <v>1218</v>
      </c>
      <c r="L198" s="28" t="s">
        <v>101</v>
      </c>
      <c r="M198" s="10">
        <v>45947</v>
      </c>
      <c r="N198" s="5" t="s">
        <v>862</v>
      </c>
      <c r="O198" s="9" t="s">
        <v>71</v>
      </c>
    </row>
    <row r="199" spans="1:15">
      <c r="A19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VLT-BER-010-LIL-GG</v>
      </c>
      <c r="B199" s="5" t="s">
        <v>1219</v>
      </c>
      <c r="C199" s="9" t="s">
        <v>1212</v>
      </c>
      <c r="D199" s="5" t="s">
        <v>1213</v>
      </c>
      <c r="E199" s="5" t="s">
        <v>43</v>
      </c>
      <c r="F199" s="5" t="s">
        <v>203</v>
      </c>
      <c r="G199" s="9" t="s">
        <v>61</v>
      </c>
      <c r="H199" s="11">
        <v>149.9</v>
      </c>
      <c r="I199" s="11">
        <v>68.680000000000007</v>
      </c>
      <c r="J199" s="12">
        <f>IF(OR(tVerao26[[#This Row],[Preço (R$)]]="",tVerao26[[#This Row],[Custo (R$)]]=""),"",(tVerao26[[#This Row],[Preço (R$)]]-tVerao26[[#This Row],[Custo (R$)]])/tVerao26[[#This Row],[Preço (R$)]])</f>
        <v>0.54182788525683789</v>
      </c>
      <c r="K199" s="5" t="s">
        <v>1220</v>
      </c>
      <c r="L199" s="28" t="s">
        <v>101</v>
      </c>
      <c r="M199" s="10">
        <v>45947</v>
      </c>
      <c r="N199" s="5" t="s">
        <v>862</v>
      </c>
      <c r="O199" s="9" t="s">
        <v>71</v>
      </c>
    </row>
    <row r="200" spans="1:15">
      <c r="A20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VLT-ACE-011-BRA-U</v>
      </c>
      <c r="B200" s="5" t="s">
        <v>1221</v>
      </c>
      <c r="C200" s="9" t="s">
        <v>1222</v>
      </c>
      <c r="D200" s="5" t="s">
        <v>1223</v>
      </c>
      <c r="E200" s="5" t="s">
        <v>281</v>
      </c>
      <c r="F200" s="5" t="s">
        <v>77</v>
      </c>
      <c r="G200" s="9" t="s">
        <v>282</v>
      </c>
      <c r="H200" s="31">
        <v>119.9</v>
      </c>
      <c r="I200" s="11">
        <v>56.81</v>
      </c>
      <c r="J200" s="12">
        <f>IF(OR(tVerao26[[#This Row],[Preço (R$)]]="",tVerao26[[#This Row],[Custo (R$)]]=""),"",(tVerao26[[#This Row],[Preço (R$)]]-tVerao26[[#This Row],[Custo (R$)]])/tVerao26[[#This Row],[Preço (R$)]])</f>
        <v>0.52618849040867388</v>
      </c>
      <c r="K200" s="5" t="s">
        <v>1224</v>
      </c>
      <c r="L200" s="28" t="s">
        <v>79</v>
      </c>
      <c r="M200" s="10">
        <v>45968</v>
      </c>
      <c r="N200" s="5" t="s">
        <v>1225</v>
      </c>
      <c r="O200" s="9" t="s">
        <v>49</v>
      </c>
    </row>
    <row r="201" spans="1:15">
      <c r="A20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VLT-CAL-025-JES-XP</v>
      </c>
      <c r="B201" s="5" t="s">
        <v>1226</v>
      </c>
      <c r="C201" s="9" t="s">
        <v>1227</v>
      </c>
      <c r="D201" s="5" t="s">
        <v>1228</v>
      </c>
      <c r="E201" s="5" t="s">
        <v>86</v>
      </c>
      <c r="F201" s="5" t="s">
        <v>44</v>
      </c>
      <c r="G201" s="9" t="s">
        <v>45</v>
      </c>
      <c r="H201" s="11">
        <v>309.89999999999998</v>
      </c>
      <c r="I201" s="11">
        <v>120.67</v>
      </c>
      <c r="J201" s="12">
        <f>IF(OR(tVerao26[[#This Row],[Preço (R$)]]="",tVerao26[[#This Row],[Custo (R$)]]=""),"",(tVerao26[[#This Row],[Preço (R$)]]-tVerao26[[#This Row],[Custo (R$)]])/tVerao26[[#This Row],[Preço (R$)]])</f>
        <v>0.61061632784769271</v>
      </c>
      <c r="K201" s="5" t="s">
        <v>1229</v>
      </c>
      <c r="L201" s="28" t="s">
        <v>47</v>
      </c>
      <c r="M201" s="10">
        <v>45961</v>
      </c>
      <c r="N201" s="5" t="s">
        <v>470</v>
      </c>
      <c r="O201" s="9" t="s">
        <v>71</v>
      </c>
    </row>
    <row r="202" spans="1:15">
      <c r="A20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VLT-CAL-025-JES-P</v>
      </c>
      <c r="B202" s="5" t="s">
        <v>1230</v>
      </c>
      <c r="C202" s="9" t="s">
        <v>1227</v>
      </c>
      <c r="D202" s="5" t="s">
        <v>1228</v>
      </c>
      <c r="E202" s="5" t="s">
        <v>86</v>
      </c>
      <c r="F202" s="5" t="s">
        <v>44</v>
      </c>
      <c r="G202" s="9" t="s">
        <v>51</v>
      </c>
      <c r="H202" s="11">
        <v>309.89999999999998</v>
      </c>
      <c r="I202" s="11"/>
      <c r="J202" s="12" t="str">
        <f>IF(OR(tVerao26[[#This Row],[Preço (R$)]]="",tVerao26[[#This Row],[Custo (R$)]]=""),"",(tVerao26[[#This Row],[Preço (R$)]]-tVerao26[[#This Row],[Custo (R$)]])/tVerao26[[#This Row],[Preço (R$)]])</f>
        <v/>
      </c>
      <c r="K202" s="5" t="s">
        <v>1231</v>
      </c>
      <c r="L202" s="28" t="s">
        <v>47</v>
      </c>
      <c r="M202" s="10">
        <v>45961</v>
      </c>
      <c r="N202" s="5" t="s">
        <v>696</v>
      </c>
      <c r="O202" s="9" t="s">
        <v>71</v>
      </c>
    </row>
    <row r="203" spans="1:15">
      <c r="A20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VLT-CAL-025-JES-M</v>
      </c>
      <c r="B203" s="5" t="s">
        <v>1232</v>
      </c>
      <c r="C203" s="9" t="s">
        <v>1227</v>
      </c>
      <c r="D203" s="5" t="s">
        <v>1228</v>
      </c>
      <c r="E203" s="5" t="s">
        <v>86</v>
      </c>
      <c r="F203" s="5" t="s">
        <v>44</v>
      </c>
      <c r="G203" s="9" t="s">
        <v>54</v>
      </c>
      <c r="H203" s="11">
        <v>309.89999999999998</v>
      </c>
      <c r="I203" s="11">
        <v>120.67</v>
      </c>
      <c r="J203" s="12">
        <f>IF(OR(tVerao26[[#This Row],[Preço (R$)]]="",tVerao26[[#This Row],[Custo (R$)]]=""),"",(tVerao26[[#This Row],[Preço (R$)]]-tVerao26[[#This Row],[Custo (R$)]])/tVerao26[[#This Row],[Preço (R$)]])</f>
        <v>0.61061632784769271</v>
      </c>
      <c r="K203" s="5" t="s">
        <v>1233</v>
      </c>
      <c r="L203" s="28" t="s">
        <v>47</v>
      </c>
      <c r="M203" s="10">
        <v>45961</v>
      </c>
      <c r="N203" s="5" t="s">
        <v>470</v>
      </c>
      <c r="O203" s="9" t="s">
        <v>71</v>
      </c>
    </row>
    <row r="204" spans="1:15">
      <c r="A20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VLT-CAL-025-JES-G</v>
      </c>
      <c r="B204" s="5" t="s">
        <v>1234</v>
      </c>
      <c r="C204" s="9" t="s">
        <v>1227</v>
      </c>
      <c r="D204" s="5" t="s">
        <v>1228</v>
      </c>
      <c r="E204" s="5" t="s">
        <v>86</v>
      </c>
      <c r="F204" s="5" t="s">
        <v>44</v>
      </c>
      <c r="G204" s="9" t="s">
        <v>58</v>
      </c>
      <c r="H204" s="11">
        <v>309.89999999999998</v>
      </c>
      <c r="I204" s="11">
        <v>114.5</v>
      </c>
      <c r="J204" s="12">
        <f>IF(OR(tVerao26[[#This Row],[Preço (R$)]]="",tVerao26[[#This Row],[Custo (R$)]]=""),"",(tVerao26[[#This Row],[Preço (R$)]]-tVerao26[[#This Row],[Custo (R$)]])/tVerao26[[#This Row],[Preço (R$)]])</f>
        <v>0.63052597612132943</v>
      </c>
      <c r="K204" s="5" t="s">
        <v>1235</v>
      </c>
      <c r="L204" s="28" t="s">
        <v>47</v>
      </c>
      <c r="M204" s="10">
        <v>45961</v>
      </c>
      <c r="N204" s="5" t="s">
        <v>470</v>
      </c>
      <c r="O204" s="9" t="s">
        <v>71</v>
      </c>
    </row>
    <row r="205" spans="1:15">
      <c r="A20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VLT-CAL-025-JES-GG</v>
      </c>
      <c r="B205" s="5" t="s">
        <v>1236</v>
      </c>
      <c r="C205" s="9" t="s">
        <v>1227</v>
      </c>
      <c r="D205" s="5" t="s">
        <v>1228</v>
      </c>
      <c r="E205" s="5" t="s">
        <v>86</v>
      </c>
      <c r="F205" s="5" t="s">
        <v>44</v>
      </c>
      <c r="G205" s="9" t="s">
        <v>61</v>
      </c>
      <c r="H205" s="11">
        <v>309.89999999999998</v>
      </c>
      <c r="I205" s="11"/>
      <c r="J205" s="12" t="str">
        <f>IF(OR(tVerao26[[#This Row],[Preço (R$)]]="",tVerao26[[#This Row],[Custo (R$)]]=""),"",(tVerao26[[#This Row],[Preço (R$)]]-tVerao26[[#This Row],[Custo (R$)]])/tVerao26[[#This Row],[Preço (R$)]])</f>
        <v/>
      </c>
      <c r="K205" s="5" t="s">
        <v>1237</v>
      </c>
      <c r="L205" s="28" t="s">
        <v>47</v>
      </c>
      <c r="M205" s="10">
        <v>45961</v>
      </c>
      <c r="N205" s="5" t="s">
        <v>470</v>
      </c>
      <c r="O205" s="9" t="s">
        <v>71</v>
      </c>
    </row>
    <row r="206" spans="1:15">
      <c r="A20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VLT-SAI-011-CIN-P</v>
      </c>
      <c r="B206" s="5" t="s">
        <v>1238</v>
      </c>
      <c r="C206" s="9" t="s">
        <v>1239</v>
      </c>
      <c r="D206" s="5" t="s">
        <v>1240</v>
      </c>
      <c r="E206" s="5" t="s">
        <v>116</v>
      </c>
      <c r="F206" s="5" t="s">
        <v>164</v>
      </c>
      <c r="G206" s="9" t="s">
        <v>51</v>
      </c>
      <c r="H206" s="11">
        <v>149.9</v>
      </c>
      <c r="I206" s="11">
        <v>72.91</v>
      </c>
      <c r="J206" s="12">
        <f>IF(OR(tVerao26[[#This Row],[Preço (R$)]]="",tVerao26[[#This Row],[Custo (R$)]]=""),"",(tVerao26[[#This Row],[Preço (R$)]]-tVerao26[[#This Row],[Custo (R$)]])/tVerao26[[#This Row],[Preço (R$)]])</f>
        <v>0.51360907271514344</v>
      </c>
      <c r="K206" s="5" t="s">
        <v>1241</v>
      </c>
      <c r="L206" s="28" t="s">
        <v>70</v>
      </c>
      <c r="M206" s="10">
        <v>45963</v>
      </c>
      <c r="N206" s="5" t="s">
        <v>470</v>
      </c>
      <c r="O206" s="9" t="s">
        <v>49</v>
      </c>
    </row>
    <row r="207" spans="1:15">
      <c r="A20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VLT-SAI-011-CIN-M</v>
      </c>
      <c r="B207" s="5" t="s">
        <v>1242</v>
      </c>
      <c r="C207" s="9" t="s">
        <v>1239</v>
      </c>
      <c r="D207" s="5" t="s">
        <v>1240</v>
      </c>
      <c r="E207" s="5" t="s">
        <v>116</v>
      </c>
      <c r="F207" s="5" t="s">
        <v>164</v>
      </c>
      <c r="G207" s="9" t="s">
        <v>54</v>
      </c>
      <c r="H207" s="11">
        <v>149.9</v>
      </c>
      <c r="I207" s="11">
        <v>73.41</v>
      </c>
      <c r="J207" s="12">
        <f>IF(OR(tVerao26[[#This Row],[Preço (R$)]]="",tVerao26[[#This Row],[Custo (R$)]]=""),"",(tVerao26[[#This Row],[Preço (R$)]]-tVerao26[[#This Row],[Custo (R$)]])/tVerao26[[#This Row],[Preço (R$)]])</f>
        <v>0.51027351567711809</v>
      </c>
      <c r="K207" s="5" t="s">
        <v>1243</v>
      </c>
      <c r="L207" s="28" t="s">
        <v>70</v>
      </c>
      <c r="M207" s="10">
        <v>45963</v>
      </c>
      <c r="N207" s="5" t="s">
        <v>470</v>
      </c>
      <c r="O207" s="9" t="s">
        <v>49</v>
      </c>
    </row>
    <row r="208" spans="1:15">
      <c r="A20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VLT-SAI-011-CIN-G</v>
      </c>
      <c r="B208" s="5" t="s">
        <v>1244</v>
      </c>
      <c r="C208" s="9" t="s">
        <v>1239</v>
      </c>
      <c r="D208" s="5" t="s">
        <v>1240</v>
      </c>
      <c r="E208" s="5" t="s">
        <v>116</v>
      </c>
      <c r="F208" s="5" t="s">
        <v>164</v>
      </c>
      <c r="G208" s="9" t="s">
        <v>58</v>
      </c>
      <c r="H208" s="11">
        <v>149.9</v>
      </c>
      <c r="I208" s="11">
        <v>72.349999999999994</v>
      </c>
      <c r="J208" s="12">
        <f>IF(OR(tVerao26[[#This Row],[Preço (R$)]]="",tVerao26[[#This Row],[Custo (R$)]]=""),"",(tVerao26[[#This Row],[Preço (R$)]]-tVerao26[[#This Row],[Custo (R$)]])/tVerao26[[#This Row],[Preço (R$)]])</f>
        <v>0.51734489659773186</v>
      </c>
      <c r="K208" s="5" t="s">
        <v>1245</v>
      </c>
      <c r="L208" s="28" t="s">
        <v>70</v>
      </c>
      <c r="M208" s="10">
        <v>45963</v>
      </c>
      <c r="N208" s="5" t="s">
        <v>470</v>
      </c>
      <c r="O208" s="9" t="s">
        <v>49</v>
      </c>
    </row>
    <row r="209" spans="1:15">
      <c r="A20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VLT-SAI-011-CIN-GG</v>
      </c>
      <c r="B209" s="5" t="s">
        <v>1246</v>
      </c>
      <c r="C209" s="9" t="s">
        <v>1239</v>
      </c>
      <c r="D209" s="5" t="s">
        <v>1240</v>
      </c>
      <c r="E209" s="5" t="s">
        <v>116</v>
      </c>
      <c r="F209" s="5" t="s">
        <v>164</v>
      </c>
      <c r="G209" s="9" t="s">
        <v>61</v>
      </c>
      <c r="H209" s="11">
        <v>149.9</v>
      </c>
      <c r="I209" s="11">
        <v>72.61</v>
      </c>
      <c r="J209" s="12">
        <f>IF(OR(tVerao26[[#This Row],[Preço (R$)]]="",tVerao26[[#This Row],[Custo (R$)]]=""),"",(tVerao26[[#This Row],[Preço (R$)]]-tVerao26[[#This Row],[Custo (R$)]])/tVerao26[[#This Row],[Preço (R$)]])</f>
        <v>0.51561040693795868</v>
      </c>
      <c r="K209" s="5" t="s">
        <v>1247</v>
      </c>
      <c r="L209" s="28" t="s">
        <v>70</v>
      </c>
      <c r="M209" s="10">
        <v>45963</v>
      </c>
      <c r="N209" s="5" t="s">
        <v>470</v>
      </c>
      <c r="O209" s="9" t="s">
        <v>49</v>
      </c>
    </row>
    <row r="210" spans="1:15">
      <c r="A21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VLT-CAL-004-CIN-XP</v>
      </c>
      <c r="B210" s="5" t="s">
        <v>1248</v>
      </c>
      <c r="C210" s="9" t="s">
        <v>1249</v>
      </c>
      <c r="D210" s="5" t="s">
        <v>1250</v>
      </c>
      <c r="E210" s="5" t="s">
        <v>86</v>
      </c>
      <c r="F210" s="5" t="s">
        <v>164</v>
      </c>
      <c r="G210" s="9" t="s">
        <v>45</v>
      </c>
      <c r="H210" s="11">
        <v>209.9</v>
      </c>
      <c r="I210" s="11">
        <v>68.77</v>
      </c>
      <c r="J210" s="12">
        <f>IF(OR(tVerao26[[#This Row],[Preço (R$)]]="",tVerao26[[#This Row],[Custo (R$)]]=""),"",(tVerao26[[#This Row],[Preço (R$)]]-tVerao26[[#This Row],[Custo (R$)]])/tVerao26[[#This Row],[Preço (R$)]])</f>
        <v>0.67236779418770842</v>
      </c>
      <c r="K210" s="5" t="s">
        <v>1251</v>
      </c>
      <c r="L210" s="28" t="s">
        <v>47</v>
      </c>
      <c r="M210" s="10"/>
      <c r="N210" s="5" t="s">
        <v>470</v>
      </c>
      <c r="O210" s="9" t="s">
        <v>49</v>
      </c>
    </row>
    <row r="211" spans="1:15">
      <c r="A21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VLT-CAL-004-CIN-P</v>
      </c>
      <c r="B211" s="5" t="s">
        <v>1252</v>
      </c>
      <c r="C211" s="9" t="s">
        <v>1249</v>
      </c>
      <c r="D211" s="5" t="s">
        <v>1250</v>
      </c>
      <c r="E211" s="5" t="s">
        <v>86</v>
      </c>
      <c r="F211" s="5" t="s">
        <v>164</v>
      </c>
      <c r="G211" s="9" t="s">
        <v>51</v>
      </c>
      <c r="H211" s="11">
        <v>209.9</v>
      </c>
      <c r="I211" s="11">
        <v>68.77</v>
      </c>
      <c r="J211" s="12">
        <f>IF(OR(tVerao26[[#This Row],[Preço (R$)]]="",tVerao26[[#This Row],[Custo (R$)]]=""),"",(tVerao26[[#This Row],[Preço (R$)]]-tVerao26[[#This Row],[Custo (R$)]])/tVerao26[[#This Row],[Preço (R$)]])</f>
        <v>0.67236779418770842</v>
      </c>
      <c r="K211" s="5" t="s">
        <v>1253</v>
      </c>
      <c r="L211" s="28" t="s">
        <v>47</v>
      </c>
      <c r="M211" s="10"/>
      <c r="N211" s="5" t="s">
        <v>470</v>
      </c>
      <c r="O211" s="9" t="s">
        <v>49</v>
      </c>
    </row>
    <row r="212" spans="1:15">
      <c r="A21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VLT-CAL-004-CIN-M</v>
      </c>
      <c r="B212" s="5" t="s">
        <v>1254</v>
      </c>
      <c r="C212" s="9" t="s">
        <v>1249</v>
      </c>
      <c r="D212" s="5" t="s">
        <v>1250</v>
      </c>
      <c r="E212" s="5" t="s">
        <v>86</v>
      </c>
      <c r="F212" s="5" t="s">
        <v>164</v>
      </c>
      <c r="G212" s="9" t="s">
        <v>54</v>
      </c>
      <c r="H212" s="11">
        <v>209.9</v>
      </c>
      <c r="I212" s="11">
        <v>68.77</v>
      </c>
      <c r="J212" s="12">
        <f>IF(OR(tVerao26[[#This Row],[Preço (R$)]]="",tVerao26[[#This Row],[Custo (R$)]]=""),"",(tVerao26[[#This Row],[Preço (R$)]]-tVerao26[[#This Row],[Custo (R$)]])/tVerao26[[#This Row],[Preço (R$)]])</f>
        <v>0.67236779418770842</v>
      </c>
      <c r="K212" s="5" t="s">
        <v>1255</v>
      </c>
      <c r="L212" s="28" t="s">
        <v>47</v>
      </c>
      <c r="M212" s="10"/>
      <c r="N212" s="5" t="s">
        <v>470</v>
      </c>
      <c r="O212" s="9" t="s">
        <v>49</v>
      </c>
    </row>
    <row r="213" spans="1:15">
      <c r="A21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VLT-CAL-004-CIN-G</v>
      </c>
      <c r="B213" s="5" t="s">
        <v>1256</v>
      </c>
      <c r="C213" s="9" t="s">
        <v>1249</v>
      </c>
      <c r="D213" s="5" t="s">
        <v>1250</v>
      </c>
      <c r="E213" s="5" t="s">
        <v>86</v>
      </c>
      <c r="F213" s="5" t="s">
        <v>164</v>
      </c>
      <c r="G213" s="9" t="s">
        <v>58</v>
      </c>
      <c r="H213" s="11">
        <v>209.9</v>
      </c>
      <c r="I213" s="11">
        <v>68.77</v>
      </c>
      <c r="J213" s="12">
        <f>IF(OR(tVerao26[[#This Row],[Preço (R$)]]="",tVerao26[[#This Row],[Custo (R$)]]=""),"",(tVerao26[[#This Row],[Preço (R$)]]-tVerao26[[#This Row],[Custo (R$)]])/tVerao26[[#This Row],[Preço (R$)]])</f>
        <v>0.67236779418770842</v>
      </c>
      <c r="K213" s="5" t="s">
        <v>1257</v>
      </c>
      <c r="L213" s="28" t="s">
        <v>47</v>
      </c>
      <c r="M213" s="10"/>
      <c r="N213" s="5" t="s">
        <v>470</v>
      </c>
      <c r="O213" s="9" t="s">
        <v>49</v>
      </c>
    </row>
    <row r="214" spans="1:15">
      <c r="A21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VLT-CAL-004-CIN-GG</v>
      </c>
      <c r="B214" s="5" t="s">
        <v>1258</v>
      </c>
      <c r="C214" s="9" t="s">
        <v>1249</v>
      </c>
      <c r="D214" s="5" t="s">
        <v>1250</v>
      </c>
      <c r="E214" s="5" t="s">
        <v>86</v>
      </c>
      <c r="F214" s="5" t="s">
        <v>164</v>
      </c>
      <c r="G214" s="9" t="s">
        <v>61</v>
      </c>
      <c r="H214" s="11">
        <v>209.9</v>
      </c>
      <c r="I214" s="11">
        <v>68.77</v>
      </c>
      <c r="J214" s="12">
        <f>IF(OR(tVerao26[[#This Row],[Preço (R$)]]="",tVerao26[[#This Row],[Custo (R$)]]=""),"",(tVerao26[[#This Row],[Preço (R$)]]-tVerao26[[#This Row],[Custo (R$)]])/tVerao26[[#This Row],[Preço (R$)]])</f>
        <v>0.67236779418770842</v>
      </c>
      <c r="K214" s="5" t="s">
        <v>1259</v>
      </c>
      <c r="L214" s="28" t="s">
        <v>47</v>
      </c>
      <c r="M214" s="10"/>
      <c r="N214" s="5" t="s">
        <v>470</v>
      </c>
      <c r="O214" s="9" t="s">
        <v>49</v>
      </c>
    </row>
    <row r="215" spans="1:15">
      <c r="A21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VLT-CAL-004-CIN-XG</v>
      </c>
      <c r="B215" s="5" t="s">
        <v>1260</v>
      </c>
      <c r="C215" s="9" t="s">
        <v>1249</v>
      </c>
      <c r="D215" s="5" t="s">
        <v>1250</v>
      </c>
      <c r="E215" s="5" t="s">
        <v>86</v>
      </c>
      <c r="F215" s="5" t="s">
        <v>164</v>
      </c>
      <c r="G215" s="9" t="s">
        <v>578</v>
      </c>
      <c r="H215" s="11">
        <v>209.9</v>
      </c>
      <c r="I215" s="11">
        <v>75.09</v>
      </c>
      <c r="J215" s="12">
        <f>IF(OR(tVerao26[[#This Row],[Preço (R$)]]="",tVerao26[[#This Row],[Custo (R$)]]=""),"",(tVerao26[[#This Row],[Preço (R$)]]-tVerao26[[#This Row],[Custo (R$)]])/tVerao26[[#This Row],[Preço (R$)]])</f>
        <v>0.64225821819914242</v>
      </c>
      <c r="K215" s="5" t="s">
        <v>1261</v>
      </c>
      <c r="L215" s="28" t="s">
        <v>47</v>
      </c>
      <c r="M215" s="10"/>
      <c r="N215" s="5" t="s">
        <v>470</v>
      </c>
      <c r="O215" s="9" t="s">
        <v>49</v>
      </c>
    </row>
    <row r="216" spans="1:15">
      <c r="A21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VLT-CAL-004-BEG-XP</v>
      </c>
      <c r="B216" s="5" t="s">
        <v>1262</v>
      </c>
      <c r="C216" s="9" t="s">
        <v>1249</v>
      </c>
      <c r="D216" s="5" t="s">
        <v>1250</v>
      </c>
      <c r="E216" s="5" t="s">
        <v>86</v>
      </c>
      <c r="F216" s="5" t="s">
        <v>299</v>
      </c>
      <c r="G216" s="9" t="s">
        <v>45</v>
      </c>
      <c r="H216" s="11">
        <v>209.9</v>
      </c>
      <c r="I216" s="11">
        <v>75.260000000000005</v>
      </c>
      <c r="J216" s="12">
        <f>IF(OR(tVerao26[[#This Row],[Preço (R$)]]="",tVerao26[[#This Row],[Custo (R$)]]=""),"",(tVerao26[[#This Row],[Preço (R$)]]-tVerao26[[#This Row],[Custo (R$)]])/tVerao26[[#This Row],[Preço (R$)]])</f>
        <v>0.64144830871843728</v>
      </c>
      <c r="K216" s="5" t="s">
        <v>1263</v>
      </c>
      <c r="L216" s="28" t="s">
        <v>47</v>
      </c>
      <c r="M216" s="10"/>
      <c r="N216" s="5" t="s">
        <v>470</v>
      </c>
      <c r="O216" s="9" t="s">
        <v>49</v>
      </c>
    </row>
    <row r="217" spans="1:15">
      <c r="A21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VLT-CAL-004-BEG-P</v>
      </c>
      <c r="B217" s="5" t="s">
        <v>1264</v>
      </c>
      <c r="C217" s="9" t="s">
        <v>1249</v>
      </c>
      <c r="D217" s="5" t="s">
        <v>1250</v>
      </c>
      <c r="E217" s="5" t="s">
        <v>86</v>
      </c>
      <c r="F217" s="5" t="s">
        <v>299</v>
      </c>
      <c r="G217" s="9" t="s">
        <v>51</v>
      </c>
      <c r="H217" s="11">
        <v>209.9</v>
      </c>
      <c r="I217" s="27">
        <v>75.260000000000005</v>
      </c>
      <c r="J217" s="12">
        <f>IF(OR(tVerao26[[#This Row],[Preço (R$)]]="",tVerao26[[#This Row],[Custo (R$)]]=""),"",(tVerao26[[#This Row],[Preço (R$)]]-tVerao26[[#This Row],[Custo (R$)]])/tVerao26[[#This Row],[Preço (R$)]])</f>
        <v>0.64144830871843728</v>
      </c>
      <c r="K217" s="5" t="s">
        <v>1265</v>
      </c>
      <c r="L217" s="28" t="s">
        <v>47</v>
      </c>
      <c r="M217" s="10"/>
      <c r="N217" s="5" t="s">
        <v>1266</v>
      </c>
      <c r="O217" s="9" t="s">
        <v>49</v>
      </c>
    </row>
    <row r="218" spans="1:15">
      <c r="A21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VLT-CAL-004-BEG-M</v>
      </c>
      <c r="B218" s="5" t="s">
        <v>1267</v>
      </c>
      <c r="C218" s="9" t="s">
        <v>1249</v>
      </c>
      <c r="D218" s="5" t="s">
        <v>1250</v>
      </c>
      <c r="E218" s="5" t="s">
        <v>86</v>
      </c>
      <c r="F218" s="5" t="s">
        <v>299</v>
      </c>
      <c r="G218" s="9" t="s">
        <v>54</v>
      </c>
      <c r="H218" s="11">
        <v>209.9</v>
      </c>
      <c r="I218" s="11">
        <v>68.77</v>
      </c>
      <c r="J218" s="12">
        <f>IF(OR(tVerao26[[#This Row],[Preço (R$)]]="",tVerao26[[#This Row],[Custo (R$)]]=""),"",(tVerao26[[#This Row],[Preço (R$)]]-tVerao26[[#This Row],[Custo (R$)]])/tVerao26[[#This Row],[Preço (R$)]])</f>
        <v>0.67236779418770842</v>
      </c>
      <c r="K218" s="5" t="s">
        <v>1268</v>
      </c>
      <c r="L218" s="28" t="s">
        <v>47</v>
      </c>
      <c r="M218" s="10"/>
      <c r="N218" s="5" t="s">
        <v>470</v>
      </c>
      <c r="O218" s="9" t="s">
        <v>49</v>
      </c>
    </row>
    <row r="219" spans="1:15">
      <c r="A21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VLT-CAL-004-BEG-G</v>
      </c>
      <c r="B219" s="5" t="s">
        <v>1269</v>
      </c>
      <c r="C219" s="9" t="s">
        <v>1249</v>
      </c>
      <c r="D219" s="5" t="s">
        <v>1250</v>
      </c>
      <c r="E219" s="5" t="s">
        <v>86</v>
      </c>
      <c r="F219" s="5" t="s">
        <v>299</v>
      </c>
      <c r="G219" s="9" t="s">
        <v>58</v>
      </c>
      <c r="H219" s="11">
        <v>209.9</v>
      </c>
      <c r="I219" s="11">
        <v>74.86</v>
      </c>
      <c r="J219" s="12">
        <f>IF(OR(tVerao26[[#This Row],[Preço (R$)]]="",tVerao26[[#This Row],[Custo (R$)]]=""),"",(tVerao26[[#This Row],[Preço (R$)]]-tVerao26[[#This Row],[Custo (R$)]])/tVerao26[[#This Row],[Preço (R$)]])</f>
        <v>0.64335397808480232</v>
      </c>
      <c r="K219" s="5" t="s">
        <v>1270</v>
      </c>
      <c r="L219" s="28" t="s">
        <v>47</v>
      </c>
      <c r="M219" s="10"/>
      <c r="N219" s="5" t="s">
        <v>470</v>
      </c>
      <c r="O219" s="9" t="s">
        <v>49</v>
      </c>
    </row>
    <row r="220" spans="1:15">
      <c r="A22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VLT-CAL-004-BEG-GG</v>
      </c>
      <c r="B220" s="5" t="s">
        <v>1271</v>
      </c>
      <c r="C220" s="9" t="s">
        <v>1249</v>
      </c>
      <c r="D220" s="5" t="s">
        <v>1250</v>
      </c>
      <c r="E220" s="5" t="s">
        <v>86</v>
      </c>
      <c r="F220" s="5" t="s">
        <v>299</v>
      </c>
      <c r="G220" s="9" t="s">
        <v>61</v>
      </c>
      <c r="H220" s="11">
        <v>209.9</v>
      </c>
      <c r="I220" s="11">
        <v>68.77</v>
      </c>
      <c r="J220" s="12">
        <f>IF(OR(tVerao26[[#This Row],[Preço (R$)]]="",tVerao26[[#This Row],[Custo (R$)]]=""),"",(tVerao26[[#This Row],[Preço (R$)]]-tVerao26[[#This Row],[Custo (R$)]])/tVerao26[[#This Row],[Preço (R$)]])</f>
        <v>0.67236779418770842</v>
      </c>
      <c r="K220" s="5" t="s">
        <v>1272</v>
      </c>
      <c r="L220" s="28" t="s">
        <v>47</v>
      </c>
      <c r="M220" s="10"/>
      <c r="N220" s="5" t="s">
        <v>470</v>
      </c>
      <c r="O220" s="9" t="s">
        <v>49</v>
      </c>
    </row>
    <row r="221" spans="1:15">
      <c r="A22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VLT-CAL-004-BEG-XG</v>
      </c>
      <c r="B221" s="5" t="s">
        <v>1273</v>
      </c>
      <c r="C221" s="9" t="s">
        <v>1249</v>
      </c>
      <c r="D221" s="5" t="s">
        <v>1250</v>
      </c>
      <c r="E221" s="5" t="s">
        <v>86</v>
      </c>
      <c r="F221" s="5" t="s">
        <v>299</v>
      </c>
      <c r="G221" s="9" t="s">
        <v>578</v>
      </c>
      <c r="H221" s="11">
        <v>209.9</v>
      </c>
      <c r="I221" s="11">
        <v>70.87</v>
      </c>
      <c r="J221" s="12">
        <f>IF(OR(tVerao26[[#This Row],[Preço (R$)]]="",tVerao26[[#This Row],[Custo (R$)]]=""),"",(tVerao26[[#This Row],[Preço (R$)]]-tVerao26[[#This Row],[Custo (R$)]])/tVerao26[[#This Row],[Preço (R$)]])</f>
        <v>0.66236303001429253</v>
      </c>
      <c r="K221" s="5" t="s">
        <v>1274</v>
      </c>
      <c r="L221" s="28" t="s">
        <v>47</v>
      </c>
      <c r="M221" s="10"/>
      <c r="N221" s="5" t="s">
        <v>470</v>
      </c>
      <c r="O221" s="9" t="s">
        <v>49</v>
      </c>
    </row>
    <row r="222" spans="1:15">
      <c r="A22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VLT-CAL-005-PRE-XP</v>
      </c>
      <c r="B222" s="5" t="s">
        <v>1275</v>
      </c>
      <c r="C222" s="9" t="s">
        <v>1276</v>
      </c>
      <c r="D222" s="5" t="s">
        <v>1277</v>
      </c>
      <c r="E222" s="5" t="s">
        <v>86</v>
      </c>
      <c r="F222" s="5" t="s">
        <v>251</v>
      </c>
      <c r="G222" s="9" t="s">
        <v>45</v>
      </c>
      <c r="H222" s="11">
        <v>359.9</v>
      </c>
      <c r="I222" s="11">
        <v>125.29</v>
      </c>
      <c r="J222" s="12">
        <f>IF(OR(tVerao26[[#This Row],[Preço (R$)]]="",tVerao26[[#This Row],[Custo (R$)]]=""),"",(tVerao26[[#This Row],[Preço (R$)]]-tVerao26[[#This Row],[Custo (R$)]])/tVerao26[[#This Row],[Preço (R$)]])</f>
        <v>0.65187552097804935</v>
      </c>
      <c r="K222" s="5" t="s">
        <v>1278</v>
      </c>
      <c r="L222" s="28" t="s">
        <v>47</v>
      </c>
      <c r="M222" s="10"/>
      <c r="N222" s="5" t="s">
        <v>470</v>
      </c>
      <c r="O222" s="9" t="s">
        <v>49</v>
      </c>
    </row>
    <row r="223" spans="1:15">
      <c r="A22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VLT-CAL-005-PRE-P</v>
      </c>
      <c r="B223" s="5" t="s">
        <v>1279</v>
      </c>
      <c r="C223" s="9" t="s">
        <v>1276</v>
      </c>
      <c r="D223" s="5" t="s">
        <v>1277</v>
      </c>
      <c r="E223" s="5" t="s">
        <v>86</v>
      </c>
      <c r="F223" s="5" t="s">
        <v>251</v>
      </c>
      <c r="G223" s="9" t="s">
        <v>51</v>
      </c>
      <c r="H223" s="11">
        <v>359.9</v>
      </c>
      <c r="I223" s="27">
        <v>125.29</v>
      </c>
      <c r="J223" s="12">
        <f>IF(OR(tVerao26[[#This Row],[Preço (R$)]]="",tVerao26[[#This Row],[Custo (R$)]]=""),"",(tVerao26[[#This Row],[Preço (R$)]]-tVerao26[[#This Row],[Custo (R$)]])/tVerao26[[#This Row],[Preço (R$)]])</f>
        <v>0.65187552097804935</v>
      </c>
      <c r="K223" s="5" t="s">
        <v>1280</v>
      </c>
      <c r="L223" s="28" t="s">
        <v>47</v>
      </c>
      <c r="M223" s="10"/>
      <c r="N223" s="5" t="s">
        <v>1281</v>
      </c>
      <c r="O223" s="9" t="s">
        <v>49</v>
      </c>
    </row>
    <row r="224" spans="1:15">
      <c r="A22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VLT-CAL-005-PRE-M</v>
      </c>
      <c r="B224" s="5" t="s">
        <v>1282</v>
      </c>
      <c r="C224" s="9" t="s">
        <v>1276</v>
      </c>
      <c r="D224" s="5" t="s">
        <v>1277</v>
      </c>
      <c r="E224" s="5" t="s">
        <v>86</v>
      </c>
      <c r="F224" s="5" t="s">
        <v>251</v>
      </c>
      <c r="G224" s="9" t="s">
        <v>54</v>
      </c>
      <c r="H224" s="11">
        <v>359.9</v>
      </c>
      <c r="I224" s="11">
        <v>126.43</v>
      </c>
      <c r="J224" s="12">
        <f>IF(OR(tVerao26[[#This Row],[Preço (R$)]]="",tVerao26[[#This Row],[Custo (R$)]]=""),"",(tVerao26[[#This Row],[Preço (R$)]]-tVerao26[[#This Row],[Custo (R$)]])/tVerao26[[#This Row],[Preço (R$)]])</f>
        <v>0.64870797443734363</v>
      </c>
      <c r="K224" s="5" t="s">
        <v>1283</v>
      </c>
      <c r="L224" s="28" t="s">
        <v>47</v>
      </c>
      <c r="M224" s="10"/>
      <c r="N224" s="5" t="s">
        <v>470</v>
      </c>
      <c r="O224" s="9" t="s">
        <v>49</v>
      </c>
    </row>
    <row r="225" spans="1:15">
      <c r="A22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VLT-CAL-005-PRE-G</v>
      </c>
      <c r="B225" s="5" t="s">
        <v>1284</v>
      </c>
      <c r="C225" s="9" t="s">
        <v>1276</v>
      </c>
      <c r="D225" s="5" t="s">
        <v>1277</v>
      </c>
      <c r="E225" s="5" t="s">
        <v>86</v>
      </c>
      <c r="F225" s="5" t="s">
        <v>251</v>
      </c>
      <c r="G225" s="9" t="s">
        <v>58</v>
      </c>
      <c r="H225" s="11">
        <v>359.9</v>
      </c>
      <c r="I225" s="11">
        <v>124.87</v>
      </c>
      <c r="J225" s="12">
        <f>IF(OR(tVerao26[[#This Row],[Preço (R$)]]="",tVerao26[[#This Row],[Custo (R$)]]=""),"",(tVerao26[[#This Row],[Preço (R$)]]-tVerao26[[#This Row],[Custo (R$)]])/tVerao26[[#This Row],[Preço (R$)]])</f>
        <v>0.65304251180883577</v>
      </c>
      <c r="K225" s="5" t="s">
        <v>1285</v>
      </c>
      <c r="L225" s="28" t="s">
        <v>47</v>
      </c>
      <c r="M225" s="10"/>
      <c r="N225" s="5" t="s">
        <v>470</v>
      </c>
      <c r="O225" s="9" t="s">
        <v>49</v>
      </c>
    </row>
    <row r="226" spans="1:15">
      <c r="A22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VLT-CAL-005-PRE-GG</v>
      </c>
      <c r="B226" s="5" t="s">
        <v>1286</v>
      </c>
      <c r="C226" s="9" t="s">
        <v>1276</v>
      </c>
      <c r="D226" s="5" t="s">
        <v>1277</v>
      </c>
      <c r="E226" s="5" t="s">
        <v>86</v>
      </c>
      <c r="F226" s="5" t="s">
        <v>251</v>
      </c>
      <c r="G226" s="9" t="s">
        <v>61</v>
      </c>
      <c r="H226" s="11">
        <v>359.9</v>
      </c>
      <c r="I226" s="27">
        <v>124.87</v>
      </c>
      <c r="J226" s="12">
        <f>IF(OR(tVerao26[[#This Row],[Preço (R$)]]="",tVerao26[[#This Row],[Custo (R$)]]=""),"",(tVerao26[[#This Row],[Preço (R$)]]-tVerao26[[#This Row],[Custo (R$)]])/tVerao26[[#This Row],[Preço (R$)]])</f>
        <v>0.65304251180883577</v>
      </c>
      <c r="K226" s="5" t="s">
        <v>1287</v>
      </c>
      <c r="L226" s="28" t="s">
        <v>47</v>
      </c>
      <c r="M226" s="10"/>
      <c r="N226" s="5" t="s">
        <v>1288</v>
      </c>
      <c r="O226" s="9" t="s">
        <v>49</v>
      </c>
    </row>
    <row r="227" spans="1:15">
      <c r="A22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VLT-BER-003-BRA-XP</v>
      </c>
      <c r="B227" s="5" t="s">
        <v>1289</v>
      </c>
      <c r="C227" s="9" t="s">
        <v>1290</v>
      </c>
      <c r="D227" s="5" t="s">
        <v>13</v>
      </c>
      <c r="E227" s="5" t="s">
        <v>43</v>
      </c>
      <c r="F227" s="5" t="s">
        <v>77</v>
      </c>
      <c r="G227" s="9" t="s">
        <v>45</v>
      </c>
      <c r="H227" s="11">
        <v>189.9</v>
      </c>
      <c r="I227" s="11">
        <v>64.98</v>
      </c>
      <c r="J227" s="12">
        <f>IF(OR(tVerao26[[#This Row],[Preço (R$)]]="",tVerao26[[#This Row],[Custo (R$)]]=""),"",(tVerao26[[#This Row],[Preço (R$)]]-tVerao26[[#This Row],[Custo (R$)]])/tVerao26[[#This Row],[Preço (R$)]])</f>
        <v>0.65781990521327016</v>
      </c>
      <c r="K227" s="5" t="s">
        <v>1291</v>
      </c>
      <c r="L227" s="28" t="s">
        <v>47</v>
      </c>
      <c r="M227" s="10"/>
      <c r="N227" s="5" t="s">
        <v>1292</v>
      </c>
      <c r="O227" s="9" t="s">
        <v>49</v>
      </c>
    </row>
    <row r="228" spans="1:15">
      <c r="A22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VLT-BER-003-BRA-P</v>
      </c>
      <c r="B228" s="5" t="s">
        <v>1293</v>
      </c>
      <c r="C228" s="9" t="s">
        <v>1290</v>
      </c>
      <c r="D228" s="5" t="s">
        <v>13</v>
      </c>
      <c r="E228" s="5" t="s">
        <v>43</v>
      </c>
      <c r="F228" s="5" t="s">
        <v>77</v>
      </c>
      <c r="G228" s="9" t="s">
        <v>51</v>
      </c>
      <c r="H228" s="11">
        <v>189.9</v>
      </c>
      <c r="I228" s="11">
        <v>65.22</v>
      </c>
      <c r="J228" s="12">
        <f>IF(OR(tVerao26[[#This Row],[Preço (R$)]]="",tVerao26[[#This Row],[Custo (R$)]]=""),"",(tVerao26[[#This Row],[Preço (R$)]]-tVerao26[[#This Row],[Custo (R$)]])/tVerao26[[#This Row],[Preço (R$)]])</f>
        <v>0.65655608214849925</v>
      </c>
      <c r="K228" s="5" t="s">
        <v>1294</v>
      </c>
      <c r="L228" s="28" t="s">
        <v>47</v>
      </c>
      <c r="M228" s="10"/>
      <c r="N228" s="5" t="s">
        <v>1292</v>
      </c>
      <c r="O228" s="9" t="s">
        <v>49</v>
      </c>
    </row>
    <row r="229" spans="1:15">
      <c r="A22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VLT-BER-003-BRA-M</v>
      </c>
      <c r="B229" s="5" t="s">
        <v>1295</v>
      </c>
      <c r="C229" s="9" t="s">
        <v>1290</v>
      </c>
      <c r="D229" s="5" t="s">
        <v>13</v>
      </c>
      <c r="E229" s="5" t="s">
        <v>43</v>
      </c>
      <c r="F229" s="5" t="s">
        <v>77</v>
      </c>
      <c r="G229" s="9" t="s">
        <v>54</v>
      </c>
      <c r="H229" s="11">
        <v>189.9</v>
      </c>
      <c r="I229" s="11">
        <v>64.67</v>
      </c>
      <c r="J229" s="12">
        <f>IF(OR(tVerao26[[#This Row],[Preço (R$)]]="",tVerao26[[#This Row],[Custo (R$)]]=""),"",(tVerao26[[#This Row],[Preço (R$)]]-tVerao26[[#This Row],[Custo (R$)]])/tVerao26[[#This Row],[Preço (R$)]])</f>
        <v>0.65945234333859926</v>
      </c>
      <c r="K229" s="5" t="s">
        <v>1296</v>
      </c>
      <c r="L229" s="28" t="s">
        <v>47</v>
      </c>
      <c r="M229" s="10"/>
      <c r="N229" s="5" t="s">
        <v>1292</v>
      </c>
      <c r="O229" s="9" t="s">
        <v>49</v>
      </c>
    </row>
    <row r="230" spans="1:15">
      <c r="A23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VLT-BER-003-BRA-G</v>
      </c>
      <c r="B230" s="5" t="s">
        <v>1297</v>
      </c>
      <c r="C230" s="9" t="s">
        <v>1290</v>
      </c>
      <c r="D230" s="5" t="s">
        <v>13</v>
      </c>
      <c r="E230" s="5" t="s">
        <v>43</v>
      </c>
      <c r="F230" s="5" t="s">
        <v>77</v>
      </c>
      <c r="G230" s="9" t="s">
        <v>58</v>
      </c>
      <c r="H230" s="11">
        <v>189.9</v>
      </c>
      <c r="I230" s="11">
        <v>64.08</v>
      </c>
      <c r="J230" s="12">
        <f>IF(OR(tVerao26[[#This Row],[Preço (R$)]]="",tVerao26[[#This Row],[Custo (R$)]]=""),"",(tVerao26[[#This Row],[Preço (R$)]]-tVerao26[[#This Row],[Custo (R$)]])/tVerao26[[#This Row],[Preço (R$)]])</f>
        <v>0.66255924170616121</v>
      </c>
      <c r="K230" s="5" t="s">
        <v>1298</v>
      </c>
      <c r="L230" s="28" t="s">
        <v>47</v>
      </c>
      <c r="M230" s="10"/>
      <c r="N230" s="5" t="s">
        <v>1292</v>
      </c>
      <c r="O230" s="9" t="s">
        <v>49</v>
      </c>
    </row>
    <row r="231" spans="1:15">
      <c r="A23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VLT-BER-003-BRA-GG</v>
      </c>
      <c r="B231" s="5" t="s">
        <v>1299</v>
      </c>
      <c r="C231" s="9" t="s">
        <v>1290</v>
      </c>
      <c r="D231" s="5" t="s">
        <v>13</v>
      </c>
      <c r="E231" s="5" t="s">
        <v>43</v>
      </c>
      <c r="F231" s="5" t="s">
        <v>77</v>
      </c>
      <c r="G231" s="9" t="s">
        <v>61</v>
      </c>
      <c r="H231" s="11">
        <v>189.9</v>
      </c>
      <c r="I231" s="11">
        <v>63.98</v>
      </c>
      <c r="J231" s="12">
        <f>IF(OR(tVerao26[[#This Row],[Preço (R$)]]="",tVerao26[[#This Row],[Custo (R$)]]=""),"",(tVerao26[[#This Row],[Preço (R$)]]-tVerao26[[#This Row],[Custo (R$)]])/tVerao26[[#This Row],[Preço (R$)]])</f>
        <v>0.66308583464981574</v>
      </c>
      <c r="K231" s="5" t="s">
        <v>1300</v>
      </c>
      <c r="L231" s="28" t="s">
        <v>47</v>
      </c>
      <c r="M231" s="10"/>
      <c r="N231" s="5" t="s">
        <v>1292</v>
      </c>
      <c r="O231" s="9" t="s">
        <v>49</v>
      </c>
    </row>
    <row r="232" spans="1:15">
      <c r="A23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VLT-BER-003-BRA-XG</v>
      </c>
      <c r="B232" s="5" t="s">
        <v>1301</v>
      </c>
      <c r="C232" s="9" t="s">
        <v>1290</v>
      </c>
      <c r="D232" s="5" t="s">
        <v>13</v>
      </c>
      <c r="E232" s="5" t="s">
        <v>43</v>
      </c>
      <c r="F232" s="5" t="s">
        <v>77</v>
      </c>
      <c r="G232" s="9" t="s">
        <v>578</v>
      </c>
      <c r="H232" s="11">
        <v>189.9</v>
      </c>
      <c r="I232" s="11">
        <v>66.19</v>
      </c>
      <c r="J232" s="12">
        <f>IF(OR(tVerao26[[#This Row],[Preço (R$)]]="",tVerao26[[#This Row],[Custo (R$)]]=""),"",(tVerao26[[#This Row],[Preço (R$)]]-tVerao26[[#This Row],[Custo (R$)]])/tVerao26[[#This Row],[Preço (R$)]])</f>
        <v>0.65144813059505002</v>
      </c>
      <c r="K232" s="5" t="s">
        <v>1302</v>
      </c>
      <c r="L232" s="28" t="s">
        <v>47</v>
      </c>
      <c r="M232" s="10"/>
      <c r="N232" s="5" t="s">
        <v>1292</v>
      </c>
      <c r="O232" s="9" t="s">
        <v>49</v>
      </c>
    </row>
    <row r="233" spans="1:15">
      <c r="A23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VLT-ACE-005-OFF-U</v>
      </c>
      <c r="B233" s="5" t="s">
        <v>1303</v>
      </c>
      <c r="C233" s="9" t="s">
        <v>1304</v>
      </c>
      <c r="D233" s="5" t="s">
        <v>1305</v>
      </c>
      <c r="E233" s="5" t="s">
        <v>281</v>
      </c>
      <c r="F233" s="5" t="s">
        <v>117</v>
      </c>
      <c r="G233" s="9" t="s">
        <v>282</v>
      </c>
      <c r="H233" s="11">
        <v>139.9</v>
      </c>
      <c r="I233" s="11">
        <v>51.26</v>
      </c>
      <c r="J233" s="12">
        <f>IF(OR(tVerao26[[#This Row],[Preço (R$)]]="",tVerao26[[#This Row],[Custo (R$)]]=""),"",(tVerao26[[#This Row],[Preço (R$)]]-tVerao26[[#This Row],[Custo (R$)]])/tVerao26[[#This Row],[Preço (R$)]])</f>
        <v>0.63359542530378854</v>
      </c>
      <c r="K233" s="5" t="s">
        <v>1306</v>
      </c>
      <c r="L233" s="28" t="s">
        <v>79</v>
      </c>
      <c r="M233" s="10"/>
      <c r="N233" s="5" t="s">
        <v>470</v>
      </c>
      <c r="O233" s="9" t="s">
        <v>49</v>
      </c>
    </row>
    <row r="234" spans="1:15">
      <c r="A23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VLT-ACE-005-BEG-U</v>
      </c>
      <c r="B234" s="5" t="s">
        <v>1307</v>
      </c>
      <c r="C234" s="9" t="s">
        <v>1304</v>
      </c>
      <c r="D234" s="5" t="s">
        <v>1305</v>
      </c>
      <c r="E234" s="5" t="s">
        <v>281</v>
      </c>
      <c r="F234" s="5" t="s">
        <v>299</v>
      </c>
      <c r="G234" s="9" t="s">
        <v>282</v>
      </c>
      <c r="H234" s="11">
        <v>139.9</v>
      </c>
      <c r="I234" s="27">
        <v>51.26</v>
      </c>
      <c r="J234" s="12">
        <f>IF(OR(tVerao26[[#This Row],[Preço (R$)]]="",tVerao26[[#This Row],[Custo (R$)]]=""),"",(tVerao26[[#This Row],[Preço (R$)]]-tVerao26[[#This Row],[Custo (R$)]])/tVerao26[[#This Row],[Preço (R$)]])</f>
        <v>0.63359542530378854</v>
      </c>
      <c r="K234" s="5" t="s">
        <v>1308</v>
      </c>
      <c r="L234" s="28" t="s">
        <v>79</v>
      </c>
      <c r="M234" s="10"/>
      <c r="N234" s="5" t="s">
        <v>1309</v>
      </c>
      <c r="O234" s="9" t="s">
        <v>49</v>
      </c>
    </row>
    <row r="235" spans="1:15">
      <c r="A23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VLT-CAL-007-AZM-P</v>
      </c>
      <c r="B235" s="5" t="s">
        <v>1310</v>
      </c>
      <c r="C235" s="9" t="s">
        <v>1311</v>
      </c>
      <c r="D235" s="5" t="s">
        <v>1312</v>
      </c>
      <c r="E235" s="5" t="s">
        <v>86</v>
      </c>
      <c r="F235" s="5" t="s">
        <v>68</v>
      </c>
      <c r="G235" s="9" t="s">
        <v>51</v>
      </c>
      <c r="H235" s="11">
        <v>279.89999999999998</v>
      </c>
      <c r="I235" s="11">
        <v>114.1</v>
      </c>
      <c r="J235" s="12">
        <f>IF(OR(tVerao26[[#This Row],[Preço (R$)]]="",tVerao26[[#This Row],[Custo (R$)]]=""),"",(tVerao26[[#This Row],[Preço (R$)]]-tVerao26[[#This Row],[Custo (R$)]])/tVerao26[[#This Row],[Preço (R$)]])</f>
        <v>0.59235441229010355</v>
      </c>
      <c r="K235" s="5" t="s">
        <v>1313</v>
      </c>
      <c r="L235" s="28" t="s">
        <v>47</v>
      </c>
      <c r="M235" s="10"/>
      <c r="N235" s="5" t="s">
        <v>470</v>
      </c>
      <c r="O235" s="9" t="s">
        <v>49</v>
      </c>
    </row>
    <row r="236" spans="1:15">
      <c r="A23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VLT-CAL-007-AZM-M</v>
      </c>
      <c r="B236" s="5" t="s">
        <v>1314</v>
      </c>
      <c r="C236" s="9" t="s">
        <v>1311</v>
      </c>
      <c r="D236" s="5" t="s">
        <v>1312</v>
      </c>
      <c r="E236" s="5" t="s">
        <v>86</v>
      </c>
      <c r="F236" s="5" t="s">
        <v>68</v>
      </c>
      <c r="G236" s="9" t="s">
        <v>54</v>
      </c>
      <c r="H236" s="11">
        <v>279.89999999999998</v>
      </c>
      <c r="I236" s="11">
        <v>116.38</v>
      </c>
      <c r="J236" s="12">
        <f>IF(OR(tVerao26[[#This Row],[Preço (R$)]]="",tVerao26[[#This Row],[Custo (R$)]]=""),"",(tVerao26[[#This Row],[Preço (R$)]]-tVerao26[[#This Row],[Custo (R$)]])/tVerao26[[#This Row],[Preço (R$)]])</f>
        <v>0.58420864594498034</v>
      </c>
      <c r="K236" s="5" t="s">
        <v>1315</v>
      </c>
      <c r="L236" s="28" t="s">
        <v>47</v>
      </c>
      <c r="M236" s="10"/>
      <c r="N236" s="5" t="s">
        <v>470</v>
      </c>
      <c r="O236" s="9" t="s">
        <v>49</v>
      </c>
    </row>
    <row r="237" spans="1:15">
      <c r="A23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VLT-CAL-007-AZM-G</v>
      </c>
      <c r="B237" s="5" t="s">
        <v>1316</v>
      </c>
      <c r="C237" s="9" t="s">
        <v>1311</v>
      </c>
      <c r="D237" s="5" t="s">
        <v>1312</v>
      </c>
      <c r="E237" s="5" t="s">
        <v>86</v>
      </c>
      <c r="F237" s="5" t="s">
        <v>68</v>
      </c>
      <c r="G237" s="9" t="s">
        <v>58</v>
      </c>
      <c r="H237" s="11">
        <v>279.89999999999998</v>
      </c>
      <c r="I237" s="27">
        <v>116.38</v>
      </c>
      <c r="J237" s="12">
        <f>IF(OR(tVerao26[[#This Row],[Preço (R$)]]="",tVerao26[[#This Row],[Custo (R$)]]=""),"",(tVerao26[[#This Row],[Preço (R$)]]-tVerao26[[#This Row],[Custo (R$)]])/tVerao26[[#This Row],[Preço (R$)]])</f>
        <v>0.58420864594498034</v>
      </c>
      <c r="K237" s="5" t="s">
        <v>1317</v>
      </c>
      <c r="L237" s="28" t="s">
        <v>47</v>
      </c>
      <c r="M237" s="10"/>
      <c r="N237" s="5" t="s">
        <v>1318</v>
      </c>
      <c r="O237" s="9" t="s">
        <v>49</v>
      </c>
    </row>
    <row r="238" spans="1:15">
      <c r="A23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VLT-CAL-007-AZM-GG</v>
      </c>
      <c r="B238" s="5" t="s">
        <v>1319</v>
      </c>
      <c r="C238" s="9" t="s">
        <v>1311</v>
      </c>
      <c r="D238" s="5" t="s">
        <v>1312</v>
      </c>
      <c r="E238" s="5" t="s">
        <v>86</v>
      </c>
      <c r="F238" s="5" t="s">
        <v>68</v>
      </c>
      <c r="G238" s="9" t="s">
        <v>61</v>
      </c>
      <c r="H238" s="11">
        <v>279.89999999999998</v>
      </c>
      <c r="I238" s="11">
        <v>112.8</v>
      </c>
      <c r="J238" s="12">
        <f>IF(OR(tVerao26[[#This Row],[Preço (R$)]]="",tVerao26[[#This Row],[Custo (R$)]]=""),"",(tVerao26[[#This Row],[Preço (R$)]]-tVerao26[[#This Row],[Custo (R$)]])/tVerao26[[#This Row],[Preço (R$)]])</f>
        <v>0.59699892818863876</v>
      </c>
      <c r="K238" s="5" t="s">
        <v>1320</v>
      </c>
      <c r="L238" s="28" t="s">
        <v>47</v>
      </c>
      <c r="M238" s="10"/>
      <c r="N238" s="5" t="s">
        <v>470</v>
      </c>
      <c r="O238" s="9" t="s">
        <v>49</v>
      </c>
    </row>
    <row r="239" spans="1:15">
      <c r="A23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VLT-MOL-004-BRA-P</v>
      </c>
      <c r="B239" s="5" t="s">
        <v>1321</v>
      </c>
      <c r="C239" s="9" t="s">
        <v>1322</v>
      </c>
      <c r="D239" s="5" t="s">
        <v>1323</v>
      </c>
      <c r="E239" s="5" t="s">
        <v>98</v>
      </c>
      <c r="F239" s="5" t="s">
        <v>77</v>
      </c>
      <c r="G239" s="9" t="s">
        <v>51</v>
      </c>
      <c r="H239" s="11">
        <v>299.89999999999998</v>
      </c>
      <c r="I239" s="11">
        <v>127.85</v>
      </c>
      <c r="J239" s="12">
        <f>IF(OR(tVerao26[[#This Row],[Preço (R$)]]="",tVerao26[[#This Row],[Custo (R$)]]=""),"",(tVerao26[[#This Row],[Preço (R$)]]-tVerao26[[#This Row],[Custo (R$)]])/tVerao26[[#This Row],[Preço (R$)]])</f>
        <v>0.5736912304101367</v>
      </c>
      <c r="K239" s="5" t="s">
        <v>1324</v>
      </c>
      <c r="L239" s="28" t="s">
        <v>101</v>
      </c>
      <c r="M239" s="10"/>
      <c r="N239" s="5" t="s">
        <v>1154</v>
      </c>
      <c r="O239" s="9" t="s">
        <v>49</v>
      </c>
    </row>
    <row r="240" spans="1:15">
      <c r="A24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VLT-MOL-004-BRA-M</v>
      </c>
      <c r="B240" s="5" t="s">
        <v>1325</v>
      </c>
      <c r="C240" s="9" t="s">
        <v>1322</v>
      </c>
      <c r="D240" s="5" t="s">
        <v>1323</v>
      </c>
      <c r="E240" s="5" t="s">
        <v>98</v>
      </c>
      <c r="F240" s="5" t="s">
        <v>77</v>
      </c>
      <c r="G240" s="9" t="s">
        <v>54</v>
      </c>
      <c r="H240" s="11">
        <v>299.89999999999998</v>
      </c>
      <c r="I240" s="11">
        <v>133.44</v>
      </c>
      <c r="J240" s="12">
        <f>IF(OR(tVerao26[[#This Row],[Preço (R$)]]="",tVerao26[[#This Row],[Custo (R$)]]=""),"",(tVerao26[[#This Row],[Preço (R$)]]-tVerao26[[#This Row],[Custo (R$)]])/tVerao26[[#This Row],[Preço (R$)]])</f>
        <v>0.55505168389463155</v>
      </c>
      <c r="K240" s="5" t="s">
        <v>1326</v>
      </c>
      <c r="L240" s="28" t="s">
        <v>101</v>
      </c>
      <c r="M240" s="10"/>
      <c r="N240" s="5" t="s">
        <v>1154</v>
      </c>
      <c r="O240" s="9" t="s">
        <v>49</v>
      </c>
    </row>
    <row r="241" spans="1:15">
      <c r="A24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VLT-MOL-004-BRA-G</v>
      </c>
      <c r="B241" s="5" t="s">
        <v>1327</v>
      </c>
      <c r="C241" s="9" t="s">
        <v>1322</v>
      </c>
      <c r="D241" s="5" t="s">
        <v>1323</v>
      </c>
      <c r="E241" s="5" t="s">
        <v>98</v>
      </c>
      <c r="F241" s="5" t="s">
        <v>77</v>
      </c>
      <c r="G241" s="9" t="s">
        <v>58</v>
      </c>
      <c r="H241" s="11">
        <v>299.89999999999998</v>
      </c>
      <c r="I241" s="11">
        <v>128.99</v>
      </c>
      <c r="J241" s="12">
        <f>IF(OR(tVerao26[[#This Row],[Preço (R$)]]="",tVerao26[[#This Row],[Custo (R$)]]=""),"",(tVerao26[[#This Row],[Preço (R$)]]-tVerao26[[#This Row],[Custo (R$)]])/tVerao26[[#This Row],[Preço (R$)]])</f>
        <v>0.56988996332110697</v>
      </c>
      <c r="K241" s="5" t="s">
        <v>1328</v>
      </c>
      <c r="L241" s="28" t="s">
        <v>101</v>
      </c>
      <c r="M241" s="10"/>
      <c r="N241" s="5" t="s">
        <v>1154</v>
      </c>
      <c r="O241" s="9" t="s">
        <v>49</v>
      </c>
    </row>
    <row r="242" spans="1:15">
      <c r="A24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VLT-MOL-004-BRA-GG</v>
      </c>
      <c r="B242" s="5" t="s">
        <v>1329</v>
      </c>
      <c r="C242" s="9" t="s">
        <v>1322</v>
      </c>
      <c r="D242" s="5" t="s">
        <v>1323</v>
      </c>
      <c r="E242" s="5" t="s">
        <v>98</v>
      </c>
      <c r="F242" s="5" t="s">
        <v>77</v>
      </c>
      <c r="G242" s="9" t="s">
        <v>61</v>
      </c>
      <c r="H242" s="11">
        <v>299.89999999999998</v>
      </c>
      <c r="I242" s="11">
        <v>133.66999999999999</v>
      </c>
      <c r="J242" s="12">
        <f>IF(OR(tVerao26[[#This Row],[Preço (R$)]]="",tVerao26[[#This Row],[Custo (R$)]]=""),"",(tVerao26[[#This Row],[Preço (R$)]]-tVerao26[[#This Row],[Custo (R$)]])/tVerao26[[#This Row],[Preço (R$)]])</f>
        <v>0.55428476158719575</v>
      </c>
      <c r="K242" s="5" t="s">
        <v>1330</v>
      </c>
      <c r="L242" s="28" t="s">
        <v>101</v>
      </c>
      <c r="M242" s="10"/>
      <c r="N242" s="5" t="s">
        <v>1154</v>
      </c>
      <c r="O242" s="9" t="s">
        <v>49</v>
      </c>
    </row>
    <row r="243" spans="1:15">
      <c r="A24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VLT-MOL-005-OFF-XP</v>
      </c>
      <c r="B243" s="5" t="s">
        <v>1331</v>
      </c>
      <c r="C243" s="9" t="s">
        <v>1332</v>
      </c>
      <c r="D243" s="5" t="s">
        <v>1333</v>
      </c>
      <c r="E243" s="5" t="s">
        <v>98</v>
      </c>
      <c r="F243" s="5" t="s">
        <v>117</v>
      </c>
      <c r="G243" s="9" t="s">
        <v>45</v>
      </c>
      <c r="H243" s="11">
        <v>279.89999999999998</v>
      </c>
      <c r="I243" s="27">
        <v>122.96</v>
      </c>
      <c r="J243" s="12">
        <f>IF(OR(tVerao26[[#This Row],[Preço (R$)]]="",tVerao26[[#This Row],[Custo (R$)]]=""),"",(tVerao26[[#This Row],[Preço (R$)]]-tVerao26[[#This Row],[Custo (R$)]])/tVerao26[[#This Row],[Preço (R$)]])</f>
        <v>0.56070025008931768</v>
      </c>
      <c r="K243" s="5" t="s">
        <v>1334</v>
      </c>
      <c r="L243" s="28" t="s">
        <v>101</v>
      </c>
      <c r="M243" s="10"/>
      <c r="N243" s="5" t="s">
        <v>1335</v>
      </c>
      <c r="O243" s="9" t="s">
        <v>49</v>
      </c>
    </row>
    <row r="244" spans="1:15">
      <c r="A24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VLT-MOL-005-OFF-P</v>
      </c>
      <c r="B244" s="5" t="s">
        <v>1336</v>
      </c>
      <c r="C244" s="9" t="s">
        <v>1332</v>
      </c>
      <c r="D244" s="5" t="s">
        <v>1333</v>
      </c>
      <c r="E244" s="5" t="s">
        <v>98</v>
      </c>
      <c r="F244" s="5" t="s">
        <v>117</v>
      </c>
      <c r="G244" s="9" t="s">
        <v>51</v>
      </c>
      <c r="H244" s="11">
        <v>279.89999999999998</v>
      </c>
      <c r="I244" s="11">
        <v>122.96</v>
      </c>
      <c r="J244" s="12">
        <f>IF(OR(tVerao26[[#This Row],[Preço (R$)]]="",tVerao26[[#This Row],[Custo (R$)]]=""),"",(tVerao26[[#This Row],[Preço (R$)]]-tVerao26[[#This Row],[Custo (R$)]])/tVerao26[[#This Row],[Preço (R$)]])</f>
        <v>0.56070025008931768</v>
      </c>
      <c r="K244" s="5" t="s">
        <v>1337</v>
      </c>
      <c r="L244" s="28" t="s">
        <v>101</v>
      </c>
      <c r="M244" s="10"/>
      <c r="N244" s="5" t="s">
        <v>1154</v>
      </c>
      <c r="O244" s="9" t="s">
        <v>49</v>
      </c>
    </row>
    <row r="245" spans="1:15">
      <c r="A24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VLT-MOL-005-OFF-M</v>
      </c>
      <c r="B245" s="5" t="s">
        <v>1338</v>
      </c>
      <c r="C245" s="9" t="s">
        <v>1332</v>
      </c>
      <c r="D245" s="5" t="s">
        <v>1333</v>
      </c>
      <c r="E245" s="5" t="s">
        <v>98</v>
      </c>
      <c r="F245" s="5" t="s">
        <v>117</v>
      </c>
      <c r="G245" s="9" t="s">
        <v>54</v>
      </c>
      <c r="H245" s="11">
        <v>279.89999999999998</v>
      </c>
      <c r="I245" s="11">
        <v>118.51</v>
      </c>
      <c r="J245" s="12">
        <f>IF(OR(tVerao26[[#This Row],[Preço (R$)]]="",tVerao26[[#This Row],[Custo (R$)]]=""),"",(tVerao26[[#This Row],[Preço (R$)]]-tVerao26[[#This Row],[Custo (R$)]])/tVerao26[[#This Row],[Preço (R$)]])</f>
        <v>0.57659878528045727</v>
      </c>
      <c r="K245" s="5" t="s">
        <v>1339</v>
      </c>
      <c r="L245" s="28" t="s">
        <v>101</v>
      </c>
      <c r="M245" s="10"/>
      <c r="N245" s="5" t="s">
        <v>1154</v>
      </c>
      <c r="O245" s="9" t="s">
        <v>49</v>
      </c>
    </row>
    <row r="246" spans="1:15">
      <c r="A24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VLT-MOL-005-OFF-G</v>
      </c>
      <c r="B246" s="5" t="s">
        <v>1340</v>
      </c>
      <c r="C246" s="9" t="s">
        <v>1332</v>
      </c>
      <c r="D246" s="5" t="s">
        <v>1333</v>
      </c>
      <c r="E246" s="5" t="s">
        <v>98</v>
      </c>
      <c r="F246" s="5" t="s">
        <v>117</v>
      </c>
      <c r="G246" s="9" t="s">
        <v>58</v>
      </c>
      <c r="H246" s="11">
        <v>279.89999999999998</v>
      </c>
      <c r="I246" s="11">
        <v>121.67</v>
      </c>
      <c r="J246" s="12">
        <f>IF(OR(tVerao26[[#This Row],[Preço (R$)]]="",tVerao26[[#This Row],[Custo (R$)]]=""),"",(tVerao26[[#This Row],[Preço (R$)]]-tVerao26[[#This Row],[Custo (R$)]])/tVerao26[[#This Row],[Preço (R$)]])</f>
        <v>0.56530903894247941</v>
      </c>
      <c r="K246" s="5" t="s">
        <v>1341</v>
      </c>
      <c r="L246" s="28" t="s">
        <v>101</v>
      </c>
      <c r="M246" s="10"/>
      <c r="N246" s="5" t="s">
        <v>1154</v>
      </c>
      <c r="O246" s="9" t="s">
        <v>49</v>
      </c>
    </row>
    <row r="247" spans="1:15">
      <c r="A24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VLT-MOL-005-OFF-GG</v>
      </c>
      <c r="B247" s="5" t="s">
        <v>1342</v>
      </c>
      <c r="C247" s="9" t="s">
        <v>1332</v>
      </c>
      <c r="D247" s="5" t="s">
        <v>1333</v>
      </c>
      <c r="E247" s="5" t="s">
        <v>98</v>
      </c>
      <c r="F247" s="5" t="s">
        <v>117</v>
      </c>
      <c r="G247" s="9" t="s">
        <v>61</v>
      </c>
      <c r="H247" s="11">
        <v>279.89999999999998</v>
      </c>
      <c r="I247" s="11">
        <v>120.83</v>
      </c>
      <c r="J247" s="12">
        <f>IF(OR(tVerao26[[#This Row],[Preço (R$)]]="",tVerao26[[#This Row],[Custo (R$)]]=""),"",(tVerao26[[#This Row],[Preço (R$)]]-tVerao26[[#This Row],[Custo (R$)]])/tVerao26[[#This Row],[Preço (R$)]])</f>
        <v>0.56831011075384064</v>
      </c>
      <c r="K247" s="5" t="s">
        <v>1343</v>
      </c>
      <c r="L247" s="28" t="s">
        <v>101</v>
      </c>
      <c r="M247" s="10"/>
      <c r="N247" s="5" t="s">
        <v>1154</v>
      </c>
      <c r="O247" s="9" t="s">
        <v>49</v>
      </c>
    </row>
    <row r="248" spans="1:15">
      <c r="A24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VLT-CAL-009-OFF-XP</v>
      </c>
      <c r="B248" s="5" t="s">
        <v>1344</v>
      </c>
      <c r="C248" s="9" t="s">
        <v>1345</v>
      </c>
      <c r="D248" s="5" t="s">
        <v>1346</v>
      </c>
      <c r="E248" s="5" t="s">
        <v>86</v>
      </c>
      <c r="F248" s="5" t="s">
        <v>117</v>
      </c>
      <c r="G248" s="9" t="s">
        <v>45</v>
      </c>
      <c r="H248" s="11">
        <v>269.89999999999998</v>
      </c>
      <c r="I248" s="11">
        <v>92.13</v>
      </c>
      <c r="J248" s="12">
        <f>IF(OR(tVerao26[[#This Row],[Preço (R$)]]="",tVerao26[[#This Row],[Custo (R$)]]=""),"",(tVerao26[[#This Row],[Preço (R$)]]-tVerao26[[#This Row],[Custo (R$)]])/tVerao26[[#This Row],[Preço (R$)]])</f>
        <v>0.65865135235272321</v>
      </c>
      <c r="K248" s="5" t="s">
        <v>1347</v>
      </c>
      <c r="L248" s="28" t="s">
        <v>47</v>
      </c>
      <c r="M248" s="10"/>
      <c r="N248" s="5" t="s">
        <v>470</v>
      </c>
      <c r="O248" s="9" t="s">
        <v>49</v>
      </c>
    </row>
    <row r="249" spans="1:15">
      <c r="A24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VLT-CAL-009-OFF-P</v>
      </c>
      <c r="B249" s="5" t="s">
        <v>1348</v>
      </c>
      <c r="C249" s="9" t="s">
        <v>1345</v>
      </c>
      <c r="D249" s="5" t="s">
        <v>1346</v>
      </c>
      <c r="E249" s="5" t="s">
        <v>86</v>
      </c>
      <c r="F249" s="5" t="s">
        <v>117</v>
      </c>
      <c r="G249" s="9" t="s">
        <v>51</v>
      </c>
      <c r="H249" s="11">
        <v>269.89999999999998</v>
      </c>
      <c r="I249" s="27">
        <v>92.13</v>
      </c>
      <c r="J249" s="12">
        <f>IF(OR(tVerao26[[#This Row],[Preço (R$)]]="",tVerao26[[#This Row],[Custo (R$)]]=""),"",(tVerao26[[#This Row],[Preço (R$)]]-tVerao26[[#This Row],[Custo (R$)]])/tVerao26[[#This Row],[Preço (R$)]])</f>
        <v>0.65865135235272321</v>
      </c>
      <c r="K249" s="5" t="s">
        <v>1349</v>
      </c>
      <c r="L249" s="28" t="s">
        <v>47</v>
      </c>
      <c r="M249" s="10"/>
      <c r="N249" s="5" t="s">
        <v>1350</v>
      </c>
      <c r="O249" s="9" t="s">
        <v>49</v>
      </c>
    </row>
    <row r="250" spans="1:15">
      <c r="A25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VLT-CAL-009-OFF-M</v>
      </c>
      <c r="B250" s="5" t="s">
        <v>1351</v>
      </c>
      <c r="C250" s="9" t="s">
        <v>1345</v>
      </c>
      <c r="D250" s="5" t="s">
        <v>1346</v>
      </c>
      <c r="E250" s="5" t="s">
        <v>86</v>
      </c>
      <c r="F250" s="5" t="s">
        <v>117</v>
      </c>
      <c r="G250" s="9" t="s">
        <v>54</v>
      </c>
      <c r="H250" s="11">
        <v>269.89999999999998</v>
      </c>
      <c r="I250" s="27">
        <v>95.7</v>
      </c>
      <c r="J250" s="12">
        <f>IF(OR(tVerao26[[#This Row],[Preço (R$)]]="",tVerao26[[#This Row],[Custo (R$)]]=""),"",(tVerao26[[#This Row],[Preço (R$)]]-tVerao26[[#This Row],[Custo (R$)]])/tVerao26[[#This Row],[Preço (R$)]])</f>
        <v>0.64542423119673953</v>
      </c>
      <c r="K250" s="5" t="s">
        <v>1352</v>
      </c>
      <c r="L250" s="28" t="s">
        <v>47</v>
      </c>
      <c r="M250" s="10"/>
      <c r="N250" s="5" t="s">
        <v>1353</v>
      </c>
      <c r="O250" s="9" t="s">
        <v>49</v>
      </c>
    </row>
    <row r="251" spans="1:15">
      <c r="A25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VLT-CAL-009-OFF-G</v>
      </c>
      <c r="B251" s="5" t="s">
        <v>1354</v>
      </c>
      <c r="C251" s="9" t="s">
        <v>1345</v>
      </c>
      <c r="D251" s="5" t="s">
        <v>1346</v>
      </c>
      <c r="E251" s="5" t="s">
        <v>86</v>
      </c>
      <c r="F251" s="5" t="s">
        <v>117</v>
      </c>
      <c r="G251" s="9" t="s">
        <v>58</v>
      </c>
      <c r="H251" s="11">
        <v>269.89999999999998</v>
      </c>
      <c r="I251" s="11">
        <v>95.7</v>
      </c>
      <c r="J251" s="12">
        <f>IF(OR(tVerao26[[#This Row],[Preço (R$)]]="",tVerao26[[#This Row],[Custo (R$)]]=""),"",(tVerao26[[#This Row],[Preço (R$)]]-tVerao26[[#This Row],[Custo (R$)]])/tVerao26[[#This Row],[Preço (R$)]])</f>
        <v>0.64542423119673953</v>
      </c>
      <c r="K251" s="5" t="s">
        <v>1355</v>
      </c>
      <c r="L251" s="28" t="s">
        <v>47</v>
      </c>
      <c r="M251" s="10"/>
      <c r="N251" s="5" t="s">
        <v>470</v>
      </c>
      <c r="O251" s="9" t="s">
        <v>49</v>
      </c>
    </row>
    <row r="252" spans="1:15">
      <c r="A25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VLT-CAL-009-OFF-GG</v>
      </c>
      <c r="B252" s="5" t="s">
        <v>1356</v>
      </c>
      <c r="C252" s="9" t="s">
        <v>1345</v>
      </c>
      <c r="D252" s="5" t="s">
        <v>1346</v>
      </c>
      <c r="E252" s="5" t="s">
        <v>86</v>
      </c>
      <c r="F252" s="5" t="s">
        <v>117</v>
      </c>
      <c r="G252" s="9" t="s">
        <v>61</v>
      </c>
      <c r="H252" s="11">
        <v>269.89999999999998</v>
      </c>
      <c r="I252" s="27">
        <v>95.7</v>
      </c>
      <c r="J252" s="12">
        <f>IF(OR(tVerao26[[#This Row],[Preço (R$)]]="",tVerao26[[#This Row],[Custo (R$)]]=""),"",(tVerao26[[#This Row],[Preço (R$)]]-tVerao26[[#This Row],[Custo (R$)]])/tVerao26[[#This Row],[Preço (R$)]])</f>
        <v>0.64542423119673953</v>
      </c>
      <c r="K252" s="5" t="s">
        <v>1357</v>
      </c>
      <c r="L252" s="28" t="s">
        <v>47</v>
      </c>
      <c r="M252" s="10"/>
      <c r="N252" s="5" t="s">
        <v>1353</v>
      </c>
      <c r="O252" s="9" t="s">
        <v>49</v>
      </c>
    </row>
    <row r="253" spans="1:15">
      <c r="A25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VLT-BER-004-JES-XP</v>
      </c>
      <c r="B253" s="5" t="s">
        <v>40</v>
      </c>
      <c r="C253" s="9" t="s">
        <v>41</v>
      </c>
      <c r="D253" s="5" t="s">
        <v>42</v>
      </c>
      <c r="E253" s="5" t="s">
        <v>43</v>
      </c>
      <c r="F253" s="5" t="s">
        <v>44</v>
      </c>
      <c r="G253" s="9" t="s">
        <v>45</v>
      </c>
      <c r="H253" s="11">
        <v>139.9</v>
      </c>
      <c r="I253" s="11">
        <v>58.58</v>
      </c>
      <c r="J253" s="12">
        <f>IF(OR(tVerao26[[#This Row],[Preço (R$)]]="",tVerao26[[#This Row],[Custo (R$)]]=""),"",(tVerao26[[#This Row],[Preço (R$)]]-tVerao26[[#This Row],[Custo (R$)]])/tVerao26[[#This Row],[Preço (R$)]])</f>
        <v>0.58127233738384565</v>
      </c>
      <c r="K253" s="5" t="s">
        <v>46</v>
      </c>
      <c r="L253" s="5" t="s">
        <v>47</v>
      </c>
      <c r="M253" s="10"/>
      <c r="N253" s="5" t="s">
        <v>1358</v>
      </c>
      <c r="O253" s="9" t="s">
        <v>49</v>
      </c>
    </row>
    <row r="254" spans="1:15">
      <c r="A25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VLT-BER-004-JES-P</v>
      </c>
      <c r="B254" s="5" t="s">
        <v>50</v>
      </c>
      <c r="C254" s="9" t="s">
        <v>41</v>
      </c>
      <c r="D254" s="5" t="s">
        <v>42</v>
      </c>
      <c r="E254" s="5" t="s">
        <v>43</v>
      </c>
      <c r="F254" s="5" t="s">
        <v>44</v>
      </c>
      <c r="G254" s="9" t="s">
        <v>51</v>
      </c>
      <c r="H254" s="11">
        <v>139.9</v>
      </c>
      <c r="I254" s="11">
        <v>57.23</v>
      </c>
      <c r="J254" s="12">
        <f>IF(OR(tVerao26[[#This Row],[Preço (R$)]]="",tVerao26[[#This Row],[Custo (R$)]]=""),"",(tVerao26[[#This Row],[Preço (R$)]]-tVerao26[[#This Row],[Custo (R$)]])/tVerao26[[#This Row],[Preço (R$)]])</f>
        <v>0.59092208720514661</v>
      </c>
      <c r="K254" s="5" t="s">
        <v>52</v>
      </c>
      <c r="L254" s="5" t="s">
        <v>47</v>
      </c>
      <c r="M254" s="10"/>
      <c r="N254" s="5" t="s">
        <v>1358</v>
      </c>
      <c r="O254" s="9" t="s">
        <v>49</v>
      </c>
    </row>
    <row r="255" spans="1:15">
      <c r="A25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VLT-BER-004-JES-M</v>
      </c>
      <c r="B255" s="5" t="s">
        <v>53</v>
      </c>
      <c r="C255" s="9" t="s">
        <v>41</v>
      </c>
      <c r="D255" s="5" t="s">
        <v>42</v>
      </c>
      <c r="E255" s="5" t="s">
        <v>43</v>
      </c>
      <c r="F255" s="5" t="s">
        <v>44</v>
      </c>
      <c r="G255" s="9" t="s">
        <v>54</v>
      </c>
      <c r="H255" s="11">
        <v>139.9</v>
      </c>
      <c r="I255" s="27">
        <v>57.23</v>
      </c>
      <c r="J255" s="12">
        <f>IF(OR(tVerao26[[#This Row],[Preço (R$)]]="",tVerao26[[#This Row],[Custo (R$)]]=""),"",(tVerao26[[#This Row],[Preço (R$)]]-tVerao26[[#This Row],[Custo (R$)]])/tVerao26[[#This Row],[Preço (R$)]])</f>
        <v>0.59092208720514661</v>
      </c>
      <c r="K255" s="5" t="s">
        <v>55</v>
      </c>
      <c r="L255" s="5" t="s">
        <v>47</v>
      </c>
      <c r="M255" s="10"/>
      <c r="N255" s="5" t="s">
        <v>1359</v>
      </c>
      <c r="O255" s="9" t="s">
        <v>49</v>
      </c>
    </row>
    <row r="256" spans="1:15">
      <c r="A25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VLT-BER-004-JES-G</v>
      </c>
      <c r="B256" s="5" t="s">
        <v>57</v>
      </c>
      <c r="C256" s="9" t="s">
        <v>41</v>
      </c>
      <c r="D256" s="5" t="s">
        <v>42</v>
      </c>
      <c r="E256" s="5" t="s">
        <v>43</v>
      </c>
      <c r="F256" s="5" t="s">
        <v>44</v>
      </c>
      <c r="G256" s="9" t="s">
        <v>58</v>
      </c>
      <c r="H256" s="11">
        <v>139.9</v>
      </c>
      <c r="I256" s="11">
        <v>57</v>
      </c>
      <c r="J256" s="12">
        <f>IF(OR(tVerao26[[#This Row],[Preço (R$)]]="",tVerao26[[#This Row],[Custo (R$)]]=""),"",(tVerao26[[#This Row],[Preço (R$)]]-tVerao26[[#This Row],[Custo (R$)]])/tVerao26[[#This Row],[Preço (R$)]])</f>
        <v>0.59256611865618303</v>
      </c>
      <c r="K256" s="5" t="s">
        <v>59</v>
      </c>
      <c r="L256" s="5" t="s">
        <v>47</v>
      </c>
      <c r="M256" s="10"/>
      <c r="N256" s="5" t="s">
        <v>1358</v>
      </c>
      <c r="O256" s="9" t="s">
        <v>49</v>
      </c>
    </row>
    <row r="257" spans="1:15">
      <c r="A25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VLT-BER-004-JES-GG</v>
      </c>
      <c r="B257" s="5" t="s">
        <v>60</v>
      </c>
      <c r="C257" s="9" t="s">
        <v>41</v>
      </c>
      <c r="D257" s="5" t="s">
        <v>42</v>
      </c>
      <c r="E257" s="5" t="s">
        <v>43</v>
      </c>
      <c r="F257" s="5" t="s">
        <v>44</v>
      </c>
      <c r="G257" s="9" t="s">
        <v>61</v>
      </c>
      <c r="H257" s="11">
        <v>139.9</v>
      </c>
      <c r="I257" s="27">
        <v>57</v>
      </c>
      <c r="J257" s="12">
        <f>IF(OR(tVerao26[[#This Row],[Preço (R$)]]="",tVerao26[[#This Row],[Custo (R$)]]=""),"",(tVerao26[[#This Row],[Preço (R$)]]-tVerao26[[#This Row],[Custo (R$)]])/tVerao26[[#This Row],[Preço (R$)]])</f>
        <v>0.59256611865618303</v>
      </c>
      <c r="K257" s="5" t="s">
        <v>62</v>
      </c>
      <c r="L257" s="5" t="s">
        <v>47</v>
      </c>
      <c r="M257" s="10"/>
      <c r="N257" s="5" t="s">
        <v>1360</v>
      </c>
      <c r="O257" s="9" t="s">
        <v>49</v>
      </c>
    </row>
    <row r="258" spans="1:15">
      <c r="A25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VLT-SAI-003-OFF-P</v>
      </c>
      <c r="B258" s="5" t="s">
        <v>113</v>
      </c>
      <c r="C258" s="9" t="s">
        <v>114</v>
      </c>
      <c r="D258" s="5" t="s">
        <v>115</v>
      </c>
      <c r="E258" s="5" t="s">
        <v>116</v>
      </c>
      <c r="F258" s="5" t="s">
        <v>117</v>
      </c>
      <c r="G258" s="9" t="s">
        <v>51</v>
      </c>
      <c r="H258" s="11">
        <v>169.9</v>
      </c>
      <c r="I258" s="11">
        <v>73.39</v>
      </c>
      <c r="J258" s="12">
        <f>IF(OR(tVerao26[[#This Row],[Preço (R$)]]="",tVerao26[[#This Row],[Custo (R$)]]=""),"",(tVerao26[[#This Row],[Preço (R$)]]-tVerao26[[#This Row],[Custo (R$)]])/tVerao26[[#This Row],[Preço (R$)]])</f>
        <v>0.56804002354326077</v>
      </c>
      <c r="K258" s="5" t="s">
        <v>118</v>
      </c>
      <c r="L258" s="5" t="s">
        <v>70</v>
      </c>
      <c r="M258" s="10"/>
      <c r="N258" s="5" t="s">
        <v>1358</v>
      </c>
      <c r="O258" s="9" t="s">
        <v>49</v>
      </c>
    </row>
    <row r="259" spans="1:15">
      <c r="A25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VLT-SAI-003-OFF-M</v>
      </c>
      <c r="B259" s="5" t="s">
        <v>120</v>
      </c>
      <c r="C259" s="9" t="s">
        <v>114</v>
      </c>
      <c r="D259" s="5" t="s">
        <v>115</v>
      </c>
      <c r="E259" s="5" t="s">
        <v>116</v>
      </c>
      <c r="F259" s="5" t="s">
        <v>117</v>
      </c>
      <c r="G259" s="9" t="s">
        <v>54</v>
      </c>
      <c r="H259" s="11">
        <v>169.9</v>
      </c>
      <c r="I259" s="11">
        <v>72.81</v>
      </c>
      <c r="J259" s="12">
        <f>IF(OR(tVerao26[[#This Row],[Preço (R$)]]="",tVerao26[[#This Row],[Custo (R$)]]=""),"",(tVerao26[[#This Row],[Preço (R$)]]-tVerao26[[#This Row],[Custo (R$)]])/tVerao26[[#This Row],[Preço (R$)]])</f>
        <v>0.57145379635079463</v>
      </c>
      <c r="K259" s="5" t="s">
        <v>121</v>
      </c>
      <c r="L259" s="5" t="s">
        <v>70</v>
      </c>
      <c r="M259" s="10"/>
      <c r="N259" s="5" t="s">
        <v>1358</v>
      </c>
      <c r="O259" s="9" t="s">
        <v>49</v>
      </c>
    </row>
    <row r="260" spans="1:15">
      <c r="A26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VLT-SAI-003-OFF-G</v>
      </c>
      <c r="B260" s="5" t="s">
        <v>122</v>
      </c>
      <c r="C260" s="9" t="s">
        <v>114</v>
      </c>
      <c r="D260" s="5" t="s">
        <v>115</v>
      </c>
      <c r="E260" s="5" t="s">
        <v>116</v>
      </c>
      <c r="F260" s="5" t="s">
        <v>117</v>
      </c>
      <c r="G260" s="9" t="s">
        <v>58</v>
      </c>
      <c r="H260" s="11">
        <v>169.9</v>
      </c>
      <c r="I260" s="27">
        <v>72.81</v>
      </c>
      <c r="J260" s="12">
        <f>IF(OR(tVerao26[[#This Row],[Preço (R$)]]="",tVerao26[[#This Row],[Custo (R$)]]=""),"",(tVerao26[[#This Row],[Preço (R$)]]-tVerao26[[#This Row],[Custo (R$)]])/tVerao26[[#This Row],[Preço (R$)]])</f>
        <v>0.57145379635079463</v>
      </c>
      <c r="K260" s="5" t="s">
        <v>123</v>
      </c>
      <c r="L260" s="5" t="s">
        <v>70</v>
      </c>
      <c r="M260" s="10"/>
      <c r="N260" s="5" t="s">
        <v>1361</v>
      </c>
      <c r="O260" s="9" t="s">
        <v>49</v>
      </c>
    </row>
    <row r="261" spans="1:15">
      <c r="A26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VLT-SAI-003-OFF-GG</v>
      </c>
      <c r="B261" s="5" t="s">
        <v>124</v>
      </c>
      <c r="C261" s="9" t="s">
        <v>114</v>
      </c>
      <c r="D261" s="5" t="s">
        <v>115</v>
      </c>
      <c r="E261" s="5" t="s">
        <v>116</v>
      </c>
      <c r="F261" s="5" t="s">
        <v>117</v>
      </c>
      <c r="G261" s="9" t="s">
        <v>61</v>
      </c>
      <c r="H261" s="11">
        <v>169.9</v>
      </c>
      <c r="I261" s="11">
        <v>71.849999999999994</v>
      </c>
      <c r="J261" s="12">
        <f>IF(OR(tVerao26[[#This Row],[Preço (R$)]]="",tVerao26[[#This Row],[Custo (R$)]]=""),"",(tVerao26[[#This Row],[Preço (R$)]]-tVerao26[[#This Row],[Custo (R$)]])/tVerao26[[#This Row],[Preço (R$)]])</f>
        <v>0.57710417892878163</v>
      </c>
      <c r="K261" s="5" t="s">
        <v>125</v>
      </c>
      <c r="L261" s="5" t="s">
        <v>70</v>
      </c>
      <c r="M261" s="10"/>
      <c r="N261" s="5" t="s">
        <v>1358</v>
      </c>
      <c r="O261" s="9" t="s">
        <v>49</v>
      </c>
    </row>
    <row r="262" spans="1:15">
      <c r="A26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VLT-SAI-004-MRR-P</v>
      </c>
      <c r="B262" s="5" t="s">
        <v>134</v>
      </c>
      <c r="C262" s="9" t="s">
        <v>135</v>
      </c>
      <c r="D262" s="5" t="s">
        <v>136</v>
      </c>
      <c r="E262" s="5" t="s">
        <v>116</v>
      </c>
      <c r="F262" s="5" t="s">
        <v>87</v>
      </c>
      <c r="G262" s="9" t="s">
        <v>51</v>
      </c>
      <c r="H262" s="11">
        <v>229.9</v>
      </c>
      <c r="I262" s="11">
        <v>93.76</v>
      </c>
      <c r="J262" s="12">
        <f>IF(OR(tVerao26[[#This Row],[Preço (R$)]]="",tVerao26[[#This Row],[Custo (R$)]]=""),"",(tVerao26[[#This Row],[Preço (R$)]]-tVerao26[[#This Row],[Custo (R$)]])/tVerao26[[#This Row],[Preço (R$)]])</f>
        <v>0.59217050891692036</v>
      </c>
      <c r="K262" s="5" t="s">
        <v>137</v>
      </c>
      <c r="L262" s="5" t="s">
        <v>70</v>
      </c>
      <c r="M262" s="10"/>
      <c r="N262" s="5" t="s">
        <v>1358</v>
      </c>
      <c r="O262" s="9" t="s">
        <v>49</v>
      </c>
    </row>
    <row r="263" spans="1:15">
      <c r="A26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VLT-SAI-004-MRR-M</v>
      </c>
      <c r="B263" s="5" t="s">
        <v>138</v>
      </c>
      <c r="C263" s="9" t="s">
        <v>135</v>
      </c>
      <c r="D263" s="5" t="s">
        <v>136</v>
      </c>
      <c r="E263" s="5" t="s">
        <v>116</v>
      </c>
      <c r="F263" s="5" t="s">
        <v>87</v>
      </c>
      <c r="G263" s="9" t="s">
        <v>54</v>
      </c>
      <c r="H263" s="11">
        <v>229.9</v>
      </c>
      <c r="I263" s="11">
        <v>94.38</v>
      </c>
      <c r="J263" s="12">
        <f>IF(OR(tVerao26[[#This Row],[Preço (R$)]]="",tVerao26[[#This Row],[Custo (R$)]]=""),"",(tVerao26[[#This Row],[Preço (R$)]]-tVerao26[[#This Row],[Custo (R$)]])/tVerao26[[#This Row],[Preço (R$)]])</f>
        <v>0.58947368421052637</v>
      </c>
      <c r="K263" s="5" t="s">
        <v>139</v>
      </c>
      <c r="L263" s="5" t="s">
        <v>70</v>
      </c>
      <c r="M263" s="10"/>
      <c r="N263" s="5" t="s">
        <v>1358</v>
      </c>
      <c r="O263" s="9" t="s">
        <v>49</v>
      </c>
    </row>
    <row r="264" spans="1:15">
      <c r="A26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VLT-SAI-004-MRR-G</v>
      </c>
      <c r="B264" s="5" t="s">
        <v>141</v>
      </c>
      <c r="C264" s="9" t="s">
        <v>135</v>
      </c>
      <c r="D264" s="5" t="s">
        <v>136</v>
      </c>
      <c r="E264" s="5" t="s">
        <v>116</v>
      </c>
      <c r="F264" s="5" t="s">
        <v>87</v>
      </c>
      <c r="G264" s="9" t="s">
        <v>58</v>
      </c>
      <c r="H264" s="11">
        <v>229.9</v>
      </c>
      <c r="I264" s="27">
        <v>94.38</v>
      </c>
      <c r="J264" s="12">
        <f>IF(OR(tVerao26[[#This Row],[Preço (R$)]]="",tVerao26[[#This Row],[Custo (R$)]]=""),"",(tVerao26[[#This Row],[Preço (R$)]]-tVerao26[[#This Row],[Custo (R$)]])/tVerao26[[#This Row],[Preço (R$)]])</f>
        <v>0.58947368421052637</v>
      </c>
      <c r="K264" s="5" t="s">
        <v>142</v>
      </c>
      <c r="L264" s="5" t="s">
        <v>70</v>
      </c>
      <c r="M264" s="10"/>
      <c r="N264" s="5" t="s">
        <v>1362</v>
      </c>
      <c r="O264" s="9" t="s">
        <v>49</v>
      </c>
    </row>
    <row r="265" spans="1:15">
      <c r="A26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VLT-SAI-004-MRR-GG</v>
      </c>
      <c r="B265" s="5" t="s">
        <v>143</v>
      </c>
      <c r="C265" s="9" t="s">
        <v>135</v>
      </c>
      <c r="D265" s="5" t="s">
        <v>136</v>
      </c>
      <c r="E265" s="5" t="s">
        <v>116</v>
      </c>
      <c r="F265" s="5" t="s">
        <v>87</v>
      </c>
      <c r="G265" s="9" t="s">
        <v>61</v>
      </c>
      <c r="H265" s="11">
        <v>229.9</v>
      </c>
      <c r="I265" s="27">
        <v>94.38</v>
      </c>
      <c r="J265" s="12">
        <f>IF(OR(tVerao26[[#This Row],[Preço (R$)]]="",tVerao26[[#This Row],[Custo (R$)]]=""),"",(tVerao26[[#This Row],[Preço (R$)]]-tVerao26[[#This Row],[Custo (R$)]])/tVerao26[[#This Row],[Preço (R$)]])</f>
        <v>0.58947368421052637</v>
      </c>
      <c r="K265" s="5" t="s">
        <v>144</v>
      </c>
      <c r="L265" s="5" t="s">
        <v>70</v>
      </c>
      <c r="M265" s="10"/>
      <c r="N265" s="5" t="s">
        <v>1362</v>
      </c>
      <c r="O265" s="9" t="s">
        <v>49</v>
      </c>
    </row>
    <row r="266" spans="1:15">
      <c r="A266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VLT-SAI-005-OFF-P</v>
      </c>
      <c r="B266" s="5" t="s">
        <v>146</v>
      </c>
      <c r="C266" s="9" t="s">
        <v>147</v>
      </c>
      <c r="D266" s="5" t="s">
        <v>148</v>
      </c>
      <c r="E266" s="5" t="s">
        <v>116</v>
      </c>
      <c r="F266" s="5" t="s">
        <v>117</v>
      </c>
      <c r="G266" s="9" t="s">
        <v>51</v>
      </c>
      <c r="H266" s="11">
        <v>229.9</v>
      </c>
      <c r="I266" s="11">
        <v>101.65</v>
      </c>
      <c r="J266" s="12">
        <f>IF(OR(tVerao26[[#This Row],[Preço (R$)]]="",tVerao26[[#This Row],[Custo (R$)]]=""),"",(tVerao26[[#This Row],[Preço (R$)]]-tVerao26[[#This Row],[Custo (R$)]])/tVerao26[[#This Row],[Preço (R$)]])</f>
        <v>0.55785123966942152</v>
      </c>
      <c r="K266" s="5" t="s">
        <v>149</v>
      </c>
      <c r="L266" s="5" t="s">
        <v>70</v>
      </c>
      <c r="M266" s="10"/>
      <c r="N266" s="5" t="s">
        <v>1358</v>
      </c>
      <c r="O266" s="9" t="s">
        <v>49</v>
      </c>
    </row>
    <row r="267" spans="1:15">
      <c r="A267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VLT-SAI-005-OFF-M</v>
      </c>
      <c r="B267" s="5" t="s">
        <v>151</v>
      </c>
      <c r="C267" s="9" t="s">
        <v>147</v>
      </c>
      <c r="D267" s="5" t="s">
        <v>148</v>
      </c>
      <c r="E267" s="5" t="s">
        <v>116</v>
      </c>
      <c r="F267" s="5" t="s">
        <v>117</v>
      </c>
      <c r="G267" s="9" t="s">
        <v>54</v>
      </c>
      <c r="H267" s="11">
        <v>229.9</v>
      </c>
      <c r="I267" s="11">
        <v>103.61</v>
      </c>
      <c r="J267" s="12">
        <f>IF(OR(tVerao26[[#This Row],[Preço (R$)]]="",tVerao26[[#This Row],[Custo (R$)]]=""),"",(tVerao26[[#This Row],[Preço (R$)]]-tVerao26[[#This Row],[Custo (R$)]])/tVerao26[[#This Row],[Preço (R$)]])</f>
        <v>0.54932579382340152</v>
      </c>
      <c r="K267" s="5" t="s">
        <v>152</v>
      </c>
      <c r="L267" s="5" t="s">
        <v>70</v>
      </c>
      <c r="M267" s="10"/>
      <c r="N267" s="5" t="s">
        <v>1358</v>
      </c>
      <c r="O267" s="9" t="s">
        <v>49</v>
      </c>
    </row>
    <row r="268" spans="1:15">
      <c r="A268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VLT-SAI-005-OFF-G</v>
      </c>
      <c r="B268" s="5" t="s">
        <v>153</v>
      </c>
      <c r="C268" s="9" t="s">
        <v>147</v>
      </c>
      <c r="D268" s="5" t="s">
        <v>148</v>
      </c>
      <c r="E268" s="5" t="s">
        <v>116</v>
      </c>
      <c r="F268" s="5" t="s">
        <v>117</v>
      </c>
      <c r="G268" s="9" t="s">
        <v>58</v>
      </c>
      <c r="H268" s="11">
        <v>229.9</v>
      </c>
      <c r="I268" s="11">
        <v>103.09</v>
      </c>
      <c r="J268" s="12">
        <f>IF(OR(tVerao26[[#This Row],[Preço (R$)]]="",tVerao26[[#This Row],[Custo (R$)]]=""),"",(tVerao26[[#This Row],[Preço (R$)]]-tVerao26[[#This Row],[Custo (R$)]])/tVerao26[[#This Row],[Preço (R$)]])</f>
        <v>0.5515876468029578</v>
      </c>
      <c r="K268" s="5" t="s">
        <v>154</v>
      </c>
      <c r="L268" s="5" t="s">
        <v>70</v>
      </c>
      <c r="M268" s="10"/>
      <c r="N268" s="5" t="s">
        <v>1358</v>
      </c>
      <c r="O268" s="9" t="s">
        <v>49</v>
      </c>
    </row>
    <row r="269" spans="1:15">
      <c r="A269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VLT-TOP-004-OLI-P</v>
      </c>
      <c r="B269" s="5" t="s">
        <v>176</v>
      </c>
      <c r="C269" s="9" t="s">
        <v>177</v>
      </c>
      <c r="D269" s="5" t="s">
        <v>178</v>
      </c>
      <c r="E269" s="5" t="s">
        <v>179</v>
      </c>
      <c r="F269" s="5" t="s">
        <v>180</v>
      </c>
      <c r="G269" s="9" t="s">
        <v>51</v>
      </c>
      <c r="H269" s="11">
        <v>149.9</v>
      </c>
      <c r="I269" s="11">
        <v>53.58</v>
      </c>
      <c r="J269" s="12">
        <f>IF(OR(tVerao26[[#This Row],[Preço (R$)]]="",tVerao26[[#This Row],[Custo (R$)]]=""),"",(tVerao26[[#This Row],[Preço (R$)]]-tVerao26[[#This Row],[Custo (R$)]])/tVerao26[[#This Row],[Preço (R$)]])</f>
        <v>0.6425617078052035</v>
      </c>
      <c r="K269" s="5" t="s">
        <v>181</v>
      </c>
      <c r="L269" s="5" t="s">
        <v>70</v>
      </c>
      <c r="M269" s="10"/>
      <c r="N269" s="5" t="s">
        <v>1358</v>
      </c>
      <c r="O269" s="9" t="s">
        <v>49</v>
      </c>
    </row>
    <row r="270" spans="1:15">
      <c r="A270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VLT-TOP-004-OLI-M</v>
      </c>
      <c r="B270" s="5" t="s">
        <v>182</v>
      </c>
      <c r="C270" s="9" t="s">
        <v>177</v>
      </c>
      <c r="D270" s="5" t="s">
        <v>178</v>
      </c>
      <c r="E270" s="5" t="s">
        <v>179</v>
      </c>
      <c r="F270" s="5" t="s">
        <v>180</v>
      </c>
      <c r="G270" s="9" t="s">
        <v>54</v>
      </c>
      <c r="H270" s="11">
        <v>149.9</v>
      </c>
      <c r="I270" s="11">
        <v>54.23</v>
      </c>
      <c r="J270" s="12">
        <f>IF(OR(tVerao26[[#This Row],[Preço (R$)]]="",tVerao26[[#This Row],[Custo (R$)]]=""),"",(tVerao26[[#This Row],[Preço (R$)]]-tVerao26[[#This Row],[Custo (R$)]])/tVerao26[[#This Row],[Preço (R$)]])</f>
        <v>0.63822548365577059</v>
      </c>
      <c r="K270" s="5" t="s">
        <v>183</v>
      </c>
      <c r="L270" s="5" t="s">
        <v>70</v>
      </c>
      <c r="M270" s="10"/>
      <c r="N270" s="5" t="s">
        <v>1358</v>
      </c>
      <c r="O270" s="9" t="s">
        <v>49</v>
      </c>
    </row>
    <row r="271" spans="1:15">
      <c r="A271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VLT-TOP-004-OLI-G</v>
      </c>
      <c r="B271" s="5" t="s">
        <v>185</v>
      </c>
      <c r="C271" s="9" t="s">
        <v>177</v>
      </c>
      <c r="D271" s="5" t="s">
        <v>178</v>
      </c>
      <c r="E271" s="5" t="s">
        <v>179</v>
      </c>
      <c r="F271" s="5" t="s">
        <v>180</v>
      </c>
      <c r="G271" s="9" t="s">
        <v>58</v>
      </c>
      <c r="H271" s="11">
        <v>149.9</v>
      </c>
      <c r="I271" s="11">
        <v>53.69</v>
      </c>
      <c r="J271" s="12">
        <f>IF(OR(tVerao26[[#This Row],[Preço (R$)]]="",tVerao26[[#This Row],[Custo (R$)]]=""),"",(tVerao26[[#This Row],[Preço (R$)]]-tVerao26[[#This Row],[Custo (R$)]])/tVerao26[[#This Row],[Preço (R$)]])</f>
        <v>0.64182788525683787</v>
      </c>
      <c r="K271" s="5" t="s">
        <v>186</v>
      </c>
      <c r="L271" s="5" t="s">
        <v>70</v>
      </c>
      <c r="M271" s="10"/>
      <c r="N271" s="5" t="s">
        <v>1358</v>
      </c>
      <c r="O271" s="9" t="s">
        <v>49</v>
      </c>
    </row>
    <row r="272" spans="1:15">
      <c r="A272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VLT-TOP-004-OLI-GG</v>
      </c>
      <c r="B272" s="5" t="s">
        <v>187</v>
      </c>
      <c r="C272" s="9" t="s">
        <v>177</v>
      </c>
      <c r="D272" s="5" t="s">
        <v>178</v>
      </c>
      <c r="E272" s="5" t="s">
        <v>179</v>
      </c>
      <c r="F272" s="5" t="s">
        <v>180</v>
      </c>
      <c r="G272" s="9" t="s">
        <v>61</v>
      </c>
      <c r="H272" s="11">
        <v>149.9</v>
      </c>
      <c r="I272" s="11">
        <v>51.31</v>
      </c>
      <c r="J272" s="12">
        <f>IF(OR(tVerao26[[#This Row],[Preço (R$)]]="",tVerao26[[#This Row],[Custo (R$)]]=""),"",(tVerao26[[#This Row],[Preço (R$)]]-tVerao26[[#This Row],[Custo (R$)]])/tVerao26[[#This Row],[Preço (R$)]])</f>
        <v>0.65770513675783859</v>
      </c>
      <c r="K272" s="5" t="s">
        <v>188</v>
      </c>
      <c r="L272" s="5" t="s">
        <v>70</v>
      </c>
      <c r="M272" s="10"/>
      <c r="N272" s="5" t="s">
        <v>1358</v>
      </c>
      <c r="O272" s="9" t="s">
        <v>49</v>
      </c>
    </row>
    <row r="273" spans="1:15">
      <c r="A273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VLT-TOP-008-BEG-P</v>
      </c>
      <c r="B273" s="5" t="s">
        <v>296</v>
      </c>
      <c r="C273" s="9" t="s">
        <v>297</v>
      </c>
      <c r="D273" s="5" t="s">
        <v>298</v>
      </c>
      <c r="E273" s="5" t="s">
        <v>179</v>
      </c>
      <c r="F273" s="5" t="s">
        <v>299</v>
      </c>
      <c r="G273" s="9" t="s">
        <v>51</v>
      </c>
      <c r="H273" s="11">
        <v>149.9</v>
      </c>
      <c r="I273" s="11">
        <v>56.69</v>
      </c>
      <c r="J273" s="12">
        <f>IF(OR(tVerao26[[#This Row],[Preço (R$)]]="",tVerao26[[#This Row],[Custo (R$)]]=""),"",(tVerao26[[#This Row],[Preço (R$)]]-tVerao26[[#This Row],[Custo (R$)]])/tVerao26[[#This Row],[Preço (R$)]])</f>
        <v>0.62181454302868577</v>
      </c>
      <c r="K273" s="5" t="s">
        <v>300</v>
      </c>
      <c r="L273" s="5" t="s">
        <v>101</v>
      </c>
      <c r="M273" s="10"/>
      <c r="N273" s="5" t="s">
        <v>1358</v>
      </c>
      <c r="O273" s="9" t="s">
        <v>49</v>
      </c>
    </row>
    <row r="274" spans="1:15">
      <c r="A274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VLT-TOP-008-BEG-M</v>
      </c>
      <c r="B274" s="5" t="s">
        <v>301</v>
      </c>
      <c r="C274" s="9" t="s">
        <v>297</v>
      </c>
      <c r="D274" s="5" t="s">
        <v>298</v>
      </c>
      <c r="E274" s="5" t="s">
        <v>179</v>
      </c>
      <c r="F274" s="5" t="s">
        <v>299</v>
      </c>
      <c r="G274" s="9" t="s">
        <v>54</v>
      </c>
      <c r="H274" s="11">
        <v>149.9</v>
      </c>
      <c r="I274" s="11">
        <v>59.79</v>
      </c>
      <c r="J274" s="12">
        <f>IF(OR(tVerao26[[#This Row],[Preço (R$)]]="",tVerao26[[#This Row],[Custo (R$)]]=""),"",(tVerao26[[#This Row],[Preço (R$)]]-tVerao26[[#This Row],[Custo (R$)]])/tVerao26[[#This Row],[Preço (R$)]])</f>
        <v>0.60113408939292867</v>
      </c>
      <c r="K274" s="5" t="s">
        <v>302</v>
      </c>
      <c r="L274" s="5" t="s">
        <v>101</v>
      </c>
      <c r="M274" s="10"/>
      <c r="N274" s="5" t="s">
        <v>1358</v>
      </c>
      <c r="O274" s="9" t="s">
        <v>49</v>
      </c>
    </row>
    <row r="275" spans="1:15">
      <c r="A275" t="str">
        <f>IF(tVerao26[[#This Row],[Modelo]]="","","VLT-"&amp;tVerao26[[#This Row],[Modelo]]&amp;"-"&amp;IFERROR(INDEX(tCores[Sigla],MATCH(tVerao26[[#This Row],[Cor]],tCores[Cor],0)),"???")&amp;"-"&amp;IFERROR(INDEX(tTamanhos[Sigla],MATCH(tVerao26[[#This Row],[Tamanho]],tTamanhos[Tamanho],0)),IF(ISNUMBER(SEARCH("/",tVerao26[[#This Row],[Tamanho]])),"GRADE",tVerao26[[#This Row],[Tamanho]])))</f>
        <v>VLT-TOP-008-BEG-G</v>
      </c>
      <c r="B275" s="5" t="s">
        <v>304</v>
      </c>
      <c r="C275" s="9" t="s">
        <v>297</v>
      </c>
      <c r="D275" s="5" t="s">
        <v>298</v>
      </c>
      <c r="E275" s="5" t="s">
        <v>179</v>
      </c>
      <c r="F275" s="5" t="s">
        <v>299</v>
      </c>
      <c r="G275" s="9" t="s">
        <v>58</v>
      </c>
      <c r="H275" s="11">
        <v>149.9</v>
      </c>
      <c r="I275" s="27">
        <v>59.79</v>
      </c>
      <c r="J275" s="12">
        <f>IF(OR(tVerao26[[#This Row],[Preço (R$)]]="",tVerao26[[#This Row],[Custo (R$)]]=""),"",(tVerao26[[#This Row],[Preço (R$)]]-tVerao26[[#This Row],[Custo (R$)]])/tVerao26[[#This Row],[Preço (R$)]])</f>
        <v>0.60113408939292867</v>
      </c>
      <c r="K275" s="5" t="s">
        <v>305</v>
      </c>
      <c r="L275" s="5" t="s">
        <v>101</v>
      </c>
      <c r="M275" s="10"/>
      <c r="N275" s="5" t="s">
        <v>1363</v>
      </c>
      <c r="O275" s="9" t="s">
        <v>49</v>
      </c>
    </row>
  </sheetData>
  <conditionalFormatting sqref="A5:O275">
    <cfRule type="expression" dxfId="73" priority="1">
      <formula>$O5="Descontinuado"</formula>
    </cfRule>
  </conditionalFormatting>
  <conditionalFormatting sqref="A5:O275">
    <cfRule type="expression" dxfId="72" priority="2">
      <formula>$O5="Revisar preço"</formula>
    </cfRule>
  </conditionalFormatting>
  <conditionalFormatting sqref="I5:I275">
    <cfRule type="expression" dxfId="71" priority="3">
      <formula>AND($I5="",$O5&lt;&gt;"Descontinuado")</formula>
    </cfRule>
  </conditionalFormatting>
  <conditionalFormatting sqref="K5:K275">
    <cfRule type="expression" dxfId="70" priority="4">
      <formula>AND($K5&lt;&gt;"",COUNTIF($K$5:$K$275,$K5)&gt;1)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669210DA-2AFC-B248-9469-6F247FD261D7}">
            <xm:f>AND(ISNUMBER($J5),$J5&lt;Listas!$L$4,$O5&lt;&gt;"Descontinuado")</xm:f>
            <x14:dxf>
              <font>
                <b/>
                <i val="0"/>
                <color rgb="FFC00000"/>
              </font>
            </x14:dxf>
          </x14:cfRule>
          <xm:sqref>J5:J275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fora da lista" error="Use um valor da aba Listas." xr:uid="{7E08C981-5340-5F47-A667-51A8719A8CF3}">
          <x14:formula1>
            <xm:f>Listas!$D$4:$D$14</xm:f>
          </x14:formula1>
          <xm:sqref>E5:E275</xm:sqref>
        </x14:dataValidation>
        <x14:dataValidation type="list" allowBlank="1" showInputMessage="1" showErrorMessage="1" errorTitle="Valor fora da lista" error="Use um valor da aba Listas." xr:uid="{CDF512BA-4AA2-5C4D-B3A4-BB06BF0C3ACB}">
          <x14:formula1>
            <xm:f>Listas!$A$4:$A$16</xm:f>
          </x14:formula1>
          <xm:sqref>F5:F275</xm:sqref>
        </x14:dataValidation>
        <x14:dataValidation type="list" errorStyle="warning" allowBlank="1" showInputMessage="1" showErrorMessage="1" errorTitle="Valor fora da lista" error="Use XP, P, M, G, GG, XG ou Único." xr:uid="{C571B468-1E57-8847-996C-CA88FE1CE500}">
          <x14:formula1>
            <xm:f>Listas!$G$4:$G$10</xm:f>
          </x14:formula1>
          <xm:sqref>G5:G275</xm:sqref>
        </x14:dataValidation>
        <x14:dataValidation type="list" allowBlank="1" showInputMessage="1" showErrorMessage="1" errorTitle="Valor fora da lista" error="Use um valor da aba Listas." xr:uid="{1FE58331-A144-E346-A76B-299C8DB55BF8}">
          <x14:formula1>
            <xm:f>Listas!$J$4:$J$6</xm:f>
          </x14:formula1>
          <xm:sqref>O5:O275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C4D6-08BD-3C4B-AB13-267F7E1568F5}">
  <dimension ref="A1:O181"/>
  <sheetViews>
    <sheetView workbookViewId="0">
      <pane ySplit="4" topLeftCell="A5" activePane="bottomLeft" state="frozen"/>
      <selection pane="bottomLeft"/>
    </sheetView>
  </sheetViews>
  <sheetFormatPr defaultColWidth="11.42578125" defaultRowHeight="15"/>
  <cols>
    <col min="1" max="1" width="25" customWidth="1"/>
    <col min="2" max="2" width="15" customWidth="1"/>
    <col min="3" max="3" width="10" customWidth="1"/>
    <col min="4" max="4" width="35" customWidth="1"/>
    <col min="5" max="5" width="19.140625" customWidth="1"/>
    <col min="6" max="6" width="15" customWidth="1"/>
    <col min="7" max="7" width="12.42578125" customWidth="1"/>
    <col min="8" max="9" width="13.28515625" customWidth="1"/>
    <col min="10" max="10" width="11.7109375" customWidth="1"/>
    <col min="11" max="11" width="20" customWidth="1"/>
    <col min="12" max="12" width="13.28515625" customWidth="1"/>
    <col min="13" max="13" width="25" customWidth="1"/>
    <col min="14" max="14" width="16.7109375" customWidth="1"/>
  </cols>
  <sheetData>
    <row r="1" spans="1:15" ht="21">
      <c r="A1" s="34" t="s">
        <v>1364</v>
      </c>
    </row>
    <row r="2" spans="1:15">
      <c r="A2" s="7" t="s">
        <v>27</v>
      </c>
    </row>
    <row r="3" spans="1:15">
      <c r="A3" s="8" t="s">
        <v>1365</v>
      </c>
    </row>
    <row r="4" spans="1:15" ht="30" customHeight="1">
      <c r="A4" s="32" t="s">
        <v>28</v>
      </c>
      <c r="B4" s="32" t="s">
        <v>29</v>
      </c>
      <c r="C4" s="32" t="s">
        <v>30</v>
      </c>
      <c r="D4" s="32" t="s">
        <v>12</v>
      </c>
      <c r="E4" s="32" t="s">
        <v>31</v>
      </c>
      <c r="F4" s="32" t="s">
        <v>32</v>
      </c>
      <c r="G4" s="32" t="s">
        <v>33</v>
      </c>
      <c r="H4" s="32" t="s">
        <v>17</v>
      </c>
      <c r="I4" s="32" t="s">
        <v>34</v>
      </c>
      <c r="J4" s="32" t="s">
        <v>35</v>
      </c>
      <c r="K4" s="32" t="s">
        <v>36</v>
      </c>
      <c r="L4" s="32" t="s">
        <v>37</v>
      </c>
      <c r="M4" s="32" t="s">
        <v>38</v>
      </c>
      <c r="N4" s="32" t="s">
        <v>39</v>
      </c>
      <c r="O4" s="32" t="s">
        <v>18</v>
      </c>
    </row>
    <row r="5" spans="1:15">
      <c r="A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VLT-MOL-014-OLI-P</v>
      </c>
      <c r="B5" s="5" t="s">
        <v>1366</v>
      </c>
      <c r="C5" s="9" t="s">
        <v>1367</v>
      </c>
      <c r="D5" s="5" t="s">
        <v>1368</v>
      </c>
      <c r="E5" s="5" t="s">
        <v>98</v>
      </c>
      <c r="F5" s="5" t="s">
        <v>180</v>
      </c>
      <c r="G5" s="9" t="s">
        <v>51</v>
      </c>
      <c r="H5" s="31">
        <v>359.9</v>
      </c>
      <c r="I5" s="11">
        <v>168.03</v>
      </c>
      <c r="J5" s="12">
        <f>IF(OR(tInverno26[[#This Row],[Preço (R$)]]="",tInverno26[[#This Row],[Custo (R$)]]=""),"",(tInverno26[[#This Row],[Preço (R$)]]-tInverno26[[#This Row],[Custo (R$)]])/tInverno26[[#This Row],[Preço (R$)]])</f>
        <v>0.53312031119755487</v>
      </c>
      <c r="K5" s="5" t="s">
        <v>1369</v>
      </c>
      <c r="L5" s="28" t="s">
        <v>101</v>
      </c>
      <c r="M5" s="10">
        <v>46130</v>
      </c>
      <c r="N5" s="5" t="s">
        <v>1370</v>
      </c>
      <c r="O5" s="9" t="s">
        <v>49</v>
      </c>
    </row>
    <row r="6" spans="1:15">
      <c r="A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VLT-MOL-014-OLI-M</v>
      </c>
      <c r="B6" s="5" t="s">
        <v>1371</v>
      </c>
      <c r="C6" s="9" t="s">
        <v>1367</v>
      </c>
      <c r="D6" s="5" t="s">
        <v>1368</v>
      </c>
      <c r="E6" s="5" t="s">
        <v>98</v>
      </c>
      <c r="F6" s="5" t="s">
        <v>180</v>
      </c>
      <c r="G6" s="9" t="s">
        <v>54</v>
      </c>
      <c r="H6" s="31">
        <v>359.9</v>
      </c>
      <c r="I6" s="11">
        <v>166.36</v>
      </c>
      <c r="J6" s="12">
        <f>IF(OR(tInverno26[[#This Row],[Preço (R$)]]="",tInverno26[[#This Row],[Custo (R$)]]=""),"",(tInverno26[[#This Row],[Preço (R$)]]-tInverno26[[#This Row],[Custo (R$)]])/tInverno26[[#This Row],[Preço (R$)]])</f>
        <v>0.53776048902472906</v>
      </c>
      <c r="K6" s="5" t="s">
        <v>1372</v>
      </c>
      <c r="L6" s="28" t="s">
        <v>101</v>
      </c>
      <c r="M6" s="10">
        <v>46130</v>
      </c>
      <c r="N6" s="5" t="s">
        <v>1370</v>
      </c>
      <c r="O6" s="9" t="s">
        <v>49</v>
      </c>
    </row>
    <row r="7" spans="1:15">
      <c r="A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VLT-MOL-014-OLI-G</v>
      </c>
      <c r="B7" s="5" t="s">
        <v>1373</v>
      </c>
      <c r="C7" s="9" t="s">
        <v>1367</v>
      </c>
      <c r="D7" s="5" t="s">
        <v>1368</v>
      </c>
      <c r="E7" s="5" t="s">
        <v>98</v>
      </c>
      <c r="F7" s="5" t="s">
        <v>180</v>
      </c>
      <c r="G7" s="9" t="s">
        <v>58</v>
      </c>
      <c r="H7" s="31">
        <v>359.9</v>
      </c>
      <c r="I7" s="11">
        <v>173.46</v>
      </c>
      <c r="J7" s="12">
        <f>IF(OR(tInverno26[[#This Row],[Preço (R$)]]="",tInverno26[[#This Row],[Custo (R$)]]=""),"",(tInverno26[[#This Row],[Preço (R$)]]-tInverno26[[#This Row],[Custo (R$)]])/tInverno26[[#This Row],[Preço (R$)]])</f>
        <v>0.5180327868852459</v>
      </c>
      <c r="K7" s="5" t="s">
        <v>1374</v>
      </c>
      <c r="L7" s="28" t="s">
        <v>101</v>
      </c>
      <c r="M7" s="10">
        <v>46130</v>
      </c>
      <c r="N7" s="5" t="s">
        <v>1370</v>
      </c>
      <c r="O7" s="9" t="s">
        <v>49</v>
      </c>
    </row>
    <row r="8" spans="1:15">
      <c r="A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VLT-MOL-014-OLI-GG</v>
      </c>
      <c r="B8" s="5" t="s">
        <v>1375</v>
      </c>
      <c r="C8" s="9" t="s">
        <v>1367</v>
      </c>
      <c r="D8" s="5" t="s">
        <v>1368</v>
      </c>
      <c r="E8" s="5" t="s">
        <v>98</v>
      </c>
      <c r="F8" s="5" t="s">
        <v>180</v>
      </c>
      <c r="G8" s="9" t="s">
        <v>61</v>
      </c>
      <c r="H8" s="31">
        <v>359.9</v>
      </c>
      <c r="I8" s="11">
        <v>175.7</v>
      </c>
      <c r="J8" s="12">
        <f>IF(OR(tInverno26[[#This Row],[Preço (R$)]]="",tInverno26[[#This Row],[Custo (R$)]]=""),"",(tInverno26[[#This Row],[Preço (R$)]]-tInverno26[[#This Row],[Custo (R$)]])/tInverno26[[#This Row],[Preço (R$)]])</f>
        <v>0.51180883578771885</v>
      </c>
      <c r="K8" s="5" t="s">
        <v>1376</v>
      </c>
      <c r="L8" s="28" t="s">
        <v>101</v>
      </c>
      <c r="M8" s="10">
        <v>46130</v>
      </c>
      <c r="N8" s="5" t="s">
        <v>1370</v>
      </c>
      <c r="O8" s="9" t="s">
        <v>49</v>
      </c>
    </row>
    <row r="9" spans="1:15">
      <c r="A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VLT-MOL-014-AMA-P</v>
      </c>
      <c r="B9" s="5" t="s">
        <v>1377</v>
      </c>
      <c r="C9" s="9" t="s">
        <v>1367</v>
      </c>
      <c r="D9" s="5" t="s">
        <v>1368</v>
      </c>
      <c r="E9" s="5" t="s">
        <v>98</v>
      </c>
      <c r="F9" s="5" t="s">
        <v>99</v>
      </c>
      <c r="G9" s="9" t="s">
        <v>51</v>
      </c>
      <c r="H9" s="31">
        <v>359.9</v>
      </c>
      <c r="I9" s="11">
        <v>172.87</v>
      </c>
      <c r="J9" s="12">
        <f>IF(OR(tInverno26[[#This Row],[Preço (R$)]]="",tInverno26[[#This Row],[Custo (R$)]]=""),"",(tInverno26[[#This Row],[Preço (R$)]]-tInverno26[[#This Row],[Custo (R$)]])/tInverno26[[#This Row],[Preço (R$)]])</f>
        <v>0.51967213114754096</v>
      </c>
      <c r="K9" s="5" t="s">
        <v>1378</v>
      </c>
      <c r="L9" s="28" t="s">
        <v>101</v>
      </c>
      <c r="M9" s="10">
        <v>46130</v>
      </c>
      <c r="N9" s="5" t="s">
        <v>1370</v>
      </c>
      <c r="O9" s="9" t="s">
        <v>49</v>
      </c>
    </row>
    <row r="10" spans="1:15">
      <c r="A1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VLT-MOL-014-AMA-M</v>
      </c>
      <c r="B10" s="5" t="s">
        <v>1379</v>
      </c>
      <c r="C10" s="9" t="s">
        <v>1367</v>
      </c>
      <c r="D10" s="5" t="s">
        <v>1368</v>
      </c>
      <c r="E10" s="5" t="s">
        <v>98</v>
      </c>
      <c r="F10" s="5" t="s">
        <v>99</v>
      </c>
      <c r="G10" s="9" t="s">
        <v>54</v>
      </c>
      <c r="H10" s="31">
        <v>359.9</v>
      </c>
      <c r="I10" s="27">
        <v>172.87</v>
      </c>
      <c r="J10" s="12">
        <f>IF(OR(tInverno26[[#This Row],[Preço (R$)]]="",tInverno26[[#This Row],[Custo (R$)]]=""),"",(tInverno26[[#This Row],[Preço (R$)]]-tInverno26[[#This Row],[Custo (R$)]])/tInverno26[[#This Row],[Preço (R$)]])</f>
        <v>0.51967213114754096</v>
      </c>
      <c r="K10" s="28" t="s">
        <v>1380</v>
      </c>
      <c r="L10" s="28" t="s">
        <v>101</v>
      </c>
      <c r="M10" s="10">
        <v>46130</v>
      </c>
      <c r="N10" s="5" t="s">
        <v>1381</v>
      </c>
      <c r="O10" s="9" t="s">
        <v>49</v>
      </c>
    </row>
    <row r="11" spans="1:15">
      <c r="A1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VLT-MOL-014-AMA-G</v>
      </c>
      <c r="B11" s="5" t="s">
        <v>1382</v>
      </c>
      <c r="C11" s="9" t="s">
        <v>1367</v>
      </c>
      <c r="D11" s="5" t="s">
        <v>1368</v>
      </c>
      <c r="E11" s="5" t="s">
        <v>98</v>
      </c>
      <c r="F11" s="5" t="s">
        <v>99</v>
      </c>
      <c r="G11" s="9" t="s">
        <v>58</v>
      </c>
      <c r="H11" s="31">
        <v>359.9</v>
      </c>
      <c r="I11" s="27">
        <v>172.87</v>
      </c>
      <c r="J11" s="12">
        <f>IF(OR(tInverno26[[#This Row],[Preço (R$)]]="",tInverno26[[#This Row],[Custo (R$)]]=""),"",(tInverno26[[#This Row],[Preço (R$)]]-tInverno26[[#This Row],[Custo (R$)]])/tInverno26[[#This Row],[Preço (R$)]])</f>
        <v>0.51967213114754096</v>
      </c>
      <c r="K11" s="5" t="s">
        <v>1383</v>
      </c>
      <c r="L11" s="28" t="s">
        <v>101</v>
      </c>
      <c r="M11" s="10">
        <v>46130</v>
      </c>
      <c r="N11" s="5" t="s">
        <v>1384</v>
      </c>
      <c r="O11" s="9" t="s">
        <v>49</v>
      </c>
    </row>
    <row r="12" spans="1:15">
      <c r="A1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VLT-MOL-014-AMA-GG</v>
      </c>
      <c r="B12" s="5" t="s">
        <v>1385</v>
      </c>
      <c r="C12" s="9" t="s">
        <v>1367</v>
      </c>
      <c r="D12" s="5" t="s">
        <v>1368</v>
      </c>
      <c r="E12" s="5" t="s">
        <v>98</v>
      </c>
      <c r="F12" s="5" t="s">
        <v>99</v>
      </c>
      <c r="G12" s="9" t="s">
        <v>61</v>
      </c>
      <c r="H12" s="31">
        <v>359.9</v>
      </c>
      <c r="I12" s="27">
        <v>172.87</v>
      </c>
      <c r="J12" s="12">
        <f>IF(OR(tInverno26[[#This Row],[Preço (R$)]]="",tInverno26[[#This Row],[Custo (R$)]]=""),"",(tInverno26[[#This Row],[Preço (R$)]]-tInverno26[[#This Row],[Custo (R$)]])/tInverno26[[#This Row],[Preço (R$)]])</f>
        <v>0.51967213114754096</v>
      </c>
      <c r="K12" s="5" t="s">
        <v>1386</v>
      </c>
      <c r="L12" s="28" t="s">
        <v>101</v>
      </c>
      <c r="M12" s="10">
        <v>46130</v>
      </c>
      <c r="N12" s="5" t="s">
        <v>1384</v>
      </c>
      <c r="O12" s="9" t="s">
        <v>49</v>
      </c>
    </row>
    <row r="13" spans="1:15">
      <c r="A1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VLT-MOL-015-AZM-P</v>
      </c>
      <c r="B13" s="5" t="s">
        <v>1387</v>
      </c>
      <c r="C13" s="9" t="s">
        <v>1388</v>
      </c>
      <c r="D13" s="5" t="s">
        <v>1389</v>
      </c>
      <c r="E13" s="5" t="s">
        <v>98</v>
      </c>
      <c r="F13" s="5" t="s">
        <v>68</v>
      </c>
      <c r="G13" s="9" t="s">
        <v>51</v>
      </c>
      <c r="H13" s="11">
        <v>299.89999999999998</v>
      </c>
      <c r="I13" s="11">
        <v>122.03</v>
      </c>
      <c r="J13" s="12">
        <f>IF(OR(tInverno26[[#This Row],[Preço (R$)]]="",tInverno26[[#This Row],[Custo (R$)]]=""),"",(tInverno26[[#This Row],[Preço (R$)]]-tInverno26[[#This Row],[Custo (R$)]])/tInverno26[[#This Row],[Preço (R$)]])</f>
        <v>0.59309769923307765</v>
      </c>
      <c r="K13" s="5" t="s">
        <v>1390</v>
      </c>
      <c r="L13" s="28" t="s">
        <v>101</v>
      </c>
      <c r="M13" s="10">
        <v>46136</v>
      </c>
      <c r="N13" s="5" t="s">
        <v>1154</v>
      </c>
      <c r="O13" s="9" t="s">
        <v>49</v>
      </c>
    </row>
    <row r="14" spans="1:15">
      <c r="A1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VLT-MOL-015-AZM-M</v>
      </c>
      <c r="B14" s="5" t="s">
        <v>1391</v>
      </c>
      <c r="C14" s="9" t="s">
        <v>1388</v>
      </c>
      <c r="D14" s="5" t="s">
        <v>1389</v>
      </c>
      <c r="E14" s="5" t="s">
        <v>98</v>
      </c>
      <c r="F14" s="5" t="s">
        <v>68</v>
      </c>
      <c r="G14" s="9" t="s">
        <v>54</v>
      </c>
      <c r="H14" s="11">
        <v>299.89999999999998</v>
      </c>
      <c r="I14" s="11">
        <v>123.92</v>
      </c>
      <c r="J14" s="12">
        <f>IF(OR(tInverno26[[#This Row],[Preço (R$)]]="",tInverno26[[#This Row],[Custo (R$)]]=""),"",(tInverno26[[#This Row],[Preço (R$)]]-tInverno26[[#This Row],[Custo (R$)]])/tInverno26[[#This Row],[Preço (R$)]])</f>
        <v>0.58679559853284424</v>
      </c>
      <c r="K14" s="5" t="s">
        <v>1392</v>
      </c>
      <c r="L14" s="28" t="s">
        <v>101</v>
      </c>
      <c r="M14" s="10">
        <v>46136</v>
      </c>
      <c r="N14" s="5" t="s">
        <v>1154</v>
      </c>
      <c r="O14" s="9" t="s">
        <v>49</v>
      </c>
    </row>
    <row r="15" spans="1:15">
      <c r="A1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VLT-MOL-015-AZM-G</v>
      </c>
      <c r="B15" s="5" t="s">
        <v>1393</v>
      </c>
      <c r="C15" s="9" t="s">
        <v>1388</v>
      </c>
      <c r="D15" s="5" t="s">
        <v>1389</v>
      </c>
      <c r="E15" s="5" t="s">
        <v>98</v>
      </c>
      <c r="F15" s="5" t="s">
        <v>68</v>
      </c>
      <c r="G15" s="9" t="s">
        <v>58</v>
      </c>
      <c r="H15" s="11">
        <v>299.89999999999998</v>
      </c>
      <c r="I15" s="11">
        <v>125.5</v>
      </c>
      <c r="J15" s="12">
        <f>IF(OR(tInverno26[[#This Row],[Preço (R$)]]="",tInverno26[[#This Row],[Custo (R$)]]=""),"",(tInverno26[[#This Row],[Preço (R$)]]-tInverno26[[#This Row],[Custo (R$)]])/tInverno26[[#This Row],[Preço (R$)]])</f>
        <v>0.58152717572524171</v>
      </c>
      <c r="K15" s="5" t="s">
        <v>1394</v>
      </c>
      <c r="L15" s="28" t="s">
        <v>101</v>
      </c>
      <c r="M15" s="10">
        <v>46136</v>
      </c>
      <c r="N15" s="5" t="s">
        <v>1154</v>
      </c>
      <c r="O15" s="9" t="s">
        <v>49</v>
      </c>
    </row>
    <row r="16" spans="1:15">
      <c r="A1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VLT-MOL-015-AZM-GG</v>
      </c>
      <c r="B16" s="5" t="s">
        <v>1395</v>
      </c>
      <c r="C16" s="9" t="s">
        <v>1388</v>
      </c>
      <c r="D16" s="5" t="s">
        <v>1389</v>
      </c>
      <c r="E16" s="5" t="s">
        <v>98</v>
      </c>
      <c r="F16" s="5" t="s">
        <v>68</v>
      </c>
      <c r="G16" s="9" t="s">
        <v>61</v>
      </c>
      <c r="H16" s="11">
        <v>299.89999999999998</v>
      </c>
      <c r="I16" s="27">
        <v>125.5</v>
      </c>
      <c r="J16" s="12">
        <f>IF(OR(tInverno26[[#This Row],[Preço (R$)]]="",tInverno26[[#This Row],[Custo (R$)]]=""),"",(tInverno26[[#This Row],[Preço (R$)]]-tInverno26[[#This Row],[Custo (R$)]])/tInverno26[[#This Row],[Preço (R$)]])</f>
        <v>0.58152717572524171</v>
      </c>
      <c r="K16" s="5" t="s">
        <v>1396</v>
      </c>
      <c r="L16" s="28" t="s">
        <v>101</v>
      </c>
      <c r="M16" s="10">
        <v>46136</v>
      </c>
      <c r="N16" s="5" t="s">
        <v>1397</v>
      </c>
      <c r="O16" s="9" t="s">
        <v>49</v>
      </c>
    </row>
    <row r="17" spans="1:15">
      <c r="A1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VLT-JAQ-001-OLI-P</v>
      </c>
      <c r="B17" s="5" t="s">
        <v>1398</v>
      </c>
      <c r="C17" s="9" t="s">
        <v>1399</v>
      </c>
      <c r="D17" s="5" t="s">
        <v>1400</v>
      </c>
      <c r="E17" s="5" t="s">
        <v>392</v>
      </c>
      <c r="F17" s="5" t="s">
        <v>180</v>
      </c>
      <c r="G17" s="9" t="s">
        <v>51</v>
      </c>
      <c r="H17" s="11">
        <v>489.9</v>
      </c>
      <c r="I17" s="11">
        <v>221.86</v>
      </c>
      <c r="J17" s="12">
        <f>IF(OR(tInverno26[[#This Row],[Preço (R$)]]="",tInverno26[[#This Row],[Custo (R$)]]=""),"",(tInverno26[[#This Row],[Preço (R$)]]-tInverno26[[#This Row],[Custo (R$)]])/tInverno26[[#This Row],[Preço (R$)]])</f>
        <v>0.54713206776893242</v>
      </c>
      <c r="K17" s="5" t="s">
        <v>1401</v>
      </c>
      <c r="L17" s="28" t="s">
        <v>47</v>
      </c>
      <c r="M17" s="10">
        <v>46131</v>
      </c>
      <c r="N17" s="5" t="s">
        <v>1402</v>
      </c>
      <c r="O17" s="9" t="s">
        <v>49</v>
      </c>
    </row>
    <row r="18" spans="1:15">
      <c r="A1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VLT-JAQ-001-OLI-M</v>
      </c>
      <c r="B18" s="5" t="s">
        <v>1403</v>
      </c>
      <c r="C18" s="9" t="s">
        <v>1399</v>
      </c>
      <c r="D18" s="5" t="s">
        <v>1400</v>
      </c>
      <c r="E18" s="5" t="s">
        <v>392</v>
      </c>
      <c r="F18" s="5" t="s">
        <v>180</v>
      </c>
      <c r="G18" s="9" t="s">
        <v>54</v>
      </c>
      <c r="H18" s="11">
        <v>489.9</v>
      </c>
      <c r="I18" s="11">
        <v>225.24</v>
      </c>
      <c r="J18" s="12">
        <f>IF(OR(tInverno26[[#This Row],[Preço (R$)]]="",tInverno26[[#This Row],[Custo (R$)]]=""),"",(tInverno26[[#This Row],[Preço (R$)]]-tInverno26[[#This Row],[Custo (R$)]])/tInverno26[[#This Row],[Preço (R$)]])</f>
        <v>0.54023270055113282</v>
      </c>
      <c r="K18" s="5" t="s">
        <v>1404</v>
      </c>
      <c r="L18" s="28" t="s">
        <v>47</v>
      </c>
      <c r="M18" s="10">
        <v>46131</v>
      </c>
      <c r="N18" s="5" t="s">
        <v>1402</v>
      </c>
      <c r="O18" s="9" t="s">
        <v>49</v>
      </c>
    </row>
    <row r="19" spans="1:15">
      <c r="A1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VLT-JAQ-001-OLI-G</v>
      </c>
      <c r="B19" s="5" t="s">
        <v>1405</v>
      </c>
      <c r="C19" s="9" t="s">
        <v>1399</v>
      </c>
      <c r="D19" s="5" t="s">
        <v>1400</v>
      </c>
      <c r="E19" s="5" t="s">
        <v>392</v>
      </c>
      <c r="F19" s="5" t="s">
        <v>180</v>
      </c>
      <c r="G19" s="9" t="s">
        <v>58</v>
      </c>
      <c r="H19" s="11">
        <v>489.9</v>
      </c>
      <c r="I19" s="11">
        <v>215.67</v>
      </c>
      <c r="J19" s="12">
        <f>IF(OR(tInverno26[[#This Row],[Preço (R$)]]="",tInverno26[[#This Row],[Custo (R$)]]=""),"",(tInverno26[[#This Row],[Preço (R$)]]-tInverno26[[#This Row],[Custo (R$)]])/tInverno26[[#This Row],[Preço (R$)]])</f>
        <v>0.55976729944886716</v>
      </c>
      <c r="K19" s="5" t="s">
        <v>1406</v>
      </c>
      <c r="L19" s="28" t="s">
        <v>47</v>
      </c>
      <c r="M19" s="10">
        <v>46131</v>
      </c>
      <c r="N19" s="5" t="s">
        <v>1402</v>
      </c>
      <c r="O19" s="9" t="s">
        <v>49</v>
      </c>
    </row>
    <row r="20" spans="1:15">
      <c r="A2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VLT-JAQ-001-OLI-GG</v>
      </c>
      <c r="B20" s="5" t="s">
        <v>1407</v>
      </c>
      <c r="C20" s="9" t="s">
        <v>1399</v>
      </c>
      <c r="D20" s="5" t="s">
        <v>1400</v>
      </c>
      <c r="E20" s="5" t="s">
        <v>392</v>
      </c>
      <c r="F20" s="5" t="s">
        <v>180</v>
      </c>
      <c r="G20" s="9" t="s">
        <v>61</v>
      </c>
      <c r="H20" s="11">
        <v>489.9</v>
      </c>
      <c r="I20" s="11">
        <v>217.7</v>
      </c>
      <c r="J20" s="12">
        <f>IF(OR(tInverno26[[#This Row],[Preço (R$)]]="",tInverno26[[#This Row],[Custo (R$)]]=""),"",(tInverno26[[#This Row],[Preço (R$)]]-tInverno26[[#This Row],[Custo (R$)]])/tInverno26[[#This Row],[Preço (R$)]])</f>
        <v>0.55562359665237804</v>
      </c>
      <c r="K20" s="5" t="s">
        <v>1408</v>
      </c>
      <c r="L20" s="28" t="s">
        <v>47</v>
      </c>
      <c r="M20" s="10">
        <v>46131</v>
      </c>
      <c r="N20" s="5" t="s">
        <v>1402</v>
      </c>
      <c r="O20" s="9" t="s">
        <v>49</v>
      </c>
    </row>
    <row r="21" spans="1:15">
      <c r="A2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VLT-JAQ-001-BRA-P</v>
      </c>
      <c r="B21" s="5" t="s">
        <v>1409</v>
      </c>
      <c r="C21" s="9" t="s">
        <v>1399</v>
      </c>
      <c r="D21" s="5" t="s">
        <v>1400</v>
      </c>
      <c r="E21" s="5" t="s">
        <v>392</v>
      </c>
      <c r="F21" s="5" t="s">
        <v>77</v>
      </c>
      <c r="G21" s="9" t="s">
        <v>51</v>
      </c>
      <c r="H21" s="11">
        <v>489.9</v>
      </c>
      <c r="I21" s="27">
        <v>219.25</v>
      </c>
      <c r="J21" s="12">
        <f>IF(OR(tInverno26[[#This Row],[Preço (R$)]]="",tInverno26[[#This Row],[Custo (R$)]]=""),"",(tInverno26[[#This Row],[Preço (R$)]]-tInverno26[[#This Row],[Custo (R$)]])/tInverno26[[#This Row],[Preço (R$)]])</f>
        <v>0.5524596856501327</v>
      </c>
      <c r="K21" s="5" t="s">
        <v>1410</v>
      </c>
      <c r="L21" s="28" t="s">
        <v>47</v>
      </c>
      <c r="M21" s="10">
        <v>46131</v>
      </c>
      <c r="N21" s="5" t="s">
        <v>1411</v>
      </c>
      <c r="O21" s="9" t="s">
        <v>49</v>
      </c>
    </row>
    <row r="22" spans="1:15">
      <c r="A2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VLT-JAQ-001-BRA-M</v>
      </c>
      <c r="B22" s="5" t="s">
        <v>1412</v>
      </c>
      <c r="C22" s="9" t="s">
        <v>1399</v>
      </c>
      <c r="D22" s="5" t="s">
        <v>1400</v>
      </c>
      <c r="E22" s="5" t="s">
        <v>392</v>
      </c>
      <c r="F22" s="5" t="s">
        <v>77</v>
      </c>
      <c r="G22" s="9" t="s">
        <v>54</v>
      </c>
      <c r="H22" s="11">
        <v>489.9</v>
      </c>
      <c r="I22" s="11">
        <v>219.25</v>
      </c>
      <c r="J22" s="12">
        <f>IF(OR(tInverno26[[#This Row],[Preço (R$)]]="",tInverno26[[#This Row],[Custo (R$)]]=""),"",(tInverno26[[#This Row],[Preço (R$)]]-tInverno26[[#This Row],[Custo (R$)]])/tInverno26[[#This Row],[Preço (R$)]])</f>
        <v>0.5524596856501327</v>
      </c>
      <c r="K22" s="5" t="s">
        <v>1413</v>
      </c>
      <c r="L22" s="28" t="s">
        <v>47</v>
      </c>
      <c r="M22" s="10">
        <v>46131</v>
      </c>
      <c r="N22" s="5" t="s">
        <v>1402</v>
      </c>
      <c r="O22" s="9" t="s">
        <v>49</v>
      </c>
    </row>
    <row r="23" spans="1:15">
      <c r="A2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VLT-JAQ-001-BRA-G</v>
      </c>
      <c r="B23" s="5" t="s">
        <v>1414</v>
      </c>
      <c r="C23" s="9" t="s">
        <v>1399</v>
      </c>
      <c r="D23" s="5" t="s">
        <v>1400</v>
      </c>
      <c r="E23" s="5" t="s">
        <v>392</v>
      </c>
      <c r="F23" s="5" t="s">
        <v>77</v>
      </c>
      <c r="G23" s="9" t="s">
        <v>58</v>
      </c>
      <c r="H23" s="11">
        <v>489.9</v>
      </c>
      <c r="I23" s="11">
        <v>218.06</v>
      </c>
      <c r="J23" s="12">
        <f>IF(OR(tInverno26[[#This Row],[Preço (R$)]]="",tInverno26[[#This Row],[Custo (R$)]]=""),"",(tInverno26[[#This Row],[Preço (R$)]]-tInverno26[[#This Row],[Custo (R$)]])/tInverno26[[#This Row],[Preço (R$)]])</f>
        <v>0.55488875280669525</v>
      </c>
      <c r="K23" s="5" t="s">
        <v>1415</v>
      </c>
      <c r="L23" s="28" t="s">
        <v>47</v>
      </c>
      <c r="M23" s="10">
        <v>46131</v>
      </c>
      <c r="N23" s="5" t="s">
        <v>1416</v>
      </c>
      <c r="O23" s="9" t="s">
        <v>49</v>
      </c>
    </row>
    <row r="24" spans="1:15">
      <c r="A2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VLT-JAQ-001-BRA-GG</v>
      </c>
      <c r="B24" s="5" t="s">
        <v>1417</v>
      </c>
      <c r="C24" s="9" t="s">
        <v>1399</v>
      </c>
      <c r="D24" s="5" t="s">
        <v>1400</v>
      </c>
      <c r="E24" s="5" t="s">
        <v>392</v>
      </c>
      <c r="F24" s="5" t="s">
        <v>77</v>
      </c>
      <c r="G24" s="9" t="s">
        <v>61</v>
      </c>
      <c r="H24" s="11">
        <v>489.9</v>
      </c>
      <c r="I24" s="11">
        <v>219.35</v>
      </c>
      <c r="J24" s="12">
        <f>IF(OR(tInverno26[[#This Row],[Preço (R$)]]="",tInverno26[[#This Row],[Custo (R$)]]=""),"",(tInverno26[[#This Row],[Preço (R$)]]-tInverno26[[#This Row],[Custo (R$)]])/tInverno26[[#This Row],[Preço (R$)]])</f>
        <v>0.55225556235966522</v>
      </c>
      <c r="K24" s="5" t="s">
        <v>1418</v>
      </c>
      <c r="L24" s="28" t="s">
        <v>47</v>
      </c>
      <c r="M24" s="10">
        <v>46131</v>
      </c>
      <c r="N24" s="5" t="s">
        <v>1402</v>
      </c>
      <c r="O24" s="9" t="s">
        <v>49</v>
      </c>
    </row>
    <row r="25" spans="1:15">
      <c r="A2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VLT-MOL-002-BRA-P</v>
      </c>
      <c r="B25" s="5" t="s">
        <v>1419</v>
      </c>
      <c r="C25" s="9" t="s">
        <v>1420</v>
      </c>
      <c r="D25" s="5" t="s">
        <v>1421</v>
      </c>
      <c r="E25" s="5" t="s">
        <v>98</v>
      </c>
      <c r="F25" s="5" t="s">
        <v>77</v>
      </c>
      <c r="G25" s="9" t="s">
        <v>51</v>
      </c>
      <c r="H25" s="11">
        <v>229.9</v>
      </c>
      <c r="I25" s="11">
        <v>85.7</v>
      </c>
      <c r="J25" s="12">
        <f>IF(OR(tInverno26[[#This Row],[Preço (R$)]]="",tInverno26[[#This Row],[Custo (R$)]]=""),"",(tInverno26[[#This Row],[Preço (R$)]]-tInverno26[[#This Row],[Custo (R$)]])/tInverno26[[#This Row],[Preço (R$)]])</f>
        <v>0.62722923010004339</v>
      </c>
      <c r="K25" s="5" t="s">
        <v>1422</v>
      </c>
      <c r="L25" s="28" t="s">
        <v>101</v>
      </c>
      <c r="M25" s="10">
        <v>46125</v>
      </c>
      <c r="N25" s="5" t="s">
        <v>1154</v>
      </c>
      <c r="O25" s="9" t="s">
        <v>49</v>
      </c>
    </row>
    <row r="26" spans="1:15">
      <c r="A2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VLT-MOL-002-BRA-M</v>
      </c>
      <c r="B26" s="5" t="s">
        <v>1423</v>
      </c>
      <c r="C26" s="9" t="s">
        <v>1420</v>
      </c>
      <c r="D26" s="5" t="s">
        <v>1421</v>
      </c>
      <c r="E26" s="5" t="s">
        <v>98</v>
      </c>
      <c r="F26" s="5" t="s">
        <v>77</v>
      </c>
      <c r="G26" s="9" t="s">
        <v>54</v>
      </c>
      <c r="H26" s="11">
        <v>229.9</v>
      </c>
      <c r="I26" s="11">
        <v>87.87</v>
      </c>
      <c r="J26" s="12">
        <f>IF(OR(tInverno26[[#This Row],[Preço (R$)]]="",tInverno26[[#This Row],[Custo (R$)]]=""),"",(tInverno26[[#This Row],[Preço (R$)]]-tInverno26[[#This Row],[Custo (R$)]])/tInverno26[[#This Row],[Preço (R$)]])</f>
        <v>0.61779034362766416</v>
      </c>
      <c r="K26" s="5" t="s">
        <v>1424</v>
      </c>
      <c r="L26" s="28" t="s">
        <v>101</v>
      </c>
      <c r="M26" s="10">
        <v>46125</v>
      </c>
      <c r="N26" s="5" t="s">
        <v>1154</v>
      </c>
      <c r="O26" s="9" t="s">
        <v>49</v>
      </c>
    </row>
    <row r="27" spans="1:15">
      <c r="A2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VLT-MOL-002-BRA-G</v>
      </c>
      <c r="B27" s="5" t="s">
        <v>1425</v>
      </c>
      <c r="C27" s="9" t="s">
        <v>1420</v>
      </c>
      <c r="D27" s="5" t="s">
        <v>1421</v>
      </c>
      <c r="E27" s="5" t="s">
        <v>98</v>
      </c>
      <c r="F27" s="5" t="s">
        <v>77</v>
      </c>
      <c r="G27" s="9" t="s">
        <v>58</v>
      </c>
      <c r="H27" s="11">
        <v>229.9</v>
      </c>
      <c r="I27" s="11">
        <v>87.34</v>
      </c>
      <c r="J27" s="12">
        <f>IF(OR(tInverno26[[#This Row],[Preço (R$)]]="",tInverno26[[#This Row],[Custo (R$)]]=""),"",(tInverno26[[#This Row],[Preço (R$)]]-tInverno26[[#This Row],[Custo (R$)]])/tInverno26[[#This Row],[Preço (R$)]])</f>
        <v>0.62009569377990426</v>
      </c>
      <c r="K27" s="5" t="s">
        <v>1426</v>
      </c>
      <c r="L27" s="28" t="s">
        <v>101</v>
      </c>
      <c r="M27" s="10">
        <v>46125</v>
      </c>
      <c r="N27" s="5" t="s">
        <v>1154</v>
      </c>
      <c r="O27" s="9" t="s">
        <v>49</v>
      </c>
    </row>
    <row r="28" spans="1:15">
      <c r="A2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VLT-MOL-002-BRA-GG</v>
      </c>
      <c r="B28" s="5" t="s">
        <v>1427</v>
      </c>
      <c r="C28" s="9" t="s">
        <v>1420</v>
      </c>
      <c r="D28" s="5" t="s">
        <v>1421</v>
      </c>
      <c r="E28" s="5" t="s">
        <v>98</v>
      </c>
      <c r="F28" s="5" t="s">
        <v>77</v>
      </c>
      <c r="G28" s="9" t="s">
        <v>61</v>
      </c>
      <c r="H28" s="11">
        <v>229.9</v>
      </c>
      <c r="I28" s="11">
        <v>87.29</v>
      </c>
      <c r="J28" s="12">
        <f>IF(OR(tInverno26[[#This Row],[Preço (R$)]]="",tInverno26[[#This Row],[Custo (R$)]]=""),"",(tInverno26[[#This Row],[Preço (R$)]]-tInverno26[[#This Row],[Custo (R$)]])/tInverno26[[#This Row],[Preço (R$)]])</f>
        <v>0.62031317964332322</v>
      </c>
      <c r="K28" s="5" t="s">
        <v>1428</v>
      </c>
      <c r="L28" s="28" t="s">
        <v>101</v>
      </c>
      <c r="M28" s="10">
        <v>46125</v>
      </c>
      <c r="N28" s="5" t="s">
        <v>1154</v>
      </c>
      <c r="O28" s="9" t="s">
        <v>49</v>
      </c>
    </row>
    <row r="29" spans="1:15">
      <c r="A2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VLT-TRI-013-MRR-XP</v>
      </c>
      <c r="B29" s="5" t="s">
        <v>1429</v>
      </c>
      <c r="C29" s="9" t="s">
        <v>1430</v>
      </c>
      <c r="D29" s="5" t="s">
        <v>1431</v>
      </c>
      <c r="E29" s="5" t="s">
        <v>445</v>
      </c>
      <c r="F29" s="5" t="s">
        <v>87</v>
      </c>
      <c r="G29" s="9" t="s">
        <v>45</v>
      </c>
      <c r="H29" s="11">
        <v>239.9</v>
      </c>
      <c r="I29" s="11">
        <v>114.34</v>
      </c>
      <c r="J29" s="12">
        <f>IF(OR(tInverno26[[#This Row],[Preço (R$)]]="",tInverno26[[#This Row],[Custo (R$)]]=""),"",(tInverno26[[#This Row],[Preço (R$)]]-tInverno26[[#This Row],[Custo (R$)]])/tInverno26[[#This Row],[Preço (R$)]])</f>
        <v>0.52338474364318466</v>
      </c>
      <c r="K29" s="5" t="s">
        <v>1432</v>
      </c>
      <c r="L29" s="28" t="s">
        <v>101</v>
      </c>
      <c r="M29" s="10">
        <v>46110</v>
      </c>
      <c r="N29" s="5" t="s">
        <v>643</v>
      </c>
      <c r="O29" s="9" t="s">
        <v>49</v>
      </c>
    </row>
    <row r="30" spans="1:15">
      <c r="A3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VLT-TRI-013-MRR-P</v>
      </c>
      <c r="B30" s="5" t="s">
        <v>1433</v>
      </c>
      <c r="C30" s="9" t="s">
        <v>1430</v>
      </c>
      <c r="D30" s="5" t="s">
        <v>1431</v>
      </c>
      <c r="E30" s="5" t="s">
        <v>445</v>
      </c>
      <c r="F30" s="5" t="s">
        <v>87</v>
      </c>
      <c r="G30" s="9" t="s">
        <v>51</v>
      </c>
      <c r="H30" s="11">
        <v>239.9</v>
      </c>
      <c r="I30" s="11">
        <v>111.77</v>
      </c>
      <c r="J30" s="12">
        <f>IF(OR(tInverno26[[#This Row],[Preço (R$)]]="",tInverno26[[#This Row],[Custo (R$)]]=""),"",(tInverno26[[#This Row],[Preço (R$)]]-tInverno26[[#This Row],[Custo (R$)]])/tInverno26[[#This Row],[Preço (R$)]])</f>
        <v>0.53409754064193415</v>
      </c>
      <c r="K30" s="5" t="s">
        <v>1434</v>
      </c>
      <c r="L30" s="28" t="s">
        <v>101</v>
      </c>
      <c r="M30" s="10">
        <v>46110</v>
      </c>
      <c r="N30" s="5" t="s">
        <v>643</v>
      </c>
      <c r="O30" s="9" t="s">
        <v>49</v>
      </c>
    </row>
    <row r="31" spans="1:15">
      <c r="A3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VLT-TRI-013-MRR-M</v>
      </c>
      <c r="B31" s="5" t="s">
        <v>1435</v>
      </c>
      <c r="C31" s="9" t="s">
        <v>1430</v>
      </c>
      <c r="D31" s="5" t="s">
        <v>1431</v>
      </c>
      <c r="E31" s="5" t="s">
        <v>445</v>
      </c>
      <c r="F31" s="5" t="s">
        <v>87</v>
      </c>
      <c r="G31" s="9" t="s">
        <v>54</v>
      </c>
      <c r="H31" s="11">
        <v>239.9</v>
      </c>
      <c r="I31" s="11">
        <v>114.8</v>
      </c>
      <c r="J31" s="12">
        <f>IF(OR(tInverno26[[#This Row],[Preço (R$)]]="",tInverno26[[#This Row],[Custo (R$)]]=""),"",(tInverno26[[#This Row],[Preço (R$)]]-tInverno26[[#This Row],[Custo (R$)]])/tInverno26[[#This Row],[Preço (R$)]])</f>
        <v>0.52146727803251358</v>
      </c>
      <c r="K31" s="5" t="s">
        <v>1436</v>
      </c>
      <c r="L31" s="28" t="s">
        <v>101</v>
      </c>
      <c r="M31" s="10">
        <v>46110</v>
      </c>
      <c r="N31" s="5" t="s">
        <v>643</v>
      </c>
      <c r="O31" s="9" t="s">
        <v>49</v>
      </c>
    </row>
    <row r="32" spans="1:15">
      <c r="A3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VLT-TRI-013-MRR-G</v>
      </c>
      <c r="B32" s="5" t="s">
        <v>1437</v>
      </c>
      <c r="C32" s="9" t="s">
        <v>1430</v>
      </c>
      <c r="D32" s="5" t="s">
        <v>1431</v>
      </c>
      <c r="E32" s="5" t="s">
        <v>445</v>
      </c>
      <c r="F32" s="5" t="s">
        <v>87</v>
      </c>
      <c r="G32" s="9" t="s">
        <v>58</v>
      </c>
      <c r="H32" s="11">
        <v>239.9</v>
      </c>
      <c r="I32" s="27">
        <v>114.8</v>
      </c>
      <c r="J32" s="12">
        <f>IF(OR(tInverno26[[#This Row],[Preço (R$)]]="",tInverno26[[#This Row],[Custo (R$)]]=""),"",(tInverno26[[#This Row],[Preço (R$)]]-tInverno26[[#This Row],[Custo (R$)]])/tInverno26[[#This Row],[Preço (R$)]])</f>
        <v>0.52146727803251358</v>
      </c>
      <c r="K32" s="5" t="s">
        <v>1438</v>
      </c>
      <c r="L32" s="28" t="s">
        <v>101</v>
      </c>
      <c r="M32" s="10">
        <v>46110</v>
      </c>
      <c r="N32" s="5" t="s">
        <v>1439</v>
      </c>
      <c r="O32" s="9" t="s">
        <v>49</v>
      </c>
    </row>
    <row r="33" spans="1:15">
      <c r="A3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VLT-TRI-013-MRR-GG</v>
      </c>
      <c r="B33" s="5" t="s">
        <v>1440</v>
      </c>
      <c r="C33" s="9" t="s">
        <v>1430</v>
      </c>
      <c r="D33" s="5" t="s">
        <v>1431</v>
      </c>
      <c r="E33" s="5" t="s">
        <v>445</v>
      </c>
      <c r="F33" s="5" t="s">
        <v>87</v>
      </c>
      <c r="G33" s="9" t="s">
        <v>61</v>
      </c>
      <c r="H33" s="11">
        <v>239.9</v>
      </c>
      <c r="I33" s="27">
        <v>114.8</v>
      </c>
      <c r="J33" s="12">
        <f>IF(OR(tInverno26[[#This Row],[Preço (R$)]]="",tInverno26[[#This Row],[Custo (R$)]]=""),"",(tInverno26[[#This Row],[Preço (R$)]]-tInverno26[[#This Row],[Custo (R$)]])/tInverno26[[#This Row],[Preço (R$)]])</f>
        <v>0.52146727803251358</v>
      </c>
      <c r="K33" s="5" t="s">
        <v>1441</v>
      </c>
      <c r="L33" s="28" t="s">
        <v>101</v>
      </c>
      <c r="M33" s="10">
        <v>46110</v>
      </c>
      <c r="N33" s="5" t="s">
        <v>1439</v>
      </c>
      <c r="O33" s="9" t="s">
        <v>49</v>
      </c>
    </row>
    <row r="34" spans="1:15">
      <c r="A3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VLT-BER-011-BEG-P</v>
      </c>
      <c r="B34" s="5" t="s">
        <v>1442</v>
      </c>
      <c r="C34" s="9" t="s">
        <v>1443</v>
      </c>
      <c r="D34" s="5" t="s">
        <v>1444</v>
      </c>
      <c r="E34" s="5" t="s">
        <v>43</v>
      </c>
      <c r="F34" s="5" t="s">
        <v>299</v>
      </c>
      <c r="G34" s="9" t="s">
        <v>51</v>
      </c>
      <c r="H34" s="11">
        <v>119.9</v>
      </c>
      <c r="I34" s="11">
        <v>52.72</v>
      </c>
      <c r="J34" s="12">
        <f>IF(OR(tInverno26[[#This Row],[Preço (R$)]]="",tInverno26[[#This Row],[Custo (R$)]]=""),"",(tInverno26[[#This Row],[Preço (R$)]]-tInverno26[[#This Row],[Custo (R$)]])/tInverno26[[#This Row],[Preço (R$)]])</f>
        <v>0.56030025020850716</v>
      </c>
      <c r="K34" s="5" t="s">
        <v>1445</v>
      </c>
      <c r="L34" s="28" t="s">
        <v>47</v>
      </c>
      <c r="M34" s="10">
        <v>46136</v>
      </c>
      <c r="N34" s="5" t="s">
        <v>1292</v>
      </c>
      <c r="O34" s="9" t="s">
        <v>49</v>
      </c>
    </row>
    <row r="35" spans="1:15">
      <c r="A3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VLT-BER-011-BEG-M</v>
      </c>
      <c r="B35" s="5" t="s">
        <v>1446</v>
      </c>
      <c r="C35" s="9" t="s">
        <v>1443</v>
      </c>
      <c r="D35" s="5" t="s">
        <v>1444</v>
      </c>
      <c r="E35" s="5" t="s">
        <v>43</v>
      </c>
      <c r="F35" s="5" t="s">
        <v>299</v>
      </c>
      <c r="G35" s="9" t="s">
        <v>54</v>
      </c>
      <c r="H35" s="11">
        <v>119.9</v>
      </c>
      <c r="I35" s="27">
        <v>52.72</v>
      </c>
      <c r="J35" s="12">
        <f>IF(OR(tInverno26[[#This Row],[Preço (R$)]]="",tInverno26[[#This Row],[Custo (R$)]]=""),"",(tInverno26[[#This Row],[Preço (R$)]]-tInverno26[[#This Row],[Custo (R$)]])/tInverno26[[#This Row],[Preço (R$)]])</f>
        <v>0.56030025020850716</v>
      </c>
      <c r="K35" s="5" t="s">
        <v>1447</v>
      </c>
      <c r="L35" s="28" t="s">
        <v>47</v>
      </c>
      <c r="M35" s="10">
        <v>46136</v>
      </c>
      <c r="N35" s="5" t="s">
        <v>1448</v>
      </c>
      <c r="O35" s="9" t="s">
        <v>49</v>
      </c>
    </row>
    <row r="36" spans="1:15">
      <c r="A3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VLT-BER-011-BEG-G</v>
      </c>
      <c r="B36" s="5" t="s">
        <v>1449</v>
      </c>
      <c r="C36" s="9" t="s">
        <v>1443</v>
      </c>
      <c r="D36" s="5" t="s">
        <v>1444</v>
      </c>
      <c r="E36" s="5" t="s">
        <v>43</v>
      </c>
      <c r="F36" s="5" t="s">
        <v>299</v>
      </c>
      <c r="G36" s="9" t="s">
        <v>58</v>
      </c>
      <c r="H36" s="11">
        <v>119.9</v>
      </c>
      <c r="I36" s="11">
        <v>53.63</v>
      </c>
      <c r="J36" s="12">
        <f>IF(OR(tInverno26[[#This Row],[Preço (R$)]]="",tInverno26[[#This Row],[Custo (R$)]]=""),"",(tInverno26[[#This Row],[Preço (R$)]]-tInverno26[[#This Row],[Custo (R$)]])/tInverno26[[#This Row],[Preço (R$)]])</f>
        <v>0.55271059216013352</v>
      </c>
      <c r="K36" s="5" t="s">
        <v>1450</v>
      </c>
      <c r="L36" s="28" t="s">
        <v>47</v>
      </c>
      <c r="M36" s="10">
        <v>46136</v>
      </c>
      <c r="N36" s="5" t="s">
        <v>1292</v>
      </c>
      <c r="O36" s="9" t="s">
        <v>49</v>
      </c>
    </row>
    <row r="37" spans="1:15">
      <c r="A3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VLT-BER-011-BEG-GG</v>
      </c>
      <c r="B37" s="5" t="s">
        <v>1451</v>
      </c>
      <c r="C37" s="9" t="s">
        <v>1443</v>
      </c>
      <c r="D37" s="5" t="s">
        <v>1444</v>
      </c>
      <c r="E37" s="5" t="s">
        <v>43</v>
      </c>
      <c r="F37" s="5" t="s">
        <v>299</v>
      </c>
      <c r="G37" s="9" t="s">
        <v>61</v>
      </c>
      <c r="H37" s="11">
        <v>119.9</v>
      </c>
      <c r="I37" s="11">
        <v>52.9</v>
      </c>
      <c r="J37" s="12">
        <f>IF(OR(tInverno26[[#This Row],[Preço (R$)]]="",tInverno26[[#This Row],[Custo (R$)]]=""),"",(tInverno26[[#This Row],[Preço (R$)]]-tInverno26[[#This Row],[Custo (R$)]])/tInverno26[[#This Row],[Preço (R$)]])</f>
        <v>0.55879899916597164</v>
      </c>
      <c r="K37" s="5" t="s">
        <v>1452</v>
      </c>
      <c r="L37" s="28" t="s">
        <v>47</v>
      </c>
      <c r="M37" s="10">
        <v>46136</v>
      </c>
      <c r="N37" s="5" t="s">
        <v>1292</v>
      </c>
      <c r="O37" s="9" t="s">
        <v>49</v>
      </c>
    </row>
    <row r="38" spans="1:15">
      <c r="A3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VLT-JAQ-009-AMA-P</v>
      </c>
      <c r="B38" s="5" t="s">
        <v>1453</v>
      </c>
      <c r="C38" s="9" t="s">
        <v>1454</v>
      </c>
      <c r="D38" s="5" t="s">
        <v>1455</v>
      </c>
      <c r="E38" s="5" t="s">
        <v>392</v>
      </c>
      <c r="F38" s="5" t="s">
        <v>99</v>
      </c>
      <c r="G38" s="9" t="s">
        <v>51</v>
      </c>
      <c r="H38" s="11">
        <v>599.9</v>
      </c>
      <c r="I38" s="11">
        <v>246.31</v>
      </c>
      <c r="J38" s="12">
        <f>IF(OR(tInverno26[[#This Row],[Preço (R$)]]="",tInverno26[[#This Row],[Custo (R$)]]=""),"",(tInverno26[[#This Row],[Preço (R$)]]-tInverno26[[#This Row],[Custo (R$)]])/tInverno26[[#This Row],[Preço (R$)]])</f>
        <v>0.58941490248374728</v>
      </c>
      <c r="K38" s="5" t="s">
        <v>1456</v>
      </c>
      <c r="L38" s="28" t="s">
        <v>47</v>
      </c>
      <c r="M38" s="10">
        <v>46146</v>
      </c>
      <c r="N38" s="5" t="s">
        <v>1402</v>
      </c>
      <c r="O38" s="9" t="s">
        <v>49</v>
      </c>
    </row>
    <row r="39" spans="1:15">
      <c r="A3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VLT-JAQ-009-AMA-M</v>
      </c>
      <c r="B39" s="5" t="s">
        <v>1457</v>
      </c>
      <c r="C39" s="9" t="s">
        <v>1454</v>
      </c>
      <c r="D39" s="5" t="s">
        <v>1455</v>
      </c>
      <c r="E39" s="5" t="s">
        <v>392</v>
      </c>
      <c r="F39" s="5" t="s">
        <v>99</v>
      </c>
      <c r="G39" s="9" t="s">
        <v>54</v>
      </c>
      <c r="H39" s="11">
        <v>599.9</v>
      </c>
      <c r="I39" s="11">
        <v>247.28</v>
      </c>
      <c r="J39" s="12">
        <f>IF(OR(tInverno26[[#This Row],[Preço (R$)]]="",tInverno26[[#This Row],[Custo (R$)]]=""),"",(tInverno26[[#This Row],[Preço (R$)]]-tInverno26[[#This Row],[Custo (R$)]])/tInverno26[[#This Row],[Preço (R$)]])</f>
        <v>0.5877979663277213</v>
      </c>
      <c r="K39" s="5" t="s">
        <v>1458</v>
      </c>
      <c r="L39" s="28" t="s">
        <v>47</v>
      </c>
      <c r="M39" s="10">
        <v>46146</v>
      </c>
      <c r="N39" s="5" t="s">
        <v>1402</v>
      </c>
      <c r="O39" s="9" t="s">
        <v>49</v>
      </c>
    </row>
    <row r="40" spans="1:15">
      <c r="A4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VLT-JAQ-009-AMA-G</v>
      </c>
      <c r="B40" s="5" t="s">
        <v>1459</v>
      </c>
      <c r="C40" s="9" t="s">
        <v>1454</v>
      </c>
      <c r="D40" s="5" t="s">
        <v>1455</v>
      </c>
      <c r="E40" s="5" t="s">
        <v>392</v>
      </c>
      <c r="F40" s="5" t="s">
        <v>99</v>
      </c>
      <c r="G40" s="9" t="s">
        <v>58</v>
      </c>
      <c r="H40" s="11">
        <v>599.9</v>
      </c>
      <c r="I40" s="11">
        <v>242.33</v>
      </c>
      <c r="J40" s="12">
        <f>IF(OR(tInverno26[[#This Row],[Preço (R$)]]="",tInverno26[[#This Row],[Custo (R$)]]=""),"",(tInverno26[[#This Row],[Preço (R$)]]-tInverno26[[#This Row],[Custo (R$)]])/tInverno26[[#This Row],[Preço (R$)]])</f>
        <v>0.59604934155692602</v>
      </c>
      <c r="K40" s="5" t="s">
        <v>1460</v>
      </c>
      <c r="L40" s="28" t="s">
        <v>47</v>
      </c>
      <c r="M40" s="10">
        <v>46146</v>
      </c>
      <c r="N40" s="5" t="s">
        <v>1402</v>
      </c>
      <c r="O40" s="9" t="s">
        <v>49</v>
      </c>
    </row>
    <row r="41" spans="1:15">
      <c r="A4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VLT-JAQ-009-AMA-GG</v>
      </c>
      <c r="B41" s="5" t="s">
        <v>1461</v>
      </c>
      <c r="C41" s="9" t="s">
        <v>1454</v>
      </c>
      <c r="D41" s="5" t="s">
        <v>1455</v>
      </c>
      <c r="E41" s="5" t="s">
        <v>392</v>
      </c>
      <c r="F41" s="5" t="s">
        <v>99</v>
      </c>
      <c r="G41" s="9" t="s">
        <v>61</v>
      </c>
      <c r="H41" s="11">
        <v>599.9</v>
      </c>
      <c r="I41" s="11">
        <v>247.36</v>
      </c>
      <c r="J41" s="12">
        <f>IF(OR(tInverno26[[#This Row],[Preço (R$)]]="",tInverno26[[#This Row],[Custo (R$)]]=""),"",(tInverno26[[#This Row],[Preço (R$)]]-tInverno26[[#This Row],[Custo (R$)]])/tInverno26[[#This Row],[Preço (R$)]])</f>
        <v>0.58766461076846133</v>
      </c>
      <c r="K41" s="5" t="s">
        <v>1462</v>
      </c>
      <c r="L41" s="28" t="s">
        <v>47</v>
      </c>
      <c r="M41" s="10">
        <v>46146</v>
      </c>
      <c r="N41" s="5" t="s">
        <v>1402</v>
      </c>
      <c r="O41" s="9" t="s">
        <v>49</v>
      </c>
    </row>
    <row r="42" spans="1:15">
      <c r="A4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VLT-JAQ-010-VIN-XP</v>
      </c>
      <c r="B42" s="5" t="s">
        <v>1463</v>
      </c>
      <c r="C42" s="9" t="s">
        <v>1464</v>
      </c>
      <c r="D42" s="5" t="s">
        <v>1465</v>
      </c>
      <c r="E42" s="5" t="s">
        <v>392</v>
      </c>
      <c r="F42" s="5" t="s">
        <v>129</v>
      </c>
      <c r="G42" s="9" t="s">
        <v>45</v>
      </c>
      <c r="H42" s="11">
        <v>549.9</v>
      </c>
      <c r="I42" s="11">
        <v>225.27</v>
      </c>
      <c r="J42" s="12">
        <f>IF(OR(tInverno26[[#This Row],[Preço (R$)]]="",tInverno26[[#This Row],[Custo (R$)]]=""),"",(tInverno26[[#This Row],[Preço (R$)]]-tInverno26[[#This Row],[Custo (R$)]])/tInverno26[[#This Row],[Preço (R$)]])</f>
        <v>0.59034369885433713</v>
      </c>
      <c r="K42" s="5" t="s">
        <v>1466</v>
      </c>
      <c r="L42" s="28" t="s">
        <v>47</v>
      </c>
      <c r="M42" s="10">
        <v>46118</v>
      </c>
      <c r="N42" s="5" t="s">
        <v>1467</v>
      </c>
      <c r="O42" s="9" t="s">
        <v>49</v>
      </c>
    </row>
    <row r="43" spans="1:15">
      <c r="A4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VLT-JAQ-010-VIN-P</v>
      </c>
      <c r="B43" s="5" t="s">
        <v>1468</v>
      </c>
      <c r="C43" s="9" t="s">
        <v>1464</v>
      </c>
      <c r="D43" s="5" t="s">
        <v>1465</v>
      </c>
      <c r="E43" s="5" t="s">
        <v>392</v>
      </c>
      <c r="F43" s="5" t="s">
        <v>129</v>
      </c>
      <c r="G43" s="9" t="s">
        <v>51</v>
      </c>
      <c r="H43" s="11">
        <v>549.9</v>
      </c>
      <c r="I43" s="11">
        <v>233.13</v>
      </c>
      <c r="J43" s="12">
        <f>IF(OR(tInverno26[[#This Row],[Preço (R$)]]="",tInverno26[[#This Row],[Custo (R$)]]=""),"",(tInverno26[[#This Row],[Preço (R$)]]-tInverno26[[#This Row],[Custo (R$)]])/tInverno26[[#This Row],[Preço (R$)]])</f>
        <v>0.57605019094380794</v>
      </c>
      <c r="K43" s="28" t="s">
        <v>1469</v>
      </c>
      <c r="L43" s="28" t="s">
        <v>47</v>
      </c>
      <c r="M43" s="10">
        <v>46118</v>
      </c>
      <c r="N43" s="5" t="s">
        <v>1470</v>
      </c>
      <c r="O43" s="9" t="s">
        <v>49</v>
      </c>
    </row>
    <row r="44" spans="1:15">
      <c r="A4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VLT-JAQ-010-VIN-M</v>
      </c>
      <c r="B44" s="5" t="s">
        <v>1471</v>
      </c>
      <c r="C44" s="9" t="s">
        <v>1464</v>
      </c>
      <c r="D44" s="5" t="s">
        <v>1465</v>
      </c>
      <c r="E44" s="5" t="s">
        <v>392</v>
      </c>
      <c r="F44" s="5" t="s">
        <v>129</v>
      </c>
      <c r="G44" s="9" t="s">
        <v>54</v>
      </c>
      <c r="H44" s="11">
        <v>549.9</v>
      </c>
      <c r="I44" s="11">
        <v>226.69</v>
      </c>
      <c r="J44" s="12">
        <f>IF(OR(tInverno26[[#This Row],[Preço (R$)]]="",tInverno26[[#This Row],[Custo (R$)]]=""),"",(tInverno26[[#This Row],[Preço (R$)]]-tInverno26[[#This Row],[Custo (R$)]])/tInverno26[[#This Row],[Preço (R$)]])</f>
        <v>0.58776141116566649</v>
      </c>
      <c r="K44" s="28" t="s">
        <v>1472</v>
      </c>
      <c r="L44" s="28" t="s">
        <v>47</v>
      </c>
      <c r="M44" s="10">
        <v>46118</v>
      </c>
      <c r="N44" s="5" t="s">
        <v>1470</v>
      </c>
      <c r="O44" s="9" t="s">
        <v>49</v>
      </c>
    </row>
    <row r="45" spans="1:15">
      <c r="A4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VLT-JAQ-010-VIN-G</v>
      </c>
      <c r="B45" s="5" t="s">
        <v>1473</v>
      </c>
      <c r="C45" s="9" t="s">
        <v>1464</v>
      </c>
      <c r="D45" s="5" t="s">
        <v>1465</v>
      </c>
      <c r="E45" s="5" t="s">
        <v>392</v>
      </c>
      <c r="F45" s="5" t="s">
        <v>129</v>
      </c>
      <c r="G45" s="9" t="s">
        <v>58</v>
      </c>
      <c r="H45" s="11">
        <v>549.9</v>
      </c>
      <c r="I45" s="27">
        <v>226.69</v>
      </c>
      <c r="J45" s="12">
        <f>IF(OR(tInverno26[[#This Row],[Preço (R$)]]="",tInverno26[[#This Row],[Custo (R$)]]=""),"",(tInverno26[[#This Row],[Preço (R$)]]-tInverno26[[#This Row],[Custo (R$)]])/tInverno26[[#This Row],[Preço (R$)]])</f>
        <v>0.58776141116566649</v>
      </c>
      <c r="K45" s="28" t="s">
        <v>1474</v>
      </c>
      <c r="L45" s="28" t="s">
        <v>47</v>
      </c>
      <c r="M45" s="10">
        <v>46118</v>
      </c>
      <c r="N45" s="5" t="s">
        <v>1475</v>
      </c>
      <c r="O45" s="9" t="s">
        <v>49</v>
      </c>
    </row>
    <row r="46" spans="1:15">
      <c r="A4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VLT-JAQ-010-VIN-GG</v>
      </c>
      <c r="B46" s="5" t="s">
        <v>1476</v>
      </c>
      <c r="C46" s="9" t="s">
        <v>1464</v>
      </c>
      <c r="D46" s="5" t="s">
        <v>1465</v>
      </c>
      <c r="E46" s="5" t="s">
        <v>392</v>
      </c>
      <c r="F46" s="5" t="s">
        <v>129</v>
      </c>
      <c r="G46" s="9" t="s">
        <v>61</v>
      </c>
      <c r="H46" s="11">
        <v>549.9</v>
      </c>
      <c r="I46" s="27">
        <v>226.69</v>
      </c>
      <c r="J46" s="12">
        <f>IF(OR(tInverno26[[#This Row],[Preço (R$)]]="",tInverno26[[#This Row],[Custo (R$)]]=""),"",(tInverno26[[#This Row],[Preço (R$)]]-tInverno26[[#This Row],[Custo (R$)]])/tInverno26[[#This Row],[Preço (R$)]])</f>
        <v>0.58776141116566649</v>
      </c>
      <c r="K46" s="5" t="s">
        <v>1477</v>
      </c>
      <c r="L46" s="28" t="s">
        <v>47</v>
      </c>
      <c r="M46" s="10">
        <v>46118</v>
      </c>
      <c r="N46" s="5" t="s">
        <v>1478</v>
      </c>
      <c r="O46" s="9" t="s">
        <v>49</v>
      </c>
    </row>
    <row r="47" spans="1:15">
      <c r="A4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VLT-JAQ-010-OLI-XP</v>
      </c>
      <c r="B47" s="5" t="s">
        <v>1479</v>
      </c>
      <c r="C47" s="9" t="s">
        <v>1464</v>
      </c>
      <c r="D47" s="5" t="s">
        <v>1465</v>
      </c>
      <c r="E47" s="5" t="s">
        <v>392</v>
      </c>
      <c r="F47" s="5" t="s">
        <v>180</v>
      </c>
      <c r="G47" s="9" t="s">
        <v>45</v>
      </c>
      <c r="H47" s="11">
        <v>549.9</v>
      </c>
      <c r="I47" s="11">
        <v>223.59</v>
      </c>
      <c r="J47" s="12">
        <f>IF(OR(tInverno26[[#This Row],[Preço (R$)]]="",tInverno26[[#This Row],[Custo (R$)]]=""),"",(tInverno26[[#This Row],[Preço (R$)]]-tInverno26[[#This Row],[Custo (R$)]])/tInverno26[[#This Row],[Preço (R$)]])</f>
        <v>0.59339879978177845</v>
      </c>
      <c r="K47" s="5" t="s">
        <v>1480</v>
      </c>
      <c r="L47" s="28" t="s">
        <v>47</v>
      </c>
      <c r="M47" s="10">
        <v>46118</v>
      </c>
      <c r="N47" s="5" t="s">
        <v>1467</v>
      </c>
      <c r="O47" s="9" t="s">
        <v>49</v>
      </c>
    </row>
    <row r="48" spans="1:15">
      <c r="A4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VLT-JAQ-010-OLI-P</v>
      </c>
      <c r="B48" s="5" t="s">
        <v>1481</v>
      </c>
      <c r="C48" s="9" t="s">
        <v>1464</v>
      </c>
      <c r="D48" s="5" t="s">
        <v>1465</v>
      </c>
      <c r="E48" s="5" t="s">
        <v>392</v>
      </c>
      <c r="F48" s="5" t="s">
        <v>180</v>
      </c>
      <c r="G48" s="9" t="s">
        <v>51</v>
      </c>
      <c r="H48" s="11">
        <v>549.9</v>
      </c>
      <c r="I48" s="11">
        <v>235.71</v>
      </c>
      <c r="J48" s="12">
        <f>IF(OR(tInverno26[[#This Row],[Preço (R$)]]="",tInverno26[[#This Row],[Custo (R$)]]=""),"",(tInverno26[[#This Row],[Preço (R$)]]-tInverno26[[#This Row],[Custo (R$)]])/tInverno26[[#This Row],[Preço (R$)]])</f>
        <v>0.57135842880523724</v>
      </c>
      <c r="K48" s="5" t="s">
        <v>1482</v>
      </c>
      <c r="L48" s="28" t="s">
        <v>47</v>
      </c>
      <c r="M48" s="10">
        <v>46118</v>
      </c>
      <c r="N48" s="5" t="s">
        <v>1467</v>
      </c>
      <c r="O48" s="9" t="s">
        <v>49</v>
      </c>
    </row>
    <row r="49" spans="1:15">
      <c r="A4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VLT-JAQ-010-OLI-M</v>
      </c>
      <c r="B49" s="5" t="s">
        <v>1483</v>
      </c>
      <c r="C49" s="9" t="s">
        <v>1464</v>
      </c>
      <c r="D49" s="5" t="s">
        <v>1465</v>
      </c>
      <c r="E49" s="5" t="s">
        <v>392</v>
      </c>
      <c r="F49" s="5" t="s">
        <v>180</v>
      </c>
      <c r="G49" s="9" t="s">
        <v>54</v>
      </c>
      <c r="H49" s="11">
        <v>549.9</v>
      </c>
      <c r="I49" s="27">
        <v>235.71</v>
      </c>
      <c r="J49" s="12">
        <f>IF(OR(tInverno26[[#This Row],[Preço (R$)]]="",tInverno26[[#This Row],[Custo (R$)]]=""),"",(tInverno26[[#This Row],[Preço (R$)]]-tInverno26[[#This Row],[Custo (R$)]])/tInverno26[[#This Row],[Preço (R$)]])</f>
        <v>0.57135842880523724</v>
      </c>
      <c r="K49" s="5" t="s">
        <v>1484</v>
      </c>
      <c r="L49" s="28" t="s">
        <v>47</v>
      </c>
      <c r="M49" s="10">
        <v>46118</v>
      </c>
      <c r="N49" s="5" t="s">
        <v>1485</v>
      </c>
      <c r="O49" s="9" t="s">
        <v>49</v>
      </c>
    </row>
    <row r="50" spans="1:15">
      <c r="A5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VLT-JAQ-010-OLI-G</v>
      </c>
      <c r="B50" s="5" t="s">
        <v>1486</v>
      </c>
      <c r="C50" s="9" t="s">
        <v>1464</v>
      </c>
      <c r="D50" s="5" t="s">
        <v>1465</v>
      </c>
      <c r="E50" s="5" t="s">
        <v>392</v>
      </c>
      <c r="F50" s="5" t="s">
        <v>180</v>
      </c>
      <c r="G50" s="9" t="s">
        <v>58</v>
      </c>
      <c r="H50" s="11">
        <v>549.9</v>
      </c>
      <c r="I50" s="11">
        <v>233.27</v>
      </c>
      <c r="J50" s="12">
        <f>IF(OR(tInverno26[[#This Row],[Preço (R$)]]="",tInverno26[[#This Row],[Custo (R$)]]=""),"",(tInverno26[[#This Row],[Preço (R$)]]-tInverno26[[#This Row],[Custo (R$)]])/tInverno26[[#This Row],[Preço (R$)]])</f>
        <v>0.57579559919985457</v>
      </c>
      <c r="K50" s="5" t="s">
        <v>1487</v>
      </c>
      <c r="L50" s="28" t="s">
        <v>47</v>
      </c>
      <c r="M50" s="10">
        <v>46118</v>
      </c>
      <c r="N50" s="5" t="s">
        <v>1467</v>
      </c>
      <c r="O50" s="9" t="s">
        <v>49</v>
      </c>
    </row>
    <row r="51" spans="1:15">
      <c r="A5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VLT-JAQ-010-OLI-GG</v>
      </c>
      <c r="B51" s="5" t="s">
        <v>1488</v>
      </c>
      <c r="C51" s="9" t="s">
        <v>1464</v>
      </c>
      <c r="D51" s="5" t="s">
        <v>1465</v>
      </c>
      <c r="E51" s="5" t="s">
        <v>392</v>
      </c>
      <c r="F51" s="5" t="s">
        <v>180</v>
      </c>
      <c r="G51" s="9" t="s">
        <v>61</v>
      </c>
      <c r="H51" s="11">
        <v>549.9</v>
      </c>
      <c r="I51" s="11">
        <v>235.84</v>
      </c>
      <c r="J51" s="12">
        <f>IF(OR(tInverno26[[#This Row],[Preço (R$)]]="",tInverno26[[#This Row],[Custo (R$)]]=""),"",(tInverno26[[#This Row],[Preço (R$)]]-tInverno26[[#This Row],[Custo (R$)]])/tInverno26[[#This Row],[Preço (R$)]])</f>
        <v>0.57112202218585195</v>
      </c>
      <c r="K51" s="5" t="s">
        <v>1489</v>
      </c>
      <c r="L51" s="28" t="s">
        <v>47</v>
      </c>
      <c r="M51" s="10">
        <v>46118</v>
      </c>
      <c r="N51" s="5" t="s">
        <v>1467</v>
      </c>
      <c r="O51" s="9" t="s">
        <v>49</v>
      </c>
    </row>
    <row r="52" spans="1:15">
      <c r="A5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VLT-TRI-001-MRR-P</v>
      </c>
      <c r="B52" s="5" t="s">
        <v>1490</v>
      </c>
      <c r="C52" s="9" t="s">
        <v>1491</v>
      </c>
      <c r="D52" s="5" t="s">
        <v>1492</v>
      </c>
      <c r="E52" s="5" t="s">
        <v>445</v>
      </c>
      <c r="F52" s="5" t="s">
        <v>87</v>
      </c>
      <c r="G52" s="9" t="s">
        <v>51</v>
      </c>
      <c r="H52" s="11">
        <v>319.89999999999998</v>
      </c>
      <c r="I52" s="27">
        <v>146.9</v>
      </c>
      <c r="J52" s="12">
        <f>IF(OR(tInverno26[[#This Row],[Preço (R$)]]="",tInverno26[[#This Row],[Custo (R$)]]=""),"",(tInverno26[[#This Row],[Preço (R$)]]-tInverno26[[#This Row],[Custo (R$)]])/tInverno26[[#This Row],[Preço (R$)]])</f>
        <v>0.54079399812441387</v>
      </c>
      <c r="K52" s="5" t="s">
        <v>1493</v>
      </c>
      <c r="L52" s="28" t="s">
        <v>101</v>
      </c>
      <c r="M52" s="10">
        <v>46106</v>
      </c>
      <c r="N52" s="5" t="s">
        <v>1494</v>
      </c>
      <c r="O52" s="9" t="s">
        <v>49</v>
      </c>
    </row>
    <row r="53" spans="1:15">
      <c r="A5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VLT-TRI-001-MRR-M</v>
      </c>
      <c r="B53" s="5" t="s">
        <v>1495</v>
      </c>
      <c r="C53" s="9" t="s">
        <v>1491</v>
      </c>
      <c r="D53" s="5" t="s">
        <v>1492</v>
      </c>
      <c r="E53" s="5" t="s">
        <v>445</v>
      </c>
      <c r="F53" s="5" t="s">
        <v>87</v>
      </c>
      <c r="G53" s="9" t="s">
        <v>54</v>
      </c>
      <c r="H53" s="11">
        <v>319.89999999999998</v>
      </c>
      <c r="I53" s="11">
        <v>146.9</v>
      </c>
      <c r="J53" s="12">
        <f>IF(OR(tInverno26[[#This Row],[Preço (R$)]]="",tInverno26[[#This Row],[Custo (R$)]]=""),"",(tInverno26[[#This Row],[Preço (R$)]]-tInverno26[[#This Row],[Custo (R$)]])/tInverno26[[#This Row],[Preço (R$)]])</f>
        <v>0.54079399812441387</v>
      </c>
      <c r="K53" s="5" t="s">
        <v>1496</v>
      </c>
      <c r="L53" s="28" t="s">
        <v>101</v>
      </c>
      <c r="M53" s="10">
        <v>46106</v>
      </c>
      <c r="N53" s="5" t="s">
        <v>1091</v>
      </c>
      <c r="O53" s="9" t="s">
        <v>49</v>
      </c>
    </row>
    <row r="54" spans="1:15">
      <c r="A5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VLT-TRI-001-MRR-G</v>
      </c>
      <c r="B54" s="5" t="s">
        <v>1497</v>
      </c>
      <c r="C54" s="9" t="s">
        <v>1491</v>
      </c>
      <c r="D54" s="5" t="s">
        <v>1492</v>
      </c>
      <c r="E54" s="5" t="s">
        <v>445</v>
      </c>
      <c r="F54" s="5" t="s">
        <v>87</v>
      </c>
      <c r="G54" s="9" t="s">
        <v>58</v>
      </c>
      <c r="H54" s="11">
        <v>319.89999999999998</v>
      </c>
      <c r="I54" s="11">
        <v>145.9</v>
      </c>
      <c r="J54" s="12">
        <f>IF(OR(tInverno26[[#This Row],[Preço (R$)]]="",tInverno26[[#This Row],[Custo (R$)]]=""),"",(tInverno26[[#This Row],[Preço (R$)]]-tInverno26[[#This Row],[Custo (R$)]])/tInverno26[[#This Row],[Preço (R$)]])</f>
        <v>0.54391997499218503</v>
      </c>
      <c r="K54" s="5" t="s">
        <v>1498</v>
      </c>
      <c r="L54" s="28" t="s">
        <v>101</v>
      </c>
      <c r="M54" s="10">
        <v>46106</v>
      </c>
      <c r="N54" s="5" t="s">
        <v>1091</v>
      </c>
      <c r="O54" s="9" t="s">
        <v>49</v>
      </c>
    </row>
    <row r="55" spans="1:15">
      <c r="A5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VLT-TRI-001-MRR-GG</v>
      </c>
      <c r="B55" s="5" t="s">
        <v>1499</v>
      </c>
      <c r="C55" s="9" t="s">
        <v>1491</v>
      </c>
      <c r="D55" s="5" t="s">
        <v>1492</v>
      </c>
      <c r="E55" s="5" t="s">
        <v>445</v>
      </c>
      <c r="F55" s="5" t="s">
        <v>87</v>
      </c>
      <c r="G55" s="9" t="s">
        <v>61</v>
      </c>
      <c r="H55" s="11">
        <v>319.89999999999998</v>
      </c>
      <c r="I55" s="11">
        <v>147.03</v>
      </c>
      <c r="J55" s="12">
        <f>IF(OR(tInverno26[[#This Row],[Preço (R$)]]="",tInverno26[[#This Row],[Custo (R$)]]=""),"",(tInverno26[[#This Row],[Preço (R$)]]-tInverno26[[#This Row],[Custo (R$)]])/tInverno26[[#This Row],[Preço (R$)]])</f>
        <v>0.54038762113160355</v>
      </c>
      <c r="K55" s="5" t="s">
        <v>1500</v>
      </c>
      <c r="L55" s="28" t="s">
        <v>101</v>
      </c>
      <c r="M55" s="10">
        <v>46106</v>
      </c>
      <c r="N55" s="5" t="s">
        <v>1091</v>
      </c>
      <c r="O55" s="9" t="s">
        <v>49</v>
      </c>
    </row>
    <row r="56" spans="1:15">
      <c r="A5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VLT-SAI-012-BEG-P</v>
      </c>
      <c r="B56" s="5" t="s">
        <v>1501</v>
      </c>
      <c r="C56" s="9" t="s">
        <v>1502</v>
      </c>
      <c r="D56" s="5" t="s">
        <v>1503</v>
      </c>
      <c r="E56" s="5" t="s">
        <v>116</v>
      </c>
      <c r="F56" s="5" t="s">
        <v>299</v>
      </c>
      <c r="G56" s="9" t="s">
        <v>51</v>
      </c>
      <c r="H56" s="31">
        <v>239.9</v>
      </c>
      <c r="I56" s="11">
        <v>111.63</v>
      </c>
      <c r="J56" s="12">
        <f>IF(OR(tInverno26[[#This Row],[Preço (R$)]]="",tInverno26[[#This Row],[Custo (R$)]]=""),"",(tInverno26[[#This Row],[Preço (R$)]]-tInverno26[[#This Row],[Custo (R$)]])/tInverno26[[#This Row],[Preço (R$)]])</f>
        <v>0.53468111713213839</v>
      </c>
      <c r="K56" s="5" t="s">
        <v>1504</v>
      </c>
      <c r="L56" s="28" t="s">
        <v>70</v>
      </c>
      <c r="M56" s="10">
        <v>46141</v>
      </c>
      <c r="N56" s="5" t="s">
        <v>1505</v>
      </c>
      <c r="O56" s="9" t="s">
        <v>49</v>
      </c>
    </row>
    <row r="57" spans="1:15">
      <c r="A5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VLT-SAI-012-BEG-M</v>
      </c>
      <c r="B57" s="5" t="s">
        <v>1506</v>
      </c>
      <c r="C57" s="9" t="s">
        <v>1502</v>
      </c>
      <c r="D57" s="5" t="s">
        <v>1503</v>
      </c>
      <c r="E57" s="5" t="s">
        <v>116</v>
      </c>
      <c r="F57" s="5" t="s">
        <v>299</v>
      </c>
      <c r="G57" s="9" t="s">
        <v>54</v>
      </c>
      <c r="H57" s="31">
        <v>239.9</v>
      </c>
      <c r="I57" s="11">
        <v>115.31</v>
      </c>
      <c r="J57" s="12">
        <f>IF(OR(tInverno26[[#This Row],[Preço (R$)]]="",tInverno26[[#This Row],[Custo (R$)]]=""),"",(tInverno26[[#This Row],[Preço (R$)]]-tInverno26[[#This Row],[Custo (R$)]])/tInverno26[[#This Row],[Preço (R$)]])</f>
        <v>0.51934139224676945</v>
      </c>
      <c r="K57" s="5" t="s">
        <v>1507</v>
      </c>
      <c r="L57" s="28" t="s">
        <v>70</v>
      </c>
      <c r="M57" s="10">
        <v>46141</v>
      </c>
      <c r="N57" s="5" t="s">
        <v>1505</v>
      </c>
      <c r="O57" s="9" t="s">
        <v>49</v>
      </c>
    </row>
    <row r="58" spans="1:15">
      <c r="A5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VLT-SAI-012-BEG-G</v>
      </c>
      <c r="B58" s="5" t="s">
        <v>1508</v>
      </c>
      <c r="C58" s="9" t="s">
        <v>1502</v>
      </c>
      <c r="D58" s="5" t="s">
        <v>1503</v>
      </c>
      <c r="E58" s="5" t="s">
        <v>116</v>
      </c>
      <c r="F58" s="5" t="s">
        <v>299</v>
      </c>
      <c r="G58" s="9" t="s">
        <v>58</v>
      </c>
      <c r="H58" s="31">
        <v>239.9</v>
      </c>
      <c r="I58" s="11">
        <v>109.88</v>
      </c>
      <c r="J58" s="12">
        <f>IF(OR(tInverno26[[#This Row],[Preço (R$)]]="",tInverno26[[#This Row],[Custo (R$)]]=""),"",(tInverno26[[#This Row],[Preço (R$)]]-tInverno26[[#This Row],[Custo (R$)]])/tInverno26[[#This Row],[Preço (R$)]])</f>
        <v>0.54197582325969151</v>
      </c>
      <c r="K58" s="5" t="s">
        <v>1509</v>
      </c>
      <c r="L58" s="28" t="s">
        <v>70</v>
      </c>
      <c r="M58" s="10">
        <v>46141</v>
      </c>
      <c r="N58" s="5" t="s">
        <v>1505</v>
      </c>
      <c r="O58" s="9" t="s">
        <v>49</v>
      </c>
    </row>
    <row r="59" spans="1:15">
      <c r="A5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VLT-SAI-012-BEG-GG</v>
      </c>
      <c r="B59" s="5" t="s">
        <v>1510</v>
      </c>
      <c r="C59" s="9" t="s">
        <v>1502</v>
      </c>
      <c r="D59" s="5" t="s">
        <v>1503</v>
      </c>
      <c r="E59" s="5" t="s">
        <v>116</v>
      </c>
      <c r="F59" s="5" t="s">
        <v>299</v>
      </c>
      <c r="G59" s="9" t="s">
        <v>61</v>
      </c>
      <c r="H59" s="31">
        <v>239.9</v>
      </c>
      <c r="I59" s="11">
        <v>113.62</v>
      </c>
      <c r="J59" s="12">
        <f>IF(OR(tInverno26[[#This Row],[Preço (R$)]]="",tInverno26[[#This Row],[Custo (R$)]]=""),"",(tInverno26[[#This Row],[Preço (R$)]]-tInverno26[[#This Row],[Custo (R$)]])/tInverno26[[#This Row],[Preço (R$)]])</f>
        <v>0.52638599416423504</v>
      </c>
      <c r="K59" s="5" t="s">
        <v>1511</v>
      </c>
      <c r="L59" s="28" t="s">
        <v>70</v>
      </c>
      <c r="M59" s="10">
        <v>46141</v>
      </c>
      <c r="N59" s="5" t="s">
        <v>1505</v>
      </c>
      <c r="O59" s="9" t="s">
        <v>49</v>
      </c>
    </row>
    <row r="60" spans="1:15">
      <c r="A6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VLT-MOL-017-LIL-P</v>
      </c>
      <c r="B60" s="5" t="s">
        <v>1512</v>
      </c>
      <c r="C60" s="9" t="s">
        <v>1513</v>
      </c>
      <c r="D60" s="5" t="s">
        <v>1514</v>
      </c>
      <c r="E60" s="5" t="s">
        <v>98</v>
      </c>
      <c r="F60" s="5" t="s">
        <v>203</v>
      </c>
      <c r="G60" s="9" t="s">
        <v>51</v>
      </c>
      <c r="H60" s="11">
        <v>279.89999999999998</v>
      </c>
      <c r="I60" s="11">
        <v>127.83</v>
      </c>
      <c r="J60" s="12">
        <f>IF(OR(tInverno26[[#This Row],[Preço (R$)]]="",tInverno26[[#This Row],[Custo (R$)]]=""),"",(tInverno26[[#This Row],[Preço (R$)]]-tInverno26[[#This Row],[Custo (R$)]])/tInverno26[[#This Row],[Preço (R$)]])</f>
        <v>0.5433011789924973</v>
      </c>
      <c r="K60" s="5" t="s">
        <v>1515</v>
      </c>
      <c r="L60" s="28" t="s">
        <v>101</v>
      </c>
      <c r="M60" s="10">
        <v>46146</v>
      </c>
      <c r="N60" s="5" t="s">
        <v>1154</v>
      </c>
      <c r="O60" s="9" t="s">
        <v>49</v>
      </c>
    </row>
    <row r="61" spans="1:15">
      <c r="A6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VLT-MOL-017-LIL-M</v>
      </c>
      <c r="B61" s="5" t="s">
        <v>1516</v>
      </c>
      <c r="C61" s="9" t="s">
        <v>1513</v>
      </c>
      <c r="D61" s="5" t="s">
        <v>1514</v>
      </c>
      <c r="E61" s="5" t="s">
        <v>98</v>
      </c>
      <c r="F61" s="5" t="s">
        <v>203</v>
      </c>
      <c r="G61" s="9" t="s">
        <v>54</v>
      </c>
      <c r="H61" s="11">
        <v>279.89999999999998</v>
      </c>
      <c r="I61" s="27">
        <v>127.83</v>
      </c>
      <c r="J61" s="12">
        <f>IF(OR(tInverno26[[#This Row],[Preço (R$)]]="",tInverno26[[#This Row],[Custo (R$)]]=""),"",(tInverno26[[#This Row],[Preço (R$)]]-tInverno26[[#This Row],[Custo (R$)]])/tInverno26[[#This Row],[Preço (R$)]])</f>
        <v>0.5433011789924973</v>
      </c>
      <c r="K61" s="5" t="s">
        <v>1517</v>
      </c>
      <c r="L61" s="28" t="s">
        <v>101</v>
      </c>
      <c r="M61" s="10">
        <v>46146</v>
      </c>
      <c r="N61" s="5" t="s">
        <v>1518</v>
      </c>
      <c r="O61" s="9" t="s">
        <v>49</v>
      </c>
    </row>
    <row r="62" spans="1:15">
      <c r="A6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VLT-MOL-017-LIL-G</v>
      </c>
      <c r="B62" s="5" t="s">
        <v>1519</v>
      </c>
      <c r="C62" s="9" t="s">
        <v>1513</v>
      </c>
      <c r="D62" s="5" t="s">
        <v>1514</v>
      </c>
      <c r="E62" s="5" t="s">
        <v>98</v>
      </c>
      <c r="F62" s="5" t="s">
        <v>203</v>
      </c>
      <c r="G62" s="9" t="s">
        <v>58</v>
      </c>
      <c r="H62" s="11">
        <v>279.89999999999998</v>
      </c>
      <c r="I62" s="11">
        <v>132.02000000000001</v>
      </c>
      <c r="J62" s="12">
        <f>IF(OR(tInverno26[[#This Row],[Preço (R$)]]="",tInverno26[[#This Row],[Custo (R$)]]=""),"",(tInverno26[[#This Row],[Preço (R$)]]-tInverno26[[#This Row],[Custo (R$)]])/tInverno26[[#This Row],[Preço (R$)]])</f>
        <v>0.52833154698106455</v>
      </c>
      <c r="K62" s="5" t="s">
        <v>1520</v>
      </c>
      <c r="L62" s="28" t="s">
        <v>101</v>
      </c>
      <c r="M62" s="10">
        <v>46146</v>
      </c>
      <c r="N62" s="5" t="s">
        <v>1154</v>
      </c>
      <c r="O62" s="9" t="s">
        <v>49</v>
      </c>
    </row>
    <row r="63" spans="1:15">
      <c r="A6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VLT-MOL-017-LIL-GG</v>
      </c>
      <c r="B63" s="5" t="s">
        <v>1521</v>
      </c>
      <c r="C63" s="9" t="s">
        <v>1513</v>
      </c>
      <c r="D63" s="5" t="s">
        <v>1514</v>
      </c>
      <c r="E63" s="5" t="s">
        <v>98</v>
      </c>
      <c r="F63" s="5" t="s">
        <v>203</v>
      </c>
      <c r="G63" s="9" t="s">
        <v>61</v>
      </c>
      <c r="H63" s="11">
        <v>279.89999999999998</v>
      </c>
      <c r="I63" s="27">
        <v>132.02000000000001</v>
      </c>
      <c r="J63" s="12">
        <f>IF(OR(tInverno26[[#This Row],[Preço (R$)]]="",tInverno26[[#This Row],[Custo (R$)]]=""),"",(tInverno26[[#This Row],[Preço (R$)]]-tInverno26[[#This Row],[Custo (R$)]])/tInverno26[[#This Row],[Preço (R$)]])</f>
        <v>0.52833154698106455</v>
      </c>
      <c r="K63" s="5" t="s">
        <v>1522</v>
      </c>
      <c r="L63" s="28" t="s">
        <v>101</v>
      </c>
      <c r="M63" s="10">
        <v>46146</v>
      </c>
      <c r="N63" s="5" t="s">
        <v>1523</v>
      </c>
      <c r="O63" s="9" t="s">
        <v>49</v>
      </c>
    </row>
    <row r="64" spans="1:15">
      <c r="A6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VLT-ACE-012-AZM-U</v>
      </c>
      <c r="B64" s="5" t="s">
        <v>1524</v>
      </c>
      <c r="C64" s="9" t="s">
        <v>1525</v>
      </c>
      <c r="D64" s="5" t="s">
        <v>1526</v>
      </c>
      <c r="E64" s="5" t="s">
        <v>281</v>
      </c>
      <c r="F64" s="5" t="s">
        <v>68</v>
      </c>
      <c r="G64" s="9" t="s">
        <v>282</v>
      </c>
      <c r="H64" s="11">
        <v>49.9</v>
      </c>
      <c r="I64" s="27">
        <v>20.91</v>
      </c>
      <c r="J64" s="12">
        <f>IF(OR(tInverno26[[#This Row],[Preço (R$)]]="",tInverno26[[#This Row],[Custo (R$)]]=""),"",(tInverno26[[#This Row],[Preço (R$)]]-tInverno26[[#This Row],[Custo (R$)]])/tInverno26[[#This Row],[Preço (R$)]])</f>
        <v>0.58096192384769541</v>
      </c>
      <c r="K64" s="28" t="s">
        <v>1527</v>
      </c>
      <c r="L64" s="28" t="s">
        <v>79</v>
      </c>
      <c r="M64" s="10">
        <v>46119</v>
      </c>
      <c r="N64" s="5" t="s">
        <v>1528</v>
      </c>
      <c r="O64" s="9" t="s">
        <v>49</v>
      </c>
    </row>
    <row r="65" spans="1:15">
      <c r="A6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VLT-MOL-018-BRA-P</v>
      </c>
      <c r="B65" s="5" t="s">
        <v>1529</v>
      </c>
      <c r="C65" s="9" t="s">
        <v>1530</v>
      </c>
      <c r="D65" s="5" t="s">
        <v>1531</v>
      </c>
      <c r="E65" s="5" t="s">
        <v>98</v>
      </c>
      <c r="F65" s="5" t="s">
        <v>77</v>
      </c>
      <c r="G65" s="9" t="s">
        <v>51</v>
      </c>
      <c r="H65" s="31">
        <v>209.9</v>
      </c>
      <c r="I65" s="11">
        <v>95.58</v>
      </c>
      <c r="J65" s="12">
        <f>IF(OR(tInverno26[[#This Row],[Preço (R$)]]="",tInverno26[[#This Row],[Custo (R$)]]=""),"",(tInverno26[[#This Row],[Preço (R$)]]-tInverno26[[#This Row],[Custo (R$)]])/tInverno26[[#This Row],[Preço (R$)]])</f>
        <v>0.54464030490709869</v>
      </c>
      <c r="K65" s="28" t="s">
        <v>1532</v>
      </c>
      <c r="L65" s="28" t="s">
        <v>101</v>
      </c>
      <c r="M65" s="10">
        <v>46134</v>
      </c>
      <c r="N65" s="5" t="s">
        <v>1533</v>
      </c>
      <c r="O65" s="9" t="s">
        <v>49</v>
      </c>
    </row>
    <row r="66" spans="1:15">
      <c r="A6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VLT-MOL-018-BRA-M</v>
      </c>
      <c r="B66" s="5" t="s">
        <v>1534</v>
      </c>
      <c r="C66" s="9" t="s">
        <v>1530</v>
      </c>
      <c r="D66" s="5" t="s">
        <v>1531</v>
      </c>
      <c r="E66" s="5" t="s">
        <v>98</v>
      </c>
      <c r="F66" s="5" t="s">
        <v>77</v>
      </c>
      <c r="G66" s="9" t="s">
        <v>54</v>
      </c>
      <c r="H66" s="31">
        <v>209.9</v>
      </c>
      <c r="I66" s="11">
        <v>100.71</v>
      </c>
      <c r="J66" s="12">
        <f>IF(OR(tInverno26[[#This Row],[Preço (R$)]]="",tInverno26[[#This Row],[Custo (R$)]]=""),"",(tInverno26[[#This Row],[Preço (R$)]]-tInverno26[[#This Row],[Custo (R$)]])/tInverno26[[#This Row],[Preço (R$)]])</f>
        <v>0.52020009528346833</v>
      </c>
      <c r="K66" s="5" t="s">
        <v>1535</v>
      </c>
      <c r="L66" s="28" t="s">
        <v>101</v>
      </c>
      <c r="M66" s="10">
        <v>46134</v>
      </c>
      <c r="N66" s="5" t="s">
        <v>1536</v>
      </c>
      <c r="O66" s="9" t="s">
        <v>49</v>
      </c>
    </row>
    <row r="67" spans="1:15">
      <c r="A6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VLT-MOL-018-BRA-G</v>
      </c>
      <c r="B67" s="5" t="s">
        <v>1537</v>
      </c>
      <c r="C67" s="9" t="s">
        <v>1530</v>
      </c>
      <c r="D67" s="5" t="s">
        <v>1531</v>
      </c>
      <c r="E67" s="5" t="s">
        <v>98</v>
      </c>
      <c r="F67" s="5" t="s">
        <v>77</v>
      </c>
      <c r="G67" s="9" t="s">
        <v>58</v>
      </c>
      <c r="H67" s="31">
        <v>209.9</v>
      </c>
      <c r="I67" s="11">
        <v>99.93</v>
      </c>
      <c r="J67" s="12">
        <f>IF(OR(tInverno26[[#This Row],[Preço (R$)]]="",tInverno26[[#This Row],[Custo (R$)]]=""),"",(tInverno26[[#This Row],[Preço (R$)]]-tInverno26[[#This Row],[Custo (R$)]])/tInverno26[[#This Row],[Preço (R$)]])</f>
        <v>0.52391615054787988</v>
      </c>
      <c r="K67" s="5" t="s">
        <v>1538</v>
      </c>
      <c r="L67" s="28" t="s">
        <v>101</v>
      </c>
      <c r="M67" s="10">
        <v>46134</v>
      </c>
      <c r="N67" s="5" t="s">
        <v>1536</v>
      </c>
      <c r="O67" s="9" t="s">
        <v>49</v>
      </c>
    </row>
    <row r="68" spans="1:15">
      <c r="A6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VLT-MOL-018-BRA-GG</v>
      </c>
      <c r="B68" s="5" t="s">
        <v>1539</v>
      </c>
      <c r="C68" s="9" t="s">
        <v>1530</v>
      </c>
      <c r="D68" s="5" t="s">
        <v>1531</v>
      </c>
      <c r="E68" s="5" t="s">
        <v>98</v>
      </c>
      <c r="F68" s="5" t="s">
        <v>77</v>
      </c>
      <c r="G68" s="9" t="s">
        <v>61</v>
      </c>
      <c r="H68" s="31">
        <v>209.9</v>
      </c>
      <c r="I68" s="27">
        <v>99.93</v>
      </c>
      <c r="J68" s="12">
        <f>IF(OR(tInverno26[[#This Row],[Preço (R$)]]="",tInverno26[[#This Row],[Custo (R$)]]=""),"",(tInverno26[[#This Row],[Preço (R$)]]-tInverno26[[#This Row],[Custo (R$)]])/tInverno26[[#This Row],[Preço (R$)]])</f>
        <v>0.52391615054787988</v>
      </c>
      <c r="K68" s="5" t="s">
        <v>1540</v>
      </c>
      <c r="L68" s="28" t="s">
        <v>101</v>
      </c>
      <c r="M68" s="10">
        <v>46134</v>
      </c>
      <c r="N68" s="5" t="s">
        <v>1541</v>
      </c>
      <c r="O68" s="9" t="s">
        <v>49</v>
      </c>
    </row>
    <row r="69" spans="1:15">
      <c r="A6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VLT-ACE-013-OLI-U</v>
      </c>
      <c r="B69" s="5" t="s">
        <v>1542</v>
      </c>
      <c r="C69" s="9" t="s">
        <v>1543</v>
      </c>
      <c r="D69" s="5" t="s">
        <v>1544</v>
      </c>
      <c r="E69" s="5" t="s">
        <v>281</v>
      </c>
      <c r="F69" s="5" t="s">
        <v>180</v>
      </c>
      <c r="G69" s="9" t="s">
        <v>282</v>
      </c>
      <c r="H69" s="11">
        <v>149.9</v>
      </c>
      <c r="I69" s="27">
        <v>62.8</v>
      </c>
      <c r="J69" s="12">
        <f>IF(OR(tInverno26[[#This Row],[Preço (R$)]]="",tInverno26[[#This Row],[Custo (R$)]]=""),"",(tInverno26[[#This Row],[Preço (R$)]]-tInverno26[[#This Row],[Custo (R$)]])/tInverno26[[#This Row],[Preço (R$)]])</f>
        <v>0.58105403602401606</v>
      </c>
      <c r="K69" s="5" t="s">
        <v>1545</v>
      </c>
      <c r="L69" s="28" t="s">
        <v>79</v>
      </c>
      <c r="M69" s="10">
        <v>46129</v>
      </c>
      <c r="N69" s="5" t="s">
        <v>1546</v>
      </c>
      <c r="O69" s="9" t="s">
        <v>49</v>
      </c>
    </row>
    <row r="70" spans="1:15">
      <c r="A7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VLT-CAL-026-OFF-XP</v>
      </c>
      <c r="B70" s="5" t="s">
        <v>1547</v>
      </c>
      <c r="C70" s="9" t="s">
        <v>1548</v>
      </c>
      <c r="D70" s="5" t="s">
        <v>1549</v>
      </c>
      <c r="E70" s="5" t="s">
        <v>86</v>
      </c>
      <c r="F70" s="5" t="s">
        <v>117</v>
      </c>
      <c r="G70" s="9" t="s">
        <v>45</v>
      </c>
      <c r="H70" s="11">
        <v>229.9</v>
      </c>
      <c r="I70" s="11">
        <v>106.79</v>
      </c>
      <c r="J70" s="12">
        <f>IF(OR(tInverno26[[#This Row],[Preço (R$)]]="",tInverno26[[#This Row],[Custo (R$)]]=""),"",(tInverno26[[#This Row],[Preço (R$)]]-tInverno26[[#This Row],[Custo (R$)]])/tInverno26[[#This Row],[Preço (R$)]])</f>
        <v>0.53549369290996085</v>
      </c>
      <c r="K70" s="5" t="s">
        <v>1550</v>
      </c>
      <c r="L70" s="28" t="s">
        <v>47</v>
      </c>
      <c r="M70" s="10">
        <v>46127</v>
      </c>
      <c r="N70" s="5" t="s">
        <v>470</v>
      </c>
      <c r="O70" s="9" t="s">
        <v>49</v>
      </c>
    </row>
    <row r="71" spans="1:15">
      <c r="A7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VLT-CAL-026-OFF-P</v>
      </c>
      <c r="B71" s="5" t="s">
        <v>1551</v>
      </c>
      <c r="C71" s="9" t="s">
        <v>1548</v>
      </c>
      <c r="D71" s="5" t="s">
        <v>1549</v>
      </c>
      <c r="E71" s="5" t="s">
        <v>86</v>
      </c>
      <c r="F71" s="5" t="s">
        <v>117</v>
      </c>
      <c r="G71" s="9" t="s">
        <v>51</v>
      </c>
      <c r="H71" s="11">
        <v>229.9</v>
      </c>
      <c r="I71" s="11">
        <v>105.28</v>
      </c>
      <c r="J71" s="12">
        <f>IF(OR(tInverno26[[#This Row],[Preço (R$)]]="",tInverno26[[#This Row],[Custo (R$)]]=""),"",(tInverno26[[#This Row],[Preço (R$)]]-tInverno26[[#This Row],[Custo (R$)]])/tInverno26[[#This Row],[Preço (R$)]])</f>
        <v>0.54206176598521094</v>
      </c>
      <c r="K71" s="5" t="s">
        <v>1552</v>
      </c>
      <c r="L71" s="28" t="s">
        <v>47</v>
      </c>
      <c r="M71" s="10">
        <v>46127</v>
      </c>
      <c r="N71" s="5" t="s">
        <v>470</v>
      </c>
      <c r="O71" s="9" t="s">
        <v>49</v>
      </c>
    </row>
    <row r="72" spans="1:15">
      <c r="A7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VLT-CAL-026-OFF-M</v>
      </c>
      <c r="B72" s="5" t="s">
        <v>1553</v>
      </c>
      <c r="C72" s="9" t="s">
        <v>1548</v>
      </c>
      <c r="D72" s="5" t="s">
        <v>1549</v>
      </c>
      <c r="E72" s="5" t="s">
        <v>86</v>
      </c>
      <c r="F72" s="5" t="s">
        <v>117</v>
      </c>
      <c r="G72" s="9" t="s">
        <v>54</v>
      </c>
      <c r="H72" s="11">
        <v>229.9</v>
      </c>
      <c r="I72" s="11">
        <v>108.2</v>
      </c>
      <c r="J72" s="12">
        <f>IF(OR(tInverno26[[#This Row],[Preço (R$)]]="",tInverno26[[#This Row],[Custo (R$)]]=""),"",(tInverno26[[#This Row],[Preço (R$)]]-tInverno26[[#This Row],[Custo (R$)]])/tInverno26[[#This Row],[Preço (R$)]])</f>
        <v>0.52936059156154847</v>
      </c>
      <c r="K72" s="5" t="s">
        <v>1554</v>
      </c>
      <c r="L72" s="28" t="s">
        <v>47</v>
      </c>
      <c r="M72" s="10">
        <v>46127</v>
      </c>
      <c r="N72" s="5" t="s">
        <v>470</v>
      </c>
      <c r="O72" s="9" t="s">
        <v>49</v>
      </c>
    </row>
    <row r="73" spans="1:15">
      <c r="A7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VLT-CAL-026-OFF-G</v>
      </c>
      <c r="B73" s="5" t="s">
        <v>1555</v>
      </c>
      <c r="C73" s="9" t="s">
        <v>1548</v>
      </c>
      <c r="D73" s="5" t="s">
        <v>1549</v>
      </c>
      <c r="E73" s="5" t="s">
        <v>86</v>
      </c>
      <c r="F73" s="5" t="s">
        <v>117</v>
      </c>
      <c r="G73" s="9" t="s">
        <v>58</v>
      </c>
      <c r="H73" s="11">
        <v>229.9</v>
      </c>
      <c r="I73" s="11">
        <v>107.59</v>
      </c>
      <c r="J73" s="12">
        <f>IF(OR(tInverno26[[#This Row],[Preço (R$)]]="",tInverno26[[#This Row],[Custo (R$)]]=""),"",(tInverno26[[#This Row],[Preço (R$)]]-tInverno26[[#This Row],[Custo (R$)]])/tInverno26[[#This Row],[Preço (R$)]])</f>
        <v>0.53201391909525886</v>
      </c>
      <c r="K73" s="5" t="s">
        <v>1556</v>
      </c>
      <c r="L73" s="28" t="s">
        <v>47</v>
      </c>
      <c r="M73" s="10">
        <v>46127</v>
      </c>
      <c r="N73" s="5" t="s">
        <v>470</v>
      </c>
      <c r="O73" s="9" t="s">
        <v>49</v>
      </c>
    </row>
    <row r="74" spans="1:15">
      <c r="A7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VLT-CAL-026-OFF-GG</v>
      </c>
      <c r="B74" s="5" t="s">
        <v>1557</v>
      </c>
      <c r="C74" s="9" t="s">
        <v>1548</v>
      </c>
      <c r="D74" s="5" t="s">
        <v>1549</v>
      </c>
      <c r="E74" s="5" t="s">
        <v>86</v>
      </c>
      <c r="F74" s="5" t="s">
        <v>117</v>
      </c>
      <c r="G74" s="9" t="s">
        <v>61</v>
      </c>
      <c r="H74" s="11">
        <v>229.9</v>
      </c>
      <c r="I74" s="11">
        <v>104.44</v>
      </c>
      <c r="J74" s="12">
        <f>IF(OR(tInverno26[[#This Row],[Preço (R$)]]="",tInverno26[[#This Row],[Custo (R$)]]=""),"",(tInverno26[[#This Row],[Preço (R$)]]-tInverno26[[#This Row],[Custo (R$)]])/tInverno26[[#This Row],[Preço (R$)]])</f>
        <v>0.54571552849064808</v>
      </c>
      <c r="K74" s="5" t="s">
        <v>1558</v>
      </c>
      <c r="L74" s="28" t="s">
        <v>47</v>
      </c>
      <c r="M74" s="10">
        <v>46127</v>
      </c>
      <c r="N74" s="5" t="s">
        <v>470</v>
      </c>
      <c r="O74" s="9" t="s">
        <v>49</v>
      </c>
    </row>
    <row r="75" spans="1:15">
      <c r="A7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VLT-CAM-021-AZM-P</v>
      </c>
      <c r="B75" s="5" t="s">
        <v>1559</v>
      </c>
      <c r="C75" s="9" t="s">
        <v>1560</v>
      </c>
      <c r="D75" s="5" t="s">
        <v>1561</v>
      </c>
      <c r="E75" s="5" t="s">
        <v>128</v>
      </c>
      <c r="F75" s="5" t="s">
        <v>68</v>
      </c>
      <c r="G75" s="9" t="s">
        <v>51</v>
      </c>
      <c r="H75" s="31">
        <v>129.9</v>
      </c>
      <c r="I75" s="27">
        <v>58.8</v>
      </c>
      <c r="J75" s="12">
        <f>IF(OR(tInverno26[[#This Row],[Preço (R$)]]="",tInverno26[[#This Row],[Custo (R$)]]=""),"",(tInverno26[[#This Row],[Preço (R$)]]-tInverno26[[#This Row],[Custo (R$)]])/tInverno26[[#This Row],[Preço (R$)]])</f>
        <v>0.54734411085450352</v>
      </c>
      <c r="K75" s="5" t="s">
        <v>1562</v>
      </c>
      <c r="L75" s="28" t="s">
        <v>101</v>
      </c>
      <c r="M75" s="10">
        <v>46106</v>
      </c>
      <c r="N75" s="5" t="s">
        <v>1563</v>
      </c>
      <c r="O75" s="9" t="s">
        <v>49</v>
      </c>
    </row>
    <row r="76" spans="1:15">
      <c r="A7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VLT-CAM-021-AZM-M</v>
      </c>
      <c r="B76" s="5" t="s">
        <v>1564</v>
      </c>
      <c r="C76" s="9" t="s">
        <v>1560</v>
      </c>
      <c r="D76" s="5" t="s">
        <v>1561</v>
      </c>
      <c r="E76" s="5" t="s">
        <v>128</v>
      </c>
      <c r="F76" s="5" t="s">
        <v>68</v>
      </c>
      <c r="G76" s="9" t="s">
        <v>54</v>
      </c>
      <c r="H76" s="31">
        <v>129.9</v>
      </c>
      <c r="I76" s="11">
        <v>58.8</v>
      </c>
      <c r="J76" s="12">
        <f>IF(OR(tInverno26[[#This Row],[Preço (R$)]]="",tInverno26[[#This Row],[Custo (R$)]]=""),"",(tInverno26[[#This Row],[Preço (R$)]]-tInverno26[[#This Row],[Custo (R$)]])/tInverno26[[#This Row],[Preço (R$)]])</f>
        <v>0.54734411085450352</v>
      </c>
      <c r="K76" s="5" t="s">
        <v>1565</v>
      </c>
      <c r="L76" s="28" t="s">
        <v>101</v>
      </c>
      <c r="M76" s="10">
        <v>46106</v>
      </c>
      <c r="N76" s="5" t="s">
        <v>1566</v>
      </c>
      <c r="O76" s="9" t="s">
        <v>49</v>
      </c>
    </row>
    <row r="77" spans="1:15">
      <c r="A7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VLT-CAM-021-AZM-G</v>
      </c>
      <c r="B77" s="5" t="s">
        <v>1567</v>
      </c>
      <c r="C77" s="9" t="s">
        <v>1560</v>
      </c>
      <c r="D77" s="5" t="s">
        <v>1561</v>
      </c>
      <c r="E77" s="5" t="s">
        <v>128</v>
      </c>
      <c r="F77" s="5" t="s">
        <v>68</v>
      </c>
      <c r="G77" s="9" t="s">
        <v>58</v>
      </c>
      <c r="H77" s="31">
        <v>129.9</v>
      </c>
      <c r="I77" s="11">
        <v>61.93</v>
      </c>
      <c r="J77" s="12">
        <f>IF(OR(tInverno26[[#This Row],[Preço (R$)]]="",tInverno26[[#This Row],[Custo (R$)]]=""),"",(tInverno26[[#This Row],[Preço (R$)]]-tInverno26[[#This Row],[Custo (R$)]])/tInverno26[[#This Row],[Preço (R$)]])</f>
        <v>0.52324865280985366</v>
      </c>
      <c r="K77" s="5" t="s">
        <v>1568</v>
      </c>
      <c r="L77" s="28" t="s">
        <v>101</v>
      </c>
      <c r="M77" s="10">
        <v>46106</v>
      </c>
      <c r="N77" s="5" t="s">
        <v>1566</v>
      </c>
      <c r="O77" s="9" t="s">
        <v>49</v>
      </c>
    </row>
    <row r="78" spans="1:15">
      <c r="A7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VLT-CAM-021-AZM-GG</v>
      </c>
      <c r="B78" s="5" t="s">
        <v>1569</v>
      </c>
      <c r="C78" s="9" t="s">
        <v>1560</v>
      </c>
      <c r="D78" s="5" t="s">
        <v>1561</v>
      </c>
      <c r="E78" s="5" t="s">
        <v>128</v>
      </c>
      <c r="F78" s="5" t="s">
        <v>68</v>
      </c>
      <c r="G78" s="9" t="s">
        <v>61</v>
      </c>
      <c r="H78" s="31">
        <v>129.9</v>
      </c>
      <c r="I78" s="11">
        <v>62.06</v>
      </c>
      <c r="J78" s="12">
        <f>IF(OR(tInverno26[[#This Row],[Preço (R$)]]="",tInverno26[[#This Row],[Custo (R$)]]=""),"",(tInverno26[[#This Row],[Preço (R$)]]-tInverno26[[#This Row],[Custo (R$)]])/tInverno26[[#This Row],[Preço (R$)]])</f>
        <v>0.52224788298691305</v>
      </c>
      <c r="K78" s="5" t="s">
        <v>1570</v>
      </c>
      <c r="L78" s="28" t="s">
        <v>101</v>
      </c>
      <c r="M78" s="10">
        <v>46106</v>
      </c>
      <c r="N78" s="5" t="s">
        <v>1566</v>
      </c>
      <c r="O78" s="9" t="s">
        <v>49</v>
      </c>
    </row>
    <row r="79" spans="1:15">
      <c r="A7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VLT-CAM-022-MRR-P</v>
      </c>
      <c r="B79" s="5" t="s">
        <v>1571</v>
      </c>
      <c r="C79" s="9" t="s">
        <v>1572</v>
      </c>
      <c r="D79" s="5" t="s">
        <v>1573</v>
      </c>
      <c r="E79" s="5" t="s">
        <v>128</v>
      </c>
      <c r="F79" s="5" t="s">
        <v>87</v>
      </c>
      <c r="G79" s="9" t="s">
        <v>51</v>
      </c>
      <c r="H79" s="31">
        <v>109.9</v>
      </c>
      <c r="I79" s="27">
        <v>49.37</v>
      </c>
      <c r="J79" s="12">
        <f>IF(OR(tInverno26[[#This Row],[Preço (R$)]]="",tInverno26[[#This Row],[Custo (R$)]]=""),"",(tInverno26[[#This Row],[Preço (R$)]]-tInverno26[[#This Row],[Custo (R$)]])/tInverno26[[#This Row],[Preço (R$)]])</f>
        <v>0.55077343039126481</v>
      </c>
      <c r="K79" s="5" t="s">
        <v>1574</v>
      </c>
      <c r="L79" s="28" t="s">
        <v>101</v>
      </c>
      <c r="M79" s="10">
        <v>46122</v>
      </c>
      <c r="N79" s="5" t="s">
        <v>1575</v>
      </c>
      <c r="O79" s="9" t="s">
        <v>49</v>
      </c>
    </row>
    <row r="80" spans="1:15">
      <c r="A8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VLT-CAM-022-MRR-M</v>
      </c>
      <c r="B80" s="5" t="s">
        <v>1576</v>
      </c>
      <c r="C80" s="9" t="s">
        <v>1572</v>
      </c>
      <c r="D80" s="5" t="s">
        <v>1573</v>
      </c>
      <c r="E80" s="5" t="s">
        <v>128</v>
      </c>
      <c r="F80" s="5" t="s">
        <v>87</v>
      </c>
      <c r="G80" s="9" t="s">
        <v>54</v>
      </c>
      <c r="H80" s="31">
        <v>109.9</v>
      </c>
      <c r="I80" s="11">
        <v>49.37</v>
      </c>
      <c r="J80" s="12">
        <f>IF(OR(tInverno26[[#This Row],[Preço (R$)]]="",tInverno26[[#This Row],[Custo (R$)]]=""),"",(tInverno26[[#This Row],[Preço (R$)]]-tInverno26[[#This Row],[Custo (R$)]])/tInverno26[[#This Row],[Preço (R$)]])</f>
        <v>0.55077343039126481</v>
      </c>
      <c r="K80" s="5" t="s">
        <v>1577</v>
      </c>
      <c r="L80" s="28" t="s">
        <v>101</v>
      </c>
      <c r="M80" s="10">
        <v>46122</v>
      </c>
      <c r="N80" s="5" t="s">
        <v>1578</v>
      </c>
      <c r="O80" s="9" t="s">
        <v>49</v>
      </c>
    </row>
    <row r="81" spans="1:15">
      <c r="A8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VLT-CAM-022-MRR-G</v>
      </c>
      <c r="B81" s="5" t="s">
        <v>1579</v>
      </c>
      <c r="C81" s="9" t="s">
        <v>1572</v>
      </c>
      <c r="D81" s="5" t="s">
        <v>1573</v>
      </c>
      <c r="E81" s="5" t="s">
        <v>128</v>
      </c>
      <c r="F81" s="5" t="s">
        <v>87</v>
      </c>
      <c r="G81" s="9" t="s">
        <v>58</v>
      </c>
      <c r="H81" s="31">
        <v>109.9</v>
      </c>
      <c r="I81" s="27">
        <v>49.37</v>
      </c>
      <c r="J81" s="12">
        <f>IF(OR(tInverno26[[#This Row],[Preço (R$)]]="",tInverno26[[#This Row],[Custo (R$)]]=""),"",(tInverno26[[#This Row],[Preço (R$)]]-tInverno26[[#This Row],[Custo (R$)]])/tInverno26[[#This Row],[Preço (R$)]])</f>
        <v>0.55077343039126481</v>
      </c>
      <c r="K81" s="5" t="s">
        <v>1580</v>
      </c>
      <c r="L81" s="28" t="s">
        <v>101</v>
      </c>
      <c r="M81" s="10">
        <v>46122</v>
      </c>
      <c r="N81" s="5" t="s">
        <v>1575</v>
      </c>
      <c r="O81" s="9" t="s">
        <v>49</v>
      </c>
    </row>
    <row r="82" spans="1:15">
      <c r="A8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VLT-CAM-022-MRR-GG</v>
      </c>
      <c r="B82" s="5" t="s">
        <v>1581</v>
      </c>
      <c r="C82" s="9" t="s">
        <v>1572</v>
      </c>
      <c r="D82" s="5" t="s">
        <v>1573</v>
      </c>
      <c r="E82" s="5" t="s">
        <v>128</v>
      </c>
      <c r="F82" s="5" t="s">
        <v>87</v>
      </c>
      <c r="G82" s="9" t="s">
        <v>61</v>
      </c>
      <c r="H82" s="31">
        <v>109.9</v>
      </c>
      <c r="I82" s="11">
        <v>51.19</v>
      </c>
      <c r="J82" s="12">
        <f>IF(OR(tInverno26[[#This Row],[Preço (R$)]]="",tInverno26[[#This Row],[Custo (R$)]]=""),"",(tInverno26[[#This Row],[Preço (R$)]]-tInverno26[[#This Row],[Custo (R$)]])/tInverno26[[#This Row],[Preço (R$)]])</f>
        <v>0.53421292083712468</v>
      </c>
      <c r="K82" s="5" t="s">
        <v>1582</v>
      </c>
      <c r="L82" s="28" t="s">
        <v>101</v>
      </c>
      <c r="M82" s="10">
        <v>46122</v>
      </c>
      <c r="N82" s="5" t="s">
        <v>1578</v>
      </c>
      <c r="O82" s="9" t="s">
        <v>49</v>
      </c>
    </row>
    <row r="83" spans="1:15">
      <c r="A8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VLT-CMS-015-LIL-P</v>
      </c>
      <c r="B83" s="5" t="s">
        <v>1583</v>
      </c>
      <c r="C83" s="9" t="s">
        <v>1584</v>
      </c>
      <c r="D83" s="5" t="s">
        <v>1585</v>
      </c>
      <c r="E83" s="5" t="s">
        <v>67</v>
      </c>
      <c r="F83" s="5" t="s">
        <v>203</v>
      </c>
      <c r="G83" s="9" t="s">
        <v>51</v>
      </c>
      <c r="H83" s="11">
        <v>219.9</v>
      </c>
      <c r="I83" s="11">
        <v>105.23</v>
      </c>
      <c r="J83" s="12">
        <f>IF(OR(tInverno26[[#This Row],[Preço (R$)]]="",tInverno26[[#This Row],[Custo (R$)]]=""),"",(tInverno26[[#This Row],[Preço (R$)]]-tInverno26[[#This Row],[Custo (R$)]])/tInverno26[[#This Row],[Preço (R$)]])</f>
        <v>0.52146430195543425</v>
      </c>
      <c r="K83" s="5" t="s">
        <v>1586</v>
      </c>
      <c r="L83" s="28" t="s">
        <v>47</v>
      </c>
      <c r="M83" s="10">
        <v>46151</v>
      </c>
      <c r="N83" s="5" t="s">
        <v>1054</v>
      </c>
      <c r="O83" s="9" t="s">
        <v>49</v>
      </c>
    </row>
    <row r="84" spans="1:15">
      <c r="A8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VLT-CMS-015-LIL-M</v>
      </c>
      <c r="B84" s="5" t="s">
        <v>1587</v>
      </c>
      <c r="C84" s="9" t="s">
        <v>1584</v>
      </c>
      <c r="D84" s="5" t="s">
        <v>1585</v>
      </c>
      <c r="E84" s="5" t="s">
        <v>67</v>
      </c>
      <c r="F84" s="5" t="s">
        <v>203</v>
      </c>
      <c r="G84" s="9" t="s">
        <v>54</v>
      </c>
      <c r="H84" s="11">
        <v>219.9</v>
      </c>
      <c r="I84" s="11">
        <v>101.08</v>
      </c>
      <c r="J84" s="12">
        <f>IF(OR(tInverno26[[#This Row],[Preço (R$)]]="",tInverno26[[#This Row],[Custo (R$)]]=""),"",(tInverno26[[#This Row],[Preço (R$)]]-tInverno26[[#This Row],[Custo (R$)]])/tInverno26[[#This Row],[Preço (R$)]])</f>
        <v>0.54033651659845383</v>
      </c>
      <c r="K84" s="5" t="s">
        <v>1588</v>
      </c>
      <c r="L84" s="28" t="s">
        <v>47</v>
      </c>
      <c r="M84" s="10">
        <v>46151</v>
      </c>
      <c r="N84" s="5" t="s">
        <v>1054</v>
      </c>
      <c r="O84" s="9" t="s">
        <v>49</v>
      </c>
    </row>
    <row r="85" spans="1:15">
      <c r="A8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VLT-CMS-015-LIL-G</v>
      </c>
      <c r="B85" s="5" t="s">
        <v>1589</v>
      </c>
      <c r="C85" s="9" t="s">
        <v>1584</v>
      </c>
      <c r="D85" s="5" t="s">
        <v>1585</v>
      </c>
      <c r="E85" s="5" t="s">
        <v>67</v>
      </c>
      <c r="F85" s="5" t="s">
        <v>203</v>
      </c>
      <c r="G85" s="9" t="s">
        <v>58</v>
      </c>
      <c r="H85" s="11">
        <v>219.9</v>
      </c>
      <c r="I85" s="27">
        <v>101.08</v>
      </c>
      <c r="J85" s="12">
        <f>IF(OR(tInverno26[[#This Row],[Preço (R$)]]="",tInverno26[[#This Row],[Custo (R$)]]=""),"",(tInverno26[[#This Row],[Preço (R$)]]-tInverno26[[#This Row],[Custo (R$)]])/tInverno26[[#This Row],[Preço (R$)]])</f>
        <v>0.54033651659845383</v>
      </c>
      <c r="K85" s="5" t="s">
        <v>1590</v>
      </c>
      <c r="L85" s="28" t="s">
        <v>47</v>
      </c>
      <c r="M85" s="10">
        <v>46151</v>
      </c>
      <c r="N85" s="5" t="s">
        <v>1591</v>
      </c>
      <c r="O85" s="9" t="s">
        <v>49</v>
      </c>
    </row>
    <row r="86" spans="1:15">
      <c r="A8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VLT-CMS-015-OFF-P</v>
      </c>
      <c r="B86" s="5" t="s">
        <v>1592</v>
      </c>
      <c r="C86" s="9" t="s">
        <v>1584</v>
      </c>
      <c r="D86" s="5" t="s">
        <v>1585</v>
      </c>
      <c r="E86" s="5" t="s">
        <v>67</v>
      </c>
      <c r="F86" s="5" t="s">
        <v>117</v>
      </c>
      <c r="G86" s="9" t="s">
        <v>51</v>
      </c>
      <c r="H86" s="11">
        <v>219.9</v>
      </c>
      <c r="I86" s="11">
        <v>102.94</v>
      </c>
      <c r="J86" s="12">
        <f>IF(OR(tInverno26[[#This Row],[Preço (R$)]]="",tInverno26[[#This Row],[Custo (R$)]]=""),"",(tInverno26[[#This Row],[Preço (R$)]]-tInverno26[[#This Row],[Custo (R$)]])/tInverno26[[#This Row],[Preço (R$)]])</f>
        <v>0.53187812642110055</v>
      </c>
      <c r="K86" s="5" t="s">
        <v>1593</v>
      </c>
      <c r="L86" s="28" t="s">
        <v>47</v>
      </c>
      <c r="M86" s="10">
        <v>46151</v>
      </c>
      <c r="N86" s="5" t="s">
        <v>1054</v>
      </c>
      <c r="O86" s="9" t="s">
        <v>49</v>
      </c>
    </row>
    <row r="87" spans="1:15">
      <c r="A8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VLT-CMS-015-OFF-M</v>
      </c>
      <c r="B87" s="5" t="s">
        <v>1594</v>
      </c>
      <c r="C87" s="9" t="s">
        <v>1584</v>
      </c>
      <c r="D87" s="5" t="s">
        <v>1585</v>
      </c>
      <c r="E87" s="5" t="s">
        <v>67</v>
      </c>
      <c r="F87" s="5" t="s">
        <v>117</v>
      </c>
      <c r="G87" s="9" t="s">
        <v>54</v>
      </c>
      <c r="H87" s="11">
        <v>219.9</v>
      </c>
      <c r="I87" s="11">
        <v>102.05</v>
      </c>
      <c r="J87" s="12">
        <f>IF(OR(tInverno26[[#This Row],[Preço (R$)]]="",tInverno26[[#This Row],[Custo (R$)]]=""),"",(tInverno26[[#This Row],[Preço (R$)]]-tInverno26[[#This Row],[Custo (R$)]])/tInverno26[[#This Row],[Preço (R$)]])</f>
        <v>0.53592542064574811</v>
      </c>
      <c r="K87" s="5" t="s">
        <v>1595</v>
      </c>
      <c r="L87" s="28" t="s">
        <v>47</v>
      </c>
      <c r="M87" s="10">
        <v>46151</v>
      </c>
      <c r="N87" s="5" t="s">
        <v>1054</v>
      </c>
      <c r="O87" s="9" t="s">
        <v>49</v>
      </c>
    </row>
    <row r="88" spans="1:15">
      <c r="A8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VLT-CMS-015-OFF-G</v>
      </c>
      <c r="B88" s="5" t="s">
        <v>1596</v>
      </c>
      <c r="C88" s="9" t="s">
        <v>1584</v>
      </c>
      <c r="D88" s="5" t="s">
        <v>1585</v>
      </c>
      <c r="E88" s="5" t="s">
        <v>67</v>
      </c>
      <c r="F88" s="5" t="s">
        <v>117</v>
      </c>
      <c r="G88" s="9" t="s">
        <v>58</v>
      </c>
      <c r="H88" s="11">
        <v>219.9</v>
      </c>
      <c r="I88" s="27">
        <v>102.05</v>
      </c>
      <c r="J88" s="12">
        <f>IF(OR(tInverno26[[#This Row],[Preço (R$)]]="",tInverno26[[#This Row],[Custo (R$)]]=""),"",(tInverno26[[#This Row],[Preço (R$)]]-tInverno26[[#This Row],[Custo (R$)]])/tInverno26[[#This Row],[Preço (R$)]])</f>
        <v>0.53592542064574811</v>
      </c>
      <c r="K88" s="5" t="s">
        <v>1597</v>
      </c>
      <c r="L88" s="28" t="s">
        <v>47</v>
      </c>
      <c r="M88" s="10">
        <v>46151</v>
      </c>
      <c r="N88" s="5" t="s">
        <v>1598</v>
      </c>
      <c r="O88" s="9" t="s">
        <v>49</v>
      </c>
    </row>
    <row r="89" spans="1:15">
      <c r="A8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VLT-CAM-023-AMA-P</v>
      </c>
      <c r="B89" s="5" t="s">
        <v>1599</v>
      </c>
      <c r="C89" s="9" t="s">
        <v>1600</v>
      </c>
      <c r="D89" s="5" t="s">
        <v>1601</v>
      </c>
      <c r="E89" s="5" t="s">
        <v>128</v>
      </c>
      <c r="F89" s="5" t="s">
        <v>99</v>
      </c>
      <c r="G89" s="9" t="s">
        <v>51</v>
      </c>
      <c r="H89" s="31">
        <v>139.9</v>
      </c>
      <c r="I89" s="11">
        <v>64.709999999999994</v>
      </c>
      <c r="J89" s="12">
        <f>IF(OR(tInverno26[[#This Row],[Preço (R$)]]="",tInverno26[[#This Row],[Custo (R$)]]=""),"",(tInverno26[[#This Row],[Preço (R$)]]-tInverno26[[#This Row],[Custo (R$)]])/tInverno26[[#This Row],[Preço (R$)]])</f>
        <v>0.53745532523230888</v>
      </c>
      <c r="K89" s="5" t="s">
        <v>1602</v>
      </c>
      <c r="L89" s="28" t="s">
        <v>101</v>
      </c>
      <c r="M89" s="10">
        <v>46109</v>
      </c>
      <c r="N89" s="5" t="s">
        <v>1603</v>
      </c>
      <c r="O89" s="9" t="s">
        <v>49</v>
      </c>
    </row>
    <row r="90" spans="1:15">
      <c r="A9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VLT-CAM-023-AMA-M</v>
      </c>
      <c r="B90" s="5" t="s">
        <v>1604</v>
      </c>
      <c r="C90" s="9" t="s">
        <v>1600</v>
      </c>
      <c r="D90" s="5" t="s">
        <v>1601</v>
      </c>
      <c r="E90" s="5" t="s">
        <v>128</v>
      </c>
      <c r="F90" s="5" t="s">
        <v>99</v>
      </c>
      <c r="G90" s="9" t="s">
        <v>54</v>
      </c>
      <c r="H90" s="31">
        <v>139.9</v>
      </c>
      <c r="I90" s="11">
        <v>62.33</v>
      </c>
      <c r="J90" s="12">
        <f>IF(OR(tInverno26[[#This Row],[Preço (R$)]]="",tInverno26[[#This Row],[Custo (R$)]]=""),"",(tInverno26[[#This Row],[Preço (R$)]]-tInverno26[[#This Row],[Custo (R$)]])/tInverno26[[#This Row],[Preço (R$)]])</f>
        <v>0.55446747676912078</v>
      </c>
      <c r="K90" s="5" t="s">
        <v>1605</v>
      </c>
      <c r="L90" s="28" t="s">
        <v>101</v>
      </c>
      <c r="M90" s="10">
        <v>46109</v>
      </c>
      <c r="N90" s="5" t="s">
        <v>1603</v>
      </c>
      <c r="O90" s="9" t="s">
        <v>49</v>
      </c>
    </row>
    <row r="91" spans="1:15">
      <c r="A9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VLT-CAM-023-AMA-G</v>
      </c>
      <c r="B91" s="5" t="s">
        <v>1606</v>
      </c>
      <c r="C91" s="9" t="s">
        <v>1600</v>
      </c>
      <c r="D91" s="5" t="s">
        <v>1601</v>
      </c>
      <c r="E91" s="5" t="s">
        <v>128</v>
      </c>
      <c r="F91" s="5" t="s">
        <v>99</v>
      </c>
      <c r="G91" s="9" t="s">
        <v>58</v>
      </c>
      <c r="H91" s="31">
        <v>139.9</v>
      </c>
      <c r="I91" s="11">
        <v>64.290000000000006</v>
      </c>
      <c r="J91" s="12">
        <f>IF(OR(tInverno26[[#This Row],[Preço (R$)]]="",tInverno26[[#This Row],[Custo (R$)]]=""),"",(tInverno26[[#This Row],[Preço (R$)]]-tInverno26[[#This Row],[Custo (R$)]])/tInverno26[[#This Row],[Preço (R$)]])</f>
        <v>0.54045746962115793</v>
      </c>
      <c r="K91" s="5" t="s">
        <v>1607</v>
      </c>
      <c r="L91" s="28" t="s">
        <v>101</v>
      </c>
      <c r="M91" s="10">
        <v>46109</v>
      </c>
      <c r="N91" s="5" t="s">
        <v>1603</v>
      </c>
      <c r="O91" s="9" t="s">
        <v>49</v>
      </c>
    </row>
    <row r="92" spans="1:15">
      <c r="A9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VLT-CAM-023-AMA-GG</v>
      </c>
      <c r="B92" s="5" t="s">
        <v>1608</v>
      </c>
      <c r="C92" s="9" t="s">
        <v>1600</v>
      </c>
      <c r="D92" s="5" t="s">
        <v>1601</v>
      </c>
      <c r="E92" s="5" t="s">
        <v>128</v>
      </c>
      <c r="F92" s="5" t="s">
        <v>99</v>
      </c>
      <c r="G92" s="9" t="s">
        <v>61</v>
      </c>
      <c r="H92" s="31">
        <v>139.9</v>
      </c>
      <c r="I92" s="11">
        <v>65.67</v>
      </c>
      <c r="J92" s="12">
        <f>IF(OR(tInverno26[[#This Row],[Preço (R$)]]="",tInverno26[[#This Row],[Custo (R$)]]=""),"",(tInverno26[[#This Row],[Preço (R$)]]-tInverno26[[#This Row],[Custo (R$)]])/tInverno26[[#This Row],[Preço (R$)]])</f>
        <v>0.53059328091493929</v>
      </c>
      <c r="K92" s="5" t="s">
        <v>1609</v>
      </c>
      <c r="L92" s="28" t="s">
        <v>101</v>
      </c>
      <c r="M92" s="10">
        <v>46109</v>
      </c>
      <c r="N92" s="5" t="s">
        <v>1603</v>
      </c>
      <c r="O92" s="9" t="s">
        <v>49</v>
      </c>
    </row>
    <row r="93" spans="1:15">
      <c r="A9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VLT-CAL-027-PRE-XP</v>
      </c>
      <c r="B93" s="5" t="s">
        <v>1610</v>
      </c>
      <c r="C93" s="9" t="s">
        <v>1611</v>
      </c>
      <c r="D93" s="5" t="s">
        <v>1612</v>
      </c>
      <c r="E93" s="5" t="s">
        <v>86</v>
      </c>
      <c r="F93" s="5" t="s">
        <v>251</v>
      </c>
      <c r="G93" s="9" t="s">
        <v>45</v>
      </c>
      <c r="H93" s="11">
        <v>209.9</v>
      </c>
      <c r="I93" s="11">
        <v>84.66</v>
      </c>
      <c r="J93" s="12">
        <f>IF(OR(tInverno26[[#This Row],[Preço (R$)]]="",tInverno26[[#This Row],[Custo (R$)]]=""),"",(tInverno26[[#This Row],[Preço (R$)]]-tInverno26[[#This Row],[Custo (R$)]])/tInverno26[[#This Row],[Preço (R$)]])</f>
        <v>0.59666507860886142</v>
      </c>
      <c r="K93" s="5" t="s">
        <v>1613</v>
      </c>
      <c r="L93" s="28" t="s">
        <v>47</v>
      </c>
      <c r="M93" s="10">
        <v>46114</v>
      </c>
      <c r="N93" s="5" t="s">
        <v>470</v>
      </c>
      <c r="O93" s="9" t="s">
        <v>49</v>
      </c>
    </row>
    <row r="94" spans="1:15">
      <c r="A9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VLT-CAL-027-PRE-P</v>
      </c>
      <c r="B94" s="5" t="s">
        <v>1614</v>
      </c>
      <c r="C94" s="9" t="s">
        <v>1611</v>
      </c>
      <c r="D94" s="5" t="s">
        <v>1612</v>
      </c>
      <c r="E94" s="5" t="s">
        <v>86</v>
      </c>
      <c r="F94" s="5" t="s">
        <v>251</v>
      </c>
      <c r="G94" s="9" t="s">
        <v>51</v>
      </c>
      <c r="H94" s="11">
        <v>209.9</v>
      </c>
      <c r="I94" s="11">
        <v>82.15</v>
      </c>
      <c r="J94" s="12">
        <f>IF(OR(tInverno26[[#This Row],[Preço (R$)]]="",tInverno26[[#This Row],[Custo (R$)]]=""),"",(tInverno26[[#This Row],[Preço (R$)]]-tInverno26[[#This Row],[Custo (R$)]])/tInverno26[[#This Row],[Preço (R$)]])</f>
        <v>0.6086231538828013</v>
      </c>
      <c r="K94" s="5" t="s">
        <v>1615</v>
      </c>
      <c r="L94" s="28" t="s">
        <v>47</v>
      </c>
      <c r="M94" s="10">
        <v>46114</v>
      </c>
      <c r="N94" s="5" t="s">
        <v>470</v>
      </c>
      <c r="O94" s="9" t="s">
        <v>49</v>
      </c>
    </row>
    <row r="95" spans="1:15">
      <c r="A9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VLT-CAL-027-PRE-M</v>
      </c>
      <c r="B95" s="5" t="s">
        <v>1616</v>
      </c>
      <c r="C95" s="9" t="s">
        <v>1611</v>
      </c>
      <c r="D95" s="5" t="s">
        <v>1612</v>
      </c>
      <c r="E95" s="5" t="s">
        <v>86</v>
      </c>
      <c r="F95" s="5" t="s">
        <v>251</v>
      </c>
      <c r="G95" s="9" t="s">
        <v>54</v>
      </c>
      <c r="H95" s="11">
        <v>209.9</v>
      </c>
      <c r="I95" s="27">
        <v>82.15</v>
      </c>
      <c r="J95" s="12">
        <f>IF(OR(tInverno26[[#This Row],[Preço (R$)]]="",tInverno26[[#This Row],[Custo (R$)]]=""),"",(tInverno26[[#This Row],[Preço (R$)]]-tInverno26[[#This Row],[Custo (R$)]])/tInverno26[[#This Row],[Preço (R$)]])</f>
        <v>0.6086231538828013</v>
      </c>
      <c r="K95" s="5" t="s">
        <v>1617</v>
      </c>
      <c r="L95" s="28" t="s">
        <v>47</v>
      </c>
      <c r="M95" s="10">
        <v>46114</v>
      </c>
      <c r="N95" s="5" t="s">
        <v>1618</v>
      </c>
      <c r="O95" s="9" t="s">
        <v>49</v>
      </c>
    </row>
    <row r="96" spans="1:15">
      <c r="A9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VLT-CAL-027-PRE-G</v>
      </c>
      <c r="B96" s="5" t="s">
        <v>1619</v>
      </c>
      <c r="C96" s="9" t="s">
        <v>1611</v>
      </c>
      <c r="D96" s="5" t="s">
        <v>1612</v>
      </c>
      <c r="E96" s="5" t="s">
        <v>86</v>
      </c>
      <c r="F96" s="5" t="s">
        <v>251</v>
      </c>
      <c r="G96" s="9" t="s">
        <v>58</v>
      </c>
      <c r="H96" s="11">
        <v>209.9</v>
      </c>
      <c r="I96" s="11">
        <v>82.12</v>
      </c>
      <c r="J96" s="12">
        <f>IF(OR(tInverno26[[#This Row],[Preço (R$)]]="",tInverno26[[#This Row],[Custo (R$)]]=""),"",(tInverno26[[#This Row],[Preço (R$)]]-tInverno26[[#This Row],[Custo (R$)]])/tInverno26[[#This Row],[Preço (R$)]])</f>
        <v>0.60876607908527869</v>
      </c>
      <c r="K96" s="5" t="s">
        <v>1620</v>
      </c>
      <c r="L96" s="28" t="s">
        <v>47</v>
      </c>
      <c r="M96" s="10">
        <v>46114</v>
      </c>
      <c r="N96" s="5" t="s">
        <v>470</v>
      </c>
      <c r="O96" s="9" t="s">
        <v>49</v>
      </c>
    </row>
    <row r="97" spans="1:15">
      <c r="A9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VLT-CAL-027-PRE-GG</v>
      </c>
      <c r="B97" s="5" t="s">
        <v>1621</v>
      </c>
      <c r="C97" s="9" t="s">
        <v>1611</v>
      </c>
      <c r="D97" s="5" t="s">
        <v>1612</v>
      </c>
      <c r="E97" s="5" t="s">
        <v>86</v>
      </c>
      <c r="F97" s="5" t="s">
        <v>251</v>
      </c>
      <c r="G97" s="9" t="s">
        <v>61</v>
      </c>
      <c r="H97" s="11">
        <v>209.9</v>
      </c>
      <c r="I97" s="27">
        <v>82.12</v>
      </c>
      <c r="J97" s="12">
        <f>IF(OR(tInverno26[[#This Row],[Preço (R$)]]="",tInverno26[[#This Row],[Custo (R$)]]=""),"",(tInverno26[[#This Row],[Preço (R$)]]-tInverno26[[#This Row],[Custo (R$)]])/tInverno26[[#This Row],[Preço (R$)]])</f>
        <v>0.60876607908527869</v>
      </c>
      <c r="K97" s="5" t="s">
        <v>1622</v>
      </c>
      <c r="L97" s="28" t="s">
        <v>47</v>
      </c>
      <c r="M97" s="10">
        <v>46114</v>
      </c>
      <c r="N97" s="5" t="s">
        <v>1623</v>
      </c>
      <c r="O97" s="9" t="s">
        <v>49</v>
      </c>
    </row>
    <row r="98" spans="1:15">
      <c r="A9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VLT-MOL-019-OLI-P</v>
      </c>
      <c r="B98" s="5" t="s">
        <v>1624</v>
      </c>
      <c r="C98" s="9" t="s">
        <v>1625</v>
      </c>
      <c r="D98" s="5" t="s">
        <v>1626</v>
      </c>
      <c r="E98" s="5" t="s">
        <v>98</v>
      </c>
      <c r="F98" s="5" t="s">
        <v>180</v>
      </c>
      <c r="G98" s="9" t="s">
        <v>51</v>
      </c>
      <c r="H98" s="31">
        <v>369.9</v>
      </c>
      <c r="I98" s="11">
        <v>173.04</v>
      </c>
      <c r="J98" s="12">
        <f>IF(OR(tInverno26[[#This Row],[Preço (R$)]]="",tInverno26[[#This Row],[Custo (R$)]]=""),"",(tInverno26[[#This Row],[Preço (R$)]]-tInverno26[[#This Row],[Custo (R$)]])/tInverno26[[#This Row],[Preço (R$)]])</f>
        <v>0.53219789132197892</v>
      </c>
      <c r="K98" s="5" t="s">
        <v>1627</v>
      </c>
      <c r="L98" s="28" t="s">
        <v>101</v>
      </c>
      <c r="M98" s="10">
        <v>46138</v>
      </c>
      <c r="N98" s="5" t="s">
        <v>1628</v>
      </c>
      <c r="O98" s="9" t="s">
        <v>49</v>
      </c>
    </row>
    <row r="99" spans="1:15">
      <c r="A9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VLT-MOL-019-OLI-M</v>
      </c>
      <c r="B99" s="5" t="s">
        <v>1629</v>
      </c>
      <c r="C99" s="9" t="s">
        <v>1625</v>
      </c>
      <c r="D99" s="5" t="s">
        <v>1626</v>
      </c>
      <c r="E99" s="5" t="s">
        <v>98</v>
      </c>
      <c r="F99" s="5" t="s">
        <v>180</v>
      </c>
      <c r="G99" s="9" t="s">
        <v>54</v>
      </c>
      <c r="H99" s="31">
        <v>369.9</v>
      </c>
      <c r="I99" s="11">
        <v>176.61</v>
      </c>
      <c r="J99" s="12">
        <f>IF(OR(tInverno26[[#This Row],[Preço (R$)]]="",tInverno26[[#This Row],[Custo (R$)]]=""),"",(tInverno26[[#This Row],[Preço (R$)]]-tInverno26[[#This Row],[Custo (R$)]])/tInverno26[[#This Row],[Preço (R$)]])</f>
        <v>0.52254663422546632</v>
      </c>
      <c r="K99" s="5" t="s">
        <v>1630</v>
      </c>
      <c r="L99" s="28" t="s">
        <v>101</v>
      </c>
      <c r="M99" s="10">
        <v>46138</v>
      </c>
      <c r="N99" s="5" t="s">
        <v>1628</v>
      </c>
      <c r="O99" s="9" t="s">
        <v>49</v>
      </c>
    </row>
    <row r="100" spans="1:15">
      <c r="A10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VLT-MOL-019-OLI-G</v>
      </c>
      <c r="B100" s="5" t="s">
        <v>1631</v>
      </c>
      <c r="C100" s="9" t="s">
        <v>1625</v>
      </c>
      <c r="D100" s="5" t="s">
        <v>1626</v>
      </c>
      <c r="E100" s="5" t="s">
        <v>98</v>
      </c>
      <c r="F100" s="5" t="s">
        <v>180</v>
      </c>
      <c r="G100" s="9" t="s">
        <v>58</v>
      </c>
      <c r="H100" s="31">
        <v>369.9</v>
      </c>
      <c r="I100" s="11">
        <v>180.63</v>
      </c>
      <c r="J100" s="12">
        <f>IF(OR(tInverno26[[#This Row],[Preço (R$)]]="",tInverno26[[#This Row],[Custo (R$)]]=""),"",(tInverno26[[#This Row],[Preço (R$)]]-tInverno26[[#This Row],[Custo (R$)]])/tInverno26[[#This Row],[Preço (R$)]])</f>
        <v>0.51167883211678833</v>
      </c>
      <c r="K100" s="5" t="s">
        <v>1632</v>
      </c>
      <c r="L100" s="28" t="s">
        <v>101</v>
      </c>
      <c r="M100" s="10">
        <v>46138</v>
      </c>
      <c r="N100" s="5" t="s">
        <v>1628</v>
      </c>
      <c r="O100" s="9" t="s">
        <v>49</v>
      </c>
    </row>
    <row r="101" spans="1:15">
      <c r="A10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VLT-MOL-019-OLI-GG</v>
      </c>
      <c r="B101" s="5" t="s">
        <v>1633</v>
      </c>
      <c r="C101" s="9" t="s">
        <v>1625</v>
      </c>
      <c r="D101" s="5" t="s">
        <v>1626</v>
      </c>
      <c r="E101" s="5" t="s">
        <v>98</v>
      </c>
      <c r="F101" s="5" t="s">
        <v>180</v>
      </c>
      <c r="G101" s="9" t="s">
        <v>61</v>
      </c>
      <c r="H101" s="31">
        <v>369.9</v>
      </c>
      <c r="I101" s="11">
        <v>177.69</v>
      </c>
      <c r="J101" s="12">
        <f>IF(OR(tInverno26[[#This Row],[Preço (R$)]]="",tInverno26[[#This Row],[Custo (R$)]]=""),"",(tInverno26[[#This Row],[Preço (R$)]]-tInverno26[[#This Row],[Custo (R$)]])/tInverno26[[#This Row],[Preço (R$)]])</f>
        <v>0.51962692619626927</v>
      </c>
      <c r="K101" s="5" t="s">
        <v>1634</v>
      </c>
      <c r="L101" s="28" t="s">
        <v>101</v>
      </c>
      <c r="M101" s="10">
        <v>46138</v>
      </c>
      <c r="N101" s="5" t="s">
        <v>1628</v>
      </c>
      <c r="O101" s="9" t="s">
        <v>49</v>
      </c>
    </row>
    <row r="102" spans="1:15">
      <c r="A10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VLT-CAM-024-LIL-P</v>
      </c>
      <c r="B102" s="5" t="s">
        <v>1635</v>
      </c>
      <c r="C102" s="9" t="s">
        <v>1636</v>
      </c>
      <c r="D102" s="5" t="s">
        <v>1637</v>
      </c>
      <c r="E102" s="5" t="s">
        <v>128</v>
      </c>
      <c r="F102" s="5" t="s">
        <v>203</v>
      </c>
      <c r="G102" s="9" t="s">
        <v>51</v>
      </c>
      <c r="H102" s="11">
        <v>129.9</v>
      </c>
      <c r="I102" s="27">
        <v>60.3</v>
      </c>
      <c r="J102" s="12">
        <f>IF(OR(tInverno26[[#This Row],[Preço (R$)]]="",tInverno26[[#This Row],[Custo (R$)]]=""),"",(tInverno26[[#This Row],[Preço (R$)]]-tInverno26[[#This Row],[Custo (R$)]])/tInverno26[[#This Row],[Preço (R$)]])</f>
        <v>0.53579676674364896</v>
      </c>
      <c r="K102" s="5" t="s">
        <v>1638</v>
      </c>
      <c r="L102" s="28" t="s">
        <v>101</v>
      </c>
      <c r="M102" s="10">
        <v>46106</v>
      </c>
      <c r="N102" s="5" t="s">
        <v>1639</v>
      </c>
      <c r="O102" s="9" t="s">
        <v>49</v>
      </c>
    </row>
    <row r="103" spans="1:15">
      <c r="A10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VLT-CAM-024-LIL-M</v>
      </c>
      <c r="B103" s="5" t="s">
        <v>1640</v>
      </c>
      <c r="C103" s="9" t="s">
        <v>1636</v>
      </c>
      <c r="D103" s="5" t="s">
        <v>1637</v>
      </c>
      <c r="E103" s="5" t="s">
        <v>128</v>
      </c>
      <c r="F103" s="5" t="s">
        <v>203</v>
      </c>
      <c r="G103" s="9" t="s">
        <v>54</v>
      </c>
      <c r="H103" s="11">
        <v>129.9</v>
      </c>
      <c r="I103" s="11">
        <v>60.3</v>
      </c>
      <c r="J103" s="12">
        <f>IF(OR(tInverno26[[#This Row],[Preço (R$)]]="",tInverno26[[#This Row],[Custo (R$)]]=""),"",(tInverno26[[#This Row],[Preço (R$)]]-tInverno26[[#This Row],[Custo (R$)]])/tInverno26[[#This Row],[Preço (R$)]])</f>
        <v>0.53579676674364896</v>
      </c>
      <c r="K103" s="5" t="s">
        <v>1641</v>
      </c>
      <c r="L103" s="28" t="s">
        <v>101</v>
      </c>
      <c r="M103" s="10">
        <v>46106</v>
      </c>
      <c r="N103" s="5" t="s">
        <v>470</v>
      </c>
      <c r="O103" s="9" t="s">
        <v>49</v>
      </c>
    </row>
    <row r="104" spans="1:15">
      <c r="A10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VLT-CAM-024-LIL-G</v>
      </c>
      <c r="B104" s="5" t="s">
        <v>1642</v>
      </c>
      <c r="C104" s="9" t="s">
        <v>1636</v>
      </c>
      <c r="D104" s="5" t="s">
        <v>1637</v>
      </c>
      <c r="E104" s="5" t="s">
        <v>128</v>
      </c>
      <c r="F104" s="5" t="s">
        <v>203</v>
      </c>
      <c r="G104" s="9" t="s">
        <v>58</v>
      </c>
      <c r="H104" s="11">
        <v>129.9</v>
      </c>
      <c r="I104" s="11">
        <v>61.62</v>
      </c>
      <c r="J104" s="12">
        <f>IF(OR(tInverno26[[#This Row],[Preço (R$)]]="",tInverno26[[#This Row],[Custo (R$)]]=""),"",(tInverno26[[#This Row],[Preço (R$)]]-tInverno26[[#This Row],[Custo (R$)]])/tInverno26[[#This Row],[Preço (R$)]])</f>
        <v>0.52563510392609702</v>
      </c>
      <c r="K104" s="5" t="s">
        <v>1643</v>
      </c>
      <c r="L104" s="28" t="s">
        <v>101</v>
      </c>
      <c r="M104" s="10">
        <v>46106</v>
      </c>
      <c r="N104" s="5" t="s">
        <v>470</v>
      </c>
      <c r="O104" s="9" t="s">
        <v>49</v>
      </c>
    </row>
    <row r="105" spans="1:15">
      <c r="A10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VLT-CAM-024-LIL-GG</v>
      </c>
      <c r="B105" s="5" t="s">
        <v>1644</v>
      </c>
      <c r="C105" s="9" t="s">
        <v>1636</v>
      </c>
      <c r="D105" s="5" t="s">
        <v>1637</v>
      </c>
      <c r="E105" s="5" t="s">
        <v>128</v>
      </c>
      <c r="F105" s="5" t="s">
        <v>203</v>
      </c>
      <c r="G105" s="9" t="s">
        <v>61</v>
      </c>
      <c r="H105" s="11">
        <v>129.9</v>
      </c>
      <c r="I105" s="27">
        <v>61.62</v>
      </c>
      <c r="J105" s="12">
        <f>IF(OR(tInverno26[[#This Row],[Preço (R$)]]="",tInverno26[[#This Row],[Custo (R$)]]=""),"",(tInverno26[[#This Row],[Preço (R$)]]-tInverno26[[#This Row],[Custo (R$)]])/tInverno26[[#This Row],[Preço (R$)]])</f>
        <v>0.52563510392609702</v>
      </c>
      <c r="K105" s="28" t="s">
        <v>1645</v>
      </c>
      <c r="L105" s="28" t="s">
        <v>101</v>
      </c>
      <c r="M105" s="10">
        <v>46106</v>
      </c>
      <c r="N105" s="5" t="s">
        <v>1646</v>
      </c>
      <c r="O105" s="9" t="s">
        <v>49</v>
      </c>
    </row>
    <row r="106" spans="1:15">
      <c r="A10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VLT-CAM-024-AMA-P</v>
      </c>
      <c r="B106" s="5" t="s">
        <v>1647</v>
      </c>
      <c r="C106" s="9" t="s">
        <v>1636</v>
      </c>
      <c r="D106" s="5" t="s">
        <v>1637</v>
      </c>
      <c r="E106" s="5" t="s">
        <v>128</v>
      </c>
      <c r="F106" s="5" t="s">
        <v>99</v>
      </c>
      <c r="G106" s="9" t="s">
        <v>51</v>
      </c>
      <c r="H106" s="11">
        <v>129.9</v>
      </c>
      <c r="I106" s="11">
        <v>59.61</v>
      </c>
      <c r="J106" s="12">
        <f>IF(OR(tInverno26[[#This Row],[Preço (R$)]]="",tInverno26[[#This Row],[Custo (R$)]]=""),"",(tInverno26[[#This Row],[Preço (R$)]]-tInverno26[[#This Row],[Custo (R$)]])/tInverno26[[#This Row],[Preço (R$)]])</f>
        <v>0.54110854503464201</v>
      </c>
      <c r="K106" s="5" t="s">
        <v>1648</v>
      </c>
      <c r="L106" s="28" t="s">
        <v>101</v>
      </c>
      <c r="M106" s="10">
        <v>46106</v>
      </c>
      <c r="N106" s="5" t="s">
        <v>470</v>
      </c>
      <c r="O106" s="9" t="s">
        <v>49</v>
      </c>
    </row>
    <row r="107" spans="1:15">
      <c r="A10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VLT-CAM-024-AMA-M</v>
      </c>
      <c r="B107" s="5" t="s">
        <v>1649</v>
      </c>
      <c r="C107" s="9" t="s">
        <v>1636</v>
      </c>
      <c r="D107" s="5" t="s">
        <v>1637</v>
      </c>
      <c r="E107" s="5" t="s">
        <v>128</v>
      </c>
      <c r="F107" s="5" t="s">
        <v>99</v>
      </c>
      <c r="G107" s="9" t="s">
        <v>54</v>
      </c>
      <c r="H107" s="11">
        <v>129.9</v>
      </c>
      <c r="I107" s="11">
        <v>61.4</v>
      </c>
      <c r="J107" s="12">
        <f>IF(OR(tInverno26[[#This Row],[Preço (R$)]]="",tInverno26[[#This Row],[Custo (R$)]]=""),"",(tInverno26[[#This Row],[Preço (R$)]]-tInverno26[[#This Row],[Custo (R$)]])/tInverno26[[#This Row],[Preço (R$)]])</f>
        <v>0.52732871439568896</v>
      </c>
      <c r="K107" s="5" t="s">
        <v>1650</v>
      </c>
      <c r="L107" s="28" t="s">
        <v>101</v>
      </c>
      <c r="M107" s="10">
        <v>46106</v>
      </c>
      <c r="N107" s="5" t="s">
        <v>470</v>
      </c>
      <c r="O107" s="9" t="s">
        <v>49</v>
      </c>
    </row>
    <row r="108" spans="1:15">
      <c r="A10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VLT-CAM-024-AMA-G</v>
      </c>
      <c r="B108" s="5" t="s">
        <v>1651</v>
      </c>
      <c r="C108" s="9" t="s">
        <v>1636</v>
      </c>
      <c r="D108" s="5" t="s">
        <v>1637</v>
      </c>
      <c r="E108" s="5" t="s">
        <v>128</v>
      </c>
      <c r="F108" s="5" t="s">
        <v>99</v>
      </c>
      <c r="G108" s="9" t="s">
        <v>58</v>
      </c>
      <c r="H108" s="11">
        <v>129.9</v>
      </c>
      <c r="I108" s="11">
        <v>59.71</v>
      </c>
      <c r="J108" s="12">
        <f>IF(OR(tInverno26[[#This Row],[Preço (R$)]]="",tInverno26[[#This Row],[Custo (R$)]]=""),"",(tInverno26[[#This Row],[Preço (R$)]]-tInverno26[[#This Row],[Custo (R$)]])/tInverno26[[#This Row],[Preço (R$)]])</f>
        <v>0.54033872209391831</v>
      </c>
      <c r="K108" s="5" t="s">
        <v>1652</v>
      </c>
      <c r="L108" s="28" t="s">
        <v>101</v>
      </c>
      <c r="M108" s="10">
        <v>46106</v>
      </c>
      <c r="N108" s="5" t="s">
        <v>470</v>
      </c>
      <c r="O108" s="9" t="s">
        <v>49</v>
      </c>
    </row>
    <row r="109" spans="1:15">
      <c r="A10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VLT-CAM-024-AMA-GG</v>
      </c>
      <c r="B109" s="5" t="s">
        <v>1653</v>
      </c>
      <c r="C109" s="9" t="s">
        <v>1636</v>
      </c>
      <c r="D109" s="5" t="s">
        <v>1637</v>
      </c>
      <c r="E109" s="5" t="s">
        <v>128</v>
      </c>
      <c r="F109" s="5" t="s">
        <v>99</v>
      </c>
      <c r="G109" s="9" t="s">
        <v>61</v>
      </c>
      <c r="H109" s="11">
        <v>129.9</v>
      </c>
      <c r="I109" s="11">
        <v>60.32</v>
      </c>
      <c r="J109" s="12">
        <f>IF(OR(tInverno26[[#This Row],[Preço (R$)]]="",tInverno26[[#This Row],[Custo (R$)]]=""),"",(tInverno26[[#This Row],[Preço (R$)]]-tInverno26[[#This Row],[Custo (R$)]])/tInverno26[[#This Row],[Preço (R$)]])</f>
        <v>0.53564280215550431</v>
      </c>
      <c r="K109" s="5" t="s">
        <v>1654</v>
      </c>
      <c r="L109" s="28" t="s">
        <v>101</v>
      </c>
      <c r="M109" s="10">
        <v>46106</v>
      </c>
      <c r="N109" s="5" t="s">
        <v>470</v>
      </c>
      <c r="O109" s="9" t="s">
        <v>49</v>
      </c>
    </row>
    <row r="110" spans="1:15">
      <c r="A11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VLT-MOL-020-VIN-XP</v>
      </c>
      <c r="B110" s="5" t="s">
        <v>1655</v>
      </c>
      <c r="C110" s="9" t="s">
        <v>1656</v>
      </c>
      <c r="D110" s="5" t="s">
        <v>1657</v>
      </c>
      <c r="E110" s="5" t="s">
        <v>98</v>
      </c>
      <c r="F110" s="5" t="s">
        <v>129</v>
      </c>
      <c r="G110" s="9" t="s">
        <v>45</v>
      </c>
      <c r="H110" s="11">
        <v>239.9</v>
      </c>
      <c r="I110" s="11">
        <v>99.14</v>
      </c>
      <c r="J110" s="12">
        <f>IF(OR(tInverno26[[#This Row],[Preço (R$)]]="",tInverno26[[#This Row],[Custo (R$)]]=""),"",(tInverno26[[#This Row],[Preço (R$)]]-tInverno26[[#This Row],[Custo (R$)]])/tInverno26[[#This Row],[Preço (R$)]])</f>
        <v>0.58674447686536046</v>
      </c>
      <c r="K110" s="5" t="s">
        <v>1658</v>
      </c>
      <c r="L110" s="28" t="s">
        <v>101</v>
      </c>
      <c r="M110" s="10">
        <v>46149</v>
      </c>
      <c r="N110" s="5" t="s">
        <v>1154</v>
      </c>
      <c r="O110" s="9" t="s">
        <v>49</v>
      </c>
    </row>
    <row r="111" spans="1:15">
      <c r="A11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VLT-MOL-020-VIN-P</v>
      </c>
      <c r="B111" s="5" t="s">
        <v>1659</v>
      </c>
      <c r="C111" s="9" t="s">
        <v>1656</v>
      </c>
      <c r="D111" s="5" t="s">
        <v>1657</v>
      </c>
      <c r="E111" s="5" t="s">
        <v>98</v>
      </c>
      <c r="F111" s="5" t="s">
        <v>129</v>
      </c>
      <c r="G111" s="9" t="s">
        <v>51</v>
      </c>
      <c r="H111" s="11">
        <v>239.9</v>
      </c>
      <c r="I111" s="11">
        <v>103.24</v>
      </c>
      <c r="J111" s="12">
        <f>IF(OR(tInverno26[[#This Row],[Preço (R$)]]="",tInverno26[[#This Row],[Custo (R$)]]=""),"",(tInverno26[[#This Row],[Preço (R$)]]-tInverno26[[#This Row],[Custo (R$)]])/tInverno26[[#This Row],[Preço (R$)]])</f>
        <v>0.56965402250937902</v>
      </c>
      <c r="K111" s="5" t="s">
        <v>1660</v>
      </c>
      <c r="L111" s="28" t="s">
        <v>101</v>
      </c>
      <c r="M111" s="10">
        <v>46149</v>
      </c>
      <c r="N111" s="5" t="s">
        <v>1154</v>
      </c>
      <c r="O111" s="9" t="s">
        <v>49</v>
      </c>
    </row>
    <row r="112" spans="1:15">
      <c r="A11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VLT-MOL-020-VIN-M</v>
      </c>
      <c r="B112" s="5" t="s">
        <v>1661</v>
      </c>
      <c r="C112" s="9" t="s">
        <v>1656</v>
      </c>
      <c r="D112" s="5" t="s">
        <v>1657</v>
      </c>
      <c r="E112" s="5" t="s">
        <v>98</v>
      </c>
      <c r="F112" s="5" t="s">
        <v>129</v>
      </c>
      <c r="G112" s="9" t="s">
        <v>54</v>
      </c>
      <c r="H112" s="11">
        <v>239.9</v>
      </c>
      <c r="I112" s="27">
        <v>103.24</v>
      </c>
      <c r="J112" s="12">
        <f>IF(OR(tInverno26[[#This Row],[Preço (R$)]]="",tInverno26[[#This Row],[Custo (R$)]]=""),"",(tInverno26[[#This Row],[Preço (R$)]]-tInverno26[[#This Row],[Custo (R$)]])/tInverno26[[#This Row],[Preço (R$)]])</f>
        <v>0.56965402250937902</v>
      </c>
      <c r="K112" s="28" t="s">
        <v>1662</v>
      </c>
      <c r="L112" s="28" t="s">
        <v>101</v>
      </c>
      <c r="M112" s="10">
        <v>46149</v>
      </c>
      <c r="N112" s="5" t="s">
        <v>1663</v>
      </c>
      <c r="O112" s="9" t="s">
        <v>49</v>
      </c>
    </row>
    <row r="113" spans="1:15">
      <c r="A11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VLT-MOL-020-VIN-G</v>
      </c>
      <c r="B113" s="5" t="s">
        <v>1664</v>
      </c>
      <c r="C113" s="9" t="s">
        <v>1656</v>
      </c>
      <c r="D113" s="5" t="s">
        <v>1657</v>
      </c>
      <c r="E113" s="5" t="s">
        <v>98</v>
      </c>
      <c r="F113" s="5" t="s">
        <v>129</v>
      </c>
      <c r="G113" s="9" t="s">
        <v>58</v>
      </c>
      <c r="H113" s="11">
        <v>239.9</v>
      </c>
      <c r="I113" s="27">
        <v>101.61</v>
      </c>
      <c r="J113" s="12">
        <f>IF(OR(tInverno26[[#This Row],[Preço (R$)]]="",tInverno26[[#This Row],[Custo (R$)]]=""),"",(tInverno26[[#This Row],[Preço (R$)]]-tInverno26[[#This Row],[Custo (R$)]])/tInverno26[[#This Row],[Preço (R$)]])</f>
        <v>0.57644852021675708</v>
      </c>
      <c r="K113" s="5" t="s">
        <v>1665</v>
      </c>
      <c r="L113" s="28" t="s">
        <v>101</v>
      </c>
      <c r="M113" s="10">
        <v>46149</v>
      </c>
      <c r="N113" s="5" t="s">
        <v>1666</v>
      </c>
      <c r="O113" s="9" t="s">
        <v>49</v>
      </c>
    </row>
    <row r="114" spans="1:15">
      <c r="A11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VLT-MOL-020-VIN-GG</v>
      </c>
      <c r="B114" s="5" t="s">
        <v>1667</v>
      </c>
      <c r="C114" s="9" t="s">
        <v>1656</v>
      </c>
      <c r="D114" s="5" t="s">
        <v>1657</v>
      </c>
      <c r="E114" s="5" t="s">
        <v>98</v>
      </c>
      <c r="F114" s="5" t="s">
        <v>129</v>
      </c>
      <c r="G114" s="9" t="s">
        <v>61</v>
      </c>
      <c r="H114" s="11">
        <v>239.9</v>
      </c>
      <c r="I114" s="11">
        <v>101.61</v>
      </c>
      <c r="J114" s="12">
        <f>IF(OR(tInverno26[[#This Row],[Preço (R$)]]="",tInverno26[[#This Row],[Custo (R$)]]=""),"",(tInverno26[[#This Row],[Preço (R$)]]-tInverno26[[#This Row],[Custo (R$)]])/tInverno26[[#This Row],[Preço (R$)]])</f>
        <v>0.57644852021675708</v>
      </c>
      <c r="K114" s="5" t="s">
        <v>1668</v>
      </c>
      <c r="L114" s="28" t="s">
        <v>101</v>
      </c>
      <c r="M114" s="10">
        <v>46149</v>
      </c>
      <c r="N114" s="5" t="s">
        <v>1154</v>
      </c>
      <c r="O114" s="9" t="s">
        <v>49</v>
      </c>
    </row>
    <row r="115" spans="1:15">
      <c r="A11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VLT-CAM-025-MRR-P</v>
      </c>
      <c r="B115" s="5" t="s">
        <v>1669</v>
      </c>
      <c r="C115" s="9" t="s">
        <v>1670</v>
      </c>
      <c r="D115" s="5" t="s">
        <v>1671</v>
      </c>
      <c r="E115" s="5" t="s">
        <v>128</v>
      </c>
      <c r="F115" s="5" t="s">
        <v>87</v>
      </c>
      <c r="G115" s="9" t="s">
        <v>51</v>
      </c>
      <c r="H115" s="11">
        <v>139.9</v>
      </c>
      <c r="I115" s="11">
        <v>67.7</v>
      </c>
      <c r="J115" s="12">
        <f>IF(OR(tInverno26[[#This Row],[Preço (R$)]]="",tInverno26[[#This Row],[Custo (R$)]]=""),"",(tInverno26[[#This Row],[Preço (R$)]]-tInverno26[[#This Row],[Custo (R$)]])/tInverno26[[#This Row],[Preço (R$)]])</f>
        <v>0.51608291636883485</v>
      </c>
      <c r="K115" s="5" t="s">
        <v>1672</v>
      </c>
      <c r="L115" s="28" t="s">
        <v>101</v>
      </c>
      <c r="M115" s="10">
        <v>46115</v>
      </c>
      <c r="N115" s="5" t="s">
        <v>470</v>
      </c>
      <c r="O115" s="9" t="s">
        <v>49</v>
      </c>
    </row>
    <row r="116" spans="1:15">
      <c r="A11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VLT-CAM-025-MRR-M</v>
      </c>
      <c r="B116" s="5" t="s">
        <v>1673</v>
      </c>
      <c r="C116" s="9" t="s">
        <v>1670</v>
      </c>
      <c r="D116" s="5" t="s">
        <v>1671</v>
      </c>
      <c r="E116" s="5" t="s">
        <v>128</v>
      </c>
      <c r="F116" s="5" t="s">
        <v>87</v>
      </c>
      <c r="G116" s="9" t="s">
        <v>54</v>
      </c>
      <c r="H116" s="11">
        <v>139.9</v>
      </c>
      <c r="I116" s="11">
        <v>69.34</v>
      </c>
      <c r="J116" s="12">
        <f>IF(OR(tInverno26[[#This Row],[Preço (R$)]]="",tInverno26[[#This Row],[Custo (R$)]]=""),"",(tInverno26[[#This Row],[Preço (R$)]]-tInverno26[[#This Row],[Custo (R$)]])/tInverno26[[#This Row],[Preço (R$)]])</f>
        <v>0.5043602573266619</v>
      </c>
      <c r="K116" s="5" t="s">
        <v>1674</v>
      </c>
      <c r="L116" s="28" t="s">
        <v>101</v>
      </c>
      <c r="M116" s="10">
        <v>46115</v>
      </c>
      <c r="N116" s="5" t="s">
        <v>470</v>
      </c>
      <c r="O116" s="9" t="s">
        <v>49</v>
      </c>
    </row>
    <row r="117" spans="1:15">
      <c r="A11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VLT-CAM-025-MRR-G</v>
      </c>
      <c r="B117" s="5" t="s">
        <v>1675</v>
      </c>
      <c r="C117" s="9" t="s">
        <v>1670</v>
      </c>
      <c r="D117" s="5" t="s">
        <v>1671</v>
      </c>
      <c r="E117" s="5" t="s">
        <v>128</v>
      </c>
      <c r="F117" s="5" t="s">
        <v>87</v>
      </c>
      <c r="G117" s="9" t="s">
        <v>58</v>
      </c>
      <c r="H117" s="11">
        <v>139.9</v>
      </c>
      <c r="I117" s="11">
        <v>67.05</v>
      </c>
      <c r="J117" s="12">
        <f>IF(OR(tInverno26[[#This Row],[Preço (R$)]]="",tInverno26[[#This Row],[Custo (R$)]]=""),"",(tInverno26[[#This Row],[Preço (R$)]]-tInverno26[[#This Row],[Custo (R$)]])/tInverno26[[#This Row],[Preço (R$)]])</f>
        <v>0.52072909220872055</v>
      </c>
      <c r="K117" s="5" t="s">
        <v>1676</v>
      </c>
      <c r="L117" s="28" t="s">
        <v>101</v>
      </c>
      <c r="M117" s="10">
        <v>46115</v>
      </c>
      <c r="N117" s="5" t="s">
        <v>470</v>
      </c>
      <c r="O117" s="9" t="s">
        <v>49</v>
      </c>
    </row>
    <row r="118" spans="1:15">
      <c r="A11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VLT-CAM-025-MRR-GG</v>
      </c>
      <c r="B118" s="5" t="s">
        <v>1677</v>
      </c>
      <c r="C118" s="9" t="s">
        <v>1670</v>
      </c>
      <c r="D118" s="5" t="s">
        <v>1671</v>
      </c>
      <c r="E118" s="5" t="s">
        <v>128</v>
      </c>
      <c r="F118" s="5" t="s">
        <v>87</v>
      </c>
      <c r="G118" s="9" t="s">
        <v>61</v>
      </c>
      <c r="H118" s="11">
        <v>139.9</v>
      </c>
      <c r="I118" s="27">
        <v>67.05</v>
      </c>
      <c r="J118" s="12">
        <f>IF(OR(tInverno26[[#This Row],[Preço (R$)]]="",tInverno26[[#This Row],[Custo (R$)]]=""),"",(tInverno26[[#This Row],[Preço (R$)]]-tInverno26[[#This Row],[Custo (R$)]])/tInverno26[[#This Row],[Preço (R$)]])</f>
        <v>0.52072909220872055</v>
      </c>
      <c r="K118" s="5" t="s">
        <v>1678</v>
      </c>
      <c r="L118" s="28" t="s">
        <v>101</v>
      </c>
      <c r="M118" s="10">
        <v>46115</v>
      </c>
      <c r="N118" s="5" t="s">
        <v>1679</v>
      </c>
      <c r="O118" s="9" t="s">
        <v>49</v>
      </c>
    </row>
    <row r="119" spans="1:15">
      <c r="A11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VLT-TRI-015-OLI-P</v>
      </c>
      <c r="B119" s="5" t="s">
        <v>1680</v>
      </c>
      <c r="C119" s="9" t="s">
        <v>1681</v>
      </c>
      <c r="D119" s="5" t="s">
        <v>1682</v>
      </c>
      <c r="E119" s="5" t="s">
        <v>445</v>
      </c>
      <c r="F119" s="5" t="s">
        <v>180</v>
      </c>
      <c r="G119" s="9" t="s">
        <v>51</v>
      </c>
      <c r="H119" s="11">
        <v>329.9</v>
      </c>
      <c r="I119" s="27">
        <v>124.84</v>
      </c>
      <c r="J119" s="12">
        <f>IF(OR(tInverno26[[#This Row],[Preço (R$)]]="",tInverno26[[#This Row],[Custo (R$)]]=""),"",(tInverno26[[#This Row],[Preço (R$)]]-tInverno26[[#This Row],[Custo (R$)]])/tInverno26[[#This Row],[Preço (R$)]])</f>
        <v>0.62158229766595929</v>
      </c>
      <c r="K119" s="5" t="s">
        <v>1683</v>
      </c>
      <c r="L119" s="28" t="s">
        <v>101</v>
      </c>
      <c r="M119" s="10">
        <v>46150</v>
      </c>
      <c r="N119" s="5" t="s">
        <v>1684</v>
      </c>
      <c r="O119" s="9" t="s">
        <v>49</v>
      </c>
    </row>
    <row r="120" spans="1:15">
      <c r="A12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VLT-TRI-015-OLI-M</v>
      </c>
      <c r="B120" s="5" t="s">
        <v>1685</v>
      </c>
      <c r="C120" s="9" t="s">
        <v>1681</v>
      </c>
      <c r="D120" s="5" t="s">
        <v>1682</v>
      </c>
      <c r="E120" s="5" t="s">
        <v>445</v>
      </c>
      <c r="F120" s="5" t="s">
        <v>180</v>
      </c>
      <c r="G120" s="9" t="s">
        <v>54</v>
      </c>
      <c r="H120" s="11">
        <v>329.9</v>
      </c>
      <c r="I120" s="27">
        <v>124.84</v>
      </c>
      <c r="J120" s="12">
        <f>IF(OR(tInverno26[[#This Row],[Preço (R$)]]="",tInverno26[[#This Row],[Custo (R$)]]=""),"",(tInverno26[[#This Row],[Preço (R$)]]-tInverno26[[#This Row],[Custo (R$)]])/tInverno26[[#This Row],[Preço (R$)]])</f>
        <v>0.62158229766595929</v>
      </c>
      <c r="K120" s="5" t="s">
        <v>1686</v>
      </c>
      <c r="L120" s="28" t="s">
        <v>101</v>
      </c>
      <c r="M120" s="10">
        <v>46150</v>
      </c>
      <c r="N120" s="5" t="s">
        <v>1684</v>
      </c>
      <c r="O120" s="9" t="s">
        <v>49</v>
      </c>
    </row>
    <row r="121" spans="1:15">
      <c r="A12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VLT-TRI-015-OLI-G</v>
      </c>
      <c r="B121" s="5" t="s">
        <v>1687</v>
      </c>
      <c r="C121" s="9" t="s">
        <v>1681</v>
      </c>
      <c r="D121" s="5" t="s">
        <v>1682</v>
      </c>
      <c r="E121" s="5" t="s">
        <v>445</v>
      </c>
      <c r="F121" s="5" t="s">
        <v>180</v>
      </c>
      <c r="G121" s="9" t="s">
        <v>58</v>
      </c>
      <c r="H121" s="11">
        <v>329.9</v>
      </c>
      <c r="I121" s="11">
        <v>124.84</v>
      </c>
      <c r="J121" s="12">
        <f>IF(OR(tInverno26[[#This Row],[Preço (R$)]]="",tInverno26[[#This Row],[Custo (R$)]]=""),"",(tInverno26[[#This Row],[Preço (R$)]]-tInverno26[[#This Row],[Custo (R$)]])/tInverno26[[#This Row],[Preço (R$)]])</f>
        <v>0.62158229766595929</v>
      </c>
      <c r="K121" s="5" t="s">
        <v>1688</v>
      </c>
      <c r="L121" s="28" t="s">
        <v>101</v>
      </c>
      <c r="M121" s="10">
        <v>46150</v>
      </c>
      <c r="N121" s="5" t="s">
        <v>643</v>
      </c>
      <c r="O121" s="9" t="s">
        <v>49</v>
      </c>
    </row>
    <row r="122" spans="1:15">
      <c r="A12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VLT-TRI-015-OLI-GG</v>
      </c>
      <c r="B122" s="5" t="s">
        <v>1689</v>
      </c>
      <c r="C122" s="9" t="s">
        <v>1681</v>
      </c>
      <c r="D122" s="5" t="s">
        <v>1682</v>
      </c>
      <c r="E122" s="5" t="s">
        <v>445</v>
      </c>
      <c r="F122" s="5" t="s">
        <v>180</v>
      </c>
      <c r="G122" s="9" t="s">
        <v>61</v>
      </c>
      <c r="H122" s="11">
        <v>329.9</v>
      </c>
      <c r="I122" s="11">
        <v>123.65</v>
      </c>
      <c r="J122" s="12">
        <f>IF(OR(tInverno26[[#This Row],[Preço (R$)]]="",tInverno26[[#This Row],[Custo (R$)]]=""),"",(tInverno26[[#This Row],[Preço (R$)]]-tInverno26[[#This Row],[Custo (R$)]])/tInverno26[[#This Row],[Preço (R$)]])</f>
        <v>0.62518945134889359</v>
      </c>
      <c r="K122" s="5" t="s">
        <v>1690</v>
      </c>
      <c r="L122" s="28" t="s">
        <v>101</v>
      </c>
      <c r="M122" s="10">
        <v>46150</v>
      </c>
      <c r="N122" s="5" t="s">
        <v>643</v>
      </c>
      <c r="O122" s="9" t="s">
        <v>49</v>
      </c>
    </row>
    <row r="123" spans="1:15">
      <c r="A12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VLT-CAL-028-AZM-XP</v>
      </c>
      <c r="B123" s="5" t="s">
        <v>1691</v>
      </c>
      <c r="C123" s="9" t="s">
        <v>1692</v>
      </c>
      <c r="D123" s="5" t="s">
        <v>1693</v>
      </c>
      <c r="E123" s="5" t="s">
        <v>86</v>
      </c>
      <c r="F123" s="5" t="s">
        <v>68</v>
      </c>
      <c r="G123" s="9" t="s">
        <v>45</v>
      </c>
      <c r="H123" s="11">
        <v>289.89999999999998</v>
      </c>
      <c r="I123" s="11">
        <v>126.01</v>
      </c>
      <c r="J123" s="12">
        <f>IF(OR(tInverno26[[#This Row],[Preço (R$)]]="",tInverno26[[#This Row],[Custo (R$)]]=""),"",(tInverno26[[#This Row],[Preço (R$)]]-tInverno26[[#This Row],[Custo (R$)]])/tInverno26[[#This Row],[Preço (R$)]])</f>
        <v>0.56533287340462224</v>
      </c>
      <c r="K123" s="5" t="s">
        <v>1694</v>
      </c>
      <c r="L123" s="28" t="s">
        <v>47</v>
      </c>
      <c r="M123" s="10">
        <v>46138</v>
      </c>
      <c r="N123" s="5" t="s">
        <v>470</v>
      </c>
      <c r="O123" s="9" t="s">
        <v>49</v>
      </c>
    </row>
    <row r="124" spans="1:15">
      <c r="A12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VLT-CAL-028-AZM-P</v>
      </c>
      <c r="B124" s="5" t="s">
        <v>1695</v>
      </c>
      <c r="C124" s="9" t="s">
        <v>1692</v>
      </c>
      <c r="D124" s="5" t="s">
        <v>1693</v>
      </c>
      <c r="E124" s="5" t="s">
        <v>86</v>
      </c>
      <c r="F124" s="5" t="s">
        <v>68</v>
      </c>
      <c r="G124" s="9" t="s">
        <v>51</v>
      </c>
      <c r="H124" s="11">
        <v>289.89999999999998</v>
      </c>
      <c r="I124" s="11">
        <v>126.98</v>
      </c>
      <c r="J124" s="12">
        <f>IF(OR(tInverno26[[#This Row],[Preço (R$)]]="",tInverno26[[#This Row],[Custo (R$)]]=""),"",(tInverno26[[#This Row],[Preço (R$)]]-tInverno26[[#This Row],[Custo (R$)]])/tInverno26[[#This Row],[Preço (R$)]])</f>
        <v>0.56198689203173502</v>
      </c>
      <c r="K124" s="5" t="s">
        <v>1696</v>
      </c>
      <c r="L124" s="28" t="s">
        <v>47</v>
      </c>
      <c r="M124" s="10">
        <v>46138</v>
      </c>
      <c r="N124" s="5" t="s">
        <v>470</v>
      </c>
      <c r="O124" s="9" t="s">
        <v>49</v>
      </c>
    </row>
    <row r="125" spans="1:15">
      <c r="A12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VLT-CAL-028-AZM-M</v>
      </c>
      <c r="B125" s="5" t="s">
        <v>1697</v>
      </c>
      <c r="C125" s="9" t="s">
        <v>1692</v>
      </c>
      <c r="D125" s="5" t="s">
        <v>1693</v>
      </c>
      <c r="E125" s="5" t="s">
        <v>86</v>
      </c>
      <c r="F125" s="5" t="s">
        <v>68</v>
      </c>
      <c r="G125" s="9" t="s">
        <v>54</v>
      </c>
      <c r="H125" s="11">
        <v>289.89999999999998</v>
      </c>
      <c r="I125" s="11">
        <v>126.68</v>
      </c>
      <c r="J125" s="12">
        <f>IF(OR(tInverno26[[#This Row],[Preço (R$)]]="",tInverno26[[#This Row],[Custo (R$)]]=""),"",(tInverno26[[#This Row],[Preço (R$)]]-tInverno26[[#This Row],[Custo (R$)]])/tInverno26[[#This Row],[Preço (R$)]])</f>
        <v>0.56302173163159708</v>
      </c>
      <c r="K125" s="5" t="s">
        <v>1698</v>
      </c>
      <c r="L125" s="28" t="s">
        <v>47</v>
      </c>
      <c r="M125" s="10">
        <v>46138</v>
      </c>
      <c r="N125" s="5" t="s">
        <v>470</v>
      </c>
      <c r="O125" s="9" t="s">
        <v>49</v>
      </c>
    </row>
    <row r="126" spans="1:15">
      <c r="A12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VLT-CAL-028-AZM-G</v>
      </c>
      <c r="B126" s="5" t="s">
        <v>1699</v>
      </c>
      <c r="C126" s="9" t="s">
        <v>1692</v>
      </c>
      <c r="D126" s="5" t="s">
        <v>1693</v>
      </c>
      <c r="E126" s="5" t="s">
        <v>86</v>
      </c>
      <c r="F126" s="5" t="s">
        <v>68</v>
      </c>
      <c r="G126" s="9" t="s">
        <v>58</v>
      </c>
      <c r="H126" s="11">
        <v>289.89999999999998</v>
      </c>
      <c r="I126" s="11">
        <v>125.08</v>
      </c>
      <c r="J126" s="12">
        <f>IF(OR(tInverno26[[#This Row],[Preço (R$)]]="",tInverno26[[#This Row],[Custo (R$)]]=""),"",(tInverno26[[#This Row],[Preço (R$)]]-tInverno26[[#This Row],[Custo (R$)]])/tInverno26[[#This Row],[Preço (R$)]])</f>
        <v>0.56854087616419458</v>
      </c>
      <c r="K126" s="5" t="s">
        <v>1700</v>
      </c>
      <c r="L126" s="28" t="s">
        <v>47</v>
      </c>
      <c r="M126" s="10">
        <v>46138</v>
      </c>
      <c r="N126" s="5" t="s">
        <v>470</v>
      </c>
      <c r="O126" s="9" t="s">
        <v>49</v>
      </c>
    </row>
    <row r="127" spans="1:15">
      <c r="A12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VLT-CAL-028-AZM-GG</v>
      </c>
      <c r="B127" s="5" t="s">
        <v>1701</v>
      </c>
      <c r="C127" s="9" t="s">
        <v>1692</v>
      </c>
      <c r="D127" s="5" t="s">
        <v>1693</v>
      </c>
      <c r="E127" s="5" t="s">
        <v>86</v>
      </c>
      <c r="F127" s="5" t="s">
        <v>68</v>
      </c>
      <c r="G127" s="9" t="s">
        <v>61</v>
      </c>
      <c r="H127" s="11">
        <v>289.89999999999998</v>
      </c>
      <c r="I127" s="11">
        <v>124.8</v>
      </c>
      <c r="J127" s="12">
        <f>IF(OR(tInverno26[[#This Row],[Preço (R$)]]="",tInverno26[[#This Row],[Custo (R$)]]=""),"",(tInverno26[[#This Row],[Preço (R$)]]-tInverno26[[#This Row],[Custo (R$)]])/tInverno26[[#This Row],[Preço (R$)]])</f>
        <v>0.56950672645739908</v>
      </c>
      <c r="K127" s="5" t="s">
        <v>1702</v>
      </c>
      <c r="L127" s="28" t="s">
        <v>47</v>
      </c>
      <c r="M127" s="10">
        <v>46138</v>
      </c>
      <c r="N127" s="5" t="s">
        <v>470</v>
      </c>
      <c r="O127" s="9" t="s">
        <v>49</v>
      </c>
    </row>
    <row r="128" spans="1:15">
      <c r="A12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VLT-MOL-001-MRR-XP</v>
      </c>
      <c r="B128" s="5" t="s">
        <v>1703</v>
      </c>
      <c r="C128" s="9" t="s">
        <v>1704</v>
      </c>
      <c r="D128" s="5" t="s">
        <v>1705</v>
      </c>
      <c r="E128" s="5" t="s">
        <v>98</v>
      </c>
      <c r="F128" s="5" t="s">
        <v>87</v>
      </c>
      <c r="G128" s="9" t="s">
        <v>45</v>
      </c>
      <c r="H128" s="31">
        <v>349.9</v>
      </c>
      <c r="I128" s="11">
        <v>168.06</v>
      </c>
      <c r="J128" s="12">
        <f>IF(OR(tInverno26[[#This Row],[Preço (R$)]]="",tInverno26[[#This Row],[Custo (R$)]]=""),"",(tInverno26[[#This Row],[Preço (R$)]]-tInverno26[[#This Row],[Custo (R$)]])/tInverno26[[#This Row],[Preço (R$)]])</f>
        <v>0.51969134038296649</v>
      </c>
      <c r="K128" s="5" t="s">
        <v>1706</v>
      </c>
      <c r="L128" s="28" t="s">
        <v>101</v>
      </c>
      <c r="M128" s="10">
        <v>46112</v>
      </c>
      <c r="N128" s="5" t="s">
        <v>1707</v>
      </c>
      <c r="O128" s="9" t="s">
        <v>49</v>
      </c>
    </row>
    <row r="129" spans="1:15">
      <c r="A12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VLT-MOL-001-MRR-P</v>
      </c>
      <c r="B129" s="5" t="s">
        <v>1708</v>
      </c>
      <c r="C129" s="9" t="s">
        <v>1704</v>
      </c>
      <c r="D129" s="5" t="s">
        <v>1705</v>
      </c>
      <c r="E129" s="5" t="s">
        <v>98</v>
      </c>
      <c r="F129" s="5" t="s">
        <v>87</v>
      </c>
      <c r="G129" s="9" t="s">
        <v>51</v>
      </c>
      <c r="H129" s="31">
        <v>349.9</v>
      </c>
      <c r="I129" s="11">
        <v>168.39</v>
      </c>
      <c r="J129" s="12">
        <f>IF(OR(tInverno26[[#This Row],[Preço (R$)]]="",tInverno26[[#This Row],[Custo (R$)]]=""),"",(tInverno26[[#This Row],[Preço (R$)]]-tInverno26[[#This Row],[Custo (R$)]])/tInverno26[[#This Row],[Preço (R$)]])</f>
        <v>0.5187482137753644</v>
      </c>
      <c r="K129" s="5" t="s">
        <v>1709</v>
      </c>
      <c r="L129" s="28" t="s">
        <v>101</v>
      </c>
      <c r="M129" s="10">
        <v>46112</v>
      </c>
      <c r="N129" s="5" t="s">
        <v>1707</v>
      </c>
      <c r="O129" s="9" t="s">
        <v>49</v>
      </c>
    </row>
    <row r="130" spans="1:15">
      <c r="A13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VLT-MOL-001-MRR-M</v>
      </c>
      <c r="B130" s="5" t="s">
        <v>1710</v>
      </c>
      <c r="C130" s="9" t="s">
        <v>1704</v>
      </c>
      <c r="D130" s="5" t="s">
        <v>1705</v>
      </c>
      <c r="E130" s="5" t="s">
        <v>98</v>
      </c>
      <c r="F130" s="5" t="s">
        <v>87</v>
      </c>
      <c r="G130" s="9" t="s">
        <v>54</v>
      </c>
      <c r="H130" s="31">
        <v>349.9</v>
      </c>
      <c r="I130" s="11">
        <v>170.96</v>
      </c>
      <c r="J130" s="12">
        <f>IF(OR(tInverno26[[#This Row],[Preço (R$)]]="",tInverno26[[#This Row],[Custo (R$)]]=""),"",(tInverno26[[#This Row],[Preço (R$)]]-tInverno26[[#This Row],[Custo (R$)]])/tInverno26[[#This Row],[Preço (R$)]])</f>
        <v>0.51140325807373532</v>
      </c>
      <c r="K130" s="5" t="s">
        <v>1711</v>
      </c>
      <c r="L130" s="28" t="s">
        <v>101</v>
      </c>
      <c r="M130" s="10">
        <v>46112</v>
      </c>
      <c r="N130" s="5" t="s">
        <v>1707</v>
      </c>
      <c r="O130" s="9" t="s">
        <v>49</v>
      </c>
    </row>
    <row r="131" spans="1:15">
      <c r="A13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VLT-MOL-001-MRR-G</v>
      </c>
      <c r="B131" s="5" t="s">
        <v>1712</v>
      </c>
      <c r="C131" s="9" t="s">
        <v>1704</v>
      </c>
      <c r="D131" s="5" t="s">
        <v>1705</v>
      </c>
      <c r="E131" s="5" t="s">
        <v>98</v>
      </c>
      <c r="F131" s="5" t="s">
        <v>87</v>
      </c>
      <c r="G131" s="9" t="s">
        <v>58</v>
      </c>
      <c r="H131" s="31">
        <v>349.9</v>
      </c>
      <c r="I131" s="27">
        <v>170.96</v>
      </c>
      <c r="J131" s="12">
        <f>IF(OR(tInverno26[[#This Row],[Preço (R$)]]="",tInverno26[[#This Row],[Custo (R$)]]=""),"",(tInverno26[[#This Row],[Preço (R$)]]-tInverno26[[#This Row],[Custo (R$)]])/tInverno26[[#This Row],[Preço (R$)]])</f>
        <v>0.51140325807373532</v>
      </c>
      <c r="K131" s="5" t="s">
        <v>1713</v>
      </c>
      <c r="L131" s="28" t="s">
        <v>101</v>
      </c>
      <c r="M131" s="10">
        <v>46112</v>
      </c>
      <c r="N131" s="5" t="s">
        <v>1714</v>
      </c>
      <c r="O131" s="9" t="s">
        <v>49</v>
      </c>
    </row>
    <row r="132" spans="1:15">
      <c r="A13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VLT-MOL-001-MRR-GG</v>
      </c>
      <c r="B132" s="5" t="s">
        <v>1715</v>
      </c>
      <c r="C132" s="9" t="s">
        <v>1704</v>
      </c>
      <c r="D132" s="5" t="s">
        <v>1705</v>
      </c>
      <c r="E132" s="5" t="s">
        <v>98</v>
      </c>
      <c r="F132" s="5" t="s">
        <v>87</v>
      </c>
      <c r="G132" s="9" t="s">
        <v>61</v>
      </c>
      <c r="H132" s="31">
        <v>349.9</v>
      </c>
      <c r="I132" s="11">
        <v>168.04</v>
      </c>
      <c r="J132" s="12">
        <f>IF(OR(tInverno26[[#This Row],[Preço (R$)]]="",tInverno26[[#This Row],[Custo (R$)]]=""),"",(tInverno26[[#This Row],[Preço (R$)]]-tInverno26[[#This Row],[Custo (R$)]])/tInverno26[[#This Row],[Preço (R$)]])</f>
        <v>0.51974849957130609</v>
      </c>
      <c r="K132" s="5" t="s">
        <v>1716</v>
      </c>
      <c r="L132" s="28" t="s">
        <v>101</v>
      </c>
      <c r="M132" s="10">
        <v>46112</v>
      </c>
      <c r="N132" s="5" t="s">
        <v>1707</v>
      </c>
      <c r="O132" s="9" t="s">
        <v>49</v>
      </c>
    </row>
    <row r="133" spans="1:15">
      <c r="A13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VLT-CMS-016-VIN-XP</v>
      </c>
      <c r="B133" s="5" t="s">
        <v>1717</v>
      </c>
      <c r="C133" s="9" t="s">
        <v>1718</v>
      </c>
      <c r="D133" s="5" t="s">
        <v>1719</v>
      </c>
      <c r="E133" s="5" t="s">
        <v>67</v>
      </c>
      <c r="F133" s="5" t="s">
        <v>129</v>
      </c>
      <c r="G133" s="9" t="s">
        <v>45</v>
      </c>
      <c r="H133" s="11">
        <v>209.9</v>
      </c>
      <c r="I133" s="11">
        <v>89.46</v>
      </c>
      <c r="J133" s="12">
        <f>IF(OR(tInverno26[[#This Row],[Preço (R$)]]="",tInverno26[[#This Row],[Custo (R$)]]=""),"",(tInverno26[[#This Row],[Preço (R$)]]-tInverno26[[#This Row],[Custo (R$)]])/tInverno26[[#This Row],[Preço (R$)]])</f>
        <v>0.57379704621248218</v>
      </c>
      <c r="K133" s="5" t="s">
        <v>1720</v>
      </c>
      <c r="L133" s="28" t="s">
        <v>47</v>
      </c>
      <c r="M133" s="10">
        <v>46116</v>
      </c>
      <c r="N133" s="5" t="s">
        <v>1721</v>
      </c>
      <c r="O133" s="9" t="s">
        <v>49</v>
      </c>
    </row>
    <row r="134" spans="1:15">
      <c r="A13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VLT-CMS-016-VIN-P</v>
      </c>
      <c r="B134" s="5" t="s">
        <v>1722</v>
      </c>
      <c r="C134" s="9" t="s">
        <v>1718</v>
      </c>
      <c r="D134" s="5" t="s">
        <v>1719</v>
      </c>
      <c r="E134" s="5" t="s">
        <v>67</v>
      </c>
      <c r="F134" s="5" t="s">
        <v>129</v>
      </c>
      <c r="G134" s="9" t="s">
        <v>51</v>
      </c>
      <c r="H134" s="11">
        <v>209.9</v>
      </c>
      <c r="I134" s="11">
        <v>89.28</v>
      </c>
      <c r="J134" s="12">
        <f>IF(OR(tInverno26[[#This Row],[Preço (R$)]]="",tInverno26[[#This Row],[Custo (R$)]]=""),"",(tInverno26[[#This Row],[Preço (R$)]]-tInverno26[[#This Row],[Custo (R$)]])/tInverno26[[#This Row],[Preço (R$)]])</f>
        <v>0.57465459742734637</v>
      </c>
      <c r="K134" s="5" t="s">
        <v>1723</v>
      </c>
      <c r="L134" s="28" t="s">
        <v>47</v>
      </c>
      <c r="M134" s="10">
        <v>46116</v>
      </c>
      <c r="N134" s="5" t="s">
        <v>1721</v>
      </c>
      <c r="O134" s="9" t="s">
        <v>49</v>
      </c>
    </row>
    <row r="135" spans="1:15">
      <c r="A13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VLT-CMS-016-VIN-M</v>
      </c>
      <c r="B135" s="5" t="s">
        <v>1724</v>
      </c>
      <c r="C135" s="9" t="s">
        <v>1718</v>
      </c>
      <c r="D135" s="5" t="s">
        <v>1719</v>
      </c>
      <c r="E135" s="5" t="s">
        <v>67</v>
      </c>
      <c r="F135" s="5" t="s">
        <v>129</v>
      </c>
      <c r="G135" s="9" t="s">
        <v>54</v>
      </c>
      <c r="H135" s="11">
        <v>209.9</v>
      </c>
      <c r="I135" s="27">
        <v>89.28</v>
      </c>
      <c r="J135" s="12">
        <f>IF(OR(tInverno26[[#This Row],[Preço (R$)]]="",tInverno26[[#This Row],[Custo (R$)]]=""),"",(tInverno26[[#This Row],[Preço (R$)]]-tInverno26[[#This Row],[Custo (R$)]])/tInverno26[[#This Row],[Preço (R$)]])</f>
        <v>0.57465459742734637</v>
      </c>
      <c r="K135" s="5" t="s">
        <v>1725</v>
      </c>
      <c r="L135" s="28" t="s">
        <v>47</v>
      </c>
      <c r="M135" s="10">
        <v>46116</v>
      </c>
      <c r="N135" s="5" t="s">
        <v>1726</v>
      </c>
      <c r="O135" s="9" t="s">
        <v>49</v>
      </c>
    </row>
    <row r="136" spans="1:15">
      <c r="A13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VLT-CMS-016-VIN-G</v>
      </c>
      <c r="B136" s="5" t="s">
        <v>1727</v>
      </c>
      <c r="C136" s="9" t="s">
        <v>1718</v>
      </c>
      <c r="D136" s="5" t="s">
        <v>1719</v>
      </c>
      <c r="E136" s="5" t="s">
        <v>67</v>
      </c>
      <c r="F136" s="5" t="s">
        <v>129</v>
      </c>
      <c r="G136" s="9" t="s">
        <v>58</v>
      </c>
      <c r="H136" s="11">
        <v>209.9</v>
      </c>
      <c r="I136" s="11">
        <v>90.6</v>
      </c>
      <c r="J136" s="12">
        <f>IF(OR(tInverno26[[#This Row],[Preço (R$)]]="",tInverno26[[#This Row],[Custo (R$)]]=""),"",(tInverno26[[#This Row],[Preço (R$)]]-tInverno26[[#This Row],[Custo (R$)]])/tInverno26[[#This Row],[Preço (R$)]])</f>
        <v>0.56836588851834213</v>
      </c>
      <c r="K136" s="5" t="s">
        <v>1728</v>
      </c>
      <c r="L136" s="28" t="s">
        <v>47</v>
      </c>
      <c r="M136" s="10">
        <v>46116</v>
      </c>
      <c r="N136" s="5" t="s">
        <v>1721</v>
      </c>
      <c r="O136" s="9" t="s">
        <v>49</v>
      </c>
    </row>
    <row r="137" spans="1:15">
      <c r="A13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VLT-CMS-016-VIN-GG</v>
      </c>
      <c r="B137" s="5" t="s">
        <v>1729</v>
      </c>
      <c r="C137" s="9" t="s">
        <v>1718</v>
      </c>
      <c r="D137" s="5" t="s">
        <v>1719</v>
      </c>
      <c r="E137" s="5" t="s">
        <v>67</v>
      </c>
      <c r="F137" s="5" t="s">
        <v>129</v>
      </c>
      <c r="G137" s="9" t="s">
        <v>61</v>
      </c>
      <c r="H137" s="11">
        <v>209.9</v>
      </c>
      <c r="I137" s="11">
        <v>90.66</v>
      </c>
      <c r="J137" s="12">
        <f>IF(OR(tInverno26[[#This Row],[Preço (R$)]]="",tInverno26[[#This Row],[Custo (R$)]]=""),"",(tInverno26[[#This Row],[Preço (R$)]]-tInverno26[[#This Row],[Custo (R$)]])/tInverno26[[#This Row],[Preço (R$)]])</f>
        <v>0.56808003811338736</v>
      </c>
      <c r="K137" s="5" t="s">
        <v>1730</v>
      </c>
      <c r="L137" s="28" t="s">
        <v>47</v>
      </c>
      <c r="M137" s="10">
        <v>46116</v>
      </c>
      <c r="N137" s="5" t="s">
        <v>1721</v>
      </c>
      <c r="O137" s="9" t="s">
        <v>49</v>
      </c>
    </row>
    <row r="138" spans="1:15">
      <c r="A13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VLT-CMS-016-BRA-XP</v>
      </c>
      <c r="B138" s="5" t="s">
        <v>1731</v>
      </c>
      <c r="C138" s="9" t="s">
        <v>1718</v>
      </c>
      <c r="D138" s="5" t="s">
        <v>1719</v>
      </c>
      <c r="E138" s="5" t="s">
        <v>67</v>
      </c>
      <c r="F138" s="5" t="s">
        <v>77</v>
      </c>
      <c r="G138" s="9" t="s">
        <v>45</v>
      </c>
      <c r="H138" s="11">
        <v>209.9</v>
      </c>
      <c r="I138" s="11">
        <v>89.79</v>
      </c>
      <c r="J138" s="12">
        <f>IF(OR(tInverno26[[#This Row],[Preço (R$)]]="",tInverno26[[#This Row],[Custo (R$)]]=""),"",(tInverno26[[#This Row],[Preço (R$)]]-tInverno26[[#This Row],[Custo (R$)]])/tInverno26[[#This Row],[Preço (R$)]])</f>
        <v>0.57222486898523106</v>
      </c>
      <c r="K138" s="5" t="s">
        <v>1732</v>
      </c>
      <c r="L138" s="28" t="s">
        <v>47</v>
      </c>
      <c r="M138" s="10">
        <v>46116</v>
      </c>
      <c r="N138" s="5" t="s">
        <v>1721</v>
      </c>
      <c r="O138" s="9" t="s">
        <v>49</v>
      </c>
    </row>
    <row r="139" spans="1:15">
      <c r="A13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VLT-CMS-016-BRA-P</v>
      </c>
      <c r="B139" s="5" t="s">
        <v>1733</v>
      </c>
      <c r="C139" s="9" t="s">
        <v>1718</v>
      </c>
      <c r="D139" s="5" t="s">
        <v>1719</v>
      </c>
      <c r="E139" s="5" t="s">
        <v>67</v>
      </c>
      <c r="F139" s="5" t="s">
        <v>77</v>
      </c>
      <c r="G139" s="9" t="s">
        <v>51</v>
      </c>
      <c r="H139" s="11">
        <v>209.9</v>
      </c>
      <c r="I139" s="11">
        <v>90.72</v>
      </c>
      <c r="J139" s="12">
        <f>IF(OR(tInverno26[[#This Row],[Preço (R$)]]="",tInverno26[[#This Row],[Custo (R$)]]=""),"",(tInverno26[[#This Row],[Preço (R$)]]-tInverno26[[#This Row],[Custo (R$)]])/tInverno26[[#This Row],[Preço (R$)]])</f>
        <v>0.5677941877084326</v>
      </c>
      <c r="K139" s="5" t="s">
        <v>1734</v>
      </c>
      <c r="L139" s="28" t="s">
        <v>47</v>
      </c>
      <c r="M139" s="10">
        <v>46116</v>
      </c>
      <c r="N139" s="5" t="s">
        <v>1721</v>
      </c>
      <c r="O139" s="9" t="s">
        <v>49</v>
      </c>
    </row>
    <row r="140" spans="1:15">
      <c r="A14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VLT-CMS-016-BRA-M</v>
      </c>
      <c r="B140" s="5" t="s">
        <v>1735</v>
      </c>
      <c r="C140" s="9" t="s">
        <v>1718</v>
      </c>
      <c r="D140" s="5" t="s">
        <v>1719</v>
      </c>
      <c r="E140" s="5" t="s">
        <v>67</v>
      </c>
      <c r="F140" s="5" t="s">
        <v>77</v>
      </c>
      <c r="G140" s="9" t="s">
        <v>54</v>
      </c>
      <c r="H140" s="11">
        <v>209.9</v>
      </c>
      <c r="I140" s="27">
        <v>90.72</v>
      </c>
      <c r="J140" s="12">
        <f>IF(OR(tInverno26[[#This Row],[Preço (R$)]]="",tInverno26[[#This Row],[Custo (R$)]]=""),"",(tInverno26[[#This Row],[Preço (R$)]]-tInverno26[[#This Row],[Custo (R$)]])/tInverno26[[#This Row],[Preço (R$)]])</f>
        <v>0.5677941877084326</v>
      </c>
      <c r="K140" s="5" t="s">
        <v>1736</v>
      </c>
      <c r="L140" s="28" t="s">
        <v>47</v>
      </c>
      <c r="M140" s="10">
        <v>46116</v>
      </c>
      <c r="N140" s="5" t="s">
        <v>1737</v>
      </c>
      <c r="O140" s="9" t="s">
        <v>49</v>
      </c>
    </row>
    <row r="141" spans="1:15">
      <c r="A14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VLT-CMS-016-BRA-G</v>
      </c>
      <c r="B141" s="5" t="s">
        <v>1738</v>
      </c>
      <c r="C141" s="9" t="s">
        <v>1718</v>
      </c>
      <c r="D141" s="5" t="s">
        <v>1719</v>
      </c>
      <c r="E141" s="5" t="s">
        <v>67</v>
      </c>
      <c r="F141" s="5" t="s">
        <v>77</v>
      </c>
      <c r="G141" s="9" t="s">
        <v>58</v>
      </c>
      <c r="H141" s="11">
        <v>209.9</v>
      </c>
      <c r="I141" s="11">
        <v>91.12</v>
      </c>
      <c r="J141" s="12">
        <f>IF(OR(tInverno26[[#This Row],[Preço (R$)]]="",tInverno26[[#This Row],[Custo (R$)]]=""),"",(tInverno26[[#This Row],[Preço (R$)]]-tInverno26[[#This Row],[Custo (R$)]])/tInverno26[[#This Row],[Preço (R$)]])</f>
        <v>0.56588851834206766</v>
      </c>
      <c r="K141" s="5" t="s">
        <v>1739</v>
      </c>
      <c r="L141" s="28" t="s">
        <v>47</v>
      </c>
      <c r="M141" s="10">
        <v>46116</v>
      </c>
      <c r="N141" s="5" t="s">
        <v>1721</v>
      </c>
      <c r="O141" s="9" t="s">
        <v>49</v>
      </c>
    </row>
    <row r="142" spans="1:15">
      <c r="A14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VLT-CMS-016-BRA-GG</v>
      </c>
      <c r="B142" s="5" t="s">
        <v>1740</v>
      </c>
      <c r="C142" s="9" t="s">
        <v>1718</v>
      </c>
      <c r="D142" s="5" t="s">
        <v>1719</v>
      </c>
      <c r="E142" s="5" t="s">
        <v>67</v>
      </c>
      <c r="F142" s="5" t="s">
        <v>77</v>
      </c>
      <c r="G142" s="9" t="s">
        <v>61</v>
      </c>
      <c r="H142" s="11">
        <v>209.9</v>
      </c>
      <c r="I142" s="11">
        <v>88.08</v>
      </c>
      <c r="J142" s="12">
        <f>IF(OR(tInverno26[[#This Row],[Preço (R$)]]="",tInverno26[[#This Row],[Custo (R$)]]=""),"",(tInverno26[[#This Row],[Preço (R$)]]-tInverno26[[#This Row],[Custo (R$)]])/tInverno26[[#This Row],[Preço (R$)]])</f>
        <v>0.58037160552644118</v>
      </c>
      <c r="K142" s="5" t="s">
        <v>1741</v>
      </c>
      <c r="L142" s="28" t="s">
        <v>47</v>
      </c>
      <c r="M142" s="10">
        <v>46116</v>
      </c>
      <c r="N142" s="5" t="s">
        <v>1721</v>
      </c>
      <c r="O142" s="9" t="s">
        <v>49</v>
      </c>
    </row>
    <row r="143" spans="1:15">
      <c r="A14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VLT-MOL-022-AMA-P</v>
      </c>
      <c r="B143" s="5" t="s">
        <v>1742</v>
      </c>
      <c r="C143" s="9" t="s">
        <v>1743</v>
      </c>
      <c r="D143" s="5" t="s">
        <v>1744</v>
      </c>
      <c r="E143" s="5" t="s">
        <v>98</v>
      </c>
      <c r="F143" s="5" t="s">
        <v>99</v>
      </c>
      <c r="G143" s="9" t="s">
        <v>51</v>
      </c>
      <c r="H143" s="11">
        <v>209.9</v>
      </c>
      <c r="I143" s="11">
        <v>102.41</v>
      </c>
      <c r="J143" s="12">
        <f>IF(OR(tInverno26[[#This Row],[Preço (R$)]]="",tInverno26[[#This Row],[Custo (R$)]]=""),"",(tInverno26[[#This Row],[Preço (R$)]]-tInverno26[[#This Row],[Custo (R$)]])/tInverno26[[#This Row],[Preço (R$)]])</f>
        <v>0.51210100047641738</v>
      </c>
      <c r="K143" s="5" t="s">
        <v>1745</v>
      </c>
      <c r="L143" s="28" t="s">
        <v>101</v>
      </c>
      <c r="M143" s="10">
        <v>46126</v>
      </c>
      <c r="N143" s="5" t="s">
        <v>1154</v>
      </c>
      <c r="O143" s="9" t="s">
        <v>49</v>
      </c>
    </row>
    <row r="144" spans="1:15">
      <c r="A14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VLT-MOL-022-AMA-M</v>
      </c>
      <c r="B144" s="5" t="s">
        <v>1746</v>
      </c>
      <c r="C144" s="9" t="s">
        <v>1743</v>
      </c>
      <c r="D144" s="5" t="s">
        <v>1744</v>
      </c>
      <c r="E144" s="5" t="s">
        <v>98</v>
      </c>
      <c r="F144" s="5" t="s">
        <v>99</v>
      </c>
      <c r="G144" s="9" t="s">
        <v>54</v>
      </c>
      <c r="H144" s="11">
        <v>209.9</v>
      </c>
      <c r="I144" s="27">
        <v>102.41</v>
      </c>
      <c r="J144" s="12">
        <f>IF(OR(tInverno26[[#This Row],[Preço (R$)]]="",tInverno26[[#This Row],[Custo (R$)]]=""),"",(tInverno26[[#This Row],[Preço (R$)]]-tInverno26[[#This Row],[Custo (R$)]])/tInverno26[[#This Row],[Preço (R$)]])</f>
        <v>0.51210100047641738</v>
      </c>
      <c r="K144" s="5" t="s">
        <v>1747</v>
      </c>
      <c r="L144" s="28" t="s">
        <v>101</v>
      </c>
      <c r="M144" s="10">
        <v>46126</v>
      </c>
      <c r="N144" s="5" t="s">
        <v>1748</v>
      </c>
      <c r="O144" s="9" t="s">
        <v>49</v>
      </c>
    </row>
    <row r="145" spans="1:15">
      <c r="A14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VLT-MOL-022-AMA-G</v>
      </c>
      <c r="B145" s="5" t="s">
        <v>1749</v>
      </c>
      <c r="C145" s="9" t="s">
        <v>1743</v>
      </c>
      <c r="D145" s="5" t="s">
        <v>1744</v>
      </c>
      <c r="E145" s="5" t="s">
        <v>98</v>
      </c>
      <c r="F145" s="5" t="s">
        <v>99</v>
      </c>
      <c r="G145" s="9" t="s">
        <v>58</v>
      </c>
      <c r="H145" s="11">
        <v>209.9</v>
      </c>
      <c r="I145" s="11">
        <v>103.73</v>
      </c>
      <c r="J145" s="12">
        <f>IF(OR(tInverno26[[#This Row],[Preço (R$)]]="",tInverno26[[#This Row],[Custo (R$)]]=""),"",(tInverno26[[#This Row],[Preço (R$)]]-tInverno26[[#This Row],[Custo (R$)]])/tInverno26[[#This Row],[Preço (R$)]])</f>
        <v>0.50581229156741303</v>
      </c>
      <c r="K145" s="5" t="s">
        <v>1750</v>
      </c>
      <c r="L145" s="28" t="s">
        <v>101</v>
      </c>
      <c r="M145" s="10">
        <v>46126</v>
      </c>
      <c r="N145" s="5" t="s">
        <v>1154</v>
      </c>
      <c r="O145" s="9" t="s">
        <v>49</v>
      </c>
    </row>
    <row r="146" spans="1:15">
      <c r="A14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VLT-MOL-022-AMA-GG</v>
      </c>
      <c r="B146" s="5" t="s">
        <v>1751</v>
      </c>
      <c r="C146" s="9" t="s">
        <v>1743</v>
      </c>
      <c r="D146" s="5" t="s">
        <v>1744</v>
      </c>
      <c r="E146" s="5" t="s">
        <v>98</v>
      </c>
      <c r="F146" s="5" t="s">
        <v>99</v>
      </c>
      <c r="G146" s="9" t="s">
        <v>61</v>
      </c>
      <c r="H146" s="11">
        <v>209.9</v>
      </c>
      <c r="I146" s="11">
        <v>103.55</v>
      </c>
      <c r="J146" s="12">
        <f>IF(OR(tInverno26[[#This Row],[Preço (R$)]]="",tInverno26[[#This Row],[Custo (R$)]]=""),"",(tInverno26[[#This Row],[Preço (R$)]]-tInverno26[[#This Row],[Custo (R$)]])/tInverno26[[#This Row],[Preço (R$)]])</f>
        <v>0.50666984278227734</v>
      </c>
      <c r="K146" s="5" t="s">
        <v>1752</v>
      </c>
      <c r="L146" s="28" t="s">
        <v>101</v>
      </c>
      <c r="M146" s="10">
        <v>46126</v>
      </c>
      <c r="N146" s="5" t="s">
        <v>1154</v>
      </c>
      <c r="O146" s="9" t="s">
        <v>49</v>
      </c>
    </row>
    <row r="147" spans="1:15">
      <c r="A14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VLT-JAQ-011-OLI-P</v>
      </c>
      <c r="B147" s="5" t="s">
        <v>1753</v>
      </c>
      <c r="C147" s="9" t="s">
        <v>1754</v>
      </c>
      <c r="D147" s="5" t="s">
        <v>1755</v>
      </c>
      <c r="E147" s="5" t="s">
        <v>392</v>
      </c>
      <c r="F147" s="5" t="s">
        <v>180</v>
      </c>
      <c r="G147" s="9" t="s">
        <v>51</v>
      </c>
      <c r="H147" s="31">
        <v>549.9</v>
      </c>
      <c r="I147" s="11">
        <v>272.24</v>
      </c>
      <c r="J147" s="12">
        <f>IF(OR(tInverno26[[#This Row],[Preço (R$)]]="",tInverno26[[#This Row],[Custo (R$)]]=""),"",(tInverno26[[#This Row],[Preço (R$)]]-tInverno26[[#This Row],[Custo (R$)]])/tInverno26[[#This Row],[Preço (R$)]])</f>
        <v>0.50492816875795599</v>
      </c>
      <c r="K147" s="5" t="s">
        <v>1756</v>
      </c>
      <c r="L147" s="28" t="s">
        <v>47</v>
      </c>
      <c r="M147" s="10">
        <v>46147</v>
      </c>
      <c r="N147" s="5" t="s">
        <v>1757</v>
      </c>
      <c r="O147" s="9" t="s">
        <v>49</v>
      </c>
    </row>
    <row r="148" spans="1:15">
      <c r="A14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VLT-JAQ-011-OLI-M</v>
      </c>
      <c r="B148" s="5" t="s">
        <v>1758</v>
      </c>
      <c r="C148" s="9" t="s">
        <v>1754</v>
      </c>
      <c r="D148" s="5" t="s">
        <v>1755</v>
      </c>
      <c r="E148" s="5" t="s">
        <v>392</v>
      </c>
      <c r="F148" s="5" t="s">
        <v>180</v>
      </c>
      <c r="G148" s="9" t="s">
        <v>54</v>
      </c>
      <c r="H148" s="31">
        <v>549.9</v>
      </c>
      <c r="I148" s="11">
        <v>259.22000000000003</v>
      </c>
      <c r="J148" s="12">
        <f>IF(OR(tInverno26[[#This Row],[Preço (R$)]]="",tInverno26[[#This Row],[Custo (R$)]]=""),"",(tInverno26[[#This Row],[Preço (R$)]]-tInverno26[[#This Row],[Custo (R$)]])/tInverno26[[#This Row],[Preço (R$)]])</f>
        <v>0.52860520094562646</v>
      </c>
      <c r="K148" s="5" t="s">
        <v>1759</v>
      </c>
      <c r="L148" s="28" t="s">
        <v>47</v>
      </c>
      <c r="M148" s="10">
        <v>46147</v>
      </c>
      <c r="N148" s="5" t="s">
        <v>1757</v>
      </c>
      <c r="O148" s="9" t="s">
        <v>49</v>
      </c>
    </row>
    <row r="149" spans="1:15">
      <c r="A14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VLT-JAQ-011-OLI-G</v>
      </c>
      <c r="B149" s="5" t="s">
        <v>1760</v>
      </c>
      <c r="C149" s="9" t="s">
        <v>1754</v>
      </c>
      <c r="D149" s="5" t="s">
        <v>1755</v>
      </c>
      <c r="E149" s="5" t="s">
        <v>392</v>
      </c>
      <c r="F149" s="5" t="s">
        <v>180</v>
      </c>
      <c r="G149" s="9" t="s">
        <v>58</v>
      </c>
      <c r="H149" s="31">
        <v>549.9</v>
      </c>
      <c r="I149" s="11">
        <v>270.93</v>
      </c>
      <c r="J149" s="12">
        <f>IF(OR(tInverno26[[#This Row],[Preço (R$)]]="",tInverno26[[#This Row],[Custo (R$)]]=""),"",(tInverno26[[#This Row],[Preço (R$)]]-tInverno26[[#This Row],[Custo (R$)]])/tInverno26[[#This Row],[Preço (R$)]])</f>
        <v>0.5073104200763775</v>
      </c>
      <c r="K149" s="5" t="s">
        <v>1761</v>
      </c>
      <c r="L149" s="28" t="s">
        <v>47</v>
      </c>
      <c r="M149" s="10">
        <v>46147</v>
      </c>
      <c r="N149" s="5" t="s">
        <v>1757</v>
      </c>
      <c r="O149" s="9" t="s">
        <v>49</v>
      </c>
    </row>
    <row r="150" spans="1:15">
      <c r="A15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VLT-JAQ-011-OLI-GG</v>
      </c>
      <c r="B150" s="5" t="s">
        <v>1762</v>
      </c>
      <c r="C150" s="9" t="s">
        <v>1754</v>
      </c>
      <c r="D150" s="5" t="s">
        <v>1755</v>
      </c>
      <c r="E150" s="5" t="s">
        <v>392</v>
      </c>
      <c r="F150" s="5" t="s">
        <v>180</v>
      </c>
      <c r="G150" s="9" t="s">
        <v>61</v>
      </c>
      <c r="H150" s="31">
        <v>549.9</v>
      </c>
      <c r="I150" s="11">
        <v>270.42</v>
      </c>
      <c r="J150" s="12">
        <f>IF(OR(tInverno26[[#This Row],[Preço (R$)]]="",tInverno26[[#This Row],[Custo (R$)]]=""),"",(tInverno26[[#This Row],[Preço (R$)]]-tInverno26[[#This Row],[Custo (R$)]])/tInverno26[[#This Row],[Preço (R$)]])</f>
        <v>0.50823786142935079</v>
      </c>
      <c r="K150" s="5" t="s">
        <v>1763</v>
      </c>
      <c r="L150" s="28" t="s">
        <v>47</v>
      </c>
      <c r="M150" s="10">
        <v>46147</v>
      </c>
      <c r="N150" s="5" t="s">
        <v>1757</v>
      </c>
      <c r="O150" s="9" t="s">
        <v>49</v>
      </c>
    </row>
    <row r="151" spans="1:15">
      <c r="A15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VLT-MOL-010-AMA-P</v>
      </c>
      <c r="B151" s="5" t="s">
        <v>379</v>
      </c>
      <c r="C151" s="9" t="s">
        <v>380</v>
      </c>
      <c r="D151" s="5" t="s">
        <v>381</v>
      </c>
      <c r="E151" s="5" t="s">
        <v>98</v>
      </c>
      <c r="F151" s="5" t="s">
        <v>99</v>
      </c>
      <c r="G151" s="9" t="s">
        <v>51</v>
      </c>
      <c r="H151" s="11">
        <v>309.89999999999998</v>
      </c>
      <c r="I151" s="11">
        <v>131.53</v>
      </c>
      <c r="J151" s="12">
        <f>IF(OR(tInverno26[[#This Row],[Preço (R$)]]="",tInverno26[[#This Row],[Custo (R$)]]=""),"",(tInverno26[[#This Row],[Preço (R$)]]-tInverno26[[#This Row],[Custo (R$)]])/tInverno26[[#This Row],[Preço (R$)]])</f>
        <v>0.57557276540819613</v>
      </c>
      <c r="K151" s="5" t="s">
        <v>382</v>
      </c>
      <c r="L151" s="28" t="s">
        <v>101</v>
      </c>
      <c r="M151" s="10"/>
      <c r="N151" s="5" t="s">
        <v>1154</v>
      </c>
      <c r="O151" s="9" t="s">
        <v>49</v>
      </c>
    </row>
    <row r="152" spans="1:15">
      <c r="A15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VLT-MOL-010-AMA-M</v>
      </c>
      <c r="B152" s="5" t="s">
        <v>384</v>
      </c>
      <c r="C152" s="9" t="s">
        <v>380</v>
      </c>
      <c r="D152" s="5" t="s">
        <v>381</v>
      </c>
      <c r="E152" s="5" t="s">
        <v>98</v>
      </c>
      <c r="F152" s="5" t="s">
        <v>99</v>
      </c>
      <c r="G152" s="9" t="s">
        <v>54</v>
      </c>
      <c r="H152" s="11">
        <v>309.89999999999998</v>
      </c>
      <c r="I152" s="11">
        <v>140.03</v>
      </c>
      <c r="J152" s="12">
        <f>IF(OR(tInverno26[[#This Row],[Preço (R$)]]="",tInverno26[[#This Row],[Custo (R$)]]=""),"",(tInverno26[[#This Row],[Preço (R$)]]-tInverno26[[#This Row],[Custo (R$)]])/tInverno26[[#This Row],[Preço (R$)]])</f>
        <v>0.54814456276218126</v>
      </c>
      <c r="K152" s="5" t="s">
        <v>385</v>
      </c>
      <c r="L152" s="28" t="s">
        <v>101</v>
      </c>
      <c r="M152" s="10"/>
      <c r="N152" s="5" t="s">
        <v>1154</v>
      </c>
      <c r="O152" s="9" t="s">
        <v>49</v>
      </c>
    </row>
    <row r="153" spans="1:15">
      <c r="A15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VLT-MOL-010-AMA-G</v>
      </c>
      <c r="B153" s="5" t="s">
        <v>387</v>
      </c>
      <c r="C153" s="9" t="s">
        <v>380</v>
      </c>
      <c r="D153" s="5" t="s">
        <v>381</v>
      </c>
      <c r="E153" s="5" t="s">
        <v>98</v>
      </c>
      <c r="F153" s="5" t="s">
        <v>99</v>
      </c>
      <c r="G153" s="9" t="s">
        <v>58</v>
      </c>
      <c r="H153" s="11">
        <v>309.89999999999998</v>
      </c>
      <c r="I153" s="11">
        <v>140.16999999999999</v>
      </c>
      <c r="J153" s="12">
        <f>IF(OR(tInverno26[[#This Row],[Preço (R$)]]="",tInverno26[[#This Row],[Custo (R$)]]=""),"",(tInverno26[[#This Row],[Preço (R$)]]-tInverno26[[#This Row],[Custo (R$)]])/tInverno26[[#This Row],[Preço (R$)]])</f>
        <v>0.54769280413036459</v>
      </c>
      <c r="K153" s="5" t="s">
        <v>388</v>
      </c>
      <c r="L153" s="28" t="s">
        <v>101</v>
      </c>
      <c r="M153" s="10"/>
      <c r="N153" s="5" t="s">
        <v>1154</v>
      </c>
      <c r="O153" s="9" t="s">
        <v>49</v>
      </c>
    </row>
    <row r="154" spans="1:15">
      <c r="A15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VLT-ACE-008-OLI-U</v>
      </c>
      <c r="B154" s="5" t="s">
        <v>417</v>
      </c>
      <c r="C154" s="9" t="s">
        <v>418</v>
      </c>
      <c r="D154" s="5" t="s">
        <v>419</v>
      </c>
      <c r="E154" s="5" t="s">
        <v>281</v>
      </c>
      <c r="F154" s="5" t="s">
        <v>180</v>
      </c>
      <c r="G154" s="9" t="s">
        <v>282</v>
      </c>
      <c r="H154" s="11">
        <v>159.9</v>
      </c>
      <c r="I154" s="11">
        <v>66.989999999999995</v>
      </c>
      <c r="J154" s="12">
        <f>IF(OR(tInverno26[[#This Row],[Preço (R$)]]="",tInverno26[[#This Row],[Custo (R$)]]=""),"",(tInverno26[[#This Row],[Preço (R$)]]-tInverno26[[#This Row],[Custo (R$)]])/tInverno26[[#This Row],[Preço (R$)]])</f>
        <v>0.58105065666041278</v>
      </c>
      <c r="K154" s="5" t="s">
        <v>420</v>
      </c>
      <c r="L154" s="28" t="s">
        <v>79</v>
      </c>
      <c r="M154" s="10"/>
      <c r="N154" s="5" t="s">
        <v>470</v>
      </c>
      <c r="O154" s="9" t="s">
        <v>49</v>
      </c>
    </row>
    <row r="155" spans="1:15">
      <c r="A15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VLT-SAI-006-PRE-XP</v>
      </c>
      <c r="B155" s="5" t="s">
        <v>477</v>
      </c>
      <c r="C155" s="9" t="s">
        <v>478</v>
      </c>
      <c r="D155" s="5" t="s">
        <v>479</v>
      </c>
      <c r="E155" s="5" t="s">
        <v>116</v>
      </c>
      <c r="F155" s="5" t="s">
        <v>251</v>
      </c>
      <c r="G155" s="9" t="s">
        <v>45</v>
      </c>
      <c r="H155" s="11">
        <v>199.9</v>
      </c>
      <c r="I155" s="11">
        <v>68.430000000000007</v>
      </c>
      <c r="J155" s="12">
        <f>IF(OR(tInverno26[[#This Row],[Preço (R$)]]="",tInverno26[[#This Row],[Custo (R$)]]=""),"",(tInverno26[[#This Row],[Preço (R$)]]-tInverno26[[#This Row],[Custo (R$)]])/tInverno26[[#This Row],[Preço (R$)]])</f>
        <v>0.65767883941970984</v>
      </c>
      <c r="K155" s="5" t="s">
        <v>480</v>
      </c>
      <c r="L155" s="28" t="s">
        <v>70</v>
      </c>
      <c r="M155" s="10"/>
      <c r="N155" s="5" t="s">
        <v>470</v>
      </c>
      <c r="O155" s="9" t="s">
        <v>49</v>
      </c>
    </row>
    <row r="156" spans="1:15">
      <c r="A15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VLT-SAI-006-PRE-P</v>
      </c>
      <c r="B156" s="5" t="s">
        <v>482</v>
      </c>
      <c r="C156" s="9" t="s">
        <v>478</v>
      </c>
      <c r="D156" s="5" t="s">
        <v>479</v>
      </c>
      <c r="E156" s="5" t="s">
        <v>116</v>
      </c>
      <c r="F156" s="5" t="s">
        <v>251</v>
      </c>
      <c r="G156" s="9" t="s">
        <v>51</v>
      </c>
      <c r="H156" s="11">
        <v>199.9</v>
      </c>
      <c r="I156" s="27">
        <v>68.430000000000007</v>
      </c>
      <c r="J156" s="12">
        <f>IF(OR(tInverno26[[#This Row],[Preço (R$)]]="",tInverno26[[#This Row],[Custo (R$)]]=""),"",(tInverno26[[#This Row],[Preço (R$)]]-tInverno26[[#This Row],[Custo (R$)]])/tInverno26[[#This Row],[Preço (R$)]])</f>
        <v>0.65767883941970984</v>
      </c>
      <c r="K156" s="5" t="s">
        <v>483</v>
      </c>
      <c r="L156" s="28" t="s">
        <v>70</v>
      </c>
      <c r="M156" s="10"/>
      <c r="N156" s="5" t="s">
        <v>1764</v>
      </c>
      <c r="O156" s="9" t="s">
        <v>49</v>
      </c>
    </row>
    <row r="157" spans="1:15">
      <c r="A15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VLT-SAI-006-PRE-M</v>
      </c>
      <c r="B157" s="5" t="s">
        <v>484</v>
      </c>
      <c r="C157" s="9" t="s">
        <v>478</v>
      </c>
      <c r="D157" s="5" t="s">
        <v>479</v>
      </c>
      <c r="E157" s="5" t="s">
        <v>116</v>
      </c>
      <c r="F157" s="5" t="s">
        <v>251</v>
      </c>
      <c r="G157" s="9" t="s">
        <v>54</v>
      </c>
      <c r="H157" s="11">
        <v>199.9</v>
      </c>
      <c r="I157" s="27">
        <v>68.430000000000007</v>
      </c>
      <c r="J157" s="12">
        <f>IF(OR(tInverno26[[#This Row],[Preço (R$)]]="",tInverno26[[#This Row],[Custo (R$)]]=""),"",(tInverno26[[#This Row],[Preço (R$)]]-tInverno26[[#This Row],[Custo (R$)]])/tInverno26[[#This Row],[Preço (R$)]])</f>
        <v>0.65767883941970984</v>
      </c>
      <c r="K157" s="5" t="s">
        <v>485</v>
      </c>
      <c r="L157" s="28" t="s">
        <v>70</v>
      </c>
      <c r="M157" s="10"/>
      <c r="N157" s="5" t="s">
        <v>1764</v>
      </c>
      <c r="O157" s="9" t="s">
        <v>49</v>
      </c>
    </row>
    <row r="158" spans="1:15">
      <c r="A15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VLT-SAI-006-PRE-G</v>
      </c>
      <c r="B158" s="5" t="s">
        <v>486</v>
      </c>
      <c r="C158" s="9" t="s">
        <v>478</v>
      </c>
      <c r="D158" s="5" t="s">
        <v>479</v>
      </c>
      <c r="E158" s="5" t="s">
        <v>116</v>
      </c>
      <c r="F158" s="5" t="s">
        <v>251</v>
      </c>
      <c r="G158" s="9" t="s">
        <v>58</v>
      </c>
      <c r="H158" s="11">
        <v>199.9</v>
      </c>
      <c r="I158" s="27">
        <v>68.430000000000007</v>
      </c>
      <c r="J158" s="12">
        <f>IF(OR(tInverno26[[#This Row],[Preço (R$)]]="",tInverno26[[#This Row],[Custo (R$)]]=""),"",(tInverno26[[#This Row],[Preço (R$)]]-tInverno26[[#This Row],[Custo (R$)]])/tInverno26[[#This Row],[Preço (R$)]])</f>
        <v>0.65767883941970984</v>
      </c>
      <c r="K158" s="5" t="s">
        <v>487</v>
      </c>
      <c r="L158" s="28" t="s">
        <v>70</v>
      </c>
      <c r="M158" s="10"/>
      <c r="N158" s="5" t="s">
        <v>1764</v>
      </c>
      <c r="O158" s="9" t="s">
        <v>49</v>
      </c>
    </row>
    <row r="159" spans="1:15">
      <c r="A15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VLT-SAI-006-PRE-GG</v>
      </c>
      <c r="B159" s="5" t="s">
        <v>488</v>
      </c>
      <c r="C159" s="9" t="s">
        <v>478</v>
      </c>
      <c r="D159" s="5" t="s">
        <v>479</v>
      </c>
      <c r="E159" s="5" t="s">
        <v>116</v>
      </c>
      <c r="F159" s="5" t="s">
        <v>251</v>
      </c>
      <c r="G159" s="9" t="s">
        <v>61</v>
      </c>
      <c r="H159" s="11">
        <v>199.9</v>
      </c>
      <c r="I159" s="27">
        <v>68.430000000000007</v>
      </c>
      <c r="J159" s="12">
        <f>IF(OR(tInverno26[[#This Row],[Preço (R$)]]="",tInverno26[[#This Row],[Custo (R$)]]=""),"",(tInverno26[[#This Row],[Preço (R$)]]-tInverno26[[#This Row],[Custo (R$)]])/tInverno26[[#This Row],[Preço (R$)]])</f>
        <v>0.65767883941970984</v>
      </c>
      <c r="K159" s="5" t="s">
        <v>489</v>
      </c>
      <c r="L159" s="28" t="s">
        <v>70</v>
      </c>
      <c r="M159" s="10"/>
      <c r="N159" s="5" t="s">
        <v>1764</v>
      </c>
      <c r="O159" s="9" t="s">
        <v>49</v>
      </c>
    </row>
    <row r="160" spans="1:15">
      <c r="A16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VLT-TRI-007-LIL-XP</v>
      </c>
      <c r="B160" s="5" t="s">
        <v>510</v>
      </c>
      <c r="C160" s="9" t="s">
        <v>511</v>
      </c>
      <c r="D160" s="5" t="s">
        <v>512</v>
      </c>
      <c r="E160" s="5" t="s">
        <v>445</v>
      </c>
      <c r="F160" s="5" t="s">
        <v>203</v>
      </c>
      <c r="G160" s="9" t="s">
        <v>45</v>
      </c>
      <c r="H160" s="11">
        <v>339.9</v>
      </c>
      <c r="I160" s="11">
        <v>137.65</v>
      </c>
      <c r="J160" s="12">
        <f>IF(OR(tInverno26[[#This Row],[Preço (R$)]]="",tInverno26[[#This Row],[Custo (R$)]]=""),"",(tInverno26[[#This Row],[Preço (R$)]]-tInverno26[[#This Row],[Custo (R$)]])/tInverno26[[#This Row],[Preço (R$)]])</f>
        <v>0.59502794939688142</v>
      </c>
      <c r="K160" s="5" t="s">
        <v>513</v>
      </c>
      <c r="L160" s="28" t="s">
        <v>101</v>
      </c>
      <c r="M160" s="10"/>
      <c r="N160" s="5" t="s">
        <v>643</v>
      </c>
      <c r="O160" s="9" t="s">
        <v>49</v>
      </c>
    </row>
    <row r="161" spans="1:15">
      <c r="A16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VLT-TRI-007-LIL-P</v>
      </c>
      <c r="B161" s="5" t="s">
        <v>515</v>
      </c>
      <c r="C161" s="9" t="s">
        <v>511</v>
      </c>
      <c r="D161" s="5" t="s">
        <v>512</v>
      </c>
      <c r="E161" s="5" t="s">
        <v>445</v>
      </c>
      <c r="F161" s="5" t="s">
        <v>203</v>
      </c>
      <c r="G161" s="9" t="s">
        <v>51</v>
      </c>
      <c r="H161" s="11">
        <v>339.9</v>
      </c>
      <c r="I161" s="11">
        <v>132.22</v>
      </c>
      <c r="J161" s="12">
        <f>IF(OR(tInverno26[[#This Row],[Preço (R$)]]="",tInverno26[[#This Row],[Custo (R$)]]=""),"",(tInverno26[[#This Row],[Preço (R$)]]-tInverno26[[#This Row],[Custo (R$)]])/tInverno26[[#This Row],[Preço (R$)]])</f>
        <v>0.61100323624595465</v>
      </c>
      <c r="K161" s="5" t="s">
        <v>516</v>
      </c>
      <c r="L161" s="28" t="s">
        <v>101</v>
      </c>
      <c r="M161" s="10"/>
      <c r="N161" s="5" t="s">
        <v>643</v>
      </c>
      <c r="O161" s="9" t="s">
        <v>49</v>
      </c>
    </row>
    <row r="162" spans="1:15">
      <c r="A16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VLT-TRI-007-LIL-M</v>
      </c>
      <c r="B162" s="5" t="s">
        <v>517</v>
      </c>
      <c r="C162" s="9" t="s">
        <v>511</v>
      </c>
      <c r="D162" s="5" t="s">
        <v>512</v>
      </c>
      <c r="E162" s="5" t="s">
        <v>445</v>
      </c>
      <c r="F162" s="5" t="s">
        <v>203</v>
      </c>
      <c r="G162" s="9" t="s">
        <v>54</v>
      </c>
      <c r="H162" s="11">
        <v>339.9</v>
      </c>
      <c r="I162" s="27">
        <v>132.22</v>
      </c>
      <c r="J162" s="12">
        <f>IF(OR(tInverno26[[#This Row],[Preço (R$)]]="",tInverno26[[#This Row],[Custo (R$)]]=""),"",(tInverno26[[#This Row],[Preço (R$)]]-tInverno26[[#This Row],[Custo (R$)]])/tInverno26[[#This Row],[Preço (R$)]])</f>
        <v>0.61100323624595465</v>
      </c>
      <c r="K162" s="5" t="s">
        <v>518</v>
      </c>
      <c r="L162" s="28" t="s">
        <v>101</v>
      </c>
      <c r="M162" s="10"/>
      <c r="N162" s="5" t="s">
        <v>1765</v>
      </c>
      <c r="O162" s="9" t="s">
        <v>49</v>
      </c>
    </row>
    <row r="163" spans="1:15">
      <c r="A16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VLT-TRI-007-LIL-G</v>
      </c>
      <c r="B163" s="5" t="s">
        <v>520</v>
      </c>
      <c r="C163" s="9" t="s">
        <v>511</v>
      </c>
      <c r="D163" s="5" t="s">
        <v>512</v>
      </c>
      <c r="E163" s="5" t="s">
        <v>445</v>
      </c>
      <c r="F163" s="5" t="s">
        <v>203</v>
      </c>
      <c r="G163" s="9" t="s">
        <v>58</v>
      </c>
      <c r="H163" s="11">
        <v>339.9</v>
      </c>
      <c r="I163" s="11">
        <v>131.01</v>
      </c>
      <c r="J163" s="12">
        <f>IF(OR(tInverno26[[#This Row],[Preço (R$)]]="",tInverno26[[#This Row],[Custo (R$)]]=""),"",(tInverno26[[#This Row],[Preço (R$)]]-tInverno26[[#This Row],[Custo (R$)]])/tInverno26[[#This Row],[Preço (R$)]])</f>
        <v>0.61456310679611648</v>
      </c>
      <c r="K163" s="5" t="s">
        <v>521</v>
      </c>
      <c r="L163" s="28" t="s">
        <v>101</v>
      </c>
      <c r="M163" s="10"/>
      <c r="N163" s="5" t="s">
        <v>643</v>
      </c>
      <c r="O163" s="9" t="s">
        <v>49</v>
      </c>
    </row>
    <row r="164" spans="1:15">
      <c r="A16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VLT-TRI-007-LIL-GG</v>
      </c>
      <c r="B164" s="5" t="s">
        <v>522</v>
      </c>
      <c r="C164" s="9" t="s">
        <v>511</v>
      </c>
      <c r="D164" s="5" t="s">
        <v>512</v>
      </c>
      <c r="E164" s="5" t="s">
        <v>445</v>
      </c>
      <c r="F164" s="5" t="s">
        <v>203</v>
      </c>
      <c r="G164" s="9" t="s">
        <v>61</v>
      </c>
      <c r="H164" s="11">
        <v>339.9</v>
      </c>
      <c r="I164" s="11">
        <v>137.07</v>
      </c>
      <c r="J164" s="12">
        <f>IF(OR(tInverno26[[#This Row],[Preço (R$)]]="",tInverno26[[#This Row],[Custo (R$)]]=""),"",(tInverno26[[#This Row],[Preço (R$)]]-tInverno26[[#This Row],[Custo (R$)]])/tInverno26[[#This Row],[Preço (R$)]])</f>
        <v>0.59673433362753747</v>
      </c>
      <c r="K164" s="5" t="s">
        <v>523</v>
      </c>
      <c r="L164" s="28" t="s">
        <v>101</v>
      </c>
      <c r="M164" s="10"/>
      <c r="N164" s="5" t="s">
        <v>643</v>
      </c>
      <c r="O164" s="9" t="s">
        <v>49</v>
      </c>
    </row>
    <row r="165" spans="1:15">
      <c r="A16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VLT-VES-007-OLI-P</v>
      </c>
      <c r="B165" s="5" t="s">
        <v>543</v>
      </c>
      <c r="C165" s="9" t="s">
        <v>544</v>
      </c>
      <c r="D165" s="5" t="s">
        <v>545</v>
      </c>
      <c r="E165" s="5" t="s">
        <v>107</v>
      </c>
      <c r="F165" s="5" t="s">
        <v>180</v>
      </c>
      <c r="G165" s="9" t="s">
        <v>51</v>
      </c>
      <c r="H165" s="11">
        <v>389.9</v>
      </c>
      <c r="I165" s="27">
        <v>168.18</v>
      </c>
      <c r="J165" s="12">
        <f>IF(OR(tInverno26[[#This Row],[Preço (R$)]]="",tInverno26[[#This Row],[Custo (R$)]]=""),"",(tInverno26[[#This Row],[Preço (R$)]]-tInverno26[[#This Row],[Custo (R$)]])/tInverno26[[#This Row],[Preço (R$)]])</f>
        <v>0.56865863041805587</v>
      </c>
      <c r="K165" s="5" t="s">
        <v>546</v>
      </c>
      <c r="L165" s="28" t="s">
        <v>109</v>
      </c>
      <c r="M165" s="10"/>
      <c r="N165" s="5" t="s">
        <v>1766</v>
      </c>
      <c r="O165" s="9" t="s">
        <v>49</v>
      </c>
    </row>
    <row r="166" spans="1:15">
      <c r="A16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VLT-VES-007-OLI-M</v>
      </c>
      <c r="B166" s="5" t="s">
        <v>547</v>
      </c>
      <c r="C166" s="9" t="s">
        <v>544</v>
      </c>
      <c r="D166" s="5" t="s">
        <v>545</v>
      </c>
      <c r="E166" s="5" t="s">
        <v>107</v>
      </c>
      <c r="F166" s="5" t="s">
        <v>180</v>
      </c>
      <c r="G166" s="9" t="s">
        <v>54</v>
      </c>
      <c r="H166" s="11">
        <v>389.9</v>
      </c>
      <c r="I166" s="11">
        <v>168.18</v>
      </c>
      <c r="J166" s="12">
        <f>IF(OR(tInverno26[[#This Row],[Preço (R$)]]="",tInverno26[[#This Row],[Custo (R$)]]=""),"",(tInverno26[[#This Row],[Preço (R$)]]-tInverno26[[#This Row],[Custo (R$)]])/tInverno26[[#This Row],[Preço (R$)]])</f>
        <v>0.56865863041805587</v>
      </c>
      <c r="K166" s="5" t="s">
        <v>548</v>
      </c>
      <c r="L166" s="28" t="s">
        <v>109</v>
      </c>
      <c r="M166" s="10"/>
      <c r="N166" s="5" t="s">
        <v>470</v>
      </c>
      <c r="O166" s="9" t="s">
        <v>49</v>
      </c>
    </row>
    <row r="167" spans="1:15">
      <c r="A16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VLT-VES-007-OLI-G</v>
      </c>
      <c r="B167" s="5" t="s">
        <v>550</v>
      </c>
      <c r="C167" s="9" t="s">
        <v>544</v>
      </c>
      <c r="D167" s="5" t="s">
        <v>545</v>
      </c>
      <c r="E167" s="5" t="s">
        <v>107</v>
      </c>
      <c r="F167" s="5" t="s">
        <v>180</v>
      </c>
      <c r="G167" s="9" t="s">
        <v>58</v>
      </c>
      <c r="H167" s="11">
        <v>389.9</v>
      </c>
      <c r="I167" s="11">
        <v>166.99</v>
      </c>
      <c r="J167" s="12">
        <f>IF(OR(tInverno26[[#This Row],[Preço (R$)]]="",tInverno26[[#This Row],[Custo (R$)]]=""),"",(tInverno26[[#This Row],[Preço (R$)]]-tInverno26[[#This Row],[Custo (R$)]])/tInverno26[[#This Row],[Preço (R$)]])</f>
        <v>0.57171069505001282</v>
      </c>
      <c r="K167" s="5" t="s">
        <v>551</v>
      </c>
      <c r="L167" s="28" t="s">
        <v>109</v>
      </c>
      <c r="M167" s="10"/>
      <c r="N167" s="5" t="s">
        <v>470</v>
      </c>
      <c r="O167" s="9" t="s">
        <v>49</v>
      </c>
    </row>
    <row r="168" spans="1:15">
      <c r="A16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VLT-VES-007-OLI-GG</v>
      </c>
      <c r="B168" s="5" t="s">
        <v>553</v>
      </c>
      <c r="C168" s="9" t="s">
        <v>544</v>
      </c>
      <c r="D168" s="5" t="s">
        <v>545</v>
      </c>
      <c r="E168" s="5" t="s">
        <v>107</v>
      </c>
      <c r="F168" s="5" t="s">
        <v>180</v>
      </c>
      <c r="G168" s="9" t="s">
        <v>61</v>
      </c>
      <c r="H168" s="11">
        <v>389.9</v>
      </c>
      <c r="I168" s="27">
        <v>166.99</v>
      </c>
      <c r="J168" s="12">
        <f>IF(OR(tInverno26[[#This Row],[Preço (R$)]]="",tInverno26[[#This Row],[Custo (R$)]]=""),"",(tInverno26[[#This Row],[Preço (R$)]]-tInverno26[[#This Row],[Custo (R$)]])/tInverno26[[#This Row],[Preço (R$)]])</f>
        <v>0.57171069505001282</v>
      </c>
      <c r="K168" s="5" t="s">
        <v>554</v>
      </c>
      <c r="L168" s="28" t="s">
        <v>109</v>
      </c>
      <c r="M168" s="10"/>
      <c r="N168" s="5" t="s">
        <v>1767</v>
      </c>
      <c r="O168" s="9" t="s">
        <v>49</v>
      </c>
    </row>
    <row r="169" spans="1:15">
      <c r="A16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VLT-TRI-009-AMA-P</v>
      </c>
      <c r="B169" s="5" t="s">
        <v>592</v>
      </c>
      <c r="C169" s="9" t="s">
        <v>593</v>
      </c>
      <c r="D169" s="5" t="s">
        <v>594</v>
      </c>
      <c r="E169" s="5" t="s">
        <v>445</v>
      </c>
      <c r="F169" s="5" t="s">
        <v>99</v>
      </c>
      <c r="G169" s="9" t="s">
        <v>51</v>
      </c>
      <c r="H169" s="11">
        <v>349.9</v>
      </c>
      <c r="I169" s="11">
        <v>155.54</v>
      </c>
      <c r="J169" s="12">
        <f>IF(OR(tInverno26[[#This Row],[Preço (R$)]]="",tInverno26[[#This Row],[Custo (R$)]]=""),"",(tInverno26[[#This Row],[Preço (R$)]]-tInverno26[[#This Row],[Custo (R$)]])/tInverno26[[#This Row],[Preço (R$)]])</f>
        <v>0.55547299228350955</v>
      </c>
      <c r="K169" s="5" t="s">
        <v>595</v>
      </c>
      <c r="L169" s="28" t="s">
        <v>101</v>
      </c>
      <c r="M169" s="10"/>
      <c r="N169" s="5" t="s">
        <v>1091</v>
      </c>
      <c r="O169" s="9" t="s">
        <v>49</v>
      </c>
    </row>
    <row r="170" spans="1:15">
      <c r="A17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VLT-TRI-009-AMA-M</v>
      </c>
      <c r="B170" s="5" t="s">
        <v>597</v>
      </c>
      <c r="C170" s="9" t="s">
        <v>593</v>
      </c>
      <c r="D170" s="5" t="s">
        <v>594</v>
      </c>
      <c r="E170" s="5" t="s">
        <v>445</v>
      </c>
      <c r="F170" s="5" t="s">
        <v>99</v>
      </c>
      <c r="G170" s="9" t="s">
        <v>54</v>
      </c>
      <c r="H170" s="11">
        <v>349.9</v>
      </c>
      <c r="I170" s="11">
        <v>154.03</v>
      </c>
      <c r="J170" s="12">
        <f>IF(OR(tInverno26[[#This Row],[Preço (R$)]]="",tInverno26[[#This Row],[Custo (R$)]]=""),"",(tInverno26[[#This Row],[Preço (R$)]]-tInverno26[[#This Row],[Custo (R$)]])/tInverno26[[#This Row],[Preço (R$)]])</f>
        <v>0.55978851100314375</v>
      </c>
      <c r="K170" s="5" t="s">
        <v>598</v>
      </c>
      <c r="L170" s="28" t="s">
        <v>101</v>
      </c>
      <c r="M170" s="10"/>
      <c r="N170" s="5" t="s">
        <v>1091</v>
      </c>
      <c r="O170" s="9" t="s">
        <v>49</v>
      </c>
    </row>
    <row r="171" spans="1:15">
      <c r="A17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VLT-TRI-009-AMA-G</v>
      </c>
      <c r="B171" s="5" t="s">
        <v>600</v>
      </c>
      <c r="C171" s="9" t="s">
        <v>593</v>
      </c>
      <c r="D171" s="5" t="s">
        <v>594</v>
      </c>
      <c r="E171" s="5" t="s">
        <v>445</v>
      </c>
      <c r="F171" s="5" t="s">
        <v>99</v>
      </c>
      <c r="G171" s="9" t="s">
        <v>58</v>
      </c>
      <c r="H171" s="11">
        <v>349.9</v>
      </c>
      <c r="I171" s="11">
        <v>156.84</v>
      </c>
      <c r="J171" s="12">
        <f>IF(OR(tInverno26[[#This Row],[Preço (R$)]]="",tInverno26[[#This Row],[Custo (R$)]]=""),"",(tInverno26[[#This Row],[Preço (R$)]]-tInverno26[[#This Row],[Custo (R$)]])/tInverno26[[#This Row],[Preço (R$)]])</f>
        <v>0.55175764504144043</v>
      </c>
      <c r="K171" s="5" t="s">
        <v>601</v>
      </c>
      <c r="L171" s="28" t="s">
        <v>101</v>
      </c>
      <c r="M171" s="10"/>
      <c r="N171" s="5" t="s">
        <v>1091</v>
      </c>
      <c r="O171" s="9" t="s">
        <v>49</v>
      </c>
    </row>
    <row r="172" spans="1:15">
      <c r="A172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VLT-TRI-009-AMA-GG</v>
      </c>
      <c r="B172" s="5" t="s">
        <v>602</v>
      </c>
      <c r="C172" s="9" t="s">
        <v>593</v>
      </c>
      <c r="D172" s="5" t="s">
        <v>594</v>
      </c>
      <c r="E172" s="5" t="s">
        <v>445</v>
      </c>
      <c r="F172" s="5" t="s">
        <v>99</v>
      </c>
      <c r="G172" s="9" t="s">
        <v>61</v>
      </c>
      <c r="H172" s="11">
        <v>349.9</v>
      </c>
      <c r="I172" s="11">
        <v>157.62</v>
      </c>
      <c r="J172" s="12">
        <f>IF(OR(tInverno26[[#This Row],[Preço (R$)]]="",tInverno26[[#This Row],[Custo (R$)]]=""),"",(tInverno26[[#This Row],[Preço (R$)]]-tInverno26[[#This Row],[Custo (R$)]])/tInverno26[[#This Row],[Preço (R$)]])</f>
        <v>0.54952843669619889</v>
      </c>
      <c r="K172" s="5" t="s">
        <v>603</v>
      </c>
      <c r="L172" s="28" t="s">
        <v>101</v>
      </c>
      <c r="M172" s="10"/>
      <c r="N172" s="5" t="s">
        <v>1091</v>
      </c>
      <c r="O172" s="9" t="s">
        <v>49</v>
      </c>
    </row>
    <row r="173" spans="1:15">
      <c r="A173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VLT-MOL-012-OFF-XP</v>
      </c>
      <c r="B173" s="5" t="s">
        <v>605</v>
      </c>
      <c r="C173" s="9" t="s">
        <v>606</v>
      </c>
      <c r="D173" s="5" t="s">
        <v>607</v>
      </c>
      <c r="E173" s="5" t="s">
        <v>98</v>
      </c>
      <c r="F173" s="5" t="s">
        <v>117</v>
      </c>
      <c r="G173" s="9" t="s">
        <v>45</v>
      </c>
      <c r="H173" s="11">
        <v>339.9</v>
      </c>
      <c r="I173" s="11">
        <v>150.78</v>
      </c>
      <c r="J173" s="12">
        <f>IF(OR(tInverno26[[#This Row],[Preço (R$)]]="",tInverno26[[#This Row],[Custo (R$)]]=""),"",(tInverno26[[#This Row],[Preço (R$)]]-tInverno26[[#This Row],[Custo (R$)]])/tInverno26[[#This Row],[Preço (R$)]])</f>
        <v>0.55639894086496022</v>
      </c>
      <c r="K173" s="5" t="s">
        <v>608</v>
      </c>
      <c r="L173" s="28" t="s">
        <v>101</v>
      </c>
      <c r="M173" s="10"/>
      <c r="N173" s="5" t="s">
        <v>1154</v>
      </c>
      <c r="O173" s="9" t="s">
        <v>49</v>
      </c>
    </row>
    <row r="174" spans="1:15">
      <c r="A174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VLT-MOL-012-OFF-P</v>
      </c>
      <c r="B174" s="5" t="s">
        <v>610</v>
      </c>
      <c r="C174" s="9" t="s">
        <v>606</v>
      </c>
      <c r="D174" s="5" t="s">
        <v>607</v>
      </c>
      <c r="E174" s="5" t="s">
        <v>98</v>
      </c>
      <c r="F174" s="5" t="s">
        <v>117</v>
      </c>
      <c r="G174" s="9" t="s">
        <v>51</v>
      </c>
      <c r="H174" s="11">
        <v>339.9</v>
      </c>
      <c r="I174" s="11">
        <v>149.19</v>
      </c>
      <c r="J174" s="12">
        <f>IF(OR(tInverno26[[#This Row],[Preço (R$)]]="",tInverno26[[#This Row],[Custo (R$)]]=""),"",(tInverno26[[#This Row],[Preço (R$)]]-tInverno26[[#This Row],[Custo (R$)]])/tInverno26[[#This Row],[Preço (R$)]])</f>
        <v>0.56107678729037946</v>
      </c>
      <c r="K174" s="5" t="s">
        <v>611</v>
      </c>
      <c r="L174" s="28" t="s">
        <v>101</v>
      </c>
      <c r="M174" s="10"/>
      <c r="N174" s="5" t="s">
        <v>1154</v>
      </c>
      <c r="O174" s="9" t="s">
        <v>49</v>
      </c>
    </row>
    <row r="175" spans="1:15">
      <c r="A175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VLT-MOL-012-OFF-M</v>
      </c>
      <c r="B175" s="5" t="s">
        <v>612</v>
      </c>
      <c r="C175" s="9" t="s">
        <v>606</v>
      </c>
      <c r="D175" s="5" t="s">
        <v>607</v>
      </c>
      <c r="E175" s="5" t="s">
        <v>98</v>
      </c>
      <c r="F175" s="5" t="s">
        <v>117</v>
      </c>
      <c r="G175" s="9" t="s">
        <v>54</v>
      </c>
      <c r="H175" s="11">
        <v>339.9</v>
      </c>
      <c r="I175" s="27">
        <v>149.19</v>
      </c>
      <c r="J175" s="12">
        <f>IF(OR(tInverno26[[#This Row],[Preço (R$)]]="",tInverno26[[#This Row],[Custo (R$)]]=""),"",(tInverno26[[#This Row],[Preço (R$)]]-tInverno26[[#This Row],[Custo (R$)]])/tInverno26[[#This Row],[Preço (R$)]])</f>
        <v>0.56107678729037946</v>
      </c>
      <c r="K175" s="5" t="s">
        <v>613</v>
      </c>
      <c r="L175" s="28" t="s">
        <v>101</v>
      </c>
      <c r="M175" s="10"/>
      <c r="N175" s="5" t="s">
        <v>1768</v>
      </c>
      <c r="O175" s="9" t="s">
        <v>49</v>
      </c>
    </row>
    <row r="176" spans="1:15">
      <c r="A176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VLT-MOL-012-OFF-G</v>
      </c>
      <c r="B176" s="5" t="s">
        <v>614</v>
      </c>
      <c r="C176" s="9" t="s">
        <v>606</v>
      </c>
      <c r="D176" s="5" t="s">
        <v>607</v>
      </c>
      <c r="E176" s="5" t="s">
        <v>98</v>
      </c>
      <c r="F176" s="5" t="s">
        <v>117</v>
      </c>
      <c r="G176" s="9" t="s">
        <v>58</v>
      </c>
      <c r="H176" s="11">
        <v>339.9</v>
      </c>
      <c r="I176" s="11">
        <v>148.76</v>
      </c>
      <c r="J176" s="12">
        <f>IF(OR(tInverno26[[#This Row],[Preço (R$)]]="",tInverno26[[#This Row],[Custo (R$)]]=""),"",(tInverno26[[#This Row],[Preço (R$)]]-tInverno26[[#This Row],[Custo (R$)]])/tInverno26[[#This Row],[Preço (R$)]])</f>
        <v>0.56234186525448659</v>
      </c>
      <c r="K176" s="5" t="s">
        <v>615</v>
      </c>
      <c r="L176" s="28" t="s">
        <v>101</v>
      </c>
      <c r="M176" s="10"/>
      <c r="N176" s="5" t="s">
        <v>1154</v>
      </c>
      <c r="O176" s="9" t="s">
        <v>49</v>
      </c>
    </row>
    <row r="177" spans="1:15">
      <c r="A177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VLT-MOL-012-OFF-GG</v>
      </c>
      <c r="B177" s="5" t="s">
        <v>616</v>
      </c>
      <c r="C177" s="9" t="s">
        <v>606</v>
      </c>
      <c r="D177" s="5" t="s">
        <v>607</v>
      </c>
      <c r="E177" s="5" t="s">
        <v>98</v>
      </c>
      <c r="F177" s="5" t="s">
        <v>117</v>
      </c>
      <c r="G177" s="9" t="s">
        <v>61</v>
      </c>
      <c r="H177" s="11">
        <v>339.9</v>
      </c>
      <c r="I177" s="11">
        <v>152.32</v>
      </c>
      <c r="J177" s="12">
        <f>IF(OR(tInverno26[[#This Row],[Preço (R$)]]="",tInverno26[[#This Row],[Custo (R$)]]=""),"",(tInverno26[[#This Row],[Preço (R$)]]-tInverno26[[#This Row],[Custo (R$)]])/tInverno26[[#This Row],[Preço (R$)]])</f>
        <v>0.5518681965283907</v>
      </c>
      <c r="K177" s="5" t="s">
        <v>617</v>
      </c>
      <c r="L177" s="28" t="s">
        <v>101</v>
      </c>
      <c r="M177" s="10"/>
      <c r="N177" s="5" t="s">
        <v>1154</v>
      </c>
      <c r="O177" s="9" t="s">
        <v>49</v>
      </c>
    </row>
    <row r="178" spans="1:15">
      <c r="A178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VLT-JAQ-005-AMA-P</v>
      </c>
      <c r="B178" s="5" t="s">
        <v>677</v>
      </c>
      <c r="C178" s="9" t="s">
        <v>678</v>
      </c>
      <c r="D178" s="5" t="s">
        <v>679</v>
      </c>
      <c r="E178" s="5" t="s">
        <v>392</v>
      </c>
      <c r="F178" s="5" t="s">
        <v>99</v>
      </c>
      <c r="G178" s="9" t="s">
        <v>51</v>
      </c>
      <c r="H178" s="11">
        <v>369.9</v>
      </c>
      <c r="I178" s="11">
        <v>156.49</v>
      </c>
      <c r="J178" s="12">
        <f>IF(OR(tInverno26[[#This Row],[Preço (R$)]]="",tInverno26[[#This Row],[Custo (R$)]]=""),"",(tInverno26[[#This Row],[Preço (R$)]]-tInverno26[[#This Row],[Custo (R$)]])/tInverno26[[#This Row],[Preço (R$)]])</f>
        <v>0.57693971343606376</v>
      </c>
      <c r="K178" s="5" t="s">
        <v>680</v>
      </c>
      <c r="L178" s="28" t="s">
        <v>109</v>
      </c>
      <c r="M178" s="10"/>
      <c r="N178" s="5" t="s">
        <v>1769</v>
      </c>
      <c r="O178" s="9" t="s">
        <v>49</v>
      </c>
    </row>
    <row r="179" spans="1:15">
      <c r="A179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VLT-JAQ-005-AMA-M</v>
      </c>
      <c r="B179" s="5" t="s">
        <v>682</v>
      </c>
      <c r="C179" s="9" t="s">
        <v>678</v>
      </c>
      <c r="D179" s="5" t="s">
        <v>679</v>
      </c>
      <c r="E179" s="5" t="s">
        <v>392</v>
      </c>
      <c r="F179" s="5" t="s">
        <v>99</v>
      </c>
      <c r="G179" s="9" t="s">
        <v>54</v>
      </c>
      <c r="H179" s="11">
        <v>369.9</v>
      </c>
      <c r="I179" s="27">
        <v>156.49</v>
      </c>
      <c r="J179" s="12">
        <f>IF(OR(tInverno26[[#This Row],[Preço (R$)]]="",tInverno26[[#This Row],[Custo (R$)]]=""),"",(tInverno26[[#This Row],[Preço (R$)]]-tInverno26[[#This Row],[Custo (R$)]])/tInverno26[[#This Row],[Preço (R$)]])</f>
        <v>0.57693971343606376</v>
      </c>
      <c r="K179" s="5" t="s">
        <v>683</v>
      </c>
      <c r="L179" s="28" t="s">
        <v>109</v>
      </c>
      <c r="M179" s="10"/>
      <c r="N179" s="5" t="s">
        <v>1770</v>
      </c>
      <c r="O179" s="9" t="s">
        <v>49</v>
      </c>
    </row>
    <row r="180" spans="1:15">
      <c r="A180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VLT-JAQ-005-AMA-G</v>
      </c>
      <c r="B180" s="5" t="s">
        <v>685</v>
      </c>
      <c r="C180" s="9" t="s">
        <v>678</v>
      </c>
      <c r="D180" s="5" t="s">
        <v>679</v>
      </c>
      <c r="E180" s="5" t="s">
        <v>392</v>
      </c>
      <c r="F180" s="5" t="s">
        <v>99</v>
      </c>
      <c r="G180" s="9" t="s">
        <v>58</v>
      </c>
      <c r="H180" s="11">
        <v>369.9</v>
      </c>
      <c r="I180" s="11">
        <v>157.18</v>
      </c>
      <c r="J180" s="12">
        <f>IF(OR(tInverno26[[#This Row],[Preço (R$)]]="",tInverno26[[#This Row],[Custo (R$)]]=""),"",(tInverno26[[#This Row],[Preço (R$)]]-tInverno26[[#This Row],[Custo (R$)]])/tInverno26[[#This Row],[Preço (R$)]])</f>
        <v>0.57507434441741012</v>
      </c>
      <c r="K180" s="5" t="s">
        <v>686</v>
      </c>
      <c r="L180" s="28" t="s">
        <v>109</v>
      </c>
      <c r="M180" s="10"/>
      <c r="N180" s="5" t="s">
        <v>1769</v>
      </c>
      <c r="O180" s="9" t="s">
        <v>49</v>
      </c>
    </row>
    <row r="181" spans="1:15">
      <c r="A181" t="str">
        <f>IF(tInverno26[[#This Row],[Modelo]]="","","VLT-"&amp;tInverno26[[#This Row],[Modelo]]&amp;"-"&amp;IFERROR(INDEX(tCores[Sigla],MATCH(tInverno26[[#This Row],[Cor]],tCores[Cor],0)),"???")&amp;"-"&amp;IFERROR(INDEX(tTamanhos[Sigla],MATCH(tInverno26[[#This Row],[Tamanho]],tTamanhos[Tamanho],0)),IF(ISNUMBER(SEARCH("/",tInverno26[[#This Row],[Tamanho]])),"GRADE",tInverno26[[#This Row],[Tamanho]])))</f>
        <v>VLT-JAQ-005-AMA-GG</v>
      </c>
      <c r="B181" s="5" t="s">
        <v>688</v>
      </c>
      <c r="C181" s="9" t="s">
        <v>678</v>
      </c>
      <c r="D181" s="5" t="s">
        <v>679</v>
      </c>
      <c r="E181" s="5" t="s">
        <v>392</v>
      </c>
      <c r="F181" s="5" t="s">
        <v>99</v>
      </c>
      <c r="G181" s="9" t="s">
        <v>61</v>
      </c>
      <c r="H181" s="11">
        <v>369.9</v>
      </c>
      <c r="I181" s="11">
        <v>159.66999999999999</v>
      </c>
      <c r="J181" s="12">
        <f>IF(OR(tInverno26[[#This Row],[Preço (R$)]]="",tInverno26[[#This Row],[Custo (R$)]]=""),"",(tInverno26[[#This Row],[Preço (R$)]]-tInverno26[[#This Row],[Custo (R$)]])/tInverno26[[#This Row],[Preço (R$)]])</f>
        <v>0.56834279535009458</v>
      </c>
      <c r="K181" s="5" t="s">
        <v>689</v>
      </c>
      <c r="L181" s="28" t="s">
        <v>109</v>
      </c>
      <c r="M181" s="10"/>
      <c r="N181" s="5" t="s">
        <v>1769</v>
      </c>
      <c r="O181" s="9" t="s">
        <v>49</v>
      </c>
    </row>
  </sheetData>
  <conditionalFormatting sqref="A5:O181">
    <cfRule type="expression" dxfId="51" priority="1">
      <formula>$O5="Descontinuado"</formula>
    </cfRule>
  </conditionalFormatting>
  <conditionalFormatting sqref="A5:O181">
    <cfRule type="expression" dxfId="50" priority="2">
      <formula>$O5="Revisar preço"</formula>
    </cfRule>
  </conditionalFormatting>
  <conditionalFormatting sqref="I5:I181">
    <cfRule type="expression" dxfId="49" priority="3">
      <formula>AND($I5="",$O5&lt;&gt;"Descontinuado")</formula>
    </cfRule>
  </conditionalFormatting>
  <conditionalFormatting sqref="K5:K181">
    <cfRule type="expression" dxfId="48" priority="4">
      <formula>AND($K5&lt;&gt;"",COUNTIF($K$5:$K$181,$K5)&gt;1)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357E9F30-634B-004D-859C-152574F7630E}">
            <xm:f>AND(ISNUMBER($J5),$J5&lt;Listas!$L$4,$O5&lt;&gt;"Descontinuado")</xm:f>
            <x14:dxf>
              <font>
                <b/>
                <i val="0"/>
                <color rgb="FFC00000"/>
              </font>
            </x14:dxf>
          </x14:cfRule>
          <xm:sqref>J5:J181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fora da lista" error="Use um valor da aba Listas." xr:uid="{39C2FE94-05CC-9B43-A08C-193728D56A20}">
          <x14:formula1>
            <xm:f>Listas!$D$4:$D$14</xm:f>
          </x14:formula1>
          <xm:sqref>E5:E181</xm:sqref>
        </x14:dataValidation>
        <x14:dataValidation type="list" allowBlank="1" showInputMessage="1" showErrorMessage="1" errorTitle="Valor fora da lista" error="Use um valor da aba Listas." xr:uid="{89070898-0C12-094E-BAE0-1E7F64CF1C2D}">
          <x14:formula1>
            <xm:f>Listas!$A$4:$A$16</xm:f>
          </x14:formula1>
          <xm:sqref>F5:F181</xm:sqref>
        </x14:dataValidation>
        <x14:dataValidation type="list" errorStyle="warning" allowBlank="1" showInputMessage="1" showErrorMessage="1" errorTitle="Valor fora da lista" error="Use XP, P, M, G, GG, XG ou Único." xr:uid="{3BDE3872-7A80-BE44-939C-B7CA56D744EB}">
          <x14:formula1>
            <xm:f>Listas!$G$4:$G$10</xm:f>
          </x14:formula1>
          <xm:sqref>G5:G181</xm:sqref>
        </x14:dataValidation>
        <x14:dataValidation type="list" allowBlank="1" showInputMessage="1" showErrorMessage="1" errorTitle="Valor fora da lista" error="Use um valor da aba Listas." xr:uid="{B1EF5C52-1C78-3344-B026-B8F18520BF05}">
          <x14:formula1>
            <xm:f>Listas!$J$4:$J$6</xm:f>
          </x14:formula1>
          <xm:sqref>O5:O181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7"/>
  <sheetViews>
    <sheetView workbookViewId="0">
      <pane ySplit="4" topLeftCell="A5" activePane="bottomLeft" state="frozen"/>
      <selection pane="bottomLeft"/>
    </sheetView>
  </sheetViews>
  <sheetFormatPr defaultColWidth="8.85546875" defaultRowHeight="15"/>
  <cols>
    <col min="1" max="1" width="25" customWidth="1"/>
    <col min="2" max="2" width="15" customWidth="1"/>
    <col min="3" max="3" width="10" customWidth="1"/>
    <col min="4" max="4" width="35" customWidth="1"/>
    <col min="5" max="5" width="19.140625" customWidth="1"/>
    <col min="6" max="6" width="15" customWidth="1"/>
    <col min="7" max="7" width="12.42578125" customWidth="1"/>
    <col min="8" max="9" width="13.28515625" customWidth="1"/>
    <col min="10" max="10" width="11.7109375" customWidth="1"/>
    <col min="11" max="11" width="20" customWidth="1"/>
    <col min="12" max="12" width="13.28515625" customWidth="1"/>
    <col min="13" max="13" width="25" customWidth="1"/>
    <col min="14" max="14" width="16.7109375" customWidth="1"/>
  </cols>
  <sheetData>
    <row r="1" spans="1:15" ht="21">
      <c r="A1" s="34" t="s">
        <v>1771</v>
      </c>
    </row>
    <row r="2" spans="1:15">
      <c r="A2" s="7" t="s">
        <v>27</v>
      </c>
    </row>
    <row r="3" spans="1:15">
      <c r="A3" s="8" t="s">
        <v>1772</v>
      </c>
    </row>
    <row r="4" spans="1:15" ht="30" customHeight="1">
      <c r="A4" s="32" t="s">
        <v>28</v>
      </c>
      <c r="B4" s="32" t="s">
        <v>29</v>
      </c>
      <c r="C4" s="32" t="s">
        <v>30</v>
      </c>
      <c r="D4" s="32" t="s">
        <v>12</v>
      </c>
      <c r="E4" s="32" t="s">
        <v>31</v>
      </c>
      <c r="F4" s="32" t="s">
        <v>32</v>
      </c>
      <c r="G4" s="32" t="s">
        <v>33</v>
      </c>
      <c r="H4" s="32" t="s">
        <v>17</v>
      </c>
      <c r="I4" s="32" t="s">
        <v>34</v>
      </c>
      <c r="J4" s="32" t="s">
        <v>35</v>
      </c>
      <c r="K4" s="32" t="s">
        <v>36</v>
      </c>
      <c r="L4" s="32" t="s">
        <v>37</v>
      </c>
      <c r="M4" s="32" t="s">
        <v>38</v>
      </c>
      <c r="N4" s="32" t="s">
        <v>39</v>
      </c>
      <c r="O4" s="32" t="s">
        <v>18</v>
      </c>
    </row>
    <row r="5" spans="1:15">
      <c r="A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VLT-BER-001-BRA-P</v>
      </c>
      <c r="B5" s="28" t="s">
        <v>1773</v>
      </c>
      <c r="C5" s="9" t="s">
        <v>1774</v>
      </c>
      <c r="D5" s="5" t="s">
        <v>1775</v>
      </c>
      <c r="E5" s="5" t="s">
        <v>43</v>
      </c>
      <c r="F5" s="5" t="s">
        <v>77</v>
      </c>
      <c r="G5" s="9" t="s">
        <v>51</v>
      </c>
      <c r="H5" s="11">
        <v>189.9</v>
      </c>
      <c r="I5" s="11">
        <v>71.959999999999994</v>
      </c>
      <c r="J5" s="12">
        <f>IF(OR(tAtemporais[[#This Row],[Preço (R$)]]="",tAtemporais[[#This Row],[Custo (R$)]]=""),"",(tAtemporais[[#This Row],[Preço (R$)]]-tAtemporais[[#This Row],[Custo (R$)]])/tAtemporais[[#This Row],[Preço (R$)]])</f>
        <v>0.6210637177461823</v>
      </c>
      <c r="K5" s="5" t="s">
        <v>1776</v>
      </c>
      <c r="L5" s="28" t="s">
        <v>109</v>
      </c>
      <c r="M5" s="10"/>
      <c r="N5" s="5" t="s">
        <v>531</v>
      </c>
      <c r="O5" s="9" t="s">
        <v>49</v>
      </c>
    </row>
    <row r="6" spans="1:15">
      <c r="A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VLT-BER-001-BRA-M</v>
      </c>
      <c r="B6" s="5" t="s">
        <v>1777</v>
      </c>
      <c r="C6" s="9" t="s">
        <v>1774</v>
      </c>
      <c r="D6" s="5" t="s">
        <v>1775</v>
      </c>
      <c r="E6" s="5" t="s">
        <v>43</v>
      </c>
      <c r="F6" s="5" t="s">
        <v>77</v>
      </c>
      <c r="G6" s="9" t="s">
        <v>54</v>
      </c>
      <c r="H6" s="11">
        <v>189.9</v>
      </c>
      <c r="I6" s="11">
        <v>71.959999999999994</v>
      </c>
      <c r="J6" s="12">
        <f>IF(OR(tAtemporais[[#This Row],[Preço (R$)]]="",tAtemporais[[#This Row],[Custo (R$)]]=""),"",(tAtemporais[[#This Row],[Preço (R$)]]-tAtemporais[[#This Row],[Custo (R$)]])/tAtemporais[[#This Row],[Preço (R$)]])</f>
        <v>0.6210637177461823</v>
      </c>
      <c r="K6" s="5" t="s">
        <v>1778</v>
      </c>
      <c r="L6" s="28" t="s">
        <v>109</v>
      </c>
      <c r="M6" s="10"/>
      <c r="N6" s="5" t="s">
        <v>1022</v>
      </c>
      <c r="O6" s="9" t="s">
        <v>49</v>
      </c>
    </row>
    <row r="7" spans="1:15">
      <c r="A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VLT-BER-001-BRA-G</v>
      </c>
      <c r="B7" s="5" t="s">
        <v>1779</v>
      </c>
      <c r="C7" s="9" t="s">
        <v>1774</v>
      </c>
      <c r="D7" s="5" t="s">
        <v>1775</v>
      </c>
      <c r="E7" s="5" t="s">
        <v>43</v>
      </c>
      <c r="F7" s="5" t="s">
        <v>77</v>
      </c>
      <c r="G7" s="9" t="s">
        <v>58</v>
      </c>
      <c r="H7" s="11">
        <v>189.9</v>
      </c>
      <c r="I7" s="11">
        <v>71.959999999999994</v>
      </c>
      <c r="J7" s="12">
        <f>IF(OR(tAtemporais[[#This Row],[Preço (R$)]]="",tAtemporais[[#This Row],[Custo (R$)]]=""),"",(tAtemporais[[#This Row],[Preço (R$)]]-tAtemporais[[#This Row],[Custo (R$)]])/tAtemporais[[#This Row],[Preço (R$)]])</f>
        <v>0.6210637177461823</v>
      </c>
      <c r="K7" s="5" t="s">
        <v>1780</v>
      </c>
      <c r="L7" s="28" t="s">
        <v>109</v>
      </c>
      <c r="M7" s="10"/>
      <c r="N7" s="5" t="s">
        <v>1022</v>
      </c>
      <c r="O7" s="9" t="s">
        <v>49</v>
      </c>
    </row>
    <row r="8" spans="1:15">
      <c r="A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VLT-BER-001-BRA-GG</v>
      </c>
      <c r="B8" s="28" t="s">
        <v>1781</v>
      </c>
      <c r="C8" s="9" t="s">
        <v>1774</v>
      </c>
      <c r="D8" s="5" t="s">
        <v>1775</v>
      </c>
      <c r="E8" s="5" t="s">
        <v>43</v>
      </c>
      <c r="F8" s="5" t="s">
        <v>77</v>
      </c>
      <c r="G8" s="9" t="s">
        <v>61</v>
      </c>
      <c r="H8" s="11">
        <v>189.9</v>
      </c>
      <c r="I8" s="27">
        <v>71.959999999999994</v>
      </c>
      <c r="J8" s="12">
        <f>IF(OR(tAtemporais[[#This Row],[Preço (R$)]]="",tAtemporais[[#This Row],[Custo (R$)]]=""),"",(tAtemporais[[#This Row],[Preço (R$)]]-tAtemporais[[#This Row],[Custo (R$)]])/tAtemporais[[#This Row],[Preço (R$)]])</f>
        <v>0.6210637177461823</v>
      </c>
      <c r="K8" s="5" t="s">
        <v>1782</v>
      </c>
      <c r="L8" s="28" t="s">
        <v>109</v>
      </c>
      <c r="M8" s="10"/>
      <c r="N8" s="5" t="s">
        <v>1783</v>
      </c>
      <c r="O8" s="9" t="s">
        <v>49</v>
      </c>
    </row>
    <row r="9" spans="1:15">
      <c r="A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VLT-CAL-003-PRE-P</v>
      </c>
      <c r="B9" s="28" t="s">
        <v>1784</v>
      </c>
      <c r="C9" s="9" t="s">
        <v>1785</v>
      </c>
      <c r="D9" s="5" t="s">
        <v>1786</v>
      </c>
      <c r="E9" s="5" t="s">
        <v>86</v>
      </c>
      <c r="F9" s="5" t="s">
        <v>251</v>
      </c>
      <c r="G9" s="9" t="s">
        <v>51</v>
      </c>
      <c r="H9" s="11">
        <v>319.89999999999998</v>
      </c>
      <c r="I9" s="11">
        <v>139.01</v>
      </c>
      <c r="J9" s="12">
        <f>IF(OR(tAtemporais[[#This Row],[Preço (R$)]]="",tAtemporais[[#This Row],[Custo (R$)]]=""),"",(tAtemporais[[#This Row],[Preço (R$)]]-tAtemporais[[#This Row],[Custo (R$)]])/tAtemporais[[#This Row],[Preço (R$)]])</f>
        <v>0.56545795561112844</v>
      </c>
      <c r="K9" s="5" t="s">
        <v>1787</v>
      </c>
      <c r="L9" s="28" t="s">
        <v>47</v>
      </c>
      <c r="M9" s="10"/>
      <c r="N9" s="5" t="s">
        <v>1788</v>
      </c>
      <c r="O9" s="9" t="s">
        <v>49</v>
      </c>
    </row>
    <row r="10" spans="1:15">
      <c r="A1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VLT-CAL-003-PRE-M</v>
      </c>
      <c r="B10" s="28" t="s">
        <v>1789</v>
      </c>
      <c r="C10" s="9" t="s">
        <v>1785</v>
      </c>
      <c r="D10" s="5" t="s">
        <v>1786</v>
      </c>
      <c r="E10" s="5" t="s">
        <v>86</v>
      </c>
      <c r="F10" s="5" t="s">
        <v>251</v>
      </c>
      <c r="G10" s="9" t="s">
        <v>54</v>
      </c>
      <c r="H10" s="11">
        <v>319.89999999999998</v>
      </c>
      <c r="I10" s="11">
        <v>139.01</v>
      </c>
      <c r="J10" s="12">
        <f>IF(OR(tAtemporais[[#This Row],[Preço (R$)]]="",tAtemporais[[#This Row],[Custo (R$)]]=""),"",(tAtemporais[[#This Row],[Preço (R$)]]-tAtemporais[[#This Row],[Custo (R$)]])/tAtemporais[[#This Row],[Preço (R$)]])</f>
        <v>0.56545795561112844</v>
      </c>
      <c r="K10" s="5" t="s">
        <v>1790</v>
      </c>
      <c r="L10" s="28" t="s">
        <v>47</v>
      </c>
      <c r="M10" s="10"/>
      <c r="N10" s="5" t="s">
        <v>376</v>
      </c>
      <c r="O10" s="9" t="s">
        <v>49</v>
      </c>
    </row>
    <row r="11" spans="1:15">
      <c r="A1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VLT-CAL-003-PRE-G</v>
      </c>
      <c r="B11" s="28" t="s">
        <v>1791</v>
      </c>
      <c r="C11" s="9" t="s">
        <v>1785</v>
      </c>
      <c r="D11" s="5" t="s">
        <v>1786</v>
      </c>
      <c r="E11" s="5" t="s">
        <v>86</v>
      </c>
      <c r="F11" s="5" t="s">
        <v>251</v>
      </c>
      <c r="G11" s="9" t="s">
        <v>58</v>
      </c>
      <c r="H11" s="11">
        <v>319.89999999999998</v>
      </c>
      <c r="I11" s="27">
        <v>139.01</v>
      </c>
      <c r="J11" s="12">
        <f>IF(OR(tAtemporais[[#This Row],[Preço (R$)]]="",tAtemporais[[#This Row],[Custo (R$)]]=""),"",(tAtemporais[[#This Row],[Preço (R$)]]-tAtemporais[[#This Row],[Custo (R$)]])/tAtemporais[[#This Row],[Preço (R$)]])</f>
        <v>0.56545795561112844</v>
      </c>
      <c r="K11" s="5" t="s">
        <v>1792</v>
      </c>
      <c r="L11" s="28" t="s">
        <v>47</v>
      </c>
      <c r="M11" s="10"/>
      <c r="N11" s="5" t="s">
        <v>1793</v>
      </c>
      <c r="O11" s="9" t="s">
        <v>49</v>
      </c>
    </row>
    <row r="12" spans="1:15">
      <c r="A1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VLT-CAL-003-PRE-GG</v>
      </c>
      <c r="B12" s="28" t="s">
        <v>1794</v>
      </c>
      <c r="C12" s="9" t="s">
        <v>1785</v>
      </c>
      <c r="D12" s="5" t="s">
        <v>1786</v>
      </c>
      <c r="E12" s="5" t="s">
        <v>86</v>
      </c>
      <c r="F12" s="5" t="s">
        <v>251</v>
      </c>
      <c r="G12" s="9" t="s">
        <v>61</v>
      </c>
      <c r="H12" s="11">
        <v>319.89999999999998</v>
      </c>
      <c r="I12" s="27">
        <v>139.01</v>
      </c>
      <c r="J12" s="12">
        <f>IF(OR(tAtemporais[[#This Row],[Preço (R$)]]="",tAtemporais[[#This Row],[Custo (R$)]]=""),"",(tAtemporais[[#This Row],[Preço (R$)]]-tAtemporais[[#This Row],[Custo (R$)]])/tAtemporais[[#This Row],[Preço (R$)]])</f>
        <v>0.56545795561112844</v>
      </c>
      <c r="K12" s="5" t="s">
        <v>1795</v>
      </c>
      <c r="L12" s="28" t="s">
        <v>47</v>
      </c>
      <c r="M12" s="10"/>
      <c r="N12" s="5" t="s">
        <v>1793</v>
      </c>
      <c r="O12" s="9" t="s">
        <v>49</v>
      </c>
    </row>
    <row r="13" spans="1:15">
      <c r="A1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VLT-CAL-004-CIN-XP</v>
      </c>
      <c r="B13" s="5" t="s">
        <v>1248</v>
      </c>
      <c r="C13" s="9" t="s">
        <v>1249</v>
      </c>
      <c r="D13" s="5" t="s">
        <v>1250</v>
      </c>
      <c r="E13" s="5" t="s">
        <v>86</v>
      </c>
      <c r="F13" s="5" t="s">
        <v>164</v>
      </c>
      <c r="G13" s="9" t="s">
        <v>45</v>
      </c>
      <c r="H13" s="11">
        <v>189.9</v>
      </c>
      <c r="I13" s="27">
        <v>68.77</v>
      </c>
      <c r="J13" s="12">
        <f>IF(OR(tAtemporais[[#This Row],[Preço (R$)]]="",tAtemporais[[#This Row],[Custo (R$)]]=""),"",(tAtemporais[[#This Row],[Preço (R$)]]-tAtemporais[[#This Row],[Custo (R$)]])/tAtemporais[[#This Row],[Preço (R$)]])</f>
        <v>0.63786203264876251</v>
      </c>
      <c r="K13" s="5" t="s">
        <v>1251</v>
      </c>
      <c r="L13" s="28" t="s">
        <v>47</v>
      </c>
      <c r="M13" s="10"/>
      <c r="N13" s="5" t="s">
        <v>1796</v>
      </c>
      <c r="O13" s="9" t="s">
        <v>49</v>
      </c>
    </row>
    <row r="14" spans="1:15">
      <c r="A1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VLT-CAL-004-CIN-P</v>
      </c>
      <c r="B14" s="5" t="s">
        <v>1252</v>
      </c>
      <c r="C14" s="9" t="s">
        <v>1249</v>
      </c>
      <c r="D14" s="5" t="s">
        <v>1250</v>
      </c>
      <c r="E14" s="5" t="s">
        <v>86</v>
      </c>
      <c r="F14" s="5" t="s">
        <v>164</v>
      </c>
      <c r="G14" s="9" t="s">
        <v>51</v>
      </c>
      <c r="H14" s="11">
        <v>189.9</v>
      </c>
      <c r="I14" s="27">
        <v>68.77</v>
      </c>
      <c r="J14" s="12">
        <f>IF(OR(tAtemporais[[#This Row],[Preço (R$)]]="",tAtemporais[[#This Row],[Custo (R$)]]=""),"",(tAtemporais[[#This Row],[Preço (R$)]]-tAtemporais[[#This Row],[Custo (R$)]])/tAtemporais[[#This Row],[Preço (R$)]])</f>
        <v>0.63786203264876251</v>
      </c>
      <c r="K14" s="5" t="s">
        <v>1253</v>
      </c>
      <c r="L14" s="28" t="s">
        <v>47</v>
      </c>
      <c r="M14" s="10"/>
      <c r="N14" s="5" t="s">
        <v>1797</v>
      </c>
      <c r="O14" s="9" t="s">
        <v>49</v>
      </c>
    </row>
    <row r="15" spans="1:15">
      <c r="A1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VLT-CAL-004-CIN-M</v>
      </c>
      <c r="B15" s="5" t="s">
        <v>1254</v>
      </c>
      <c r="C15" s="9" t="s">
        <v>1249</v>
      </c>
      <c r="D15" s="5" t="s">
        <v>1250</v>
      </c>
      <c r="E15" s="5" t="s">
        <v>86</v>
      </c>
      <c r="F15" s="5" t="s">
        <v>164</v>
      </c>
      <c r="G15" s="9" t="s">
        <v>54</v>
      </c>
      <c r="H15" s="11">
        <v>189.9</v>
      </c>
      <c r="I15" s="11">
        <v>68.77</v>
      </c>
      <c r="J15" s="12">
        <f>IF(OR(tAtemporais[[#This Row],[Preço (R$)]]="",tAtemporais[[#This Row],[Custo (R$)]]=""),"",(tAtemporais[[#This Row],[Preço (R$)]]-tAtemporais[[#This Row],[Custo (R$)]])/tAtemporais[[#This Row],[Preço (R$)]])</f>
        <v>0.63786203264876251</v>
      </c>
      <c r="K15" s="5" t="s">
        <v>1255</v>
      </c>
      <c r="L15" s="28" t="s">
        <v>47</v>
      </c>
      <c r="M15" s="10"/>
      <c r="N15" s="5" t="s">
        <v>1798</v>
      </c>
      <c r="O15" s="9" t="s">
        <v>49</v>
      </c>
    </row>
    <row r="16" spans="1:15">
      <c r="A1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VLT-CAL-004-CIN-G</v>
      </c>
      <c r="B16" s="5" t="s">
        <v>1256</v>
      </c>
      <c r="C16" s="9" t="s">
        <v>1249</v>
      </c>
      <c r="D16" s="5" t="s">
        <v>1250</v>
      </c>
      <c r="E16" s="5" t="s">
        <v>86</v>
      </c>
      <c r="F16" s="5" t="s">
        <v>164</v>
      </c>
      <c r="G16" s="9" t="s">
        <v>58</v>
      </c>
      <c r="H16" s="11">
        <v>189.9</v>
      </c>
      <c r="I16" s="11">
        <v>68.77</v>
      </c>
      <c r="J16" s="12">
        <f>IF(OR(tAtemporais[[#This Row],[Preço (R$)]]="",tAtemporais[[#This Row],[Custo (R$)]]=""),"",(tAtemporais[[#This Row],[Preço (R$)]]-tAtemporais[[#This Row],[Custo (R$)]])/tAtemporais[[#This Row],[Preço (R$)]])</f>
        <v>0.63786203264876251</v>
      </c>
      <c r="K16" s="5" t="s">
        <v>1257</v>
      </c>
      <c r="L16" s="28" t="s">
        <v>47</v>
      </c>
      <c r="M16" s="10"/>
      <c r="N16" s="5" t="s">
        <v>1799</v>
      </c>
      <c r="O16" s="9" t="s">
        <v>49</v>
      </c>
    </row>
    <row r="17" spans="1:15">
      <c r="A1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VLT-CAL-004-CIN-GG</v>
      </c>
      <c r="B17" s="5" t="s">
        <v>1258</v>
      </c>
      <c r="C17" s="9" t="s">
        <v>1249</v>
      </c>
      <c r="D17" s="5" t="s">
        <v>1250</v>
      </c>
      <c r="E17" s="5" t="s">
        <v>86</v>
      </c>
      <c r="F17" s="5" t="s">
        <v>164</v>
      </c>
      <c r="G17" s="9" t="s">
        <v>61</v>
      </c>
      <c r="H17" s="11">
        <v>189.9</v>
      </c>
      <c r="I17" s="11">
        <v>68.77</v>
      </c>
      <c r="J17" s="12">
        <f>IF(OR(tAtemporais[[#This Row],[Preço (R$)]]="",tAtemporais[[#This Row],[Custo (R$)]]=""),"",(tAtemporais[[#This Row],[Preço (R$)]]-tAtemporais[[#This Row],[Custo (R$)]])/tAtemporais[[#This Row],[Preço (R$)]])</f>
        <v>0.63786203264876251</v>
      </c>
      <c r="K17" s="5" t="s">
        <v>1259</v>
      </c>
      <c r="L17" s="28" t="s">
        <v>47</v>
      </c>
      <c r="M17" s="10"/>
      <c r="N17" s="5" t="s">
        <v>1798</v>
      </c>
      <c r="O17" s="9" t="s">
        <v>49</v>
      </c>
    </row>
    <row r="18" spans="1:15">
      <c r="A1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VLT-CAL-004-CIN-XG</v>
      </c>
      <c r="B18" s="5" t="s">
        <v>1260</v>
      </c>
      <c r="C18" s="9" t="s">
        <v>1249</v>
      </c>
      <c r="D18" s="5" t="s">
        <v>1250</v>
      </c>
      <c r="E18" s="5" t="s">
        <v>86</v>
      </c>
      <c r="F18" s="5" t="s">
        <v>164</v>
      </c>
      <c r="G18" s="9" t="s">
        <v>578</v>
      </c>
      <c r="H18" s="11">
        <v>189.9</v>
      </c>
      <c r="I18" s="11">
        <v>75.09</v>
      </c>
      <c r="J18" s="12">
        <f>IF(OR(tAtemporais[[#This Row],[Preço (R$)]]="",tAtemporais[[#This Row],[Custo (R$)]]=""),"",(tAtemporais[[#This Row],[Preço (R$)]]-tAtemporais[[#This Row],[Custo (R$)]])/tAtemporais[[#This Row],[Preço (R$)]])</f>
        <v>0.60458135860979467</v>
      </c>
      <c r="K18" s="5" t="s">
        <v>1261</v>
      </c>
      <c r="L18" s="28" t="s">
        <v>47</v>
      </c>
      <c r="M18" s="10"/>
      <c r="N18" s="5" t="s">
        <v>1799</v>
      </c>
      <c r="O18" s="9" t="s">
        <v>49</v>
      </c>
    </row>
    <row r="19" spans="1:15">
      <c r="A1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VLT-CAL-004-BEG-XP</v>
      </c>
      <c r="B19" s="5" t="s">
        <v>64</v>
      </c>
      <c r="C19" s="9" t="s">
        <v>1249</v>
      </c>
      <c r="D19" s="5" t="s">
        <v>1250</v>
      </c>
      <c r="E19" s="5" t="s">
        <v>86</v>
      </c>
      <c r="F19" s="5" t="s">
        <v>299</v>
      </c>
      <c r="G19" s="9" t="s">
        <v>45</v>
      </c>
      <c r="H19" s="11">
        <v>189.9</v>
      </c>
      <c r="I19" s="11">
        <v>75.260000000000005</v>
      </c>
      <c r="J19" s="12">
        <f>IF(OR(tAtemporais[[#This Row],[Preço (R$)]]="",tAtemporais[[#This Row],[Custo (R$)]]=""),"",(tAtemporais[[#This Row],[Preço (R$)]]-tAtemporais[[#This Row],[Custo (R$)]])/tAtemporais[[#This Row],[Preço (R$)]])</f>
        <v>0.60368615060558184</v>
      </c>
      <c r="K19" s="5" t="s">
        <v>1263</v>
      </c>
      <c r="L19" s="28" t="s">
        <v>47</v>
      </c>
      <c r="M19" s="10"/>
      <c r="N19" s="5" t="s">
        <v>1798</v>
      </c>
      <c r="O19" s="9" t="s">
        <v>71</v>
      </c>
    </row>
    <row r="20" spans="1:15">
      <c r="A2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VLT-CAL-004-BEG-P</v>
      </c>
      <c r="B20" s="5" t="s">
        <v>64</v>
      </c>
      <c r="C20" s="9" t="s">
        <v>1249</v>
      </c>
      <c r="D20" s="5" t="s">
        <v>1250</v>
      </c>
      <c r="E20" s="5" t="s">
        <v>86</v>
      </c>
      <c r="F20" s="5" t="s">
        <v>299</v>
      </c>
      <c r="G20" s="9" t="s">
        <v>51</v>
      </c>
      <c r="H20" s="11">
        <v>189.9</v>
      </c>
      <c r="I20" s="11">
        <v>75.260000000000005</v>
      </c>
      <c r="J20" s="12">
        <f>IF(OR(tAtemporais[[#This Row],[Preço (R$)]]="",tAtemporais[[#This Row],[Custo (R$)]]=""),"",(tAtemporais[[#This Row],[Preço (R$)]]-tAtemporais[[#This Row],[Custo (R$)]])/tAtemporais[[#This Row],[Preço (R$)]])</f>
        <v>0.60368615060558184</v>
      </c>
      <c r="K20" s="5" t="s">
        <v>1265</v>
      </c>
      <c r="L20" s="28" t="s">
        <v>47</v>
      </c>
      <c r="M20" s="10"/>
      <c r="N20" s="5" t="s">
        <v>1800</v>
      </c>
      <c r="O20" s="9" t="s">
        <v>71</v>
      </c>
    </row>
    <row r="21" spans="1:15">
      <c r="A2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VLT-CAL-004-BEG-M</v>
      </c>
      <c r="B21" s="5" t="s">
        <v>1267</v>
      </c>
      <c r="C21" s="9" t="s">
        <v>1249</v>
      </c>
      <c r="D21" s="5" t="s">
        <v>1250</v>
      </c>
      <c r="E21" s="5" t="s">
        <v>86</v>
      </c>
      <c r="F21" s="5" t="s">
        <v>299</v>
      </c>
      <c r="G21" s="9" t="s">
        <v>54</v>
      </c>
      <c r="H21" s="11">
        <v>189.9</v>
      </c>
      <c r="I21" s="11"/>
      <c r="J21" s="12" t="str">
        <f>IF(OR(tAtemporais[[#This Row],[Preço (R$)]]="",tAtemporais[[#This Row],[Custo (R$)]]=""),"",(tAtemporais[[#This Row],[Preço (R$)]]-tAtemporais[[#This Row],[Custo (R$)]])/tAtemporais[[#This Row],[Preço (R$)]])</f>
        <v/>
      </c>
      <c r="K21" s="5" t="s">
        <v>1268</v>
      </c>
      <c r="L21" s="28" t="s">
        <v>47</v>
      </c>
      <c r="M21" s="10"/>
      <c r="N21" s="5" t="s">
        <v>470</v>
      </c>
      <c r="O21" s="9" t="s">
        <v>71</v>
      </c>
    </row>
    <row r="22" spans="1:15">
      <c r="A2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VLT-CAL-004-BEG-G</v>
      </c>
      <c r="B22" s="5" t="s">
        <v>1269</v>
      </c>
      <c r="C22" s="9" t="s">
        <v>1249</v>
      </c>
      <c r="D22" s="5" t="s">
        <v>1250</v>
      </c>
      <c r="E22" s="5" t="s">
        <v>86</v>
      </c>
      <c r="F22" s="5" t="s">
        <v>299</v>
      </c>
      <c r="G22" s="9" t="s">
        <v>58</v>
      </c>
      <c r="H22" s="11">
        <v>189.9</v>
      </c>
      <c r="I22" s="11"/>
      <c r="J22" s="12" t="str">
        <f>IF(OR(tAtemporais[[#This Row],[Preço (R$)]]="",tAtemporais[[#This Row],[Custo (R$)]]=""),"",(tAtemporais[[#This Row],[Preço (R$)]]-tAtemporais[[#This Row],[Custo (R$)]])/tAtemporais[[#This Row],[Preço (R$)]])</f>
        <v/>
      </c>
      <c r="K22" s="5" t="s">
        <v>1270</v>
      </c>
      <c r="L22" s="28" t="s">
        <v>47</v>
      </c>
      <c r="M22" s="10"/>
      <c r="N22" s="5" t="s">
        <v>470</v>
      </c>
      <c r="O22" s="9" t="s">
        <v>71</v>
      </c>
    </row>
    <row r="23" spans="1:15">
      <c r="A2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VLT-CAL-004-BEG-GG</v>
      </c>
      <c r="B23" s="5" t="s">
        <v>64</v>
      </c>
      <c r="C23" s="9" t="s">
        <v>1249</v>
      </c>
      <c r="D23" s="5" t="s">
        <v>1250</v>
      </c>
      <c r="E23" s="5" t="s">
        <v>86</v>
      </c>
      <c r="F23" s="5" t="s">
        <v>299</v>
      </c>
      <c r="G23" s="9" t="s">
        <v>61</v>
      </c>
      <c r="H23" s="11">
        <v>189.9</v>
      </c>
      <c r="I23" s="11">
        <v>68.77</v>
      </c>
      <c r="J23" s="12">
        <f>IF(OR(tAtemporais[[#This Row],[Preço (R$)]]="",tAtemporais[[#This Row],[Custo (R$)]]=""),"",(tAtemporais[[#This Row],[Preço (R$)]]-tAtemporais[[#This Row],[Custo (R$)]])/tAtemporais[[#This Row],[Preço (R$)]])</f>
        <v>0.63786203264876251</v>
      </c>
      <c r="K23" s="5" t="s">
        <v>1272</v>
      </c>
      <c r="L23" s="28" t="s">
        <v>47</v>
      </c>
      <c r="M23" s="10"/>
      <c r="N23" s="5" t="s">
        <v>1798</v>
      </c>
      <c r="O23" s="9" t="s">
        <v>71</v>
      </c>
    </row>
    <row r="24" spans="1:15">
      <c r="A2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VLT-CAL-004-BEG-XG</v>
      </c>
      <c r="B24" s="5" t="s">
        <v>64</v>
      </c>
      <c r="C24" s="9" t="s">
        <v>1249</v>
      </c>
      <c r="D24" s="5" t="s">
        <v>1250</v>
      </c>
      <c r="E24" s="5" t="s">
        <v>86</v>
      </c>
      <c r="F24" s="5" t="s">
        <v>299</v>
      </c>
      <c r="G24" s="9" t="s">
        <v>578</v>
      </c>
      <c r="H24" s="11">
        <v>189.9</v>
      </c>
      <c r="I24" s="11">
        <v>70.87</v>
      </c>
      <c r="J24" s="12">
        <f>IF(OR(tAtemporais[[#This Row],[Preço (R$)]]="",tAtemporais[[#This Row],[Custo (R$)]]=""),"",(tAtemporais[[#This Row],[Preço (R$)]]-tAtemporais[[#This Row],[Custo (R$)]])/tAtemporais[[#This Row],[Preço (R$)]])</f>
        <v>0.62680358083201682</v>
      </c>
      <c r="K24" s="5" t="s">
        <v>1274</v>
      </c>
      <c r="L24" s="28" t="s">
        <v>47</v>
      </c>
      <c r="M24" s="10"/>
      <c r="N24" s="5" t="s">
        <v>1801</v>
      </c>
      <c r="O24" s="9" t="s">
        <v>71</v>
      </c>
    </row>
    <row r="25" spans="1:15">
      <c r="A2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VLT-CAL-005-PRE-XP</v>
      </c>
      <c r="B25" s="5" t="s">
        <v>1275</v>
      </c>
      <c r="C25" s="9" t="s">
        <v>1276</v>
      </c>
      <c r="D25" s="5" t="s">
        <v>1277</v>
      </c>
      <c r="E25" s="5" t="s">
        <v>86</v>
      </c>
      <c r="F25" s="5" t="s">
        <v>251</v>
      </c>
      <c r="G25" s="9" t="s">
        <v>45</v>
      </c>
      <c r="H25" s="11">
        <v>319.89999999999998</v>
      </c>
      <c r="I25" s="27">
        <v>125.29</v>
      </c>
      <c r="J25" s="12">
        <f>IF(OR(tAtemporais[[#This Row],[Preço (R$)]]="",tAtemporais[[#This Row],[Custo (R$)]]=""),"",(tAtemporais[[#This Row],[Preço (R$)]]-tAtemporais[[#This Row],[Custo (R$)]])/tAtemporais[[#This Row],[Preço (R$)]])</f>
        <v>0.60834635823694894</v>
      </c>
      <c r="K25" s="5" t="s">
        <v>1278</v>
      </c>
      <c r="L25" s="28" t="s">
        <v>47</v>
      </c>
      <c r="M25" s="10"/>
      <c r="N25" s="5" t="s">
        <v>1802</v>
      </c>
      <c r="O25" s="9" t="s">
        <v>49</v>
      </c>
    </row>
    <row r="26" spans="1:15">
      <c r="A2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VLT-CAL-005-PRE-P</v>
      </c>
      <c r="B26" s="5" t="s">
        <v>1279</v>
      </c>
      <c r="C26" s="9" t="s">
        <v>1276</v>
      </c>
      <c r="D26" s="5" t="s">
        <v>1277</v>
      </c>
      <c r="E26" s="5" t="s">
        <v>86</v>
      </c>
      <c r="F26" s="5" t="s">
        <v>251</v>
      </c>
      <c r="G26" s="9" t="s">
        <v>51</v>
      </c>
      <c r="H26" s="11">
        <v>319.89999999999998</v>
      </c>
      <c r="I26" s="11">
        <v>125.29</v>
      </c>
      <c r="J26" s="12">
        <f>IF(OR(tAtemporais[[#This Row],[Preço (R$)]]="",tAtemporais[[#This Row],[Custo (R$)]]=""),"",(tAtemporais[[#This Row],[Preço (R$)]]-tAtemporais[[#This Row],[Custo (R$)]])/tAtemporais[[#This Row],[Preço (R$)]])</f>
        <v>0.60834635823694894</v>
      </c>
      <c r="K26" s="5" t="s">
        <v>1280</v>
      </c>
      <c r="L26" s="28" t="s">
        <v>47</v>
      </c>
      <c r="M26" s="10"/>
      <c r="N26" s="5" t="s">
        <v>1803</v>
      </c>
      <c r="O26" s="9" t="s">
        <v>49</v>
      </c>
    </row>
    <row r="27" spans="1:15">
      <c r="A2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VLT-CAL-005-PRE-M</v>
      </c>
      <c r="B27" s="5" t="s">
        <v>1282</v>
      </c>
      <c r="C27" s="9" t="s">
        <v>1276</v>
      </c>
      <c r="D27" s="5" t="s">
        <v>1277</v>
      </c>
      <c r="E27" s="5" t="s">
        <v>86</v>
      </c>
      <c r="F27" s="5" t="s">
        <v>251</v>
      </c>
      <c r="G27" s="9" t="s">
        <v>54</v>
      </c>
      <c r="H27" s="11">
        <v>319.89999999999998</v>
      </c>
      <c r="I27" s="11">
        <v>126.43</v>
      </c>
      <c r="J27" s="12">
        <f>IF(OR(tAtemporais[[#This Row],[Preço (R$)]]="",tAtemporais[[#This Row],[Custo (R$)]]=""),"",(tAtemporais[[#This Row],[Preço (R$)]]-tAtemporais[[#This Row],[Custo (R$)]])/tAtemporais[[#This Row],[Preço (R$)]])</f>
        <v>0.60478274460768988</v>
      </c>
      <c r="K27" s="5" t="s">
        <v>1283</v>
      </c>
      <c r="L27" s="28" t="s">
        <v>47</v>
      </c>
      <c r="M27" s="10"/>
      <c r="N27" s="5" t="s">
        <v>1804</v>
      </c>
      <c r="O27" s="9" t="s">
        <v>49</v>
      </c>
    </row>
    <row r="28" spans="1:15">
      <c r="A2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VLT-CAL-005-PRE-G</v>
      </c>
      <c r="B28" s="5" t="s">
        <v>1284</v>
      </c>
      <c r="C28" s="9" t="s">
        <v>1276</v>
      </c>
      <c r="D28" s="5" t="s">
        <v>1277</v>
      </c>
      <c r="E28" s="5" t="s">
        <v>86</v>
      </c>
      <c r="F28" s="5" t="s">
        <v>251</v>
      </c>
      <c r="G28" s="9" t="s">
        <v>58</v>
      </c>
      <c r="H28" s="11">
        <v>319.89999999999998</v>
      </c>
      <c r="I28" s="11">
        <v>124.87</v>
      </c>
      <c r="J28" s="12">
        <f>IF(OR(tAtemporais[[#This Row],[Preço (R$)]]="",tAtemporais[[#This Row],[Custo (R$)]]=""),"",(tAtemporais[[#This Row],[Preço (R$)]]-tAtemporais[[#This Row],[Custo (R$)]])/tAtemporais[[#This Row],[Preço (R$)]])</f>
        <v>0.60965926852141294</v>
      </c>
      <c r="K28" s="5" t="s">
        <v>1285</v>
      </c>
      <c r="L28" s="28" t="s">
        <v>47</v>
      </c>
      <c r="M28" s="10"/>
      <c r="N28" s="5" t="s">
        <v>1804</v>
      </c>
      <c r="O28" s="9" t="s">
        <v>49</v>
      </c>
    </row>
    <row r="29" spans="1:15">
      <c r="A2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VLT-CAL-005-PRE-GG</v>
      </c>
      <c r="B29" s="5" t="s">
        <v>1286</v>
      </c>
      <c r="C29" s="9" t="s">
        <v>1276</v>
      </c>
      <c r="D29" s="5" t="s">
        <v>1277</v>
      </c>
      <c r="E29" s="5" t="s">
        <v>86</v>
      </c>
      <c r="F29" s="5" t="s">
        <v>251</v>
      </c>
      <c r="G29" s="9" t="s">
        <v>61</v>
      </c>
      <c r="H29" s="11">
        <v>319.89999999999998</v>
      </c>
      <c r="I29" s="27">
        <v>125.29</v>
      </c>
      <c r="J29" s="12">
        <f>IF(OR(tAtemporais[[#This Row],[Preço (R$)]]="",tAtemporais[[#This Row],[Custo (R$)]]=""),"",(tAtemporais[[#This Row],[Preço (R$)]]-tAtemporais[[#This Row],[Custo (R$)]])/tAtemporais[[#This Row],[Preço (R$)]])</f>
        <v>0.60834635823694894</v>
      </c>
      <c r="K29" s="5" t="s">
        <v>1287</v>
      </c>
      <c r="L29" s="28" t="s">
        <v>47</v>
      </c>
      <c r="M29" s="10"/>
      <c r="N29" s="5" t="s">
        <v>1802</v>
      </c>
      <c r="O29" s="9" t="s">
        <v>49</v>
      </c>
    </row>
    <row r="30" spans="1:15">
      <c r="A3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VLT-TOP-002-AZM-P</v>
      </c>
      <c r="B30" s="28" t="s">
        <v>1805</v>
      </c>
      <c r="C30" s="9" t="s">
        <v>1806</v>
      </c>
      <c r="D30" s="5" t="s">
        <v>1807</v>
      </c>
      <c r="E30" s="5" t="s">
        <v>179</v>
      </c>
      <c r="F30" s="5" t="s">
        <v>68</v>
      </c>
      <c r="G30" s="9" t="s">
        <v>51</v>
      </c>
      <c r="H30" s="11">
        <v>149.9</v>
      </c>
      <c r="I30" s="11">
        <v>64.33</v>
      </c>
      <c r="J30" s="12">
        <f>IF(OR(tAtemporais[[#This Row],[Preço (R$)]]="",tAtemporais[[#This Row],[Custo (R$)]]=""),"",(tAtemporais[[#This Row],[Preço (R$)]]-tAtemporais[[#This Row],[Custo (R$)]])/tAtemporais[[#This Row],[Preço (R$)]])</f>
        <v>0.57084723148765848</v>
      </c>
      <c r="K30" s="5" t="s">
        <v>1808</v>
      </c>
      <c r="L30" s="28" t="s">
        <v>101</v>
      </c>
      <c r="M30" s="10"/>
      <c r="N30" s="5" t="s">
        <v>1809</v>
      </c>
      <c r="O30" s="9" t="s">
        <v>49</v>
      </c>
    </row>
    <row r="31" spans="1:15">
      <c r="A3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VLT-TOP-002-AZM-M</v>
      </c>
      <c r="B31" s="28" t="s">
        <v>1810</v>
      </c>
      <c r="C31" s="9" t="s">
        <v>1806</v>
      </c>
      <c r="D31" s="5" t="s">
        <v>1807</v>
      </c>
      <c r="E31" s="5" t="s">
        <v>179</v>
      </c>
      <c r="F31" s="5" t="s">
        <v>68</v>
      </c>
      <c r="G31" s="9" t="s">
        <v>54</v>
      </c>
      <c r="H31" s="11">
        <v>149.9</v>
      </c>
      <c r="I31" s="11">
        <v>64.33</v>
      </c>
      <c r="J31" s="12">
        <f>IF(OR(tAtemporais[[#This Row],[Preço (R$)]]="",tAtemporais[[#This Row],[Custo (R$)]]=""),"",(tAtemporais[[#This Row],[Preço (R$)]]-tAtemporais[[#This Row],[Custo (R$)]])/tAtemporais[[#This Row],[Preço (R$)]])</f>
        <v>0.57084723148765848</v>
      </c>
      <c r="K31" s="5" t="s">
        <v>1811</v>
      </c>
      <c r="L31" s="28" t="s">
        <v>101</v>
      </c>
      <c r="M31" s="10"/>
      <c r="N31" s="5" t="s">
        <v>1809</v>
      </c>
      <c r="O31" s="9" t="s">
        <v>49</v>
      </c>
    </row>
    <row r="32" spans="1:15">
      <c r="A3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VLT-TOP-002-AZM-G</v>
      </c>
      <c r="B32" s="28" t="s">
        <v>1812</v>
      </c>
      <c r="C32" s="9" t="s">
        <v>1806</v>
      </c>
      <c r="D32" s="5" t="s">
        <v>1807</v>
      </c>
      <c r="E32" s="5" t="s">
        <v>179</v>
      </c>
      <c r="F32" s="5" t="s">
        <v>68</v>
      </c>
      <c r="G32" s="9" t="s">
        <v>58</v>
      </c>
      <c r="H32" s="11">
        <v>149.9</v>
      </c>
      <c r="I32" s="11">
        <v>64.33</v>
      </c>
      <c r="J32" s="12">
        <f>IF(OR(tAtemporais[[#This Row],[Preço (R$)]]="",tAtemporais[[#This Row],[Custo (R$)]]=""),"",(tAtemporais[[#This Row],[Preço (R$)]]-tAtemporais[[#This Row],[Custo (R$)]])/tAtemporais[[#This Row],[Preço (R$)]])</f>
        <v>0.57084723148765848</v>
      </c>
      <c r="K32" s="5" t="s">
        <v>1813</v>
      </c>
      <c r="L32" s="28" t="s">
        <v>101</v>
      </c>
      <c r="M32" s="10"/>
      <c r="N32" s="5" t="s">
        <v>1809</v>
      </c>
      <c r="O32" s="9" t="s">
        <v>49</v>
      </c>
    </row>
    <row r="33" spans="1:15">
      <c r="A3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VLT-TOP-002-AZM-GG</v>
      </c>
      <c r="B33" s="28" t="s">
        <v>1814</v>
      </c>
      <c r="C33" s="9" t="s">
        <v>1806</v>
      </c>
      <c r="D33" s="5" t="s">
        <v>1807</v>
      </c>
      <c r="E33" s="5" t="s">
        <v>179</v>
      </c>
      <c r="F33" s="5" t="s">
        <v>68</v>
      </c>
      <c r="G33" s="9" t="s">
        <v>61</v>
      </c>
      <c r="H33" s="11">
        <v>149.9</v>
      </c>
      <c r="I33" s="11">
        <v>64.33</v>
      </c>
      <c r="J33" s="12">
        <f>IF(OR(tAtemporais[[#This Row],[Preço (R$)]]="",tAtemporais[[#This Row],[Custo (R$)]]=""),"",(tAtemporais[[#This Row],[Preço (R$)]]-tAtemporais[[#This Row],[Custo (R$)]])/tAtemporais[[#This Row],[Preço (R$)]])</f>
        <v>0.57084723148765848</v>
      </c>
      <c r="K33" s="5" t="s">
        <v>1815</v>
      </c>
      <c r="L33" s="28" t="s">
        <v>101</v>
      </c>
      <c r="M33" s="10"/>
      <c r="N33" s="5" t="s">
        <v>1809</v>
      </c>
      <c r="O33" s="9" t="s">
        <v>49</v>
      </c>
    </row>
    <row r="34" spans="1:15">
      <c r="A3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VLT-TOP-002-PRE-P</v>
      </c>
      <c r="B34" s="5" t="s">
        <v>1816</v>
      </c>
      <c r="C34" s="9" t="s">
        <v>1806</v>
      </c>
      <c r="D34" s="5" t="s">
        <v>1807</v>
      </c>
      <c r="E34" s="5" t="s">
        <v>179</v>
      </c>
      <c r="F34" s="5" t="s">
        <v>251</v>
      </c>
      <c r="G34" s="9" t="s">
        <v>51</v>
      </c>
      <c r="H34" s="11">
        <v>149.9</v>
      </c>
      <c r="I34" s="11">
        <v>64.33</v>
      </c>
      <c r="J34" s="12">
        <f>IF(OR(tAtemporais[[#This Row],[Preço (R$)]]="",tAtemporais[[#This Row],[Custo (R$)]]=""),"",(tAtemporais[[#This Row],[Preço (R$)]]-tAtemporais[[#This Row],[Custo (R$)]])/tAtemporais[[#This Row],[Preço (R$)]])</f>
        <v>0.57084723148765848</v>
      </c>
      <c r="K34" s="5" t="s">
        <v>1817</v>
      </c>
      <c r="L34" s="28" t="s">
        <v>101</v>
      </c>
      <c r="M34" s="10"/>
      <c r="N34" s="5" t="s">
        <v>672</v>
      </c>
      <c r="O34" s="9" t="s">
        <v>71</v>
      </c>
    </row>
    <row r="35" spans="1:15">
      <c r="A3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VLT-TOP-002-PRE-M</v>
      </c>
      <c r="B35" s="5" t="s">
        <v>1818</v>
      </c>
      <c r="C35" s="9" t="s">
        <v>1806</v>
      </c>
      <c r="D35" s="5" t="s">
        <v>1807</v>
      </c>
      <c r="E35" s="5" t="s">
        <v>179</v>
      </c>
      <c r="F35" s="5" t="s">
        <v>251</v>
      </c>
      <c r="G35" s="9" t="s">
        <v>54</v>
      </c>
      <c r="H35" s="11">
        <v>149.9</v>
      </c>
      <c r="I35" s="11">
        <v>64.33</v>
      </c>
      <c r="J35" s="12">
        <f>IF(OR(tAtemporais[[#This Row],[Preço (R$)]]="",tAtemporais[[#This Row],[Custo (R$)]]=""),"",(tAtemporais[[#This Row],[Preço (R$)]]-tAtemporais[[#This Row],[Custo (R$)]])/tAtemporais[[#This Row],[Preço (R$)]])</f>
        <v>0.57084723148765848</v>
      </c>
      <c r="K35" s="5" t="s">
        <v>1819</v>
      </c>
      <c r="L35" s="28" t="s">
        <v>101</v>
      </c>
      <c r="M35" s="10"/>
      <c r="N35" s="5" t="s">
        <v>672</v>
      </c>
      <c r="O35" s="9" t="s">
        <v>71</v>
      </c>
    </row>
    <row r="36" spans="1:15">
      <c r="A3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VLT-TOP-002-PRE-G</v>
      </c>
      <c r="B36" s="5" t="s">
        <v>1820</v>
      </c>
      <c r="C36" s="9" t="s">
        <v>1806</v>
      </c>
      <c r="D36" s="5" t="s">
        <v>1807</v>
      </c>
      <c r="E36" s="5" t="s">
        <v>179</v>
      </c>
      <c r="F36" s="5" t="s">
        <v>251</v>
      </c>
      <c r="G36" s="9" t="s">
        <v>58</v>
      </c>
      <c r="H36" s="11">
        <v>149.9</v>
      </c>
      <c r="I36" s="11">
        <v>64.33</v>
      </c>
      <c r="J36" s="12">
        <f>IF(OR(tAtemporais[[#This Row],[Preço (R$)]]="",tAtemporais[[#This Row],[Custo (R$)]]=""),"",(tAtemporais[[#This Row],[Preço (R$)]]-tAtemporais[[#This Row],[Custo (R$)]])/tAtemporais[[#This Row],[Preço (R$)]])</f>
        <v>0.57084723148765848</v>
      </c>
      <c r="K36" s="5" t="s">
        <v>1821</v>
      </c>
      <c r="L36" s="28" t="s">
        <v>101</v>
      </c>
      <c r="M36" s="10"/>
      <c r="N36" s="5" t="s">
        <v>672</v>
      </c>
      <c r="O36" s="9" t="s">
        <v>71</v>
      </c>
    </row>
    <row r="37" spans="1:15">
      <c r="A3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VLT-TOP-002-PRE-GG</v>
      </c>
      <c r="B37" s="5" t="s">
        <v>1822</v>
      </c>
      <c r="C37" s="9" t="s">
        <v>1806</v>
      </c>
      <c r="D37" s="5" t="s">
        <v>1807</v>
      </c>
      <c r="E37" s="5" t="s">
        <v>179</v>
      </c>
      <c r="F37" s="5" t="s">
        <v>251</v>
      </c>
      <c r="G37" s="9" t="s">
        <v>61</v>
      </c>
      <c r="H37" s="11">
        <v>149.9</v>
      </c>
      <c r="I37" s="11"/>
      <c r="J37" s="12" t="str">
        <f>IF(OR(tAtemporais[[#This Row],[Preço (R$)]]="",tAtemporais[[#This Row],[Custo (R$)]]=""),"",(tAtemporais[[#This Row],[Preço (R$)]]-tAtemporais[[#This Row],[Custo (R$)]])/tAtemporais[[#This Row],[Preço (R$)]])</f>
        <v/>
      </c>
      <c r="K37" s="5" t="s">
        <v>1823</v>
      </c>
      <c r="L37" s="28" t="s">
        <v>101</v>
      </c>
      <c r="M37" s="10"/>
      <c r="N37" s="5" t="s">
        <v>672</v>
      </c>
      <c r="O37" s="9" t="s">
        <v>71</v>
      </c>
    </row>
    <row r="38" spans="1:15">
      <c r="A3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VLT-BER-002-CIN-XP</v>
      </c>
      <c r="B38" s="5" t="s">
        <v>1824</v>
      </c>
      <c r="C38" s="9" t="s">
        <v>1825</v>
      </c>
      <c r="D38" s="5" t="s">
        <v>1826</v>
      </c>
      <c r="E38" s="5" t="s">
        <v>43</v>
      </c>
      <c r="F38" s="5" t="s">
        <v>164</v>
      </c>
      <c r="G38" s="9" t="s">
        <v>45</v>
      </c>
      <c r="H38" s="11">
        <v>179.9</v>
      </c>
      <c r="I38" s="11">
        <v>63.94</v>
      </c>
      <c r="J38" s="12">
        <f>IF(OR(tAtemporais[[#This Row],[Preço (R$)]]="",tAtemporais[[#This Row],[Custo (R$)]]=""),"",(tAtemporais[[#This Row],[Preço (R$)]]-tAtemporais[[#This Row],[Custo (R$)]])/tAtemporais[[#This Row],[Preço (R$)]])</f>
        <v>0.64458032240133412</v>
      </c>
      <c r="K38" s="5" t="s">
        <v>1827</v>
      </c>
      <c r="L38" s="28" t="s">
        <v>101</v>
      </c>
      <c r="M38" s="10"/>
      <c r="N38" s="5" t="s">
        <v>862</v>
      </c>
      <c r="O38" s="9" t="s">
        <v>49</v>
      </c>
    </row>
    <row r="39" spans="1:15">
      <c r="A3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VLT-BER-002-CIN-P</v>
      </c>
      <c r="B39" s="28" t="s">
        <v>1828</v>
      </c>
      <c r="C39" s="9" t="s">
        <v>1825</v>
      </c>
      <c r="D39" s="5" t="s">
        <v>1826</v>
      </c>
      <c r="E39" s="5" t="s">
        <v>43</v>
      </c>
      <c r="F39" s="5" t="s">
        <v>164</v>
      </c>
      <c r="G39" s="9" t="s">
        <v>51</v>
      </c>
      <c r="H39" s="11">
        <v>179.9</v>
      </c>
      <c r="I39" s="11">
        <v>63.94</v>
      </c>
      <c r="J39" s="12">
        <f>IF(OR(tAtemporais[[#This Row],[Preço (R$)]]="",tAtemporais[[#This Row],[Custo (R$)]]=""),"",(tAtemporais[[#This Row],[Preço (R$)]]-tAtemporais[[#This Row],[Custo (R$)]])/tAtemporais[[#This Row],[Preço (R$)]])</f>
        <v>0.64458032240133412</v>
      </c>
      <c r="K39" s="5" t="s">
        <v>1829</v>
      </c>
      <c r="L39" s="28" t="s">
        <v>101</v>
      </c>
      <c r="M39" s="10"/>
      <c r="N39" s="5" t="s">
        <v>1830</v>
      </c>
      <c r="O39" s="9" t="s">
        <v>49</v>
      </c>
    </row>
    <row r="40" spans="1:15">
      <c r="A4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VLT-BER-002-CIN-M</v>
      </c>
      <c r="B40" s="5" t="s">
        <v>1831</v>
      </c>
      <c r="C40" s="9" t="s">
        <v>1825</v>
      </c>
      <c r="D40" s="5" t="s">
        <v>1826</v>
      </c>
      <c r="E40" s="5" t="s">
        <v>43</v>
      </c>
      <c r="F40" s="5" t="s">
        <v>164</v>
      </c>
      <c r="G40" s="9" t="s">
        <v>54</v>
      </c>
      <c r="H40" s="11">
        <v>179.9</v>
      </c>
      <c r="I40" s="11">
        <v>63.94</v>
      </c>
      <c r="J40" s="12">
        <f>IF(OR(tAtemporais[[#This Row],[Preço (R$)]]="",tAtemporais[[#This Row],[Custo (R$)]]=""),"",(tAtemporais[[#This Row],[Preço (R$)]]-tAtemporais[[#This Row],[Custo (R$)]])/tAtemporais[[#This Row],[Preço (R$)]])</f>
        <v>0.64458032240133412</v>
      </c>
      <c r="K40" s="5" t="s">
        <v>1832</v>
      </c>
      <c r="L40" s="28" t="s">
        <v>101</v>
      </c>
      <c r="M40" s="10"/>
      <c r="N40" s="5" t="s">
        <v>862</v>
      </c>
      <c r="O40" s="9" t="s">
        <v>49</v>
      </c>
    </row>
    <row r="41" spans="1:15">
      <c r="A4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VLT-BER-002-CIN-G</v>
      </c>
      <c r="B41" s="28" t="s">
        <v>1833</v>
      </c>
      <c r="C41" s="9" t="s">
        <v>1825</v>
      </c>
      <c r="D41" s="5" t="s">
        <v>1826</v>
      </c>
      <c r="E41" s="5" t="s">
        <v>43</v>
      </c>
      <c r="F41" s="5" t="s">
        <v>164</v>
      </c>
      <c r="G41" s="9" t="s">
        <v>58</v>
      </c>
      <c r="H41" s="11">
        <v>179.9</v>
      </c>
      <c r="I41" s="27">
        <v>63.94</v>
      </c>
      <c r="J41" s="12">
        <f>IF(OR(tAtemporais[[#This Row],[Preço (R$)]]="",tAtemporais[[#This Row],[Custo (R$)]]=""),"",(tAtemporais[[#This Row],[Preço (R$)]]-tAtemporais[[#This Row],[Custo (R$)]])/tAtemporais[[#This Row],[Preço (R$)]])</f>
        <v>0.64458032240133412</v>
      </c>
      <c r="K41" s="5" t="s">
        <v>1834</v>
      </c>
      <c r="L41" s="28" t="s">
        <v>101</v>
      </c>
      <c r="M41" s="10"/>
      <c r="N41" s="5" t="s">
        <v>1835</v>
      </c>
      <c r="O41" s="9" t="s">
        <v>49</v>
      </c>
    </row>
    <row r="42" spans="1:15">
      <c r="A4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VLT-BER-002-CIN-GG</v>
      </c>
      <c r="B42" s="28" t="s">
        <v>1836</v>
      </c>
      <c r="C42" s="9" t="s">
        <v>1825</v>
      </c>
      <c r="D42" s="5" t="s">
        <v>1826</v>
      </c>
      <c r="E42" s="5" t="s">
        <v>43</v>
      </c>
      <c r="F42" s="5" t="s">
        <v>164</v>
      </c>
      <c r="G42" s="9" t="s">
        <v>61</v>
      </c>
      <c r="H42" s="11">
        <v>179.9</v>
      </c>
      <c r="I42" s="11">
        <v>63.94</v>
      </c>
      <c r="J42" s="12">
        <f>IF(OR(tAtemporais[[#This Row],[Preço (R$)]]="",tAtemporais[[#This Row],[Custo (R$)]]=""),"",(tAtemporais[[#This Row],[Preço (R$)]]-tAtemporais[[#This Row],[Custo (R$)]])/tAtemporais[[#This Row],[Preço (R$)]])</f>
        <v>0.64458032240133412</v>
      </c>
      <c r="K42" s="5" t="s">
        <v>1837</v>
      </c>
      <c r="L42" s="28" t="s">
        <v>101</v>
      </c>
      <c r="M42" s="10"/>
      <c r="N42" s="5" t="s">
        <v>1830</v>
      </c>
      <c r="O42" s="9" t="s">
        <v>49</v>
      </c>
    </row>
    <row r="43" spans="1:15">
      <c r="A4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VLT-BER-003-BRA-XP</v>
      </c>
      <c r="B43" s="5" t="s">
        <v>1289</v>
      </c>
      <c r="C43" s="9" t="s">
        <v>1290</v>
      </c>
      <c r="D43" s="5" t="s">
        <v>13</v>
      </c>
      <c r="E43" s="5" t="s">
        <v>43</v>
      </c>
      <c r="F43" s="5" t="s">
        <v>77</v>
      </c>
      <c r="G43" s="9" t="s">
        <v>45</v>
      </c>
      <c r="H43" s="11">
        <v>169.9</v>
      </c>
      <c r="I43" s="11">
        <v>64.98</v>
      </c>
      <c r="J43" s="12">
        <f>IF(OR(tAtemporais[[#This Row],[Preço (R$)]]="",tAtemporais[[#This Row],[Custo (R$)]]=""),"",(tAtemporais[[#This Row],[Preço (R$)]]-tAtemporais[[#This Row],[Custo (R$)]])/tAtemporais[[#This Row],[Preço (R$)]])</f>
        <v>0.61753972925250145</v>
      </c>
      <c r="K43" s="5" t="s">
        <v>1291</v>
      </c>
      <c r="L43" s="28" t="s">
        <v>47</v>
      </c>
      <c r="M43" s="10"/>
      <c r="N43" s="5" t="s">
        <v>1838</v>
      </c>
      <c r="O43" s="9" t="s">
        <v>49</v>
      </c>
    </row>
    <row r="44" spans="1:15">
      <c r="A4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VLT-BER-003-BRA-P</v>
      </c>
      <c r="B44" s="5" t="s">
        <v>1293</v>
      </c>
      <c r="C44" s="9" t="s">
        <v>1290</v>
      </c>
      <c r="D44" s="5" t="s">
        <v>13</v>
      </c>
      <c r="E44" s="5" t="s">
        <v>43</v>
      </c>
      <c r="F44" s="5" t="s">
        <v>77</v>
      </c>
      <c r="G44" s="9" t="s">
        <v>51</v>
      </c>
      <c r="H44" s="11">
        <v>169.9</v>
      </c>
      <c r="I44" s="11">
        <v>65.22</v>
      </c>
      <c r="J44" s="12">
        <f>IF(OR(tAtemporais[[#This Row],[Preço (R$)]]="",tAtemporais[[#This Row],[Custo (R$)]]=""),"",(tAtemporais[[#This Row],[Preço (R$)]]-tAtemporais[[#This Row],[Custo (R$)]])/tAtemporais[[#This Row],[Preço (R$)]])</f>
        <v>0.61612713360800475</v>
      </c>
      <c r="K44" s="5" t="s">
        <v>1294</v>
      </c>
      <c r="L44" s="28" t="s">
        <v>47</v>
      </c>
      <c r="M44" s="10"/>
      <c r="N44" s="5" t="s">
        <v>1838</v>
      </c>
      <c r="O44" s="9" t="s">
        <v>49</v>
      </c>
    </row>
    <row r="45" spans="1:15">
      <c r="A4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VLT-BER-003-BRA-M</v>
      </c>
      <c r="B45" s="5" t="s">
        <v>1295</v>
      </c>
      <c r="C45" s="9" t="s">
        <v>1290</v>
      </c>
      <c r="D45" s="5" t="s">
        <v>13</v>
      </c>
      <c r="E45" s="5" t="s">
        <v>43</v>
      </c>
      <c r="F45" s="5" t="s">
        <v>77</v>
      </c>
      <c r="G45" s="9" t="s">
        <v>54</v>
      </c>
      <c r="H45" s="11">
        <v>169.9</v>
      </c>
      <c r="I45" s="11">
        <v>64.67</v>
      </c>
      <c r="J45" s="12">
        <f>IF(OR(tAtemporais[[#This Row],[Preço (R$)]]="",tAtemporais[[#This Row],[Custo (R$)]]=""),"",(tAtemporais[[#This Row],[Preço (R$)]]-tAtemporais[[#This Row],[Custo (R$)]])/tAtemporais[[#This Row],[Preço (R$)]])</f>
        <v>0.61936433195997642</v>
      </c>
      <c r="K45" s="5" t="s">
        <v>1296</v>
      </c>
      <c r="L45" s="28" t="s">
        <v>47</v>
      </c>
      <c r="M45" s="10"/>
      <c r="N45" s="5" t="s">
        <v>1839</v>
      </c>
      <c r="O45" s="9" t="s">
        <v>49</v>
      </c>
    </row>
    <row r="46" spans="1:15">
      <c r="A4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VLT-BER-003-BRA-G</v>
      </c>
      <c r="B46" s="5" t="s">
        <v>1297</v>
      </c>
      <c r="C46" s="9" t="s">
        <v>1290</v>
      </c>
      <c r="D46" s="5" t="s">
        <v>13</v>
      </c>
      <c r="E46" s="5" t="s">
        <v>43</v>
      </c>
      <c r="F46" s="5" t="s">
        <v>77</v>
      </c>
      <c r="G46" s="9" t="s">
        <v>58</v>
      </c>
      <c r="H46" s="11">
        <v>169.9</v>
      </c>
      <c r="I46" s="11">
        <v>64.08</v>
      </c>
      <c r="J46" s="12">
        <f>IF(OR(tAtemporais[[#This Row],[Preço (R$)]]="",tAtemporais[[#This Row],[Custo (R$)]]=""),"",(tAtemporais[[#This Row],[Preço (R$)]]-tAtemporais[[#This Row],[Custo (R$)]])/tAtemporais[[#This Row],[Preço (R$)]])</f>
        <v>0.6228369629193643</v>
      </c>
      <c r="K46" s="5" t="s">
        <v>1298</v>
      </c>
      <c r="L46" s="28" t="s">
        <v>47</v>
      </c>
      <c r="M46" s="10"/>
      <c r="N46" s="5" t="s">
        <v>1838</v>
      </c>
      <c r="O46" s="9" t="s">
        <v>49</v>
      </c>
    </row>
    <row r="47" spans="1:15">
      <c r="A4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VLT-BER-003-BRA-GG</v>
      </c>
      <c r="B47" s="5" t="s">
        <v>1299</v>
      </c>
      <c r="C47" s="9" t="s">
        <v>1290</v>
      </c>
      <c r="D47" s="5" t="s">
        <v>13</v>
      </c>
      <c r="E47" s="5" t="s">
        <v>43</v>
      </c>
      <c r="F47" s="5" t="s">
        <v>77</v>
      </c>
      <c r="G47" s="9" t="s">
        <v>61</v>
      </c>
      <c r="H47" s="11">
        <v>169.9</v>
      </c>
      <c r="I47" s="11">
        <v>63.98</v>
      </c>
      <c r="J47" s="12">
        <f>IF(OR(tAtemporais[[#This Row],[Preço (R$)]]="",tAtemporais[[#This Row],[Custo (R$)]]=""),"",(tAtemporais[[#This Row],[Preço (R$)]]-tAtemporais[[#This Row],[Custo (R$)]])/tAtemporais[[#This Row],[Preço (R$)]])</f>
        <v>0.62342554443790477</v>
      </c>
      <c r="K47" s="5" t="s">
        <v>1300</v>
      </c>
      <c r="L47" s="28" t="s">
        <v>47</v>
      </c>
      <c r="M47" s="10"/>
      <c r="N47" s="5" t="s">
        <v>1838</v>
      </c>
      <c r="O47" s="9" t="s">
        <v>49</v>
      </c>
    </row>
    <row r="48" spans="1:15">
      <c r="A4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VLT-BER-003-BRA-XG</v>
      </c>
      <c r="B48" s="5" t="s">
        <v>1301</v>
      </c>
      <c r="C48" s="9" t="s">
        <v>1290</v>
      </c>
      <c r="D48" s="5" t="s">
        <v>13</v>
      </c>
      <c r="E48" s="5" t="s">
        <v>43</v>
      </c>
      <c r="F48" s="5" t="s">
        <v>77</v>
      </c>
      <c r="G48" s="9" t="s">
        <v>578</v>
      </c>
      <c r="H48" s="11">
        <v>169.9</v>
      </c>
      <c r="I48" s="11">
        <v>66.19</v>
      </c>
      <c r="J48" s="12">
        <f>IF(OR(tAtemporais[[#This Row],[Preço (R$)]]="",tAtemporais[[#This Row],[Custo (R$)]]=""),"",(tAtemporais[[#This Row],[Preço (R$)]]-tAtemporais[[#This Row],[Custo (R$)]])/tAtemporais[[#This Row],[Preço (R$)]])</f>
        <v>0.61041789287816361</v>
      </c>
      <c r="K48" s="5" t="s">
        <v>1302</v>
      </c>
      <c r="L48" s="28" t="s">
        <v>47</v>
      </c>
      <c r="M48" s="10"/>
      <c r="N48" s="5" t="s">
        <v>1838</v>
      </c>
      <c r="O48" s="9" t="s">
        <v>49</v>
      </c>
    </row>
    <row r="49" spans="1:15">
      <c r="A4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VLT-ACE-003-BEG-U</v>
      </c>
      <c r="B49" s="28" t="s">
        <v>1840</v>
      </c>
      <c r="C49" s="9" t="s">
        <v>1841</v>
      </c>
      <c r="D49" s="5" t="s">
        <v>1842</v>
      </c>
      <c r="E49" s="5" t="s">
        <v>281</v>
      </c>
      <c r="F49" s="5" t="s">
        <v>299</v>
      </c>
      <c r="G49" s="9" t="s">
        <v>282</v>
      </c>
      <c r="H49" s="11">
        <v>149.9</v>
      </c>
      <c r="I49" s="11">
        <v>61.84</v>
      </c>
      <c r="J49" s="12">
        <f>IF(OR(tAtemporais[[#This Row],[Preço (R$)]]="",tAtemporais[[#This Row],[Custo (R$)]]=""),"",(tAtemporais[[#This Row],[Preço (R$)]]-tAtemporais[[#This Row],[Custo (R$)]])/tAtemporais[[#This Row],[Preço (R$)]])</f>
        <v>0.58745830553702472</v>
      </c>
      <c r="K49" s="5" t="s">
        <v>1843</v>
      </c>
      <c r="L49" s="28" t="s">
        <v>79</v>
      </c>
      <c r="M49" s="10"/>
      <c r="N49" s="5" t="s">
        <v>376</v>
      </c>
      <c r="O49" s="9" t="s">
        <v>49</v>
      </c>
    </row>
    <row r="50" spans="1:15">
      <c r="A5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VLT-ACE-003-OFF-U</v>
      </c>
      <c r="B50" s="5" t="s">
        <v>64</v>
      </c>
      <c r="C50" s="9" t="s">
        <v>1841</v>
      </c>
      <c r="D50" s="5" t="s">
        <v>1842</v>
      </c>
      <c r="E50" s="5" t="s">
        <v>281</v>
      </c>
      <c r="F50" s="5" t="s">
        <v>117</v>
      </c>
      <c r="G50" s="9" t="s">
        <v>282</v>
      </c>
      <c r="H50" s="11">
        <v>149.9</v>
      </c>
      <c r="I50" s="11">
        <v>61.84</v>
      </c>
      <c r="J50" s="12">
        <f>IF(OR(tAtemporais[[#This Row],[Preço (R$)]]="",tAtemporais[[#This Row],[Custo (R$)]]=""),"",(tAtemporais[[#This Row],[Preço (R$)]]-tAtemporais[[#This Row],[Custo (R$)]])/tAtemporais[[#This Row],[Preço (R$)]])</f>
        <v>0.58745830553702472</v>
      </c>
      <c r="K50" s="5" t="s">
        <v>1844</v>
      </c>
      <c r="L50" s="28" t="s">
        <v>79</v>
      </c>
      <c r="M50" s="10"/>
      <c r="N50" s="5" t="s">
        <v>470</v>
      </c>
      <c r="O50" s="9" t="s">
        <v>71</v>
      </c>
    </row>
    <row r="51" spans="1:15">
      <c r="A5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VLT-CAM-001-CIN-P</v>
      </c>
      <c r="B51" s="28" t="s">
        <v>1845</v>
      </c>
      <c r="C51" s="9" t="s">
        <v>1846</v>
      </c>
      <c r="D51" s="5" t="s">
        <v>1847</v>
      </c>
      <c r="E51" s="5" t="s">
        <v>128</v>
      </c>
      <c r="F51" s="5" t="s">
        <v>164</v>
      </c>
      <c r="G51" s="9" t="s">
        <v>51</v>
      </c>
      <c r="H51" s="11">
        <v>119.9</v>
      </c>
      <c r="I51" s="11">
        <v>53.9</v>
      </c>
      <c r="J51" s="12">
        <f>IF(OR(tAtemporais[[#This Row],[Preço (R$)]]="",tAtemporais[[#This Row],[Custo (R$)]]=""),"",(tAtemporais[[#This Row],[Preço (R$)]]-tAtemporais[[#This Row],[Custo (R$)]])/tAtemporais[[#This Row],[Preço (R$)]])</f>
        <v>0.55045871559633019</v>
      </c>
      <c r="K51" s="5" t="s">
        <v>1848</v>
      </c>
      <c r="L51" s="28" t="s">
        <v>101</v>
      </c>
      <c r="M51" s="10"/>
      <c r="N51" s="5" t="s">
        <v>376</v>
      </c>
      <c r="O51" s="9" t="s">
        <v>49</v>
      </c>
    </row>
    <row r="52" spans="1:15">
      <c r="A5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VLT-CAM-001-CIN-M</v>
      </c>
      <c r="B52" s="28" t="s">
        <v>1849</v>
      </c>
      <c r="C52" s="9" t="s">
        <v>1846</v>
      </c>
      <c r="D52" s="5" t="s">
        <v>1847</v>
      </c>
      <c r="E52" s="5" t="s">
        <v>128</v>
      </c>
      <c r="F52" s="5" t="s">
        <v>164</v>
      </c>
      <c r="G52" s="9" t="s">
        <v>54</v>
      </c>
      <c r="H52" s="11">
        <v>119.9</v>
      </c>
      <c r="I52" s="11">
        <v>53.9</v>
      </c>
      <c r="J52" s="12">
        <f>IF(OR(tAtemporais[[#This Row],[Preço (R$)]]="",tAtemporais[[#This Row],[Custo (R$)]]=""),"",(tAtemporais[[#This Row],[Preço (R$)]]-tAtemporais[[#This Row],[Custo (R$)]])/tAtemporais[[#This Row],[Preço (R$)]])</f>
        <v>0.55045871559633019</v>
      </c>
      <c r="K52" s="5" t="s">
        <v>1850</v>
      </c>
      <c r="L52" s="28" t="s">
        <v>101</v>
      </c>
      <c r="M52" s="10"/>
      <c r="N52" s="5" t="s">
        <v>376</v>
      </c>
      <c r="O52" s="9" t="s">
        <v>49</v>
      </c>
    </row>
    <row r="53" spans="1:15">
      <c r="A5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VLT-CAM-001-CIN-G</v>
      </c>
      <c r="B53" s="5" t="s">
        <v>1851</v>
      </c>
      <c r="C53" s="9" t="s">
        <v>1846</v>
      </c>
      <c r="D53" s="5" t="s">
        <v>1847</v>
      </c>
      <c r="E53" s="5" t="s">
        <v>128</v>
      </c>
      <c r="F53" s="5" t="s">
        <v>164</v>
      </c>
      <c r="G53" s="9" t="s">
        <v>58</v>
      </c>
      <c r="H53" s="11">
        <v>119.9</v>
      </c>
      <c r="I53" s="11">
        <v>53.9</v>
      </c>
      <c r="J53" s="12">
        <f>IF(OR(tAtemporais[[#This Row],[Preço (R$)]]="",tAtemporais[[#This Row],[Custo (R$)]]=""),"",(tAtemporais[[#This Row],[Preço (R$)]]-tAtemporais[[#This Row],[Custo (R$)]])/tAtemporais[[#This Row],[Preço (R$)]])</f>
        <v>0.55045871559633019</v>
      </c>
      <c r="K53" s="5" t="s">
        <v>1852</v>
      </c>
      <c r="L53" s="28" t="s">
        <v>101</v>
      </c>
      <c r="M53" s="10"/>
      <c r="N53" s="5" t="s">
        <v>470</v>
      </c>
      <c r="O53" s="9" t="s">
        <v>49</v>
      </c>
    </row>
    <row r="54" spans="1:15">
      <c r="A5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VLT-CAM-001-CIN-GG</v>
      </c>
      <c r="B54" s="28" t="s">
        <v>1853</v>
      </c>
      <c r="C54" s="9" t="s">
        <v>1846</v>
      </c>
      <c r="D54" s="5" t="s">
        <v>1847</v>
      </c>
      <c r="E54" s="5" t="s">
        <v>128</v>
      </c>
      <c r="F54" s="5" t="s">
        <v>164</v>
      </c>
      <c r="G54" s="9" t="s">
        <v>61</v>
      </c>
      <c r="H54" s="11">
        <v>119.9</v>
      </c>
      <c r="I54" s="11">
        <v>53.9</v>
      </c>
      <c r="J54" s="12">
        <f>IF(OR(tAtemporais[[#This Row],[Preço (R$)]]="",tAtemporais[[#This Row],[Custo (R$)]]=""),"",(tAtemporais[[#This Row],[Preço (R$)]]-tAtemporais[[#This Row],[Custo (R$)]])/tAtemporais[[#This Row],[Preço (R$)]])</f>
        <v>0.55045871559633019</v>
      </c>
      <c r="K54" s="5" t="s">
        <v>1854</v>
      </c>
      <c r="L54" s="28" t="s">
        <v>101</v>
      </c>
      <c r="M54" s="10"/>
      <c r="N54" s="5" t="s">
        <v>376</v>
      </c>
      <c r="O54" s="9" t="s">
        <v>49</v>
      </c>
    </row>
    <row r="55" spans="1:15">
      <c r="A5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VLT-ACE-004-CIN-U</v>
      </c>
      <c r="B55" s="5" t="s">
        <v>1855</v>
      </c>
      <c r="C55" s="9" t="s">
        <v>1856</v>
      </c>
      <c r="D55" s="5" t="s">
        <v>1857</v>
      </c>
      <c r="E55" s="5" t="s">
        <v>281</v>
      </c>
      <c r="F55" s="5" t="s">
        <v>164</v>
      </c>
      <c r="G55" s="9" t="s">
        <v>282</v>
      </c>
      <c r="H55" s="11">
        <v>139.9</v>
      </c>
      <c r="I55" s="27">
        <v>66.34</v>
      </c>
      <c r="J55" s="12">
        <f>IF(OR(tAtemporais[[#This Row],[Preço (R$)]]="",tAtemporais[[#This Row],[Custo (R$)]]=""),"",(tAtemporais[[#This Row],[Preço (R$)]]-tAtemporais[[#This Row],[Custo (R$)]])/tAtemporais[[#This Row],[Preço (R$)]])</f>
        <v>0.5258041458184417</v>
      </c>
      <c r="K55" s="5" t="s">
        <v>1858</v>
      </c>
      <c r="L55" s="28" t="s">
        <v>79</v>
      </c>
      <c r="M55" s="10"/>
      <c r="N55" s="5" t="s">
        <v>1859</v>
      </c>
      <c r="O55" s="9" t="s">
        <v>49</v>
      </c>
    </row>
    <row r="56" spans="1:15">
      <c r="A5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VLT-ACE-005-OFF-U</v>
      </c>
      <c r="B56" s="5" t="s">
        <v>1303</v>
      </c>
      <c r="C56" s="9" t="s">
        <v>1304</v>
      </c>
      <c r="D56" s="5" t="s">
        <v>1305</v>
      </c>
      <c r="E56" s="5" t="s">
        <v>281</v>
      </c>
      <c r="F56" s="5" t="s">
        <v>117</v>
      </c>
      <c r="G56" s="9" t="s">
        <v>282</v>
      </c>
      <c r="H56" s="11">
        <v>119.9</v>
      </c>
      <c r="I56" s="11">
        <v>51.26</v>
      </c>
      <c r="J56" s="12">
        <f>IF(OR(tAtemporais[[#This Row],[Preço (R$)]]="",tAtemporais[[#This Row],[Custo (R$)]]=""),"",(tAtemporais[[#This Row],[Preço (R$)]]-tAtemporais[[#This Row],[Custo (R$)]])/tAtemporais[[#This Row],[Preço (R$)]])</f>
        <v>0.57247706422018363</v>
      </c>
      <c r="K56" s="5" t="s">
        <v>1306</v>
      </c>
      <c r="L56" s="28" t="s">
        <v>79</v>
      </c>
      <c r="M56" s="10"/>
      <c r="N56" s="5" t="s">
        <v>1860</v>
      </c>
      <c r="O56" s="9" t="s">
        <v>49</v>
      </c>
    </row>
    <row r="57" spans="1:15">
      <c r="A5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VLT-ACE-005-BEG-U</v>
      </c>
      <c r="B57" s="5" t="s">
        <v>1307</v>
      </c>
      <c r="C57" s="9" t="s">
        <v>1304</v>
      </c>
      <c r="D57" s="5" t="s">
        <v>1305</v>
      </c>
      <c r="E57" s="5" t="s">
        <v>281</v>
      </c>
      <c r="F57" s="5" t="s">
        <v>299</v>
      </c>
      <c r="G57" s="9" t="s">
        <v>282</v>
      </c>
      <c r="H57" s="11">
        <v>119.9</v>
      </c>
      <c r="I57" s="11">
        <v>51.26</v>
      </c>
      <c r="J57" s="12">
        <f>IF(OR(tAtemporais[[#This Row],[Preço (R$)]]="",tAtemporais[[#This Row],[Custo (R$)]]=""),"",(tAtemporais[[#This Row],[Preço (R$)]]-tAtemporais[[#This Row],[Custo (R$)]])/tAtemporais[[#This Row],[Preço (R$)]])</f>
        <v>0.57247706422018363</v>
      </c>
      <c r="K57" s="5" t="s">
        <v>1308</v>
      </c>
      <c r="L57" s="28" t="s">
        <v>79</v>
      </c>
      <c r="M57" s="10"/>
      <c r="N57" s="5" t="s">
        <v>1861</v>
      </c>
      <c r="O57" s="9" t="s">
        <v>71</v>
      </c>
    </row>
    <row r="58" spans="1:15">
      <c r="A5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VLT-MOL-003-AZM-P</v>
      </c>
      <c r="B58" s="28" t="s">
        <v>1862</v>
      </c>
      <c r="C58" s="9" t="s">
        <v>1863</v>
      </c>
      <c r="D58" s="5" t="s">
        <v>1864</v>
      </c>
      <c r="E58" s="5" t="s">
        <v>98</v>
      </c>
      <c r="F58" s="5" t="s">
        <v>68</v>
      </c>
      <c r="G58" s="9" t="s">
        <v>51</v>
      </c>
      <c r="H58" s="11">
        <v>269.89999999999998</v>
      </c>
      <c r="I58" s="11">
        <v>126.09</v>
      </c>
      <c r="J58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58" s="5" t="s">
        <v>1865</v>
      </c>
      <c r="L58" s="28" t="s">
        <v>101</v>
      </c>
      <c r="M58" s="10"/>
      <c r="N58" s="5" t="s">
        <v>1866</v>
      </c>
      <c r="O58" s="9" t="s">
        <v>49</v>
      </c>
    </row>
    <row r="59" spans="1:15">
      <c r="A5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VLT-MOL-003-AZM-M</v>
      </c>
      <c r="B59" s="28" t="s">
        <v>1867</v>
      </c>
      <c r="C59" s="9" t="s">
        <v>1863</v>
      </c>
      <c r="D59" s="5" t="s">
        <v>1864</v>
      </c>
      <c r="E59" s="5" t="s">
        <v>98</v>
      </c>
      <c r="F59" s="5" t="s">
        <v>68</v>
      </c>
      <c r="G59" s="9" t="s">
        <v>54</v>
      </c>
      <c r="H59" s="11">
        <v>269.89999999999998</v>
      </c>
      <c r="I59" s="11">
        <v>126.09</v>
      </c>
      <c r="J59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59" s="5" t="s">
        <v>1868</v>
      </c>
      <c r="L59" s="28" t="s">
        <v>101</v>
      </c>
      <c r="M59" s="10"/>
      <c r="N59" s="5" t="s">
        <v>1866</v>
      </c>
      <c r="O59" s="9" t="s">
        <v>49</v>
      </c>
    </row>
    <row r="60" spans="1:15">
      <c r="A6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VLT-MOL-003-AZM-G</v>
      </c>
      <c r="B60" s="28" t="s">
        <v>1869</v>
      </c>
      <c r="C60" s="9" t="s">
        <v>1863</v>
      </c>
      <c r="D60" s="5" t="s">
        <v>1864</v>
      </c>
      <c r="E60" s="5" t="s">
        <v>98</v>
      </c>
      <c r="F60" s="5" t="s">
        <v>68</v>
      </c>
      <c r="G60" s="9" t="s">
        <v>58</v>
      </c>
      <c r="H60" s="11">
        <v>269.89999999999998</v>
      </c>
      <c r="I60" s="11">
        <v>126.09</v>
      </c>
      <c r="J60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0" s="5" t="s">
        <v>1870</v>
      </c>
      <c r="L60" s="28" t="s">
        <v>101</v>
      </c>
      <c r="M60" s="10"/>
      <c r="N60" s="5" t="s">
        <v>1866</v>
      </c>
      <c r="O60" s="9" t="s">
        <v>49</v>
      </c>
    </row>
    <row r="61" spans="1:15">
      <c r="A6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VLT-MOL-003-AZM-GG</v>
      </c>
      <c r="B61" s="5" t="s">
        <v>1871</v>
      </c>
      <c r="C61" s="9" t="s">
        <v>1863</v>
      </c>
      <c r="D61" s="5" t="s">
        <v>1864</v>
      </c>
      <c r="E61" s="5" t="s">
        <v>98</v>
      </c>
      <c r="F61" s="5" t="s">
        <v>68</v>
      </c>
      <c r="G61" s="9" t="s">
        <v>61</v>
      </c>
      <c r="H61" s="11">
        <v>269.89999999999998</v>
      </c>
      <c r="I61" s="11">
        <v>126.09</v>
      </c>
      <c r="J61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1" s="5" t="s">
        <v>1872</v>
      </c>
      <c r="L61" s="28" t="s">
        <v>101</v>
      </c>
      <c r="M61" s="10"/>
      <c r="N61" s="5" t="s">
        <v>1154</v>
      </c>
      <c r="O61" s="9" t="s">
        <v>49</v>
      </c>
    </row>
    <row r="62" spans="1:15">
      <c r="A6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VLT-MOL-003-BEG-P</v>
      </c>
      <c r="B62" s="28" t="s">
        <v>1873</v>
      </c>
      <c r="C62" s="9" t="s">
        <v>1863</v>
      </c>
      <c r="D62" s="5" t="s">
        <v>1864</v>
      </c>
      <c r="E62" s="5" t="s">
        <v>98</v>
      </c>
      <c r="F62" s="5" t="s">
        <v>299</v>
      </c>
      <c r="G62" s="9" t="s">
        <v>51</v>
      </c>
      <c r="H62" s="11">
        <v>269.89999999999998</v>
      </c>
      <c r="I62" s="11">
        <v>126.09</v>
      </c>
      <c r="J62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2" s="5" t="s">
        <v>1874</v>
      </c>
      <c r="L62" s="28" t="s">
        <v>101</v>
      </c>
      <c r="M62" s="10"/>
      <c r="N62" s="5" t="s">
        <v>1866</v>
      </c>
      <c r="O62" s="9" t="s">
        <v>49</v>
      </c>
    </row>
    <row r="63" spans="1:15">
      <c r="A6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VLT-MOL-003-BEG-M</v>
      </c>
      <c r="B63" s="28" t="s">
        <v>1875</v>
      </c>
      <c r="C63" s="9" t="s">
        <v>1863</v>
      </c>
      <c r="D63" s="5" t="s">
        <v>1864</v>
      </c>
      <c r="E63" s="5" t="s">
        <v>98</v>
      </c>
      <c r="F63" s="5" t="s">
        <v>299</v>
      </c>
      <c r="G63" s="9" t="s">
        <v>54</v>
      </c>
      <c r="H63" s="11">
        <v>269.89999999999998</v>
      </c>
      <c r="I63" s="11">
        <v>126.09</v>
      </c>
      <c r="J63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3" s="5" t="s">
        <v>1876</v>
      </c>
      <c r="L63" s="28" t="s">
        <v>101</v>
      </c>
      <c r="M63" s="10"/>
      <c r="N63" s="5" t="s">
        <v>1866</v>
      </c>
      <c r="O63" s="9" t="s">
        <v>49</v>
      </c>
    </row>
    <row r="64" spans="1:15">
      <c r="A6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VLT-MOL-003-BEG-G</v>
      </c>
      <c r="B64" s="28" t="s">
        <v>1877</v>
      </c>
      <c r="C64" s="9" t="s">
        <v>1863</v>
      </c>
      <c r="D64" s="5" t="s">
        <v>1864</v>
      </c>
      <c r="E64" s="5" t="s">
        <v>98</v>
      </c>
      <c r="F64" s="5" t="s">
        <v>299</v>
      </c>
      <c r="G64" s="9" t="s">
        <v>58</v>
      </c>
      <c r="H64" s="11">
        <v>269.89999999999998</v>
      </c>
      <c r="I64" s="11">
        <v>126.09</v>
      </c>
      <c r="J64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4" s="5" t="s">
        <v>1878</v>
      </c>
      <c r="L64" s="28" t="s">
        <v>101</v>
      </c>
      <c r="M64" s="10"/>
      <c r="N64" s="5" t="s">
        <v>1866</v>
      </c>
      <c r="O64" s="9" t="s">
        <v>49</v>
      </c>
    </row>
    <row r="65" spans="1:15">
      <c r="A6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VLT-MOL-003-BEG-GG</v>
      </c>
      <c r="B65" s="5" t="s">
        <v>1879</v>
      </c>
      <c r="C65" s="9" t="s">
        <v>1863</v>
      </c>
      <c r="D65" s="5" t="s">
        <v>1864</v>
      </c>
      <c r="E65" s="5" t="s">
        <v>98</v>
      </c>
      <c r="F65" s="5" t="s">
        <v>299</v>
      </c>
      <c r="G65" s="9" t="s">
        <v>61</v>
      </c>
      <c r="H65" s="11">
        <v>269.89999999999998</v>
      </c>
      <c r="I65" s="11">
        <v>126.09</v>
      </c>
      <c r="J65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5" s="5" t="s">
        <v>1880</v>
      </c>
      <c r="L65" s="28" t="s">
        <v>101</v>
      </c>
      <c r="M65" s="10"/>
      <c r="N65" s="5" t="s">
        <v>1154</v>
      </c>
      <c r="O65" s="9" t="s">
        <v>49</v>
      </c>
    </row>
    <row r="66" spans="1:15">
      <c r="A6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VLT-MOL-003-CIN-P</v>
      </c>
      <c r="B66" s="5" t="s">
        <v>1881</v>
      </c>
      <c r="C66" s="9" t="s">
        <v>1863</v>
      </c>
      <c r="D66" s="5" t="s">
        <v>1864</v>
      </c>
      <c r="E66" s="5" t="s">
        <v>98</v>
      </c>
      <c r="F66" s="5" t="s">
        <v>164</v>
      </c>
      <c r="G66" s="9" t="s">
        <v>51</v>
      </c>
      <c r="H66" s="11">
        <v>269.89999999999998</v>
      </c>
      <c r="I66" s="11">
        <v>126.09</v>
      </c>
      <c r="J66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6" s="5" t="s">
        <v>1882</v>
      </c>
      <c r="L66" s="28" t="s">
        <v>101</v>
      </c>
      <c r="M66" s="10"/>
      <c r="N66" s="5" t="s">
        <v>1154</v>
      </c>
      <c r="O66" s="9" t="s">
        <v>71</v>
      </c>
    </row>
    <row r="67" spans="1:15">
      <c r="A6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VLT-MOL-003-CIN-M</v>
      </c>
      <c r="B67" s="5" t="s">
        <v>64</v>
      </c>
      <c r="C67" s="9" t="s">
        <v>1863</v>
      </c>
      <c r="D67" s="5" t="s">
        <v>1864</v>
      </c>
      <c r="E67" s="5" t="s">
        <v>98</v>
      </c>
      <c r="F67" s="5" t="s">
        <v>164</v>
      </c>
      <c r="G67" s="9" t="s">
        <v>54</v>
      </c>
      <c r="H67" s="11">
        <v>269.89999999999998</v>
      </c>
      <c r="I67" s="11">
        <v>126.09</v>
      </c>
      <c r="J67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7" s="5" t="s">
        <v>1883</v>
      </c>
      <c r="L67" s="28" t="s">
        <v>101</v>
      </c>
      <c r="M67" s="10"/>
      <c r="N67" s="5" t="s">
        <v>1154</v>
      </c>
      <c r="O67" s="9" t="s">
        <v>71</v>
      </c>
    </row>
    <row r="68" spans="1:15">
      <c r="A6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VLT-MOL-003-CIN-G</v>
      </c>
      <c r="B68" s="5" t="s">
        <v>64</v>
      </c>
      <c r="C68" s="9" t="s">
        <v>1863</v>
      </c>
      <c r="D68" s="5" t="s">
        <v>1864</v>
      </c>
      <c r="E68" s="5" t="s">
        <v>98</v>
      </c>
      <c r="F68" s="5" t="s">
        <v>164</v>
      </c>
      <c r="G68" s="9" t="s">
        <v>58</v>
      </c>
      <c r="H68" s="11">
        <v>269.89999999999998</v>
      </c>
      <c r="I68" s="11">
        <v>126.09</v>
      </c>
      <c r="J68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8" s="5" t="s">
        <v>1884</v>
      </c>
      <c r="L68" s="28" t="s">
        <v>101</v>
      </c>
      <c r="M68" s="10"/>
      <c r="N68" s="5" t="s">
        <v>1154</v>
      </c>
      <c r="O68" s="9" t="s">
        <v>71</v>
      </c>
    </row>
    <row r="69" spans="1:15">
      <c r="A6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VLT-MOL-003-CIN-GG</v>
      </c>
      <c r="B69" s="5" t="s">
        <v>1885</v>
      </c>
      <c r="C69" s="9" t="s">
        <v>1863</v>
      </c>
      <c r="D69" s="5" t="s">
        <v>1864</v>
      </c>
      <c r="E69" s="5" t="s">
        <v>98</v>
      </c>
      <c r="F69" s="5" t="s">
        <v>164</v>
      </c>
      <c r="G69" s="9" t="s">
        <v>61</v>
      </c>
      <c r="H69" s="11">
        <v>269.89999999999998</v>
      </c>
      <c r="I69" s="11">
        <v>126.09</v>
      </c>
      <c r="J69" s="12">
        <f>IF(OR(tAtemporais[[#This Row],[Preço (R$)]]="",tAtemporais[[#This Row],[Custo (R$)]]=""),"",(tAtemporais[[#This Row],[Preço (R$)]]-tAtemporais[[#This Row],[Custo (R$)]])/tAtemporais[[#This Row],[Preço (R$)]])</f>
        <v>0.53282697295294545</v>
      </c>
      <c r="K69" s="5" t="s">
        <v>1886</v>
      </c>
      <c r="L69" s="28" t="s">
        <v>101</v>
      </c>
      <c r="M69" s="10"/>
      <c r="N69" s="5" t="s">
        <v>1154</v>
      </c>
      <c r="O69" s="9" t="s">
        <v>71</v>
      </c>
    </row>
    <row r="70" spans="1:15">
      <c r="A7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VLT-SAI-002-BRA-P</v>
      </c>
      <c r="B70" s="28" t="s">
        <v>1887</v>
      </c>
      <c r="C70" s="9" t="s">
        <v>1888</v>
      </c>
      <c r="D70" s="5" t="s">
        <v>1889</v>
      </c>
      <c r="E70" s="5" t="s">
        <v>116</v>
      </c>
      <c r="F70" s="5" t="s">
        <v>77</v>
      </c>
      <c r="G70" s="9" t="s">
        <v>51</v>
      </c>
      <c r="H70" s="11">
        <v>139.9</v>
      </c>
      <c r="I70" s="11">
        <v>55.16</v>
      </c>
      <c r="J70" s="12">
        <f>IF(OR(tAtemporais[[#This Row],[Preço (R$)]]="",tAtemporais[[#This Row],[Custo (R$)]]=""),"",(tAtemporais[[#This Row],[Preço (R$)]]-tAtemporais[[#This Row],[Custo (R$)]])/tAtemporais[[#This Row],[Preço (R$)]])</f>
        <v>0.60571837026447461</v>
      </c>
      <c r="K70" s="5" t="s">
        <v>1890</v>
      </c>
      <c r="L70" s="28" t="s">
        <v>70</v>
      </c>
      <c r="M70" s="10"/>
      <c r="N70" s="5" t="s">
        <v>376</v>
      </c>
      <c r="O70" s="9" t="s">
        <v>49</v>
      </c>
    </row>
    <row r="71" spans="1:15">
      <c r="A7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VLT-SAI-002-BRA-M</v>
      </c>
      <c r="B71" s="28" t="s">
        <v>1891</v>
      </c>
      <c r="C71" s="9" t="s">
        <v>1888</v>
      </c>
      <c r="D71" s="5" t="s">
        <v>1889</v>
      </c>
      <c r="E71" s="5" t="s">
        <v>116</v>
      </c>
      <c r="F71" s="5" t="s">
        <v>77</v>
      </c>
      <c r="G71" s="9" t="s">
        <v>54</v>
      </c>
      <c r="H71" s="11">
        <v>139.9</v>
      </c>
      <c r="I71" s="11">
        <v>55.16</v>
      </c>
      <c r="J71" s="12">
        <f>IF(OR(tAtemporais[[#This Row],[Preço (R$)]]="",tAtemporais[[#This Row],[Custo (R$)]]=""),"",(tAtemporais[[#This Row],[Preço (R$)]]-tAtemporais[[#This Row],[Custo (R$)]])/tAtemporais[[#This Row],[Preço (R$)]])</f>
        <v>0.60571837026447461</v>
      </c>
      <c r="K71" s="5" t="s">
        <v>1892</v>
      </c>
      <c r="L71" s="28" t="s">
        <v>70</v>
      </c>
      <c r="M71" s="10"/>
      <c r="N71" s="5" t="s">
        <v>376</v>
      </c>
      <c r="O71" s="9" t="s">
        <v>49</v>
      </c>
    </row>
    <row r="72" spans="1:15">
      <c r="A7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VLT-SAI-002-BRA-G</v>
      </c>
      <c r="B72" s="28" t="s">
        <v>1893</v>
      </c>
      <c r="C72" s="9" t="s">
        <v>1888</v>
      </c>
      <c r="D72" s="5" t="s">
        <v>1889</v>
      </c>
      <c r="E72" s="5" t="s">
        <v>116</v>
      </c>
      <c r="F72" s="5" t="s">
        <v>77</v>
      </c>
      <c r="G72" s="9" t="s">
        <v>58</v>
      </c>
      <c r="H72" s="11">
        <v>139.9</v>
      </c>
      <c r="I72" s="11">
        <v>55.16</v>
      </c>
      <c r="J72" s="12">
        <f>IF(OR(tAtemporais[[#This Row],[Preço (R$)]]="",tAtemporais[[#This Row],[Custo (R$)]]=""),"",(tAtemporais[[#This Row],[Preço (R$)]]-tAtemporais[[#This Row],[Custo (R$)]])/tAtemporais[[#This Row],[Preço (R$)]])</f>
        <v>0.60571837026447461</v>
      </c>
      <c r="K72" s="5" t="s">
        <v>1894</v>
      </c>
      <c r="L72" s="28" t="s">
        <v>70</v>
      </c>
      <c r="M72" s="10"/>
      <c r="N72" s="5" t="s">
        <v>376</v>
      </c>
      <c r="O72" s="9" t="s">
        <v>49</v>
      </c>
    </row>
    <row r="73" spans="1:15">
      <c r="A7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VLT-SAI-002-BRA-GG</v>
      </c>
      <c r="B73" s="5" t="s">
        <v>1895</v>
      </c>
      <c r="C73" s="9" t="s">
        <v>1888</v>
      </c>
      <c r="D73" s="5" t="s">
        <v>1889</v>
      </c>
      <c r="E73" s="5" t="s">
        <v>116</v>
      </c>
      <c r="F73" s="5" t="s">
        <v>77</v>
      </c>
      <c r="G73" s="9" t="s">
        <v>61</v>
      </c>
      <c r="H73" s="11">
        <v>139.9</v>
      </c>
      <c r="I73" s="11">
        <v>55.16</v>
      </c>
      <c r="J73" s="12">
        <f>IF(OR(tAtemporais[[#This Row],[Preço (R$)]]="",tAtemporais[[#This Row],[Custo (R$)]]=""),"",(tAtemporais[[#This Row],[Preço (R$)]]-tAtemporais[[#This Row],[Custo (R$)]])/tAtemporais[[#This Row],[Preço (R$)]])</f>
        <v>0.60571837026447461</v>
      </c>
      <c r="K73" s="5" t="s">
        <v>1896</v>
      </c>
      <c r="L73" s="28" t="s">
        <v>70</v>
      </c>
      <c r="M73" s="10"/>
      <c r="N73" s="5" t="s">
        <v>470</v>
      </c>
      <c r="O73" s="9" t="s">
        <v>49</v>
      </c>
    </row>
    <row r="74" spans="1:15">
      <c r="A7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VLT-SAI-002-OFF-P</v>
      </c>
      <c r="B74" s="5" t="s">
        <v>64</v>
      </c>
      <c r="C74" s="9" t="s">
        <v>1888</v>
      </c>
      <c r="D74" s="5" t="s">
        <v>1889</v>
      </c>
      <c r="E74" s="5" t="s">
        <v>116</v>
      </c>
      <c r="F74" s="5" t="s">
        <v>117</v>
      </c>
      <c r="G74" s="9" t="s">
        <v>51</v>
      </c>
      <c r="H74" s="11">
        <v>139.9</v>
      </c>
      <c r="I74" s="11">
        <v>55.16</v>
      </c>
      <c r="J74" s="12">
        <f>IF(OR(tAtemporais[[#This Row],[Preço (R$)]]="",tAtemporais[[#This Row],[Custo (R$)]]=""),"",(tAtemporais[[#This Row],[Preço (R$)]]-tAtemporais[[#This Row],[Custo (R$)]])/tAtemporais[[#This Row],[Preço (R$)]])</f>
        <v>0.60571837026447461</v>
      </c>
      <c r="K74" s="5" t="s">
        <v>1897</v>
      </c>
      <c r="L74" s="28" t="s">
        <v>70</v>
      </c>
      <c r="M74" s="10"/>
      <c r="N74" s="5" t="s">
        <v>470</v>
      </c>
      <c r="O74" s="9" t="s">
        <v>71</v>
      </c>
    </row>
    <row r="75" spans="1:15">
      <c r="A7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VLT-SAI-002-OFF-M</v>
      </c>
      <c r="B75" s="5" t="s">
        <v>1898</v>
      </c>
      <c r="C75" s="9" t="s">
        <v>1888</v>
      </c>
      <c r="D75" s="5" t="s">
        <v>1889</v>
      </c>
      <c r="E75" s="5" t="s">
        <v>116</v>
      </c>
      <c r="F75" s="5" t="s">
        <v>117</v>
      </c>
      <c r="G75" s="9" t="s">
        <v>54</v>
      </c>
      <c r="H75" s="11">
        <v>139.9</v>
      </c>
      <c r="I75" s="11"/>
      <c r="J75" s="12" t="str">
        <f>IF(OR(tAtemporais[[#This Row],[Preço (R$)]]="",tAtemporais[[#This Row],[Custo (R$)]]=""),"",(tAtemporais[[#This Row],[Preço (R$)]]-tAtemporais[[#This Row],[Custo (R$)]])/tAtemporais[[#This Row],[Preço (R$)]])</f>
        <v/>
      </c>
      <c r="K75" s="5" t="s">
        <v>1899</v>
      </c>
      <c r="L75" s="28" t="s">
        <v>70</v>
      </c>
      <c r="M75" s="10"/>
      <c r="N75" s="5" t="s">
        <v>470</v>
      </c>
      <c r="O75" s="9" t="s">
        <v>71</v>
      </c>
    </row>
    <row r="76" spans="1:15">
      <c r="A7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VLT-SAI-002-OFF-G</v>
      </c>
      <c r="B76" s="5" t="s">
        <v>64</v>
      </c>
      <c r="C76" s="9" t="s">
        <v>1888</v>
      </c>
      <c r="D76" s="5" t="s">
        <v>1889</v>
      </c>
      <c r="E76" s="5" t="s">
        <v>116</v>
      </c>
      <c r="F76" s="5" t="s">
        <v>117</v>
      </c>
      <c r="G76" s="9" t="s">
        <v>58</v>
      </c>
      <c r="H76" s="11">
        <v>139.9</v>
      </c>
      <c r="I76" s="11">
        <v>55.16</v>
      </c>
      <c r="J76" s="12">
        <f>IF(OR(tAtemporais[[#This Row],[Preço (R$)]]="",tAtemporais[[#This Row],[Custo (R$)]]=""),"",(tAtemporais[[#This Row],[Preço (R$)]]-tAtemporais[[#This Row],[Custo (R$)]])/tAtemporais[[#This Row],[Preço (R$)]])</f>
        <v>0.60571837026447461</v>
      </c>
      <c r="K76" s="5" t="s">
        <v>1900</v>
      </c>
      <c r="L76" s="28" t="s">
        <v>70</v>
      </c>
      <c r="M76" s="10"/>
      <c r="N76" s="5" t="s">
        <v>1901</v>
      </c>
      <c r="O76" s="9" t="s">
        <v>71</v>
      </c>
    </row>
    <row r="77" spans="1:15">
      <c r="A7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VLT-SAI-002-OFF-GG</v>
      </c>
      <c r="B77" s="5" t="s">
        <v>64</v>
      </c>
      <c r="C77" s="9" t="s">
        <v>1888</v>
      </c>
      <c r="D77" s="5" t="s">
        <v>1889</v>
      </c>
      <c r="E77" s="5" t="s">
        <v>116</v>
      </c>
      <c r="F77" s="5" t="s">
        <v>117</v>
      </c>
      <c r="G77" s="9" t="s">
        <v>61</v>
      </c>
      <c r="H77" s="11">
        <v>139.9</v>
      </c>
      <c r="I77" s="11">
        <v>55.16</v>
      </c>
      <c r="J77" s="12">
        <f>IF(OR(tAtemporais[[#This Row],[Preço (R$)]]="",tAtemporais[[#This Row],[Custo (R$)]]=""),"",(tAtemporais[[#This Row],[Preço (R$)]]-tAtemporais[[#This Row],[Custo (R$)]])/tAtemporais[[#This Row],[Preço (R$)]])</f>
        <v>0.60571837026447461</v>
      </c>
      <c r="K77" s="5" t="s">
        <v>1902</v>
      </c>
      <c r="L77" s="28" t="s">
        <v>70</v>
      </c>
      <c r="M77" s="10"/>
      <c r="N77" s="5" t="s">
        <v>470</v>
      </c>
      <c r="O77" s="9" t="s">
        <v>71</v>
      </c>
    </row>
    <row r="78" spans="1:15">
      <c r="A7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VLT-CAL-006-JCL-XP</v>
      </c>
      <c r="B78" s="5" t="s">
        <v>1903</v>
      </c>
      <c r="C78" s="9" t="s">
        <v>1904</v>
      </c>
      <c r="D78" s="5" t="s">
        <v>1905</v>
      </c>
      <c r="E78" s="5" t="s">
        <v>86</v>
      </c>
      <c r="F78" s="5" t="s">
        <v>892</v>
      </c>
      <c r="G78" s="9" t="s">
        <v>45</v>
      </c>
      <c r="H78" s="11">
        <v>259.89999999999998</v>
      </c>
      <c r="I78" s="11">
        <v>98.54</v>
      </c>
      <c r="J78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78" s="5" t="s">
        <v>1906</v>
      </c>
      <c r="L78" s="28" t="s">
        <v>47</v>
      </c>
      <c r="M78" s="10"/>
      <c r="N78" s="5" t="s">
        <v>470</v>
      </c>
      <c r="O78" s="9" t="s">
        <v>49</v>
      </c>
    </row>
    <row r="79" spans="1:15">
      <c r="A7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VLT-CAL-006-JCL-P</v>
      </c>
      <c r="B79" s="28" t="s">
        <v>1907</v>
      </c>
      <c r="C79" s="9" t="s">
        <v>1904</v>
      </c>
      <c r="D79" s="5" t="s">
        <v>1905</v>
      </c>
      <c r="E79" s="5" t="s">
        <v>86</v>
      </c>
      <c r="F79" s="5" t="s">
        <v>892</v>
      </c>
      <c r="G79" s="9" t="s">
        <v>51</v>
      </c>
      <c r="H79" s="11">
        <v>259.89999999999998</v>
      </c>
      <c r="I79" s="11">
        <v>98.54</v>
      </c>
      <c r="J79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79" s="5" t="s">
        <v>1908</v>
      </c>
      <c r="L79" s="28" t="s">
        <v>47</v>
      </c>
      <c r="M79" s="10"/>
      <c r="N79" s="5" t="s">
        <v>376</v>
      </c>
      <c r="O79" s="9" t="s">
        <v>49</v>
      </c>
    </row>
    <row r="80" spans="1:15">
      <c r="A8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VLT-CAL-006-JCL-M</v>
      </c>
      <c r="B80" s="28" t="s">
        <v>1909</v>
      </c>
      <c r="C80" s="9" t="s">
        <v>1904</v>
      </c>
      <c r="D80" s="5" t="s">
        <v>1905</v>
      </c>
      <c r="E80" s="5" t="s">
        <v>86</v>
      </c>
      <c r="F80" s="5" t="s">
        <v>892</v>
      </c>
      <c r="G80" s="9" t="s">
        <v>54</v>
      </c>
      <c r="H80" s="11">
        <v>259.89999999999998</v>
      </c>
      <c r="I80" s="11">
        <v>98.54</v>
      </c>
      <c r="J80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80" s="5" t="s">
        <v>1910</v>
      </c>
      <c r="L80" s="28" t="s">
        <v>47</v>
      </c>
      <c r="M80" s="10"/>
      <c r="N80" s="5" t="s">
        <v>376</v>
      </c>
      <c r="O80" s="9" t="s">
        <v>49</v>
      </c>
    </row>
    <row r="81" spans="1:15">
      <c r="A8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VLT-CAL-006-JCL-G</v>
      </c>
      <c r="B81" s="28" t="s">
        <v>1911</v>
      </c>
      <c r="C81" s="9" t="s">
        <v>1904</v>
      </c>
      <c r="D81" s="5" t="s">
        <v>1905</v>
      </c>
      <c r="E81" s="5" t="s">
        <v>86</v>
      </c>
      <c r="F81" s="5" t="s">
        <v>892</v>
      </c>
      <c r="G81" s="9" t="s">
        <v>58</v>
      </c>
      <c r="H81" s="11">
        <v>259.89999999999998</v>
      </c>
      <c r="I81" s="27">
        <v>98.54</v>
      </c>
      <c r="J81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81" s="5" t="s">
        <v>1912</v>
      </c>
      <c r="L81" s="28" t="s">
        <v>47</v>
      </c>
      <c r="M81" s="10"/>
      <c r="N81" s="5" t="s">
        <v>1913</v>
      </c>
      <c r="O81" s="9" t="s">
        <v>49</v>
      </c>
    </row>
    <row r="82" spans="1:15">
      <c r="A8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VLT-CAL-006-JCL-GG</v>
      </c>
      <c r="B82" s="28" t="s">
        <v>1914</v>
      </c>
      <c r="C82" s="9" t="s">
        <v>1904</v>
      </c>
      <c r="D82" s="5" t="s">
        <v>1905</v>
      </c>
      <c r="E82" s="5" t="s">
        <v>86</v>
      </c>
      <c r="F82" s="5" t="s">
        <v>892</v>
      </c>
      <c r="G82" s="9" t="s">
        <v>61</v>
      </c>
      <c r="H82" s="11">
        <v>259.89999999999998</v>
      </c>
      <c r="I82" s="11">
        <v>98.54</v>
      </c>
      <c r="J82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82" s="5" t="s">
        <v>1915</v>
      </c>
      <c r="L82" s="28" t="s">
        <v>47</v>
      </c>
      <c r="M82" s="10"/>
      <c r="N82" s="5" t="s">
        <v>376</v>
      </c>
      <c r="O82" s="9" t="s">
        <v>49</v>
      </c>
    </row>
    <row r="83" spans="1:15">
      <c r="A8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VLT-CAL-006-BEG-XP</v>
      </c>
      <c r="B83" s="5" t="s">
        <v>64</v>
      </c>
      <c r="C83" s="9" t="s">
        <v>1904</v>
      </c>
      <c r="D83" s="5" t="s">
        <v>1905</v>
      </c>
      <c r="E83" s="5" t="s">
        <v>86</v>
      </c>
      <c r="F83" s="5" t="s">
        <v>299</v>
      </c>
      <c r="G83" s="9" t="s">
        <v>45</v>
      </c>
      <c r="H83" s="11">
        <v>259.89999999999998</v>
      </c>
      <c r="I83" s="11"/>
      <c r="J83" s="12" t="str">
        <f>IF(OR(tAtemporais[[#This Row],[Preço (R$)]]="",tAtemporais[[#This Row],[Custo (R$)]]=""),"",(tAtemporais[[#This Row],[Preço (R$)]]-tAtemporais[[#This Row],[Custo (R$)]])/tAtemporais[[#This Row],[Preço (R$)]])</f>
        <v/>
      </c>
      <c r="K83" s="5" t="s">
        <v>1916</v>
      </c>
      <c r="L83" s="28" t="s">
        <v>47</v>
      </c>
      <c r="M83" s="10"/>
      <c r="N83" s="5" t="s">
        <v>470</v>
      </c>
      <c r="O83" s="9" t="s">
        <v>71</v>
      </c>
    </row>
    <row r="84" spans="1:15">
      <c r="A8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VLT-CAL-006-BEG-P</v>
      </c>
      <c r="B84" s="5" t="s">
        <v>1917</v>
      </c>
      <c r="C84" s="9" t="s">
        <v>1904</v>
      </c>
      <c r="D84" s="5" t="s">
        <v>1905</v>
      </c>
      <c r="E84" s="5" t="s">
        <v>86</v>
      </c>
      <c r="F84" s="5" t="s">
        <v>299</v>
      </c>
      <c r="G84" s="9" t="s">
        <v>51</v>
      </c>
      <c r="H84" s="11">
        <v>259.89999999999998</v>
      </c>
      <c r="I84" s="11">
        <v>98.54</v>
      </c>
      <c r="J84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84" s="5" t="s">
        <v>1918</v>
      </c>
      <c r="L84" s="28" t="s">
        <v>47</v>
      </c>
      <c r="M84" s="10"/>
      <c r="N84" s="5" t="s">
        <v>470</v>
      </c>
      <c r="O84" s="9" t="s">
        <v>71</v>
      </c>
    </row>
    <row r="85" spans="1:15">
      <c r="A8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VLT-CAL-006-BEG-M</v>
      </c>
      <c r="B85" s="5" t="s">
        <v>64</v>
      </c>
      <c r="C85" s="9" t="s">
        <v>1904</v>
      </c>
      <c r="D85" s="5" t="s">
        <v>1905</v>
      </c>
      <c r="E85" s="5" t="s">
        <v>86</v>
      </c>
      <c r="F85" s="5" t="s">
        <v>299</v>
      </c>
      <c r="G85" s="9" t="s">
        <v>54</v>
      </c>
      <c r="H85" s="11">
        <v>259.89999999999998</v>
      </c>
      <c r="I85" s="11"/>
      <c r="J85" s="12" t="str">
        <f>IF(OR(tAtemporais[[#This Row],[Preço (R$)]]="",tAtemporais[[#This Row],[Custo (R$)]]=""),"",(tAtemporais[[#This Row],[Preço (R$)]]-tAtemporais[[#This Row],[Custo (R$)]])/tAtemporais[[#This Row],[Preço (R$)]])</f>
        <v/>
      </c>
      <c r="K85" s="5" t="s">
        <v>1919</v>
      </c>
      <c r="L85" s="28" t="s">
        <v>47</v>
      </c>
      <c r="M85" s="10"/>
      <c r="N85" s="5" t="s">
        <v>470</v>
      </c>
      <c r="O85" s="9" t="s">
        <v>71</v>
      </c>
    </row>
    <row r="86" spans="1:15">
      <c r="A8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VLT-CAL-006-BEG-G</v>
      </c>
      <c r="B86" s="5" t="s">
        <v>1920</v>
      </c>
      <c r="C86" s="9" t="s">
        <v>1904</v>
      </c>
      <c r="D86" s="5" t="s">
        <v>1905</v>
      </c>
      <c r="E86" s="5" t="s">
        <v>86</v>
      </c>
      <c r="F86" s="5" t="s">
        <v>299</v>
      </c>
      <c r="G86" s="9" t="s">
        <v>58</v>
      </c>
      <c r="H86" s="11">
        <v>259.89999999999998</v>
      </c>
      <c r="I86" s="11">
        <v>98.54</v>
      </c>
      <c r="J86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86" s="5" t="s">
        <v>1921</v>
      </c>
      <c r="L86" s="28" t="s">
        <v>47</v>
      </c>
      <c r="M86" s="10"/>
      <c r="N86" s="5" t="s">
        <v>470</v>
      </c>
      <c r="O86" s="9" t="s">
        <v>71</v>
      </c>
    </row>
    <row r="87" spans="1:15">
      <c r="A8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VLT-CAL-006-BEG-GG</v>
      </c>
      <c r="B87" s="5" t="s">
        <v>64</v>
      </c>
      <c r="C87" s="9" t="s">
        <v>1904</v>
      </c>
      <c r="D87" s="5" t="s">
        <v>1905</v>
      </c>
      <c r="E87" s="5" t="s">
        <v>86</v>
      </c>
      <c r="F87" s="5" t="s">
        <v>299</v>
      </c>
      <c r="G87" s="9" t="s">
        <v>61</v>
      </c>
      <c r="H87" s="11">
        <v>259.89999999999998</v>
      </c>
      <c r="I87" s="11">
        <v>98.54</v>
      </c>
      <c r="J87" s="12">
        <f>IF(OR(tAtemporais[[#This Row],[Preço (R$)]]="",tAtemporais[[#This Row],[Custo (R$)]]=""),"",(tAtemporais[[#This Row],[Preço (R$)]]-tAtemporais[[#This Row],[Custo (R$)]])/tAtemporais[[#This Row],[Preço (R$)]])</f>
        <v>0.62085417468257009</v>
      </c>
      <c r="K87" s="5" t="s">
        <v>1922</v>
      </c>
      <c r="L87" s="28" t="s">
        <v>47</v>
      </c>
      <c r="M87" s="10"/>
      <c r="N87" s="5" t="s">
        <v>470</v>
      </c>
      <c r="O87" s="9" t="s">
        <v>71</v>
      </c>
    </row>
    <row r="88" spans="1:15">
      <c r="A8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VLT-CAL-007-AZM-P</v>
      </c>
      <c r="B88" s="5" t="s">
        <v>1310</v>
      </c>
      <c r="C88" s="9" t="s">
        <v>1311</v>
      </c>
      <c r="D88" s="5" t="s">
        <v>1312</v>
      </c>
      <c r="E88" s="5" t="s">
        <v>86</v>
      </c>
      <c r="F88" s="5" t="s">
        <v>68</v>
      </c>
      <c r="G88" s="9" t="s">
        <v>51</v>
      </c>
      <c r="H88" s="11">
        <v>249.9</v>
      </c>
      <c r="I88" s="11">
        <v>114.1</v>
      </c>
      <c r="J88" s="12">
        <f>IF(OR(tAtemporais[[#This Row],[Preço (R$)]]="",tAtemporais[[#This Row],[Custo (R$)]]=""),"",(tAtemporais[[#This Row],[Preço (R$)]]-tAtemporais[[#This Row],[Custo (R$)]])/tAtemporais[[#This Row],[Preço (R$)]])</f>
        <v>0.54341736694677878</v>
      </c>
      <c r="K88" s="5" t="s">
        <v>1313</v>
      </c>
      <c r="L88" s="28" t="s">
        <v>47</v>
      </c>
      <c r="M88" s="10"/>
      <c r="N88" s="5" t="s">
        <v>1923</v>
      </c>
      <c r="O88" s="9" t="s">
        <v>49</v>
      </c>
    </row>
    <row r="89" spans="1:15">
      <c r="A8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VLT-CAL-007-AZM-M</v>
      </c>
      <c r="B89" s="5" t="s">
        <v>1314</v>
      </c>
      <c r="C89" s="9" t="s">
        <v>1311</v>
      </c>
      <c r="D89" s="5" t="s">
        <v>1312</v>
      </c>
      <c r="E89" s="5" t="s">
        <v>86</v>
      </c>
      <c r="F89" s="5" t="s">
        <v>68</v>
      </c>
      <c r="G89" s="9" t="s">
        <v>54</v>
      </c>
      <c r="H89" s="11">
        <v>249.9</v>
      </c>
      <c r="I89" s="11">
        <v>116.38</v>
      </c>
      <c r="J89" s="12">
        <f>IF(OR(tAtemporais[[#This Row],[Preço (R$)]]="",tAtemporais[[#This Row],[Custo (R$)]]=""),"",(tAtemporais[[#This Row],[Preço (R$)]]-tAtemporais[[#This Row],[Custo (R$)]])/tAtemporais[[#This Row],[Preço (R$)]])</f>
        <v>0.53429371748699483</v>
      </c>
      <c r="K89" s="5" t="s">
        <v>1315</v>
      </c>
      <c r="L89" s="28" t="s">
        <v>47</v>
      </c>
      <c r="M89" s="10"/>
      <c r="N89" s="5" t="s">
        <v>1924</v>
      </c>
      <c r="O89" s="9" t="s">
        <v>49</v>
      </c>
    </row>
    <row r="90" spans="1:15">
      <c r="A9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VLT-CAL-007-AZM-G</v>
      </c>
      <c r="B90" s="5" t="s">
        <v>1316</v>
      </c>
      <c r="C90" s="9" t="s">
        <v>1311</v>
      </c>
      <c r="D90" s="5" t="s">
        <v>1312</v>
      </c>
      <c r="E90" s="5" t="s">
        <v>86</v>
      </c>
      <c r="F90" s="5" t="s">
        <v>68</v>
      </c>
      <c r="G90" s="9" t="s">
        <v>58</v>
      </c>
      <c r="H90" s="11">
        <v>249.9</v>
      </c>
      <c r="I90" s="11">
        <v>114.1</v>
      </c>
      <c r="J90" s="12">
        <f>IF(OR(tAtemporais[[#This Row],[Preço (R$)]]="",tAtemporais[[#This Row],[Custo (R$)]]=""),"",(tAtemporais[[#This Row],[Preço (R$)]]-tAtemporais[[#This Row],[Custo (R$)]])/tAtemporais[[#This Row],[Preço (R$)]])</f>
        <v>0.54341736694677878</v>
      </c>
      <c r="K90" s="5" t="s">
        <v>1317</v>
      </c>
      <c r="L90" s="28" t="s">
        <v>47</v>
      </c>
      <c r="M90" s="10"/>
      <c r="N90" s="5" t="s">
        <v>1925</v>
      </c>
      <c r="O90" s="9" t="s">
        <v>49</v>
      </c>
    </row>
    <row r="91" spans="1:15">
      <c r="A9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VLT-CAL-007-AZM-GG</v>
      </c>
      <c r="B91" s="5" t="s">
        <v>1319</v>
      </c>
      <c r="C91" s="9" t="s">
        <v>1311</v>
      </c>
      <c r="D91" s="5" t="s">
        <v>1312</v>
      </c>
      <c r="E91" s="5" t="s">
        <v>86</v>
      </c>
      <c r="F91" s="5" t="s">
        <v>68</v>
      </c>
      <c r="G91" s="9" t="s">
        <v>61</v>
      </c>
      <c r="H91" s="11">
        <v>249.9</v>
      </c>
      <c r="I91" s="11">
        <v>112.8</v>
      </c>
      <c r="J91" s="12">
        <f>IF(OR(tAtemporais[[#This Row],[Preço (R$)]]="",tAtemporais[[#This Row],[Custo (R$)]]=""),"",(tAtemporais[[#This Row],[Preço (R$)]]-tAtemporais[[#This Row],[Custo (R$)]])/tAtemporais[[#This Row],[Preço (R$)]])</f>
        <v>0.54861944777911176</v>
      </c>
      <c r="K91" s="5" t="s">
        <v>1320</v>
      </c>
      <c r="L91" s="28" t="s">
        <v>47</v>
      </c>
      <c r="M91" s="10"/>
      <c r="N91" s="5" t="s">
        <v>1923</v>
      </c>
      <c r="O91" s="9" t="s">
        <v>49</v>
      </c>
    </row>
    <row r="92" spans="1:15">
      <c r="A9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VLT-TRI-004-BRA-P</v>
      </c>
      <c r="B92" s="5" t="s">
        <v>1926</v>
      </c>
      <c r="C92" s="9" t="s">
        <v>1927</v>
      </c>
      <c r="D92" s="5" t="s">
        <v>1928</v>
      </c>
      <c r="E92" s="5" t="s">
        <v>445</v>
      </c>
      <c r="F92" s="5" t="s">
        <v>77</v>
      </c>
      <c r="G92" s="9" t="s">
        <v>51</v>
      </c>
      <c r="H92" s="11">
        <v>259.89999999999998</v>
      </c>
      <c r="I92" s="11">
        <v>104.26</v>
      </c>
      <c r="J92" s="12">
        <f>IF(OR(tAtemporais[[#This Row],[Preço (R$)]]="",tAtemporais[[#This Row],[Custo (R$)]]=""),"",(tAtemporais[[#This Row],[Preço (R$)]]-tAtemporais[[#This Row],[Custo (R$)]])/tAtemporais[[#This Row],[Preço (R$)]])</f>
        <v>0.59884570988841868</v>
      </c>
      <c r="K92" s="5" t="s">
        <v>1929</v>
      </c>
      <c r="L92" s="28" t="s">
        <v>101</v>
      </c>
      <c r="M92" s="10"/>
      <c r="N92" s="5" t="s">
        <v>493</v>
      </c>
      <c r="O92" s="9" t="s">
        <v>49</v>
      </c>
    </row>
    <row r="93" spans="1:15">
      <c r="A9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VLT-TRI-004-BRA-M</v>
      </c>
      <c r="B93" s="28" t="s">
        <v>1930</v>
      </c>
      <c r="C93" s="9" t="s">
        <v>1927</v>
      </c>
      <c r="D93" s="5" t="s">
        <v>1928</v>
      </c>
      <c r="E93" s="5" t="s">
        <v>445</v>
      </c>
      <c r="F93" s="5" t="s">
        <v>77</v>
      </c>
      <c r="G93" s="9" t="s">
        <v>54</v>
      </c>
      <c r="H93" s="11">
        <v>259.89999999999998</v>
      </c>
      <c r="I93" s="11">
        <v>104.26</v>
      </c>
      <c r="J93" s="12">
        <f>IF(OR(tAtemporais[[#This Row],[Preço (R$)]]="",tAtemporais[[#This Row],[Custo (R$)]]=""),"",(tAtemporais[[#This Row],[Preço (R$)]]-tAtemporais[[#This Row],[Custo (R$)]])/tAtemporais[[#This Row],[Preço (R$)]])</f>
        <v>0.59884570988841868</v>
      </c>
      <c r="K93" s="5" t="s">
        <v>1931</v>
      </c>
      <c r="L93" s="28" t="s">
        <v>101</v>
      </c>
      <c r="M93" s="10"/>
      <c r="N93" s="5" t="s">
        <v>1932</v>
      </c>
      <c r="O93" s="9" t="s">
        <v>49</v>
      </c>
    </row>
    <row r="94" spans="1:15">
      <c r="A9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VLT-TRI-004-BRA-G</v>
      </c>
      <c r="B94" s="28" t="s">
        <v>1933</v>
      </c>
      <c r="C94" s="9" t="s">
        <v>1927</v>
      </c>
      <c r="D94" s="5" t="s">
        <v>1928</v>
      </c>
      <c r="E94" s="5" t="s">
        <v>445</v>
      </c>
      <c r="F94" s="5" t="s">
        <v>77</v>
      </c>
      <c r="G94" s="9" t="s">
        <v>58</v>
      </c>
      <c r="H94" s="11">
        <v>259.89999999999998</v>
      </c>
      <c r="I94" s="11">
        <v>104.26</v>
      </c>
      <c r="J94" s="12">
        <f>IF(OR(tAtemporais[[#This Row],[Preço (R$)]]="",tAtemporais[[#This Row],[Custo (R$)]]=""),"",(tAtemporais[[#This Row],[Preço (R$)]]-tAtemporais[[#This Row],[Custo (R$)]])/tAtemporais[[#This Row],[Preço (R$)]])</f>
        <v>0.59884570988841868</v>
      </c>
      <c r="K94" s="5" t="s">
        <v>1934</v>
      </c>
      <c r="L94" s="28" t="s">
        <v>101</v>
      </c>
      <c r="M94" s="10"/>
      <c r="N94" s="5" t="s">
        <v>1935</v>
      </c>
      <c r="O94" s="9" t="s">
        <v>49</v>
      </c>
    </row>
    <row r="95" spans="1:15">
      <c r="A9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VLT-TRI-004-BRA-GG</v>
      </c>
      <c r="B95" s="28" t="s">
        <v>1936</v>
      </c>
      <c r="C95" s="9" t="s">
        <v>1927</v>
      </c>
      <c r="D95" s="5" t="s">
        <v>1928</v>
      </c>
      <c r="E95" s="5" t="s">
        <v>445</v>
      </c>
      <c r="F95" s="5" t="s">
        <v>77</v>
      </c>
      <c r="G95" s="9" t="s">
        <v>61</v>
      </c>
      <c r="H95" s="11">
        <v>259.89999999999998</v>
      </c>
      <c r="I95" s="11">
        <v>104.26</v>
      </c>
      <c r="J95" s="12">
        <f>IF(OR(tAtemporais[[#This Row],[Preço (R$)]]="",tAtemporais[[#This Row],[Custo (R$)]]=""),"",(tAtemporais[[#This Row],[Preço (R$)]]-tAtemporais[[#This Row],[Custo (R$)]])/tAtemporais[[#This Row],[Preço (R$)]])</f>
        <v>0.59884570988841868</v>
      </c>
      <c r="K95" s="5" t="s">
        <v>1937</v>
      </c>
      <c r="L95" s="28" t="s">
        <v>101</v>
      </c>
      <c r="M95" s="10"/>
      <c r="N95" s="5" t="s">
        <v>1935</v>
      </c>
      <c r="O95" s="9" t="s">
        <v>49</v>
      </c>
    </row>
    <row r="96" spans="1:15">
      <c r="A9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VLT-CMS-001-BEG-P</v>
      </c>
      <c r="B96" s="28" t="s">
        <v>1938</v>
      </c>
      <c r="C96" s="9" t="s">
        <v>1939</v>
      </c>
      <c r="D96" s="5" t="s">
        <v>1940</v>
      </c>
      <c r="E96" s="5" t="s">
        <v>67</v>
      </c>
      <c r="F96" s="5" t="s">
        <v>299</v>
      </c>
      <c r="G96" s="9" t="s">
        <v>51</v>
      </c>
      <c r="H96" s="11">
        <v>159.9</v>
      </c>
      <c r="I96" s="11">
        <v>77.599999999999994</v>
      </c>
      <c r="J96" s="12">
        <f>IF(OR(tAtemporais[[#This Row],[Preço (R$)]]="",tAtemporais[[#This Row],[Custo (R$)]]=""),"",(tAtemporais[[#This Row],[Preço (R$)]]-tAtemporais[[#This Row],[Custo (R$)]])/tAtemporais[[#This Row],[Preço (R$)]])</f>
        <v>0.51469668542839275</v>
      </c>
      <c r="K96" s="5" t="s">
        <v>1941</v>
      </c>
      <c r="L96" s="28" t="s">
        <v>47</v>
      </c>
      <c r="M96" s="10"/>
      <c r="N96" s="5" t="s">
        <v>1942</v>
      </c>
      <c r="O96" s="9" t="s">
        <v>49</v>
      </c>
    </row>
    <row r="97" spans="1:15">
      <c r="A9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VLT-CMS-001-BEG-M</v>
      </c>
      <c r="B97" s="28" t="s">
        <v>1943</v>
      </c>
      <c r="C97" s="9" t="s">
        <v>1939</v>
      </c>
      <c r="D97" s="5" t="s">
        <v>1940</v>
      </c>
      <c r="E97" s="5" t="s">
        <v>67</v>
      </c>
      <c r="F97" s="5" t="s">
        <v>299</v>
      </c>
      <c r="G97" s="9" t="s">
        <v>54</v>
      </c>
      <c r="H97" s="11">
        <v>159.9</v>
      </c>
      <c r="I97" s="11">
        <v>77.599999999999994</v>
      </c>
      <c r="J97" s="12">
        <f>IF(OR(tAtemporais[[#This Row],[Preço (R$)]]="",tAtemporais[[#This Row],[Custo (R$)]]=""),"",(tAtemporais[[#This Row],[Preço (R$)]]-tAtemporais[[#This Row],[Custo (R$)]])/tAtemporais[[#This Row],[Preço (R$)]])</f>
        <v>0.51469668542839275</v>
      </c>
      <c r="K97" s="5" t="s">
        <v>1944</v>
      </c>
      <c r="L97" s="28" t="s">
        <v>47</v>
      </c>
      <c r="M97" s="10"/>
      <c r="N97" s="5" t="s">
        <v>1942</v>
      </c>
      <c r="O97" s="9" t="s">
        <v>49</v>
      </c>
    </row>
    <row r="98" spans="1:15">
      <c r="A9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VLT-CMS-001-BEG-G</v>
      </c>
      <c r="B98" s="28" t="s">
        <v>1945</v>
      </c>
      <c r="C98" s="9" t="s">
        <v>1939</v>
      </c>
      <c r="D98" s="5" t="s">
        <v>1940</v>
      </c>
      <c r="E98" s="5" t="s">
        <v>67</v>
      </c>
      <c r="F98" s="5" t="s">
        <v>299</v>
      </c>
      <c r="G98" s="9" t="s">
        <v>58</v>
      </c>
      <c r="H98" s="11">
        <v>159.9</v>
      </c>
      <c r="I98" s="11">
        <v>77.599999999999994</v>
      </c>
      <c r="J98" s="12">
        <f>IF(OR(tAtemporais[[#This Row],[Preço (R$)]]="",tAtemporais[[#This Row],[Custo (R$)]]=""),"",(tAtemporais[[#This Row],[Preço (R$)]]-tAtemporais[[#This Row],[Custo (R$)]])/tAtemporais[[#This Row],[Preço (R$)]])</f>
        <v>0.51469668542839275</v>
      </c>
      <c r="K98" s="5" t="s">
        <v>1946</v>
      </c>
      <c r="L98" s="28" t="s">
        <v>47</v>
      </c>
      <c r="M98" s="10"/>
      <c r="N98" s="5" t="s">
        <v>1942</v>
      </c>
      <c r="O98" s="9" t="s">
        <v>49</v>
      </c>
    </row>
    <row r="99" spans="1:15">
      <c r="A9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VLT-CMS-001-BEG-GG</v>
      </c>
      <c r="B99" s="28" t="s">
        <v>1947</v>
      </c>
      <c r="C99" s="9" t="s">
        <v>1939</v>
      </c>
      <c r="D99" s="5" t="s">
        <v>1940</v>
      </c>
      <c r="E99" s="5" t="s">
        <v>67</v>
      </c>
      <c r="F99" s="5" t="s">
        <v>299</v>
      </c>
      <c r="G99" s="9" t="s">
        <v>61</v>
      </c>
      <c r="H99" s="11">
        <v>159.9</v>
      </c>
      <c r="I99" s="11">
        <v>77.599999999999994</v>
      </c>
      <c r="J99" s="12">
        <f>IF(OR(tAtemporais[[#This Row],[Preço (R$)]]="",tAtemporais[[#This Row],[Custo (R$)]]=""),"",(tAtemporais[[#This Row],[Preço (R$)]]-tAtemporais[[#This Row],[Custo (R$)]])/tAtemporais[[#This Row],[Preço (R$)]])</f>
        <v>0.51469668542839275</v>
      </c>
      <c r="K99" s="5" t="s">
        <v>1948</v>
      </c>
      <c r="L99" s="28" t="s">
        <v>47</v>
      </c>
      <c r="M99" s="10"/>
      <c r="N99" s="5" t="s">
        <v>1942</v>
      </c>
      <c r="O99" s="9" t="s">
        <v>49</v>
      </c>
    </row>
    <row r="100" spans="1:15">
      <c r="A10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VLT-CAM-002-AZM-XP</v>
      </c>
      <c r="B100" s="28" t="s">
        <v>1949</v>
      </c>
      <c r="C100" s="9" t="s">
        <v>1950</v>
      </c>
      <c r="D100" s="5" t="s">
        <v>1951</v>
      </c>
      <c r="E100" s="5" t="s">
        <v>128</v>
      </c>
      <c r="F100" s="5" t="s">
        <v>68</v>
      </c>
      <c r="G100" s="9" t="s">
        <v>45</v>
      </c>
      <c r="H100" s="11">
        <v>139.9</v>
      </c>
      <c r="I100" s="27">
        <v>59.97</v>
      </c>
      <c r="J100" s="12">
        <f>IF(OR(tAtemporais[[#This Row],[Preço (R$)]]="",tAtemporais[[#This Row],[Custo (R$)]]=""),"",(tAtemporais[[#This Row],[Preço (R$)]]-tAtemporais[[#This Row],[Custo (R$)]])/tAtemporais[[#This Row],[Preço (R$)]])</f>
        <v>0.57133666904932101</v>
      </c>
      <c r="K100" s="5" t="s">
        <v>1952</v>
      </c>
      <c r="L100" s="28" t="s">
        <v>101</v>
      </c>
      <c r="M100" s="10"/>
      <c r="N100" s="5" t="s">
        <v>1953</v>
      </c>
      <c r="O100" s="9" t="s">
        <v>49</v>
      </c>
    </row>
    <row r="101" spans="1:15">
      <c r="A10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VLT-CAM-002-AZM-P</v>
      </c>
      <c r="B101" s="28" t="s">
        <v>1954</v>
      </c>
      <c r="C101" s="9" t="s">
        <v>1950</v>
      </c>
      <c r="D101" s="5" t="s">
        <v>1951</v>
      </c>
      <c r="E101" s="5" t="s">
        <v>128</v>
      </c>
      <c r="F101" s="5" t="s">
        <v>68</v>
      </c>
      <c r="G101" s="9" t="s">
        <v>51</v>
      </c>
      <c r="H101" s="11">
        <v>139.9</v>
      </c>
      <c r="I101" s="11">
        <v>59.97</v>
      </c>
      <c r="J101" s="12">
        <f>IF(OR(tAtemporais[[#This Row],[Preço (R$)]]="",tAtemporais[[#This Row],[Custo (R$)]]=""),"",(tAtemporais[[#This Row],[Preço (R$)]]-tAtemporais[[#This Row],[Custo (R$)]])/tAtemporais[[#This Row],[Preço (R$)]])</f>
        <v>0.57133666904932101</v>
      </c>
      <c r="K101" s="5" t="s">
        <v>1955</v>
      </c>
      <c r="L101" s="28" t="s">
        <v>101</v>
      </c>
      <c r="M101" s="10"/>
      <c r="N101" s="5" t="s">
        <v>376</v>
      </c>
      <c r="O101" s="9" t="s">
        <v>49</v>
      </c>
    </row>
    <row r="102" spans="1:15">
      <c r="A10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VLT-CAM-002-AZM-M</v>
      </c>
      <c r="B102" s="28" t="s">
        <v>1956</v>
      </c>
      <c r="C102" s="9" t="s">
        <v>1950</v>
      </c>
      <c r="D102" s="5" t="s">
        <v>1951</v>
      </c>
      <c r="E102" s="5" t="s">
        <v>128</v>
      </c>
      <c r="F102" s="5" t="s">
        <v>68</v>
      </c>
      <c r="G102" s="9" t="s">
        <v>54</v>
      </c>
      <c r="H102" s="11">
        <v>139.9</v>
      </c>
      <c r="I102" s="27">
        <v>59.97</v>
      </c>
      <c r="J102" s="12">
        <f>IF(OR(tAtemporais[[#This Row],[Preço (R$)]]="",tAtemporais[[#This Row],[Custo (R$)]]=""),"",(tAtemporais[[#This Row],[Preço (R$)]]-tAtemporais[[#This Row],[Custo (R$)]])/tAtemporais[[#This Row],[Preço (R$)]])</f>
        <v>0.57133666904932101</v>
      </c>
      <c r="K102" s="5" t="s">
        <v>1957</v>
      </c>
      <c r="L102" s="28" t="s">
        <v>101</v>
      </c>
      <c r="M102" s="10"/>
      <c r="N102" s="5" t="s">
        <v>1953</v>
      </c>
      <c r="O102" s="9" t="s">
        <v>49</v>
      </c>
    </row>
    <row r="103" spans="1:15">
      <c r="A10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VLT-CAM-002-AZM-G</v>
      </c>
      <c r="B103" s="28" t="s">
        <v>1958</v>
      </c>
      <c r="C103" s="9" t="s">
        <v>1950</v>
      </c>
      <c r="D103" s="5" t="s">
        <v>1951</v>
      </c>
      <c r="E103" s="5" t="s">
        <v>128</v>
      </c>
      <c r="F103" s="5" t="s">
        <v>68</v>
      </c>
      <c r="G103" s="9" t="s">
        <v>58</v>
      </c>
      <c r="H103" s="11">
        <v>139.9</v>
      </c>
      <c r="I103" s="11">
        <v>59.97</v>
      </c>
      <c r="J103" s="12">
        <f>IF(OR(tAtemporais[[#This Row],[Preço (R$)]]="",tAtemporais[[#This Row],[Custo (R$)]]=""),"",(tAtemporais[[#This Row],[Preço (R$)]]-tAtemporais[[#This Row],[Custo (R$)]])/tAtemporais[[#This Row],[Preço (R$)]])</f>
        <v>0.57133666904932101</v>
      </c>
      <c r="K103" s="5" t="s">
        <v>1959</v>
      </c>
      <c r="L103" s="28" t="s">
        <v>101</v>
      </c>
      <c r="M103" s="10"/>
      <c r="N103" s="5" t="s">
        <v>376</v>
      </c>
      <c r="O103" s="9" t="s">
        <v>49</v>
      </c>
    </row>
    <row r="104" spans="1:15">
      <c r="A10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VLT-CAM-002-AZM-GG</v>
      </c>
      <c r="B104" s="28" t="s">
        <v>1960</v>
      </c>
      <c r="C104" s="9" t="s">
        <v>1950</v>
      </c>
      <c r="D104" s="5" t="s">
        <v>1951</v>
      </c>
      <c r="E104" s="5" t="s">
        <v>128</v>
      </c>
      <c r="F104" s="5" t="s">
        <v>68</v>
      </c>
      <c r="G104" s="9" t="s">
        <v>61</v>
      </c>
      <c r="H104" s="11">
        <v>139.9</v>
      </c>
      <c r="I104" s="11">
        <v>59.97</v>
      </c>
      <c r="J104" s="12">
        <f>IF(OR(tAtemporais[[#This Row],[Preço (R$)]]="",tAtemporais[[#This Row],[Custo (R$)]]=""),"",(tAtemporais[[#This Row],[Preço (R$)]]-tAtemporais[[#This Row],[Custo (R$)]])/tAtemporais[[#This Row],[Preço (R$)]])</f>
        <v>0.57133666904932101</v>
      </c>
      <c r="K104" s="5" t="s">
        <v>1961</v>
      </c>
      <c r="L104" s="28" t="s">
        <v>101</v>
      </c>
      <c r="M104" s="10"/>
      <c r="N104" s="5" t="s">
        <v>376</v>
      </c>
      <c r="O104" s="9" t="s">
        <v>49</v>
      </c>
    </row>
    <row r="105" spans="1:15">
      <c r="A10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VLT-CMS-002-BEG-P</v>
      </c>
      <c r="B105" s="28" t="s">
        <v>1962</v>
      </c>
      <c r="C105" s="9" t="s">
        <v>1963</v>
      </c>
      <c r="D105" s="5" t="s">
        <v>1964</v>
      </c>
      <c r="E105" s="5" t="s">
        <v>67</v>
      </c>
      <c r="F105" s="5" t="s">
        <v>299</v>
      </c>
      <c r="G105" s="9" t="s">
        <v>51</v>
      </c>
      <c r="H105" s="11">
        <v>179.9</v>
      </c>
      <c r="I105" s="27">
        <v>80.8</v>
      </c>
      <c r="J105" s="12">
        <f>IF(OR(tAtemporais[[#This Row],[Preço (R$)]]="",tAtemporais[[#This Row],[Custo (R$)]]=""),"",(tAtemporais[[#This Row],[Preço (R$)]]-tAtemporais[[#This Row],[Custo (R$)]])/tAtemporais[[#This Row],[Preço (R$)]])</f>
        <v>0.55086158977209565</v>
      </c>
      <c r="K105" s="5" t="s">
        <v>1965</v>
      </c>
      <c r="L105" s="28" t="s">
        <v>70</v>
      </c>
      <c r="M105" s="10"/>
      <c r="N105" s="5" t="s">
        <v>1966</v>
      </c>
      <c r="O105" s="9" t="s">
        <v>49</v>
      </c>
    </row>
    <row r="106" spans="1:15">
      <c r="A10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VLT-CMS-002-BEG-M</v>
      </c>
      <c r="B106" s="5" t="s">
        <v>1967</v>
      </c>
      <c r="C106" s="9" t="s">
        <v>1963</v>
      </c>
      <c r="D106" s="5" t="s">
        <v>1964</v>
      </c>
      <c r="E106" s="5" t="s">
        <v>67</v>
      </c>
      <c r="F106" s="5" t="s">
        <v>299</v>
      </c>
      <c r="G106" s="9" t="s">
        <v>54</v>
      </c>
      <c r="H106" s="11">
        <v>179.9</v>
      </c>
      <c r="I106" s="11">
        <v>80.8</v>
      </c>
      <c r="J106" s="12">
        <f>IF(OR(tAtemporais[[#This Row],[Preço (R$)]]="",tAtemporais[[#This Row],[Custo (R$)]]=""),"",(tAtemporais[[#This Row],[Preço (R$)]]-tAtemporais[[#This Row],[Custo (R$)]])/tAtemporais[[#This Row],[Preço (R$)]])</f>
        <v>0.55086158977209565</v>
      </c>
      <c r="K106" s="5" t="s">
        <v>1968</v>
      </c>
      <c r="L106" s="28" t="s">
        <v>70</v>
      </c>
      <c r="M106" s="10"/>
      <c r="N106" s="5" t="s">
        <v>871</v>
      </c>
      <c r="O106" s="9" t="s">
        <v>49</v>
      </c>
    </row>
    <row r="107" spans="1:15">
      <c r="A10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VLT-CMS-002-BEG-G</v>
      </c>
      <c r="B107" s="28" t="s">
        <v>1969</v>
      </c>
      <c r="C107" s="9" t="s">
        <v>1963</v>
      </c>
      <c r="D107" s="5" t="s">
        <v>1964</v>
      </c>
      <c r="E107" s="5" t="s">
        <v>67</v>
      </c>
      <c r="F107" s="5" t="s">
        <v>299</v>
      </c>
      <c r="G107" s="9" t="s">
        <v>58</v>
      </c>
      <c r="H107" s="11">
        <v>179.9</v>
      </c>
      <c r="I107" s="27">
        <v>80.8</v>
      </c>
      <c r="J107" s="12">
        <f>IF(OR(tAtemporais[[#This Row],[Preço (R$)]]="",tAtemporais[[#This Row],[Custo (R$)]]=""),"",(tAtemporais[[#This Row],[Preço (R$)]]-tAtemporais[[#This Row],[Custo (R$)]])/tAtemporais[[#This Row],[Preço (R$)]])</f>
        <v>0.55086158977209565</v>
      </c>
      <c r="K107" s="5" t="s">
        <v>1970</v>
      </c>
      <c r="L107" s="28" t="s">
        <v>70</v>
      </c>
      <c r="M107" s="10"/>
      <c r="N107" s="5" t="s">
        <v>1966</v>
      </c>
      <c r="O107" s="9" t="s">
        <v>49</v>
      </c>
    </row>
    <row r="108" spans="1:15">
      <c r="A10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VLT-CMS-002-BEG-GG</v>
      </c>
      <c r="B108" s="28" t="s">
        <v>1971</v>
      </c>
      <c r="C108" s="9" t="s">
        <v>1963</v>
      </c>
      <c r="D108" s="5" t="s">
        <v>1964</v>
      </c>
      <c r="E108" s="5" t="s">
        <v>67</v>
      </c>
      <c r="F108" s="5" t="s">
        <v>299</v>
      </c>
      <c r="G108" s="9" t="s">
        <v>61</v>
      </c>
      <c r="H108" s="11">
        <v>179.9</v>
      </c>
      <c r="I108" s="11">
        <v>80.8</v>
      </c>
      <c r="J108" s="12">
        <f>IF(OR(tAtemporais[[#This Row],[Preço (R$)]]="",tAtemporais[[#This Row],[Custo (R$)]]=""),"",(tAtemporais[[#This Row],[Preço (R$)]]-tAtemporais[[#This Row],[Custo (R$)]])/tAtemporais[[#This Row],[Preço (R$)]])</f>
        <v>0.55086158977209565</v>
      </c>
      <c r="K108" s="5" t="s">
        <v>1972</v>
      </c>
      <c r="L108" s="28" t="s">
        <v>70</v>
      </c>
      <c r="M108" s="10"/>
      <c r="N108" s="5" t="s">
        <v>1973</v>
      </c>
      <c r="O108" s="9" t="s">
        <v>49</v>
      </c>
    </row>
    <row r="109" spans="1:15">
      <c r="A10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VLT-CAM-003-CIN-P</v>
      </c>
      <c r="B109" s="28" t="s">
        <v>1974</v>
      </c>
      <c r="C109" s="9" t="s">
        <v>1975</v>
      </c>
      <c r="D109" s="5" t="s">
        <v>1976</v>
      </c>
      <c r="E109" s="5" t="s">
        <v>128</v>
      </c>
      <c r="F109" s="5" t="s">
        <v>164</v>
      </c>
      <c r="G109" s="9" t="s">
        <v>51</v>
      </c>
      <c r="H109" s="11">
        <v>169.9</v>
      </c>
      <c r="I109" s="11">
        <v>75.739999999999995</v>
      </c>
      <c r="J109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09" s="5" t="s">
        <v>1977</v>
      </c>
      <c r="L109" s="28" t="s">
        <v>101</v>
      </c>
      <c r="M109" s="10"/>
      <c r="N109" s="5" t="s">
        <v>376</v>
      </c>
      <c r="O109" s="9" t="s">
        <v>49</v>
      </c>
    </row>
    <row r="110" spans="1:15">
      <c r="A11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VLT-CAM-003-CIN-M</v>
      </c>
      <c r="B110" s="28" t="s">
        <v>1978</v>
      </c>
      <c r="C110" s="9" t="s">
        <v>1975</v>
      </c>
      <c r="D110" s="5" t="s">
        <v>1976</v>
      </c>
      <c r="E110" s="5" t="s">
        <v>128</v>
      </c>
      <c r="F110" s="5" t="s">
        <v>164</v>
      </c>
      <c r="G110" s="9" t="s">
        <v>54</v>
      </c>
      <c r="H110" s="11">
        <v>169.9</v>
      </c>
      <c r="I110" s="11">
        <v>75.739999999999995</v>
      </c>
      <c r="J110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10" s="5" t="s">
        <v>1979</v>
      </c>
      <c r="L110" s="28" t="s">
        <v>101</v>
      </c>
      <c r="M110" s="10"/>
      <c r="N110" s="5" t="s">
        <v>376</v>
      </c>
      <c r="O110" s="9" t="s">
        <v>49</v>
      </c>
    </row>
    <row r="111" spans="1:15">
      <c r="A11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VLT-CAM-003-CIN-G</v>
      </c>
      <c r="B111" s="28" t="s">
        <v>1980</v>
      </c>
      <c r="C111" s="9" t="s">
        <v>1975</v>
      </c>
      <c r="D111" s="5" t="s">
        <v>1976</v>
      </c>
      <c r="E111" s="5" t="s">
        <v>128</v>
      </c>
      <c r="F111" s="5" t="s">
        <v>164</v>
      </c>
      <c r="G111" s="9" t="s">
        <v>58</v>
      </c>
      <c r="H111" s="11">
        <v>169.9</v>
      </c>
      <c r="I111" s="11">
        <v>75.739999999999995</v>
      </c>
      <c r="J111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11" s="5" t="s">
        <v>1981</v>
      </c>
      <c r="L111" s="28" t="s">
        <v>101</v>
      </c>
      <c r="M111" s="10"/>
      <c r="N111" s="5" t="s">
        <v>376</v>
      </c>
      <c r="O111" s="9" t="s">
        <v>49</v>
      </c>
    </row>
    <row r="112" spans="1:15">
      <c r="A11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VLT-CAM-003-CIN-GG</v>
      </c>
      <c r="B112" s="28" t="s">
        <v>1982</v>
      </c>
      <c r="C112" s="9" t="s">
        <v>1975</v>
      </c>
      <c r="D112" s="5" t="s">
        <v>1976</v>
      </c>
      <c r="E112" s="5" t="s">
        <v>128</v>
      </c>
      <c r="F112" s="5" t="s">
        <v>164</v>
      </c>
      <c r="G112" s="9" t="s">
        <v>61</v>
      </c>
      <c r="H112" s="11">
        <v>169.9</v>
      </c>
      <c r="I112" s="11">
        <v>75.739999999999995</v>
      </c>
      <c r="J112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12" s="5" t="s">
        <v>1983</v>
      </c>
      <c r="L112" s="28" t="s">
        <v>101</v>
      </c>
      <c r="M112" s="10"/>
      <c r="N112" s="5" t="s">
        <v>376</v>
      </c>
      <c r="O112" s="9" t="s">
        <v>49</v>
      </c>
    </row>
    <row r="113" spans="1:15">
      <c r="A11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VLT-CAM-003-AZM-P</v>
      </c>
      <c r="B113" s="5" t="s">
        <v>1984</v>
      </c>
      <c r="C113" s="9" t="s">
        <v>1975</v>
      </c>
      <c r="D113" s="5" t="s">
        <v>1976</v>
      </c>
      <c r="E113" s="5" t="s">
        <v>128</v>
      </c>
      <c r="F113" s="5" t="s">
        <v>68</v>
      </c>
      <c r="G113" s="9" t="s">
        <v>51</v>
      </c>
      <c r="H113" s="11">
        <v>169.9</v>
      </c>
      <c r="I113" s="27">
        <v>75.739999999999995</v>
      </c>
      <c r="J113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13" s="5" t="s">
        <v>1985</v>
      </c>
      <c r="L113" s="28" t="s">
        <v>101</v>
      </c>
      <c r="M113" s="10"/>
      <c r="N113" s="5" t="s">
        <v>1986</v>
      </c>
      <c r="O113" s="9" t="s">
        <v>49</v>
      </c>
    </row>
    <row r="114" spans="1:15">
      <c r="A11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VLT-CAM-003-AZM-M</v>
      </c>
      <c r="B114" s="28" t="s">
        <v>1987</v>
      </c>
      <c r="C114" s="9" t="s">
        <v>1975</v>
      </c>
      <c r="D114" s="5" t="s">
        <v>1976</v>
      </c>
      <c r="E114" s="5" t="s">
        <v>128</v>
      </c>
      <c r="F114" s="5" t="s">
        <v>68</v>
      </c>
      <c r="G114" s="9" t="s">
        <v>54</v>
      </c>
      <c r="H114" s="11">
        <v>169.9</v>
      </c>
      <c r="I114" s="11">
        <v>75.739999999999995</v>
      </c>
      <c r="J114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14" s="5" t="s">
        <v>1988</v>
      </c>
      <c r="L114" s="28" t="s">
        <v>101</v>
      </c>
      <c r="M114" s="10"/>
      <c r="N114" s="5" t="s">
        <v>376</v>
      </c>
      <c r="O114" s="9" t="s">
        <v>49</v>
      </c>
    </row>
    <row r="115" spans="1:15">
      <c r="A11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VLT-CAM-003-AZM-G</v>
      </c>
      <c r="B115" s="28" t="s">
        <v>1989</v>
      </c>
      <c r="C115" s="9" t="s">
        <v>1975</v>
      </c>
      <c r="D115" s="5" t="s">
        <v>1976</v>
      </c>
      <c r="E115" s="5" t="s">
        <v>128</v>
      </c>
      <c r="F115" s="5" t="s">
        <v>68</v>
      </c>
      <c r="G115" s="9" t="s">
        <v>58</v>
      </c>
      <c r="H115" s="11">
        <v>169.9</v>
      </c>
      <c r="I115" s="11">
        <v>75.739999999999995</v>
      </c>
      <c r="J115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15" s="5" t="s">
        <v>1990</v>
      </c>
      <c r="L115" s="28" t="s">
        <v>101</v>
      </c>
      <c r="M115" s="10"/>
      <c r="N115" s="5" t="s">
        <v>376</v>
      </c>
      <c r="O115" s="9" t="s">
        <v>49</v>
      </c>
    </row>
    <row r="116" spans="1:15">
      <c r="A11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VLT-CAM-003-AZM-GG</v>
      </c>
      <c r="B116" s="28" t="s">
        <v>1991</v>
      </c>
      <c r="C116" s="9" t="s">
        <v>1975</v>
      </c>
      <c r="D116" s="5" t="s">
        <v>1976</v>
      </c>
      <c r="E116" s="5" t="s">
        <v>128</v>
      </c>
      <c r="F116" s="5" t="s">
        <v>68</v>
      </c>
      <c r="G116" s="9" t="s">
        <v>61</v>
      </c>
      <c r="H116" s="11">
        <v>169.9</v>
      </c>
      <c r="I116" s="11">
        <v>75.739999999999995</v>
      </c>
      <c r="J116" s="12">
        <f>IF(OR(tAtemporais[[#This Row],[Preço (R$)]]="",tAtemporais[[#This Row],[Custo (R$)]]=""),"",(tAtemporais[[#This Row],[Preço (R$)]]-tAtemporais[[#This Row],[Custo (R$)]])/tAtemporais[[#This Row],[Preço (R$)]])</f>
        <v>0.55420835785756328</v>
      </c>
      <c r="K116" s="5" t="s">
        <v>1992</v>
      </c>
      <c r="L116" s="28" t="s">
        <v>101</v>
      </c>
      <c r="M116" s="10"/>
      <c r="N116" s="5" t="s">
        <v>376</v>
      </c>
      <c r="O116" s="9" t="s">
        <v>49</v>
      </c>
    </row>
    <row r="117" spans="1:15">
      <c r="A11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VLT-MOL-004-BRA-P</v>
      </c>
      <c r="B117" s="5" t="s">
        <v>1321</v>
      </c>
      <c r="C117" s="9" t="s">
        <v>1322</v>
      </c>
      <c r="D117" s="5" t="s">
        <v>1323</v>
      </c>
      <c r="E117" s="5" t="s">
        <v>98</v>
      </c>
      <c r="F117" s="5" t="s">
        <v>77</v>
      </c>
      <c r="G117" s="9" t="s">
        <v>51</v>
      </c>
      <c r="H117" s="11">
        <v>269.89999999999998</v>
      </c>
      <c r="I117" s="11">
        <v>127.85</v>
      </c>
      <c r="J117" s="12">
        <f>IF(OR(tAtemporais[[#This Row],[Preço (R$)]]="",tAtemporais[[#This Row],[Custo (R$)]]=""),"",(tAtemporais[[#This Row],[Preço (R$)]]-tAtemporais[[#This Row],[Custo (R$)]])/tAtemporais[[#This Row],[Preço (R$)]])</f>
        <v>0.52630603927380515</v>
      </c>
      <c r="K117" s="5" t="s">
        <v>1324</v>
      </c>
      <c r="L117" s="28" t="s">
        <v>101</v>
      </c>
      <c r="M117" s="10"/>
      <c r="N117" s="5" t="s">
        <v>1993</v>
      </c>
      <c r="O117" s="9" t="s">
        <v>49</v>
      </c>
    </row>
    <row r="118" spans="1:15">
      <c r="A11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VLT-MOL-004-BRA-M</v>
      </c>
      <c r="B118" s="5" t="s">
        <v>1325</v>
      </c>
      <c r="C118" s="9" t="s">
        <v>1322</v>
      </c>
      <c r="D118" s="5" t="s">
        <v>1323</v>
      </c>
      <c r="E118" s="5" t="s">
        <v>98</v>
      </c>
      <c r="F118" s="5" t="s">
        <v>77</v>
      </c>
      <c r="G118" s="9" t="s">
        <v>54</v>
      </c>
      <c r="H118" s="11">
        <v>269.89999999999998</v>
      </c>
      <c r="I118" s="11">
        <v>133.44</v>
      </c>
      <c r="J118" s="12">
        <f>IF(OR(tAtemporais[[#This Row],[Preço (R$)]]="",tAtemporais[[#This Row],[Custo (R$)]]=""),"",(tAtemporais[[#This Row],[Preço (R$)]]-tAtemporais[[#This Row],[Custo (R$)]])/tAtemporais[[#This Row],[Preço (R$)]])</f>
        <v>0.50559466469062608</v>
      </c>
      <c r="K118" s="5" t="s">
        <v>1326</v>
      </c>
      <c r="L118" s="28" t="s">
        <v>101</v>
      </c>
      <c r="M118" s="10"/>
      <c r="N118" s="5" t="s">
        <v>1994</v>
      </c>
      <c r="O118" s="9" t="s">
        <v>49</v>
      </c>
    </row>
    <row r="119" spans="1:15">
      <c r="A11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VLT-MOL-004-BRA-G</v>
      </c>
      <c r="B119" s="5" t="s">
        <v>1327</v>
      </c>
      <c r="C119" s="9" t="s">
        <v>1322</v>
      </c>
      <c r="D119" s="5" t="s">
        <v>1323</v>
      </c>
      <c r="E119" s="5" t="s">
        <v>98</v>
      </c>
      <c r="F119" s="5" t="s">
        <v>77</v>
      </c>
      <c r="G119" s="9" t="s">
        <v>58</v>
      </c>
      <c r="H119" s="11">
        <v>269.89999999999998</v>
      </c>
      <c r="I119" s="11">
        <v>128.99</v>
      </c>
      <c r="J119" s="12">
        <f>IF(OR(tAtemporais[[#This Row],[Preço (R$)]]="",tAtemporais[[#This Row],[Custo (R$)]]=""),"",(tAtemporais[[#This Row],[Preço (R$)]]-tAtemporais[[#This Row],[Custo (R$)]])/tAtemporais[[#This Row],[Preço (R$)]])</f>
        <v>0.52208225268618003</v>
      </c>
      <c r="K119" s="5" t="s">
        <v>1328</v>
      </c>
      <c r="L119" s="28" t="s">
        <v>101</v>
      </c>
      <c r="M119" s="10"/>
      <c r="N119" s="5" t="s">
        <v>1994</v>
      </c>
      <c r="O119" s="9" t="s">
        <v>49</v>
      </c>
    </row>
    <row r="120" spans="1:15">
      <c r="A12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VLT-MOL-004-BRA-GG</v>
      </c>
      <c r="B120" s="5" t="s">
        <v>1329</v>
      </c>
      <c r="C120" s="9" t="s">
        <v>1322</v>
      </c>
      <c r="D120" s="5" t="s">
        <v>1323</v>
      </c>
      <c r="E120" s="5" t="s">
        <v>98</v>
      </c>
      <c r="F120" s="5" t="s">
        <v>77</v>
      </c>
      <c r="G120" s="9" t="s">
        <v>61</v>
      </c>
      <c r="H120" s="11">
        <v>269.89999999999998</v>
      </c>
      <c r="I120" s="11">
        <v>133.66999999999999</v>
      </c>
      <c r="J120" s="12">
        <f>IF(OR(tAtemporais[[#This Row],[Preço (R$)]]="",tAtemporais[[#This Row],[Custo (R$)]]=""),"",(tAtemporais[[#This Row],[Preço (R$)]]-tAtemporais[[#This Row],[Custo (R$)]])/tAtemporais[[#This Row],[Preço (R$)]])</f>
        <v>0.50474249722119302</v>
      </c>
      <c r="K120" s="5" t="s">
        <v>1330</v>
      </c>
      <c r="L120" s="28" t="s">
        <v>101</v>
      </c>
      <c r="M120" s="10"/>
      <c r="N120" s="5" t="s">
        <v>1993</v>
      </c>
      <c r="O120" s="9" t="s">
        <v>49</v>
      </c>
    </row>
    <row r="121" spans="1:15">
      <c r="A12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VLT-CAM-004-BRA-P</v>
      </c>
      <c r="B121" s="28" t="s">
        <v>1995</v>
      </c>
      <c r="C121" s="9" t="s">
        <v>1996</v>
      </c>
      <c r="D121" s="5" t="s">
        <v>1997</v>
      </c>
      <c r="E121" s="5" t="s">
        <v>128</v>
      </c>
      <c r="F121" s="5" t="s">
        <v>77</v>
      </c>
      <c r="G121" s="9" t="s">
        <v>51</v>
      </c>
      <c r="H121" s="11">
        <v>149.9</v>
      </c>
      <c r="I121" s="11">
        <v>59.47</v>
      </c>
      <c r="J121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1" s="5" t="s">
        <v>1998</v>
      </c>
      <c r="L121" s="28" t="s">
        <v>101</v>
      </c>
      <c r="M121" s="10"/>
      <c r="N121" s="5" t="s">
        <v>1788</v>
      </c>
      <c r="O121" s="9" t="s">
        <v>49</v>
      </c>
    </row>
    <row r="122" spans="1:15">
      <c r="A12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VLT-CAM-004-BRA-M</v>
      </c>
      <c r="B122" s="28" t="s">
        <v>1999</v>
      </c>
      <c r="C122" s="9" t="s">
        <v>1996</v>
      </c>
      <c r="D122" s="5" t="s">
        <v>1997</v>
      </c>
      <c r="E122" s="5" t="s">
        <v>128</v>
      </c>
      <c r="F122" s="5" t="s">
        <v>77</v>
      </c>
      <c r="G122" s="9" t="s">
        <v>54</v>
      </c>
      <c r="H122" s="11">
        <v>149.9</v>
      </c>
      <c r="I122" s="11">
        <v>59.47</v>
      </c>
      <c r="J122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2" s="5" t="s">
        <v>2000</v>
      </c>
      <c r="L122" s="28" t="s">
        <v>101</v>
      </c>
      <c r="M122" s="10"/>
      <c r="N122" s="5" t="s">
        <v>376</v>
      </c>
      <c r="O122" s="9" t="s">
        <v>49</v>
      </c>
    </row>
    <row r="123" spans="1:15">
      <c r="A12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VLT-CAM-004-BRA-G</v>
      </c>
      <c r="B123" s="28" t="s">
        <v>2001</v>
      </c>
      <c r="C123" s="9" t="s">
        <v>1996</v>
      </c>
      <c r="D123" s="5" t="s">
        <v>1997</v>
      </c>
      <c r="E123" s="5" t="s">
        <v>128</v>
      </c>
      <c r="F123" s="5" t="s">
        <v>77</v>
      </c>
      <c r="G123" s="9" t="s">
        <v>58</v>
      </c>
      <c r="H123" s="11">
        <v>149.9</v>
      </c>
      <c r="I123" s="27">
        <v>59.47</v>
      </c>
      <c r="J123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3" s="5" t="s">
        <v>2002</v>
      </c>
      <c r="L123" s="28" t="s">
        <v>101</v>
      </c>
      <c r="M123" s="10"/>
      <c r="N123" s="5" t="s">
        <v>2003</v>
      </c>
      <c r="O123" s="9" t="s">
        <v>49</v>
      </c>
    </row>
    <row r="124" spans="1:15">
      <c r="A12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VLT-CAM-004-BRA-GG</v>
      </c>
      <c r="B124" s="5" t="s">
        <v>2004</v>
      </c>
      <c r="C124" s="9" t="s">
        <v>1996</v>
      </c>
      <c r="D124" s="5" t="s">
        <v>1997</v>
      </c>
      <c r="E124" s="5" t="s">
        <v>128</v>
      </c>
      <c r="F124" s="5" t="s">
        <v>77</v>
      </c>
      <c r="G124" s="9" t="s">
        <v>61</v>
      </c>
      <c r="H124" s="11">
        <v>149.9</v>
      </c>
      <c r="I124" s="11">
        <v>59.47</v>
      </c>
      <c r="J124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4" s="5" t="s">
        <v>2005</v>
      </c>
      <c r="L124" s="28" t="s">
        <v>101</v>
      </c>
      <c r="M124" s="10"/>
      <c r="N124" s="5" t="s">
        <v>470</v>
      </c>
      <c r="O124" s="9" t="s">
        <v>49</v>
      </c>
    </row>
    <row r="125" spans="1:15">
      <c r="A12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VLT-CAM-004-CIN-P</v>
      </c>
      <c r="B125" s="28" t="s">
        <v>2006</v>
      </c>
      <c r="C125" s="9" t="s">
        <v>1996</v>
      </c>
      <c r="D125" s="5" t="s">
        <v>1997</v>
      </c>
      <c r="E125" s="5" t="s">
        <v>128</v>
      </c>
      <c r="F125" s="5" t="s">
        <v>164</v>
      </c>
      <c r="G125" s="9" t="s">
        <v>51</v>
      </c>
      <c r="H125" s="11">
        <v>149.9</v>
      </c>
      <c r="I125" s="27">
        <v>59.47</v>
      </c>
      <c r="J125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5" s="5" t="s">
        <v>2007</v>
      </c>
      <c r="L125" s="28" t="s">
        <v>101</v>
      </c>
      <c r="M125" s="10"/>
      <c r="N125" s="5" t="s">
        <v>2008</v>
      </c>
      <c r="O125" s="9" t="s">
        <v>49</v>
      </c>
    </row>
    <row r="126" spans="1:15">
      <c r="A12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VLT-CAM-004-CIN-M</v>
      </c>
      <c r="B126" s="5" t="s">
        <v>2009</v>
      </c>
      <c r="C126" s="9" t="s">
        <v>1996</v>
      </c>
      <c r="D126" s="5" t="s">
        <v>1997</v>
      </c>
      <c r="E126" s="5" t="s">
        <v>128</v>
      </c>
      <c r="F126" s="5" t="s">
        <v>164</v>
      </c>
      <c r="G126" s="9" t="s">
        <v>54</v>
      </c>
      <c r="H126" s="11">
        <v>149.9</v>
      </c>
      <c r="I126" s="11">
        <v>59.47</v>
      </c>
      <c r="J126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6" s="5" t="s">
        <v>2010</v>
      </c>
      <c r="L126" s="28" t="s">
        <v>101</v>
      </c>
      <c r="M126" s="10"/>
      <c r="N126" s="5" t="s">
        <v>470</v>
      </c>
      <c r="O126" s="9" t="s">
        <v>49</v>
      </c>
    </row>
    <row r="127" spans="1:15">
      <c r="A12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VLT-CAM-004-CIN-G</v>
      </c>
      <c r="B127" s="5" t="s">
        <v>2011</v>
      </c>
      <c r="C127" s="9" t="s">
        <v>1996</v>
      </c>
      <c r="D127" s="5" t="s">
        <v>1997</v>
      </c>
      <c r="E127" s="5" t="s">
        <v>128</v>
      </c>
      <c r="F127" s="5" t="s">
        <v>164</v>
      </c>
      <c r="G127" s="9" t="s">
        <v>58</v>
      </c>
      <c r="H127" s="11">
        <v>149.9</v>
      </c>
      <c r="I127" s="11">
        <v>59.47</v>
      </c>
      <c r="J127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7" s="5" t="s">
        <v>2012</v>
      </c>
      <c r="L127" s="28" t="s">
        <v>101</v>
      </c>
      <c r="M127" s="10"/>
      <c r="N127" s="5" t="s">
        <v>470</v>
      </c>
      <c r="O127" s="9" t="s">
        <v>49</v>
      </c>
    </row>
    <row r="128" spans="1:15">
      <c r="A12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VLT-CAM-004-CIN-GG</v>
      </c>
      <c r="B128" s="28" t="s">
        <v>2013</v>
      </c>
      <c r="C128" s="9" t="s">
        <v>1996</v>
      </c>
      <c r="D128" s="5" t="s">
        <v>1997</v>
      </c>
      <c r="E128" s="5" t="s">
        <v>128</v>
      </c>
      <c r="F128" s="5" t="s">
        <v>164</v>
      </c>
      <c r="G128" s="9" t="s">
        <v>61</v>
      </c>
      <c r="H128" s="11">
        <v>149.9</v>
      </c>
      <c r="I128" s="27">
        <v>59.47</v>
      </c>
      <c r="J128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8" s="5" t="s">
        <v>2014</v>
      </c>
      <c r="L128" s="28" t="s">
        <v>101</v>
      </c>
      <c r="M128" s="10"/>
      <c r="N128" s="5" t="s">
        <v>2015</v>
      </c>
      <c r="O128" s="9" t="s">
        <v>49</v>
      </c>
    </row>
    <row r="129" spans="1:15">
      <c r="A12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VLT-CAM-004-PRE-P</v>
      </c>
      <c r="B129" s="28" t="s">
        <v>2016</v>
      </c>
      <c r="C129" s="9" t="s">
        <v>1996</v>
      </c>
      <c r="D129" s="5" t="s">
        <v>1997</v>
      </c>
      <c r="E129" s="5" t="s">
        <v>128</v>
      </c>
      <c r="F129" s="5" t="s">
        <v>251</v>
      </c>
      <c r="G129" s="9" t="s">
        <v>51</v>
      </c>
      <c r="H129" s="11">
        <v>149.9</v>
      </c>
      <c r="I129" s="11">
        <v>59.47</v>
      </c>
      <c r="J129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29" s="5" t="s">
        <v>2017</v>
      </c>
      <c r="L129" s="28" t="s">
        <v>101</v>
      </c>
      <c r="M129" s="10"/>
      <c r="N129" s="5" t="s">
        <v>376</v>
      </c>
      <c r="O129" s="9" t="s">
        <v>49</v>
      </c>
    </row>
    <row r="130" spans="1:15">
      <c r="A13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VLT-CAM-004-PRE-M</v>
      </c>
      <c r="B130" s="5" t="s">
        <v>2018</v>
      </c>
      <c r="C130" s="9" t="s">
        <v>1996</v>
      </c>
      <c r="D130" s="5" t="s">
        <v>1997</v>
      </c>
      <c r="E130" s="5" t="s">
        <v>128</v>
      </c>
      <c r="F130" s="5" t="s">
        <v>251</v>
      </c>
      <c r="G130" s="9" t="s">
        <v>54</v>
      </c>
      <c r="H130" s="11">
        <v>149.9</v>
      </c>
      <c r="I130" s="11">
        <v>59.47</v>
      </c>
      <c r="J130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30" s="5" t="s">
        <v>2019</v>
      </c>
      <c r="L130" s="28" t="s">
        <v>101</v>
      </c>
      <c r="M130" s="10"/>
      <c r="N130" s="5" t="s">
        <v>470</v>
      </c>
      <c r="O130" s="9" t="s">
        <v>49</v>
      </c>
    </row>
    <row r="131" spans="1:15">
      <c r="A13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VLT-CAM-004-PRE-G</v>
      </c>
      <c r="B131" s="5" t="s">
        <v>2020</v>
      </c>
      <c r="C131" s="9" t="s">
        <v>1996</v>
      </c>
      <c r="D131" s="5" t="s">
        <v>1997</v>
      </c>
      <c r="E131" s="5" t="s">
        <v>128</v>
      </c>
      <c r="F131" s="5" t="s">
        <v>251</v>
      </c>
      <c r="G131" s="9" t="s">
        <v>58</v>
      </c>
      <c r="H131" s="11">
        <v>149.9</v>
      </c>
      <c r="I131" s="11">
        <v>59.47</v>
      </c>
      <c r="J131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31" s="5" t="s">
        <v>2021</v>
      </c>
      <c r="L131" s="28" t="s">
        <v>101</v>
      </c>
      <c r="M131" s="10"/>
      <c r="N131" s="5" t="s">
        <v>470</v>
      </c>
      <c r="O131" s="9" t="s">
        <v>49</v>
      </c>
    </row>
    <row r="132" spans="1:15">
      <c r="A13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VLT-CAM-004-PRE-GG</v>
      </c>
      <c r="B132" s="28" t="s">
        <v>2022</v>
      </c>
      <c r="C132" s="9" t="s">
        <v>1996</v>
      </c>
      <c r="D132" s="5" t="s">
        <v>1997</v>
      </c>
      <c r="E132" s="5" t="s">
        <v>128</v>
      </c>
      <c r="F132" s="5" t="s">
        <v>251</v>
      </c>
      <c r="G132" s="9" t="s">
        <v>61</v>
      </c>
      <c r="H132" s="11">
        <v>149.9</v>
      </c>
      <c r="I132" s="27">
        <v>59.47</v>
      </c>
      <c r="J132" s="12">
        <f>IF(OR(tAtemporais[[#This Row],[Preço (R$)]]="",tAtemporais[[#This Row],[Custo (R$)]]=""),"",(tAtemporais[[#This Row],[Preço (R$)]]-tAtemporais[[#This Row],[Custo (R$)]])/tAtemporais[[#This Row],[Preço (R$)]])</f>
        <v>0.60326884589726482</v>
      </c>
      <c r="K132" s="5" t="s">
        <v>2023</v>
      </c>
      <c r="L132" s="28" t="s">
        <v>101</v>
      </c>
      <c r="M132" s="10"/>
      <c r="N132" s="5" t="s">
        <v>2024</v>
      </c>
      <c r="O132" s="9" t="s">
        <v>49</v>
      </c>
    </row>
    <row r="133" spans="1:15">
      <c r="A13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VLT-TOP-003-BRA-P</v>
      </c>
      <c r="B133" s="28" t="s">
        <v>2025</v>
      </c>
      <c r="C133" s="9" t="s">
        <v>2026</v>
      </c>
      <c r="D133" s="5" t="s">
        <v>2027</v>
      </c>
      <c r="E133" s="5" t="s">
        <v>179</v>
      </c>
      <c r="F133" s="5" t="s">
        <v>77</v>
      </c>
      <c r="G133" s="9" t="s">
        <v>51</v>
      </c>
      <c r="H133" s="11">
        <v>119.9</v>
      </c>
      <c r="I133" s="11">
        <v>52.15</v>
      </c>
      <c r="J133" s="12">
        <f>IF(OR(tAtemporais[[#This Row],[Preço (R$)]]="",tAtemporais[[#This Row],[Custo (R$)]]=""),"",(tAtemporais[[#This Row],[Preço (R$)]]-tAtemporais[[#This Row],[Custo (R$)]])/tAtemporais[[#This Row],[Preço (R$)]])</f>
        <v>0.56505421184320259</v>
      </c>
      <c r="K133" s="5" t="s">
        <v>2028</v>
      </c>
      <c r="L133" s="28" t="s">
        <v>101</v>
      </c>
      <c r="M133" s="10"/>
      <c r="N133" s="5" t="s">
        <v>1809</v>
      </c>
      <c r="O133" s="9" t="s">
        <v>49</v>
      </c>
    </row>
    <row r="134" spans="1:15">
      <c r="A13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VLT-TOP-003-BRA-M</v>
      </c>
      <c r="B134" s="5" t="s">
        <v>2029</v>
      </c>
      <c r="C134" s="9" t="s">
        <v>2026</v>
      </c>
      <c r="D134" s="5" t="s">
        <v>2027</v>
      </c>
      <c r="E134" s="5" t="s">
        <v>179</v>
      </c>
      <c r="F134" s="5" t="s">
        <v>77</v>
      </c>
      <c r="G134" s="9" t="s">
        <v>54</v>
      </c>
      <c r="H134" s="11">
        <v>119.9</v>
      </c>
      <c r="I134" s="27">
        <v>52.15</v>
      </c>
      <c r="J134" s="12">
        <f>IF(OR(tAtemporais[[#This Row],[Preço (R$)]]="",tAtemporais[[#This Row],[Custo (R$)]]=""),"",(tAtemporais[[#This Row],[Preço (R$)]]-tAtemporais[[#This Row],[Custo (R$)]])/tAtemporais[[#This Row],[Preço (R$)]])</f>
        <v>0.56505421184320259</v>
      </c>
      <c r="K134" s="5" t="s">
        <v>2030</v>
      </c>
      <c r="L134" s="28" t="s">
        <v>101</v>
      </c>
      <c r="M134" s="10"/>
      <c r="N134" s="5" t="s">
        <v>2031</v>
      </c>
      <c r="O134" s="9" t="s">
        <v>49</v>
      </c>
    </row>
    <row r="135" spans="1:15">
      <c r="A13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VLT-TOP-003-BRA-G</v>
      </c>
      <c r="B135" s="28" t="s">
        <v>2032</v>
      </c>
      <c r="C135" s="9" t="s">
        <v>2026</v>
      </c>
      <c r="D135" s="5" t="s">
        <v>2027</v>
      </c>
      <c r="E135" s="5" t="s">
        <v>179</v>
      </c>
      <c r="F135" s="5" t="s">
        <v>77</v>
      </c>
      <c r="G135" s="9" t="s">
        <v>58</v>
      </c>
      <c r="H135" s="11">
        <v>119.9</v>
      </c>
      <c r="I135" s="27">
        <v>52.15</v>
      </c>
      <c r="J135" s="12">
        <f>IF(OR(tAtemporais[[#This Row],[Preço (R$)]]="",tAtemporais[[#This Row],[Custo (R$)]]=""),"",(tAtemporais[[#This Row],[Preço (R$)]]-tAtemporais[[#This Row],[Custo (R$)]])/tAtemporais[[#This Row],[Preço (R$)]])</f>
        <v>0.56505421184320259</v>
      </c>
      <c r="K135" s="5" t="s">
        <v>2033</v>
      </c>
      <c r="L135" s="28" t="s">
        <v>101</v>
      </c>
      <c r="M135" s="10"/>
      <c r="N135" s="5" t="s">
        <v>2034</v>
      </c>
      <c r="O135" s="9" t="s">
        <v>49</v>
      </c>
    </row>
    <row r="136" spans="1:15">
      <c r="A13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VLT-TOP-003-BRA-GG</v>
      </c>
      <c r="B136" s="28" t="s">
        <v>2035</v>
      </c>
      <c r="C136" s="9" t="s">
        <v>2026</v>
      </c>
      <c r="D136" s="5" t="s">
        <v>2027</v>
      </c>
      <c r="E136" s="5" t="s">
        <v>179</v>
      </c>
      <c r="F136" s="5" t="s">
        <v>77</v>
      </c>
      <c r="G136" s="9" t="s">
        <v>61</v>
      </c>
      <c r="H136" s="11">
        <v>119.9</v>
      </c>
      <c r="I136" s="11">
        <v>52.15</v>
      </c>
      <c r="J136" s="12">
        <f>IF(OR(tAtemporais[[#This Row],[Preço (R$)]]="",tAtemporais[[#This Row],[Custo (R$)]]=""),"",(tAtemporais[[#This Row],[Preço (R$)]]-tAtemporais[[#This Row],[Custo (R$)]])/tAtemporais[[#This Row],[Preço (R$)]])</f>
        <v>0.56505421184320259</v>
      </c>
      <c r="K136" s="5" t="s">
        <v>2036</v>
      </c>
      <c r="L136" s="28" t="s">
        <v>101</v>
      </c>
      <c r="M136" s="10"/>
      <c r="N136" s="5" t="s">
        <v>1809</v>
      </c>
      <c r="O136" s="9" t="s">
        <v>49</v>
      </c>
    </row>
    <row r="137" spans="1:15">
      <c r="A13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VLT-CMS-003-BRA-XP</v>
      </c>
      <c r="B137" s="28" t="s">
        <v>2037</v>
      </c>
      <c r="C137" s="9" t="s">
        <v>2038</v>
      </c>
      <c r="D137" s="5" t="s">
        <v>2039</v>
      </c>
      <c r="E137" s="5" t="s">
        <v>67</v>
      </c>
      <c r="F137" s="5" t="s">
        <v>77</v>
      </c>
      <c r="G137" s="9" t="s">
        <v>45</v>
      </c>
      <c r="H137" s="11">
        <v>239.9</v>
      </c>
      <c r="I137" s="27">
        <v>114.77</v>
      </c>
      <c r="J137" s="12">
        <f>IF(OR(tAtemporais[[#This Row],[Preço (R$)]]="",tAtemporais[[#This Row],[Custo (R$)]]=""),"",(tAtemporais[[#This Row],[Preço (R$)]]-tAtemporais[[#This Row],[Custo (R$)]])/tAtemporais[[#This Row],[Preço (R$)]])</f>
        <v>0.52159233013755735</v>
      </c>
      <c r="K137" s="5" t="s">
        <v>2040</v>
      </c>
      <c r="L137" s="28" t="s">
        <v>47</v>
      </c>
      <c r="M137" s="10"/>
      <c r="N137" s="5" t="s">
        <v>2041</v>
      </c>
      <c r="O137" s="9" t="s">
        <v>49</v>
      </c>
    </row>
    <row r="138" spans="1:15">
      <c r="A13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VLT-CMS-003-BRA-P</v>
      </c>
      <c r="B138" s="5" t="s">
        <v>2042</v>
      </c>
      <c r="C138" s="9" t="s">
        <v>2038</v>
      </c>
      <c r="D138" s="5" t="s">
        <v>2039</v>
      </c>
      <c r="E138" s="5" t="s">
        <v>67</v>
      </c>
      <c r="F138" s="5" t="s">
        <v>77</v>
      </c>
      <c r="G138" s="9" t="s">
        <v>51</v>
      </c>
      <c r="H138" s="11">
        <v>239.9</v>
      </c>
      <c r="I138" s="11">
        <v>114.77</v>
      </c>
      <c r="J138" s="12">
        <f>IF(OR(tAtemporais[[#This Row],[Preço (R$)]]="",tAtemporais[[#This Row],[Custo (R$)]]=""),"",(tAtemporais[[#This Row],[Preço (R$)]]-tAtemporais[[#This Row],[Custo (R$)]])/tAtemporais[[#This Row],[Preço (R$)]])</f>
        <v>0.52159233013755735</v>
      </c>
      <c r="K138" s="5" t="s">
        <v>2043</v>
      </c>
      <c r="L138" s="28" t="s">
        <v>47</v>
      </c>
      <c r="M138" s="10"/>
      <c r="N138" s="5" t="s">
        <v>1721</v>
      </c>
      <c r="O138" s="9" t="s">
        <v>49</v>
      </c>
    </row>
    <row r="139" spans="1:15">
      <c r="A13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VLT-CMS-003-BRA-M</v>
      </c>
      <c r="B139" s="28" t="s">
        <v>2044</v>
      </c>
      <c r="C139" s="9" t="s">
        <v>2038</v>
      </c>
      <c r="D139" s="5" t="s">
        <v>2039</v>
      </c>
      <c r="E139" s="5" t="s">
        <v>67</v>
      </c>
      <c r="F139" s="5" t="s">
        <v>77</v>
      </c>
      <c r="G139" s="9" t="s">
        <v>54</v>
      </c>
      <c r="H139" s="11">
        <v>239.9</v>
      </c>
      <c r="I139" s="27">
        <v>114.77</v>
      </c>
      <c r="J139" s="12">
        <f>IF(OR(tAtemporais[[#This Row],[Preço (R$)]]="",tAtemporais[[#This Row],[Custo (R$)]]=""),"",(tAtemporais[[#This Row],[Preço (R$)]]-tAtemporais[[#This Row],[Custo (R$)]])/tAtemporais[[#This Row],[Preço (R$)]])</f>
        <v>0.52159233013755735</v>
      </c>
      <c r="K139" s="5" t="s">
        <v>2045</v>
      </c>
      <c r="L139" s="28" t="s">
        <v>47</v>
      </c>
      <c r="M139" s="10"/>
      <c r="N139" s="5" t="s">
        <v>2041</v>
      </c>
      <c r="O139" s="9" t="s">
        <v>49</v>
      </c>
    </row>
    <row r="140" spans="1:15">
      <c r="A14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VLT-CMS-003-BRA-G</v>
      </c>
      <c r="B140" s="28" t="s">
        <v>2046</v>
      </c>
      <c r="C140" s="9" t="s">
        <v>2038</v>
      </c>
      <c r="D140" s="5" t="s">
        <v>2039</v>
      </c>
      <c r="E140" s="5" t="s">
        <v>67</v>
      </c>
      <c r="F140" s="5" t="s">
        <v>77</v>
      </c>
      <c r="G140" s="9" t="s">
        <v>58</v>
      </c>
      <c r="H140" s="11">
        <v>239.9</v>
      </c>
      <c r="I140" s="11">
        <v>114.77</v>
      </c>
      <c r="J140" s="12">
        <f>IF(OR(tAtemporais[[#This Row],[Preço (R$)]]="",tAtemporais[[#This Row],[Custo (R$)]]=""),"",(tAtemporais[[#This Row],[Preço (R$)]]-tAtemporais[[#This Row],[Custo (R$)]])/tAtemporais[[#This Row],[Preço (R$)]])</f>
        <v>0.52159233013755735</v>
      </c>
      <c r="K140" s="5" t="s">
        <v>2047</v>
      </c>
      <c r="L140" s="28" t="s">
        <v>47</v>
      </c>
      <c r="M140" s="10"/>
      <c r="N140" s="5" t="s">
        <v>2048</v>
      </c>
      <c r="O140" s="9" t="s">
        <v>49</v>
      </c>
    </row>
    <row r="141" spans="1:15">
      <c r="A14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VLT-CMS-003-BRA-GG</v>
      </c>
      <c r="B141" s="5" t="s">
        <v>2049</v>
      </c>
      <c r="C141" s="9" t="s">
        <v>2038</v>
      </c>
      <c r="D141" s="5" t="s">
        <v>2039</v>
      </c>
      <c r="E141" s="5" t="s">
        <v>67</v>
      </c>
      <c r="F141" s="5" t="s">
        <v>77</v>
      </c>
      <c r="G141" s="9" t="s">
        <v>61</v>
      </c>
      <c r="H141" s="11">
        <v>239.9</v>
      </c>
      <c r="I141" s="11">
        <v>114.77</v>
      </c>
      <c r="J141" s="12">
        <f>IF(OR(tAtemporais[[#This Row],[Preço (R$)]]="",tAtemporais[[#This Row],[Custo (R$)]]=""),"",(tAtemporais[[#This Row],[Preço (R$)]]-tAtemporais[[#This Row],[Custo (R$)]])/tAtemporais[[#This Row],[Preço (R$)]])</f>
        <v>0.52159233013755735</v>
      </c>
      <c r="K141" s="5" t="s">
        <v>2050</v>
      </c>
      <c r="L141" s="28" t="s">
        <v>47</v>
      </c>
      <c r="M141" s="10"/>
      <c r="N141" s="5" t="s">
        <v>1721</v>
      </c>
      <c r="O141" s="9" t="s">
        <v>49</v>
      </c>
    </row>
    <row r="142" spans="1:15">
      <c r="A14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VLT-MOL-005-OFF-XP</v>
      </c>
      <c r="B142" s="5" t="s">
        <v>1331</v>
      </c>
      <c r="C142" s="9" t="s">
        <v>1332</v>
      </c>
      <c r="D142" s="5" t="s">
        <v>1333</v>
      </c>
      <c r="E142" s="5" t="s">
        <v>98</v>
      </c>
      <c r="F142" s="5" t="s">
        <v>117</v>
      </c>
      <c r="G142" s="9" t="s">
        <v>45</v>
      </c>
      <c r="H142" s="11">
        <v>249.9</v>
      </c>
      <c r="I142" s="11">
        <v>122.96</v>
      </c>
      <c r="J142" s="12">
        <f>IF(OR(tAtemporais[[#This Row],[Preço (R$)]]="",tAtemporais[[#This Row],[Custo (R$)]]=""),"",(tAtemporais[[#This Row],[Preço (R$)]]-tAtemporais[[#This Row],[Custo (R$)]])/tAtemporais[[#This Row],[Preço (R$)]])</f>
        <v>0.50796318527410966</v>
      </c>
      <c r="K142" s="5" t="s">
        <v>1334</v>
      </c>
      <c r="L142" s="28" t="s">
        <v>101</v>
      </c>
      <c r="M142" s="10"/>
      <c r="N142" s="5" t="s">
        <v>2051</v>
      </c>
      <c r="O142" s="9" t="s">
        <v>49</v>
      </c>
    </row>
    <row r="143" spans="1:15">
      <c r="A14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VLT-MOL-005-OFF-P</v>
      </c>
      <c r="B143" s="5" t="s">
        <v>1336</v>
      </c>
      <c r="C143" s="9" t="s">
        <v>1332</v>
      </c>
      <c r="D143" s="5" t="s">
        <v>1333</v>
      </c>
      <c r="E143" s="5" t="s">
        <v>98</v>
      </c>
      <c r="F143" s="5" t="s">
        <v>117</v>
      </c>
      <c r="G143" s="9" t="s">
        <v>51</v>
      </c>
      <c r="H143" s="11">
        <v>249.9</v>
      </c>
      <c r="I143" s="11">
        <v>122.96</v>
      </c>
      <c r="J143" s="12">
        <f>IF(OR(tAtemporais[[#This Row],[Preço (R$)]]="",tAtemporais[[#This Row],[Custo (R$)]]=""),"",(tAtemporais[[#This Row],[Preço (R$)]]-tAtemporais[[#This Row],[Custo (R$)]])/tAtemporais[[#This Row],[Preço (R$)]])</f>
        <v>0.50796318527410966</v>
      </c>
      <c r="K143" s="5" t="s">
        <v>1337</v>
      </c>
      <c r="L143" s="28" t="s">
        <v>101</v>
      </c>
      <c r="M143" s="10"/>
      <c r="N143" s="5" t="s">
        <v>2052</v>
      </c>
      <c r="O143" s="9" t="s">
        <v>49</v>
      </c>
    </row>
    <row r="144" spans="1:15">
      <c r="A14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VLT-MOL-005-OFF-M</v>
      </c>
      <c r="B144" s="5" t="s">
        <v>1338</v>
      </c>
      <c r="C144" s="9" t="s">
        <v>1332</v>
      </c>
      <c r="D144" s="5" t="s">
        <v>1333</v>
      </c>
      <c r="E144" s="5" t="s">
        <v>98</v>
      </c>
      <c r="F144" s="5" t="s">
        <v>117</v>
      </c>
      <c r="G144" s="9" t="s">
        <v>54</v>
      </c>
      <c r="H144" s="11">
        <v>249.9</v>
      </c>
      <c r="I144" s="11">
        <v>118.51</v>
      </c>
      <c r="J144" s="12">
        <f>IF(OR(tAtemporais[[#This Row],[Preço (R$)]]="",tAtemporais[[#This Row],[Custo (R$)]]=""),"",(tAtemporais[[#This Row],[Preço (R$)]]-tAtemporais[[#This Row],[Custo (R$)]])/tAtemporais[[#This Row],[Preço (R$)]])</f>
        <v>0.52577030812324921</v>
      </c>
      <c r="K144" s="5" t="s">
        <v>1339</v>
      </c>
      <c r="L144" s="28" t="s">
        <v>101</v>
      </c>
      <c r="M144" s="10"/>
      <c r="N144" s="5" t="s">
        <v>2052</v>
      </c>
      <c r="O144" s="9" t="s">
        <v>49</v>
      </c>
    </row>
    <row r="145" spans="1:15">
      <c r="A14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VLT-MOL-005-OFF-G</v>
      </c>
      <c r="B145" s="5" t="s">
        <v>1340</v>
      </c>
      <c r="C145" s="9" t="s">
        <v>1332</v>
      </c>
      <c r="D145" s="5" t="s">
        <v>1333</v>
      </c>
      <c r="E145" s="5" t="s">
        <v>98</v>
      </c>
      <c r="F145" s="5" t="s">
        <v>117</v>
      </c>
      <c r="G145" s="9" t="s">
        <v>58</v>
      </c>
      <c r="H145" s="11">
        <v>249.9</v>
      </c>
      <c r="I145" s="11">
        <v>121.67</v>
      </c>
      <c r="J145" s="12">
        <f>IF(OR(tAtemporais[[#This Row],[Preço (R$)]]="",tAtemporais[[#This Row],[Custo (R$)]]=""),"",(tAtemporais[[#This Row],[Preço (R$)]]-tAtemporais[[#This Row],[Custo (R$)]])/tAtemporais[[#This Row],[Preço (R$)]])</f>
        <v>0.51312525010004006</v>
      </c>
      <c r="K145" s="5" t="s">
        <v>1341</v>
      </c>
      <c r="L145" s="28" t="s">
        <v>101</v>
      </c>
      <c r="M145" s="10"/>
      <c r="N145" s="5" t="s">
        <v>2053</v>
      </c>
      <c r="O145" s="9" t="s">
        <v>49</v>
      </c>
    </row>
    <row r="146" spans="1:15">
      <c r="A14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VLT-MOL-005-OFF-GG</v>
      </c>
      <c r="B146" s="5" t="s">
        <v>1342</v>
      </c>
      <c r="C146" s="9" t="s">
        <v>1332</v>
      </c>
      <c r="D146" s="5" t="s">
        <v>1333</v>
      </c>
      <c r="E146" s="5" t="s">
        <v>98</v>
      </c>
      <c r="F146" s="5" t="s">
        <v>117</v>
      </c>
      <c r="G146" s="9" t="s">
        <v>61</v>
      </c>
      <c r="H146" s="11">
        <v>249.9</v>
      </c>
      <c r="I146" s="11">
        <v>120.83</v>
      </c>
      <c r="J146" s="12">
        <f>IF(OR(tAtemporais[[#This Row],[Preço (R$)]]="",tAtemporais[[#This Row],[Custo (R$)]]=""),"",(tAtemporais[[#This Row],[Preço (R$)]]-tAtemporais[[#This Row],[Custo (R$)]])/tAtemporais[[#This Row],[Preço (R$)]])</f>
        <v>0.51648659463785507</v>
      </c>
      <c r="K146" s="5" t="s">
        <v>1343</v>
      </c>
      <c r="L146" s="28" t="s">
        <v>101</v>
      </c>
      <c r="M146" s="10"/>
      <c r="N146" s="5" t="s">
        <v>2052</v>
      </c>
      <c r="O146" s="9" t="s">
        <v>49</v>
      </c>
    </row>
    <row r="147" spans="1:15">
      <c r="A14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VLT-CAM-005-OFF-P</v>
      </c>
      <c r="B147" s="28" t="s">
        <v>2054</v>
      </c>
      <c r="C147" s="9" t="s">
        <v>2055</v>
      </c>
      <c r="D147" s="5" t="s">
        <v>2056</v>
      </c>
      <c r="E147" s="5" t="s">
        <v>128</v>
      </c>
      <c r="F147" s="5" t="s">
        <v>117</v>
      </c>
      <c r="G147" s="9" t="s">
        <v>51</v>
      </c>
      <c r="H147" s="11">
        <v>109.9</v>
      </c>
      <c r="I147" s="27">
        <v>42.75</v>
      </c>
      <c r="J147" s="12">
        <f>IF(OR(tAtemporais[[#This Row],[Preço (R$)]]="",tAtemporais[[#This Row],[Custo (R$)]]=""),"",(tAtemporais[[#This Row],[Preço (R$)]]-tAtemporais[[#This Row],[Custo (R$)]])/tAtemporais[[#This Row],[Preço (R$)]])</f>
        <v>0.61101000909918113</v>
      </c>
      <c r="K147" s="5" t="s">
        <v>2057</v>
      </c>
      <c r="L147" s="28" t="s">
        <v>101</v>
      </c>
      <c r="M147" s="10"/>
      <c r="N147" s="5" t="s">
        <v>2058</v>
      </c>
      <c r="O147" s="9" t="s">
        <v>49</v>
      </c>
    </row>
    <row r="148" spans="1:15">
      <c r="A14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VLT-CAM-005-OFF-M</v>
      </c>
      <c r="B148" s="28" t="s">
        <v>2059</v>
      </c>
      <c r="C148" s="9" t="s">
        <v>2055</v>
      </c>
      <c r="D148" s="5" t="s">
        <v>2056</v>
      </c>
      <c r="E148" s="5" t="s">
        <v>128</v>
      </c>
      <c r="F148" s="5" t="s">
        <v>117</v>
      </c>
      <c r="G148" s="9" t="s">
        <v>54</v>
      </c>
      <c r="H148" s="11">
        <v>109.9</v>
      </c>
      <c r="I148" s="11">
        <v>42.75</v>
      </c>
      <c r="J148" s="12">
        <f>IF(OR(tAtemporais[[#This Row],[Preço (R$)]]="",tAtemporais[[#This Row],[Custo (R$)]]=""),"",(tAtemporais[[#This Row],[Preço (R$)]]-tAtemporais[[#This Row],[Custo (R$)]])/tAtemporais[[#This Row],[Preço (R$)]])</f>
        <v>0.61101000909918113</v>
      </c>
      <c r="K148" s="5" t="s">
        <v>2060</v>
      </c>
      <c r="L148" s="28" t="s">
        <v>101</v>
      </c>
      <c r="M148" s="10"/>
      <c r="N148" s="5" t="s">
        <v>376</v>
      </c>
      <c r="O148" s="9" t="s">
        <v>49</v>
      </c>
    </row>
    <row r="149" spans="1:15">
      <c r="A14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VLT-CAM-005-OFF-G</v>
      </c>
      <c r="B149" s="28" t="s">
        <v>2061</v>
      </c>
      <c r="C149" s="9" t="s">
        <v>2055</v>
      </c>
      <c r="D149" s="5" t="s">
        <v>2056</v>
      </c>
      <c r="E149" s="5" t="s">
        <v>128</v>
      </c>
      <c r="F149" s="5" t="s">
        <v>117</v>
      </c>
      <c r="G149" s="9" t="s">
        <v>58</v>
      </c>
      <c r="H149" s="11">
        <v>109.9</v>
      </c>
      <c r="I149" s="11">
        <v>42.75</v>
      </c>
      <c r="J149" s="12">
        <f>IF(OR(tAtemporais[[#This Row],[Preço (R$)]]="",tAtemporais[[#This Row],[Custo (R$)]]=""),"",(tAtemporais[[#This Row],[Preço (R$)]]-tAtemporais[[#This Row],[Custo (R$)]])/tAtemporais[[#This Row],[Preço (R$)]])</f>
        <v>0.61101000909918113</v>
      </c>
      <c r="K149" s="5" t="s">
        <v>2062</v>
      </c>
      <c r="L149" s="28" t="s">
        <v>101</v>
      </c>
      <c r="M149" s="10"/>
      <c r="N149" s="5" t="s">
        <v>376</v>
      </c>
      <c r="O149" s="9" t="s">
        <v>49</v>
      </c>
    </row>
    <row r="150" spans="1:15">
      <c r="A15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VLT-CAM-005-OFF-GG</v>
      </c>
      <c r="B150" s="28" t="s">
        <v>2063</v>
      </c>
      <c r="C150" s="9" t="s">
        <v>2055</v>
      </c>
      <c r="D150" s="5" t="s">
        <v>2056</v>
      </c>
      <c r="E150" s="5" t="s">
        <v>128</v>
      </c>
      <c r="F150" s="5" t="s">
        <v>117</v>
      </c>
      <c r="G150" s="9" t="s">
        <v>61</v>
      </c>
      <c r="H150" s="11">
        <v>109.9</v>
      </c>
      <c r="I150" s="11">
        <v>42.75</v>
      </c>
      <c r="J150" s="12">
        <f>IF(OR(tAtemporais[[#This Row],[Preço (R$)]]="",tAtemporais[[#This Row],[Custo (R$)]]=""),"",(tAtemporais[[#This Row],[Preço (R$)]]-tAtemporais[[#This Row],[Custo (R$)]])/tAtemporais[[#This Row],[Preço (R$)]])</f>
        <v>0.61101000909918113</v>
      </c>
      <c r="K150" s="5" t="s">
        <v>2064</v>
      </c>
      <c r="L150" s="28" t="s">
        <v>101</v>
      </c>
      <c r="M150" s="10"/>
      <c r="N150" s="5" t="s">
        <v>376</v>
      </c>
      <c r="O150" s="9" t="s">
        <v>49</v>
      </c>
    </row>
    <row r="151" spans="1:15">
      <c r="A15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VLT-CAL-008-BRA-P</v>
      </c>
      <c r="B151" s="28" t="s">
        <v>2065</v>
      </c>
      <c r="C151" s="9" t="s">
        <v>2066</v>
      </c>
      <c r="D151" s="5" t="s">
        <v>2067</v>
      </c>
      <c r="E151" s="5" t="s">
        <v>86</v>
      </c>
      <c r="F151" s="5" t="s">
        <v>77</v>
      </c>
      <c r="G151" s="9" t="s">
        <v>51</v>
      </c>
      <c r="H151" s="11">
        <v>319.89999999999998</v>
      </c>
      <c r="I151" s="27">
        <v>154.49</v>
      </c>
      <c r="J151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1" s="5" t="s">
        <v>2068</v>
      </c>
      <c r="L151" s="28" t="s">
        <v>47</v>
      </c>
      <c r="M151" s="10"/>
      <c r="N151" s="5" t="s">
        <v>2069</v>
      </c>
      <c r="O151" s="9" t="s">
        <v>49</v>
      </c>
    </row>
    <row r="152" spans="1:15">
      <c r="A15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VLT-CAL-008-BRA-M</v>
      </c>
      <c r="B152" s="28" t="s">
        <v>2070</v>
      </c>
      <c r="C152" s="9" t="s">
        <v>2066</v>
      </c>
      <c r="D152" s="5" t="s">
        <v>2067</v>
      </c>
      <c r="E152" s="5" t="s">
        <v>86</v>
      </c>
      <c r="F152" s="5" t="s">
        <v>77</v>
      </c>
      <c r="G152" s="9" t="s">
        <v>54</v>
      </c>
      <c r="H152" s="11">
        <v>319.89999999999998</v>
      </c>
      <c r="I152" s="11">
        <v>154.49</v>
      </c>
      <c r="J152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2" s="5" t="s">
        <v>2071</v>
      </c>
      <c r="L152" s="28" t="s">
        <v>47</v>
      </c>
      <c r="M152" s="10"/>
      <c r="N152" s="5" t="s">
        <v>376</v>
      </c>
      <c r="O152" s="9" t="s">
        <v>49</v>
      </c>
    </row>
    <row r="153" spans="1:15">
      <c r="A15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VLT-CAL-008-BRA-G</v>
      </c>
      <c r="B153" s="28" t="s">
        <v>2072</v>
      </c>
      <c r="C153" s="9" t="s">
        <v>2066</v>
      </c>
      <c r="D153" s="5" t="s">
        <v>2067</v>
      </c>
      <c r="E153" s="5" t="s">
        <v>86</v>
      </c>
      <c r="F153" s="5" t="s">
        <v>77</v>
      </c>
      <c r="G153" s="9" t="s">
        <v>58</v>
      </c>
      <c r="H153" s="11">
        <v>319.89999999999998</v>
      </c>
      <c r="I153" s="11">
        <v>154.49</v>
      </c>
      <c r="J153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3" s="5" t="s">
        <v>2073</v>
      </c>
      <c r="L153" s="28" t="s">
        <v>47</v>
      </c>
      <c r="M153" s="10"/>
      <c r="N153" s="5" t="s">
        <v>376</v>
      </c>
      <c r="O153" s="9" t="s">
        <v>49</v>
      </c>
    </row>
    <row r="154" spans="1:15">
      <c r="A15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VLT-CAL-008-BRA-GG</v>
      </c>
      <c r="B154" s="28" t="s">
        <v>2074</v>
      </c>
      <c r="C154" s="9" t="s">
        <v>2066</v>
      </c>
      <c r="D154" s="5" t="s">
        <v>2067</v>
      </c>
      <c r="E154" s="5" t="s">
        <v>86</v>
      </c>
      <c r="F154" s="5" t="s">
        <v>77</v>
      </c>
      <c r="G154" s="9" t="s">
        <v>61</v>
      </c>
      <c r="H154" s="11">
        <v>319.89999999999998</v>
      </c>
      <c r="I154" s="11">
        <v>154.49</v>
      </c>
      <c r="J154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4" s="5" t="s">
        <v>2075</v>
      </c>
      <c r="L154" s="28" t="s">
        <v>47</v>
      </c>
      <c r="M154" s="10"/>
      <c r="N154" s="5" t="s">
        <v>376</v>
      </c>
      <c r="O154" s="9" t="s">
        <v>49</v>
      </c>
    </row>
    <row r="155" spans="1:15">
      <c r="A15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VLT-CAL-008-AZM-P</v>
      </c>
      <c r="B155" s="28" t="s">
        <v>2076</v>
      </c>
      <c r="C155" s="9" t="s">
        <v>2066</v>
      </c>
      <c r="D155" s="5" t="s">
        <v>2067</v>
      </c>
      <c r="E155" s="5" t="s">
        <v>86</v>
      </c>
      <c r="F155" s="5" t="s">
        <v>68</v>
      </c>
      <c r="G155" s="9" t="s">
        <v>51</v>
      </c>
      <c r="H155" s="11">
        <v>319.89999999999998</v>
      </c>
      <c r="I155" s="11">
        <v>154.49</v>
      </c>
      <c r="J155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5" s="5" t="s">
        <v>2077</v>
      </c>
      <c r="L155" s="28" t="s">
        <v>47</v>
      </c>
      <c r="M155" s="10"/>
      <c r="N155" s="5" t="s">
        <v>2078</v>
      </c>
      <c r="O155" s="9" t="s">
        <v>49</v>
      </c>
    </row>
    <row r="156" spans="1:15">
      <c r="A15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VLT-CAL-008-AZM-M</v>
      </c>
      <c r="B156" s="28" t="s">
        <v>2079</v>
      </c>
      <c r="C156" s="9" t="s">
        <v>2066</v>
      </c>
      <c r="D156" s="5" t="s">
        <v>2067</v>
      </c>
      <c r="E156" s="5" t="s">
        <v>86</v>
      </c>
      <c r="F156" s="5" t="s">
        <v>68</v>
      </c>
      <c r="G156" s="9" t="s">
        <v>54</v>
      </c>
      <c r="H156" s="11">
        <v>319.89999999999998</v>
      </c>
      <c r="I156" s="11">
        <v>154.49</v>
      </c>
      <c r="J156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6" s="5" t="s">
        <v>2080</v>
      </c>
      <c r="L156" s="28" t="s">
        <v>47</v>
      </c>
      <c r="M156" s="10"/>
      <c r="N156" s="5" t="s">
        <v>376</v>
      </c>
      <c r="O156" s="9" t="s">
        <v>49</v>
      </c>
    </row>
    <row r="157" spans="1:15">
      <c r="A15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VLT-CAL-008-AZM-G</v>
      </c>
      <c r="B157" s="28" t="s">
        <v>2081</v>
      </c>
      <c r="C157" s="9" t="s">
        <v>2066</v>
      </c>
      <c r="D157" s="5" t="s">
        <v>2067</v>
      </c>
      <c r="E157" s="5" t="s">
        <v>86</v>
      </c>
      <c r="F157" s="5" t="s">
        <v>68</v>
      </c>
      <c r="G157" s="9" t="s">
        <v>58</v>
      </c>
      <c r="H157" s="11">
        <v>319.89999999999998</v>
      </c>
      <c r="I157" s="11">
        <v>154.49</v>
      </c>
      <c r="J157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7" s="5" t="s">
        <v>2082</v>
      </c>
      <c r="L157" s="28" t="s">
        <v>47</v>
      </c>
      <c r="M157" s="10"/>
      <c r="N157" s="5" t="s">
        <v>376</v>
      </c>
      <c r="O157" s="9" t="s">
        <v>49</v>
      </c>
    </row>
    <row r="158" spans="1:15">
      <c r="A158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VLT-CAL-008-AZM-GG</v>
      </c>
      <c r="B158" s="5" t="s">
        <v>2083</v>
      </c>
      <c r="C158" s="9" t="s">
        <v>2066</v>
      </c>
      <c r="D158" s="5" t="s">
        <v>2067</v>
      </c>
      <c r="E158" s="5" t="s">
        <v>86</v>
      </c>
      <c r="F158" s="5" t="s">
        <v>68</v>
      </c>
      <c r="G158" s="9" t="s">
        <v>61</v>
      </c>
      <c r="H158" s="11">
        <v>319.89999999999998</v>
      </c>
      <c r="I158" s="11">
        <v>154.49</v>
      </c>
      <c r="J158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8" s="5" t="s">
        <v>2084</v>
      </c>
      <c r="L158" s="28" t="s">
        <v>47</v>
      </c>
      <c r="M158" s="10"/>
      <c r="N158" s="5" t="s">
        <v>470</v>
      </c>
      <c r="O158" s="9" t="s">
        <v>49</v>
      </c>
    </row>
    <row r="159" spans="1:15">
      <c r="A159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VLT-CAL-008-OFF-P</v>
      </c>
      <c r="B159" s="5" t="s">
        <v>2085</v>
      </c>
      <c r="C159" s="9" t="s">
        <v>2066</v>
      </c>
      <c r="D159" s="5" t="s">
        <v>2067</v>
      </c>
      <c r="E159" s="5" t="s">
        <v>86</v>
      </c>
      <c r="F159" s="5" t="s">
        <v>117</v>
      </c>
      <c r="G159" s="9" t="s">
        <v>51</v>
      </c>
      <c r="H159" s="11">
        <v>319.89999999999998</v>
      </c>
      <c r="I159" s="27">
        <v>154.49</v>
      </c>
      <c r="J159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59" s="5" t="s">
        <v>2086</v>
      </c>
      <c r="L159" s="28" t="s">
        <v>47</v>
      </c>
      <c r="M159" s="10"/>
      <c r="N159" s="5" t="s">
        <v>2087</v>
      </c>
      <c r="O159" s="9" t="s">
        <v>49</v>
      </c>
    </row>
    <row r="160" spans="1:15">
      <c r="A160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VLT-CAL-008-OFF-M</v>
      </c>
      <c r="B160" s="28" t="s">
        <v>2088</v>
      </c>
      <c r="C160" s="9" t="s">
        <v>2066</v>
      </c>
      <c r="D160" s="5" t="s">
        <v>2067</v>
      </c>
      <c r="E160" s="5" t="s">
        <v>86</v>
      </c>
      <c r="F160" s="5" t="s">
        <v>117</v>
      </c>
      <c r="G160" s="9" t="s">
        <v>54</v>
      </c>
      <c r="H160" s="11">
        <v>319.89999999999998</v>
      </c>
      <c r="I160" s="11">
        <v>154.49</v>
      </c>
      <c r="J160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60" s="5" t="s">
        <v>2089</v>
      </c>
      <c r="L160" s="28" t="s">
        <v>47</v>
      </c>
      <c r="M160" s="10"/>
      <c r="N160" s="5" t="s">
        <v>376</v>
      </c>
      <c r="O160" s="9" t="s">
        <v>49</v>
      </c>
    </row>
    <row r="161" spans="1:15">
      <c r="A161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VLT-CAL-008-OFF-G</v>
      </c>
      <c r="B161" s="28" t="s">
        <v>2090</v>
      </c>
      <c r="C161" s="9" t="s">
        <v>2066</v>
      </c>
      <c r="D161" s="5" t="s">
        <v>2067</v>
      </c>
      <c r="E161" s="5" t="s">
        <v>86</v>
      </c>
      <c r="F161" s="5" t="s">
        <v>117</v>
      </c>
      <c r="G161" s="9" t="s">
        <v>58</v>
      </c>
      <c r="H161" s="11">
        <v>319.89999999999998</v>
      </c>
      <c r="I161" s="11">
        <v>154.49</v>
      </c>
      <c r="J161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61" s="5" t="s">
        <v>2091</v>
      </c>
      <c r="L161" s="28" t="s">
        <v>47</v>
      </c>
      <c r="M161" s="10"/>
      <c r="N161" s="5" t="s">
        <v>1788</v>
      </c>
      <c r="O161" s="9" t="s">
        <v>49</v>
      </c>
    </row>
    <row r="162" spans="1:15">
      <c r="A162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VLT-CAL-008-OFF-GG</v>
      </c>
      <c r="B162" s="28" t="s">
        <v>2092</v>
      </c>
      <c r="C162" s="9" t="s">
        <v>2066</v>
      </c>
      <c r="D162" s="5" t="s">
        <v>2067</v>
      </c>
      <c r="E162" s="5" t="s">
        <v>86</v>
      </c>
      <c r="F162" s="5" t="s">
        <v>117</v>
      </c>
      <c r="G162" s="9" t="s">
        <v>61</v>
      </c>
      <c r="H162" s="11">
        <v>319.89999999999998</v>
      </c>
      <c r="I162" s="11">
        <v>154.49</v>
      </c>
      <c r="J162" s="12">
        <f>IF(OR(tAtemporais[[#This Row],[Preço (R$)]]="",tAtemporais[[#This Row],[Custo (R$)]]=""),"",(tAtemporais[[#This Row],[Preço (R$)]]-tAtemporais[[#This Row],[Custo (R$)]])/tAtemporais[[#This Row],[Preço (R$)]])</f>
        <v>0.51706783369803055</v>
      </c>
      <c r="K162" s="5" t="s">
        <v>2093</v>
      </c>
      <c r="L162" s="28" t="s">
        <v>47</v>
      </c>
      <c r="M162" s="10"/>
      <c r="N162" s="5" t="s">
        <v>376</v>
      </c>
      <c r="O162" s="9" t="s">
        <v>49</v>
      </c>
    </row>
    <row r="163" spans="1:15">
      <c r="A163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VLT-CAL-009-OFF-XP</v>
      </c>
      <c r="B163" s="5" t="s">
        <v>1344</v>
      </c>
      <c r="C163" s="9" t="s">
        <v>1345</v>
      </c>
      <c r="D163" s="5" t="s">
        <v>1346</v>
      </c>
      <c r="E163" s="5" t="s">
        <v>86</v>
      </c>
      <c r="F163" s="5" t="s">
        <v>117</v>
      </c>
      <c r="G163" s="9" t="s">
        <v>45</v>
      </c>
      <c r="H163" s="11">
        <v>239.9</v>
      </c>
      <c r="I163" s="11">
        <v>92.13</v>
      </c>
      <c r="J163" s="12">
        <f>IF(OR(tAtemporais[[#This Row],[Preço (R$)]]="",tAtemporais[[#This Row],[Custo (R$)]]=""),"",(tAtemporais[[#This Row],[Preço (R$)]]-tAtemporais[[#This Row],[Custo (R$)]])/tAtemporais[[#This Row],[Preço (R$)]])</f>
        <v>0.61596498541058775</v>
      </c>
      <c r="K163" s="5" t="s">
        <v>1347</v>
      </c>
      <c r="L163" s="28" t="s">
        <v>47</v>
      </c>
      <c r="M163" s="10"/>
      <c r="N163" s="5" t="s">
        <v>2094</v>
      </c>
      <c r="O163" s="9" t="s">
        <v>49</v>
      </c>
    </row>
    <row r="164" spans="1:15">
      <c r="A164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VLT-CAL-009-OFF-P</v>
      </c>
      <c r="B164" s="5" t="s">
        <v>1348</v>
      </c>
      <c r="C164" s="9" t="s">
        <v>1345</v>
      </c>
      <c r="D164" s="5" t="s">
        <v>1346</v>
      </c>
      <c r="E164" s="5" t="s">
        <v>86</v>
      </c>
      <c r="F164" s="5" t="s">
        <v>117</v>
      </c>
      <c r="G164" s="9" t="s">
        <v>51</v>
      </c>
      <c r="H164" s="11">
        <v>239.9</v>
      </c>
      <c r="I164" s="11">
        <v>92.13</v>
      </c>
      <c r="J164" s="12">
        <f>IF(OR(tAtemporais[[#This Row],[Preço (R$)]]="",tAtemporais[[#This Row],[Custo (R$)]]=""),"",(tAtemporais[[#This Row],[Preço (R$)]]-tAtemporais[[#This Row],[Custo (R$)]])/tAtemporais[[#This Row],[Preço (R$)]])</f>
        <v>0.61596498541058775</v>
      </c>
      <c r="K164" s="5" t="s">
        <v>1349</v>
      </c>
      <c r="L164" s="28" t="s">
        <v>47</v>
      </c>
      <c r="M164" s="10"/>
      <c r="N164" s="5" t="s">
        <v>2095</v>
      </c>
      <c r="O164" s="9" t="s">
        <v>49</v>
      </c>
    </row>
    <row r="165" spans="1:15">
      <c r="A165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VLT-CAL-009-OFF-M</v>
      </c>
      <c r="B165" s="5" t="s">
        <v>1351</v>
      </c>
      <c r="C165" s="9" t="s">
        <v>1345</v>
      </c>
      <c r="D165" s="5" t="s">
        <v>1346</v>
      </c>
      <c r="E165" s="5" t="s">
        <v>86</v>
      </c>
      <c r="F165" s="5" t="s">
        <v>117</v>
      </c>
      <c r="G165" s="9" t="s">
        <v>54</v>
      </c>
      <c r="H165" s="11">
        <v>239.9</v>
      </c>
      <c r="I165" s="11">
        <v>92.13</v>
      </c>
      <c r="J165" s="12">
        <f>IF(OR(tAtemporais[[#This Row],[Preço (R$)]]="",tAtemporais[[#This Row],[Custo (R$)]]=""),"",(tAtemporais[[#This Row],[Preço (R$)]]-tAtemporais[[#This Row],[Custo (R$)]])/tAtemporais[[#This Row],[Preço (R$)]])</f>
        <v>0.61596498541058775</v>
      </c>
      <c r="K165" s="5" t="s">
        <v>1352</v>
      </c>
      <c r="L165" s="28" t="s">
        <v>47</v>
      </c>
      <c r="M165" s="10"/>
      <c r="N165" s="5" t="s">
        <v>2096</v>
      </c>
      <c r="O165" s="9" t="s">
        <v>49</v>
      </c>
    </row>
    <row r="166" spans="1:15">
      <c r="A166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VLT-CAL-009-OFF-G</v>
      </c>
      <c r="B166" s="5" t="s">
        <v>1354</v>
      </c>
      <c r="C166" s="9" t="s">
        <v>1345</v>
      </c>
      <c r="D166" s="5" t="s">
        <v>1346</v>
      </c>
      <c r="E166" s="5" t="s">
        <v>86</v>
      </c>
      <c r="F166" s="5" t="s">
        <v>117</v>
      </c>
      <c r="G166" s="9" t="s">
        <v>58</v>
      </c>
      <c r="H166" s="11">
        <v>239.9</v>
      </c>
      <c r="I166" s="11">
        <v>95.7</v>
      </c>
      <c r="J166" s="12">
        <f>IF(OR(tAtemporais[[#This Row],[Preço (R$)]]="",tAtemporais[[#This Row],[Custo (R$)]]=""),"",(tAtemporais[[#This Row],[Preço (R$)]]-tAtemporais[[#This Row],[Custo (R$)]])/tAtemporais[[#This Row],[Preço (R$)]])</f>
        <v>0.60108378491037928</v>
      </c>
      <c r="K166" s="5" t="s">
        <v>1355</v>
      </c>
      <c r="L166" s="28" t="s">
        <v>47</v>
      </c>
      <c r="M166" s="10"/>
      <c r="N166" s="5" t="s">
        <v>2097</v>
      </c>
      <c r="O166" s="9" t="s">
        <v>49</v>
      </c>
    </row>
    <row r="167" spans="1:15">
      <c r="A167" t="str">
        <f>IF(tAtemporais[[#This Row],[Modelo]]="","","VLT-"&amp;tAtemporais[[#This Row],[Modelo]]&amp;"-"&amp;IFERROR(INDEX(tCores[Sigla],MATCH(tAtemporais[[#This Row],[Cor]],tCores[Cor],0)),"???")&amp;"-"&amp;IFERROR(INDEX(tTamanhos[Sigla],MATCH(tAtemporais[[#This Row],[Tamanho]],tTamanhos[Tamanho],0)),IF(ISNUMBER(SEARCH("/",tAtemporais[[#This Row],[Tamanho]])),"GRADE",tAtemporais[[#This Row],[Tamanho]])))</f>
        <v>VLT-CAL-009-OFF-GG</v>
      </c>
      <c r="B167" s="5" t="s">
        <v>1356</v>
      </c>
      <c r="C167" s="9" t="s">
        <v>1345</v>
      </c>
      <c r="D167" s="5" t="s">
        <v>1346</v>
      </c>
      <c r="E167" s="5" t="s">
        <v>86</v>
      </c>
      <c r="F167" s="5" t="s">
        <v>117</v>
      </c>
      <c r="G167" s="9" t="s">
        <v>61</v>
      </c>
      <c r="H167" s="11">
        <v>239.9</v>
      </c>
      <c r="I167" s="27">
        <v>92.13</v>
      </c>
      <c r="J167" s="12">
        <f>IF(OR(tAtemporais[[#This Row],[Preço (R$)]]="",tAtemporais[[#This Row],[Custo (R$)]]=""),"",(tAtemporais[[#This Row],[Preço (R$)]]-tAtemporais[[#This Row],[Custo (R$)]])/tAtemporais[[#This Row],[Preço (R$)]])</f>
        <v>0.61596498541058775</v>
      </c>
      <c r="K167" s="5" t="s">
        <v>1357</v>
      </c>
      <c r="L167" s="28" t="s">
        <v>47</v>
      </c>
      <c r="M167" s="10"/>
      <c r="N167" s="5" t="s">
        <v>2098</v>
      </c>
      <c r="O167" s="9" t="s">
        <v>49</v>
      </c>
    </row>
  </sheetData>
  <conditionalFormatting sqref="A5:O167">
    <cfRule type="expression" dxfId="29" priority="1">
      <formula>$O5="Descontinuado"</formula>
    </cfRule>
  </conditionalFormatting>
  <conditionalFormatting sqref="A5:O167">
    <cfRule type="expression" dxfId="28" priority="2">
      <formula>$O5="Revisar preço"</formula>
    </cfRule>
  </conditionalFormatting>
  <conditionalFormatting sqref="I5:I167">
    <cfRule type="expression" dxfId="27" priority="3">
      <formula>AND($I5="",$O5&lt;&gt;"Descontinuado")</formula>
    </cfRule>
  </conditionalFormatting>
  <conditionalFormatting sqref="K5:K167">
    <cfRule type="expression" dxfId="26" priority="19">
      <formula>AND($K5&lt;&gt;"",COUNTIF($K$5:$K$167,$K5)&gt;1)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D4F1069F-8A18-A747-B7CE-95A5122C7C85}">
            <xm:f>AND(ISNUMBER($J5),$J5&lt;Listas!$L$4,$O5&lt;&gt;"Descontinuado")</xm:f>
            <x14:dxf>
              <font>
                <b/>
                <i val="0"/>
                <color rgb="FFC00000"/>
              </font>
            </x14:dxf>
          </x14:cfRule>
          <xm:sqref>J5:J167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fora da lista" error="Use um valor da aba Listas." xr:uid="{4F5A1C53-306D-6741-9279-19D288C4D443}">
          <x14:formula1>
            <xm:f>Listas!$D$4:$D$14</xm:f>
          </x14:formula1>
          <xm:sqref>E5:E167</xm:sqref>
        </x14:dataValidation>
        <x14:dataValidation type="list" allowBlank="1" showInputMessage="1" showErrorMessage="1" errorTitle="Valor fora da lista" error="Use um valor da aba Listas." xr:uid="{465C99B1-2FBD-474B-A11A-31205335A8DB}">
          <x14:formula1>
            <xm:f>Listas!$A$4:$A$16</xm:f>
          </x14:formula1>
          <xm:sqref>F5:F167</xm:sqref>
        </x14:dataValidation>
        <x14:dataValidation type="list" errorStyle="warning" allowBlank="1" showInputMessage="1" showErrorMessage="1" errorTitle="Valor fora da lista" error="Use XP, P, M, G, GG, XG ou Único." xr:uid="{359FD9FF-4899-354B-BA7A-5F416326A9E8}">
          <x14:formula1>
            <xm:f>Listas!$G$4:$G$10</xm:f>
          </x14:formula1>
          <xm:sqref>G5:G167</xm:sqref>
        </x14:dataValidation>
        <x14:dataValidation type="list" allowBlank="1" showInputMessage="1" showErrorMessage="1" errorTitle="Valor fora da lista" error="Use um valor da aba Listas." xr:uid="{BCB9D0EA-F752-CA41-BC92-3836C87FBD99}">
          <x14:formula1>
            <xm:f>Listas!$J$4:$J$6</xm:f>
          </x14:formula1>
          <xm:sqref>O5:O167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685C-E65B-F64D-BDED-FC46E7FF2478}">
  <dimension ref="A1:N2000"/>
  <sheetViews>
    <sheetView workbookViewId="0">
      <selection activeCell="C4" sqref="C4"/>
    </sheetView>
  </sheetViews>
  <sheetFormatPr defaultColWidth="11.42578125" defaultRowHeight="15"/>
  <cols>
    <col min="1" max="1" width="16.7109375" customWidth="1"/>
    <col min="2" max="2" width="25" customWidth="1"/>
    <col min="3" max="3" width="36.7109375" customWidth="1"/>
    <col min="4" max="4" width="16.7109375" customWidth="1"/>
    <col min="5" max="5" width="12.42578125" customWidth="1"/>
    <col min="6" max="6" width="46.7109375" customWidth="1"/>
    <col min="7" max="7" width="18.28515625" customWidth="1"/>
    <col min="8" max="8" width="16.7109375" customWidth="1"/>
    <col min="9" max="9" width="18.28515625" customWidth="1"/>
    <col min="10" max="12" width="21.7109375" customWidth="1"/>
    <col min="14" max="14" width="18.28515625" customWidth="1"/>
  </cols>
  <sheetData>
    <row r="1" spans="1:14" ht="21">
      <c r="A1" s="34" t="s">
        <v>2099</v>
      </c>
    </row>
    <row r="2" spans="1:14">
      <c r="A2" s="7" t="s">
        <v>2100</v>
      </c>
    </row>
    <row r="3" spans="1:14">
      <c r="I3" s="40" t="s">
        <v>2101</v>
      </c>
    </row>
    <row r="4" spans="1:14" ht="30" customHeight="1">
      <c r="A4" s="35" t="s">
        <v>2102</v>
      </c>
      <c r="B4" s="36" t="s">
        <v>2103</v>
      </c>
      <c r="C4" s="36" t="s">
        <v>36</v>
      </c>
      <c r="D4" s="36" t="s">
        <v>2104</v>
      </c>
      <c r="E4" s="36" t="s">
        <v>2105</v>
      </c>
      <c r="F4" s="36" t="s">
        <v>29</v>
      </c>
      <c r="G4" s="36" t="s">
        <v>2106</v>
      </c>
      <c r="I4" s="35" t="s">
        <v>2102</v>
      </c>
      <c r="J4" s="36" t="s">
        <v>2107</v>
      </c>
      <c r="K4" s="36" t="s">
        <v>2108</v>
      </c>
      <c r="L4" s="36" t="s">
        <v>2109</v>
      </c>
      <c r="M4" s="36" t="s">
        <v>2110</v>
      </c>
      <c r="N4" s="36" t="s">
        <v>2111</v>
      </c>
    </row>
    <row r="5" spans="1:14">
      <c r="A5" s="15" t="s">
        <v>22</v>
      </c>
      <c r="B5" s="21">
        <f>IFERROR(COUNTIFS(INDEX(_xlfn.ANCHORARRAY($A$14),0,1),$A5,INDEX(_xlfn.ANCHORARRAY($A$14),0,6),"*"&amp;B$4&amp;"*"),0)</f>
        <v>0</v>
      </c>
      <c r="C5" s="21">
        <f>IFERROR(COUNTIFS(INDEX(_xlfn.ANCHORARRAY($A$14),0,1),$A5,INDEX(_xlfn.ANCHORARRAY($A$14),0,6),"*"&amp;C$4&amp;"*"),0)</f>
        <v>0</v>
      </c>
      <c r="D5" s="21">
        <f>IFERROR(COUNTIFS(INDEX(_xlfn.ANCHORARRAY($A$14),0,1),$A5,INDEX(_xlfn.ANCHORARRAY($A$14),0,6),"*"&amp;D$4&amp;"*"),0)</f>
        <v>0</v>
      </c>
      <c r="E5" s="21">
        <f>IFERROR(COUNTIFS(INDEX(_xlfn.ANCHORARRAY($A$14),0,1),$A5,INDEX(_xlfn.ANCHORARRAY($A$14),0,6),"*"&amp;E$4&amp;"*"),0)</f>
        <v>0</v>
      </c>
      <c r="F5" s="21">
        <f>IFERROR(COUNTIFS(INDEX(_xlfn.ANCHORARRAY($A$14),0,1),$A5,INDEX(_xlfn.ANCHORARRAY($A$14),0,6),"*"&amp;F$4&amp;"*"),0)</f>
        <v>0</v>
      </c>
      <c r="G5" s="21">
        <f>COUNTIF(INDEX(_xlfn.ANCHORARRAY($A$14),0,1),$A5)</f>
        <v>0</v>
      </c>
      <c r="I5" s="15" t="s">
        <v>22</v>
      </c>
      <c r="J5" s="21">
        <f>COUNTIFS(tVerao25[Obs],"*Custo estimado*")+COUNTIFS(tVerao25[Obs],"*Custo de referência*")</f>
        <v>12</v>
      </c>
      <c r="K5" s="21">
        <f>COUNTIFS(tVerao25[Obs],"*EAN interno*")</f>
        <v>0</v>
      </c>
      <c r="L5" s="21">
        <f>COUNTIFS(tVerao25[Obs],"*Fornecedor estimado*")</f>
        <v>0</v>
      </c>
      <c r="M5" s="21">
        <f>COUNTIF(tVerao25[Fornecedor],"A definir")</f>
        <v>0</v>
      </c>
      <c r="N5" s="21">
        <f>COUNTIFS(tVerao25[Obs],"*Código CD provisório*")</f>
        <v>24</v>
      </c>
    </row>
    <row r="6" spans="1:14">
      <c r="A6" s="17" t="s">
        <v>21</v>
      </c>
      <c r="B6" s="22">
        <f>IFERROR(COUNTIFS(INDEX(_xlfn.ANCHORARRAY($A$14),0,1),$A6,INDEX(_xlfn.ANCHORARRAY($A$14),0,6),"*"&amp;B$4&amp;"*"),0)</f>
        <v>0</v>
      </c>
      <c r="C6" s="22">
        <f>IFERROR(COUNTIFS(INDEX(_xlfn.ANCHORARRAY($A$14),0,1),$A6,INDEX(_xlfn.ANCHORARRAY($A$14),0,6),"*"&amp;C$4&amp;"*"),0)</f>
        <v>0</v>
      </c>
      <c r="D6" s="22">
        <f>IFERROR(COUNTIFS(INDEX(_xlfn.ANCHORARRAY($A$14),0,1),$A6,INDEX(_xlfn.ANCHORARRAY($A$14),0,6),"*"&amp;D$4&amp;"*"),0)</f>
        <v>0</v>
      </c>
      <c r="E6" s="22">
        <f>IFERROR(COUNTIFS(INDEX(_xlfn.ANCHORARRAY($A$14),0,1),$A6,INDEX(_xlfn.ANCHORARRAY($A$14),0,6),"*"&amp;E$4&amp;"*"),0)</f>
        <v>0</v>
      </c>
      <c r="F6" s="22">
        <f>IFERROR(COUNTIFS(INDEX(_xlfn.ANCHORARRAY($A$14),0,1),$A6,INDEX(_xlfn.ANCHORARRAY($A$14),0,6),"*"&amp;F$4&amp;"*"),0)</f>
        <v>0</v>
      </c>
      <c r="G6" s="22">
        <f>COUNTIF(INDEX(_xlfn.ANCHORARRAY($A$14),0,1),$A6)</f>
        <v>0</v>
      </c>
      <c r="I6" s="17" t="s">
        <v>21</v>
      </c>
      <c r="J6" s="22">
        <f>COUNTIFS(tInverno25[Obs],"*Custo estimado*")+COUNTIFS(tInverno25[Obs],"*Custo de referência*")</f>
        <v>18</v>
      </c>
      <c r="K6" s="22">
        <f>COUNTIFS(tInverno25[Obs],"*EAN interno*")</f>
        <v>18</v>
      </c>
      <c r="L6" s="22">
        <f>COUNTIFS(tInverno25[Obs],"*Fornecedor estimado*")</f>
        <v>144</v>
      </c>
      <c r="M6" s="22">
        <f>COUNTIF(tInverno25[Fornecedor],"A definir")</f>
        <v>0</v>
      </c>
      <c r="N6" s="22">
        <f>COUNTIFS(tInverno25[Obs],"*Código CD provisório*")</f>
        <v>55</v>
      </c>
    </row>
    <row r="7" spans="1:14">
      <c r="A7" s="17" t="s">
        <v>20</v>
      </c>
      <c r="B7" s="22">
        <f>IFERROR(COUNTIFS(INDEX(_xlfn.ANCHORARRAY($A$14),0,1),$A7,INDEX(_xlfn.ANCHORARRAY($A$14),0,6),"*"&amp;B$4&amp;"*"),0)</f>
        <v>0</v>
      </c>
      <c r="C7" s="22">
        <f>IFERROR(COUNTIFS(INDEX(_xlfn.ANCHORARRAY($A$14),0,1),$A7,INDEX(_xlfn.ANCHORARRAY($A$14),0,6),"*"&amp;C$4&amp;"*"),0)</f>
        <v>0</v>
      </c>
      <c r="D7" s="22">
        <f>IFERROR(COUNTIFS(INDEX(_xlfn.ANCHORARRAY($A$14),0,1),$A7,INDEX(_xlfn.ANCHORARRAY($A$14),0,6),"*"&amp;D$4&amp;"*"),0)</f>
        <v>0</v>
      </c>
      <c r="E7" s="22">
        <f>IFERROR(COUNTIFS(INDEX(_xlfn.ANCHORARRAY($A$14),0,1),$A7,INDEX(_xlfn.ANCHORARRAY($A$14),0,6),"*"&amp;E$4&amp;"*"),0)</f>
        <v>0</v>
      </c>
      <c r="F7" s="22">
        <f>IFERROR(COUNTIFS(INDEX(_xlfn.ANCHORARRAY($A$14),0,1),$A7,INDEX(_xlfn.ANCHORARRAY($A$14),0,6),"*"&amp;F$4&amp;"*"),0)</f>
        <v>0</v>
      </c>
      <c r="G7" s="22">
        <f>COUNTIF(INDEX(_xlfn.ANCHORARRAY($A$14),0,1),$A7)</f>
        <v>0</v>
      </c>
      <c r="I7" s="17" t="s">
        <v>20</v>
      </c>
      <c r="J7" s="22">
        <f>COUNTIFS(tVerao26[Obs],"*Custo estimado*")+COUNTIFS(tVerao26[Obs],"*Custo de referência*")</f>
        <v>46</v>
      </c>
      <c r="K7" s="22">
        <f>COUNTIFS(tVerao26[Obs],"*EAN interno*")</f>
        <v>5</v>
      </c>
      <c r="L7" s="22">
        <f>COUNTIFS(tVerao26[Obs],"*Fornecedor estimado*")</f>
        <v>248</v>
      </c>
      <c r="M7" s="22">
        <f>COUNTIF(tVerao26[Fornecedor],"A definir")</f>
        <v>0</v>
      </c>
      <c r="N7" s="22">
        <f>COUNTIFS(tVerao26[Obs],"*Código CD provisório*")</f>
        <v>0</v>
      </c>
    </row>
    <row r="8" spans="1:14">
      <c r="A8" s="17" t="s">
        <v>19</v>
      </c>
      <c r="B8" s="22">
        <f>IFERROR(COUNTIFS(INDEX(_xlfn.ANCHORARRAY($A$14),0,1),$A8,INDEX(_xlfn.ANCHORARRAY($A$14),0,6),"*"&amp;B$4&amp;"*"),0)</f>
        <v>0</v>
      </c>
      <c r="C8" s="22">
        <f>IFERROR(COUNTIFS(INDEX(_xlfn.ANCHORARRAY($A$14),0,1),$A8,INDEX(_xlfn.ANCHORARRAY($A$14),0,6),"*"&amp;C$4&amp;"*"),0)</f>
        <v>0</v>
      </c>
      <c r="D8" s="22">
        <f>IFERROR(COUNTIFS(INDEX(_xlfn.ANCHORARRAY($A$14),0,1),$A8,INDEX(_xlfn.ANCHORARRAY($A$14),0,6),"*"&amp;D$4&amp;"*"),0)</f>
        <v>0</v>
      </c>
      <c r="E8" s="22">
        <f>IFERROR(COUNTIFS(INDEX(_xlfn.ANCHORARRAY($A$14),0,1),$A8,INDEX(_xlfn.ANCHORARRAY($A$14),0,6),"*"&amp;E$4&amp;"*"),0)</f>
        <v>0</v>
      </c>
      <c r="F8" s="22">
        <f>IFERROR(COUNTIFS(INDEX(_xlfn.ANCHORARRAY($A$14),0,1),$A8,INDEX(_xlfn.ANCHORARRAY($A$14),0,6),"*"&amp;F$4&amp;"*"),0)</f>
        <v>0</v>
      </c>
      <c r="G8" s="22">
        <f>COUNTIF(INDEX(_xlfn.ANCHORARRAY($A$14),0,1),$A8)</f>
        <v>0</v>
      </c>
      <c r="I8" s="17" t="s">
        <v>19</v>
      </c>
      <c r="J8" s="22">
        <f>COUNTIFS(tInverno26[Obs],"*Custo estimado*")+COUNTIFS(tInverno26[Obs],"*Custo de referência*")</f>
        <v>44</v>
      </c>
      <c r="K8" s="22">
        <f>COUNTIFS(tInverno26[Obs],"*EAN interno*")</f>
        <v>8</v>
      </c>
      <c r="L8" s="22">
        <f>COUNTIFS(tInverno26[Obs],"*Fornecedor estimado*")</f>
        <v>177</v>
      </c>
      <c r="M8" s="22">
        <f>COUNTIF(tInverno26[Fornecedor],"A definir")</f>
        <v>0</v>
      </c>
      <c r="N8" s="22">
        <f>COUNTIFS(tInverno26[Obs],"*Código CD provisório*")</f>
        <v>0</v>
      </c>
    </row>
    <row r="9" spans="1:14">
      <c r="A9" s="19" t="s">
        <v>23</v>
      </c>
      <c r="B9" s="23">
        <f>IFERROR(COUNTIFS(INDEX(_xlfn.ANCHORARRAY($A$14),0,1),$A9,INDEX(_xlfn.ANCHORARRAY($A$14),0,6),"*"&amp;B$4&amp;"*"),0)</f>
        <v>0</v>
      </c>
      <c r="C9" s="23">
        <f>IFERROR(COUNTIFS(INDEX(_xlfn.ANCHORARRAY($A$14),0,1),$A9,INDEX(_xlfn.ANCHORARRAY($A$14),0,6),"*"&amp;C$4&amp;"*"),0)</f>
        <v>0</v>
      </c>
      <c r="D9" s="23">
        <f>IFERROR(COUNTIFS(INDEX(_xlfn.ANCHORARRAY($A$14),0,1),$A9,INDEX(_xlfn.ANCHORARRAY($A$14),0,6),"*"&amp;D$4&amp;"*"),0)</f>
        <v>0</v>
      </c>
      <c r="E9" s="23">
        <f>IFERROR(COUNTIFS(INDEX(_xlfn.ANCHORARRAY($A$14),0,1),$A9,INDEX(_xlfn.ANCHORARRAY($A$14),0,6),"*"&amp;E$4&amp;"*"),0)</f>
        <v>0</v>
      </c>
      <c r="F9" s="23">
        <f>IFERROR(COUNTIFS(INDEX(_xlfn.ANCHORARRAY($A$14),0,1),$A9,INDEX(_xlfn.ANCHORARRAY($A$14),0,6),"*"&amp;F$4&amp;"*"),0)</f>
        <v>0</v>
      </c>
      <c r="G9" s="23">
        <f>COUNTIF(INDEX(_xlfn.ANCHORARRAY($A$14),0,1),$A9)</f>
        <v>0</v>
      </c>
      <c r="I9" s="19" t="s">
        <v>23</v>
      </c>
      <c r="J9" s="23">
        <f>COUNTIFS(tAtemporais[Obs],"*Custo estimado*")+COUNTIFS(tAtemporais[Obs],"*Custo de referência*")</f>
        <v>27</v>
      </c>
      <c r="K9" s="23">
        <f>COUNTIFS(tAtemporais[Obs],"*EAN interno*")</f>
        <v>0</v>
      </c>
      <c r="L9" s="23">
        <f>COUNTIFS(tAtemporais[Obs],"*Fornecedor estimado*")</f>
        <v>163</v>
      </c>
      <c r="M9" s="23">
        <f>COUNTIF(tAtemporais[Fornecedor],"A definir")</f>
        <v>0</v>
      </c>
      <c r="N9" s="23">
        <f>COUNTIFS(tAtemporais[Obs],"*Código CD provisório*")</f>
        <v>79</v>
      </c>
    </row>
    <row r="10" spans="1:14">
      <c r="A10" s="3" t="s">
        <v>2112</v>
      </c>
      <c r="B10" s="37">
        <f>SUM(B5:B9)</f>
        <v>0</v>
      </c>
      <c r="C10" s="37">
        <f t="shared" ref="C10:F10" si="0">SUM(C5:C9)</f>
        <v>0</v>
      </c>
      <c r="D10" s="37">
        <f t="shared" si="0"/>
        <v>0</v>
      </c>
      <c r="E10" s="37">
        <f t="shared" si="0"/>
        <v>0</v>
      </c>
      <c r="F10" s="37">
        <f>SUM(F5:F9)</f>
        <v>0</v>
      </c>
      <c r="G10" s="37">
        <f>SUM(G5:G9)</f>
        <v>0</v>
      </c>
      <c r="I10" s="38" t="s">
        <v>2112</v>
      </c>
      <c r="J10" s="39">
        <f>SUM(J5:J9)</f>
        <v>147</v>
      </c>
      <c r="K10" s="39">
        <f>SUM(K5:K9)</f>
        <v>31</v>
      </c>
      <c r="L10" s="39">
        <f>SUM(L5:L9)</f>
        <v>732</v>
      </c>
      <c r="M10" s="39">
        <f>SUM(M5:M9)</f>
        <v>0</v>
      </c>
      <c r="N10" s="39">
        <f>SUM(N5:N9)</f>
        <v>158</v>
      </c>
    </row>
    <row r="12" spans="1:14" ht="15.95">
      <c r="A12" s="13" t="s">
        <v>2113</v>
      </c>
      <c r="B12" s="29" t="str">
        <f>IF(G10=0,"Nenhuma pendência no momento","")</f>
        <v>Nenhuma pendência no momento</v>
      </c>
    </row>
    <row r="13" spans="1:14" ht="15.95">
      <c r="A13" s="35" t="s">
        <v>2102</v>
      </c>
      <c r="B13" s="35" t="s">
        <v>28</v>
      </c>
      <c r="C13" s="35" t="s">
        <v>12</v>
      </c>
      <c r="D13" s="35" t="s">
        <v>32</v>
      </c>
      <c r="E13" s="35" t="s">
        <v>33</v>
      </c>
      <c r="F13" s="35" t="s">
        <v>2114</v>
      </c>
    </row>
    <row r="14" spans="1:14">
      <c r="A14" t="str" cm="1">
        <f t="array" ref="A14">_xlfn.LET(_xlpm.f,_xlfn.LAMBDA(_xlpm.nome,_xlpm.sku,_xlpm.prod,_xlpm.cor,_xlpm.tam,_xlpm.custo,_xlpm.ean,_xlpm.st,_xlpm.m,_xlpm.cd,_xlfn.LET(_xlpm.p,IF(_xlpm.custo="","Custo em branco; ","")&amp;IF(_xlpm.ean="","EAN em branco; ",IF((_xlpm.ean="7900000000000")+(_xlpm.ean="7890000000000")+(RIGHT(_xlpm.ean,6)="000000"),"EAN inválido; ",IF(COUNTIF(_xlpm.ean,_xlpm.ean)&gt;1,"EAN repetido; ","")))&amp;IF(_xlpm.st="Revisar preço","Revisar preço; ","")&amp;IF(ISNUMBER(_xlpm.m),IF(_xlpm.m&lt;Listas!$L$4,"Margem baixa; ",""),"")&amp;IF(_xlpm.cd="","Código CD faltando – pedir ao CD; ",""),_xlfn._xlws.FILTER(_xlfn.HSTACK(IF(_xlpm.sku&lt;&gt;"",_xlpm.nome),_xlpm.sku,_xlpm.prod,_xlpm.cor,_xlpm.tam,_xlpm.p),(_xlpm.st&lt;&gt;"Descontinuado")*(_xlpm.p&lt;&gt;""),_xlfn.HSTACK("","","","","","")))),_xlfn.LET(_xlpm.all,_xlfn.VSTACK(_xlpm.f("Verão 25",tVerao25[SKU],tVerao25[Produto],tVerao25[Cor],tVerao25[Tamanho],tVerao25[Custo (R$)],tVerao25[EAN],tVerao25[Status],tVerao25[Margem (%)],tVerao25[Código CD]),_xlpm.f("Inverno 25",tInverno25[SKU],tInverno25[Produto],tInverno25[Cor],tInverno25[Tamanho],tInverno25[Custo (R$)],tInverno25[EAN],tInverno25[Status],tInverno25[Margem (%)],tInverno25[Código CD]),_xlpm.f("Verão 26",tVerao26[SKU],tVerao26[Produto],tVerao26[Cor],tVerao26[Tamanho],tVerao26[Custo (R$)],tVerao26[EAN],tVerao26[Status],tVerao26[Margem (%)],tVerao26[Código CD]),_xlpm.f("Inverno 26",tInverno26[SKU],tInverno26[Produto],tInverno26[Cor],tInverno26[Tamanho],tInverno26[Custo (R$)],tInverno26[EAN],tInverno26[Status],tInverno26[Margem (%)],tInverno26[Código CD]),_xlpm.f("Atemporais",tAtemporais[SKU],tAtemporais[Produto],tAtemporais[Cor],tAtemporais[Tamanho],tAtemporais[Custo (R$)],tAtemporais[EAN],tAtemporais[Status],tAtemporais[Margem (%)],tAtemporais[Código CD])),IFERROR(_xlfn._xlws.FILTER(_xlpm.all,INDEX(_xlpm.all,0,1)&lt;&gt;""),"")))</f>
        <v/>
      </c>
      <c r="E14" s="14"/>
    </row>
    <row r="15" spans="1:14">
      <c r="E15" s="14"/>
    </row>
    <row r="16" spans="1:14">
      <c r="E16" s="14"/>
    </row>
    <row r="17" spans="5:5">
      <c r="E17" s="14"/>
    </row>
    <row r="18" spans="5:5">
      <c r="E18" s="14"/>
    </row>
    <row r="19" spans="5:5">
      <c r="E19" s="14"/>
    </row>
    <row r="20" spans="5:5">
      <c r="E20" s="14"/>
    </row>
    <row r="21" spans="5:5">
      <c r="E21" s="14"/>
    </row>
    <row r="22" spans="5:5">
      <c r="E22" s="14"/>
    </row>
    <row r="23" spans="5:5">
      <c r="E23" s="14"/>
    </row>
    <row r="24" spans="5:5">
      <c r="E24" s="14"/>
    </row>
    <row r="25" spans="5:5">
      <c r="E25" s="14"/>
    </row>
    <row r="26" spans="5:5">
      <c r="E26" s="14"/>
    </row>
    <row r="27" spans="5:5">
      <c r="E27" s="14"/>
    </row>
    <row r="28" spans="5:5">
      <c r="E28" s="14"/>
    </row>
    <row r="29" spans="5:5">
      <c r="E29" s="14"/>
    </row>
    <row r="30" spans="5:5">
      <c r="E30" s="14"/>
    </row>
    <row r="31" spans="5:5">
      <c r="E31" s="14"/>
    </row>
    <row r="32" spans="5:5">
      <c r="E32" s="14"/>
    </row>
    <row r="33" spans="5:5">
      <c r="E33" s="14"/>
    </row>
    <row r="34" spans="5:5">
      <c r="E34" s="14"/>
    </row>
    <row r="35" spans="5:5">
      <c r="E35" s="14"/>
    </row>
    <row r="36" spans="5:5">
      <c r="E36" s="14"/>
    </row>
    <row r="37" spans="5:5">
      <c r="E37" s="14"/>
    </row>
    <row r="38" spans="5:5">
      <c r="E38" s="14"/>
    </row>
    <row r="39" spans="5:5">
      <c r="E39" s="14"/>
    </row>
    <row r="40" spans="5:5">
      <c r="E40" s="14"/>
    </row>
    <row r="41" spans="5:5">
      <c r="E41" s="14"/>
    </row>
    <row r="42" spans="5:5">
      <c r="E42" s="14"/>
    </row>
    <row r="43" spans="5:5">
      <c r="E43" s="14"/>
    </row>
    <row r="44" spans="5:5">
      <c r="E44" s="14"/>
    </row>
    <row r="45" spans="5:5">
      <c r="E45" s="14"/>
    </row>
    <row r="46" spans="5:5">
      <c r="E46" s="14"/>
    </row>
    <row r="47" spans="5:5">
      <c r="E47" s="14"/>
    </row>
    <row r="48" spans="5:5">
      <c r="E48" s="14"/>
    </row>
    <row r="49" spans="5:5">
      <c r="E49" s="14"/>
    </row>
    <row r="50" spans="5:5">
      <c r="E50" s="14"/>
    </row>
    <row r="51" spans="5:5">
      <c r="E51" s="14"/>
    </row>
    <row r="52" spans="5:5">
      <c r="E52" s="14"/>
    </row>
    <row r="53" spans="5:5">
      <c r="E53" s="14"/>
    </row>
    <row r="54" spans="5:5">
      <c r="E54" s="14"/>
    </row>
    <row r="55" spans="5:5">
      <c r="E55" s="14"/>
    </row>
    <row r="56" spans="5:5">
      <c r="E56" s="14"/>
    </row>
    <row r="57" spans="5:5">
      <c r="E57" s="14"/>
    </row>
    <row r="58" spans="5:5">
      <c r="E58" s="14"/>
    </row>
    <row r="59" spans="5:5">
      <c r="E59" s="14"/>
    </row>
    <row r="60" spans="5:5">
      <c r="E60" s="14"/>
    </row>
    <row r="61" spans="5:5">
      <c r="E61" s="14"/>
    </row>
    <row r="62" spans="5:5">
      <c r="E62" s="14"/>
    </row>
    <row r="63" spans="5:5">
      <c r="E63" s="14"/>
    </row>
    <row r="64" spans="5:5">
      <c r="E64" s="14"/>
    </row>
    <row r="65" spans="5:5">
      <c r="E65" s="14"/>
    </row>
    <row r="66" spans="5:5">
      <c r="E66" s="14"/>
    </row>
    <row r="67" spans="5:5">
      <c r="E67" s="14"/>
    </row>
    <row r="68" spans="5:5">
      <c r="E68" s="14"/>
    </row>
    <row r="69" spans="5:5">
      <c r="E69" s="14"/>
    </row>
    <row r="70" spans="5:5">
      <c r="E70" s="14"/>
    </row>
    <row r="71" spans="5:5">
      <c r="E71" s="14"/>
    </row>
    <row r="72" spans="5:5">
      <c r="E72" s="14"/>
    </row>
    <row r="73" spans="5:5">
      <c r="E73" s="14"/>
    </row>
    <row r="74" spans="5:5">
      <c r="E74" s="14"/>
    </row>
    <row r="75" spans="5:5">
      <c r="E75" s="14"/>
    </row>
    <row r="76" spans="5:5">
      <c r="E76" s="14"/>
    </row>
    <row r="77" spans="5:5">
      <c r="E77" s="14"/>
    </row>
    <row r="78" spans="5:5">
      <c r="E78" s="14"/>
    </row>
    <row r="79" spans="5:5">
      <c r="E79" s="14"/>
    </row>
    <row r="80" spans="5:5">
      <c r="E80" s="14"/>
    </row>
    <row r="81" spans="5:5">
      <c r="E81" s="14"/>
    </row>
    <row r="82" spans="5:5">
      <c r="E82" s="14"/>
    </row>
    <row r="83" spans="5:5">
      <c r="E83" s="14"/>
    </row>
    <row r="84" spans="5:5">
      <c r="E84" s="14"/>
    </row>
    <row r="85" spans="5:5">
      <c r="E85" s="14"/>
    </row>
    <row r="86" spans="5:5">
      <c r="E86" s="14"/>
    </row>
    <row r="87" spans="5:5">
      <c r="E87" s="14"/>
    </row>
    <row r="88" spans="5:5">
      <c r="E88" s="14"/>
    </row>
    <row r="89" spans="5:5">
      <c r="E89" s="14"/>
    </row>
    <row r="90" spans="5:5">
      <c r="E90" s="14"/>
    </row>
    <row r="91" spans="5:5">
      <c r="E91" s="14"/>
    </row>
    <row r="92" spans="5:5">
      <c r="E92" s="14"/>
    </row>
    <row r="93" spans="5:5">
      <c r="E93" s="14"/>
    </row>
    <row r="94" spans="5:5">
      <c r="E94" s="14"/>
    </row>
    <row r="95" spans="5:5">
      <c r="E95" s="14"/>
    </row>
    <row r="96" spans="5:5">
      <c r="E96" s="14"/>
    </row>
    <row r="97" spans="5:5">
      <c r="E97" s="14"/>
    </row>
    <row r="98" spans="5:5">
      <c r="E98" s="14"/>
    </row>
    <row r="99" spans="5:5">
      <c r="E99" s="14"/>
    </row>
    <row r="100" spans="5:5">
      <c r="E100" s="14"/>
    </row>
    <row r="101" spans="5:5">
      <c r="E101" s="14"/>
    </row>
    <row r="102" spans="5:5">
      <c r="E102" s="14"/>
    </row>
    <row r="103" spans="5:5">
      <c r="E103" s="14"/>
    </row>
    <row r="104" spans="5:5">
      <c r="E104" s="14"/>
    </row>
    <row r="105" spans="5:5">
      <c r="E105" s="14"/>
    </row>
    <row r="106" spans="5:5">
      <c r="E106" s="14"/>
    </row>
    <row r="107" spans="5:5">
      <c r="E107" s="14"/>
    </row>
    <row r="108" spans="5:5">
      <c r="E108" s="14"/>
    </row>
    <row r="109" spans="5:5">
      <c r="E109" s="14"/>
    </row>
    <row r="110" spans="5:5">
      <c r="E110" s="14"/>
    </row>
    <row r="111" spans="5:5">
      <c r="E111" s="14"/>
    </row>
    <row r="112" spans="5:5">
      <c r="E112" s="14"/>
    </row>
    <row r="113" spans="5:5">
      <c r="E113" s="14"/>
    </row>
    <row r="114" spans="5:5">
      <c r="E114" s="14"/>
    </row>
    <row r="115" spans="5:5">
      <c r="E115" s="14"/>
    </row>
    <row r="116" spans="5:5">
      <c r="E116" s="14"/>
    </row>
    <row r="117" spans="5:5">
      <c r="E117" s="14"/>
    </row>
    <row r="118" spans="5:5">
      <c r="E118" s="14"/>
    </row>
    <row r="119" spans="5:5">
      <c r="E119" s="14"/>
    </row>
    <row r="120" spans="5:5">
      <c r="E120" s="14"/>
    </row>
    <row r="121" spans="5:5">
      <c r="E121" s="14"/>
    </row>
    <row r="122" spans="5:5">
      <c r="E122" s="14"/>
    </row>
    <row r="123" spans="5:5">
      <c r="E123" s="14"/>
    </row>
    <row r="124" spans="5:5">
      <c r="E124" s="14"/>
    </row>
    <row r="125" spans="5:5">
      <c r="E125" s="14"/>
    </row>
    <row r="126" spans="5:5">
      <c r="E126" s="14"/>
    </row>
    <row r="127" spans="5:5">
      <c r="E127" s="14"/>
    </row>
    <row r="128" spans="5:5">
      <c r="E128" s="14"/>
    </row>
    <row r="129" spans="5:5">
      <c r="E129" s="14"/>
    </row>
    <row r="130" spans="5:5">
      <c r="E130" s="14"/>
    </row>
    <row r="131" spans="5:5">
      <c r="E131" s="14"/>
    </row>
    <row r="132" spans="5:5">
      <c r="E132" s="14"/>
    </row>
    <row r="133" spans="5:5">
      <c r="E133" s="14"/>
    </row>
    <row r="134" spans="5:5">
      <c r="E134" s="14"/>
    </row>
    <row r="135" spans="5:5">
      <c r="E135" s="14"/>
    </row>
    <row r="136" spans="5:5">
      <c r="E136" s="14"/>
    </row>
    <row r="137" spans="5:5">
      <c r="E137" s="14"/>
    </row>
    <row r="138" spans="5:5">
      <c r="E138" s="14"/>
    </row>
    <row r="139" spans="5:5">
      <c r="E139" s="14"/>
    </row>
    <row r="140" spans="5:5">
      <c r="E140" s="14"/>
    </row>
    <row r="141" spans="5:5">
      <c r="E141" s="14"/>
    </row>
    <row r="142" spans="5:5">
      <c r="E142" s="14"/>
    </row>
    <row r="143" spans="5:5">
      <c r="E143" s="14"/>
    </row>
    <row r="144" spans="5:5">
      <c r="E144" s="14"/>
    </row>
    <row r="145" spans="5:5">
      <c r="E145" s="14"/>
    </row>
    <row r="146" spans="5:5">
      <c r="E146" s="14"/>
    </row>
    <row r="147" spans="5:5">
      <c r="E147" s="14"/>
    </row>
    <row r="148" spans="5:5">
      <c r="E148" s="14"/>
    </row>
    <row r="149" spans="5:5">
      <c r="E149" s="14"/>
    </row>
    <row r="150" spans="5:5">
      <c r="E150" s="14"/>
    </row>
    <row r="151" spans="5:5">
      <c r="E151" s="14"/>
    </row>
    <row r="152" spans="5:5">
      <c r="E152" s="14"/>
    </row>
    <row r="153" spans="5:5">
      <c r="E153" s="14"/>
    </row>
    <row r="154" spans="5:5">
      <c r="E154" s="14"/>
    </row>
    <row r="155" spans="5:5">
      <c r="E155" s="14"/>
    </row>
    <row r="156" spans="5:5">
      <c r="E156" s="14"/>
    </row>
    <row r="157" spans="5:5">
      <c r="E157" s="14"/>
    </row>
    <row r="158" spans="5:5">
      <c r="E158" s="14"/>
    </row>
    <row r="159" spans="5:5">
      <c r="E159" s="14"/>
    </row>
    <row r="160" spans="5:5">
      <c r="E160" s="14"/>
    </row>
    <row r="161" spans="5:5">
      <c r="E161" s="14"/>
    </row>
    <row r="162" spans="5:5">
      <c r="E162" s="14"/>
    </row>
    <row r="163" spans="5:5">
      <c r="E163" s="14"/>
    </row>
    <row r="164" spans="5:5">
      <c r="E164" s="14"/>
    </row>
    <row r="165" spans="5:5">
      <c r="E165" s="14"/>
    </row>
    <row r="166" spans="5:5">
      <c r="E166" s="14"/>
    </row>
    <row r="167" spans="5:5">
      <c r="E167" s="14"/>
    </row>
    <row r="168" spans="5:5">
      <c r="E168" s="14"/>
    </row>
    <row r="169" spans="5:5">
      <c r="E169" s="14"/>
    </row>
    <row r="170" spans="5:5">
      <c r="E170" s="14"/>
    </row>
    <row r="171" spans="5:5">
      <c r="E171" s="14"/>
    </row>
    <row r="172" spans="5:5">
      <c r="E172" s="14"/>
    </row>
    <row r="173" spans="5:5">
      <c r="E173" s="14"/>
    </row>
    <row r="174" spans="5:5">
      <c r="E174" s="14"/>
    </row>
    <row r="175" spans="5:5">
      <c r="E175" s="14"/>
    </row>
    <row r="176" spans="5:5">
      <c r="E176" s="14"/>
    </row>
    <row r="177" spans="5:5">
      <c r="E177" s="14"/>
    </row>
    <row r="178" spans="5:5">
      <c r="E178" s="14"/>
    </row>
    <row r="179" spans="5:5">
      <c r="E179" s="14"/>
    </row>
    <row r="180" spans="5:5">
      <c r="E180" s="14"/>
    </row>
    <row r="181" spans="5:5">
      <c r="E181" s="14"/>
    </row>
    <row r="182" spans="5:5">
      <c r="E182" s="14"/>
    </row>
    <row r="183" spans="5:5">
      <c r="E183" s="14"/>
    </row>
    <row r="184" spans="5:5">
      <c r="E184" s="14"/>
    </row>
    <row r="185" spans="5:5">
      <c r="E185" s="14"/>
    </row>
    <row r="186" spans="5:5">
      <c r="E186" s="14"/>
    </row>
    <row r="187" spans="5:5">
      <c r="E187" s="14"/>
    </row>
    <row r="188" spans="5:5">
      <c r="E188" s="14"/>
    </row>
    <row r="189" spans="5:5">
      <c r="E189" s="14"/>
    </row>
    <row r="190" spans="5:5">
      <c r="E190" s="14"/>
    </row>
    <row r="191" spans="5:5">
      <c r="E191" s="14"/>
    </row>
    <row r="192" spans="5:5">
      <c r="E192" s="14"/>
    </row>
    <row r="193" spans="5:5">
      <c r="E193" s="14"/>
    </row>
    <row r="194" spans="5:5">
      <c r="E194" s="14"/>
    </row>
    <row r="195" spans="5:5">
      <c r="E195" s="14"/>
    </row>
    <row r="196" spans="5:5">
      <c r="E196" s="14"/>
    </row>
    <row r="197" spans="5:5">
      <c r="E197" s="14"/>
    </row>
    <row r="198" spans="5:5">
      <c r="E198" s="14"/>
    </row>
    <row r="199" spans="5:5">
      <c r="E199" s="14"/>
    </row>
    <row r="200" spans="5:5">
      <c r="E200" s="14"/>
    </row>
    <row r="201" spans="5:5">
      <c r="E201" s="14"/>
    </row>
    <row r="202" spans="5:5">
      <c r="E202" s="14"/>
    </row>
    <row r="203" spans="5:5">
      <c r="E203" s="14"/>
    </row>
    <row r="204" spans="5:5">
      <c r="E204" s="14"/>
    </row>
    <row r="205" spans="5:5">
      <c r="E205" s="14"/>
    </row>
    <row r="206" spans="5:5">
      <c r="E206" s="14"/>
    </row>
    <row r="207" spans="5:5">
      <c r="E207" s="14"/>
    </row>
    <row r="208" spans="5:5">
      <c r="E208" s="14"/>
    </row>
    <row r="209" spans="5:5">
      <c r="E209" s="14"/>
    </row>
    <row r="210" spans="5:5">
      <c r="E210" s="14"/>
    </row>
    <row r="211" spans="5:5">
      <c r="E211" s="14"/>
    </row>
    <row r="212" spans="5:5">
      <c r="E212" s="14"/>
    </row>
    <row r="213" spans="5:5">
      <c r="E213" s="14"/>
    </row>
    <row r="214" spans="5:5">
      <c r="E214" s="14"/>
    </row>
    <row r="215" spans="5:5">
      <c r="E215" s="14"/>
    </row>
    <row r="216" spans="5:5">
      <c r="E216" s="14"/>
    </row>
    <row r="217" spans="5:5">
      <c r="E217" s="14"/>
    </row>
    <row r="218" spans="5:5">
      <c r="E218" s="14"/>
    </row>
    <row r="219" spans="5:5">
      <c r="E219" s="14"/>
    </row>
    <row r="220" spans="5:5">
      <c r="E220" s="14"/>
    </row>
    <row r="221" spans="5:5">
      <c r="E221" s="14"/>
    </row>
    <row r="222" spans="5:5">
      <c r="E222" s="14"/>
    </row>
    <row r="223" spans="5:5">
      <c r="E223" s="14"/>
    </row>
    <row r="224" spans="5:5">
      <c r="E224" s="14"/>
    </row>
    <row r="225" spans="5:5">
      <c r="E225" s="14"/>
    </row>
    <row r="226" spans="5:5">
      <c r="E226" s="14"/>
    </row>
    <row r="227" spans="5:5">
      <c r="E227" s="14"/>
    </row>
    <row r="228" spans="5:5">
      <c r="E228" s="14"/>
    </row>
    <row r="229" spans="5:5">
      <c r="E229" s="14"/>
    </row>
    <row r="230" spans="5:5">
      <c r="E230" s="14"/>
    </row>
    <row r="231" spans="5:5">
      <c r="E231" s="14"/>
    </row>
    <row r="232" spans="5:5">
      <c r="E232" s="14"/>
    </row>
    <row r="233" spans="5:5">
      <c r="E233" s="14"/>
    </row>
    <row r="234" spans="5:5">
      <c r="E234" s="14"/>
    </row>
    <row r="235" spans="5:5">
      <c r="E235" s="14"/>
    </row>
    <row r="236" spans="5:5">
      <c r="E236" s="14"/>
    </row>
    <row r="237" spans="5:5">
      <c r="E237" s="14"/>
    </row>
    <row r="238" spans="5:5">
      <c r="E238" s="14"/>
    </row>
    <row r="239" spans="5:5">
      <c r="E239" s="14"/>
    </row>
    <row r="240" spans="5:5">
      <c r="E240" s="14"/>
    </row>
    <row r="241" spans="5:5">
      <c r="E241" s="14"/>
    </row>
    <row r="242" spans="5:5">
      <c r="E242" s="14"/>
    </row>
    <row r="243" spans="5:5">
      <c r="E243" s="14"/>
    </row>
    <row r="244" spans="5:5">
      <c r="E244" s="14"/>
    </row>
    <row r="245" spans="5:5">
      <c r="E245" s="14"/>
    </row>
    <row r="246" spans="5:5">
      <c r="E246" s="14"/>
    </row>
    <row r="247" spans="5:5">
      <c r="E247" s="14"/>
    </row>
    <row r="248" spans="5:5">
      <c r="E248" s="14"/>
    </row>
    <row r="249" spans="5:5">
      <c r="E249" s="14"/>
    </row>
    <row r="250" spans="5:5">
      <c r="E250" s="14"/>
    </row>
    <row r="251" spans="5:5">
      <c r="E251" s="14"/>
    </row>
    <row r="252" spans="5:5">
      <c r="E252" s="14"/>
    </row>
    <row r="253" spans="5:5">
      <c r="E253" s="14"/>
    </row>
    <row r="254" spans="5:5">
      <c r="E254" s="14"/>
    </row>
    <row r="255" spans="5:5">
      <c r="E255" s="14"/>
    </row>
    <row r="256" spans="5:5">
      <c r="E256" s="14"/>
    </row>
    <row r="257" spans="5:5">
      <c r="E257" s="14"/>
    </row>
    <row r="258" spans="5:5">
      <c r="E258" s="14"/>
    </row>
    <row r="259" spans="5:5">
      <c r="E259" s="14"/>
    </row>
    <row r="260" spans="5:5">
      <c r="E260" s="14"/>
    </row>
    <row r="261" spans="5:5">
      <c r="E261" s="14"/>
    </row>
    <row r="262" spans="5:5">
      <c r="E262" s="14"/>
    </row>
    <row r="263" spans="5:5">
      <c r="E263" s="14"/>
    </row>
    <row r="264" spans="5:5">
      <c r="E264" s="14"/>
    </row>
    <row r="265" spans="5:5">
      <c r="E265" s="14"/>
    </row>
    <row r="266" spans="5:5">
      <c r="E266" s="14"/>
    </row>
    <row r="267" spans="5:5">
      <c r="E267" s="14"/>
    </row>
    <row r="268" spans="5:5">
      <c r="E268" s="14"/>
    </row>
    <row r="269" spans="5:5">
      <c r="E269" s="14"/>
    </row>
    <row r="270" spans="5:5">
      <c r="E270" s="14"/>
    </row>
    <row r="271" spans="5:5">
      <c r="E271" s="14"/>
    </row>
    <row r="272" spans="5:5">
      <c r="E272" s="14"/>
    </row>
    <row r="273" spans="5:5">
      <c r="E273" s="14"/>
    </row>
    <row r="274" spans="5:5">
      <c r="E274" s="14"/>
    </row>
    <row r="275" spans="5:5">
      <c r="E275" s="14"/>
    </row>
    <row r="276" spans="5:5">
      <c r="E276" s="14"/>
    </row>
    <row r="277" spans="5:5">
      <c r="E277" s="14"/>
    </row>
    <row r="278" spans="5:5">
      <c r="E278" s="14"/>
    </row>
    <row r="279" spans="5:5">
      <c r="E279" s="14"/>
    </row>
    <row r="280" spans="5:5">
      <c r="E280" s="14"/>
    </row>
    <row r="281" spans="5:5">
      <c r="E281" s="14"/>
    </row>
    <row r="282" spans="5:5">
      <c r="E282" s="14"/>
    </row>
    <row r="283" spans="5:5">
      <c r="E283" s="14"/>
    </row>
    <row r="284" spans="5:5">
      <c r="E284" s="14"/>
    </row>
    <row r="285" spans="5:5">
      <c r="E285" s="14"/>
    </row>
    <row r="286" spans="5:5">
      <c r="E286" s="14"/>
    </row>
    <row r="287" spans="5:5">
      <c r="E287" s="14"/>
    </row>
    <row r="288" spans="5:5">
      <c r="E288" s="14"/>
    </row>
    <row r="289" spans="5:5">
      <c r="E289" s="14"/>
    </row>
    <row r="290" spans="5:5">
      <c r="E290" s="14"/>
    </row>
    <row r="291" spans="5:5">
      <c r="E291" s="14"/>
    </row>
    <row r="292" spans="5:5">
      <c r="E292" s="14"/>
    </row>
    <row r="293" spans="5:5">
      <c r="E293" s="14"/>
    </row>
    <row r="294" spans="5:5">
      <c r="E294" s="14"/>
    </row>
    <row r="295" spans="5:5">
      <c r="E295" s="14"/>
    </row>
    <row r="296" spans="5:5">
      <c r="E296" s="14"/>
    </row>
    <row r="297" spans="5:5">
      <c r="E297" s="14"/>
    </row>
    <row r="298" spans="5:5">
      <c r="E298" s="14"/>
    </row>
    <row r="299" spans="5:5">
      <c r="E299" s="14"/>
    </row>
    <row r="300" spans="5:5">
      <c r="E300" s="14"/>
    </row>
    <row r="301" spans="5:5">
      <c r="E301" s="14"/>
    </row>
    <row r="302" spans="5:5">
      <c r="E302" s="14"/>
    </row>
    <row r="303" spans="5:5">
      <c r="E303" s="14"/>
    </row>
    <row r="304" spans="5:5">
      <c r="E304" s="14"/>
    </row>
    <row r="305" spans="5:5">
      <c r="E305" s="14"/>
    </row>
    <row r="306" spans="5:5">
      <c r="E306" s="14"/>
    </row>
    <row r="307" spans="5:5">
      <c r="E307" s="14"/>
    </row>
    <row r="308" spans="5:5">
      <c r="E308" s="14"/>
    </row>
    <row r="309" spans="5:5">
      <c r="E309" s="14"/>
    </row>
    <row r="310" spans="5:5">
      <c r="E310" s="14"/>
    </row>
    <row r="311" spans="5:5">
      <c r="E311" s="14"/>
    </row>
    <row r="312" spans="5:5">
      <c r="E312" s="14"/>
    </row>
    <row r="313" spans="5:5">
      <c r="E313" s="14"/>
    </row>
    <row r="314" spans="5:5">
      <c r="E314" s="14"/>
    </row>
    <row r="315" spans="5:5">
      <c r="E315" s="14"/>
    </row>
    <row r="316" spans="5:5">
      <c r="E316" s="14"/>
    </row>
    <row r="317" spans="5:5">
      <c r="E317" s="14"/>
    </row>
    <row r="318" spans="5:5">
      <c r="E318" s="14"/>
    </row>
    <row r="319" spans="5:5">
      <c r="E319" s="14"/>
    </row>
    <row r="320" spans="5:5">
      <c r="E320" s="14"/>
    </row>
    <row r="321" spans="5:5">
      <c r="E321" s="14"/>
    </row>
    <row r="322" spans="5:5">
      <c r="E322" s="14"/>
    </row>
    <row r="323" spans="5:5">
      <c r="E323" s="14"/>
    </row>
    <row r="324" spans="5:5">
      <c r="E324" s="14"/>
    </row>
    <row r="325" spans="5:5">
      <c r="E325" s="14"/>
    </row>
    <row r="326" spans="5:5">
      <c r="E326" s="14"/>
    </row>
    <row r="327" spans="5:5">
      <c r="E327" s="14"/>
    </row>
    <row r="328" spans="5:5">
      <c r="E328" s="14"/>
    </row>
    <row r="329" spans="5:5">
      <c r="E329" s="14"/>
    </row>
    <row r="330" spans="5:5">
      <c r="E330" s="14"/>
    </row>
    <row r="331" spans="5:5">
      <c r="E331" s="14"/>
    </row>
    <row r="332" spans="5:5">
      <c r="E332" s="14"/>
    </row>
    <row r="333" spans="5:5">
      <c r="E333" s="14"/>
    </row>
    <row r="334" spans="5:5">
      <c r="E334" s="14"/>
    </row>
    <row r="335" spans="5:5">
      <c r="E335" s="14"/>
    </row>
    <row r="336" spans="5:5">
      <c r="E336" s="14"/>
    </row>
    <row r="337" spans="5:5">
      <c r="E337" s="14"/>
    </row>
    <row r="338" spans="5:5">
      <c r="E338" s="14"/>
    </row>
    <row r="339" spans="5:5">
      <c r="E339" s="14"/>
    </row>
    <row r="340" spans="5:5">
      <c r="E340" s="14"/>
    </row>
    <row r="341" spans="5:5">
      <c r="E341" s="14"/>
    </row>
    <row r="342" spans="5:5">
      <c r="E342" s="14"/>
    </row>
    <row r="343" spans="5:5">
      <c r="E343" s="14"/>
    </row>
    <row r="344" spans="5:5">
      <c r="E344" s="14"/>
    </row>
    <row r="345" spans="5:5">
      <c r="E345" s="14"/>
    </row>
    <row r="346" spans="5:5">
      <c r="E346" s="14"/>
    </row>
    <row r="347" spans="5:5">
      <c r="E347" s="14"/>
    </row>
    <row r="348" spans="5:5">
      <c r="E348" s="14"/>
    </row>
    <row r="349" spans="5:5">
      <c r="E349" s="14"/>
    </row>
    <row r="350" spans="5:5">
      <c r="E350" s="14"/>
    </row>
    <row r="351" spans="5:5">
      <c r="E351" s="14"/>
    </row>
    <row r="352" spans="5:5">
      <c r="E352" s="14"/>
    </row>
    <row r="353" spans="5:5">
      <c r="E353" s="14"/>
    </row>
    <row r="354" spans="5:5">
      <c r="E354" s="14"/>
    </row>
    <row r="355" spans="5:5">
      <c r="E355" s="14"/>
    </row>
    <row r="356" spans="5:5">
      <c r="E356" s="14"/>
    </row>
    <row r="357" spans="5:5">
      <c r="E357" s="14"/>
    </row>
    <row r="358" spans="5:5">
      <c r="E358" s="14"/>
    </row>
    <row r="359" spans="5:5">
      <c r="E359" s="14"/>
    </row>
    <row r="360" spans="5:5">
      <c r="E360" s="14"/>
    </row>
    <row r="361" spans="5:5">
      <c r="E361" s="14"/>
    </row>
    <row r="362" spans="5:5">
      <c r="E362" s="14"/>
    </row>
    <row r="363" spans="5:5">
      <c r="E363" s="14"/>
    </row>
    <row r="364" spans="5:5">
      <c r="E364" s="14"/>
    </row>
    <row r="365" spans="5:5">
      <c r="E365" s="14"/>
    </row>
    <row r="366" spans="5:5">
      <c r="E366" s="14"/>
    </row>
    <row r="367" spans="5:5">
      <c r="E367" s="14"/>
    </row>
    <row r="368" spans="5:5">
      <c r="E368" s="14"/>
    </row>
    <row r="369" spans="5:5">
      <c r="E369" s="14"/>
    </row>
    <row r="370" spans="5:5">
      <c r="E370" s="14"/>
    </row>
    <row r="371" spans="5:5">
      <c r="E371" s="14"/>
    </row>
    <row r="372" spans="5:5">
      <c r="E372" s="14"/>
    </row>
    <row r="373" spans="5:5">
      <c r="E373" s="14"/>
    </row>
    <row r="374" spans="5:5">
      <c r="E374" s="14"/>
    </row>
    <row r="375" spans="5:5">
      <c r="E375" s="14"/>
    </row>
    <row r="376" spans="5:5">
      <c r="E376" s="14"/>
    </row>
    <row r="377" spans="5:5">
      <c r="E377" s="14"/>
    </row>
    <row r="378" spans="5:5">
      <c r="E378" s="14"/>
    </row>
    <row r="379" spans="5:5">
      <c r="E379" s="14"/>
    </row>
    <row r="380" spans="5:5">
      <c r="E380" s="14"/>
    </row>
    <row r="381" spans="5:5">
      <c r="E381" s="14"/>
    </row>
    <row r="382" spans="5:5">
      <c r="E382" s="14"/>
    </row>
    <row r="383" spans="5:5">
      <c r="E383" s="14"/>
    </row>
    <row r="384" spans="5:5">
      <c r="E384" s="14"/>
    </row>
    <row r="385" spans="5:5">
      <c r="E385" s="14"/>
    </row>
    <row r="386" spans="5:5">
      <c r="E386" s="14"/>
    </row>
    <row r="387" spans="5:5">
      <c r="E387" s="14"/>
    </row>
    <row r="388" spans="5:5">
      <c r="E388" s="14"/>
    </row>
    <row r="389" spans="5:5">
      <c r="E389" s="14"/>
    </row>
    <row r="390" spans="5:5">
      <c r="E390" s="14"/>
    </row>
    <row r="391" spans="5:5">
      <c r="E391" s="14"/>
    </row>
    <row r="392" spans="5:5">
      <c r="E392" s="14"/>
    </row>
    <row r="393" spans="5:5">
      <c r="E393" s="14"/>
    </row>
    <row r="394" spans="5:5">
      <c r="E394" s="14"/>
    </row>
    <row r="395" spans="5:5">
      <c r="E395" s="14"/>
    </row>
    <row r="396" spans="5:5">
      <c r="E396" s="14"/>
    </row>
    <row r="397" spans="5:5">
      <c r="E397" s="14"/>
    </row>
    <row r="398" spans="5:5">
      <c r="E398" s="14"/>
    </row>
    <row r="399" spans="5:5">
      <c r="E399" s="14"/>
    </row>
    <row r="400" spans="5:5">
      <c r="E400" s="14"/>
    </row>
    <row r="401" spans="5:5">
      <c r="E401" s="14"/>
    </row>
    <row r="402" spans="5:5">
      <c r="E402" s="14"/>
    </row>
    <row r="403" spans="5:5">
      <c r="E403" s="14"/>
    </row>
    <row r="404" spans="5:5">
      <c r="E404" s="14"/>
    </row>
    <row r="405" spans="5:5">
      <c r="E405" s="14"/>
    </row>
    <row r="406" spans="5:5">
      <c r="E406" s="14"/>
    </row>
    <row r="407" spans="5:5">
      <c r="E407" s="14"/>
    </row>
    <row r="408" spans="5:5">
      <c r="E408" s="14"/>
    </row>
    <row r="409" spans="5:5">
      <c r="E409" s="14"/>
    </row>
    <row r="410" spans="5:5">
      <c r="E410" s="14"/>
    </row>
    <row r="411" spans="5:5">
      <c r="E411" s="14"/>
    </row>
    <row r="412" spans="5:5">
      <c r="E412" s="14"/>
    </row>
    <row r="413" spans="5:5">
      <c r="E413" s="14"/>
    </row>
    <row r="414" spans="5:5">
      <c r="E414" s="14"/>
    </row>
    <row r="415" spans="5:5">
      <c r="E415" s="14"/>
    </row>
    <row r="416" spans="5:5">
      <c r="E416" s="14"/>
    </row>
    <row r="417" spans="5:5">
      <c r="E417" s="14"/>
    </row>
    <row r="418" spans="5:5">
      <c r="E418" s="14"/>
    </row>
    <row r="419" spans="5:5">
      <c r="E419" s="14"/>
    </row>
    <row r="420" spans="5:5">
      <c r="E420" s="14"/>
    </row>
    <row r="421" spans="5:5">
      <c r="E421" s="14"/>
    </row>
    <row r="422" spans="5:5">
      <c r="E422" s="14"/>
    </row>
    <row r="423" spans="5:5">
      <c r="E423" s="14"/>
    </row>
    <row r="424" spans="5:5">
      <c r="E424" s="14"/>
    </row>
    <row r="425" spans="5:5">
      <c r="E425" s="14"/>
    </row>
    <row r="426" spans="5:5">
      <c r="E426" s="14"/>
    </row>
    <row r="427" spans="5:5">
      <c r="E427" s="14"/>
    </row>
    <row r="428" spans="5:5">
      <c r="E428" s="14"/>
    </row>
    <row r="429" spans="5:5">
      <c r="E429" s="14"/>
    </row>
    <row r="430" spans="5:5">
      <c r="E430" s="14"/>
    </row>
    <row r="431" spans="5:5">
      <c r="E431" s="14"/>
    </row>
    <row r="432" spans="5:5">
      <c r="E432" s="14"/>
    </row>
    <row r="433" spans="5:5">
      <c r="E433" s="14"/>
    </row>
    <row r="434" spans="5:5">
      <c r="E434" s="14"/>
    </row>
    <row r="435" spans="5:5">
      <c r="E435" s="14"/>
    </row>
    <row r="436" spans="5:5">
      <c r="E436" s="14"/>
    </row>
    <row r="437" spans="5:5">
      <c r="E437" s="14"/>
    </row>
    <row r="438" spans="5:5">
      <c r="E438" s="14"/>
    </row>
    <row r="439" spans="5:5">
      <c r="E439" s="14"/>
    </row>
    <row r="440" spans="5:5">
      <c r="E440" s="14"/>
    </row>
    <row r="441" spans="5:5">
      <c r="E441" s="14"/>
    </row>
    <row r="442" spans="5:5">
      <c r="E442" s="14"/>
    </row>
    <row r="443" spans="5:5">
      <c r="E443" s="14"/>
    </row>
    <row r="444" spans="5:5">
      <c r="E444" s="14"/>
    </row>
    <row r="445" spans="5:5">
      <c r="E445" s="14"/>
    </row>
    <row r="446" spans="5:5">
      <c r="E446" s="14"/>
    </row>
    <row r="447" spans="5:5">
      <c r="E447" s="14"/>
    </row>
    <row r="448" spans="5:5">
      <c r="E448" s="14"/>
    </row>
    <row r="449" spans="5:5">
      <c r="E449" s="14"/>
    </row>
    <row r="450" spans="5:5">
      <c r="E450" s="14"/>
    </row>
    <row r="451" spans="5:5">
      <c r="E451" s="14"/>
    </row>
    <row r="452" spans="5:5">
      <c r="E452" s="14"/>
    </row>
    <row r="453" spans="5:5">
      <c r="E453" s="14"/>
    </row>
    <row r="454" spans="5:5">
      <c r="E454" s="14"/>
    </row>
    <row r="455" spans="5:5">
      <c r="E455" s="14"/>
    </row>
    <row r="456" spans="5:5">
      <c r="E456" s="14"/>
    </row>
    <row r="457" spans="5:5">
      <c r="E457" s="14"/>
    </row>
    <row r="458" spans="5:5">
      <c r="E458" s="14"/>
    </row>
    <row r="459" spans="5:5">
      <c r="E459" s="14"/>
    </row>
    <row r="460" spans="5:5">
      <c r="E460" s="14"/>
    </row>
    <row r="461" spans="5:5">
      <c r="E461" s="14"/>
    </row>
    <row r="462" spans="5:5">
      <c r="E462" s="14"/>
    </row>
    <row r="463" spans="5:5">
      <c r="E463" s="14"/>
    </row>
    <row r="464" spans="5:5">
      <c r="E464" s="14"/>
    </row>
    <row r="465" spans="5:5">
      <c r="E465" s="14"/>
    </row>
    <row r="466" spans="5:5">
      <c r="E466" s="14"/>
    </row>
    <row r="467" spans="5:5">
      <c r="E467" s="14"/>
    </row>
    <row r="468" spans="5:5">
      <c r="E468" s="14"/>
    </row>
    <row r="469" spans="5:5">
      <c r="E469" s="14"/>
    </row>
    <row r="470" spans="5:5">
      <c r="E470" s="14"/>
    </row>
    <row r="471" spans="5:5">
      <c r="E471" s="14"/>
    </row>
    <row r="472" spans="5:5">
      <c r="E472" s="14"/>
    </row>
    <row r="473" spans="5:5">
      <c r="E473" s="14"/>
    </row>
    <row r="474" spans="5:5">
      <c r="E474" s="14"/>
    </row>
    <row r="475" spans="5:5">
      <c r="E475" s="14"/>
    </row>
    <row r="476" spans="5:5">
      <c r="E476" s="14"/>
    </row>
    <row r="477" spans="5:5">
      <c r="E477" s="14"/>
    </row>
    <row r="478" spans="5:5">
      <c r="E478" s="14"/>
    </row>
    <row r="479" spans="5:5">
      <c r="E479" s="14"/>
    </row>
    <row r="480" spans="5:5">
      <c r="E480" s="14"/>
    </row>
    <row r="481" spans="5:5">
      <c r="E481" s="14"/>
    </row>
    <row r="482" spans="5:5">
      <c r="E482" s="14"/>
    </row>
    <row r="483" spans="5:5">
      <c r="E483" s="14"/>
    </row>
    <row r="484" spans="5:5">
      <c r="E484" s="14"/>
    </row>
    <row r="485" spans="5:5">
      <c r="E485" s="14"/>
    </row>
    <row r="486" spans="5:5">
      <c r="E486" s="14"/>
    </row>
    <row r="487" spans="5:5">
      <c r="E487" s="14"/>
    </row>
    <row r="488" spans="5:5">
      <c r="E488" s="14"/>
    </row>
    <row r="489" spans="5:5">
      <c r="E489" s="14"/>
    </row>
    <row r="490" spans="5:5">
      <c r="E490" s="14"/>
    </row>
    <row r="491" spans="5:5">
      <c r="E491" s="14"/>
    </row>
    <row r="492" spans="5:5">
      <c r="E492" s="14"/>
    </row>
    <row r="493" spans="5:5">
      <c r="E493" s="14"/>
    </row>
    <row r="494" spans="5:5">
      <c r="E494" s="14"/>
    </row>
    <row r="495" spans="5:5">
      <c r="E495" s="14"/>
    </row>
    <row r="496" spans="5:5">
      <c r="E496" s="14"/>
    </row>
    <row r="497" spans="5:5">
      <c r="E497" s="14"/>
    </row>
    <row r="498" spans="5:5">
      <c r="E498" s="14"/>
    </row>
    <row r="499" spans="5:5">
      <c r="E499" s="14"/>
    </row>
    <row r="500" spans="5:5">
      <c r="E500" s="14"/>
    </row>
    <row r="501" spans="5:5">
      <c r="E501" s="14"/>
    </row>
    <row r="502" spans="5:5">
      <c r="E502" s="14"/>
    </row>
    <row r="503" spans="5:5">
      <c r="E503" s="14"/>
    </row>
    <row r="504" spans="5:5">
      <c r="E504" s="14"/>
    </row>
    <row r="505" spans="5:5">
      <c r="E505" s="14"/>
    </row>
    <row r="506" spans="5:5">
      <c r="E506" s="14"/>
    </row>
    <row r="507" spans="5:5">
      <c r="E507" s="14"/>
    </row>
    <row r="508" spans="5:5">
      <c r="E508" s="14"/>
    </row>
    <row r="509" spans="5:5">
      <c r="E509" s="14"/>
    </row>
    <row r="510" spans="5:5">
      <c r="E510" s="14"/>
    </row>
    <row r="511" spans="5:5">
      <c r="E511" s="14"/>
    </row>
    <row r="512" spans="5:5">
      <c r="E512" s="14"/>
    </row>
    <row r="513" spans="5:5">
      <c r="E513" s="14"/>
    </row>
    <row r="514" spans="5:5">
      <c r="E514" s="14"/>
    </row>
    <row r="515" spans="5:5">
      <c r="E515" s="14"/>
    </row>
    <row r="516" spans="5:5">
      <c r="E516" s="14"/>
    </row>
    <row r="517" spans="5:5">
      <c r="E517" s="14"/>
    </row>
    <row r="518" spans="5:5">
      <c r="E518" s="14"/>
    </row>
    <row r="519" spans="5:5">
      <c r="E519" s="14"/>
    </row>
    <row r="520" spans="5:5">
      <c r="E520" s="14"/>
    </row>
    <row r="521" spans="5:5">
      <c r="E521" s="14"/>
    </row>
    <row r="522" spans="5:5">
      <c r="E522" s="14"/>
    </row>
    <row r="523" spans="5:5">
      <c r="E523" s="14"/>
    </row>
    <row r="524" spans="5:5">
      <c r="E524" s="14"/>
    </row>
    <row r="525" spans="5:5">
      <c r="E525" s="14"/>
    </row>
    <row r="526" spans="5:5">
      <c r="E526" s="14"/>
    </row>
    <row r="527" spans="5:5">
      <c r="E527" s="14"/>
    </row>
    <row r="528" spans="5:5">
      <c r="E528" s="14"/>
    </row>
    <row r="529" spans="5:5">
      <c r="E529" s="14"/>
    </row>
    <row r="530" spans="5:5">
      <c r="E530" s="14"/>
    </row>
    <row r="531" spans="5:5">
      <c r="E531" s="14"/>
    </row>
    <row r="532" spans="5:5">
      <c r="E532" s="14"/>
    </row>
    <row r="533" spans="5:5">
      <c r="E533" s="14"/>
    </row>
    <row r="534" spans="5:5">
      <c r="E534" s="14"/>
    </row>
    <row r="535" spans="5:5">
      <c r="E535" s="14"/>
    </row>
    <row r="536" spans="5:5">
      <c r="E536" s="14"/>
    </row>
    <row r="537" spans="5:5">
      <c r="E537" s="14"/>
    </row>
    <row r="538" spans="5:5">
      <c r="E538" s="14"/>
    </row>
    <row r="539" spans="5:5">
      <c r="E539" s="14"/>
    </row>
    <row r="540" spans="5:5">
      <c r="E540" s="14"/>
    </row>
    <row r="541" spans="5:5">
      <c r="E541" s="14"/>
    </row>
    <row r="542" spans="5:5">
      <c r="E542" s="14"/>
    </row>
    <row r="543" spans="5:5">
      <c r="E543" s="14"/>
    </row>
    <row r="544" spans="5:5">
      <c r="E544" s="14"/>
    </row>
    <row r="545" spans="5:5">
      <c r="E545" s="14"/>
    </row>
    <row r="546" spans="5:5">
      <c r="E546" s="14"/>
    </row>
    <row r="547" spans="5:5">
      <c r="E547" s="14"/>
    </row>
    <row r="548" spans="5:5">
      <c r="E548" s="14"/>
    </row>
    <row r="549" spans="5:5">
      <c r="E549" s="14"/>
    </row>
    <row r="550" spans="5:5">
      <c r="E550" s="14"/>
    </row>
    <row r="551" spans="5:5">
      <c r="E551" s="14"/>
    </row>
    <row r="552" spans="5:5">
      <c r="E552" s="14"/>
    </row>
    <row r="553" spans="5:5">
      <c r="E553" s="14"/>
    </row>
    <row r="554" spans="5:5">
      <c r="E554" s="14"/>
    </row>
    <row r="555" spans="5:5">
      <c r="E555" s="14"/>
    </row>
    <row r="556" spans="5:5">
      <c r="E556" s="14"/>
    </row>
    <row r="557" spans="5:5">
      <c r="E557" s="14"/>
    </row>
    <row r="558" spans="5:5">
      <c r="E558" s="14"/>
    </row>
    <row r="559" spans="5:5">
      <c r="E559" s="14"/>
    </row>
    <row r="560" spans="5:5">
      <c r="E560" s="14"/>
    </row>
    <row r="561" spans="5:5">
      <c r="E561" s="14"/>
    </row>
    <row r="562" spans="5:5">
      <c r="E562" s="14"/>
    </row>
    <row r="563" spans="5:5">
      <c r="E563" s="14"/>
    </row>
    <row r="564" spans="5:5">
      <c r="E564" s="14"/>
    </row>
    <row r="565" spans="5:5">
      <c r="E565" s="14"/>
    </row>
    <row r="566" spans="5:5">
      <c r="E566" s="14"/>
    </row>
    <row r="567" spans="5:5">
      <c r="E567" s="14"/>
    </row>
    <row r="568" spans="5:5">
      <c r="E568" s="14"/>
    </row>
    <row r="569" spans="5:5">
      <c r="E569" s="14"/>
    </row>
    <row r="570" spans="5:5">
      <c r="E570" s="14"/>
    </row>
    <row r="571" spans="5:5">
      <c r="E571" s="14"/>
    </row>
    <row r="572" spans="5:5">
      <c r="E572" s="14"/>
    </row>
    <row r="573" spans="5:5">
      <c r="E573" s="14"/>
    </row>
    <row r="574" spans="5:5">
      <c r="E574" s="14"/>
    </row>
    <row r="575" spans="5:5">
      <c r="E575" s="14"/>
    </row>
    <row r="576" spans="5:5">
      <c r="E576" s="14"/>
    </row>
    <row r="577" spans="5:5">
      <c r="E577" s="14"/>
    </row>
    <row r="578" spans="5:5">
      <c r="E578" s="14"/>
    </row>
    <row r="579" spans="5:5">
      <c r="E579" s="14"/>
    </row>
    <row r="580" spans="5:5">
      <c r="E580" s="14"/>
    </row>
    <row r="581" spans="5:5">
      <c r="E581" s="14"/>
    </row>
    <row r="582" spans="5:5">
      <c r="E582" s="14"/>
    </row>
    <row r="583" spans="5:5">
      <c r="E583" s="14"/>
    </row>
    <row r="584" spans="5:5">
      <c r="E584" s="14"/>
    </row>
    <row r="585" spans="5:5">
      <c r="E585" s="14"/>
    </row>
    <row r="586" spans="5:5">
      <c r="E586" s="14"/>
    </row>
    <row r="587" spans="5:5">
      <c r="E587" s="14"/>
    </row>
    <row r="588" spans="5:5">
      <c r="E588" s="14"/>
    </row>
    <row r="589" spans="5:5">
      <c r="E589" s="14"/>
    </row>
    <row r="590" spans="5:5">
      <c r="E590" s="14"/>
    </row>
    <row r="591" spans="5:5">
      <c r="E591" s="14"/>
    </row>
    <row r="592" spans="5:5">
      <c r="E592" s="14"/>
    </row>
    <row r="593" spans="5:5">
      <c r="E593" s="14"/>
    </row>
    <row r="594" spans="5:5">
      <c r="E594" s="14"/>
    </row>
    <row r="595" spans="5:5">
      <c r="E595" s="14"/>
    </row>
    <row r="596" spans="5:5">
      <c r="E596" s="14"/>
    </row>
    <row r="597" spans="5:5">
      <c r="E597" s="14"/>
    </row>
    <row r="598" spans="5:5">
      <c r="E598" s="14"/>
    </row>
    <row r="599" spans="5:5">
      <c r="E599" s="14"/>
    </row>
    <row r="600" spans="5:5">
      <c r="E600" s="14"/>
    </row>
    <row r="601" spans="5:5">
      <c r="E601" s="14"/>
    </row>
    <row r="602" spans="5:5">
      <c r="E602" s="14"/>
    </row>
    <row r="603" spans="5:5">
      <c r="E603" s="14"/>
    </row>
    <row r="604" spans="5:5">
      <c r="E604" s="14"/>
    </row>
    <row r="605" spans="5:5">
      <c r="E605" s="14"/>
    </row>
    <row r="606" spans="5:5">
      <c r="E606" s="14"/>
    </row>
    <row r="607" spans="5:5">
      <c r="E607" s="14"/>
    </row>
    <row r="608" spans="5:5">
      <c r="E608" s="14"/>
    </row>
    <row r="609" spans="5:5">
      <c r="E609" s="14"/>
    </row>
    <row r="610" spans="5:5">
      <c r="E610" s="14"/>
    </row>
    <row r="611" spans="5:5">
      <c r="E611" s="14"/>
    </row>
    <row r="612" spans="5:5">
      <c r="E612" s="14"/>
    </row>
    <row r="613" spans="5:5">
      <c r="E613" s="14"/>
    </row>
    <row r="614" spans="5:5">
      <c r="E614" s="14"/>
    </row>
    <row r="615" spans="5:5">
      <c r="E615" s="14"/>
    </row>
    <row r="616" spans="5:5">
      <c r="E616" s="14"/>
    </row>
    <row r="617" spans="5:5">
      <c r="E617" s="14"/>
    </row>
    <row r="618" spans="5:5">
      <c r="E618" s="14"/>
    </row>
    <row r="619" spans="5:5">
      <c r="E619" s="14"/>
    </row>
    <row r="620" spans="5:5">
      <c r="E620" s="14"/>
    </row>
    <row r="621" spans="5:5">
      <c r="E621" s="14"/>
    </row>
    <row r="622" spans="5:5">
      <c r="E622" s="14"/>
    </row>
    <row r="623" spans="5:5">
      <c r="E623" s="14"/>
    </row>
    <row r="624" spans="5:5">
      <c r="E624" s="14"/>
    </row>
    <row r="625" spans="5:5">
      <c r="E625" s="14"/>
    </row>
    <row r="626" spans="5:5">
      <c r="E626" s="14"/>
    </row>
    <row r="627" spans="5:5">
      <c r="E627" s="14"/>
    </row>
    <row r="628" spans="5:5">
      <c r="E628" s="14"/>
    </row>
    <row r="629" spans="5:5">
      <c r="E629" s="14"/>
    </row>
    <row r="630" spans="5:5">
      <c r="E630" s="14"/>
    </row>
    <row r="631" spans="5:5">
      <c r="E631" s="14"/>
    </row>
    <row r="632" spans="5:5">
      <c r="E632" s="14"/>
    </row>
    <row r="633" spans="5:5">
      <c r="E633" s="14"/>
    </row>
    <row r="634" spans="5:5">
      <c r="E634" s="14"/>
    </row>
    <row r="635" spans="5:5">
      <c r="E635" s="14"/>
    </row>
    <row r="636" spans="5:5">
      <c r="E636" s="14"/>
    </row>
    <row r="637" spans="5:5">
      <c r="E637" s="14"/>
    </row>
    <row r="638" spans="5:5">
      <c r="E638" s="14"/>
    </row>
    <row r="639" spans="5:5">
      <c r="E639" s="14"/>
    </row>
    <row r="640" spans="5:5">
      <c r="E640" s="14"/>
    </row>
    <row r="641" spans="5:5">
      <c r="E641" s="14"/>
    </row>
    <row r="642" spans="5:5">
      <c r="E642" s="14"/>
    </row>
    <row r="643" spans="5:5">
      <c r="E643" s="14"/>
    </row>
    <row r="644" spans="5:5">
      <c r="E644" s="14"/>
    </row>
    <row r="645" spans="5:5">
      <c r="E645" s="14"/>
    </row>
    <row r="646" spans="5:5">
      <c r="E646" s="14"/>
    </row>
    <row r="647" spans="5:5">
      <c r="E647" s="14"/>
    </row>
    <row r="648" spans="5:5">
      <c r="E648" s="14"/>
    </row>
    <row r="649" spans="5:5">
      <c r="E649" s="14"/>
    </row>
    <row r="650" spans="5:5">
      <c r="E650" s="14"/>
    </row>
    <row r="651" spans="5:5">
      <c r="E651" s="14"/>
    </row>
    <row r="652" spans="5:5">
      <c r="E652" s="14"/>
    </row>
    <row r="653" spans="5:5">
      <c r="E653" s="14"/>
    </row>
    <row r="654" spans="5:5">
      <c r="E654" s="14"/>
    </row>
    <row r="655" spans="5:5">
      <c r="E655" s="14"/>
    </row>
    <row r="656" spans="5:5">
      <c r="E656" s="14"/>
    </row>
    <row r="657" spans="5:5">
      <c r="E657" s="14"/>
    </row>
    <row r="658" spans="5:5">
      <c r="E658" s="14"/>
    </row>
    <row r="659" spans="5:5">
      <c r="E659" s="14"/>
    </row>
    <row r="660" spans="5:5">
      <c r="E660" s="14"/>
    </row>
    <row r="661" spans="5:5">
      <c r="E661" s="14"/>
    </row>
    <row r="662" spans="5:5">
      <c r="E662" s="14"/>
    </row>
    <row r="663" spans="5:5">
      <c r="E663" s="14"/>
    </row>
    <row r="664" spans="5:5">
      <c r="E664" s="14"/>
    </row>
    <row r="665" spans="5:5">
      <c r="E665" s="14"/>
    </row>
    <row r="666" spans="5:5">
      <c r="E666" s="14"/>
    </row>
    <row r="667" spans="5:5">
      <c r="E667" s="14"/>
    </row>
    <row r="668" spans="5:5">
      <c r="E668" s="14"/>
    </row>
    <row r="669" spans="5:5">
      <c r="E669" s="14"/>
    </row>
    <row r="670" spans="5:5">
      <c r="E670" s="14"/>
    </row>
    <row r="671" spans="5:5">
      <c r="E671" s="14"/>
    </row>
    <row r="672" spans="5:5">
      <c r="E672" s="14"/>
    </row>
    <row r="673" spans="5:5">
      <c r="E673" s="14"/>
    </row>
    <row r="674" spans="5:5">
      <c r="E674" s="14"/>
    </row>
    <row r="675" spans="5:5">
      <c r="E675" s="14"/>
    </row>
    <row r="676" spans="5:5">
      <c r="E676" s="14"/>
    </row>
    <row r="677" spans="5:5">
      <c r="E677" s="14"/>
    </row>
    <row r="678" spans="5:5">
      <c r="E678" s="14"/>
    </row>
    <row r="679" spans="5:5">
      <c r="E679" s="14"/>
    </row>
    <row r="680" spans="5:5">
      <c r="E680" s="14"/>
    </row>
    <row r="681" spans="5:5">
      <c r="E681" s="14"/>
    </row>
    <row r="682" spans="5:5">
      <c r="E682" s="14"/>
    </row>
    <row r="683" spans="5:5">
      <c r="E683" s="14"/>
    </row>
    <row r="684" spans="5:5">
      <c r="E684" s="14"/>
    </row>
    <row r="685" spans="5:5">
      <c r="E685" s="14"/>
    </row>
    <row r="686" spans="5:5">
      <c r="E686" s="14"/>
    </row>
    <row r="687" spans="5:5">
      <c r="E687" s="14"/>
    </row>
    <row r="688" spans="5:5">
      <c r="E688" s="14"/>
    </row>
    <row r="689" spans="5:5">
      <c r="E689" s="14"/>
    </row>
    <row r="690" spans="5:5">
      <c r="E690" s="14"/>
    </row>
    <row r="691" spans="5:5">
      <c r="E691" s="14"/>
    </row>
    <row r="692" spans="5:5">
      <c r="E692" s="14"/>
    </row>
    <row r="693" spans="5:5">
      <c r="E693" s="14"/>
    </row>
    <row r="694" spans="5:5">
      <c r="E694" s="14"/>
    </row>
    <row r="695" spans="5:5">
      <c r="E695" s="14"/>
    </row>
    <row r="696" spans="5:5">
      <c r="E696" s="14"/>
    </row>
    <row r="697" spans="5:5">
      <c r="E697" s="14"/>
    </row>
    <row r="698" spans="5:5">
      <c r="E698" s="14"/>
    </row>
    <row r="699" spans="5:5">
      <c r="E699" s="14"/>
    </row>
    <row r="700" spans="5:5">
      <c r="E700" s="14"/>
    </row>
    <row r="701" spans="5:5">
      <c r="E701" s="14"/>
    </row>
    <row r="702" spans="5:5">
      <c r="E702" s="14"/>
    </row>
    <row r="703" spans="5:5">
      <c r="E703" s="14"/>
    </row>
    <row r="704" spans="5:5">
      <c r="E704" s="14"/>
    </row>
    <row r="705" spans="5:5">
      <c r="E705" s="14"/>
    </row>
    <row r="706" spans="5:5">
      <c r="E706" s="14"/>
    </row>
    <row r="707" spans="5:5">
      <c r="E707" s="14"/>
    </row>
    <row r="708" spans="5:5">
      <c r="E708" s="14"/>
    </row>
    <row r="709" spans="5:5">
      <c r="E709" s="14"/>
    </row>
    <row r="710" spans="5:5">
      <c r="E710" s="14"/>
    </row>
    <row r="711" spans="5:5">
      <c r="E711" s="14"/>
    </row>
    <row r="712" spans="5:5">
      <c r="E712" s="14"/>
    </row>
    <row r="713" spans="5:5">
      <c r="E713" s="14"/>
    </row>
    <row r="714" spans="5:5">
      <c r="E714" s="14"/>
    </row>
    <row r="715" spans="5:5">
      <c r="E715" s="14"/>
    </row>
    <row r="716" spans="5:5">
      <c r="E716" s="14"/>
    </row>
    <row r="717" spans="5:5">
      <c r="E717" s="14"/>
    </row>
    <row r="718" spans="5:5">
      <c r="E718" s="14"/>
    </row>
    <row r="719" spans="5:5">
      <c r="E719" s="14"/>
    </row>
    <row r="720" spans="5:5">
      <c r="E720" s="14"/>
    </row>
    <row r="721" spans="5:5">
      <c r="E721" s="14"/>
    </row>
    <row r="722" spans="5:5">
      <c r="E722" s="14"/>
    </row>
    <row r="723" spans="5:5">
      <c r="E723" s="14"/>
    </row>
    <row r="724" spans="5:5">
      <c r="E724" s="14"/>
    </row>
    <row r="725" spans="5:5">
      <c r="E725" s="14"/>
    </row>
    <row r="726" spans="5:5">
      <c r="E726" s="14"/>
    </row>
    <row r="727" spans="5:5">
      <c r="E727" s="14"/>
    </row>
    <row r="728" spans="5:5">
      <c r="E728" s="14"/>
    </row>
    <row r="729" spans="5:5">
      <c r="E729" s="14"/>
    </row>
    <row r="730" spans="5:5">
      <c r="E730" s="14"/>
    </row>
    <row r="731" spans="5:5">
      <c r="E731" s="14"/>
    </row>
    <row r="732" spans="5:5">
      <c r="E732" s="14"/>
    </row>
    <row r="733" spans="5:5">
      <c r="E733" s="14"/>
    </row>
    <row r="734" spans="5:5">
      <c r="E734" s="14"/>
    </row>
    <row r="735" spans="5:5">
      <c r="E735" s="14"/>
    </row>
    <row r="736" spans="5:5">
      <c r="E736" s="14"/>
    </row>
    <row r="737" spans="5:5">
      <c r="E737" s="14"/>
    </row>
    <row r="738" spans="5:5">
      <c r="E738" s="14"/>
    </row>
    <row r="739" spans="5:5">
      <c r="E739" s="14"/>
    </row>
    <row r="740" spans="5:5">
      <c r="E740" s="14"/>
    </row>
    <row r="741" spans="5:5">
      <c r="E741" s="14"/>
    </row>
    <row r="742" spans="5:5">
      <c r="E742" s="14"/>
    </row>
    <row r="743" spans="5:5">
      <c r="E743" s="14"/>
    </row>
    <row r="744" spans="5:5">
      <c r="E744" s="14"/>
    </row>
    <row r="745" spans="5:5">
      <c r="E745" s="14"/>
    </row>
    <row r="746" spans="5:5">
      <c r="E746" s="14"/>
    </row>
    <row r="747" spans="5:5">
      <c r="E747" s="14"/>
    </row>
    <row r="748" spans="5:5">
      <c r="E748" s="14"/>
    </row>
    <row r="749" spans="5:5">
      <c r="E749" s="14"/>
    </row>
    <row r="750" spans="5:5">
      <c r="E750" s="14"/>
    </row>
    <row r="751" spans="5:5">
      <c r="E751" s="14"/>
    </row>
    <row r="752" spans="5:5">
      <c r="E752" s="14"/>
    </row>
    <row r="753" spans="5:5">
      <c r="E753" s="14"/>
    </row>
    <row r="754" spans="5:5">
      <c r="E754" s="14"/>
    </row>
    <row r="755" spans="5:5">
      <c r="E755" s="14"/>
    </row>
    <row r="756" spans="5:5">
      <c r="E756" s="14"/>
    </row>
    <row r="757" spans="5:5">
      <c r="E757" s="14"/>
    </row>
    <row r="758" spans="5:5">
      <c r="E758" s="14"/>
    </row>
    <row r="759" spans="5:5">
      <c r="E759" s="14"/>
    </row>
    <row r="760" spans="5:5">
      <c r="E760" s="14"/>
    </row>
    <row r="761" spans="5:5">
      <c r="E761" s="14"/>
    </row>
    <row r="762" spans="5:5">
      <c r="E762" s="14"/>
    </row>
    <row r="763" spans="5:5">
      <c r="E763" s="14"/>
    </row>
    <row r="764" spans="5:5">
      <c r="E764" s="14"/>
    </row>
    <row r="765" spans="5:5">
      <c r="E765" s="14"/>
    </row>
    <row r="766" spans="5:5">
      <c r="E766" s="14"/>
    </row>
    <row r="767" spans="5:5">
      <c r="E767" s="14"/>
    </row>
    <row r="768" spans="5:5">
      <c r="E768" s="14"/>
    </row>
    <row r="769" spans="5:5">
      <c r="E769" s="14"/>
    </row>
    <row r="770" spans="5:5">
      <c r="E770" s="14"/>
    </row>
    <row r="771" spans="5:5">
      <c r="E771" s="14"/>
    </row>
    <row r="772" spans="5:5">
      <c r="E772" s="14"/>
    </row>
    <row r="773" spans="5:5">
      <c r="E773" s="14"/>
    </row>
    <row r="774" spans="5:5">
      <c r="E774" s="14"/>
    </row>
    <row r="775" spans="5:5">
      <c r="E775" s="14"/>
    </row>
    <row r="776" spans="5:5">
      <c r="E776" s="14"/>
    </row>
    <row r="777" spans="5:5">
      <c r="E777" s="14"/>
    </row>
    <row r="778" spans="5:5">
      <c r="E778" s="14"/>
    </row>
    <row r="779" spans="5:5">
      <c r="E779" s="14"/>
    </row>
    <row r="780" spans="5:5">
      <c r="E780" s="14"/>
    </row>
    <row r="781" spans="5:5">
      <c r="E781" s="14"/>
    </row>
    <row r="782" spans="5:5">
      <c r="E782" s="14"/>
    </row>
    <row r="783" spans="5:5">
      <c r="E783" s="14"/>
    </row>
    <row r="784" spans="5:5">
      <c r="E784" s="14"/>
    </row>
    <row r="785" spans="5:5">
      <c r="E785" s="14"/>
    </row>
    <row r="786" spans="5:5">
      <c r="E786" s="14"/>
    </row>
    <row r="787" spans="5:5">
      <c r="E787" s="14"/>
    </row>
    <row r="788" spans="5:5">
      <c r="E788" s="14"/>
    </row>
    <row r="789" spans="5:5">
      <c r="E789" s="14"/>
    </row>
    <row r="790" spans="5:5">
      <c r="E790" s="14"/>
    </row>
    <row r="791" spans="5:5">
      <c r="E791" s="14"/>
    </row>
    <row r="792" spans="5:5">
      <c r="E792" s="14"/>
    </row>
    <row r="793" spans="5:5">
      <c r="E793" s="14"/>
    </row>
    <row r="794" spans="5:5">
      <c r="E794" s="14"/>
    </row>
    <row r="795" spans="5:5">
      <c r="E795" s="14"/>
    </row>
    <row r="796" spans="5:5">
      <c r="E796" s="14"/>
    </row>
    <row r="797" spans="5:5">
      <c r="E797" s="14"/>
    </row>
    <row r="798" spans="5:5">
      <c r="E798" s="14"/>
    </row>
    <row r="799" spans="5:5">
      <c r="E799" s="14"/>
    </row>
    <row r="800" spans="5:5">
      <c r="E800" s="14"/>
    </row>
    <row r="801" spans="5:5">
      <c r="E801" s="14"/>
    </row>
    <row r="802" spans="5:5">
      <c r="E802" s="14"/>
    </row>
    <row r="803" spans="5:5">
      <c r="E803" s="14"/>
    </row>
    <row r="804" spans="5:5">
      <c r="E804" s="14"/>
    </row>
    <row r="805" spans="5:5">
      <c r="E805" s="14"/>
    </row>
    <row r="806" spans="5:5">
      <c r="E806" s="14"/>
    </row>
    <row r="807" spans="5:5">
      <c r="E807" s="14"/>
    </row>
    <row r="808" spans="5:5">
      <c r="E808" s="14"/>
    </row>
    <row r="809" spans="5:5">
      <c r="E809" s="14"/>
    </row>
    <row r="810" spans="5:5">
      <c r="E810" s="14"/>
    </row>
    <row r="811" spans="5:5">
      <c r="E811" s="14"/>
    </row>
    <row r="812" spans="5:5">
      <c r="E812" s="14"/>
    </row>
    <row r="813" spans="5:5">
      <c r="E813" s="14"/>
    </row>
    <row r="814" spans="5:5">
      <c r="E814" s="14"/>
    </row>
    <row r="815" spans="5:5">
      <c r="E815" s="14"/>
    </row>
    <row r="816" spans="5:5">
      <c r="E816" s="14"/>
    </row>
    <row r="817" spans="5:5">
      <c r="E817" s="14"/>
    </row>
    <row r="818" spans="5:5">
      <c r="E818" s="14"/>
    </row>
    <row r="819" spans="5:5">
      <c r="E819" s="14"/>
    </row>
    <row r="820" spans="5:5">
      <c r="E820" s="14"/>
    </row>
    <row r="821" spans="5:5">
      <c r="E821" s="14"/>
    </row>
    <row r="822" spans="5:5">
      <c r="E822" s="14"/>
    </row>
    <row r="823" spans="5:5">
      <c r="E823" s="14"/>
    </row>
    <row r="824" spans="5:5">
      <c r="E824" s="14"/>
    </row>
    <row r="825" spans="5:5">
      <c r="E825" s="14"/>
    </row>
    <row r="826" spans="5:5">
      <c r="E826" s="14"/>
    </row>
    <row r="827" spans="5:5">
      <c r="E827" s="14"/>
    </row>
    <row r="828" spans="5:5">
      <c r="E828" s="14"/>
    </row>
    <row r="829" spans="5:5">
      <c r="E829" s="14"/>
    </row>
    <row r="830" spans="5:5">
      <c r="E830" s="14"/>
    </row>
    <row r="831" spans="5:5">
      <c r="E831" s="14"/>
    </row>
    <row r="832" spans="5:5">
      <c r="E832" s="14"/>
    </row>
    <row r="833" spans="5:5">
      <c r="E833" s="14"/>
    </row>
    <row r="834" spans="5:5">
      <c r="E834" s="14"/>
    </row>
    <row r="835" spans="5:5">
      <c r="E835" s="14"/>
    </row>
    <row r="836" spans="5:5">
      <c r="E836" s="14"/>
    </row>
    <row r="837" spans="5:5">
      <c r="E837" s="14"/>
    </row>
    <row r="838" spans="5:5">
      <c r="E838" s="14"/>
    </row>
    <row r="839" spans="5:5">
      <c r="E839" s="14"/>
    </row>
    <row r="840" spans="5:5">
      <c r="E840" s="14"/>
    </row>
    <row r="841" spans="5:5">
      <c r="E841" s="14"/>
    </row>
    <row r="842" spans="5:5">
      <c r="E842" s="14"/>
    </row>
    <row r="843" spans="5:5">
      <c r="E843" s="14"/>
    </row>
    <row r="844" spans="5:5">
      <c r="E844" s="14"/>
    </row>
    <row r="845" spans="5:5">
      <c r="E845" s="14"/>
    </row>
    <row r="846" spans="5:5">
      <c r="E846" s="14"/>
    </row>
    <row r="847" spans="5:5">
      <c r="E847" s="14"/>
    </row>
    <row r="848" spans="5:5">
      <c r="E848" s="14"/>
    </row>
    <row r="849" spans="5:5">
      <c r="E849" s="14"/>
    </row>
    <row r="850" spans="5:5">
      <c r="E850" s="14"/>
    </row>
    <row r="851" spans="5:5">
      <c r="E851" s="14"/>
    </row>
    <row r="852" spans="5:5">
      <c r="E852" s="14"/>
    </row>
    <row r="853" spans="5:5">
      <c r="E853" s="14"/>
    </row>
    <row r="854" spans="5:5">
      <c r="E854" s="14"/>
    </row>
    <row r="855" spans="5:5">
      <c r="E855" s="14"/>
    </row>
    <row r="856" spans="5:5">
      <c r="E856" s="14"/>
    </row>
    <row r="857" spans="5:5">
      <c r="E857" s="14"/>
    </row>
    <row r="858" spans="5:5">
      <c r="E858" s="14"/>
    </row>
    <row r="859" spans="5:5">
      <c r="E859" s="14"/>
    </row>
    <row r="860" spans="5:5">
      <c r="E860" s="14"/>
    </row>
    <row r="861" spans="5:5">
      <c r="E861" s="14"/>
    </row>
    <row r="862" spans="5:5">
      <c r="E862" s="14"/>
    </row>
    <row r="863" spans="5:5">
      <c r="E863" s="14"/>
    </row>
    <row r="864" spans="5:5">
      <c r="E864" s="14"/>
    </row>
    <row r="865" spans="5:5">
      <c r="E865" s="14"/>
    </row>
    <row r="866" spans="5:5">
      <c r="E866" s="14"/>
    </row>
    <row r="867" spans="5:5">
      <c r="E867" s="14"/>
    </row>
    <row r="868" spans="5:5">
      <c r="E868" s="14"/>
    </row>
    <row r="869" spans="5:5">
      <c r="E869" s="14"/>
    </row>
    <row r="870" spans="5:5">
      <c r="E870" s="14"/>
    </row>
    <row r="871" spans="5:5">
      <c r="E871" s="14"/>
    </row>
    <row r="872" spans="5:5">
      <c r="E872" s="14"/>
    </row>
    <row r="873" spans="5:5">
      <c r="E873" s="14"/>
    </row>
    <row r="874" spans="5:5">
      <c r="E874" s="14"/>
    </row>
    <row r="875" spans="5:5">
      <c r="E875" s="14"/>
    </row>
    <row r="876" spans="5:5">
      <c r="E876" s="14"/>
    </row>
    <row r="877" spans="5:5">
      <c r="E877" s="14"/>
    </row>
    <row r="878" spans="5:5">
      <c r="E878" s="14"/>
    </row>
    <row r="879" spans="5:5">
      <c r="E879" s="14"/>
    </row>
    <row r="880" spans="5:5">
      <c r="E880" s="14"/>
    </row>
    <row r="881" spans="5:5">
      <c r="E881" s="14"/>
    </row>
    <row r="882" spans="5:5">
      <c r="E882" s="14"/>
    </row>
    <row r="883" spans="5:5">
      <c r="E883" s="14"/>
    </row>
    <row r="884" spans="5:5">
      <c r="E884" s="14"/>
    </row>
    <row r="885" spans="5:5">
      <c r="E885" s="14"/>
    </row>
    <row r="886" spans="5:5">
      <c r="E886" s="14"/>
    </row>
    <row r="887" spans="5:5">
      <c r="E887" s="14"/>
    </row>
    <row r="888" spans="5:5">
      <c r="E888" s="14"/>
    </row>
    <row r="889" spans="5:5">
      <c r="E889" s="14"/>
    </row>
    <row r="890" spans="5:5">
      <c r="E890" s="14"/>
    </row>
    <row r="891" spans="5:5">
      <c r="E891" s="14"/>
    </row>
    <row r="892" spans="5:5">
      <c r="E892" s="14"/>
    </row>
    <row r="893" spans="5:5">
      <c r="E893" s="14"/>
    </row>
    <row r="894" spans="5:5">
      <c r="E894" s="14"/>
    </row>
    <row r="895" spans="5:5">
      <c r="E895" s="14"/>
    </row>
    <row r="896" spans="5:5">
      <c r="E896" s="14"/>
    </row>
    <row r="897" spans="5:5">
      <c r="E897" s="14"/>
    </row>
    <row r="898" spans="5:5">
      <c r="E898" s="14"/>
    </row>
    <row r="899" spans="5:5">
      <c r="E899" s="14"/>
    </row>
    <row r="900" spans="5:5">
      <c r="E900" s="14"/>
    </row>
    <row r="901" spans="5:5">
      <c r="E901" s="14"/>
    </row>
    <row r="902" spans="5:5">
      <c r="E902" s="14"/>
    </row>
    <row r="903" spans="5:5">
      <c r="E903" s="14"/>
    </row>
    <row r="904" spans="5:5">
      <c r="E904" s="14"/>
    </row>
    <row r="905" spans="5:5">
      <c r="E905" s="14"/>
    </row>
    <row r="906" spans="5:5">
      <c r="E906" s="14"/>
    </row>
    <row r="907" spans="5:5">
      <c r="E907" s="14"/>
    </row>
    <row r="908" spans="5:5">
      <c r="E908" s="14"/>
    </row>
    <row r="909" spans="5:5">
      <c r="E909" s="14"/>
    </row>
    <row r="910" spans="5:5">
      <c r="E910" s="14"/>
    </row>
    <row r="911" spans="5:5">
      <c r="E911" s="14"/>
    </row>
    <row r="912" spans="5:5">
      <c r="E912" s="14"/>
    </row>
    <row r="913" spans="5:5">
      <c r="E913" s="14"/>
    </row>
    <row r="914" spans="5:5">
      <c r="E914" s="14"/>
    </row>
    <row r="915" spans="5:5">
      <c r="E915" s="14"/>
    </row>
    <row r="916" spans="5:5">
      <c r="E916" s="14"/>
    </row>
    <row r="917" spans="5:5">
      <c r="E917" s="14"/>
    </row>
    <row r="918" spans="5:5">
      <c r="E918" s="14"/>
    </row>
    <row r="919" spans="5:5">
      <c r="E919" s="14"/>
    </row>
    <row r="920" spans="5:5">
      <c r="E920" s="14"/>
    </row>
    <row r="921" spans="5:5">
      <c r="E921" s="14"/>
    </row>
    <row r="922" spans="5:5">
      <c r="E922" s="14"/>
    </row>
    <row r="923" spans="5:5">
      <c r="E923" s="14"/>
    </row>
    <row r="924" spans="5:5">
      <c r="E924" s="14"/>
    </row>
    <row r="925" spans="5:5">
      <c r="E925" s="14"/>
    </row>
    <row r="926" spans="5:5">
      <c r="E926" s="14"/>
    </row>
    <row r="927" spans="5:5">
      <c r="E927" s="14"/>
    </row>
    <row r="928" spans="5:5">
      <c r="E928" s="14"/>
    </row>
    <row r="929" spans="5:5">
      <c r="E929" s="14"/>
    </row>
    <row r="930" spans="5:5">
      <c r="E930" s="14"/>
    </row>
    <row r="931" spans="5:5">
      <c r="E931" s="14"/>
    </row>
    <row r="932" spans="5:5">
      <c r="E932" s="14"/>
    </row>
    <row r="933" spans="5:5">
      <c r="E933" s="14"/>
    </row>
    <row r="934" spans="5:5">
      <c r="E934" s="14"/>
    </row>
    <row r="935" spans="5:5">
      <c r="E935" s="14"/>
    </row>
    <row r="936" spans="5:5">
      <c r="E936" s="14"/>
    </row>
    <row r="937" spans="5:5">
      <c r="E937" s="14"/>
    </row>
    <row r="938" spans="5:5">
      <c r="E938" s="14"/>
    </row>
    <row r="939" spans="5:5">
      <c r="E939" s="14"/>
    </row>
    <row r="940" spans="5:5">
      <c r="E940" s="14"/>
    </row>
    <row r="941" spans="5:5">
      <c r="E941" s="14"/>
    </row>
    <row r="942" spans="5:5">
      <c r="E942" s="14"/>
    </row>
    <row r="943" spans="5:5">
      <c r="E943" s="14"/>
    </row>
    <row r="944" spans="5:5">
      <c r="E944" s="14"/>
    </row>
    <row r="945" spans="5:5">
      <c r="E945" s="14"/>
    </row>
    <row r="946" spans="5:5">
      <c r="E946" s="14"/>
    </row>
    <row r="947" spans="5:5">
      <c r="E947" s="14"/>
    </row>
    <row r="948" spans="5:5">
      <c r="E948" s="14"/>
    </row>
    <row r="949" spans="5:5">
      <c r="E949" s="14"/>
    </row>
    <row r="950" spans="5:5">
      <c r="E950" s="14"/>
    </row>
    <row r="951" spans="5:5">
      <c r="E951" s="14"/>
    </row>
    <row r="952" spans="5:5">
      <c r="E952" s="14"/>
    </row>
    <row r="953" spans="5:5">
      <c r="E953" s="14"/>
    </row>
    <row r="954" spans="5:5">
      <c r="E954" s="14"/>
    </row>
    <row r="955" spans="5:5">
      <c r="E955" s="14"/>
    </row>
    <row r="956" spans="5:5">
      <c r="E956" s="14"/>
    </row>
    <row r="957" spans="5:5">
      <c r="E957" s="14"/>
    </row>
    <row r="958" spans="5:5">
      <c r="E958" s="14"/>
    </row>
    <row r="959" spans="5:5">
      <c r="E959" s="14"/>
    </row>
    <row r="960" spans="5:5">
      <c r="E960" s="14"/>
    </row>
    <row r="961" spans="5:5">
      <c r="E961" s="14"/>
    </row>
    <row r="962" spans="5:5">
      <c r="E962" s="14"/>
    </row>
    <row r="963" spans="5:5">
      <c r="E963" s="14"/>
    </row>
    <row r="964" spans="5:5">
      <c r="E964" s="14"/>
    </row>
    <row r="965" spans="5:5">
      <c r="E965" s="14"/>
    </row>
    <row r="966" spans="5:5">
      <c r="E966" s="14"/>
    </row>
    <row r="967" spans="5:5">
      <c r="E967" s="14"/>
    </row>
    <row r="968" spans="5:5">
      <c r="E968" s="14"/>
    </row>
    <row r="969" spans="5:5">
      <c r="E969" s="14"/>
    </row>
    <row r="970" spans="5:5">
      <c r="E970" s="14"/>
    </row>
    <row r="971" spans="5:5">
      <c r="E971" s="14"/>
    </row>
    <row r="972" spans="5:5">
      <c r="E972" s="14"/>
    </row>
    <row r="973" spans="5:5">
      <c r="E973" s="14"/>
    </row>
    <row r="974" spans="5:5">
      <c r="E974" s="14"/>
    </row>
    <row r="975" spans="5:5">
      <c r="E975" s="14"/>
    </row>
    <row r="976" spans="5:5">
      <c r="E976" s="14"/>
    </row>
    <row r="977" spans="5:5">
      <c r="E977" s="14"/>
    </row>
    <row r="978" spans="5:5">
      <c r="E978" s="14"/>
    </row>
    <row r="979" spans="5:5">
      <c r="E979" s="14"/>
    </row>
    <row r="980" spans="5:5">
      <c r="E980" s="14"/>
    </row>
    <row r="981" spans="5:5">
      <c r="E981" s="14"/>
    </row>
    <row r="982" spans="5:5">
      <c r="E982" s="14"/>
    </row>
    <row r="983" spans="5:5">
      <c r="E983" s="14"/>
    </row>
    <row r="984" spans="5:5">
      <c r="E984" s="14"/>
    </row>
    <row r="985" spans="5:5">
      <c r="E985" s="14"/>
    </row>
    <row r="986" spans="5:5">
      <c r="E986" s="14"/>
    </row>
    <row r="987" spans="5:5">
      <c r="E987" s="14"/>
    </row>
    <row r="988" spans="5:5">
      <c r="E988" s="14"/>
    </row>
    <row r="989" spans="5:5">
      <c r="E989" s="14"/>
    </row>
    <row r="990" spans="5:5">
      <c r="E990" s="14"/>
    </row>
    <row r="991" spans="5:5">
      <c r="E991" s="14"/>
    </row>
    <row r="992" spans="5:5">
      <c r="E992" s="14"/>
    </row>
    <row r="993" spans="5:5">
      <c r="E993" s="14"/>
    </row>
    <row r="994" spans="5:5">
      <c r="E994" s="14"/>
    </row>
    <row r="995" spans="5:5">
      <c r="E995" s="14"/>
    </row>
    <row r="996" spans="5:5">
      <c r="E996" s="14"/>
    </row>
    <row r="997" spans="5:5">
      <c r="E997" s="14"/>
    </row>
    <row r="998" spans="5:5">
      <c r="E998" s="14"/>
    </row>
    <row r="999" spans="5:5">
      <c r="E999" s="14"/>
    </row>
    <row r="1000" spans="5:5">
      <c r="E1000" s="14"/>
    </row>
    <row r="1001" spans="5:5">
      <c r="E1001" s="14"/>
    </row>
    <row r="1002" spans="5:5">
      <c r="E1002" s="14"/>
    </row>
    <row r="1003" spans="5:5">
      <c r="E1003" s="14"/>
    </row>
    <row r="1004" spans="5:5">
      <c r="E1004" s="14"/>
    </row>
    <row r="1005" spans="5:5">
      <c r="E1005" s="14"/>
    </row>
    <row r="1006" spans="5:5">
      <c r="E1006" s="14"/>
    </row>
    <row r="1007" spans="5:5">
      <c r="E1007" s="14"/>
    </row>
    <row r="1008" spans="5:5">
      <c r="E1008" s="14"/>
    </row>
    <row r="1009" spans="5:5">
      <c r="E1009" s="14"/>
    </row>
    <row r="1010" spans="5:5">
      <c r="E1010" s="14"/>
    </row>
    <row r="1011" spans="5:5">
      <c r="E1011" s="14"/>
    </row>
    <row r="1012" spans="5:5">
      <c r="E1012" s="14"/>
    </row>
    <row r="1013" spans="5:5">
      <c r="E1013" s="14"/>
    </row>
    <row r="1014" spans="5:5">
      <c r="E1014" s="14"/>
    </row>
    <row r="1015" spans="5:5">
      <c r="E1015" s="14"/>
    </row>
    <row r="1016" spans="5:5">
      <c r="E1016" s="14"/>
    </row>
    <row r="1017" spans="5:5">
      <c r="E1017" s="14"/>
    </row>
    <row r="1018" spans="5:5">
      <c r="E1018" s="14"/>
    </row>
    <row r="1019" spans="5:5">
      <c r="E1019" s="14"/>
    </row>
    <row r="1020" spans="5:5">
      <c r="E1020" s="14"/>
    </row>
    <row r="1021" spans="5:5">
      <c r="E1021" s="14"/>
    </row>
    <row r="1022" spans="5:5">
      <c r="E1022" s="14"/>
    </row>
    <row r="1023" spans="5:5">
      <c r="E1023" s="14"/>
    </row>
    <row r="1024" spans="5:5">
      <c r="E1024" s="14"/>
    </row>
    <row r="1025" spans="5:5">
      <c r="E1025" s="14"/>
    </row>
    <row r="1026" spans="5:5">
      <c r="E1026" s="14"/>
    </row>
    <row r="1027" spans="5:5">
      <c r="E1027" s="14"/>
    </row>
    <row r="1028" spans="5:5">
      <c r="E1028" s="14"/>
    </row>
    <row r="1029" spans="5:5">
      <c r="E1029" s="14"/>
    </row>
    <row r="1030" spans="5:5">
      <c r="E1030" s="14"/>
    </row>
    <row r="1031" spans="5:5">
      <c r="E1031" s="14"/>
    </row>
    <row r="1032" spans="5:5">
      <c r="E1032" s="14"/>
    </row>
    <row r="1033" spans="5:5">
      <c r="E1033" s="14"/>
    </row>
    <row r="1034" spans="5:5">
      <c r="E1034" s="14"/>
    </row>
    <row r="1035" spans="5:5">
      <c r="E1035" s="14"/>
    </row>
    <row r="1036" spans="5:5">
      <c r="E1036" s="14"/>
    </row>
    <row r="1037" spans="5:5">
      <c r="E1037" s="14"/>
    </row>
    <row r="1038" spans="5:5">
      <c r="E1038" s="14"/>
    </row>
    <row r="1039" spans="5:5">
      <c r="E1039" s="14"/>
    </row>
    <row r="1040" spans="5:5">
      <c r="E1040" s="14"/>
    </row>
    <row r="1041" spans="5:5">
      <c r="E1041" s="14"/>
    </row>
    <row r="1042" spans="5:5">
      <c r="E1042" s="14"/>
    </row>
    <row r="1043" spans="5:5">
      <c r="E1043" s="14"/>
    </row>
    <row r="1044" spans="5:5">
      <c r="E1044" s="14"/>
    </row>
    <row r="1045" spans="5:5">
      <c r="E1045" s="14"/>
    </row>
    <row r="1046" spans="5:5">
      <c r="E1046" s="14"/>
    </row>
    <row r="1047" spans="5:5">
      <c r="E1047" s="14"/>
    </row>
    <row r="1048" spans="5:5">
      <c r="E1048" s="14"/>
    </row>
    <row r="1049" spans="5:5">
      <c r="E1049" s="14"/>
    </row>
    <row r="1050" spans="5:5">
      <c r="E1050" s="14"/>
    </row>
    <row r="1051" spans="5:5">
      <c r="E1051" s="14"/>
    </row>
    <row r="1052" spans="5:5">
      <c r="E1052" s="14"/>
    </row>
    <row r="1053" spans="5:5">
      <c r="E1053" s="14"/>
    </row>
    <row r="1054" spans="5:5">
      <c r="E1054" s="14"/>
    </row>
    <row r="1055" spans="5:5">
      <c r="E1055" s="14"/>
    </row>
    <row r="1056" spans="5:5">
      <c r="E1056" s="14"/>
    </row>
    <row r="1057" spans="5:5">
      <c r="E1057" s="14"/>
    </row>
    <row r="1058" spans="5:5">
      <c r="E1058" s="14"/>
    </row>
    <row r="1059" spans="5:5">
      <c r="E1059" s="14"/>
    </row>
    <row r="1060" spans="5:5">
      <c r="E1060" s="14"/>
    </row>
    <row r="1061" spans="5:5">
      <c r="E1061" s="14"/>
    </row>
    <row r="1062" spans="5:5">
      <c r="E1062" s="14"/>
    </row>
    <row r="1063" spans="5:5">
      <c r="E1063" s="14"/>
    </row>
    <row r="1064" spans="5:5">
      <c r="E1064" s="14"/>
    </row>
    <row r="1065" spans="5:5">
      <c r="E1065" s="14"/>
    </row>
    <row r="1066" spans="5:5">
      <c r="E1066" s="14"/>
    </row>
    <row r="1067" spans="5:5">
      <c r="E1067" s="14"/>
    </row>
    <row r="1068" spans="5:5">
      <c r="E1068" s="14"/>
    </row>
    <row r="1069" spans="5:5">
      <c r="E1069" s="14"/>
    </row>
    <row r="1070" spans="5:5">
      <c r="E1070" s="14"/>
    </row>
    <row r="1071" spans="5:5">
      <c r="E1071" s="14"/>
    </row>
    <row r="1072" spans="5:5">
      <c r="E1072" s="14"/>
    </row>
    <row r="1073" spans="5:5">
      <c r="E1073" s="14"/>
    </row>
    <row r="1074" spans="5:5">
      <c r="E1074" s="14"/>
    </row>
    <row r="1075" spans="5:5">
      <c r="E1075" s="14"/>
    </row>
    <row r="1076" spans="5:5">
      <c r="E1076" s="14"/>
    </row>
    <row r="1077" spans="5:5">
      <c r="E1077" s="14"/>
    </row>
    <row r="1078" spans="5:5">
      <c r="E1078" s="14"/>
    </row>
    <row r="1079" spans="5:5">
      <c r="E1079" s="14"/>
    </row>
    <row r="1080" spans="5:5">
      <c r="E1080" s="14"/>
    </row>
    <row r="1081" spans="5:5">
      <c r="E1081" s="14"/>
    </row>
    <row r="1082" spans="5:5">
      <c r="E1082" s="14"/>
    </row>
    <row r="1083" spans="5:5">
      <c r="E1083" s="14"/>
    </row>
    <row r="1084" spans="5:5">
      <c r="E1084" s="14"/>
    </row>
    <row r="1085" spans="5:5">
      <c r="E1085" s="14"/>
    </row>
    <row r="1086" spans="5:5">
      <c r="E1086" s="14"/>
    </row>
    <row r="1087" spans="5:5">
      <c r="E1087" s="14"/>
    </row>
    <row r="1088" spans="5:5">
      <c r="E1088" s="14"/>
    </row>
    <row r="1089" spans="5:5">
      <c r="E1089" s="14"/>
    </row>
    <row r="1090" spans="5:5">
      <c r="E1090" s="14"/>
    </row>
    <row r="1091" spans="5:5">
      <c r="E1091" s="14"/>
    </row>
    <row r="1092" spans="5:5">
      <c r="E1092" s="14"/>
    </row>
    <row r="1093" spans="5:5">
      <c r="E1093" s="14"/>
    </row>
    <row r="1094" spans="5:5">
      <c r="E1094" s="14"/>
    </row>
    <row r="1095" spans="5:5">
      <c r="E1095" s="14"/>
    </row>
    <row r="1096" spans="5:5">
      <c r="E1096" s="14"/>
    </row>
    <row r="1097" spans="5:5">
      <c r="E1097" s="14"/>
    </row>
    <row r="1098" spans="5:5">
      <c r="E1098" s="14"/>
    </row>
    <row r="1099" spans="5:5">
      <c r="E1099" s="14"/>
    </row>
    <row r="1100" spans="5:5">
      <c r="E1100" s="14"/>
    </row>
    <row r="1101" spans="5:5">
      <c r="E1101" s="14"/>
    </row>
    <row r="1102" spans="5:5">
      <c r="E1102" s="14"/>
    </row>
    <row r="1103" spans="5:5">
      <c r="E1103" s="14"/>
    </row>
    <row r="1104" spans="5:5">
      <c r="E1104" s="14"/>
    </row>
    <row r="1105" spans="5:5">
      <c r="E1105" s="14"/>
    </row>
    <row r="1106" spans="5:5">
      <c r="E1106" s="14"/>
    </row>
    <row r="1107" spans="5:5">
      <c r="E1107" s="14"/>
    </row>
    <row r="1108" spans="5:5">
      <c r="E1108" s="14"/>
    </row>
    <row r="1109" spans="5:5">
      <c r="E1109" s="14"/>
    </row>
    <row r="1110" spans="5:5">
      <c r="E1110" s="14"/>
    </row>
    <row r="1111" spans="5:5">
      <c r="E1111" s="14"/>
    </row>
    <row r="1112" spans="5:5">
      <c r="E1112" s="14"/>
    </row>
    <row r="1113" spans="5:5">
      <c r="E1113" s="14"/>
    </row>
    <row r="1114" spans="5:5">
      <c r="E1114" s="14"/>
    </row>
    <row r="1115" spans="5:5">
      <c r="E1115" s="14"/>
    </row>
    <row r="1116" spans="5:5">
      <c r="E1116" s="14"/>
    </row>
    <row r="1117" spans="5:5">
      <c r="E1117" s="14"/>
    </row>
    <row r="1118" spans="5:5">
      <c r="E1118" s="14"/>
    </row>
    <row r="1119" spans="5:5">
      <c r="E1119" s="14"/>
    </row>
    <row r="1120" spans="5:5">
      <c r="E1120" s="14"/>
    </row>
    <row r="1121" spans="5:5">
      <c r="E1121" s="14"/>
    </row>
    <row r="1122" spans="5:5">
      <c r="E1122" s="14"/>
    </row>
    <row r="1123" spans="5:5">
      <c r="E1123" s="14"/>
    </row>
    <row r="1124" spans="5:5">
      <c r="E1124" s="14"/>
    </row>
    <row r="1125" spans="5:5">
      <c r="E1125" s="14"/>
    </row>
    <row r="1126" spans="5:5">
      <c r="E1126" s="14"/>
    </row>
    <row r="1127" spans="5:5">
      <c r="E1127" s="14"/>
    </row>
    <row r="1128" spans="5:5">
      <c r="E1128" s="14"/>
    </row>
    <row r="1129" spans="5:5">
      <c r="E1129" s="14"/>
    </row>
    <row r="1130" spans="5:5">
      <c r="E1130" s="14"/>
    </row>
    <row r="1131" spans="5:5">
      <c r="E1131" s="14"/>
    </row>
    <row r="1132" spans="5:5">
      <c r="E1132" s="14"/>
    </row>
    <row r="1133" spans="5:5">
      <c r="E1133" s="14"/>
    </row>
    <row r="1134" spans="5:5">
      <c r="E1134" s="14"/>
    </row>
    <row r="1135" spans="5:5">
      <c r="E1135" s="14"/>
    </row>
    <row r="1136" spans="5:5">
      <c r="E1136" s="14"/>
    </row>
    <row r="1137" spans="5:5">
      <c r="E1137" s="14"/>
    </row>
    <row r="1138" spans="5:5">
      <c r="E1138" s="14"/>
    </row>
    <row r="1139" spans="5:5">
      <c r="E1139" s="14"/>
    </row>
    <row r="1140" spans="5:5">
      <c r="E1140" s="14"/>
    </row>
    <row r="1141" spans="5:5">
      <c r="E1141" s="14"/>
    </row>
    <row r="1142" spans="5:5">
      <c r="E1142" s="14"/>
    </row>
    <row r="1143" spans="5:5">
      <c r="E1143" s="14"/>
    </row>
    <row r="1144" spans="5:5">
      <c r="E1144" s="14"/>
    </row>
    <row r="1145" spans="5:5">
      <c r="E1145" s="14"/>
    </row>
    <row r="1146" spans="5:5">
      <c r="E1146" s="14"/>
    </row>
    <row r="1147" spans="5:5">
      <c r="E1147" s="14"/>
    </row>
    <row r="1148" spans="5:5">
      <c r="E1148" s="14"/>
    </row>
    <row r="1149" spans="5:5">
      <c r="E1149" s="14"/>
    </row>
    <row r="1150" spans="5:5">
      <c r="E1150" s="14"/>
    </row>
    <row r="1151" spans="5:5">
      <c r="E1151" s="14"/>
    </row>
    <row r="1152" spans="5:5">
      <c r="E1152" s="14"/>
    </row>
    <row r="1153" spans="5:5">
      <c r="E1153" s="14"/>
    </row>
    <row r="1154" spans="5:5">
      <c r="E1154" s="14"/>
    </row>
    <row r="1155" spans="5:5">
      <c r="E1155" s="14"/>
    </row>
    <row r="1156" spans="5:5">
      <c r="E1156" s="14"/>
    </row>
    <row r="1157" spans="5:5">
      <c r="E1157" s="14"/>
    </row>
    <row r="1158" spans="5:5">
      <c r="E1158" s="14"/>
    </row>
    <row r="1159" spans="5:5">
      <c r="E1159" s="14"/>
    </row>
    <row r="1160" spans="5:5">
      <c r="E1160" s="14"/>
    </row>
    <row r="1161" spans="5:5">
      <c r="E1161" s="14"/>
    </row>
    <row r="1162" spans="5:5">
      <c r="E1162" s="14"/>
    </row>
    <row r="1163" spans="5:5">
      <c r="E1163" s="14"/>
    </row>
    <row r="1164" spans="5:5">
      <c r="E1164" s="14"/>
    </row>
    <row r="1165" spans="5:5">
      <c r="E1165" s="14"/>
    </row>
    <row r="1166" spans="5:5">
      <c r="E1166" s="14"/>
    </row>
    <row r="1167" spans="5:5">
      <c r="E1167" s="14"/>
    </row>
    <row r="1168" spans="5:5">
      <c r="E1168" s="14"/>
    </row>
    <row r="1169" spans="5:5">
      <c r="E1169" s="14"/>
    </row>
    <row r="1170" spans="5:5">
      <c r="E1170" s="14"/>
    </row>
    <row r="1171" spans="5:5">
      <c r="E1171" s="14"/>
    </row>
    <row r="1172" spans="5:5">
      <c r="E1172" s="14"/>
    </row>
    <row r="1173" spans="5:5">
      <c r="E1173" s="14"/>
    </row>
    <row r="1174" spans="5:5">
      <c r="E1174" s="14"/>
    </row>
    <row r="1175" spans="5:5">
      <c r="E1175" s="14"/>
    </row>
    <row r="1176" spans="5:5">
      <c r="E1176" s="14"/>
    </row>
    <row r="1177" spans="5:5">
      <c r="E1177" s="14"/>
    </row>
    <row r="1178" spans="5:5">
      <c r="E1178" s="14"/>
    </row>
    <row r="1179" spans="5:5">
      <c r="E1179" s="14"/>
    </row>
    <row r="1180" spans="5:5">
      <c r="E1180" s="14"/>
    </row>
    <row r="1181" spans="5:5">
      <c r="E1181" s="14"/>
    </row>
    <row r="1182" spans="5:5">
      <c r="E1182" s="14"/>
    </row>
    <row r="1183" spans="5:5">
      <c r="E1183" s="14"/>
    </row>
    <row r="1184" spans="5:5">
      <c r="E1184" s="14"/>
    </row>
    <row r="1185" spans="5:5">
      <c r="E1185" s="14"/>
    </row>
    <row r="1186" spans="5:5">
      <c r="E1186" s="14"/>
    </row>
    <row r="1187" spans="5:5">
      <c r="E1187" s="14"/>
    </row>
    <row r="1188" spans="5:5">
      <c r="E1188" s="14"/>
    </row>
    <row r="1189" spans="5:5">
      <c r="E1189" s="14"/>
    </row>
    <row r="1190" spans="5:5">
      <c r="E1190" s="14"/>
    </row>
    <row r="1191" spans="5:5">
      <c r="E1191" s="14"/>
    </row>
    <row r="1192" spans="5:5">
      <c r="E1192" s="14"/>
    </row>
    <row r="1193" spans="5:5">
      <c r="E1193" s="14"/>
    </row>
    <row r="1194" spans="5:5">
      <c r="E1194" s="14"/>
    </row>
    <row r="1195" spans="5:5">
      <c r="E1195" s="14"/>
    </row>
    <row r="1196" spans="5:5">
      <c r="E1196" s="14"/>
    </row>
    <row r="1197" spans="5:5">
      <c r="E1197" s="14"/>
    </row>
    <row r="1198" spans="5:5">
      <c r="E1198" s="14"/>
    </row>
    <row r="1199" spans="5:5">
      <c r="E1199" s="14"/>
    </row>
    <row r="1200" spans="5:5">
      <c r="E1200" s="14"/>
    </row>
    <row r="1201" spans="5:5">
      <c r="E1201" s="14"/>
    </row>
    <row r="1202" spans="5:5">
      <c r="E1202" s="14"/>
    </row>
    <row r="1203" spans="5:5">
      <c r="E1203" s="14"/>
    </row>
    <row r="1204" spans="5:5">
      <c r="E1204" s="14"/>
    </row>
    <row r="1205" spans="5:5">
      <c r="E1205" s="14"/>
    </row>
    <row r="1206" spans="5:5">
      <c r="E1206" s="14"/>
    </row>
    <row r="1207" spans="5:5">
      <c r="E1207" s="14"/>
    </row>
    <row r="1208" spans="5:5">
      <c r="E1208" s="14"/>
    </row>
    <row r="1209" spans="5:5">
      <c r="E1209" s="14"/>
    </row>
    <row r="1210" spans="5:5">
      <c r="E1210" s="14"/>
    </row>
    <row r="1211" spans="5:5">
      <c r="E1211" s="14"/>
    </row>
    <row r="1212" spans="5:5">
      <c r="E1212" s="14"/>
    </row>
    <row r="1213" spans="5:5">
      <c r="E1213" s="14"/>
    </row>
    <row r="1214" spans="5:5">
      <c r="E1214" s="14"/>
    </row>
    <row r="1215" spans="5:5">
      <c r="E1215" s="14"/>
    </row>
    <row r="1216" spans="5:5">
      <c r="E1216" s="14"/>
    </row>
    <row r="1217" spans="5:5">
      <c r="E1217" s="14"/>
    </row>
    <row r="1218" spans="5:5">
      <c r="E1218" s="14"/>
    </row>
    <row r="1219" spans="5:5">
      <c r="E1219" s="14"/>
    </row>
    <row r="1220" spans="5:5">
      <c r="E1220" s="14"/>
    </row>
    <row r="1221" spans="5:5">
      <c r="E1221" s="14"/>
    </row>
    <row r="1222" spans="5:5">
      <c r="E1222" s="14"/>
    </row>
    <row r="1223" spans="5:5">
      <c r="E1223" s="14"/>
    </row>
    <row r="1224" spans="5:5">
      <c r="E1224" s="14"/>
    </row>
    <row r="1225" spans="5:5">
      <c r="E1225" s="14"/>
    </row>
    <row r="1226" spans="5:5">
      <c r="E1226" s="14"/>
    </row>
    <row r="1227" spans="5:5">
      <c r="E1227" s="14"/>
    </row>
    <row r="1228" spans="5:5">
      <c r="E1228" s="14"/>
    </row>
    <row r="1229" spans="5:5">
      <c r="E1229" s="14"/>
    </row>
    <row r="1230" spans="5:5">
      <c r="E1230" s="14"/>
    </row>
    <row r="1231" spans="5:5">
      <c r="E1231" s="14"/>
    </row>
    <row r="1232" spans="5:5">
      <c r="E1232" s="14"/>
    </row>
    <row r="1233" spans="5:5">
      <c r="E1233" s="14"/>
    </row>
    <row r="1234" spans="5:5">
      <c r="E1234" s="14"/>
    </row>
    <row r="1235" spans="5:5">
      <c r="E1235" s="14"/>
    </row>
    <row r="1236" spans="5:5">
      <c r="E1236" s="14"/>
    </row>
    <row r="1237" spans="5:5">
      <c r="E1237" s="14"/>
    </row>
    <row r="1238" spans="5:5">
      <c r="E1238" s="14"/>
    </row>
    <row r="1239" spans="5:5">
      <c r="E1239" s="14"/>
    </row>
    <row r="1240" spans="5:5">
      <c r="E1240" s="14"/>
    </row>
    <row r="1241" spans="5:5">
      <c r="E1241" s="14"/>
    </row>
    <row r="1242" spans="5:5">
      <c r="E1242" s="14"/>
    </row>
    <row r="1243" spans="5:5">
      <c r="E1243" s="14"/>
    </row>
    <row r="1244" spans="5:5">
      <c r="E1244" s="14"/>
    </row>
    <row r="1245" spans="5:5">
      <c r="E1245" s="14"/>
    </row>
    <row r="1246" spans="5:5">
      <c r="E1246" s="14"/>
    </row>
    <row r="1247" spans="5:5">
      <c r="E1247" s="14"/>
    </row>
    <row r="1248" spans="5:5">
      <c r="E1248" s="14"/>
    </row>
    <row r="1249" spans="5:5">
      <c r="E1249" s="14"/>
    </row>
    <row r="1250" spans="5:5">
      <c r="E1250" s="14"/>
    </row>
    <row r="1251" spans="5:5">
      <c r="E1251" s="14"/>
    </row>
    <row r="1252" spans="5:5">
      <c r="E1252" s="14"/>
    </row>
    <row r="1253" spans="5:5">
      <c r="E1253" s="14"/>
    </row>
    <row r="1254" spans="5:5">
      <c r="E1254" s="14"/>
    </row>
    <row r="1255" spans="5:5">
      <c r="E1255" s="14"/>
    </row>
    <row r="1256" spans="5:5">
      <c r="E1256" s="14"/>
    </row>
    <row r="1257" spans="5:5">
      <c r="E1257" s="14"/>
    </row>
    <row r="1258" spans="5:5">
      <c r="E1258" s="14"/>
    </row>
    <row r="1259" spans="5:5">
      <c r="E1259" s="14"/>
    </row>
    <row r="1260" spans="5:5">
      <c r="E1260" s="14"/>
    </row>
    <row r="1261" spans="5:5">
      <c r="E1261" s="14"/>
    </row>
    <row r="1262" spans="5:5">
      <c r="E1262" s="14"/>
    </row>
    <row r="1263" spans="5:5">
      <c r="E1263" s="14"/>
    </row>
    <row r="1264" spans="5:5">
      <c r="E1264" s="14"/>
    </row>
    <row r="1265" spans="5:5">
      <c r="E1265" s="14"/>
    </row>
    <row r="1266" spans="5:5">
      <c r="E1266" s="14"/>
    </row>
    <row r="1267" spans="5:5">
      <c r="E1267" s="14"/>
    </row>
    <row r="1268" spans="5:5">
      <c r="E1268" s="14"/>
    </row>
    <row r="1269" spans="5:5">
      <c r="E1269" s="14"/>
    </row>
    <row r="1270" spans="5:5">
      <c r="E1270" s="14"/>
    </row>
    <row r="1271" spans="5:5">
      <c r="E1271" s="14"/>
    </row>
    <row r="1272" spans="5:5">
      <c r="E1272" s="14"/>
    </row>
    <row r="1273" spans="5:5">
      <c r="E1273" s="14"/>
    </row>
    <row r="1274" spans="5:5">
      <c r="E1274" s="14"/>
    </row>
    <row r="1275" spans="5:5">
      <c r="E1275" s="14"/>
    </row>
    <row r="1276" spans="5:5">
      <c r="E1276" s="14"/>
    </row>
    <row r="1277" spans="5:5">
      <c r="E1277" s="14"/>
    </row>
    <row r="1278" spans="5:5">
      <c r="E1278" s="14"/>
    </row>
    <row r="1279" spans="5:5">
      <c r="E1279" s="14"/>
    </row>
    <row r="1280" spans="5:5">
      <c r="E1280" s="14"/>
    </row>
    <row r="1281" spans="5:5">
      <c r="E1281" s="14"/>
    </row>
    <row r="1282" spans="5:5">
      <c r="E1282" s="14"/>
    </row>
    <row r="1283" spans="5:5">
      <c r="E1283" s="14"/>
    </row>
    <row r="1284" spans="5:5">
      <c r="E1284" s="14"/>
    </row>
    <row r="1285" spans="5:5">
      <c r="E1285" s="14"/>
    </row>
    <row r="1286" spans="5:5">
      <c r="E1286" s="14"/>
    </row>
    <row r="1287" spans="5:5">
      <c r="E1287" s="14"/>
    </row>
    <row r="1288" spans="5:5">
      <c r="E1288" s="14"/>
    </row>
    <row r="1289" spans="5:5">
      <c r="E1289" s="14"/>
    </row>
    <row r="1290" spans="5:5">
      <c r="E1290" s="14"/>
    </row>
    <row r="1291" spans="5:5">
      <c r="E1291" s="14"/>
    </row>
    <row r="1292" spans="5:5">
      <c r="E1292" s="14"/>
    </row>
    <row r="1293" spans="5:5">
      <c r="E1293" s="14"/>
    </row>
    <row r="1294" spans="5:5">
      <c r="E1294" s="14"/>
    </row>
    <row r="1295" spans="5:5">
      <c r="E1295" s="14"/>
    </row>
    <row r="1296" spans="5:5">
      <c r="E1296" s="14"/>
    </row>
    <row r="1297" spans="5:5">
      <c r="E1297" s="14"/>
    </row>
    <row r="1298" spans="5:5">
      <c r="E1298" s="14"/>
    </row>
    <row r="1299" spans="5:5">
      <c r="E1299" s="14"/>
    </row>
    <row r="1300" spans="5:5">
      <c r="E1300" s="14"/>
    </row>
    <row r="1301" spans="5:5">
      <c r="E1301" s="14"/>
    </row>
    <row r="1302" spans="5:5">
      <c r="E1302" s="14"/>
    </row>
    <row r="1303" spans="5:5">
      <c r="E1303" s="14"/>
    </row>
    <row r="1304" spans="5:5">
      <c r="E1304" s="14"/>
    </row>
    <row r="1305" spans="5:5">
      <c r="E1305" s="14"/>
    </row>
    <row r="1306" spans="5:5">
      <c r="E1306" s="14"/>
    </row>
    <row r="1307" spans="5:5">
      <c r="E1307" s="14"/>
    </row>
    <row r="1308" spans="5:5">
      <c r="E1308" s="14"/>
    </row>
    <row r="1309" spans="5:5">
      <c r="E1309" s="14"/>
    </row>
    <row r="1310" spans="5:5">
      <c r="E1310" s="14"/>
    </row>
    <row r="1311" spans="5:5">
      <c r="E1311" s="14"/>
    </row>
    <row r="1312" spans="5:5">
      <c r="E1312" s="14"/>
    </row>
    <row r="1313" spans="5:5">
      <c r="E1313" s="14"/>
    </row>
    <row r="1314" spans="5:5">
      <c r="E1314" s="14"/>
    </row>
    <row r="1315" spans="5:5">
      <c r="E1315" s="14"/>
    </row>
    <row r="1316" spans="5:5">
      <c r="E1316" s="14"/>
    </row>
    <row r="1317" spans="5:5">
      <c r="E1317" s="14"/>
    </row>
    <row r="1318" spans="5:5">
      <c r="E1318" s="14"/>
    </row>
    <row r="1319" spans="5:5">
      <c r="E1319" s="14"/>
    </row>
    <row r="1320" spans="5:5">
      <c r="E1320" s="14"/>
    </row>
    <row r="1321" spans="5:5">
      <c r="E1321" s="14"/>
    </row>
    <row r="1322" spans="5:5">
      <c r="E1322" s="14"/>
    </row>
    <row r="1323" spans="5:5">
      <c r="E1323" s="14"/>
    </row>
    <row r="1324" spans="5:5">
      <c r="E1324" s="14"/>
    </row>
    <row r="1325" spans="5:5">
      <c r="E1325" s="14"/>
    </row>
    <row r="1326" spans="5:5">
      <c r="E1326" s="14"/>
    </row>
    <row r="1327" spans="5:5">
      <c r="E1327" s="14"/>
    </row>
    <row r="1328" spans="5:5">
      <c r="E1328" s="14"/>
    </row>
    <row r="1329" spans="5:5">
      <c r="E1329" s="14"/>
    </row>
    <row r="1330" spans="5:5">
      <c r="E1330" s="14"/>
    </row>
    <row r="1331" spans="5:5">
      <c r="E1331" s="14"/>
    </row>
    <row r="1332" spans="5:5">
      <c r="E1332" s="14"/>
    </row>
    <row r="1333" spans="5:5">
      <c r="E1333" s="14"/>
    </row>
    <row r="1334" spans="5:5">
      <c r="E1334" s="14"/>
    </row>
    <row r="1335" spans="5:5">
      <c r="E1335" s="14"/>
    </row>
    <row r="1336" spans="5:5">
      <c r="E1336" s="14"/>
    </row>
    <row r="1337" spans="5:5">
      <c r="E1337" s="14"/>
    </row>
    <row r="1338" spans="5:5">
      <c r="E1338" s="14"/>
    </row>
    <row r="1339" spans="5:5">
      <c r="E1339" s="14"/>
    </row>
    <row r="1340" spans="5:5">
      <c r="E1340" s="14"/>
    </row>
    <row r="1341" spans="5:5">
      <c r="E1341" s="14"/>
    </row>
    <row r="1342" spans="5:5">
      <c r="E1342" s="14"/>
    </row>
    <row r="1343" spans="5:5">
      <c r="E1343" s="14"/>
    </row>
    <row r="1344" spans="5:5">
      <c r="E1344" s="14"/>
    </row>
    <row r="1345" spans="5:5">
      <c r="E1345" s="14"/>
    </row>
    <row r="1346" spans="5:5">
      <c r="E1346" s="14"/>
    </row>
    <row r="1347" spans="5:5">
      <c r="E1347" s="14"/>
    </row>
    <row r="1348" spans="5:5">
      <c r="E1348" s="14"/>
    </row>
    <row r="1349" spans="5:5">
      <c r="E1349" s="14"/>
    </row>
    <row r="1350" spans="5:5">
      <c r="E1350" s="14"/>
    </row>
    <row r="1351" spans="5:5">
      <c r="E1351" s="14"/>
    </row>
    <row r="1352" spans="5:5">
      <c r="E1352" s="14"/>
    </row>
    <row r="1353" spans="5:5">
      <c r="E1353" s="14"/>
    </row>
    <row r="1354" spans="5:5">
      <c r="E1354" s="14"/>
    </row>
    <row r="1355" spans="5:5">
      <c r="E1355" s="14"/>
    </row>
    <row r="1356" spans="5:5">
      <c r="E1356" s="14"/>
    </row>
    <row r="1357" spans="5:5">
      <c r="E1357" s="14"/>
    </row>
    <row r="1358" spans="5:5">
      <c r="E1358" s="14"/>
    </row>
    <row r="1359" spans="5:5">
      <c r="E1359" s="14"/>
    </row>
    <row r="1360" spans="5:5">
      <c r="E1360" s="14"/>
    </row>
    <row r="1361" spans="5:5">
      <c r="E1361" s="14"/>
    </row>
    <row r="1362" spans="5:5">
      <c r="E1362" s="14"/>
    </row>
    <row r="1363" spans="5:5">
      <c r="E1363" s="14"/>
    </row>
    <row r="1364" spans="5:5">
      <c r="E1364" s="14"/>
    </row>
    <row r="1365" spans="5:5">
      <c r="E1365" s="14"/>
    </row>
    <row r="1366" spans="5:5">
      <c r="E1366" s="14"/>
    </row>
    <row r="1367" spans="5:5">
      <c r="E1367" s="14"/>
    </row>
    <row r="1368" spans="5:5">
      <c r="E1368" s="14"/>
    </row>
    <row r="1369" spans="5:5">
      <c r="E1369" s="14"/>
    </row>
    <row r="1370" spans="5:5">
      <c r="E1370" s="14"/>
    </row>
    <row r="1371" spans="5:5">
      <c r="E1371" s="14"/>
    </row>
    <row r="1372" spans="5:5">
      <c r="E1372" s="14"/>
    </row>
    <row r="1373" spans="5:5">
      <c r="E1373" s="14"/>
    </row>
    <row r="1374" spans="5:5">
      <c r="E1374" s="14"/>
    </row>
    <row r="1375" spans="5:5">
      <c r="E1375" s="14"/>
    </row>
    <row r="1376" spans="5:5">
      <c r="E1376" s="14"/>
    </row>
    <row r="1377" spans="5:5">
      <c r="E1377" s="14"/>
    </row>
    <row r="1378" spans="5:5">
      <c r="E1378" s="14"/>
    </row>
    <row r="1379" spans="5:5">
      <c r="E1379" s="14"/>
    </row>
    <row r="1380" spans="5:5">
      <c r="E1380" s="14"/>
    </row>
    <row r="1381" spans="5:5">
      <c r="E1381" s="14"/>
    </row>
    <row r="1382" spans="5:5">
      <c r="E1382" s="14"/>
    </row>
    <row r="1383" spans="5:5">
      <c r="E1383" s="14"/>
    </row>
    <row r="1384" spans="5:5">
      <c r="E1384" s="14"/>
    </row>
    <row r="1385" spans="5:5">
      <c r="E1385" s="14"/>
    </row>
    <row r="1386" spans="5:5">
      <c r="E1386" s="14"/>
    </row>
    <row r="1387" spans="5:5">
      <c r="E1387" s="14"/>
    </row>
    <row r="1388" spans="5:5">
      <c r="E1388" s="14"/>
    </row>
    <row r="1389" spans="5:5">
      <c r="E1389" s="14"/>
    </row>
    <row r="1390" spans="5:5">
      <c r="E1390" s="14"/>
    </row>
    <row r="1391" spans="5:5">
      <c r="E1391" s="14"/>
    </row>
    <row r="1392" spans="5:5">
      <c r="E1392" s="14"/>
    </row>
    <row r="1393" spans="5:5">
      <c r="E1393" s="14"/>
    </row>
    <row r="1394" spans="5:5">
      <c r="E1394" s="14"/>
    </row>
    <row r="1395" spans="5:5">
      <c r="E1395" s="14"/>
    </row>
    <row r="1396" spans="5:5">
      <c r="E1396" s="14"/>
    </row>
    <row r="1397" spans="5:5">
      <c r="E1397" s="14"/>
    </row>
    <row r="1398" spans="5:5">
      <c r="E1398" s="14"/>
    </row>
    <row r="1399" spans="5:5">
      <c r="E1399" s="14"/>
    </row>
    <row r="1400" spans="5:5">
      <c r="E1400" s="14"/>
    </row>
    <row r="1401" spans="5:5">
      <c r="E1401" s="14"/>
    </row>
    <row r="1402" spans="5:5">
      <c r="E1402" s="14"/>
    </row>
    <row r="1403" spans="5:5">
      <c r="E1403" s="14"/>
    </row>
    <row r="1404" spans="5:5">
      <c r="E1404" s="14"/>
    </row>
    <row r="1405" spans="5:5">
      <c r="E1405" s="14"/>
    </row>
    <row r="1406" spans="5:5">
      <c r="E1406" s="14"/>
    </row>
    <row r="1407" spans="5:5">
      <c r="E1407" s="14"/>
    </row>
    <row r="1408" spans="5:5">
      <c r="E1408" s="14"/>
    </row>
    <row r="1409" spans="5:5">
      <c r="E1409" s="14"/>
    </row>
    <row r="1410" spans="5:5">
      <c r="E1410" s="14"/>
    </row>
    <row r="1411" spans="5:5">
      <c r="E1411" s="14"/>
    </row>
    <row r="1412" spans="5:5">
      <c r="E1412" s="14"/>
    </row>
    <row r="1413" spans="5:5">
      <c r="E1413" s="14"/>
    </row>
    <row r="1414" spans="5:5">
      <c r="E1414" s="14"/>
    </row>
    <row r="1415" spans="5:5">
      <c r="E1415" s="14"/>
    </row>
    <row r="1416" spans="5:5">
      <c r="E1416" s="14"/>
    </row>
    <row r="1417" spans="5:5">
      <c r="E1417" s="14"/>
    </row>
    <row r="1418" spans="5:5">
      <c r="E1418" s="14"/>
    </row>
    <row r="1419" spans="5:5">
      <c r="E1419" s="14"/>
    </row>
    <row r="1420" spans="5:5">
      <c r="E1420" s="14"/>
    </row>
    <row r="1421" spans="5:5">
      <c r="E1421" s="14"/>
    </row>
    <row r="1422" spans="5:5">
      <c r="E1422" s="14"/>
    </row>
    <row r="1423" spans="5:5">
      <c r="E1423" s="14"/>
    </row>
    <row r="1424" spans="5:5">
      <c r="E1424" s="14"/>
    </row>
    <row r="1425" spans="5:5">
      <c r="E1425" s="14"/>
    </row>
    <row r="1426" spans="5:5">
      <c r="E1426" s="14"/>
    </row>
    <row r="1427" spans="5:5">
      <c r="E1427" s="14"/>
    </row>
    <row r="1428" spans="5:5">
      <c r="E1428" s="14"/>
    </row>
    <row r="1429" spans="5:5">
      <c r="E1429" s="14"/>
    </row>
    <row r="1430" spans="5:5">
      <c r="E1430" s="14"/>
    </row>
    <row r="1431" spans="5:5">
      <c r="E1431" s="14"/>
    </row>
    <row r="1432" spans="5:5">
      <c r="E1432" s="14"/>
    </row>
    <row r="1433" spans="5:5">
      <c r="E1433" s="14"/>
    </row>
    <row r="1434" spans="5:5">
      <c r="E1434" s="14"/>
    </row>
    <row r="1435" spans="5:5">
      <c r="E1435" s="14"/>
    </row>
    <row r="1436" spans="5:5">
      <c r="E1436" s="14"/>
    </row>
    <row r="1437" spans="5:5">
      <c r="E1437" s="14"/>
    </row>
    <row r="1438" spans="5:5">
      <c r="E1438" s="14"/>
    </row>
    <row r="1439" spans="5:5">
      <c r="E1439" s="14"/>
    </row>
    <row r="1440" spans="5:5">
      <c r="E1440" s="14"/>
    </row>
    <row r="1441" spans="5:5">
      <c r="E1441" s="14"/>
    </row>
    <row r="1442" spans="5:5">
      <c r="E1442" s="14"/>
    </row>
    <row r="1443" spans="5:5">
      <c r="E1443" s="14"/>
    </row>
    <row r="1444" spans="5:5">
      <c r="E1444" s="14"/>
    </row>
    <row r="1445" spans="5:5">
      <c r="E1445" s="14"/>
    </row>
    <row r="1446" spans="5:5">
      <c r="E1446" s="14"/>
    </row>
    <row r="1447" spans="5:5">
      <c r="E1447" s="14"/>
    </row>
    <row r="1448" spans="5:5">
      <c r="E1448" s="14"/>
    </row>
    <row r="1449" spans="5:5">
      <c r="E1449" s="14"/>
    </row>
    <row r="1450" spans="5:5">
      <c r="E1450" s="14"/>
    </row>
    <row r="1451" spans="5:5">
      <c r="E1451" s="14"/>
    </row>
    <row r="1452" spans="5:5">
      <c r="E1452" s="14"/>
    </row>
    <row r="1453" spans="5:5">
      <c r="E1453" s="14"/>
    </row>
    <row r="1454" spans="5:5">
      <c r="E1454" s="14"/>
    </row>
    <row r="1455" spans="5:5">
      <c r="E1455" s="14"/>
    </row>
    <row r="1456" spans="5:5">
      <c r="E1456" s="14"/>
    </row>
    <row r="1457" spans="5:5">
      <c r="E1457" s="14"/>
    </row>
    <row r="1458" spans="5:5">
      <c r="E1458" s="14"/>
    </row>
    <row r="1459" spans="5:5">
      <c r="E1459" s="14"/>
    </row>
    <row r="1460" spans="5:5">
      <c r="E1460" s="14"/>
    </row>
    <row r="1461" spans="5:5">
      <c r="E1461" s="14"/>
    </row>
    <row r="1462" spans="5:5">
      <c r="E1462" s="14"/>
    </row>
    <row r="1463" spans="5:5">
      <c r="E1463" s="14"/>
    </row>
    <row r="1464" spans="5:5">
      <c r="E1464" s="14"/>
    </row>
    <row r="1465" spans="5:5">
      <c r="E1465" s="14"/>
    </row>
    <row r="1466" spans="5:5">
      <c r="E1466" s="14"/>
    </row>
    <row r="1467" spans="5:5">
      <c r="E1467" s="14"/>
    </row>
    <row r="1468" spans="5:5">
      <c r="E1468" s="14"/>
    </row>
    <row r="1469" spans="5:5">
      <c r="E1469" s="14"/>
    </row>
    <row r="1470" spans="5:5">
      <c r="E1470" s="14"/>
    </row>
    <row r="1471" spans="5:5">
      <c r="E1471" s="14"/>
    </row>
    <row r="1472" spans="5:5">
      <c r="E1472" s="14"/>
    </row>
    <row r="1473" spans="5:5">
      <c r="E1473" s="14"/>
    </row>
    <row r="1474" spans="5:5">
      <c r="E1474" s="14"/>
    </row>
    <row r="1475" spans="5:5">
      <c r="E1475" s="14"/>
    </row>
    <row r="1476" spans="5:5">
      <c r="E1476" s="14"/>
    </row>
    <row r="1477" spans="5:5">
      <c r="E1477" s="14"/>
    </row>
    <row r="1478" spans="5:5">
      <c r="E1478" s="14"/>
    </row>
    <row r="1479" spans="5:5">
      <c r="E1479" s="14"/>
    </row>
    <row r="1480" spans="5:5">
      <c r="E1480" s="14"/>
    </row>
    <row r="1481" spans="5:5">
      <c r="E1481" s="14"/>
    </row>
    <row r="1482" spans="5:5">
      <c r="E1482" s="14"/>
    </row>
    <row r="1483" spans="5:5">
      <c r="E1483" s="14"/>
    </row>
    <row r="1484" spans="5:5">
      <c r="E1484" s="14"/>
    </row>
    <row r="1485" spans="5:5">
      <c r="E1485" s="14"/>
    </row>
    <row r="1486" spans="5:5">
      <c r="E1486" s="14"/>
    </row>
    <row r="1487" spans="5:5">
      <c r="E1487" s="14"/>
    </row>
    <row r="1488" spans="5:5">
      <c r="E1488" s="14"/>
    </row>
    <row r="1489" spans="5:5">
      <c r="E1489" s="14"/>
    </row>
    <row r="1490" spans="5:5">
      <c r="E1490" s="14"/>
    </row>
    <row r="1491" spans="5:5">
      <c r="E1491" s="14"/>
    </row>
    <row r="1492" spans="5:5">
      <c r="E1492" s="14"/>
    </row>
    <row r="1493" spans="5:5">
      <c r="E1493" s="14"/>
    </row>
    <row r="1494" spans="5:5">
      <c r="E1494" s="14"/>
    </row>
    <row r="1495" spans="5:5">
      <c r="E1495" s="14"/>
    </row>
    <row r="1496" spans="5:5">
      <c r="E1496" s="14"/>
    </row>
    <row r="1497" spans="5:5">
      <c r="E1497" s="14"/>
    </row>
    <row r="1498" spans="5:5">
      <c r="E1498" s="14"/>
    </row>
    <row r="1499" spans="5:5">
      <c r="E1499" s="14"/>
    </row>
    <row r="1500" spans="5:5">
      <c r="E1500" s="14"/>
    </row>
    <row r="1501" spans="5:5">
      <c r="E1501" s="14"/>
    </row>
    <row r="1502" spans="5:5">
      <c r="E1502" s="14"/>
    </row>
    <row r="1503" spans="5:5">
      <c r="E1503" s="14"/>
    </row>
    <row r="1504" spans="5:5">
      <c r="E1504" s="14"/>
    </row>
    <row r="1505" spans="5:5">
      <c r="E1505" s="14"/>
    </row>
    <row r="1506" spans="5:5">
      <c r="E1506" s="14"/>
    </row>
    <row r="1507" spans="5:5">
      <c r="E1507" s="14"/>
    </row>
    <row r="1508" spans="5:5">
      <c r="E1508" s="14"/>
    </row>
    <row r="1509" spans="5:5">
      <c r="E1509" s="14"/>
    </row>
    <row r="1510" spans="5:5">
      <c r="E1510" s="14"/>
    </row>
    <row r="1511" spans="5:5">
      <c r="E1511" s="14"/>
    </row>
    <row r="1512" spans="5:5">
      <c r="E1512" s="14"/>
    </row>
    <row r="1513" spans="5:5">
      <c r="E1513" s="14"/>
    </row>
    <row r="1514" spans="5:5">
      <c r="E1514" s="14"/>
    </row>
    <row r="1515" spans="5:5">
      <c r="E1515" s="14"/>
    </row>
    <row r="1516" spans="5:5">
      <c r="E1516" s="14"/>
    </row>
    <row r="1517" spans="5:5">
      <c r="E1517" s="14"/>
    </row>
    <row r="1518" spans="5:5">
      <c r="E1518" s="14"/>
    </row>
    <row r="1519" spans="5:5">
      <c r="E1519" s="14"/>
    </row>
    <row r="1520" spans="5:5">
      <c r="E1520" s="14"/>
    </row>
    <row r="1521" spans="5:5">
      <c r="E1521" s="14"/>
    </row>
    <row r="1522" spans="5:5">
      <c r="E1522" s="14"/>
    </row>
    <row r="1523" spans="5:5">
      <c r="E1523" s="14"/>
    </row>
    <row r="1524" spans="5:5">
      <c r="E1524" s="14"/>
    </row>
    <row r="1525" spans="5:5">
      <c r="E1525" s="14"/>
    </row>
    <row r="1526" spans="5:5">
      <c r="E1526" s="14"/>
    </row>
    <row r="1527" spans="5:5">
      <c r="E1527" s="14"/>
    </row>
    <row r="1528" spans="5:5">
      <c r="E1528" s="14"/>
    </row>
    <row r="1529" spans="5:5">
      <c r="E1529" s="14"/>
    </row>
    <row r="1530" spans="5:5">
      <c r="E1530" s="14"/>
    </row>
    <row r="1531" spans="5:5">
      <c r="E1531" s="14"/>
    </row>
    <row r="1532" spans="5:5">
      <c r="E1532" s="14"/>
    </row>
    <row r="1533" spans="5:5">
      <c r="E1533" s="14"/>
    </row>
    <row r="1534" spans="5:5">
      <c r="E1534" s="14"/>
    </row>
    <row r="1535" spans="5:5">
      <c r="E1535" s="14"/>
    </row>
    <row r="1536" spans="5:5">
      <c r="E1536" s="14"/>
    </row>
    <row r="1537" spans="5:5">
      <c r="E1537" s="14"/>
    </row>
    <row r="1538" spans="5:5">
      <c r="E1538" s="14"/>
    </row>
    <row r="1539" spans="5:5">
      <c r="E1539" s="14"/>
    </row>
    <row r="1540" spans="5:5">
      <c r="E1540" s="14"/>
    </row>
    <row r="1541" spans="5:5">
      <c r="E1541" s="14"/>
    </row>
    <row r="1542" spans="5:5">
      <c r="E1542" s="14"/>
    </row>
    <row r="1543" spans="5:5">
      <c r="E1543" s="14"/>
    </row>
    <row r="1544" spans="5:5">
      <c r="E1544" s="14"/>
    </row>
    <row r="1545" spans="5:5">
      <c r="E1545" s="14"/>
    </row>
    <row r="1546" spans="5:5">
      <c r="E1546" s="14"/>
    </row>
    <row r="1547" spans="5:5">
      <c r="E1547" s="14"/>
    </row>
    <row r="1548" spans="5:5">
      <c r="E1548" s="14"/>
    </row>
    <row r="1549" spans="5:5">
      <c r="E1549" s="14"/>
    </row>
    <row r="1550" spans="5:5">
      <c r="E1550" s="14"/>
    </row>
    <row r="1551" spans="5:5">
      <c r="E1551" s="14"/>
    </row>
    <row r="1552" spans="5:5">
      <c r="E1552" s="14"/>
    </row>
    <row r="1553" spans="5:5">
      <c r="E1553" s="14"/>
    </row>
    <row r="1554" spans="5:5">
      <c r="E1554" s="14"/>
    </row>
    <row r="1555" spans="5:5">
      <c r="E1555" s="14"/>
    </row>
    <row r="1556" spans="5:5">
      <c r="E1556" s="14"/>
    </row>
    <row r="1557" spans="5:5">
      <c r="E1557" s="14"/>
    </row>
    <row r="1558" spans="5:5">
      <c r="E1558" s="14"/>
    </row>
    <row r="1559" spans="5:5">
      <c r="E1559" s="14"/>
    </row>
    <row r="1560" spans="5:5">
      <c r="E1560" s="14"/>
    </row>
    <row r="1561" spans="5:5">
      <c r="E1561" s="14"/>
    </row>
    <row r="1562" spans="5:5">
      <c r="E1562" s="14"/>
    </row>
    <row r="1563" spans="5:5">
      <c r="E1563" s="14"/>
    </row>
    <row r="1564" spans="5:5">
      <c r="E1564" s="14"/>
    </row>
    <row r="1565" spans="5:5">
      <c r="E1565" s="14"/>
    </row>
    <row r="1566" spans="5:5">
      <c r="E1566" s="14"/>
    </row>
    <row r="1567" spans="5:5">
      <c r="E1567" s="14"/>
    </row>
    <row r="1568" spans="5:5">
      <c r="E1568" s="14"/>
    </row>
    <row r="1569" spans="5:5">
      <c r="E1569" s="14"/>
    </row>
    <row r="1570" spans="5:5">
      <c r="E1570" s="14"/>
    </row>
    <row r="1571" spans="5:5">
      <c r="E1571" s="14"/>
    </row>
    <row r="1572" spans="5:5">
      <c r="E1572" s="14"/>
    </row>
    <row r="1573" spans="5:5">
      <c r="E1573" s="14"/>
    </row>
    <row r="1574" spans="5:5">
      <c r="E1574" s="14"/>
    </row>
    <row r="1575" spans="5:5">
      <c r="E1575" s="14"/>
    </row>
    <row r="1576" spans="5:5">
      <c r="E1576" s="14"/>
    </row>
    <row r="1577" spans="5:5">
      <c r="E1577" s="14"/>
    </row>
    <row r="1578" spans="5:5">
      <c r="E1578" s="14"/>
    </row>
    <row r="1579" spans="5:5">
      <c r="E1579" s="14"/>
    </row>
    <row r="1580" spans="5:5">
      <c r="E1580" s="14"/>
    </row>
    <row r="1581" spans="5:5">
      <c r="E1581" s="14"/>
    </row>
    <row r="1582" spans="5:5">
      <c r="E1582" s="14"/>
    </row>
    <row r="1583" spans="5:5">
      <c r="E1583" s="14"/>
    </row>
    <row r="1584" spans="5:5">
      <c r="E1584" s="14"/>
    </row>
    <row r="1585" spans="5:5">
      <c r="E1585" s="14"/>
    </row>
    <row r="1586" spans="5:5">
      <c r="E1586" s="14"/>
    </row>
    <row r="1587" spans="5:5">
      <c r="E1587" s="14"/>
    </row>
    <row r="1588" spans="5:5">
      <c r="E1588" s="14"/>
    </row>
    <row r="1589" spans="5:5">
      <c r="E1589" s="14"/>
    </row>
    <row r="1590" spans="5:5">
      <c r="E1590" s="14"/>
    </row>
    <row r="1591" spans="5:5">
      <c r="E1591" s="14"/>
    </row>
    <row r="1592" spans="5:5">
      <c r="E1592" s="14"/>
    </row>
    <row r="1593" spans="5:5">
      <c r="E1593" s="14"/>
    </row>
    <row r="1594" spans="5:5">
      <c r="E1594" s="14"/>
    </row>
    <row r="1595" spans="5:5">
      <c r="E1595" s="14"/>
    </row>
    <row r="1596" spans="5:5">
      <c r="E1596" s="14"/>
    </row>
    <row r="1597" spans="5:5">
      <c r="E1597" s="14"/>
    </row>
    <row r="1598" spans="5:5">
      <c r="E1598" s="14"/>
    </row>
    <row r="1599" spans="5:5">
      <c r="E1599" s="14"/>
    </row>
    <row r="1600" spans="5:5">
      <c r="E1600" s="14"/>
    </row>
    <row r="1601" spans="5:5">
      <c r="E1601" s="14"/>
    </row>
    <row r="1602" spans="5:5">
      <c r="E1602" s="14"/>
    </row>
    <row r="1603" spans="5:5">
      <c r="E1603" s="14"/>
    </row>
    <row r="1604" spans="5:5">
      <c r="E1604" s="14"/>
    </row>
    <row r="1605" spans="5:5">
      <c r="E1605" s="14"/>
    </row>
    <row r="1606" spans="5:5">
      <c r="E1606" s="14"/>
    </row>
    <row r="1607" spans="5:5">
      <c r="E1607" s="14"/>
    </row>
    <row r="1608" spans="5:5">
      <c r="E1608" s="14"/>
    </row>
    <row r="1609" spans="5:5">
      <c r="E1609" s="14"/>
    </row>
    <row r="1610" spans="5:5">
      <c r="E1610" s="14"/>
    </row>
    <row r="1611" spans="5:5">
      <c r="E1611" s="14"/>
    </row>
    <row r="1612" spans="5:5">
      <c r="E1612" s="14"/>
    </row>
    <row r="1613" spans="5:5">
      <c r="E1613" s="14"/>
    </row>
    <row r="1614" spans="5:5">
      <c r="E1614" s="14"/>
    </row>
    <row r="1615" spans="5:5">
      <c r="E1615" s="14"/>
    </row>
    <row r="1616" spans="5:5">
      <c r="E1616" s="14"/>
    </row>
    <row r="1617" spans="5:5">
      <c r="E1617" s="14"/>
    </row>
    <row r="1618" spans="5:5">
      <c r="E1618" s="14"/>
    </row>
    <row r="1619" spans="5:5">
      <c r="E1619" s="14"/>
    </row>
    <row r="1620" spans="5:5">
      <c r="E1620" s="14"/>
    </row>
    <row r="1621" spans="5:5">
      <c r="E1621" s="14"/>
    </row>
    <row r="1622" spans="5:5">
      <c r="E1622" s="14"/>
    </row>
    <row r="1623" spans="5:5">
      <c r="E1623" s="14"/>
    </row>
    <row r="1624" spans="5:5">
      <c r="E1624" s="14"/>
    </row>
    <row r="1625" spans="5:5">
      <c r="E1625" s="14"/>
    </row>
    <row r="1626" spans="5:5">
      <c r="E1626" s="14"/>
    </row>
    <row r="1627" spans="5:5">
      <c r="E1627" s="14"/>
    </row>
    <row r="1628" spans="5:5">
      <c r="E1628" s="14"/>
    </row>
    <row r="1629" spans="5:5">
      <c r="E1629" s="14"/>
    </row>
    <row r="1630" spans="5:5">
      <c r="E1630" s="14"/>
    </row>
    <row r="1631" spans="5:5">
      <c r="E1631" s="14"/>
    </row>
    <row r="1632" spans="5:5">
      <c r="E1632" s="14"/>
    </row>
    <row r="1633" spans="5:5">
      <c r="E1633" s="14"/>
    </row>
    <row r="1634" spans="5:5">
      <c r="E1634" s="14"/>
    </row>
    <row r="1635" spans="5:5">
      <c r="E1635" s="14"/>
    </row>
    <row r="1636" spans="5:5">
      <c r="E1636" s="14"/>
    </row>
    <row r="1637" spans="5:5">
      <c r="E1637" s="14"/>
    </row>
    <row r="1638" spans="5:5">
      <c r="E1638" s="14"/>
    </row>
    <row r="1639" spans="5:5">
      <c r="E1639" s="14"/>
    </row>
    <row r="1640" spans="5:5">
      <c r="E1640" s="14"/>
    </row>
    <row r="1641" spans="5:5">
      <c r="E1641" s="14"/>
    </row>
    <row r="1642" spans="5:5">
      <c r="E1642" s="14"/>
    </row>
    <row r="1643" spans="5:5">
      <c r="E1643" s="14"/>
    </row>
    <row r="1644" spans="5:5">
      <c r="E1644" s="14"/>
    </row>
    <row r="1645" spans="5:5">
      <c r="E1645" s="14"/>
    </row>
    <row r="1646" spans="5:5">
      <c r="E1646" s="14"/>
    </row>
    <row r="1647" spans="5:5">
      <c r="E1647" s="14"/>
    </row>
    <row r="1648" spans="5:5">
      <c r="E1648" s="14"/>
    </row>
    <row r="1649" spans="5:5">
      <c r="E1649" s="14"/>
    </row>
    <row r="1650" spans="5:5">
      <c r="E1650" s="14"/>
    </row>
    <row r="1651" spans="5:5">
      <c r="E1651" s="14"/>
    </row>
    <row r="1652" spans="5:5">
      <c r="E1652" s="14"/>
    </row>
    <row r="1653" spans="5:5">
      <c r="E1653" s="14"/>
    </row>
    <row r="1654" spans="5:5">
      <c r="E1654" s="14"/>
    </row>
    <row r="1655" spans="5:5">
      <c r="E1655" s="14"/>
    </row>
    <row r="1656" spans="5:5">
      <c r="E1656" s="14"/>
    </row>
    <row r="1657" spans="5:5">
      <c r="E1657" s="14"/>
    </row>
    <row r="1658" spans="5:5">
      <c r="E1658" s="14"/>
    </row>
    <row r="1659" spans="5:5">
      <c r="E1659" s="14"/>
    </row>
    <row r="1660" spans="5:5">
      <c r="E1660" s="14"/>
    </row>
    <row r="1661" spans="5:5">
      <c r="E1661" s="14"/>
    </row>
    <row r="1662" spans="5:5">
      <c r="E1662" s="14"/>
    </row>
    <row r="1663" spans="5:5">
      <c r="E1663" s="14"/>
    </row>
    <row r="1664" spans="5:5">
      <c r="E1664" s="14"/>
    </row>
    <row r="1665" spans="5:5">
      <c r="E1665" s="14"/>
    </row>
    <row r="1666" spans="5:5">
      <c r="E1666" s="14"/>
    </row>
    <row r="1667" spans="5:5">
      <c r="E1667" s="14"/>
    </row>
    <row r="1668" spans="5:5">
      <c r="E1668" s="14"/>
    </row>
    <row r="1669" spans="5:5">
      <c r="E1669" s="14"/>
    </row>
    <row r="1670" spans="5:5">
      <c r="E1670" s="14"/>
    </row>
    <row r="1671" spans="5:5">
      <c r="E1671" s="14"/>
    </row>
    <row r="1672" spans="5:5">
      <c r="E1672" s="14"/>
    </row>
    <row r="1673" spans="5:5">
      <c r="E1673" s="14"/>
    </row>
    <row r="1674" spans="5:5">
      <c r="E1674" s="14"/>
    </row>
    <row r="1675" spans="5:5">
      <c r="E1675" s="14"/>
    </row>
    <row r="1676" spans="5:5">
      <c r="E1676" s="14"/>
    </row>
    <row r="1677" spans="5:5">
      <c r="E1677" s="14"/>
    </row>
    <row r="1678" spans="5:5">
      <c r="E1678" s="14"/>
    </row>
    <row r="1679" spans="5:5">
      <c r="E1679" s="14"/>
    </row>
    <row r="1680" spans="5:5">
      <c r="E1680" s="14"/>
    </row>
    <row r="1681" spans="5:5">
      <c r="E1681" s="14"/>
    </row>
    <row r="1682" spans="5:5">
      <c r="E1682" s="14"/>
    </row>
    <row r="1683" spans="5:5">
      <c r="E1683" s="14"/>
    </row>
    <row r="1684" spans="5:5">
      <c r="E1684" s="14"/>
    </row>
    <row r="1685" spans="5:5">
      <c r="E1685" s="14"/>
    </row>
    <row r="1686" spans="5:5">
      <c r="E1686" s="14"/>
    </row>
    <row r="1687" spans="5:5">
      <c r="E1687" s="14"/>
    </row>
    <row r="1688" spans="5:5">
      <c r="E1688" s="14"/>
    </row>
    <row r="1689" spans="5:5">
      <c r="E1689" s="14"/>
    </row>
    <row r="1690" spans="5:5">
      <c r="E1690" s="14"/>
    </row>
    <row r="1691" spans="5:5">
      <c r="E1691" s="14"/>
    </row>
    <row r="1692" spans="5:5">
      <c r="E1692" s="14"/>
    </row>
    <row r="1693" spans="5:5">
      <c r="E1693" s="14"/>
    </row>
    <row r="1694" spans="5:5">
      <c r="E1694" s="14"/>
    </row>
    <row r="1695" spans="5:5">
      <c r="E1695" s="14"/>
    </row>
    <row r="1696" spans="5:5">
      <c r="E1696" s="14"/>
    </row>
    <row r="1697" spans="5:5">
      <c r="E1697" s="14"/>
    </row>
    <row r="1698" spans="5:5">
      <c r="E1698" s="14"/>
    </row>
    <row r="1699" spans="5:5">
      <c r="E1699" s="14"/>
    </row>
    <row r="1700" spans="5:5">
      <c r="E1700" s="14"/>
    </row>
    <row r="1701" spans="5:5">
      <c r="E1701" s="14"/>
    </row>
    <row r="1702" spans="5:5">
      <c r="E1702" s="14"/>
    </row>
    <row r="1703" spans="5:5">
      <c r="E1703" s="14"/>
    </row>
    <row r="1704" spans="5:5">
      <c r="E1704" s="14"/>
    </row>
    <row r="1705" spans="5:5">
      <c r="E1705" s="14"/>
    </row>
    <row r="1706" spans="5:5">
      <c r="E1706" s="14"/>
    </row>
    <row r="1707" spans="5:5">
      <c r="E1707" s="14"/>
    </row>
    <row r="1708" spans="5:5">
      <c r="E1708" s="14"/>
    </row>
    <row r="1709" spans="5:5">
      <c r="E1709" s="14"/>
    </row>
    <row r="1710" spans="5:5">
      <c r="E1710" s="14"/>
    </row>
    <row r="1711" spans="5:5">
      <c r="E1711" s="14"/>
    </row>
    <row r="1712" spans="5:5">
      <c r="E1712" s="14"/>
    </row>
    <row r="1713" spans="5:5">
      <c r="E1713" s="14"/>
    </row>
    <row r="1714" spans="5:5">
      <c r="E1714" s="14"/>
    </row>
    <row r="1715" spans="5:5">
      <c r="E1715" s="14"/>
    </row>
    <row r="1716" spans="5:5">
      <c r="E1716" s="14"/>
    </row>
    <row r="1717" spans="5:5">
      <c r="E1717" s="14"/>
    </row>
    <row r="1718" spans="5:5">
      <c r="E1718" s="14"/>
    </row>
    <row r="1719" spans="5:5">
      <c r="E1719" s="14"/>
    </row>
    <row r="1720" spans="5:5">
      <c r="E1720" s="14"/>
    </row>
    <row r="1721" spans="5:5">
      <c r="E1721" s="14"/>
    </row>
    <row r="1722" spans="5:5">
      <c r="E1722" s="14"/>
    </row>
    <row r="1723" spans="5:5">
      <c r="E1723" s="14"/>
    </row>
    <row r="1724" spans="5:5">
      <c r="E1724" s="14"/>
    </row>
    <row r="1725" spans="5:5">
      <c r="E1725" s="14"/>
    </row>
    <row r="1726" spans="5:5">
      <c r="E1726" s="14"/>
    </row>
    <row r="1727" spans="5:5">
      <c r="E1727" s="14"/>
    </row>
    <row r="1728" spans="5:5">
      <c r="E1728" s="14"/>
    </row>
    <row r="1729" spans="5:5">
      <c r="E1729" s="14"/>
    </row>
    <row r="1730" spans="5:5">
      <c r="E1730" s="14"/>
    </row>
    <row r="1731" spans="5:5">
      <c r="E1731" s="14"/>
    </row>
    <row r="1732" spans="5:5">
      <c r="E1732" s="14"/>
    </row>
    <row r="1733" spans="5:5">
      <c r="E1733" s="14"/>
    </row>
    <row r="1734" spans="5:5">
      <c r="E1734" s="14"/>
    </row>
    <row r="1735" spans="5:5">
      <c r="E1735" s="14"/>
    </row>
    <row r="1736" spans="5:5">
      <c r="E1736" s="14"/>
    </row>
    <row r="1737" spans="5:5">
      <c r="E1737" s="14"/>
    </row>
    <row r="1738" spans="5:5">
      <c r="E1738" s="14"/>
    </row>
    <row r="1739" spans="5:5">
      <c r="E1739" s="14"/>
    </row>
    <row r="1740" spans="5:5">
      <c r="E1740" s="14"/>
    </row>
    <row r="1741" spans="5:5">
      <c r="E1741" s="14"/>
    </row>
    <row r="1742" spans="5:5">
      <c r="E1742" s="14"/>
    </row>
    <row r="1743" spans="5:5">
      <c r="E1743" s="14"/>
    </row>
    <row r="1744" spans="5:5">
      <c r="E1744" s="14"/>
    </row>
    <row r="1745" spans="5:5">
      <c r="E1745" s="14"/>
    </row>
    <row r="1746" spans="5:5">
      <c r="E1746" s="14"/>
    </row>
    <row r="1747" spans="5:5">
      <c r="E1747" s="14"/>
    </row>
    <row r="1748" spans="5:5">
      <c r="E1748" s="14"/>
    </row>
    <row r="1749" spans="5:5">
      <c r="E1749" s="14"/>
    </row>
    <row r="1750" spans="5:5">
      <c r="E1750" s="14"/>
    </row>
    <row r="1751" spans="5:5">
      <c r="E1751" s="14"/>
    </row>
    <row r="1752" spans="5:5">
      <c r="E1752" s="14"/>
    </row>
    <row r="1753" spans="5:5">
      <c r="E1753" s="14"/>
    </row>
    <row r="1754" spans="5:5">
      <c r="E1754" s="14"/>
    </row>
    <row r="1755" spans="5:5">
      <c r="E1755" s="14"/>
    </row>
    <row r="1756" spans="5:5">
      <c r="E1756" s="14"/>
    </row>
    <row r="1757" spans="5:5">
      <c r="E1757" s="14"/>
    </row>
    <row r="1758" spans="5:5">
      <c r="E1758" s="14"/>
    </row>
    <row r="1759" spans="5:5">
      <c r="E1759" s="14"/>
    </row>
    <row r="1760" spans="5:5">
      <c r="E1760" s="14"/>
    </row>
    <row r="1761" spans="5:5">
      <c r="E1761" s="14"/>
    </row>
    <row r="1762" spans="5:5">
      <c r="E1762" s="14"/>
    </row>
    <row r="1763" spans="5:5">
      <c r="E1763" s="14"/>
    </row>
    <row r="1764" spans="5:5">
      <c r="E1764" s="14"/>
    </row>
    <row r="1765" spans="5:5">
      <c r="E1765" s="14"/>
    </row>
    <row r="1766" spans="5:5">
      <c r="E1766" s="14"/>
    </row>
    <row r="1767" spans="5:5">
      <c r="E1767" s="14"/>
    </row>
    <row r="1768" spans="5:5">
      <c r="E1768" s="14"/>
    </row>
    <row r="1769" spans="5:5">
      <c r="E1769" s="14"/>
    </row>
    <row r="1770" spans="5:5">
      <c r="E1770" s="14"/>
    </row>
    <row r="1771" spans="5:5">
      <c r="E1771" s="14"/>
    </row>
    <row r="1772" spans="5:5">
      <c r="E1772" s="14"/>
    </row>
    <row r="1773" spans="5:5">
      <c r="E1773" s="14"/>
    </row>
    <row r="1774" spans="5:5">
      <c r="E1774" s="14"/>
    </row>
    <row r="1775" spans="5:5">
      <c r="E1775" s="14"/>
    </row>
    <row r="1776" spans="5:5">
      <c r="E1776" s="14"/>
    </row>
    <row r="1777" spans="5:5">
      <c r="E1777" s="14"/>
    </row>
    <row r="1778" spans="5:5">
      <c r="E1778" s="14"/>
    </row>
    <row r="1779" spans="5:5">
      <c r="E1779" s="14"/>
    </row>
    <row r="1780" spans="5:5">
      <c r="E1780" s="14"/>
    </row>
    <row r="1781" spans="5:5">
      <c r="E1781" s="14"/>
    </row>
    <row r="1782" spans="5:5">
      <c r="E1782" s="14"/>
    </row>
    <row r="1783" spans="5:5">
      <c r="E1783" s="14"/>
    </row>
    <row r="1784" spans="5:5">
      <c r="E1784" s="14"/>
    </row>
    <row r="1785" spans="5:5">
      <c r="E1785" s="14"/>
    </row>
    <row r="1786" spans="5:5">
      <c r="E1786" s="14"/>
    </row>
    <row r="1787" spans="5:5">
      <c r="E1787" s="14"/>
    </row>
    <row r="1788" spans="5:5">
      <c r="E1788" s="14"/>
    </row>
    <row r="1789" spans="5:5">
      <c r="E1789" s="14"/>
    </row>
    <row r="1790" spans="5:5">
      <c r="E1790" s="14"/>
    </row>
    <row r="1791" spans="5:5">
      <c r="E1791" s="14"/>
    </row>
    <row r="1792" spans="5:5">
      <c r="E1792" s="14"/>
    </row>
    <row r="1793" spans="5:5">
      <c r="E1793" s="14"/>
    </row>
    <row r="1794" spans="5:5">
      <c r="E1794" s="14"/>
    </row>
    <row r="1795" spans="5:5">
      <c r="E1795" s="14"/>
    </row>
    <row r="1796" spans="5:5">
      <c r="E1796" s="14"/>
    </row>
    <row r="1797" spans="5:5">
      <c r="E1797" s="14"/>
    </row>
    <row r="1798" spans="5:5">
      <c r="E1798" s="14"/>
    </row>
    <row r="1799" spans="5:5">
      <c r="E1799" s="14"/>
    </row>
    <row r="1800" spans="5:5">
      <c r="E1800" s="14"/>
    </row>
    <row r="1801" spans="5:5">
      <c r="E1801" s="14"/>
    </row>
    <row r="1802" spans="5:5">
      <c r="E1802" s="14"/>
    </row>
    <row r="1803" spans="5:5">
      <c r="E1803" s="14"/>
    </row>
    <row r="1804" spans="5:5">
      <c r="E1804" s="14"/>
    </row>
    <row r="1805" spans="5:5">
      <c r="E1805" s="14"/>
    </row>
    <row r="1806" spans="5:5">
      <c r="E1806" s="14"/>
    </row>
    <row r="1807" spans="5:5">
      <c r="E1807" s="14"/>
    </row>
    <row r="1808" spans="5:5">
      <c r="E1808" s="14"/>
    </row>
    <row r="1809" spans="5:5">
      <c r="E1809" s="14"/>
    </row>
    <row r="1810" spans="5:5">
      <c r="E1810" s="14"/>
    </row>
    <row r="1811" spans="5:5">
      <c r="E1811" s="14"/>
    </row>
    <row r="1812" spans="5:5">
      <c r="E1812" s="14"/>
    </row>
    <row r="1813" spans="5:5">
      <c r="E1813" s="14"/>
    </row>
    <row r="1814" spans="5:5">
      <c r="E1814" s="14"/>
    </row>
    <row r="1815" spans="5:5">
      <c r="E1815" s="14"/>
    </row>
    <row r="1816" spans="5:5">
      <c r="E1816" s="14"/>
    </row>
    <row r="1817" spans="5:5">
      <c r="E1817" s="14"/>
    </row>
    <row r="1818" spans="5:5">
      <c r="E1818" s="14"/>
    </row>
    <row r="1819" spans="5:5">
      <c r="E1819" s="14"/>
    </row>
    <row r="1820" spans="5:5">
      <c r="E1820" s="14"/>
    </row>
    <row r="1821" spans="5:5">
      <c r="E1821" s="14"/>
    </row>
    <row r="1822" spans="5:5">
      <c r="E1822" s="14"/>
    </row>
    <row r="1823" spans="5:5">
      <c r="E1823" s="14"/>
    </row>
    <row r="1824" spans="5:5">
      <c r="E1824" s="14"/>
    </row>
    <row r="1825" spans="5:5">
      <c r="E1825" s="14"/>
    </row>
    <row r="1826" spans="5:5">
      <c r="E1826" s="14"/>
    </row>
    <row r="1827" spans="5:5">
      <c r="E1827" s="14"/>
    </row>
    <row r="1828" spans="5:5">
      <c r="E1828" s="14"/>
    </row>
    <row r="1829" spans="5:5">
      <c r="E1829" s="14"/>
    </row>
    <row r="1830" spans="5:5">
      <c r="E1830" s="14"/>
    </row>
    <row r="1831" spans="5:5">
      <c r="E1831" s="14"/>
    </row>
    <row r="1832" spans="5:5">
      <c r="E1832" s="14"/>
    </row>
    <row r="1833" spans="5:5">
      <c r="E1833" s="14"/>
    </row>
    <row r="1834" spans="5:5">
      <c r="E1834" s="14"/>
    </row>
    <row r="1835" spans="5:5">
      <c r="E1835" s="14"/>
    </row>
    <row r="1836" spans="5:5">
      <c r="E1836" s="14"/>
    </row>
    <row r="1837" spans="5:5">
      <c r="E1837" s="14"/>
    </row>
    <row r="1838" spans="5:5">
      <c r="E1838" s="14"/>
    </row>
    <row r="1839" spans="5:5">
      <c r="E1839" s="14"/>
    </row>
    <row r="1840" spans="5:5">
      <c r="E1840" s="14"/>
    </row>
    <row r="1841" spans="5:5">
      <c r="E1841" s="14"/>
    </row>
    <row r="1842" spans="5:5">
      <c r="E1842" s="14"/>
    </row>
    <row r="1843" spans="5:5">
      <c r="E1843" s="14"/>
    </row>
    <row r="1844" spans="5:5">
      <c r="E1844" s="14"/>
    </row>
    <row r="1845" spans="5:5">
      <c r="E1845" s="14"/>
    </row>
    <row r="1846" spans="5:5">
      <c r="E1846" s="14"/>
    </row>
    <row r="1847" spans="5:5">
      <c r="E1847" s="14"/>
    </row>
    <row r="1848" spans="5:5">
      <c r="E1848" s="14"/>
    </row>
    <row r="1849" spans="5:5">
      <c r="E1849" s="14"/>
    </row>
    <row r="1850" spans="5:5">
      <c r="E1850" s="14"/>
    </row>
    <row r="1851" spans="5:5">
      <c r="E1851" s="14"/>
    </row>
    <row r="1852" spans="5:5">
      <c r="E1852" s="14"/>
    </row>
    <row r="1853" spans="5:5">
      <c r="E1853" s="14"/>
    </row>
    <row r="1854" spans="5:5">
      <c r="E1854" s="14"/>
    </row>
    <row r="1855" spans="5:5">
      <c r="E1855" s="14"/>
    </row>
    <row r="1856" spans="5:5">
      <c r="E1856" s="14"/>
    </row>
    <row r="1857" spans="5:5">
      <c r="E1857" s="14"/>
    </row>
    <row r="1858" spans="5:5">
      <c r="E1858" s="14"/>
    </row>
    <row r="1859" spans="5:5">
      <c r="E1859" s="14"/>
    </row>
    <row r="1860" spans="5:5">
      <c r="E1860" s="14"/>
    </row>
    <row r="1861" spans="5:5">
      <c r="E1861" s="14"/>
    </row>
    <row r="1862" spans="5:5">
      <c r="E1862" s="14"/>
    </row>
    <row r="1863" spans="5:5">
      <c r="E1863" s="14"/>
    </row>
    <row r="1864" spans="5:5">
      <c r="E1864" s="14"/>
    </row>
    <row r="1865" spans="5:5">
      <c r="E1865" s="14"/>
    </row>
    <row r="1866" spans="5:5">
      <c r="E1866" s="14"/>
    </row>
    <row r="1867" spans="5:5">
      <c r="E1867" s="14"/>
    </row>
    <row r="1868" spans="5:5">
      <c r="E1868" s="14"/>
    </row>
    <row r="1869" spans="5:5">
      <c r="E1869" s="14"/>
    </row>
    <row r="1870" spans="5:5">
      <c r="E1870" s="14"/>
    </row>
    <row r="1871" spans="5:5">
      <c r="E1871" s="14"/>
    </row>
    <row r="1872" spans="5:5">
      <c r="E1872" s="14"/>
    </row>
    <row r="1873" spans="5:5">
      <c r="E1873" s="14"/>
    </row>
    <row r="1874" spans="5:5">
      <c r="E1874" s="14"/>
    </row>
    <row r="1875" spans="5:5">
      <c r="E1875" s="14"/>
    </row>
    <row r="1876" spans="5:5">
      <c r="E1876" s="14"/>
    </row>
    <row r="1877" spans="5:5">
      <c r="E1877" s="14"/>
    </row>
    <row r="1878" spans="5:5">
      <c r="E1878" s="14"/>
    </row>
    <row r="1879" spans="5:5">
      <c r="E1879" s="14"/>
    </row>
    <row r="1880" spans="5:5">
      <c r="E1880" s="14"/>
    </row>
    <row r="1881" spans="5:5">
      <c r="E1881" s="14"/>
    </row>
    <row r="1882" spans="5:5">
      <c r="E1882" s="14"/>
    </row>
    <row r="1883" spans="5:5">
      <c r="E1883" s="14"/>
    </row>
    <row r="1884" spans="5:5">
      <c r="E1884" s="14"/>
    </row>
    <row r="1885" spans="5:5">
      <c r="E1885" s="14"/>
    </row>
    <row r="1886" spans="5:5">
      <c r="E1886" s="14"/>
    </row>
    <row r="1887" spans="5:5">
      <c r="E1887" s="14"/>
    </row>
    <row r="1888" spans="5:5">
      <c r="E1888" s="14"/>
    </row>
    <row r="1889" spans="5:5">
      <c r="E1889" s="14"/>
    </row>
    <row r="1890" spans="5:5">
      <c r="E1890" s="14"/>
    </row>
    <row r="1891" spans="5:5">
      <c r="E1891" s="14"/>
    </row>
    <row r="1892" spans="5:5">
      <c r="E1892" s="14"/>
    </row>
    <row r="1893" spans="5:5">
      <c r="E1893" s="14"/>
    </row>
    <row r="1894" spans="5:5">
      <c r="E1894" s="14"/>
    </row>
    <row r="1895" spans="5:5">
      <c r="E1895" s="14"/>
    </row>
    <row r="1896" spans="5:5">
      <c r="E1896" s="14"/>
    </row>
    <row r="1897" spans="5:5">
      <c r="E1897" s="14"/>
    </row>
    <row r="1898" spans="5:5">
      <c r="E1898" s="14"/>
    </row>
    <row r="1899" spans="5:5">
      <c r="E1899" s="14"/>
    </row>
    <row r="1900" spans="5:5">
      <c r="E1900" s="14"/>
    </row>
    <row r="1901" spans="5:5">
      <c r="E1901" s="14"/>
    </row>
    <row r="1902" spans="5:5">
      <c r="E1902" s="14"/>
    </row>
    <row r="1903" spans="5:5">
      <c r="E1903" s="14"/>
    </row>
    <row r="1904" spans="5:5">
      <c r="E1904" s="14"/>
    </row>
    <row r="1905" spans="5:5">
      <c r="E1905" s="14"/>
    </row>
    <row r="1906" spans="5:5">
      <c r="E1906" s="14"/>
    </row>
    <row r="1907" spans="5:5">
      <c r="E1907" s="14"/>
    </row>
    <row r="1908" spans="5:5">
      <c r="E1908" s="14"/>
    </row>
    <row r="1909" spans="5:5">
      <c r="E1909" s="14"/>
    </row>
    <row r="1910" spans="5:5">
      <c r="E1910" s="14"/>
    </row>
    <row r="1911" spans="5:5">
      <c r="E1911" s="14"/>
    </row>
    <row r="1912" spans="5:5">
      <c r="E1912" s="14"/>
    </row>
    <row r="1913" spans="5:5">
      <c r="E1913" s="14"/>
    </row>
    <row r="1914" spans="5:5">
      <c r="E1914" s="14"/>
    </row>
    <row r="1915" spans="5:5">
      <c r="E1915" s="14"/>
    </row>
    <row r="1916" spans="5:5">
      <c r="E1916" s="14"/>
    </row>
    <row r="1917" spans="5:5">
      <c r="E1917" s="14"/>
    </row>
    <row r="1918" spans="5:5">
      <c r="E1918" s="14"/>
    </row>
    <row r="1919" spans="5:5">
      <c r="E1919" s="14"/>
    </row>
    <row r="1920" spans="5:5">
      <c r="E1920" s="14"/>
    </row>
    <row r="1921" spans="5:5">
      <c r="E1921" s="14"/>
    </row>
    <row r="1922" spans="5:5">
      <c r="E1922" s="14"/>
    </row>
    <row r="1923" spans="5:5">
      <c r="E1923" s="14"/>
    </row>
    <row r="1924" spans="5:5">
      <c r="E1924" s="14"/>
    </row>
    <row r="1925" spans="5:5">
      <c r="E1925" s="14"/>
    </row>
    <row r="1926" spans="5:5">
      <c r="E1926" s="14"/>
    </row>
    <row r="1927" spans="5:5">
      <c r="E1927" s="14"/>
    </row>
    <row r="1928" spans="5:5">
      <c r="E1928" s="14"/>
    </row>
    <row r="1929" spans="5:5">
      <c r="E1929" s="14"/>
    </row>
    <row r="1930" spans="5:5">
      <c r="E1930" s="14"/>
    </row>
    <row r="1931" spans="5:5">
      <c r="E1931" s="14"/>
    </row>
    <row r="1932" spans="5:5">
      <c r="E1932" s="14"/>
    </row>
    <row r="1933" spans="5:5">
      <c r="E1933" s="14"/>
    </row>
    <row r="1934" spans="5:5">
      <c r="E1934" s="14"/>
    </row>
    <row r="1935" spans="5:5">
      <c r="E1935" s="14"/>
    </row>
    <row r="1936" spans="5:5">
      <c r="E1936" s="14"/>
    </row>
    <row r="1937" spans="5:5">
      <c r="E1937" s="14"/>
    </row>
    <row r="1938" spans="5:5">
      <c r="E1938" s="14"/>
    </row>
    <row r="1939" spans="5:5">
      <c r="E1939" s="14"/>
    </row>
    <row r="1940" spans="5:5">
      <c r="E1940" s="14"/>
    </row>
    <row r="1941" spans="5:5">
      <c r="E1941" s="14"/>
    </row>
    <row r="1942" spans="5:5">
      <c r="E1942" s="14"/>
    </row>
    <row r="1943" spans="5:5">
      <c r="E1943" s="14"/>
    </row>
    <row r="1944" spans="5:5">
      <c r="E1944" s="14"/>
    </row>
    <row r="1945" spans="5:5">
      <c r="E1945" s="14"/>
    </row>
    <row r="1946" spans="5:5">
      <c r="E1946" s="14"/>
    </row>
    <row r="1947" spans="5:5">
      <c r="E1947" s="14"/>
    </row>
    <row r="1948" spans="5:5">
      <c r="E1948" s="14"/>
    </row>
    <row r="1949" spans="5:5">
      <c r="E1949" s="14"/>
    </row>
    <row r="1950" spans="5:5">
      <c r="E1950" s="14"/>
    </row>
    <row r="1951" spans="5:5">
      <c r="E1951" s="14"/>
    </row>
    <row r="1952" spans="5:5">
      <c r="E1952" s="14"/>
    </row>
    <row r="1953" spans="5:5">
      <c r="E1953" s="14"/>
    </row>
    <row r="1954" spans="5:5">
      <c r="E1954" s="14"/>
    </row>
    <row r="1955" spans="5:5">
      <c r="E1955" s="14"/>
    </row>
    <row r="1956" spans="5:5">
      <c r="E1956" s="14"/>
    </row>
    <row r="1957" spans="5:5">
      <c r="E1957" s="14"/>
    </row>
    <row r="1958" spans="5:5">
      <c r="E1958" s="14"/>
    </row>
    <row r="1959" spans="5:5">
      <c r="E1959" s="14"/>
    </row>
    <row r="1960" spans="5:5">
      <c r="E1960" s="14"/>
    </row>
    <row r="1961" spans="5:5">
      <c r="E1961" s="14"/>
    </row>
    <row r="1962" spans="5:5">
      <c r="E1962" s="14"/>
    </row>
    <row r="1963" spans="5:5">
      <c r="E1963" s="14"/>
    </row>
    <row r="1964" spans="5:5">
      <c r="E1964" s="14"/>
    </row>
    <row r="1965" spans="5:5">
      <c r="E1965" s="14"/>
    </row>
    <row r="1966" spans="5:5">
      <c r="E1966" s="14"/>
    </row>
    <row r="1967" spans="5:5">
      <c r="E1967" s="14"/>
    </row>
    <row r="1968" spans="5:5">
      <c r="E1968" s="14"/>
    </row>
    <row r="1969" spans="5:5">
      <c r="E1969" s="14"/>
    </row>
    <row r="1970" spans="5:5">
      <c r="E1970" s="14"/>
    </row>
    <row r="1971" spans="5:5">
      <c r="E1971" s="14"/>
    </row>
    <row r="1972" spans="5:5">
      <c r="E1972" s="14"/>
    </row>
    <row r="1973" spans="5:5">
      <c r="E1973" s="14"/>
    </row>
    <row r="1974" spans="5:5">
      <c r="E1974" s="14"/>
    </row>
    <row r="1975" spans="5:5">
      <c r="E1975" s="14"/>
    </row>
    <row r="1976" spans="5:5">
      <c r="E1976" s="14"/>
    </row>
    <row r="1977" spans="5:5">
      <c r="E1977" s="14"/>
    </row>
    <row r="1978" spans="5:5">
      <c r="E1978" s="14"/>
    </row>
    <row r="1979" spans="5:5">
      <c r="E1979" s="14"/>
    </row>
    <row r="1980" spans="5:5">
      <c r="E1980" s="14"/>
    </row>
    <row r="1981" spans="5:5">
      <c r="E1981" s="14"/>
    </row>
    <row r="1982" spans="5:5">
      <c r="E1982" s="14"/>
    </row>
    <row r="1983" spans="5:5">
      <c r="E1983" s="14"/>
    </row>
    <row r="1984" spans="5:5">
      <c r="E1984" s="14"/>
    </row>
    <row r="1985" spans="5:5">
      <c r="E1985" s="14"/>
    </row>
    <row r="1986" spans="5:5">
      <c r="E1986" s="14"/>
    </row>
    <row r="1987" spans="5:5">
      <c r="E1987" s="14"/>
    </row>
    <row r="1988" spans="5:5">
      <c r="E1988" s="14"/>
    </row>
    <row r="1989" spans="5:5">
      <c r="E1989" s="14"/>
    </row>
    <row r="1990" spans="5:5">
      <c r="E1990" s="14"/>
    </row>
    <row r="1991" spans="5:5">
      <c r="E1991" s="14"/>
    </row>
    <row r="1992" spans="5:5">
      <c r="E1992" s="14"/>
    </row>
    <row r="1993" spans="5:5">
      <c r="E1993" s="14"/>
    </row>
    <row r="1994" spans="5:5">
      <c r="E1994" s="14"/>
    </row>
    <row r="1995" spans="5:5">
      <c r="E1995" s="14"/>
    </row>
    <row r="1996" spans="5:5">
      <c r="E1996" s="14"/>
    </row>
    <row r="1997" spans="5:5">
      <c r="E1997" s="14"/>
    </row>
    <row r="1998" spans="5:5">
      <c r="E1998" s="14"/>
    </row>
    <row r="1999" spans="5:5">
      <c r="E1999" s="14"/>
    </row>
    <row r="2000" spans="5:5">
      <c r="E2000" s="14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6C6B-534A-1F43-B246-477FCB8BEBA1}">
  <dimension ref="A1:R169"/>
  <sheetViews>
    <sheetView workbookViewId="0"/>
  </sheetViews>
  <sheetFormatPr defaultColWidth="11.42578125" defaultRowHeight="15"/>
  <cols>
    <col min="1" max="1" width="18.28515625" customWidth="1"/>
    <col min="2" max="2" width="8.28515625" customWidth="1"/>
    <col min="3" max="3" width="3" customWidth="1"/>
    <col min="4" max="4" width="20" customWidth="1"/>
    <col min="5" max="5" width="8.28515625" customWidth="1"/>
    <col min="6" max="6" width="3" customWidth="1"/>
    <col min="7" max="7" width="11.7109375" customWidth="1"/>
    <col min="8" max="8" width="8.28515625" customWidth="1"/>
    <col min="9" max="9" width="3" customWidth="1"/>
    <col min="10" max="10" width="16.7109375" customWidth="1"/>
    <col min="12" max="12" width="18.28515625" customWidth="1"/>
    <col min="14" max="14" width="36.7109375" customWidth="1"/>
    <col min="16" max="16" width="33.28515625" customWidth="1"/>
    <col min="17" max="17" width="23.28515625" customWidth="1"/>
    <col min="18" max="18" width="63.28515625" customWidth="1"/>
  </cols>
  <sheetData>
    <row r="1" spans="1:18" ht="18.95">
      <c r="A1" s="4" t="s">
        <v>2115</v>
      </c>
    </row>
    <row r="2" spans="1:18">
      <c r="P2" s="30" t="s">
        <v>2116</v>
      </c>
    </row>
    <row r="3" spans="1:18">
      <c r="A3" s="33" t="s">
        <v>32</v>
      </c>
      <c r="B3" s="33" t="s">
        <v>2117</v>
      </c>
      <c r="C3" s="5"/>
      <c r="D3" s="33" t="s">
        <v>31</v>
      </c>
      <c r="E3" s="33" t="s">
        <v>2117</v>
      </c>
      <c r="F3" s="5"/>
      <c r="G3" s="33" t="s">
        <v>33</v>
      </c>
      <c r="H3" s="33" t="s">
        <v>2117</v>
      </c>
      <c r="J3" s="3" t="s">
        <v>18</v>
      </c>
      <c r="L3" s="3" t="s">
        <v>2118</v>
      </c>
      <c r="N3" s="3" t="s">
        <v>2119</v>
      </c>
      <c r="P3" s="41" t="s">
        <v>2120</v>
      </c>
      <c r="Q3" s="41" t="s">
        <v>2121</v>
      </c>
      <c r="R3" s="41" t="s">
        <v>2122</v>
      </c>
    </row>
    <row r="4" spans="1:18">
      <c r="A4" s="5" t="s">
        <v>99</v>
      </c>
      <c r="B4" s="5" t="s">
        <v>2123</v>
      </c>
      <c r="C4" s="5"/>
      <c r="D4" s="5" t="s">
        <v>281</v>
      </c>
      <c r="E4" s="5" t="s">
        <v>2124</v>
      </c>
      <c r="F4" s="5"/>
      <c r="G4" s="5" t="s">
        <v>45</v>
      </c>
      <c r="H4" s="5" t="s">
        <v>45</v>
      </c>
      <c r="J4" t="s">
        <v>49</v>
      </c>
      <c r="L4" s="44">
        <v>0.5</v>
      </c>
      <c r="N4" t="str" cm="1">
        <f t="array" ref="N4:N169">_xlfn._xlws.SORT(_xlfn.UNIQUE(_xlfn.VSTACK(tVerao25[Produto],tInverno25[Produto],tVerao26[Produto],tInverno26[Produto],tAtemporais[Produto])))</f>
        <v>Baby Tee Neon</v>
      </c>
      <c r="P4" t="s">
        <v>2125</v>
      </c>
      <c r="Q4" t="s">
        <v>79</v>
      </c>
      <c r="R4" t="s">
        <v>2126</v>
      </c>
    </row>
    <row r="5" spans="1:18">
      <c r="A5" s="5" t="s">
        <v>68</v>
      </c>
      <c r="B5" s="5" t="s">
        <v>2127</v>
      </c>
      <c r="C5" s="5"/>
      <c r="D5" s="5" t="s">
        <v>43</v>
      </c>
      <c r="E5" s="5" t="s">
        <v>2128</v>
      </c>
      <c r="F5" s="5"/>
      <c r="G5" s="5" t="s">
        <v>51</v>
      </c>
      <c r="H5" s="5" t="s">
        <v>51</v>
      </c>
      <c r="J5" t="s">
        <v>2104</v>
      </c>
      <c r="L5" s="7" t="s">
        <v>2129</v>
      </c>
      <c r="N5" t="str">
        <v>Baby Tee Tie-Dye</v>
      </c>
      <c r="P5" t="s">
        <v>2130</v>
      </c>
      <c r="Q5" t="s">
        <v>101</v>
      </c>
      <c r="R5" t="s">
        <v>2131</v>
      </c>
    </row>
    <row r="6" spans="1:18">
      <c r="A6" s="5" t="s">
        <v>299</v>
      </c>
      <c r="B6" s="5" t="s">
        <v>2132</v>
      </c>
      <c r="C6" s="5"/>
      <c r="D6" s="5" t="s">
        <v>86</v>
      </c>
      <c r="E6" s="5" t="s">
        <v>2133</v>
      </c>
      <c r="F6" s="5"/>
      <c r="G6" s="5" t="s">
        <v>54</v>
      </c>
      <c r="H6" s="5" t="s">
        <v>54</v>
      </c>
      <c r="J6" t="s">
        <v>71</v>
      </c>
      <c r="N6" t="str">
        <v>Bermuda Cargo Barra Desfiada</v>
      </c>
      <c r="P6" t="s">
        <v>2134</v>
      </c>
      <c r="Q6" t="s">
        <v>101</v>
      </c>
      <c r="R6" t="s">
        <v>2135</v>
      </c>
    </row>
    <row r="7" spans="1:18">
      <c r="A7" s="5" t="s">
        <v>77</v>
      </c>
      <c r="B7" s="5" t="s">
        <v>2136</v>
      </c>
      <c r="C7" s="5"/>
      <c r="D7" s="5" t="s">
        <v>67</v>
      </c>
      <c r="E7" s="5" t="s">
        <v>2137</v>
      </c>
      <c r="F7" s="5"/>
      <c r="G7" s="5" t="s">
        <v>58</v>
      </c>
      <c r="H7" s="5" t="s">
        <v>58</v>
      </c>
      <c r="N7" t="str">
        <v>Bermuda Cargo Utilitária</v>
      </c>
      <c r="P7" t="s">
        <v>2138</v>
      </c>
      <c r="Q7" t="s">
        <v>109</v>
      </c>
      <c r="R7" t="s">
        <v>2139</v>
      </c>
    </row>
    <row r="8" spans="1:18">
      <c r="A8" s="5" t="s">
        <v>164</v>
      </c>
      <c r="B8" s="5" t="s">
        <v>2140</v>
      </c>
      <c r="C8" s="5"/>
      <c r="D8" s="5" t="s">
        <v>128</v>
      </c>
      <c r="E8" s="5" t="s">
        <v>2141</v>
      </c>
      <c r="F8" s="5"/>
      <c r="G8" s="5" t="s">
        <v>61</v>
      </c>
      <c r="H8" s="5" t="s">
        <v>61</v>
      </c>
      <c r="N8" t="str">
        <v>Bermuda Moletom Ampla</v>
      </c>
      <c r="P8" t="s">
        <v>2142</v>
      </c>
      <c r="Q8" t="s">
        <v>109</v>
      </c>
      <c r="R8" t="s">
        <v>2143</v>
      </c>
    </row>
    <row r="9" spans="1:18">
      <c r="A9" s="5" t="s">
        <v>892</v>
      </c>
      <c r="B9" s="5" t="s">
        <v>2144</v>
      </c>
      <c r="C9" s="5"/>
      <c r="D9" s="5" t="s">
        <v>392</v>
      </c>
      <c r="E9" s="5" t="s">
        <v>2145</v>
      </c>
      <c r="F9" s="5"/>
      <c r="G9" s="5" t="s">
        <v>578</v>
      </c>
      <c r="H9" s="5" t="s">
        <v>578</v>
      </c>
      <c r="N9" t="str">
        <v>Bermuda Moletom Leve</v>
      </c>
      <c r="P9" t="s">
        <v>2146</v>
      </c>
      <c r="Q9" t="s">
        <v>70</v>
      </c>
      <c r="R9" t="s">
        <v>2147</v>
      </c>
    </row>
    <row r="10" spans="1:18">
      <c r="A10" s="5" t="s">
        <v>44</v>
      </c>
      <c r="B10" s="5" t="s">
        <v>2148</v>
      </c>
      <c r="C10" s="5"/>
      <c r="D10" s="5" t="s">
        <v>98</v>
      </c>
      <c r="E10" s="5" t="s">
        <v>2149</v>
      </c>
      <c r="F10" s="5"/>
      <c r="G10" s="5" t="s">
        <v>282</v>
      </c>
      <c r="H10" s="5" t="s">
        <v>2150</v>
      </c>
      <c r="N10" t="str">
        <v>Bermuda Moletom Utilitária</v>
      </c>
      <c r="P10" t="s">
        <v>2151</v>
      </c>
      <c r="Q10" t="s">
        <v>101</v>
      </c>
      <c r="R10" t="s">
        <v>2152</v>
      </c>
    </row>
    <row r="11" spans="1:18">
      <c r="A11" s="5" t="s">
        <v>203</v>
      </c>
      <c r="B11" s="5" t="s">
        <v>2153</v>
      </c>
      <c r="C11" s="5"/>
      <c r="D11" s="5" t="s">
        <v>116</v>
      </c>
      <c r="E11" s="5" t="s">
        <v>2154</v>
      </c>
      <c r="F11" s="5"/>
      <c r="N11" t="str">
        <v>Bermuda Sarja Ampla</v>
      </c>
      <c r="P11" t="s">
        <v>2155</v>
      </c>
      <c r="Q11" t="s">
        <v>47</v>
      </c>
      <c r="R11" t="s">
        <v>2156</v>
      </c>
    </row>
    <row r="12" spans="1:18">
      <c r="A12" s="5" t="s">
        <v>87</v>
      </c>
      <c r="B12" s="5" t="s">
        <v>2157</v>
      </c>
      <c r="C12" s="5"/>
      <c r="D12" s="5" t="s">
        <v>179</v>
      </c>
      <c r="E12" s="5" t="s">
        <v>2158</v>
      </c>
      <c r="F12" s="5"/>
      <c r="N12" t="str">
        <v>Bermuda Sarja Leve</v>
      </c>
      <c r="P12" t="s">
        <v>2159</v>
      </c>
      <c r="Q12" t="s">
        <v>47</v>
      </c>
      <c r="R12" t="s">
        <v>2160</v>
      </c>
    </row>
    <row r="13" spans="1:18">
      <c r="A13" s="5" t="s">
        <v>117</v>
      </c>
      <c r="B13" s="5" t="s">
        <v>2161</v>
      </c>
      <c r="C13" s="5"/>
      <c r="D13" s="5" t="s">
        <v>445</v>
      </c>
      <c r="E13" s="5" t="s">
        <v>2162</v>
      </c>
      <c r="F13" s="5"/>
      <c r="N13" t="str">
        <v>Blazer Oversized Matelassê</v>
      </c>
      <c r="P13" t="s">
        <v>2163</v>
      </c>
      <c r="Q13" t="s">
        <v>47</v>
      </c>
      <c r="R13" t="s">
        <v>2164</v>
      </c>
    </row>
    <row r="14" spans="1:18">
      <c r="A14" s="5" t="s">
        <v>251</v>
      </c>
      <c r="B14" s="5" t="s">
        <v>2165</v>
      </c>
      <c r="C14" s="5"/>
      <c r="D14" s="5" t="s">
        <v>107</v>
      </c>
      <c r="E14" s="5" t="s">
        <v>2166</v>
      </c>
      <c r="F14" s="5"/>
      <c r="N14" t="str">
        <v>Blusa Tricot Chunky</v>
      </c>
    </row>
    <row r="15" spans="1:18">
      <c r="A15" s="5" t="s">
        <v>180</v>
      </c>
      <c r="B15" s="5" t="s">
        <v>2167</v>
      </c>
      <c r="C15" s="5"/>
      <c r="D15" s="5"/>
      <c r="E15" s="5"/>
      <c r="F15" s="5"/>
      <c r="N15" t="str">
        <v>Blusa Tricot Gola V</v>
      </c>
    </row>
    <row r="16" spans="1:18">
      <c r="A16" s="5" t="s">
        <v>129</v>
      </c>
      <c r="B16" s="5" t="s">
        <v>2168</v>
      </c>
      <c r="C16" s="5"/>
      <c r="D16" s="5"/>
      <c r="E16" s="5"/>
      <c r="F16" s="5"/>
      <c r="N16" t="str">
        <v>Body Canelado</v>
      </c>
    </row>
    <row r="17" spans="1:14">
      <c r="A17" s="5"/>
      <c r="B17" s="5"/>
      <c r="C17" s="5"/>
      <c r="D17" s="5"/>
      <c r="E17" s="5"/>
      <c r="F17" s="5"/>
      <c r="G17" s="5"/>
      <c r="H17" s="5"/>
      <c r="N17" t="str">
        <v>Body Cetim</v>
      </c>
    </row>
    <row r="18" spans="1:14">
      <c r="A18" s="6" t="s">
        <v>2169</v>
      </c>
      <c r="B18" s="5"/>
      <c r="C18" s="5"/>
      <c r="D18" s="5"/>
      <c r="E18" s="5"/>
      <c r="F18" s="5"/>
      <c r="G18" s="5"/>
      <c r="H18" s="5"/>
      <c r="N18" t="str">
        <v>Body Floral</v>
      </c>
    </row>
    <row r="19" spans="1:14">
      <c r="A19" s="5"/>
      <c r="B19" s="5"/>
      <c r="C19" s="5"/>
      <c r="D19" s="5"/>
      <c r="E19" s="5"/>
      <c r="F19" s="5"/>
      <c r="G19" s="5"/>
      <c r="H19" s="5"/>
      <c r="N19" t="str">
        <v>Body Lisa</v>
      </c>
    </row>
    <row r="20" spans="1:14">
      <c r="A20" s="5"/>
      <c r="B20" s="5"/>
      <c r="C20" s="5"/>
      <c r="D20" s="5"/>
      <c r="E20" s="5"/>
      <c r="F20" s="5"/>
      <c r="G20" s="5"/>
      <c r="H20" s="5"/>
      <c r="N20" t="str">
        <v>Bolsa Tiracolo Couro Eco</v>
      </c>
    </row>
    <row r="21" spans="1:14">
      <c r="N21" t="str">
        <v>Bolsa Tiracolo Logo</v>
      </c>
    </row>
    <row r="22" spans="1:14">
      <c r="N22" t="str">
        <v>Bomber Clássica</v>
      </c>
    </row>
    <row r="23" spans="1:14">
      <c r="N23" t="str">
        <v>Bomber Matelassê</v>
      </c>
    </row>
    <row r="24" spans="1:14">
      <c r="N24" t="str">
        <v>Bomber Vintage</v>
      </c>
    </row>
    <row r="25" spans="1:14">
      <c r="N25" t="str">
        <v>Boné Logo</v>
      </c>
    </row>
    <row r="26" spans="1:14">
      <c r="N26" t="str">
        <v>Bucket Hat Listrado</v>
      </c>
    </row>
    <row r="27" spans="1:14">
      <c r="N27" t="str">
        <v>Calça Alfaiataria Escura</v>
      </c>
    </row>
    <row r="28" spans="1:14">
      <c r="N28" t="str">
        <v>Calça Alfaiataria Parachute</v>
      </c>
    </row>
    <row r="29" spans="1:14">
      <c r="N29" t="str">
        <v>Calça Alfaiataria Pregas</v>
      </c>
    </row>
    <row r="30" spans="1:14">
      <c r="N30" t="str">
        <v>Calça Alfaiataria Sarja</v>
      </c>
    </row>
    <row r="31" spans="1:14">
      <c r="N31" t="str">
        <v>Calça Cargo Comfort</v>
      </c>
    </row>
    <row r="32" spans="1:14">
      <c r="N32" t="str">
        <v>Calça Cargo Escura</v>
      </c>
    </row>
    <row r="33" spans="14:14">
      <c r="N33" t="str">
        <v>Calça Cargo Parachute</v>
      </c>
    </row>
    <row r="34" spans="14:14">
      <c r="N34" t="str">
        <v>Calça Cargo Pregas</v>
      </c>
    </row>
    <row r="35" spans="14:14">
      <c r="N35" t="str">
        <v>Calça Cargo Sarja</v>
      </c>
    </row>
    <row r="36" spans="14:14">
      <c r="N36" t="str">
        <v>Calça Jeans Reta Comfort</v>
      </c>
    </row>
    <row r="37" spans="14:14">
      <c r="N37" t="str">
        <v>Calça Jeans Reta Destroyed</v>
      </c>
    </row>
    <row r="38" spans="14:14">
      <c r="N38" t="str">
        <v>Calça Jeans Reta Escura</v>
      </c>
    </row>
    <row r="39" spans="14:14">
      <c r="N39" t="str">
        <v>Calça Jeans Reta Parachute</v>
      </c>
    </row>
    <row r="40" spans="14:14">
      <c r="N40" t="str">
        <v>Calça Jogger Destroyed</v>
      </c>
    </row>
    <row r="41" spans="14:14">
      <c r="N41" t="str">
        <v>Calça Jogger Parachute</v>
      </c>
    </row>
    <row r="42" spans="14:14">
      <c r="N42" t="str">
        <v>Calça Jogger Pregas</v>
      </c>
    </row>
    <row r="43" spans="14:14">
      <c r="N43" t="str">
        <v>Calça Jogger Ripstop</v>
      </c>
    </row>
    <row r="44" spans="14:14">
      <c r="N44" t="str">
        <v>Calça Jogger Sarja</v>
      </c>
    </row>
    <row r="45" spans="14:14">
      <c r="N45" t="str">
        <v>Calça Mom Clara</v>
      </c>
    </row>
    <row r="46" spans="14:14">
      <c r="N46" t="str">
        <v>Calça Mom Comfort</v>
      </c>
    </row>
    <row r="47" spans="14:14">
      <c r="N47" t="str">
        <v>Calça Wide Leg Clara</v>
      </c>
    </row>
    <row r="48" spans="14:14">
      <c r="N48" t="str">
        <v>Calça Wide Leg Destroyed</v>
      </c>
    </row>
    <row r="49" spans="14:14">
      <c r="N49" t="str">
        <v>Calça Wide Leg Escura</v>
      </c>
    </row>
    <row r="50" spans="14:14">
      <c r="N50" t="str">
        <v>Calça Wide Leg Parachute</v>
      </c>
    </row>
    <row r="51" spans="14:14">
      <c r="N51" t="str">
        <v>Calça Wide Leg Pregas</v>
      </c>
    </row>
    <row r="52" spans="14:14">
      <c r="N52" t="str">
        <v>Calça Wide Leg Ripstop</v>
      </c>
    </row>
    <row r="53" spans="14:14">
      <c r="N53" t="str">
        <v>Camisa Cuban Ampla</v>
      </c>
    </row>
    <row r="54" spans="14:14">
      <c r="N54" t="str">
        <v>Camisa Cuban Bolso</v>
      </c>
    </row>
    <row r="55" spans="14:14">
      <c r="N55" t="str">
        <v>Camisa Cuban Estonada</v>
      </c>
    </row>
    <row r="56" spans="14:14">
      <c r="N56" t="str">
        <v>Camisa Jeans Estonada</v>
      </c>
    </row>
    <row r="57" spans="14:14">
      <c r="N57" t="str">
        <v>Camisa Jeans Listrada</v>
      </c>
    </row>
    <row r="58" spans="14:14">
      <c r="N58" t="str">
        <v>Camisa Linho Bolso</v>
      </c>
    </row>
    <row r="59" spans="14:14">
      <c r="N59" t="str">
        <v>Camisa Linho Leve</v>
      </c>
    </row>
    <row r="60" spans="14:14">
      <c r="N60" t="str">
        <v>Camisa Oxford Clássica</v>
      </c>
    </row>
    <row r="61" spans="14:14">
      <c r="N61" t="str">
        <v>Camisa Oxford Listrada</v>
      </c>
    </row>
    <row r="62" spans="14:14">
      <c r="N62" t="str">
        <v>Camisa Xadrez Ampla</v>
      </c>
    </row>
    <row r="63" spans="14:14">
      <c r="N63" t="str">
        <v>Camisa Xadrez Bolso</v>
      </c>
    </row>
    <row r="64" spans="14:14">
      <c r="N64" t="str">
        <v>Camisa Xadrez Leve</v>
      </c>
    </row>
    <row r="65" spans="14:14">
      <c r="N65" t="str">
        <v>Camisa Xadrez Listrada</v>
      </c>
    </row>
    <row r="66" spans="14:14">
      <c r="N66" t="str">
        <v>Camiseta Básica Sunset</v>
      </c>
    </row>
    <row r="67" spans="14:14">
      <c r="N67" t="str">
        <v>Camiseta Básica Urbana</v>
      </c>
    </row>
    <row r="68" spans="14:14">
      <c r="N68" t="str">
        <v>Camiseta Básica Vintage</v>
      </c>
    </row>
    <row r="69" spans="14:14">
      <c r="N69" t="str">
        <v>Camiseta Boxy Concreto</v>
      </c>
    </row>
    <row r="70" spans="14:14">
      <c r="N70" t="str">
        <v>Camiseta Boxy Logo</v>
      </c>
    </row>
    <row r="71" spans="14:14">
      <c r="N71" t="str">
        <v>Camiseta Boxy Skate</v>
      </c>
    </row>
    <row r="72" spans="14:14">
      <c r="N72" t="str">
        <v>Camiseta Boxy Sunset</v>
      </c>
    </row>
    <row r="73" spans="14:14">
      <c r="N73" t="str">
        <v>Camiseta Boxy Urbana</v>
      </c>
    </row>
    <row r="74" spans="14:14">
      <c r="N74" t="str">
        <v>Camiseta Estampada Neon</v>
      </c>
    </row>
    <row r="75" spans="14:14">
      <c r="N75" t="str">
        <v>Camiseta Estampada Pixel</v>
      </c>
    </row>
    <row r="76" spans="14:14">
      <c r="N76" t="str">
        <v>Camiseta Estampada Vintage</v>
      </c>
    </row>
    <row r="77" spans="14:14">
      <c r="N77" t="str">
        <v>Camiseta Manga Longa Concreto</v>
      </c>
    </row>
    <row r="78" spans="14:14">
      <c r="N78" t="str">
        <v>Camiseta Manga Longa Listrada</v>
      </c>
    </row>
    <row r="79" spans="14:14">
      <c r="N79" t="str">
        <v>Camiseta Oversized Listrada</v>
      </c>
    </row>
    <row r="80" spans="14:14">
      <c r="N80" t="str">
        <v>Camiseta Oversized Logo</v>
      </c>
    </row>
    <row r="81" spans="14:14">
      <c r="N81" t="str">
        <v>Camiseta Oversized Urbana</v>
      </c>
    </row>
    <row r="82" spans="14:14">
      <c r="N82" t="str">
        <v>Camiseta Raglan Retrô</v>
      </c>
    </row>
    <row r="83" spans="14:14">
      <c r="N83" t="str">
        <v>Camiseta Raglan Skate</v>
      </c>
    </row>
    <row r="84" spans="14:14">
      <c r="N84" t="str">
        <v>Camiseta Raglan Wave</v>
      </c>
    </row>
    <row r="85" spans="14:14">
      <c r="N85" t="str">
        <v>Cardigan Chunky</v>
      </c>
    </row>
    <row r="86" spans="14:14">
      <c r="N86" t="str">
        <v>Cardigan Fio Leve</v>
      </c>
    </row>
    <row r="87" spans="14:14">
      <c r="N87" t="str">
        <v>Cardigan Gola V</v>
      </c>
    </row>
    <row r="88" spans="14:14">
      <c r="N88" t="str">
        <v>Cardigan Listrado</v>
      </c>
    </row>
    <row r="89" spans="14:14">
      <c r="N89" t="str">
        <v>Cardigan Trançado</v>
      </c>
    </row>
    <row r="90" spans="14:14">
      <c r="N90" t="str">
        <v>Cinto Básico</v>
      </c>
    </row>
    <row r="91" spans="14:14">
      <c r="N91" t="str">
        <v>Cinto Nylon</v>
      </c>
    </row>
    <row r="92" spans="14:14">
      <c r="N92" t="str">
        <v>Colete Tricô Fio Leve</v>
      </c>
    </row>
    <row r="93" spans="14:14">
      <c r="N93" t="str">
        <v>Corta-Vento Clássica</v>
      </c>
    </row>
    <row r="94" spans="14:14">
      <c r="N94" t="str">
        <v>Corta-Vento Utilitária</v>
      </c>
    </row>
    <row r="95" spans="14:14">
      <c r="N95" t="str">
        <v>Cropped Amarração Canelado</v>
      </c>
    </row>
    <row r="96" spans="14:14">
      <c r="N96" t="str">
        <v>Cropped Amarração Floral</v>
      </c>
    </row>
    <row r="97" spans="14:14">
      <c r="N97" t="str">
        <v>Cropped Canelado Basic</v>
      </c>
    </row>
    <row r="98" spans="14:14">
      <c r="N98" t="str">
        <v>Cropped Canelado Canelado</v>
      </c>
    </row>
    <row r="99" spans="14:14">
      <c r="N99" t="str">
        <v>Cropped Canelado Cetim</v>
      </c>
    </row>
    <row r="100" spans="14:14">
      <c r="N100" t="str">
        <v>Cropped Canelado Tricot</v>
      </c>
    </row>
    <row r="101" spans="14:14">
      <c r="N101" t="str">
        <v>Ecobag Básico</v>
      </c>
    </row>
    <row r="102" spans="14:14">
      <c r="N102" t="str">
        <v>Ecobag Couro Eco</v>
      </c>
    </row>
    <row r="103" spans="14:14">
      <c r="N103" t="str">
        <v>Hoodie Oversized Bordado</v>
      </c>
    </row>
    <row r="104" spans="14:14">
      <c r="N104" t="str">
        <v>Hoodie Oversized College</v>
      </c>
    </row>
    <row r="105" spans="14:14">
      <c r="N105" t="str">
        <v>Hoodie Oversized Fleece</v>
      </c>
    </row>
    <row r="106" spans="14:14">
      <c r="N106" t="str">
        <v>Hoodie Oversized Logo</v>
      </c>
    </row>
    <row r="107" spans="14:14">
      <c r="N107" t="str">
        <v>Jaqueta Couro Eco Clássica</v>
      </c>
    </row>
    <row r="108" spans="14:14">
      <c r="N108" t="str">
        <v>Jaqueta Puffer Matelassê</v>
      </c>
    </row>
    <row r="109" spans="14:14">
      <c r="N109" t="str">
        <v>Macacão Canelado</v>
      </c>
    </row>
    <row r="110" spans="14:14">
      <c r="N110" t="str">
        <v>Macacão Cetim</v>
      </c>
    </row>
    <row r="111" spans="14:14">
      <c r="N111" t="str">
        <v>Macacão Floral</v>
      </c>
    </row>
    <row r="112" spans="14:14">
      <c r="N112" t="str">
        <v>Meia Cano Alto (par) Bordado</v>
      </c>
    </row>
    <row r="113" spans="14:14">
      <c r="N113" t="str">
        <v>Meia Cano Alto (par) Couro Eco</v>
      </c>
    </row>
    <row r="114" spans="14:14">
      <c r="N114" t="str">
        <v>Minissaia Utilitária</v>
      </c>
    </row>
    <row r="115" spans="14:14">
      <c r="N115" t="str">
        <v>Moletom Canguru Bordado</v>
      </c>
    </row>
    <row r="116" spans="14:14">
      <c r="N116" t="str">
        <v>Moletom Canguru College</v>
      </c>
    </row>
    <row r="117" spans="14:14">
      <c r="N117" t="str">
        <v>Moletom Canguru Estonado</v>
      </c>
    </row>
    <row r="118" spans="14:14">
      <c r="N118" t="str">
        <v>Moletom Canguru Fleece</v>
      </c>
    </row>
    <row r="119" spans="14:14">
      <c r="N119" t="str">
        <v>Moletom Canguru Logo</v>
      </c>
    </row>
    <row r="120" spans="14:14">
      <c r="N120" t="str">
        <v>Moletom Careca Básico</v>
      </c>
    </row>
    <row r="121" spans="14:14">
      <c r="N121" t="str">
        <v>Moletom Careca Bordado</v>
      </c>
    </row>
    <row r="122" spans="14:14">
      <c r="N122" t="str">
        <v>Moletom Careca College</v>
      </c>
    </row>
    <row r="123" spans="14:14">
      <c r="N123" t="str">
        <v>Moletom Careca Fleece</v>
      </c>
    </row>
    <row r="124" spans="14:14">
      <c r="N124" t="str">
        <v>Moletom Careca Logo</v>
      </c>
    </row>
    <row r="125" spans="14:14">
      <c r="N125" t="str">
        <v>Moletom Zíper Básico</v>
      </c>
    </row>
    <row r="126" spans="14:14">
      <c r="N126" t="str">
        <v>Moletom Zíper Bordado</v>
      </c>
    </row>
    <row r="127" spans="14:14">
      <c r="N127" t="str">
        <v>Moletom Zíper College</v>
      </c>
    </row>
    <row r="128" spans="14:14">
      <c r="N128" t="str">
        <v>Moletom Zíper Estonado</v>
      </c>
    </row>
    <row r="129" spans="14:14">
      <c r="N129" t="str">
        <v>Moletom Zíper Fleece</v>
      </c>
    </row>
    <row r="130" spans="14:14">
      <c r="N130" t="str">
        <v>Moletom Zíper Logo</v>
      </c>
    </row>
    <row r="131" spans="14:14">
      <c r="N131" t="str">
        <v>Overshirt Ampla</v>
      </c>
    </row>
    <row r="132" spans="14:14">
      <c r="N132" t="str">
        <v>Overshirt Listrada</v>
      </c>
    </row>
    <row r="133" spans="14:14">
      <c r="N133" t="str">
        <v>Overshirt Praia</v>
      </c>
    </row>
    <row r="134" spans="14:14">
      <c r="N134" t="str">
        <v>Pochete Nylon</v>
      </c>
    </row>
    <row r="135" spans="14:14">
      <c r="N135" t="str">
        <v>Regata Neon</v>
      </c>
    </row>
    <row r="136" spans="14:14">
      <c r="N136" t="str">
        <v>Regata Retrô</v>
      </c>
    </row>
    <row r="137" spans="14:14">
      <c r="N137" t="str">
        <v>Regata Skate</v>
      </c>
    </row>
    <row r="138" spans="14:14">
      <c r="N138" t="str">
        <v>Regata Sunset</v>
      </c>
    </row>
    <row r="139" spans="14:14">
      <c r="N139" t="str">
        <v>Saia Cargo Cetim</v>
      </c>
    </row>
    <row r="140" spans="14:14">
      <c r="N140" t="str">
        <v>Saia Cargo Evasê</v>
      </c>
    </row>
    <row r="141" spans="14:14">
      <c r="N141" t="str">
        <v>Saia Cargo Fenda</v>
      </c>
    </row>
    <row r="142" spans="14:14">
      <c r="N142" t="str">
        <v>Saia Cargo Plissada</v>
      </c>
    </row>
    <row r="143" spans="14:14">
      <c r="N143" t="str">
        <v>Saia Cargo Utilitária</v>
      </c>
    </row>
    <row r="144" spans="14:14">
      <c r="N144" t="str">
        <v>Saia Jeans Fenda</v>
      </c>
    </row>
    <row r="145" spans="14:14">
      <c r="N145" t="str">
        <v>Saia Jeans Plissada</v>
      </c>
    </row>
    <row r="146" spans="14:14">
      <c r="N146" t="str">
        <v>Saia Jeans Utilitária</v>
      </c>
    </row>
    <row r="147" spans="14:14">
      <c r="N147" t="str">
        <v>Saia Midi Evasê</v>
      </c>
    </row>
    <row r="148" spans="14:14">
      <c r="N148" t="str">
        <v>Saia Midi Fenda</v>
      </c>
    </row>
    <row r="149" spans="14:14">
      <c r="N149" t="str">
        <v>Short Alfaiataria Barra Desfiada</v>
      </c>
    </row>
    <row r="150" spans="14:14">
      <c r="N150" t="str">
        <v>Short Alfaiataria Clássica</v>
      </c>
    </row>
    <row r="151" spans="14:14">
      <c r="N151" t="str">
        <v>Short Alfaiataria Leve</v>
      </c>
    </row>
    <row r="152" spans="14:14">
      <c r="N152" t="str">
        <v>Short Jeans Clássica</v>
      </c>
    </row>
    <row r="153" spans="14:14">
      <c r="N153" t="str">
        <v>Suéter Tricô Chunky</v>
      </c>
    </row>
    <row r="154" spans="14:14">
      <c r="N154" t="str">
        <v>Suéter Tricô Fio Leve</v>
      </c>
    </row>
    <row r="155" spans="14:14">
      <c r="N155" t="str">
        <v>Suéter Tricô Gola V</v>
      </c>
    </row>
    <row r="156" spans="14:14">
      <c r="N156" t="str">
        <v>Suéter Tricô Trançado</v>
      </c>
    </row>
    <row r="157" spans="14:14">
      <c r="N157" t="str">
        <v>Top Alcinha Canelado</v>
      </c>
    </row>
    <row r="158" spans="14:14">
      <c r="N158" t="str">
        <v>Top Alcinha Cetim</v>
      </c>
    </row>
    <row r="159" spans="14:14">
      <c r="N159" t="str">
        <v>Top Alcinha Floral</v>
      </c>
    </row>
    <row r="160" spans="14:14">
      <c r="N160" t="str">
        <v>Top Faixa Cetim</v>
      </c>
    </row>
    <row r="161" spans="14:14">
      <c r="N161" t="str">
        <v>Top Faixa Tricot</v>
      </c>
    </row>
    <row r="162" spans="14:14">
      <c r="N162" t="str">
        <v>Vestido Chemise Canelado</v>
      </c>
    </row>
    <row r="163" spans="14:14">
      <c r="N163" t="str">
        <v>Vestido Midi Cetim</v>
      </c>
    </row>
    <row r="164" spans="14:14">
      <c r="N164" t="str">
        <v>Vestido Midi Floral</v>
      </c>
    </row>
    <row r="165" spans="14:14">
      <c r="N165" t="str">
        <v>Vestido Midi Linho</v>
      </c>
    </row>
    <row r="166" spans="14:14">
      <c r="N166" t="str">
        <v>Vestido Slip Canelado</v>
      </c>
    </row>
    <row r="167" spans="14:14">
      <c r="N167" t="str">
        <v>Vestido Slip Floral</v>
      </c>
    </row>
    <row r="168" spans="14:14">
      <c r="N168" t="str">
        <v>Vestido Slip Linho</v>
      </c>
    </row>
    <row r="169" spans="14:14">
      <c r="N169" t="str">
        <v>Vestido Tubinho Cetim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9"/>
  <sheetViews>
    <sheetView workbookViewId="0"/>
  </sheetViews>
  <sheetFormatPr defaultColWidth="8.85546875" defaultRowHeight="15"/>
  <cols>
    <col min="1" max="1" width="16" customWidth="1"/>
    <col min="2" max="2" width="30" customWidth="1"/>
  </cols>
  <sheetData>
    <row r="1" spans="1:8">
      <c r="A1" s="2" t="s">
        <v>2170</v>
      </c>
    </row>
    <row r="2" spans="1:8">
      <c r="A2" t="s">
        <v>28</v>
      </c>
      <c r="B2" t="s">
        <v>2171</v>
      </c>
      <c r="C2" t="s">
        <v>2172</v>
      </c>
      <c r="D2" t="s">
        <v>2173</v>
      </c>
      <c r="E2" t="s">
        <v>2174</v>
      </c>
      <c r="F2" t="s">
        <v>2175</v>
      </c>
      <c r="G2" t="s">
        <v>2176</v>
      </c>
      <c r="H2" t="s">
        <v>36</v>
      </c>
    </row>
    <row r="3" spans="1:8">
      <c r="A3" t="s">
        <v>2177</v>
      </c>
      <c r="B3" t="s">
        <v>2178</v>
      </c>
      <c r="C3" t="s">
        <v>2179</v>
      </c>
      <c r="D3" t="s">
        <v>2180</v>
      </c>
      <c r="E3" t="s">
        <v>2181</v>
      </c>
      <c r="F3">
        <v>329.9</v>
      </c>
      <c r="G3">
        <v>107.17</v>
      </c>
      <c r="H3">
        <v>7891844799426</v>
      </c>
    </row>
    <row r="4" spans="1:8">
      <c r="A4" s="1" t="s">
        <v>2182</v>
      </c>
      <c r="B4" t="s">
        <v>2178</v>
      </c>
      <c r="C4" t="s">
        <v>2179</v>
      </c>
      <c r="D4" t="s">
        <v>2180</v>
      </c>
      <c r="E4" t="s">
        <v>51</v>
      </c>
      <c r="F4">
        <v>329.9</v>
      </c>
      <c r="G4">
        <v>107.17</v>
      </c>
      <c r="H4">
        <v>7893615777572</v>
      </c>
    </row>
    <row r="5" spans="1:8">
      <c r="A5" t="s">
        <v>2183</v>
      </c>
      <c r="B5" t="s">
        <v>2178</v>
      </c>
      <c r="C5" t="s">
        <v>2179</v>
      </c>
      <c r="D5" t="s">
        <v>2180</v>
      </c>
      <c r="E5" t="s">
        <v>54</v>
      </c>
      <c r="F5">
        <v>329.9</v>
      </c>
      <c r="G5">
        <v>107.17</v>
      </c>
      <c r="H5">
        <v>7891546659226</v>
      </c>
    </row>
    <row r="6" spans="1:8">
      <c r="A6" t="s">
        <v>2184</v>
      </c>
      <c r="B6" t="s">
        <v>2178</v>
      </c>
      <c r="C6" t="s">
        <v>2179</v>
      </c>
      <c r="D6" t="s">
        <v>2180</v>
      </c>
      <c r="E6" t="s">
        <v>58</v>
      </c>
      <c r="F6">
        <v>329.9</v>
      </c>
      <c r="G6">
        <v>107.17</v>
      </c>
      <c r="H6">
        <v>7891270608538</v>
      </c>
    </row>
    <row r="7" spans="1:8">
      <c r="A7" t="s">
        <v>2185</v>
      </c>
      <c r="B7" t="s">
        <v>2178</v>
      </c>
      <c r="C7" t="s">
        <v>2179</v>
      </c>
      <c r="D7" t="s">
        <v>2180</v>
      </c>
      <c r="E7" t="s">
        <v>61</v>
      </c>
      <c r="F7">
        <v>329.9</v>
      </c>
      <c r="G7">
        <v>107.17</v>
      </c>
      <c r="H7">
        <v>7895908461519</v>
      </c>
    </row>
    <row r="8" spans="1:8">
      <c r="A8" t="s">
        <v>2186</v>
      </c>
      <c r="B8" t="s">
        <v>2187</v>
      </c>
      <c r="C8" t="s">
        <v>2188</v>
      </c>
      <c r="D8" t="s">
        <v>2189</v>
      </c>
      <c r="E8" t="s">
        <v>51</v>
      </c>
      <c r="F8">
        <v>79.900000000000006</v>
      </c>
      <c r="G8">
        <v>26.36</v>
      </c>
      <c r="H8">
        <v>7892814749779</v>
      </c>
    </row>
    <row r="9" spans="1:8">
      <c r="A9" s="1" t="s">
        <v>2190</v>
      </c>
      <c r="B9" t="s">
        <v>2187</v>
      </c>
      <c r="C9" t="s">
        <v>2188</v>
      </c>
      <c r="D9" t="s">
        <v>2189</v>
      </c>
      <c r="E9" t="s">
        <v>54</v>
      </c>
      <c r="F9">
        <v>79.900000000000006</v>
      </c>
      <c r="G9">
        <v>26.36</v>
      </c>
      <c r="H9">
        <v>7896701630966</v>
      </c>
    </row>
    <row r="10" spans="1:8">
      <c r="A10" t="s">
        <v>2191</v>
      </c>
      <c r="B10" t="s">
        <v>2187</v>
      </c>
      <c r="C10" t="s">
        <v>2188</v>
      </c>
      <c r="D10" t="s">
        <v>2189</v>
      </c>
      <c r="E10" t="s">
        <v>58</v>
      </c>
      <c r="F10">
        <v>79.900000000000006</v>
      </c>
      <c r="G10">
        <v>26.36</v>
      </c>
      <c r="H10">
        <v>7891082168459</v>
      </c>
    </row>
    <row r="11" spans="1:8">
      <c r="A11" t="s">
        <v>2192</v>
      </c>
      <c r="B11" t="s">
        <v>2187</v>
      </c>
      <c r="C11" t="s">
        <v>2188</v>
      </c>
      <c r="D11" t="s">
        <v>2189</v>
      </c>
      <c r="E11" t="s">
        <v>61</v>
      </c>
      <c r="F11">
        <v>79.900000000000006</v>
      </c>
      <c r="G11">
        <v>26.36</v>
      </c>
      <c r="H11">
        <v>7890709540784</v>
      </c>
    </row>
    <row r="12" spans="1:8">
      <c r="A12" t="s">
        <v>2193</v>
      </c>
      <c r="B12" t="s">
        <v>2194</v>
      </c>
      <c r="C12" t="s">
        <v>2195</v>
      </c>
      <c r="D12" t="s">
        <v>2180</v>
      </c>
      <c r="E12" t="s">
        <v>51</v>
      </c>
      <c r="F12">
        <v>259.89999999999998</v>
      </c>
      <c r="G12">
        <v>113.03</v>
      </c>
      <c r="H12">
        <v>7893849135032</v>
      </c>
    </row>
    <row r="13" spans="1:8">
      <c r="A13" t="s">
        <v>2196</v>
      </c>
      <c r="B13" t="s">
        <v>2194</v>
      </c>
      <c r="C13" t="s">
        <v>2195</v>
      </c>
      <c r="D13" t="s">
        <v>2180</v>
      </c>
      <c r="E13" t="s">
        <v>54</v>
      </c>
      <c r="F13">
        <v>259.89999999999998</v>
      </c>
      <c r="G13">
        <v>113.03</v>
      </c>
      <c r="H13">
        <v>7898269988619</v>
      </c>
    </row>
    <row r="14" spans="1:8">
      <c r="A14" s="1" t="s">
        <v>2197</v>
      </c>
      <c r="B14" t="s">
        <v>2194</v>
      </c>
      <c r="C14" t="s">
        <v>2195</v>
      </c>
      <c r="D14" t="s">
        <v>2180</v>
      </c>
      <c r="E14" t="s">
        <v>58</v>
      </c>
      <c r="F14">
        <v>259.89999999999998</v>
      </c>
      <c r="G14">
        <v>113.03</v>
      </c>
      <c r="H14">
        <v>7893869012467</v>
      </c>
    </row>
    <row r="15" spans="1:8">
      <c r="A15" s="1" t="s">
        <v>2198</v>
      </c>
      <c r="B15" t="s">
        <v>2194</v>
      </c>
      <c r="C15" t="s">
        <v>2195</v>
      </c>
      <c r="D15" t="s">
        <v>2180</v>
      </c>
      <c r="E15" t="s">
        <v>61</v>
      </c>
      <c r="F15">
        <v>259.89999999999998</v>
      </c>
      <c r="G15">
        <v>113.03</v>
      </c>
      <c r="H15">
        <v>7892595469354</v>
      </c>
    </row>
    <row r="16" spans="1:8">
      <c r="A16" t="s">
        <v>2199</v>
      </c>
      <c r="B16" t="s">
        <v>2194</v>
      </c>
      <c r="C16" t="s">
        <v>2195</v>
      </c>
      <c r="D16" t="s">
        <v>2189</v>
      </c>
      <c r="E16" t="s">
        <v>51</v>
      </c>
      <c r="F16">
        <v>259.89999999999998</v>
      </c>
      <c r="G16">
        <v>113.03</v>
      </c>
      <c r="H16">
        <v>7890279289489</v>
      </c>
    </row>
    <row r="17" spans="1:8">
      <c r="A17" s="1" t="s">
        <v>2200</v>
      </c>
      <c r="B17" t="s">
        <v>2194</v>
      </c>
      <c r="C17" t="s">
        <v>2195</v>
      </c>
      <c r="D17" t="s">
        <v>2189</v>
      </c>
      <c r="E17" t="s">
        <v>54</v>
      </c>
      <c r="F17">
        <v>259.89999999999998</v>
      </c>
      <c r="G17">
        <v>113.03</v>
      </c>
      <c r="H17">
        <v>7891874974060</v>
      </c>
    </row>
    <row r="18" spans="1:8">
      <c r="A18" t="s">
        <v>2201</v>
      </c>
      <c r="B18" t="s">
        <v>2194</v>
      </c>
      <c r="C18" t="s">
        <v>2195</v>
      </c>
      <c r="D18" t="s">
        <v>2189</v>
      </c>
      <c r="E18" t="s">
        <v>58</v>
      </c>
      <c r="F18">
        <v>259.89999999999998</v>
      </c>
      <c r="G18">
        <v>113.03</v>
      </c>
      <c r="H18">
        <v>7891148892281</v>
      </c>
    </row>
    <row r="19" spans="1:8">
      <c r="A19" s="1" t="s">
        <v>2202</v>
      </c>
      <c r="B19" t="s">
        <v>2194</v>
      </c>
      <c r="C19" t="s">
        <v>2195</v>
      </c>
      <c r="D19" t="s">
        <v>2189</v>
      </c>
      <c r="E19" t="s">
        <v>61</v>
      </c>
      <c r="F19">
        <v>259.89999999999998</v>
      </c>
      <c r="G19">
        <v>113.03</v>
      </c>
      <c r="H19">
        <v>7894804293163</v>
      </c>
    </row>
    <row r="20" spans="1:8">
      <c r="A20" s="1" t="s">
        <v>2203</v>
      </c>
      <c r="B20" t="s">
        <v>2204</v>
      </c>
      <c r="C20" t="s">
        <v>2205</v>
      </c>
      <c r="D20" t="s">
        <v>2206</v>
      </c>
      <c r="E20" t="s">
        <v>51</v>
      </c>
      <c r="F20">
        <v>379.9</v>
      </c>
      <c r="G20">
        <v>128.19</v>
      </c>
      <c r="H20">
        <v>7899581777196</v>
      </c>
    </row>
    <row r="21" spans="1:8">
      <c r="A21" s="1" t="s">
        <v>2207</v>
      </c>
      <c r="B21" t="s">
        <v>2204</v>
      </c>
      <c r="C21" t="s">
        <v>2205</v>
      </c>
      <c r="D21" t="s">
        <v>2206</v>
      </c>
      <c r="E21" t="s">
        <v>54</v>
      </c>
      <c r="F21">
        <v>379.9</v>
      </c>
      <c r="G21">
        <v>128.19</v>
      </c>
      <c r="H21">
        <v>7898543800101</v>
      </c>
    </row>
    <row r="22" spans="1:8">
      <c r="A22" t="s">
        <v>2208</v>
      </c>
      <c r="B22" t="s">
        <v>2204</v>
      </c>
      <c r="C22" t="s">
        <v>2205</v>
      </c>
      <c r="D22" t="s">
        <v>2206</v>
      </c>
      <c r="E22" t="s">
        <v>58</v>
      </c>
      <c r="F22">
        <v>379.9</v>
      </c>
      <c r="G22">
        <v>128.19</v>
      </c>
      <c r="H22">
        <v>7896442887148</v>
      </c>
    </row>
    <row r="23" spans="1:8">
      <c r="A23" t="s">
        <v>2209</v>
      </c>
      <c r="B23" t="s">
        <v>2204</v>
      </c>
      <c r="C23" t="s">
        <v>2205</v>
      </c>
      <c r="D23" t="s">
        <v>2206</v>
      </c>
      <c r="E23" t="s">
        <v>61</v>
      </c>
      <c r="F23">
        <v>379.9</v>
      </c>
      <c r="G23">
        <v>128.19</v>
      </c>
      <c r="H23">
        <v>7890661628438</v>
      </c>
    </row>
    <row r="24" spans="1:8">
      <c r="A24" s="1" t="s">
        <v>2210</v>
      </c>
      <c r="B24" t="s">
        <v>2211</v>
      </c>
      <c r="C24" t="s">
        <v>2179</v>
      </c>
      <c r="D24" t="s">
        <v>2212</v>
      </c>
      <c r="E24" t="s">
        <v>51</v>
      </c>
      <c r="F24">
        <v>249.9</v>
      </c>
      <c r="G24">
        <v>85.37</v>
      </c>
      <c r="H24">
        <v>7896734317612</v>
      </c>
    </row>
    <row r="25" spans="1:8">
      <c r="A25" s="1" t="s">
        <v>2213</v>
      </c>
      <c r="B25" t="s">
        <v>2211</v>
      </c>
      <c r="C25" t="s">
        <v>2179</v>
      </c>
      <c r="D25" t="s">
        <v>2212</v>
      </c>
      <c r="E25" t="s">
        <v>54</v>
      </c>
      <c r="F25">
        <v>249.9</v>
      </c>
      <c r="G25">
        <v>85.37</v>
      </c>
      <c r="H25">
        <v>7899451259395</v>
      </c>
    </row>
    <row r="26" spans="1:8">
      <c r="A26" t="s">
        <v>2214</v>
      </c>
      <c r="B26" t="s">
        <v>2211</v>
      </c>
      <c r="C26" t="s">
        <v>2179</v>
      </c>
      <c r="D26" t="s">
        <v>2212</v>
      </c>
      <c r="E26" t="s">
        <v>58</v>
      </c>
      <c r="F26">
        <v>249.9</v>
      </c>
      <c r="G26">
        <v>85.37</v>
      </c>
      <c r="H26">
        <v>7897019986141</v>
      </c>
    </row>
    <row r="27" spans="1:8">
      <c r="A27" s="1" t="s">
        <v>2215</v>
      </c>
      <c r="B27" t="s">
        <v>2211</v>
      </c>
      <c r="C27" t="s">
        <v>2179</v>
      </c>
      <c r="D27" t="s">
        <v>2212</v>
      </c>
      <c r="E27" t="s">
        <v>61</v>
      </c>
      <c r="F27">
        <v>249.9</v>
      </c>
      <c r="G27">
        <v>85.37</v>
      </c>
      <c r="H27">
        <v>7891362600754</v>
      </c>
    </row>
    <row r="28" spans="1:8">
      <c r="A28" t="s">
        <v>2216</v>
      </c>
      <c r="B28" t="s">
        <v>2211</v>
      </c>
      <c r="C28" t="s">
        <v>2179</v>
      </c>
      <c r="D28" t="s">
        <v>2206</v>
      </c>
      <c r="E28" t="s">
        <v>51</v>
      </c>
      <c r="F28">
        <v>249.9</v>
      </c>
      <c r="G28">
        <v>85.37</v>
      </c>
      <c r="H28">
        <v>7899593603728</v>
      </c>
    </row>
    <row r="29" spans="1:8">
      <c r="A29" t="s">
        <v>2217</v>
      </c>
      <c r="B29" t="s">
        <v>2211</v>
      </c>
      <c r="C29" t="s">
        <v>2179</v>
      </c>
      <c r="D29" t="s">
        <v>2206</v>
      </c>
      <c r="E29" t="s">
        <v>54</v>
      </c>
      <c r="F29">
        <v>249.9</v>
      </c>
      <c r="G29">
        <v>85.37</v>
      </c>
      <c r="H29">
        <v>7892889198403</v>
      </c>
    </row>
    <row r="30" spans="1:8">
      <c r="A30" t="s">
        <v>2218</v>
      </c>
      <c r="B30" t="s">
        <v>2211</v>
      </c>
      <c r="C30" t="s">
        <v>2179</v>
      </c>
      <c r="D30" t="s">
        <v>2206</v>
      </c>
      <c r="E30" t="s">
        <v>58</v>
      </c>
      <c r="F30">
        <v>249.9</v>
      </c>
      <c r="G30">
        <v>85.37</v>
      </c>
      <c r="H30">
        <v>7899957445131</v>
      </c>
    </row>
    <row r="31" spans="1:8">
      <c r="A31" t="s">
        <v>2219</v>
      </c>
      <c r="B31" t="s">
        <v>2211</v>
      </c>
      <c r="C31" t="s">
        <v>2179</v>
      </c>
      <c r="D31" t="s">
        <v>2206</v>
      </c>
      <c r="E31" t="s">
        <v>61</v>
      </c>
      <c r="F31">
        <v>249.9</v>
      </c>
      <c r="G31">
        <v>85.37</v>
      </c>
      <c r="H31">
        <v>7898174994309</v>
      </c>
    </row>
    <row r="32" spans="1:8">
      <c r="A32" s="1" t="s">
        <v>2220</v>
      </c>
      <c r="B32" t="s">
        <v>2221</v>
      </c>
      <c r="C32" t="s">
        <v>2205</v>
      </c>
      <c r="D32" t="s">
        <v>2180</v>
      </c>
      <c r="E32" t="s">
        <v>51</v>
      </c>
      <c r="F32">
        <v>309.89999999999998</v>
      </c>
      <c r="G32">
        <v>127.8</v>
      </c>
      <c r="H32">
        <v>7894714391645</v>
      </c>
    </row>
    <row r="33" spans="1:8">
      <c r="A33" t="s">
        <v>2222</v>
      </c>
      <c r="B33" t="s">
        <v>2221</v>
      </c>
      <c r="C33" t="s">
        <v>2205</v>
      </c>
      <c r="D33" t="s">
        <v>2180</v>
      </c>
      <c r="E33" t="s">
        <v>54</v>
      </c>
      <c r="F33">
        <v>309.89999999999998</v>
      </c>
      <c r="G33">
        <v>127.8</v>
      </c>
      <c r="H33">
        <v>7890342466199</v>
      </c>
    </row>
    <row r="34" spans="1:8">
      <c r="A34" t="s">
        <v>2223</v>
      </c>
      <c r="B34" t="s">
        <v>2221</v>
      </c>
      <c r="C34" t="s">
        <v>2205</v>
      </c>
      <c r="D34" t="s">
        <v>2180</v>
      </c>
      <c r="E34" t="s">
        <v>58</v>
      </c>
      <c r="F34">
        <v>309.89999999999998</v>
      </c>
      <c r="G34">
        <v>127.8</v>
      </c>
      <c r="H34">
        <v>7894937732003</v>
      </c>
    </row>
    <row r="35" spans="1:8">
      <c r="A35" s="1" t="s">
        <v>2224</v>
      </c>
      <c r="B35" t="s">
        <v>2221</v>
      </c>
      <c r="C35" t="s">
        <v>2205</v>
      </c>
      <c r="D35" t="s">
        <v>2180</v>
      </c>
      <c r="E35" t="s">
        <v>61</v>
      </c>
      <c r="F35">
        <v>309.89999999999998</v>
      </c>
      <c r="G35">
        <v>127.8</v>
      </c>
      <c r="H35">
        <v>7894221591484</v>
      </c>
    </row>
    <row r="36" spans="1:8">
      <c r="A36" t="s">
        <v>2225</v>
      </c>
      <c r="B36" t="s">
        <v>2226</v>
      </c>
      <c r="C36" t="s">
        <v>2205</v>
      </c>
      <c r="D36" t="s">
        <v>2227</v>
      </c>
      <c r="E36" t="s">
        <v>51</v>
      </c>
      <c r="F36">
        <v>469.9</v>
      </c>
      <c r="G36">
        <v>177.1</v>
      </c>
      <c r="H36">
        <v>7899543593369</v>
      </c>
    </row>
    <row r="37" spans="1:8">
      <c r="A37" s="1" t="s">
        <v>2228</v>
      </c>
      <c r="B37" t="s">
        <v>2226</v>
      </c>
      <c r="C37" t="s">
        <v>2205</v>
      </c>
      <c r="D37" t="s">
        <v>2227</v>
      </c>
      <c r="E37" t="s">
        <v>54</v>
      </c>
      <c r="F37">
        <v>469.9</v>
      </c>
      <c r="G37">
        <v>177.1</v>
      </c>
      <c r="H37">
        <v>7892647359947</v>
      </c>
    </row>
    <row r="38" spans="1:8">
      <c r="A38" s="1" t="s">
        <v>2229</v>
      </c>
      <c r="B38" t="s">
        <v>2226</v>
      </c>
      <c r="C38" t="s">
        <v>2205</v>
      </c>
      <c r="D38" t="s">
        <v>2227</v>
      </c>
      <c r="E38" t="s">
        <v>58</v>
      </c>
      <c r="F38">
        <v>469.9</v>
      </c>
      <c r="G38">
        <v>177.1</v>
      </c>
      <c r="H38">
        <v>7897090404237</v>
      </c>
    </row>
    <row r="39" spans="1:8">
      <c r="A39" s="1" t="s">
        <v>2230</v>
      </c>
      <c r="B39" t="s">
        <v>2226</v>
      </c>
      <c r="C39" t="s">
        <v>2205</v>
      </c>
      <c r="D39" t="s">
        <v>2227</v>
      </c>
      <c r="E39" t="s">
        <v>61</v>
      </c>
      <c r="F39">
        <v>177.1</v>
      </c>
      <c r="G39">
        <v>469.9</v>
      </c>
      <c r="H39">
        <v>7897544002415</v>
      </c>
    </row>
    <row r="40" spans="1:8">
      <c r="A40" t="s">
        <v>2231</v>
      </c>
      <c r="B40" t="s">
        <v>2232</v>
      </c>
      <c r="C40" t="s">
        <v>2233</v>
      </c>
      <c r="D40" t="s">
        <v>2206</v>
      </c>
      <c r="E40" t="s">
        <v>2234</v>
      </c>
      <c r="F40">
        <v>199.9</v>
      </c>
      <c r="G40">
        <v>72.42</v>
      </c>
      <c r="H40">
        <v>7898216390687</v>
      </c>
    </row>
    <row r="41" spans="1:8">
      <c r="A41" s="1" t="s">
        <v>2235</v>
      </c>
      <c r="B41" t="s">
        <v>2232</v>
      </c>
      <c r="C41" t="s">
        <v>2233</v>
      </c>
      <c r="D41" t="s">
        <v>2206</v>
      </c>
      <c r="E41" t="s">
        <v>2236</v>
      </c>
      <c r="F41">
        <v>199.9</v>
      </c>
      <c r="G41">
        <v>72.42</v>
      </c>
      <c r="H41">
        <v>7898498498941</v>
      </c>
    </row>
    <row r="42" spans="1:8">
      <c r="A42" t="s">
        <v>2237</v>
      </c>
      <c r="B42" t="s">
        <v>2232</v>
      </c>
      <c r="C42" t="s">
        <v>2233</v>
      </c>
      <c r="D42" t="s">
        <v>2206</v>
      </c>
      <c r="E42" t="s">
        <v>2238</v>
      </c>
      <c r="F42">
        <v>199.9</v>
      </c>
      <c r="G42">
        <v>72.42</v>
      </c>
      <c r="H42">
        <v>7890197293223</v>
      </c>
    </row>
    <row r="43" spans="1:8">
      <c r="A43" s="1" t="s">
        <v>2239</v>
      </c>
      <c r="B43" t="s">
        <v>2232</v>
      </c>
      <c r="C43" t="s">
        <v>2233</v>
      </c>
      <c r="D43" t="s">
        <v>2206</v>
      </c>
      <c r="E43" t="s">
        <v>2240</v>
      </c>
      <c r="F43">
        <v>199.9</v>
      </c>
      <c r="G43">
        <v>72.42</v>
      </c>
      <c r="H43">
        <v>7897294766360</v>
      </c>
    </row>
    <row r="44" spans="1:8">
      <c r="A44" s="1" t="s">
        <v>2241</v>
      </c>
      <c r="B44" t="s">
        <v>2232</v>
      </c>
      <c r="C44" t="s">
        <v>2233</v>
      </c>
      <c r="D44" t="s">
        <v>2206</v>
      </c>
      <c r="E44" t="s">
        <v>2242</v>
      </c>
      <c r="F44">
        <v>199.9</v>
      </c>
      <c r="G44">
        <v>72.42</v>
      </c>
      <c r="H44">
        <v>7894608933364</v>
      </c>
    </row>
    <row r="45" spans="1:8">
      <c r="A45" t="s">
        <v>2243</v>
      </c>
      <c r="B45" t="s">
        <v>2232</v>
      </c>
      <c r="C45" t="s">
        <v>2233</v>
      </c>
      <c r="D45" t="s">
        <v>2244</v>
      </c>
      <c r="E45" t="s">
        <v>2234</v>
      </c>
      <c r="F45">
        <v>199.9</v>
      </c>
      <c r="G45">
        <v>72.42</v>
      </c>
      <c r="H45">
        <v>7897431672844</v>
      </c>
    </row>
    <row r="46" spans="1:8">
      <c r="A46" t="s">
        <v>2245</v>
      </c>
      <c r="B46" t="s">
        <v>2232</v>
      </c>
      <c r="C46" t="s">
        <v>2233</v>
      </c>
      <c r="D46" t="s">
        <v>2244</v>
      </c>
      <c r="E46" t="s">
        <v>2236</v>
      </c>
      <c r="F46">
        <v>199.9</v>
      </c>
      <c r="G46">
        <v>72.42</v>
      </c>
      <c r="H46">
        <v>7896523012865</v>
      </c>
    </row>
    <row r="47" spans="1:8">
      <c r="A47" t="s">
        <v>2246</v>
      </c>
      <c r="B47" t="s">
        <v>2232</v>
      </c>
      <c r="C47" t="s">
        <v>2233</v>
      </c>
      <c r="D47" t="s">
        <v>2244</v>
      </c>
      <c r="E47" t="s">
        <v>2238</v>
      </c>
      <c r="F47">
        <v>199.9</v>
      </c>
      <c r="G47">
        <v>72.42</v>
      </c>
      <c r="H47">
        <v>7891146210797</v>
      </c>
    </row>
    <row r="48" spans="1:8">
      <c r="A48" s="1" t="s">
        <v>2247</v>
      </c>
      <c r="B48" t="s">
        <v>2232</v>
      </c>
      <c r="C48" t="s">
        <v>2233</v>
      </c>
      <c r="D48" t="s">
        <v>2244</v>
      </c>
      <c r="E48" t="s">
        <v>2240</v>
      </c>
      <c r="F48">
        <v>199.9</v>
      </c>
      <c r="G48">
        <v>72.42</v>
      </c>
      <c r="H48">
        <v>7897225413394</v>
      </c>
    </row>
    <row r="49" spans="1:8">
      <c r="A49" s="1" t="s">
        <v>2248</v>
      </c>
      <c r="B49" t="s">
        <v>2232</v>
      </c>
      <c r="C49" t="s">
        <v>2233</v>
      </c>
      <c r="D49" t="s">
        <v>2244</v>
      </c>
      <c r="E49" t="s">
        <v>2242</v>
      </c>
      <c r="F49">
        <v>199.9</v>
      </c>
      <c r="G49">
        <v>72.42</v>
      </c>
      <c r="H49">
        <v>7895642628919</v>
      </c>
    </row>
    <row r="50" spans="1:8">
      <c r="A50" s="1" t="s">
        <v>2249</v>
      </c>
      <c r="B50" t="s">
        <v>2250</v>
      </c>
      <c r="C50" t="s">
        <v>2251</v>
      </c>
      <c r="D50" t="s">
        <v>2206</v>
      </c>
      <c r="E50" t="s">
        <v>2150</v>
      </c>
      <c r="F50">
        <v>69.900000000000006</v>
      </c>
      <c r="G50">
        <v>30.63</v>
      </c>
      <c r="H50">
        <v>7891992480900</v>
      </c>
    </row>
    <row r="51" spans="1:8">
      <c r="A51" s="1" t="s">
        <v>2252</v>
      </c>
      <c r="B51" t="s">
        <v>2250</v>
      </c>
      <c r="C51" t="s">
        <v>2251</v>
      </c>
      <c r="D51" t="s">
        <v>2253</v>
      </c>
      <c r="E51" t="s">
        <v>2150</v>
      </c>
      <c r="F51">
        <v>69.900000000000006</v>
      </c>
      <c r="G51">
        <v>30.63</v>
      </c>
      <c r="H51">
        <v>7896558101015</v>
      </c>
    </row>
    <row r="52" spans="1:8">
      <c r="A52" s="1" t="s">
        <v>2254</v>
      </c>
      <c r="B52" t="s">
        <v>2250</v>
      </c>
      <c r="C52" t="s">
        <v>2251</v>
      </c>
      <c r="D52" t="s">
        <v>2255</v>
      </c>
      <c r="E52" t="s">
        <v>2150</v>
      </c>
      <c r="F52">
        <v>69.900000000000006</v>
      </c>
      <c r="G52">
        <v>30.63</v>
      </c>
      <c r="H52">
        <v>7899189295054</v>
      </c>
    </row>
    <row r="53" spans="1:8">
      <c r="A53" t="s">
        <v>2256</v>
      </c>
      <c r="B53" t="s">
        <v>2257</v>
      </c>
      <c r="C53" t="s">
        <v>2195</v>
      </c>
      <c r="D53" t="s">
        <v>2258</v>
      </c>
      <c r="E53" t="s">
        <v>51</v>
      </c>
      <c r="F53">
        <v>319.89999999999998</v>
      </c>
      <c r="G53">
        <v>131.4</v>
      </c>
      <c r="H53">
        <v>7893655542123</v>
      </c>
    </row>
    <row r="54" spans="1:8">
      <c r="A54" s="1" t="s">
        <v>2259</v>
      </c>
      <c r="B54" t="s">
        <v>2257</v>
      </c>
      <c r="C54" t="s">
        <v>2195</v>
      </c>
      <c r="D54" t="s">
        <v>2258</v>
      </c>
      <c r="E54" t="s">
        <v>54</v>
      </c>
      <c r="F54">
        <v>319.89999999999998</v>
      </c>
      <c r="G54">
        <v>131.4</v>
      </c>
      <c r="H54">
        <v>7896713299199</v>
      </c>
    </row>
    <row r="55" spans="1:8">
      <c r="A55" s="1" t="s">
        <v>2260</v>
      </c>
      <c r="B55" t="s">
        <v>2257</v>
      </c>
      <c r="C55" t="s">
        <v>2195</v>
      </c>
      <c r="D55" t="s">
        <v>2258</v>
      </c>
      <c r="E55" t="s">
        <v>58</v>
      </c>
      <c r="F55">
        <v>319.89999999999998</v>
      </c>
      <c r="G55">
        <v>131.4</v>
      </c>
      <c r="H55">
        <v>7897457575105</v>
      </c>
    </row>
    <row r="56" spans="1:8">
      <c r="A56" t="s">
        <v>2261</v>
      </c>
      <c r="B56" t="s">
        <v>2257</v>
      </c>
      <c r="C56" t="s">
        <v>2195</v>
      </c>
      <c r="D56" t="s">
        <v>2258</v>
      </c>
      <c r="E56" t="s">
        <v>61</v>
      </c>
      <c r="F56">
        <v>319.89999999999998</v>
      </c>
      <c r="G56">
        <v>131.4</v>
      </c>
      <c r="H56">
        <v>7897798800522</v>
      </c>
    </row>
    <row r="57" spans="1:8">
      <c r="A57" t="s">
        <v>2262</v>
      </c>
      <c r="B57" t="s">
        <v>2263</v>
      </c>
      <c r="C57" t="s">
        <v>2195</v>
      </c>
      <c r="D57" t="s">
        <v>2258</v>
      </c>
      <c r="E57" t="s">
        <v>51</v>
      </c>
      <c r="F57">
        <v>279.89999999999998</v>
      </c>
      <c r="G57">
        <v>115.41</v>
      </c>
      <c r="H57">
        <v>7898726036952</v>
      </c>
    </row>
    <row r="58" spans="1:8">
      <c r="A58" t="s">
        <v>2264</v>
      </c>
      <c r="B58" t="s">
        <v>2263</v>
      </c>
      <c r="C58" t="s">
        <v>2195</v>
      </c>
      <c r="D58" t="s">
        <v>2258</v>
      </c>
      <c r="E58" t="s">
        <v>54</v>
      </c>
      <c r="F58">
        <v>279.89999999999998</v>
      </c>
      <c r="G58">
        <v>115.41</v>
      </c>
      <c r="H58">
        <v>7898168806816</v>
      </c>
    </row>
    <row r="59" spans="1:8">
      <c r="A59" t="s">
        <v>2265</v>
      </c>
      <c r="B59" t="s">
        <v>2263</v>
      </c>
      <c r="C59" t="s">
        <v>2195</v>
      </c>
      <c r="D59" t="s">
        <v>2258</v>
      </c>
      <c r="E59" t="s">
        <v>58</v>
      </c>
      <c r="F59">
        <v>279.89999999999998</v>
      </c>
      <c r="G59">
        <v>115.41</v>
      </c>
      <c r="H59">
        <v>7895335647289</v>
      </c>
    </row>
    <row r="60" spans="1:8">
      <c r="A60" t="s">
        <v>2266</v>
      </c>
      <c r="B60" t="s">
        <v>2263</v>
      </c>
      <c r="C60" t="s">
        <v>2195</v>
      </c>
      <c r="D60" t="s">
        <v>2258</v>
      </c>
      <c r="E60" t="s">
        <v>61</v>
      </c>
      <c r="F60">
        <v>279.89999999999998</v>
      </c>
      <c r="G60">
        <v>115.41</v>
      </c>
      <c r="H60">
        <v>7899123401701</v>
      </c>
    </row>
    <row r="61" spans="1:8">
      <c r="A61" s="1" t="s">
        <v>2267</v>
      </c>
      <c r="B61" t="s">
        <v>2263</v>
      </c>
      <c r="C61" t="s">
        <v>2195</v>
      </c>
      <c r="D61" t="s">
        <v>2180</v>
      </c>
      <c r="E61" t="s">
        <v>51</v>
      </c>
      <c r="F61">
        <v>279.89999999999998</v>
      </c>
      <c r="G61">
        <v>115.41</v>
      </c>
      <c r="H61">
        <v>7897318233885</v>
      </c>
    </row>
    <row r="62" spans="1:8">
      <c r="A62" s="1" t="s">
        <v>2268</v>
      </c>
      <c r="B62" t="s">
        <v>2263</v>
      </c>
      <c r="C62" t="s">
        <v>2195</v>
      </c>
      <c r="D62" t="s">
        <v>2180</v>
      </c>
      <c r="E62" t="s">
        <v>54</v>
      </c>
      <c r="F62">
        <v>279.89999999999998</v>
      </c>
      <c r="G62">
        <v>115.41</v>
      </c>
      <c r="H62">
        <v>7896148692473</v>
      </c>
    </row>
    <row r="63" spans="1:8">
      <c r="A63" s="1" t="s">
        <v>2269</v>
      </c>
      <c r="B63" t="s">
        <v>2263</v>
      </c>
      <c r="C63" t="s">
        <v>2195</v>
      </c>
      <c r="D63" t="s">
        <v>2180</v>
      </c>
      <c r="E63" t="s">
        <v>58</v>
      </c>
      <c r="F63">
        <v>279.89999999999998</v>
      </c>
      <c r="G63">
        <v>115.41</v>
      </c>
      <c r="H63">
        <v>7896984104154</v>
      </c>
    </row>
    <row r="64" spans="1:8">
      <c r="A64" s="1" t="s">
        <v>2270</v>
      </c>
      <c r="B64" t="s">
        <v>2263</v>
      </c>
      <c r="C64" t="s">
        <v>2195</v>
      </c>
      <c r="D64" t="s">
        <v>2180</v>
      </c>
      <c r="E64" t="s">
        <v>61</v>
      </c>
      <c r="F64">
        <v>279.89999999999998</v>
      </c>
      <c r="G64">
        <v>115.41</v>
      </c>
      <c r="H64">
        <v>7890114200419</v>
      </c>
    </row>
    <row r="65" spans="1:8">
      <c r="A65" s="1" t="s">
        <v>2271</v>
      </c>
      <c r="B65" t="s">
        <v>2272</v>
      </c>
      <c r="C65" t="s">
        <v>2273</v>
      </c>
      <c r="D65" t="s">
        <v>2255</v>
      </c>
      <c r="E65" t="s">
        <v>51</v>
      </c>
      <c r="F65">
        <v>229.9</v>
      </c>
      <c r="G65">
        <v>78.53</v>
      </c>
      <c r="H65">
        <v>7891974613470</v>
      </c>
    </row>
    <row r="66" spans="1:8">
      <c r="A66" t="s">
        <v>2274</v>
      </c>
      <c r="B66" t="s">
        <v>2272</v>
      </c>
      <c r="C66" t="s">
        <v>2273</v>
      </c>
      <c r="D66" t="s">
        <v>2255</v>
      </c>
      <c r="E66" t="s">
        <v>54</v>
      </c>
      <c r="F66">
        <v>229.9</v>
      </c>
      <c r="G66">
        <v>78.53</v>
      </c>
      <c r="H66">
        <v>7899469927910</v>
      </c>
    </row>
    <row r="67" spans="1:8">
      <c r="A67" s="1" t="s">
        <v>2275</v>
      </c>
      <c r="B67" t="s">
        <v>2272</v>
      </c>
      <c r="C67" t="s">
        <v>2273</v>
      </c>
      <c r="D67" t="s">
        <v>2255</v>
      </c>
      <c r="E67" t="s">
        <v>58</v>
      </c>
      <c r="F67">
        <v>229.9</v>
      </c>
      <c r="G67">
        <v>78.53</v>
      </c>
      <c r="H67">
        <v>7892204663593</v>
      </c>
    </row>
    <row r="68" spans="1:8">
      <c r="A68" t="s">
        <v>2276</v>
      </c>
      <c r="B68" t="s">
        <v>2272</v>
      </c>
      <c r="C68" t="s">
        <v>2273</v>
      </c>
      <c r="D68" t="s">
        <v>2255</v>
      </c>
      <c r="E68" t="s">
        <v>61</v>
      </c>
      <c r="F68">
        <v>229.9</v>
      </c>
      <c r="G68">
        <v>78.53</v>
      </c>
      <c r="H68">
        <v>7891826842171</v>
      </c>
    </row>
    <row r="69" spans="1:8">
      <c r="A69" t="s">
        <v>2277</v>
      </c>
      <c r="B69" t="s">
        <v>2272</v>
      </c>
      <c r="C69" t="s">
        <v>2273</v>
      </c>
      <c r="D69" t="s">
        <v>2258</v>
      </c>
      <c r="E69" t="s">
        <v>51</v>
      </c>
      <c r="F69">
        <v>229.9</v>
      </c>
      <c r="G69">
        <v>78.53</v>
      </c>
      <c r="H69">
        <v>7896817369224</v>
      </c>
    </row>
    <row r="70" spans="1:8">
      <c r="A70" s="1" t="s">
        <v>2278</v>
      </c>
      <c r="B70" t="s">
        <v>2272</v>
      </c>
      <c r="C70" t="s">
        <v>2273</v>
      </c>
      <c r="D70" t="s">
        <v>2258</v>
      </c>
      <c r="E70" t="s">
        <v>54</v>
      </c>
      <c r="F70">
        <v>229.9</v>
      </c>
      <c r="G70">
        <v>78.53</v>
      </c>
      <c r="H70">
        <v>7899134722338</v>
      </c>
    </row>
    <row r="71" spans="1:8">
      <c r="A71" t="s">
        <v>2279</v>
      </c>
      <c r="B71" t="s">
        <v>2272</v>
      </c>
      <c r="C71" t="s">
        <v>2273</v>
      </c>
      <c r="D71" t="s">
        <v>2258</v>
      </c>
      <c r="E71" t="s">
        <v>58</v>
      </c>
      <c r="F71">
        <v>229.9</v>
      </c>
      <c r="G71">
        <v>78.53</v>
      </c>
      <c r="H71">
        <v>7892440080284</v>
      </c>
    </row>
    <row r="72" spans="1:8">
      <c r="A72" s="1" t="s">
        <v>2280</v>
      </c>
      <c r="B72" t="s">
        <v>2272</v>
      </c>
      <c r="C72" t="s">
        <v>2273</v>
      </c>
      <c r="D72" t="s">
        <v>2258</v>
      </c>
      <c r="E72" t="s">
        <v>61</v>
      </c>
      <c r="F72">
        <v>229.9</v>
      </c>
      <c r="G72">
        <v>78.53</v>
      </c>
      <c r="H72">
        <v>7894043148613</v>
      </c>
    </row>
    <row r="73" spans="1:8">
      <c r="A73" s="1" t="s">
        <v>2281</v>
      </c>
      <c r="B73" t="s">
        <v>2272</v>
      </c>
      <c r="C73" t="s">
        <v>2273</v>
      </c>
      <c r="D73" t="s">
        <v>2282</v>
      </c>
      <c r="E73" t="s">
        <v>51</v>
      </c>
      <c r="F73">
        <v>78.53</v>
      </c>
      <c r="G73">
        <v>229.9</v>
      </c>
      <c r="H73">
        <v>7898023122402</v>
      </c>
    </row>
    <row r="74" spans="1:8">
      <c r="A74" s="1" t="s">
        <v>2283</v>
      </c>
      <c r="B74" t="s">
        <v>2272</v>
      </c>
      <c r="C74" t="s">
        <v>2273</v>
      </c>
      <c r="D74" t="s">
        <v>2282</v>
      </c>
      <c r="E74" t="s">
        <v>54</v>
      </c>
      <c r="F74">
        <v>229.9</v>
      </c>
      <c r="G74">
        <v>78.53</v>
      </c>
      <c r="H74">
        <v>7896085618635</v>
      </c>
    </row>
    <row r="75" spans="1:8">
      <c r="A75" t="s">
        <v>2284</v>
      </c>
      <c r="B75" t="s">
        <v>2272</v>
      </c>
      <c r="C75" t="s">
        <v>2273</v>
      </c>
      <c r="D75" t="s">
        <v>2282</v>
      </c>
      <c r="E75" t="s">
        <v>58</v>
      </c>
      <c r="F75">
        <v>229.9</v>
      </c>
      <c r="G75">
        <v>78.53</v>
      </c>
      <c r="H75">
        <v>7894918538358</v>
      </c>
    </row>
    <row r="76" spans="1:8">
      <c r="A76" s="1" t="s">
        <v>2285</v>
      </c>
      <c r="B76" t="s">
        <v>2272</v>
      </c>
      <c r="C76" t="s">
        <v>2273</v>
      </c>
      <c r="D76" t="s">
        <v>2282</v>
      </c>
      <c r="E76" t="s">
        <v>61</v>
      </c>
      <c r="F76">
        <v>229.9</v>
      </c>
      <c r="G76">
        <v>78.53</v>
      </c>
      <c r="H76">
        <v>7896361726344</v>
      </c>
    </row>
    <row r="77" spans="1:8">
      <c r="A77" t="s">
        <v>2286</v>
      </c>
      <c r="B77" t="s">
        <v>2287</v>
      </c>
      <c r="C77" t="s">
        <v>2251</v>
      </c>
      <c r="D77" t="s">
        <v>2244</v>
      </c>
      <c r="E77" t="s">
        <v>2150</v>
      </c>
      <c r="F77">
        <v>99.9</v>
      </c>
      <c r="G77">
        <v>37.979999999999997</v>
      </c>
      <c r="H77">
        <v>7894182350274</v>
      </c>
    </row>
    <row r="78" spans="1:8">
      <c r="A78" s="1" t="s">
        <v>2288</v>
      </c>
      <c r="B78" t="s">
        <v>2289</v>
      </c>
      <c r="C78" t="s">
        <v>2233</v>
      </c>
      <c r="D78" t="s">
        <v>2253</v>
      </c>
      <c r="E78" t="s">
        <v>2234</v>
      </c>
      <c r="F78">
        <v>269.89999999999998</v>
      </c>
      <c r="G78">
        <v>93.54</v>
      </c>
      <c r="H78">
        <v>7890210573301</v>
      </c>
    </row>
    <row r="79" spans="1:8">
      <c r="A79" s="1" t="s">
        <v>2290</v>
      </c>
      <c r="B79" t="s">
        <v>2289</v>
      </c>
      <c r="C79" t="s">
        <v>2233</v>
      </c>
      <c r="D79" t="s">
        <v>2253</v>
      </c>
      <c r="E79" t="s">
        <v>2236</v>
      </c>
      <c r="F79">
        <v>269.89999999999998</v>
      </c>
      <c r="G79">
        <v>93.54</v>
      </c>
      <c r="H79">
        <v>7897991856418</v>
      </c>
    </row>
    <row r="80" spans="1:8">
      <c r="A80" t="s">
        <v>2291</v>
      </c>
      <c r="B80" t="s">
        <v>2289</v>
      </c>
      <c r="C80" t="s">
        <v>2233</v>
      </c>
      <c r="D80" t="s">
        <v>2253</v>
      </c>
      <c r="E80" t="s">
        <v>2238</v>
      </c>
      <c r="F80">
        <v>269.89999999999998</v>
      </c>
      <c r="G80">
        <v>93.54</v>
      </c>
      <c r="H80">
        <v>7896261424258</v>
      </c>
    </row>
    <row r="81" spans="1:8">
      <c r="A81" s="1" t="s">
        <v>2292</v>
      </c>
      <c r="B81" t="s">
        <v>2289</v>
      </c>
      <c r="C81" t="s">
        <v>2233</v>
      </c>
      <c r="D81" t="s">
        <v>2253</v>
      </c>
      <c r="E81" t="s">
        <v>2240</v>
      </c>
      <c r="F81">
        <v>269.89999999999998</v>
      </c>
      <c r="G81">
        <v>93.54</v>
      </c>
      <c r="H81">
        <v>7890869972425</v>
      </c>
    </row>
    <row r="82" spans="1:8">
      <c r="A82" s="1" t="s">
        <v>2293</v>
      </c>
      <c r="B82" t="s">
        <v>2289</v>
      </c>
      <c r="C82" t="s">
        <v>2233</v>
      </c>
      <c r="D82" t="s">
        <v>2253</v>
      </c>
      <c r="E82" t="s">
        <v>2242</v>
      </c>
      <c r="F82">
        <v>269.89999999999998</v>
      </c>
      <c r="G82">
        <v>93.54</v>
      </c>
      <c r="H82">
        <v>7894992948012</v>
      </c>
    </row>
    <row r="83" spans="1:8">
      <c r="A83" t="s">
        <v>2294</v>
      </c>
      <c r="B83" t="s">
        <v>2295</v>
      </c>
      <c r="C83" t="s">
        <v>2296</v>
      </c>
      <c r="D83" t="s">
        <v>2212</v>
      </c>
      <c r="E83" t="s">
        <v>2236</v>
      </c>
      <c r="F83">
        <v>179.9</v>
      </c>
      <c r="G83">
        <v>65.73</v>
      </c>
      <c r="H83">
        <v>7898796176565</v>
      </c>
    </row>
    <row r="84" spans="1:8">
      <c r="A84" t="s">
        <v>2297</v>
      </c>
      <c r="B84" t="s">
        <v>2295</v>
      </c>
      <c r="C84" t="s">
        <v>2296</v>
      </c>
      <c r="D84" t="s">
        <v>2212</v>
      </c>
      <c r="E84" t="s">
        <v>2238</v>
      </c>
      <c r="F84">
        <v>179.9</v>
      </c>
      <c r="G84">
        <v>65.73</v>
      </c>
      <c r="H84">
        <v>7899753385082</v>
      </c>
    </row>
    <row r="85" spans="1:8">
      <c r="A85" t="s">
        <v>2298</v>
      </c>
      <c r="B85" t="s">
        <v>2295</v>
      </c>
      <c r="C85" t="s">
        <v>2296</v>
      </c>
      <c r="D85" t="s">
        <v>2212</v>
      </c>
      <c r="E85" t="s">
        <v>2240</v>
      </c>
      <c r="F85">
        <v>179.9</v>
      </c>
      <c r="G85">
        <v>65.73</v>
      </c>
      <c r="H85">
        <v>7896347367011</v>
      </c>
    </row>
    <row r="86" spans="1:8">
      <c r="A86" t="s">
        <v>2299</v>
      </c>
      <c r="B86" t="s">
        <v>2295</v>
      </c>
      <c r="C86" t="s">
        <v>2296</v>
      </c>
      <c r="D86" t="s">
        <v>2212</v>
      </c>
      <c r="E86" t="s">
        <v>2242</v>
      </c>
      <c r="F86">
        <v>179.9</v>
      </c>
      <c r="G86">
        <v>65.73</v>
      </c>
      <c r="H86">
        <v>7892975406726</v>
      </c>
    </row>
    <row r="87" spans="1:8">
      <c r="A87" t="s">
        <v>2300</v>
      </c>
      <c r="B87" t="s">
        <v>2301</v>
      </c>
      <c r="C87" t="s">
        <v>2233</v>
      </c>
      <c r="D87" t="s">
        <v>2255</v>
      </c>
      <c r="E87" t="s">
        <v>2236</v>
      </c>
      <c r="F87">
        <v>299.89999999999998</v>
      </c>
      <c r="G87">
        <v>126.98</v>
      </c>
      <c r="H87">
        <v>7894611826721</v>
      </c>
    </row>
    <row r="88" spans="1:8">
      <c r="A88" t="s">
        <v>2302</v>
      </c>
      <c r="B88" t="s">
        <v>2301</v>
      </c>
      <c r="C88" t="s">
        <v>2233</v>
      </c>
      <c r="D88" t="s">
        <v>2255</v>
      </c>
      <c r="E88" t="s">
        <v>2238</v>
      </c>
      <c r="F88">
        <v>299.89999999999998</v>
      </c>
      <c r="G88">
        <v>126.98</v>
      </c>
      <c r="H88">
        <v>7893357707806</v>
      </c>
    </row>
    <row r="89" spans="1:8">
      <c r="A89" t="s">
        <v>2303</v>
      </c>
      <c r="B89" t="s">
        <v>2301</v>
      </c>
      <c r="C89" t="s">
        <v>2233</v>
      </c>
      <c r="D89" t="s">
        <v>2255</v>
      </c>
      <c r="E89" t="s">
        <v>2240</v>
      </c>
      <c r="F89">
        <v>299.89999999999998</v>
      </c>
      <c r="G89">
        <v>126.98</v>
      </c>
      <c r="H89">
        <v>7890923947949</v>
      </c>
    </row>
    <row r="90" spans="1:8">
      <c r="A90" t="s">
        <v>2304</v>
      </c>
      <c r="B90" t="s">
        <v>2301</v>
      </c>
      <c r="C90" t="s">
        <v>2233</v>
      </c>
      <c r="D90" t="s">
        <v>2255</v>
      </c>
      <c r="E90" t="s">
        <v>2242</v>
      </c>
      <c r="F90">
        <v>299.89999999999998</v>
      </c>
      <c r="G90">
        <v>126.98</v>
      </c>
      <c r="H90">
        <v>7892822183848</v>
      </c>
    </row>
    <row r="91" spans="1:8">
      <c r="A91" t="s">
        <v>2305</v>
      </c>
      <c r="B91" t="s">
        <v>2306</v>
      </c>
      <c r="C91" t="s">
        <v>2233</v>
      </c>
      <c r="D91" t="s">
        <v>2307</v>
      </c>
      <c r="E91" t="s">
        <v>2234</v>
      </c>
      <c r="F91">
        <v>179.9</v>
      </c>
      <c r="G91">
        <v>65.33</v>
      </c>
      <c r="H91">
        <v>7890234136537</v>
      </c>
    </row>
    <row r="92" spans="1:8">
      <c r="A92" t="s">
        <v>2308</v>
      </c>
      <c r="B92" t="s">
        <v>2306</v>
      </c>
      <c r="C92" t="s">
        <v>2233</v>
      </c>
      <c r="D92" t="s">
        <v>2307</v>
      </c>
      <c r="E92" t="s">
        <v>2236</v>
      </c>
      <c r="F92">
        <v>179.9</v>
      </c>
      <c r="G92">
        <v>65.33</v>
      </c>
      <c r="H92">
        <v>7895166764988</v>
      </c>
    </row>
    <row r="93" spans="1:8">
      <c r="A93" t="s">
        <v>2309</v>
      </c>
      <c r="B93" t="s">
        <v>2306</v>
      </c>
      <c r="C93" t="s">
        <v>2233</v>
      </c>
      <c r="D93" t="s">
        <v>2307</v>
      </c>
      <c r="E93" t="s">
        <v>2238</v>
      </c>
      <c r="F93">
        <v>179.9</v>
      </c>
      <c r="G93">
        <v>65.33</v>
      </c>
      <c r="H93">
        <v>7894227479489</v>
      </c>
    </row>
    <row r="94" spans="1:8">
      <c r="A94" t="s">
        <v>2310</v>
      </c>
      <c r="B94" t="s">
        <v>2306</v>
      </c>
      <c r="C94" t="s">
        <v>2233</v>
      </c>
      <c r="D94" t="s">
        <v>2307</v>
      </c>
      <c r="E94" t="s">
        <v>2240</v>
      </c>
      <c r="F94">
        <v>179.9</v>
      </c>
      <c r="G94">
        <v>65.33</v>
      </c>
      <c r="H94">
        <v>7892323516329</v>
      </c>
    </row>
    <row r="95" spans="1:8">
      <c r="A95" t="s">
        <v>2311</v>
      </c>
      <c r="B95" t="s">
        <v>2306</v>
      </c>
      <c r="C95" t="s">
        <v>2233</v>
      </c>
      <c r="D95" t="s">
        <v>2307</v>
      </c>
      <c r="E95" t="s">
        <v>2242</v>
      </c>
      <c r="F95">
        <v>179.9</v>
      </c>
      <c r="G95">
        <v>65.33</v>
      </c>
      <c r="H95">
        <v>7894998521615</v>
      </c>
    </row>
    <row r="96" spans="1:8">
      <c r="A96" t="s">
        <v>2312</v>
      </c>
      <c r="B96" t="s">
        <v>2306</v>
      </c>
      <c r="C96" t="s">
        <v>2233</v>
      </c>
      <c r="D96" t="s">
        <v>2307</v>
      </c>
      <c r="E96" t="s">
        <v>2313</v>
      </c>
      <c r="F96">
        <v>179.9</v>
      </c>
      <c r="G96">
        <v>65.33</v>
      </c>
      <c r="H96">
        <v>7890306814691</v>
      </c>
    </row>
    <row r="97" spans="1:8">
      <c r="A97" t="s">
        <v>2314</v>
      </c>
      <c r="B97" t="s">
        <v>2306</v>
      </c>
      <c r="C97" t="s">
        <v>2233</v>
      </c>
      <c r="D97" t="s">
        <v>2258</v>
      </c>
      <c r="E97" t="s">
        <v>2234</v>
      </c>
      <c r="F97">
        <v>179.9</v>
      </c>
      <c r="G97">
        <v>65.33</v>
      </c>
      <c r="H97">
        <v>7894903281368</v>
      </c>
    </row>
    <row r="98" spans="1:8">
      <c r="A98" t="s">
        <v>2315</v>
      </c>
      <c r="B98" t="s">
        <v>2306</v>
      </c>
      <c r="C98" t="s">
        <v>2233</v>
      </c>
      <c r="D98" t="s">
        <v>2258</v>
      </c>
      <c r="E98" t="s">
        <v>2236</v>
      </c>
      <c r="F98">
        <v>179.9</v>
      </c>
      <c r="G98">
        <v>65.33</v>
      </c>
      <c r="H98">
        <v>7894628165028</v>
      </c>
    </row>
    <row r="99" spans="1:8">
      <c r="A99" t="s">
        <v>2316</v>
      </c>
      <c r="B99" t="s">
        <v>2306</v>
      </c>
      <c r="C99" t="s">
        <v>2233</v>
      </c>
      <c r="D99" t="s">
        <v>2258</v>
      </c>
      <c r="E99" t="s">
        <v>2238</v>
      </c>
      <c r="F99">
        <v>179.9</v>
      </c>
      <c r="G99">
        <v>65.33</v>
      </c>
      <c r="H99">
        <v>7895587804591</v>
      </c>
    </row>
    <row r="100" spans="1:8">
      <c r="A100" t="s">
        <v>2317</v>
      </c>
      <c r="B100" t="s">
        <v>2306</v>
      </c>
      <c r="C100" t="s">
        <v>2233</v>
      </c>
      <c r="D100" t="s">
        <v>2258</v>
      </c>
      <c r="E100" t="s">
        <v>2240</v>
      </c>
      <c r="F100">
        <v>179.9</v>
      </c>
      <c r="G100">
        <v>65.33</v>
      </c>
      <c r="H100">
        <v>7897709877957</v>
      </c>
    </row>
    <row r="101" spans="1:8">
      <c r="A101" t="s">
        <v>2318</v>
      </c>
      <c r="B101" t="s">
        <v>2306</v>
      </c>
      <c r="C101" t="s">
        <v>2233</v>
      </c>
      <c r="D101" t="s">
        <v>2258</v>
      </c>
      <c r="E101" t="s">
        <v>2242</v>
      </c>
      <c r="F101">
        <v>179.9</v>
      </c>
      <c r="G101">
        <v>65.33</v>
      </c>
      <c r="H101">
        <v>7894475017723</v>
      </c>
    </row>
    <row r="102" spans="1:8">
      <c r="A102" t="s">
        <v>2319</v>
      </c>
      <c r="B102" t="s">
        <v>2306</v>
      </c>
      <c r="C102" t="s">
        <v>2233</v>
      </c>
      <c r="D102" t="s">
        <v>2258</v>
      </c>
      <c r="E102" t="s">
        <v>2313</v>
      </c>
      <c r="F102">
        <v>179.9</v>
      </c>
      <c r="G102">
        <v>65.33</v>
      </c>
      <c r="H102">
        <v>7894691703462</v>
      </c>
    </row>
    <row r="103" spans="1:8">
      <c r="A103" t="s">
        <v>2320</v>
      </c>
      <c r="B103" t="s">
        <v>2321</v>
      </c>
      <c r="C103" t="s">
        <v>2233</v>
      </c>
      <c r="D103" t="s">
        <v>2255</v>
      </c>
      <c r="E103" t="s">
        <v>2234</v>
      </c>
      <c r="F103">
        <v>299.89999999999998</v>
      </c>
      <c r="G103">
        <v>108.96</v>
      </c>
      <c r="H103">
        <v>7893382069832</v>
      </c>
    </row>
    <row r="104" spans="1:8">
      <c r="A104" t="s">
        <v>2322</v>
      </c>
      <c r="B104" t="s">
        <v>2321</v>
      </c>
      <c r="C104" t="s">
        <v>2233</v>
      </c>
      <c r="D104" t="s">
        <v>2255</v>
      </c>
      <c r="E104" t="s">
        <v>2236</v>
      </c>
      <c r="F104">
        <v>299.89999999999998</v>
      </c>
      <c r="G104">
        <v>108.96</v>
      </c>
      <c r="H104">
        <v>7892648660479</v>
      </c>
    </row>
    <row r="105" spans="1:8">
      <c r="A105" t="s">
        <v>2323</v>
      </c>
      <c r="B105" t="s">
        <v>2321</v>
      </c>
      <c r="C105" t="s">
        <v>2233</v>
      </c>
      <c r="D105" t="s">
        <v>2255</v>
      </c>
      <c r="E105" t="s">
        <v>2238</v>
      </c>
      <c r="F105">
        <v>299.89999999999998</v>
      </c>
      <c r="G105">
        <v>108.96</v>
      </c>
      <c r="H105">
        <v>7892512915216</v>
      </c>
    </row>
    <row r="106" spans="1:8">
      <c r="A106" t="s">
        <v>2324</v>
      </c>
      <c r="B106" t="s">
        <v>2321</v>
      </c>
      <c r="C106" t="s">
        <v>2233</v>
      </c>
      <c r="D106" t="s">
        <v>2255</v>
      </c>
      <c r="E106" t="s">
        <v>2240</v>
      </c>
      <c r="F106">
        <v>299.89999999999998</v>
      </c>
      <c r="G106">
        <v>108.96</v>
      </c>
      <c r="H106">
        <v>7895262858192</v>
      </c>
    </row>
    <row r="107" spans="1:8">
      <c r="A107" t="s">
        <v>2325</v>
      </c>
      <c r="B107" t="s">
        <v>2321</v>
      </c>
      <c r="C107" t="s">
        <v>2233</v>
      </c>
      <c r="D107" t="s">
        <v>2255</v>
      </c>
      <c r="E107" t="s">
        <v>2242</v>
      </c>
      <c r="F107">
        <v>299.89999999999998</v>
      </c>
      <c r="G107">
        <v>108.96</v>
      </c>
      <c r="H107">
        <v>7899675032736</v>
      </c>
    </row>
    <row r="108" spans="1:8">
      <c r="A108" t="s">
        <v>2326</v>
      </c>
      <c r="B108" t="s">
        <v>2327</v>
      </c>
      <c r="C108" t="s">
        <v>2188</v>
      </c>
      <c r="D108" t="s">
        <v>2328</v>
      </c>
      <c r="E108" t="s">
        <v>51</v>
      </c>
      <c r="F108">
        <v>139.9</v>
      </c>
      <c r="G108">
        <v>58.77</v>
      </c>
      <c r="H108">
        <v>7891224731619</v>
      </c>
    </row>
    <row r="109" spans="1:8">
      <c r="A109" t="s">
        <v>2329</v>
      </c>
      <c r="B109" t="s">
        <v>2327</v>
      </c>
      <c r="C109" t="s">
        <v>2188</v>
      </c>
      <c r="D109" t="s">
        <v>2328</v>
      </c>
      <c r="E109" t="s">
        <v>54</v>
      </c>
      <c r="F109">
        <v>139.9</v>
      </c>
      <c r="G109">
        <v>58.77</v>
      </c>
      <c r="H109">
        <v>7891638760618</v>
      </c>
    </row>
    <row r="110" spans="1:8">
      <c r="A110" t="s">
        <v>2330</v>
      </c>
      <c r="B110" t="s">
        <v>2327</v>
      </c>
      <c r="C110" t="s">
        <v>2188</v>
      </c>
      <c r="D110" t="s">
        <v>2328</v>
      </c>
      <c r="E110" t="s">
        <v>58</v>
      </c>
      <c r="F110">
        <v>139.9</v>
      </c>
      <c r="G110">
        <v>58.77</v>
      </c>
      <c r="H110">
        <v>7895072613233</v>
      </c>
    </row>
    <row r="111" spans="1:8">
      <c r="A111" t="s">
        <v>2331</v>
      </c>
      <c r="B111" t="s">
        <v>2327</v>
      </c>
      <c r="C111" t="s">
        <v>2188</v>
      </c>
      <c r="D111" t="s">
        <v>2328</v>
      </c>
      <c r="E111" t="s">
        <v>61</v>
      </c>
      <c r="F111">
        <v>139.9</v>
      </c>
      <c r="G111">
        <v>58.77</v>
      </c>
      <c r="H111">
        <v>7892452724152</v>
      </c>
    </row>
    <row r="112" spans="1:8">
      <c r="A112" t="s">
        <v>2332</v>
      </c>
      <c r="B112" t="s">
        <v>2327</v>
      </c>
      <c r="C112" t="s">
        <v>2188</v>
      </c>
      <c r="D112" t="s">
        <v>2255</v>
      </c>
      <c r="E112" t="s">
        <v>51</v>
      </c>
      <c r="F112">
        <v>139.9</v>
      </c>
      <c r="G112">
        <v>58.77</v>
      </c>
      <c r="H112">
        <v>7898983185189</v>
      </c>
    </row>
    <row r="113" spans="1:8">
      <c r="A113" t="s">
        <v>2333</v>
      </c>
      <c r="B113" t="s">
        <v>2327</v>
      </c>
      <c r="C113" t="s">
        <v>2188</v>
      </c>
      <c r="D113" t="s">
        <v>2255</v>
      </c>
      <c r="E113" t="s">
        <v>54</v>
      </c>
      <c r="F113">
        <v>139.9</v>
      </c>
      <c r="G113">
        <v>58.77</v>
      </c>
      <c r="H113">
        <v>7890970005371</v>
      </c>
    </row>
    <row r="114" spans="1:8">
      <c r="A114" t="s">
        <v>2334</v>
      </c>
      <c r="B114" t="s">
        <v>2327</v>
      </c>
      <c r="C114" t="s">
        <v>2188</v>
      </c>
      <c r="D114" t="s">
        <v>2255</v>
      </c>
      <c r="E114" t="s">
        <v>58</v>
      </c>
      <c r="F114">
        <v>139.9</v>
      </c>
      <c r="G114">
        <v>58.77</v>
      </c>
      <c r="H114">
        <v>7892482720681</v>
      </c>
    </row>
    <row r="115" spans="1:8">
      <c r="A115" t="s">
        <v>2335</v>
      </c>
      <c r="B115" t="s">
        <v>2327</v>
      </c>
      <c r="C115" t="s">
        <v>2188</v>
      </c>
      <c r="D115" t="s">
        <v>2255</v>
      </c>
      <c r="E115" t="s">
        <v>61</v>
      </c>
      <c r="F115">
        <v>139.9</v>
      </c>
      <c r="G115">
        <v>58.77</v>
      </c>
      <c r="H115">
        <v>7891316556823</v>
      </c>
    </row>
    <row r="116" spans="1:8">
      <c r="A116" t="s">
        <v>2336</v>
      </c>
      <c r="B116" t="s">
        <v>2337</v>
      </c>
      <c r="C116" t="s">
        <v>2296</v>
      </c>
      <c r="D116" t="s">
        <v>2307</v>
      </c>
      <c r="E116" t="s">
        <v>2234</v>
      </c>
      <c r="F116">
        <v>169.9</v>
      </c>
      <c r="G116">
        <v>58.41</v>
      </c>
      <c r="H116">
        <v>7896809126149</v>
      </c>
    </row>
    <row r="117" spans="1:8">
      <c r="A117" t="s">
        <v>2338</v>
      </c>
      <c r="B117" t="s">
        <v>2337</v>
      </c>
      <c r="C117" t="s">
        <v>2296</v>
      </c>
      <c r="D117" t="s">
        <v>2307</v>
      </c>
      <c r="E117" t="s">
        <v>2236</v>
      </c>
      <c r="F117">
        <v>169.9</v>
      </c>
      <c r="G117">
        <v>58.41</v>
      </c>
      <c r="H117">
        <v>7893631370825</v>
      </c>
    </row>
    <row r="118" spans="1:8">
      <c r="A118" t="s">
        <v>2339</v>
      </c>
      <c r="B118" t="s">
        <v>2337</v>
      </c>
      <c r="C118" t="s">
        <v>2296</v>
      </c>
      <c r="D118" t="s">
        <v>2307</v>
      </c>
      <c r="E118" t="s">
        <v>2238</v>
      </c>
      <c r="F118">
        <v>169.9</v>
      </c>
      <c r="G118">
        <v>58.41</v>
      </c>
      <c r="H118">
        <v>7899871360923</v>
      </c>
    </row>
    <row r="119" spans="1:8">
      <c r="A119" t="s">
        <v>2340</v>
      </c>
      <c r="B119" t="s">
        <v>2337</v>
      </c>
      <c r="C119" t="s">
        <v>2296</v>
      </c>
      <c r="D119" t="s">
        <v>2307</v>
      </c>
      <c r="E119" t="s">
        <v>2240</v>
      </c>
      <c r="F119">
        <v>169.9</v>
      </c>
      <c r="G119">
        <v>58.41</v>
      </c>
      <c r="H119">
        <v>7893687023553</v>
      </c>
    </row>
    <row r="120" spans="1:8">
      <c r="A120" t="s">
        <v>2341</v>
      </c>
      <c r="B120" t="s">
        <v>2337</v>
      </c>
      <c r="C120" t="s">
        <v>2296</v>
      </c>
      <c r="D120" t="s">
        <v>2307</v>
      </c>
      <c r="E120" t="s">
        <v>2242</v>
      </c>
      <c r="F120">
        <v>169.9</v>
      </c>
      <c r="G120">
        <v>58.41</v>
      </c>
      <c r="H120">
        <v>7894514102298</v>
      </c>
    </row>
    <row r="121" spans="1:8">
      <c r="A121" t="s">
        <v>2342</v>
      </c>
      <c r="B121" t="s">
        <v>2343</v>
      </c>
      <c r="C121" t="s">
        <v>2296</v>
      </c>
      <c r="D121" t="s">
        <v>2212</v>
      </c>
      <c r="E121" t="s">
        <v>2234</v>
      </c>
      <c r="F121">
        <v>159.9</v>
      </c>
      <c r="G121">
        <v>57.04</v>
      </c>
      <c r="H121">
        <v>7893799285887</v>
      </c>
    </row>
    <row r="122" spans="1:8">
      <c r="A122" t="s">
        <v>2344</v>
      </c>
      <c r="B122" t="s">
        <v>2343</v>
      </c>
      <c r="C122" t="s">
        <v>2296</v>
      </c>
      <c r="D122" t="s">
        <v>2212</v>
      </c>
      <c r="E122" t="s">
        <v>2236</v>
      </c>
      <c r="F122">
        <v>159.9</v>
      </c>
      <c r="G122">
        <v>57.04</v>
      </c>
      <c r="H122">
        <v>7892554477277</v>
      </c>
    </row>
    <row r="123" spans="1:8">
      <c r="A123" t="s">
        <v>2345</v>
      </c>
      <c r="B123" t="s">
        <v>2343</v>
      </c>
      <c r="C123" t="s">
        <v>2296</v>
      </c>
      <c r="D123" t="s">
        <v>2212</v>
      </c>
      <c r="E123" t="s">
        <v>2238</v>
      </c>
      <c r="F123">
        <v>159.9</v>
      </c>
      <c r="G123">
        <v>57.04</v>
      </c>
      <c r="H123">
        <v>7898471795678</v>
      </c>
    </row>
    <row r="124" spans="1:8">
      <c r="A124" t="s">
        <v>2346</v>
      </c>
      <c r="B124" t="s">
        <v>2343</v>
      </c>
      <c r="C124" t="s">
        <v>2296</v>
      </c>
      <c r="D124" t="s">
        <v>2212</v>
      </c>
      <c r="E124" t="s">
        <v>2240</v>
      </c>
      <c r="F124">
        <v>159.9</v>
      </c>
      <c r="G124">
        <v>57.04</v>
      </c>
      <c r="H124">
        <v>7894923360555</v>
      </c>
    </row>
    <row r="125" spans="1:8">
      <c r="A125" t="s">
        <v>2347</v>
      </c>
      <c r="B125" t="s">
        <v>2343</v>
      </c>
      <c r="C125" t="s">
        <v>2296</v>
      </c>
      <c r="D125" t="s">
        <v>2212</v>
      </c>
      <c r="E125" t="s">
        <v>2242</v>
      </c>
      <c r="F125">
        <v>159.9</v>
      </c>
      <c r="G125">
        <v>57.04</v>
      </c>
      <c r="H125">
        <v>7899483661913</v>
      </c>
    </row>
    <row r="126" spans="1:8">
      <c r="A126" t="s">
        <v>2348</v>
      </c>
      <c r="B126" t="s">
        <v>2343</v>
      </c>
      <c r="C126" t="s">
        <v>2296</v>
      </c>
      <c r="D126" t="s">
        <v>2212</v>
      </c>
      <c r="E126" t="s">
        <v>2313</v>
      </c>
      <c r="F126">
        <v>159.9</v>
      </c>
      <c r="G126">
        <v>57.04</v>
      </c>
      <c r="H126">
        <v>7894336313858</v>
      </c>
    </row>
    <row r="127" spans="1:8">
      <c r="A127" t="s">
        <v>2349</v>
      </c>
      <c r="B127" t="s">
        <v>2350</v>
      </c>
      <c r="C127" t="s">
        <v>2251</v>
      </c>
      <c r="D127" t="s">
        <v>2258</v>
      </c>
      <c r="E127" t="s">
        <v>2150</v>
      </c>
      <c r="F127">
        <v>139.9</v>
      </c>
      <c r="G127">
        <v>56.49</v>
      </c>
      <c r="H127">
        <v>7891184384085</v>
      </c>
    </row>
    <row r="128" spans="1:8">
      <c r="A128" t="s">
        <v>2351</v>
      </c>
      <c r="B128" t="s">
        <v>2350</v>
      </c>
      <c r="C128" t="s">
        <v>2251</v>
      </c>
      <c r="D128" t="s">
        <v>2253</v>
      </c>
      <c r="E128" t="s">
        <v>2150</v>
      </c>
      <c r="F128">
        <v>139.9</v>
      </c>
      <c r="G128">
        <v>56.49</v>
      </c>
      <c r="H128">
        <v>7899810548429</v>
      </c>
    </row>
    <row r="129" spans="1:8">
      <c r="A129" t="s">
        <v>2352</v>
      </c>
      <c r="B129" t="s">
        <v>2353</v>
      </c>
      <c r="C129" t="s">
        <v>2354</v>
      </c>
      <c r="D129" t="s">
        <v>2307</v>
      </c>
      <c r="E129" t="s">
        <v>51</v>
      </c>
      <c r="F129">
        <v>119.9</v>
      </c>
      <c r="G129">
        <v>49.24</v>
      </c>
      <c r="H129">
        <v>7890840960915</v>
      </c>
    </row>
    <row r="130" spans="1:8">
      <c r="A130" t="s">
        <v>2355</v>
      </c>
      <c r="B130" t="s">
        <v>2353</v>
      </c>
      <c r="C130" t="s">
        <v>2354</v>
      </c>
      <c r="D130" t="s">
        <v>2307</v>
      </c>
      <c r="E130" t="s">
        <v>54</v>
      </c>
      <c r="F130">
        <v>119.9</v>
      </c>
      <c r="G130">
        <v>49.24</v>
      </c>
      <c r="H130">
        <v>7895742378981</v>
      </c>
    </row>
    <row r="131" spans="1:8">
      <c r="A131" t="s">
        <v>2356</v>
      </c>
      <c r="B131" t="s">
        <v>2353</v>
      </c>
      <c r="C131" t="s">
        <v>2354</v>
      </c>
      <c r="D131" t="s">
        <v>2307</v>
      </c>
      <c r="E131" t="s">
        <v>58</v>
      </c>
      <c r="F131">
        <v>119.9</v>
      </c>
      <c r="G131">
        <v>49.24</v>
      </c>
      <c r="H131">
        <v>7894816836099</v>
      </c>
    </row>
    <row r="132" spans="1:8">
      <c r="A132" t="s">
        <v>2357</v>
      </c>
      <c r="B132" t="s">
        <v>2353</v>
      </c>
      <c r="C132" t="s">
        <v>2354</v>
      </c>
      <c r="D132" t="s">
        <v>2307</v>
      </c>
      <c r="E132" t="s">
        <v>61</v>
      </c>
      <c r="F132">
        <v>119.9</v>
      </c>
      <c r="G132">
        <v>49.24</v>
      </c>
      <c r="H132">
        <v>7895251141700</v>
      </c>
    </row>
    <row r="133" spans="1:8">
      <c r="A133" t="s">
        <v>2358</v>
      </c>
      <c r="B133" t="s">
        <v>2359</v>
      </c>
      <c r="C133" t="s">
        <v>2251</v>
      </c>
      <c r="D133" t="s">
        <v>2307</v>
      </c>
      <c r="E133" t="s">
        <v>2150</v>
      </c>
      <c r="F133">
        <v>129.9</v>
      </c>
      <c r="G133">
        <v>61.6</v>
      </c>
      <c r="H133">
        <v>7896728819115</v>
      </c>
    </row>
    <row r="134" spans="1:8">
      <c r="A134" t="s">
        <v>2360</v>
      </c>
      <c r="B134" t="s">
        <v>2361</v>
      </c>
      <c r="C134" t="s">
        <v>2251</v>
      </c>
      <c r="D134" t="s">
        <v>2253</v>
      </c>
      <c r="E134" t="s">
        <v>2150</v>
      </c>
      <c r="F134">
        <v>119.9</v>
      </c>
      <c r="G134">
        <v>44.48</v>
      </c>
      <c r="H134">
        <v>7895255657313</v>
      </c>
    </row>
    <row r="135" spans="1:8">
      <c r="A135" t="s">
        <v>2362</v>
      </c>
      <c r="B135" t="s">
        <v>2361</v>
      </c>
      <c r="C135" t="s">
        <v>2251</v>
      </c>
      <c r="D135" t="s">
        <v>2258</v>
      </c>
      <c r="E135" t="s">
        <v>2150</v>
      </c>
      <c r="F135">
        <v>119.9</v>
      </c>
      <c r="G135">
        <v>44.48</v>
      </c>
      <c r="H135">
        <v>7894286954484</v>
      </c>
    </row>
    <row r="136" spans="1:8">
      <c r="A136" t="s">
        <v>2363</v>
      </c>
      <c r="B136" t="s">
        <v>2364</v>
      </c>
      <c r="C136" t="s">
        <v>2179</v>
      </c>
      <c r="D136" t="s">
        <v>2328</v>
      </c>
      <c r="E136" t="s">
        <v>51</v>
      </c>
      <c r="F136">
        <v>249.9</v>
      </c>
      <c r="G136">
        <v>115.18</v>
      </c>
      <c r="H136">
        <v>7899435918584</v>
      </c>
    </row>
    <row r="137" spans="1:8">
      <c r="A137" t="s">
        <v>2365</v>
      </c>
      <c r="B137" t="s">
        <v>2364</v>
      </c>
      <c r="C137" t="s">
        <v>2179</v>
      </c>
      <c r="D137" t="s">
        <v>2328</v>
      </c>
      <c r="E137" t="s">
        <v>54</v>
      </c>
      <c r="F137">
        <v>249.9</v>
      </c>
      <c r="G137">
        <v>115.18</v>
      </c>
      <c r="H137">
        <v>7895336962961</v>
      </c>
    </row>
    <row r="138" spans="1:8">
      <c r="A138" t="s">
        <v>2366</v>
      </c>
      <c r="B138" t="s">
        <v>2364</v>
      </c>
      <c r="C138" t="s">
        <v>2179</v>
      </c>
      <c r="D138" t="s">
        <v>2328</v>
      </c>
      <c r="E138" t="s">
        <v>58</v>
      </c>
      <c r="F138">
        <v>249.9</v>
      </c>
      <c r="G138">
        <v>115.18</v>
      </c>
      <c r="H138">
        <v>7893473499302</v>
      </c>
    </row>
    <row r="139" spans="1:8">
      <c r="A139" t="s">
        <v>2367</v>
      </c>
      <c r="B139" t="s">
        <v>2364</v>
      </c>
      <c r="C139" t="s">
        <v>2179</v>
      </c>
      <c r="D139" t="s">
        <v>2328</v>
      </c>
      <c r="E139" t="s">
        <v>61</v>
      </c>
      <c r="F139">
        <v>249.9</v>
      </c>
      <c r="G139">
        <v>115.18</v>
      </c>
      <c r="H139">
        <v>7899864325885</v>
      </c>
    </row>
    <row r="140" spans="1:8">
      <c r="A140" t="s">
        <v>2368</v>
      </c>
      <c r="B140" t="s">
        <v>2364</v>
      </c>
      <c r="C140" t="s">
        <v>2179</v>
      </c>
      <c r="D140" t="s">
        <v>2258</v>
      </c>
      <c r="E140" t="s">
        <v>51</v>
      </c>
      <c r="F140">
        <v>249.9</v>
      </c>
      <c r="G140">
        <v>115.18</v>
      </c>
      <c r="H140">
        <v>7895566544517</v>
      </c>
    </row>
    <row r="141" spans="1:8">
      <c r="A141" t="s">
        <v>2369</v>
      </c>
      <c r="B141" t="s">
        <v>2364</v>
      </c>
      <c r="C141" t="s">
        <v>2179</v>
      </c>
      <c r="D141" t="s">
        <v>2258</v>
      </c>
      <c r="E141" t="s">
        <v>54</v>
      </c>
      <c r="F141">
        <v>249.9</v>
      </c>
      <c r="G141">
        <v>115.18</v>
      </c>
      <c r="H141">
        <v>7895907194722</v>
      </c>
    </row>
    <row r="142" spans="1:8">
      <c r="A142" t="s">
        <v>2370</v>
      </c>
      <c r="B142" t="s">
        <v>2364</v>
      </c>
      <c r="C142" t="s">
        <v>2179</v>
      </c>
      <c r="D142" t="s">
        <v>2258</v>
      </c>
      <c r="E142" t="s">
        <v>58</v>
      </c>
      <c r="F142">
        <v>249.9</v>
      </c>
      <c r="G142">
        <v>115.18</v>
      </c>
      <c r="H142">
        <v>7894185304175</v>
      </c>
    </row>
    <row r="143" spans="1:8">
      <c r="A143" t="s">
        <v>2371</v>
      </c>
      <c r="B143" t="s">
        <v>2364</v>
      </c>
      <c r="C143" t="s">
        <v>2179</v>
      </c>
      <c r="D143" t="s">
        <v>2258</v>
      </c>
      <c r="E143" t="s">
        <v>61</v>
      </c>
      <c r="F143">
        <v>249.9</v>
      </c>
      <c r="G143">
        <v>115.18</v>
      </c>
      <c r="H143">
        <v>7893377447003</v>
      </c>
    </row>
    <row r="144" spans="1:8">
      <c r="A144" t="s">
        <v>2372</v>
      </c>
      <c r="B144" t="s">
        <v>2364</v>
      </c>
      <c r="C144" t="s">
        <v>2179</v>
      </c>
      <c r="D144" t="s">
        <v>2307</v>
      </c>
      <c r="E144" t="s">
        <v>51</v>
      </c>
      <c r="F144">
        <v>249.9</v>
      </c>
      <c r="G144">
        <v>115.18</v>
      </c>
      <c r="H144">
        <v>7898868262325</v>
      </c>
    </row>
    <row r="145" spans="1:8">
      <c r="A145" t="s">
        <v>2373</v>
      </c>
      <c r="B145" t="s">
        <v>2364</v>
      </c>
      <c r="C145" t="s">
        <v>2179</v>
      </c>
      <c r="D145" t="s">
        <v>2307</v>
      </c>
      <c r="E145" t="s">
        <v>54</v>
      </c>
      <c r="F145">
        <v>249.9</v>
      </c>
      <c r="G145">
        <v>115.18</v>
      </c>
      <c r="H145">
        <v>7894709409966</v>
      </c>
    </row>
    <row r="146" spans="1:8">
      <c r="A146" t="s">
        <v>2374</v>
      </c>
      <c r="B146" t="s">
        <v>2364</v>
      </c>
      <c r="C146" t="s">
        <v>2179</v>
      </c>
      <c r="D146" t="s">
        <v>2307</v>
      </c>
      <c r="E146" t="s">
        <v>58</v>
      </c>
      <c r="F146">
        <v>249.9</v>
      </c>
      <c r="G146">
        <v>115.18</v>
      </c>
      <c r="H146">
        <v>7891316392872</v>
      </c>
    </row>
    <row r="147" spans="1:8">
      <c r="A147" t="s">
        <v>2375</v>
      </c>
      <c r="B147" t="s">
        <v>2364</v>
      </c>
      <c r="C147" t="s">
        <v>2179</v>
      </c>
      <c r="D147" t="s">
        <v>2307</v>
      </c>
      <c r="E147" t="s">
        <v>61</v>
      </c>
      <c r="F147">
        <v>249.9</v>
      </c>
      <c r="G147">
        <v>115.18</v>
      </c>
      <c r="H147">
        <v>7895224418860</v>
      </c>
    </row>
    <row r="148" spans="1:8">
      <c r="A148" t="s">
        <v>2376</v>
      </c>
      <c r="B148" t="s">
        <v>2377</v>
      </c>
      <c r="C148" t="s">
        <v>2273</v>
      </c>
      <c r="D148" t="s">
        <v>2212</v>
      </c>
      <c r="E148" t="s">
        <v>51</v>
      </c>
      <c r="F148">
        <v>129.9</v>
      </c>
      <c r="G148">
        <v>50.39</v>
      </c>
      <c r="H148">
        <v>7899932812040</v>
      </c>
    </row>
    <row r="149" spans="1:8">
      <c r="A149" t="s">
        <v>2378</v>
      </c>
      <c r="B149" t="s">
        <v>2377</v>
      </c>
      <c r="C149" t="s">
        <v>2273</v>
      </c>
      <c r="D149" t="s">
        <v>2212</v>
      </c>
      <c r="E149" t="s">
        <v>54</v>
      </c>
      <c r="F149">
        <v>129.9</v>
      </c>
      <c r="G149">
        <v>50.39</v>
      </c>
      <c r="H149">
        <v>7895681063948</v>
      </c>
    </row>
    <row r="150" spans="1:8">
      <c r="A150" t="s">
        <v>2379</v>
      </c>
      <c r="B150" t="s">
        <v>2377</v>
      </c>
      <c r="C150" t="s">
        <v>2273</v>
      </c>
      <c r="D150" t="s">
        <v>2212</v>
      </c>
      <c r="E150" t="s">
        <v>58</v>
      </c>
      <c r="F150">
        <v>129.9</v>
      </c>
      <c r="G150">
        <v>50.39</v>
      </c>
      <c r="H150">
        <v>7893506448574</v>
      </c>
    </row>
    <row r="151" spans="1:8">
      <c r="A151" t="s">
        <v>2380</v>
      </c>
      <c r="B151" t="s">
        <v>2377</v>
      </c>
      <c r="C151" t="s">
        <v>2273</v>
      </c>
      <c r="D151" t="s">
        <v>2212</v>
      </c>
      <c r="E151" t="s">
        <v>61</v>
      </c>
      <c r="F151">
        <v>129.9</v>
      </c>
      <c r="G151">
        <v>50.39</v>
      </c>
      <c r="H151">
        <v>7894087517338</v>
      </c>
    </row>
    <row r="152" spans="1:8">
      <c r="A152" t="s">
        <v>2381</v>
      </c>
      <c r="B152" t="s">
        <v>2377</v>
      </c>
      <c r="C152" t="s">
        <v>2273</v>
      </c>
      <c r="D152" t="s">
        <v>2253</v>
      </c>
      <c r="E152" t="s">
        <v>51</v>
      </c>
      <c r="F152">
        <v>129.9</v>
      </c>
      <c r="G152">
        <v>50.39</v>
      </c>
      <c r="H152">
        <v>7891536086032</v>
      </c>
    </row>
    <row r="153" spans="1:8">
      <c r="A153" t="s">
        <v>2382</v>
      </c>
      <c r="B153" t="s">
        <v>2377</v>
      </c>
      <c r="C153" t="s">
        <v>2273</v>
      </c>
      <c r="D153" t="s">
        <v>2253</v>
      </c>
      <c r="E153" t="s">
        <v>54</v>
      </c>
      <c r="F153">
        <v>129.9</v>
      </c>
      <c r="G153">
        <v>50.39</v>
      </c>
      <c r="H153">
        <v>7898672975930</v>
      </c>
    </row>
    <row r="154" spans="1:8">
      <c r="A154" t="s">
        <v>2383</v>
      </c>
      <c r="B154" t="s">
        <v>2377</v>
      </c>
      <c r="C154" t="s">
        <v>2273</v>
      </c>
      <c r="D154" t="s">
        <v>2253</v>
      </c>
      <c r="E154" t="s">
        <v>58</v>
      </c>
      <c r="F154">
        <v>129.9</v>
      </c>
      <c r="G154">
        <v>50.39</v>
      </c>
      <c r="H154">
        <v>7896689473616</v>
      </c>
    </row>
    <row r="155" spans="1:8">
      <c r="A155" t="s">
        <v>2384</v>
      </c>
      <c r="B155" t="s">
        <v>2377</v>
      </c>
      <c r="C155" t="s">
        <v>2273</v>
      </c>
      <c r="D155" t="s">
        <v>2253</v>
      </c>
      <c r="E155" t="s">
        <v>61</v>
      </c>
      <c r="F155">
        <v>129.9</v>
      </c>
      <c r="G155">
        <v>50.39</v>
      </c>
      <c r="H155">
        <v>7891911312442</v>
      </c>
    </row>
    <row r="156" spans="1:8">
      <c r="A156" t="s">
        <v>2385</v>
      </c>
      <c r="B156" t="s">
        <v>2386</v>
      </c>
      <c r="C156" t="s">
        <v>2233</v>
      </c>
      <c r="D156" t="s">
        <v>2282</v>
      </c>
      <c r="E156" t="s">
        <v>2234</v>
      </c>
      <c r="F156">
        <v>239.9</v>
      </c>
      <c r="G156">
        <v>90.01</v>
      </c>
      <c r="H156">
        <v>7897892473943</v>
      </c>
    </row>
    <row r="157" spans="1:8">
      <c r="A157" t="s">
        <v>2387</v>
      </c>
      <c r="B157" t="s">
        <v>2386</v>
      </c>
      <c r="C157" t="s">
        <v>2233</v>
      </c>
      <c r="D157" t="s">
        <v>2282</v>
      </c>
      <c r="E157" t="s">
        <v>2236</v>
      </c>
      <c r="F157">
        <v>239.9</v>
      </c>
      <c r="G157">
        <v>90.01</v>
      </c>
      <c r="H157">
        <v>7894641205077</v>
      </c>
    </row>
    <row r="158" spans="1:8">
      <c r="A158" t="s">
        <v>2388</v>
      </c>
      <c r="B158" t="s">
        <v>2386</v>
      </c>
      <c r="C158" t="s">
        <v>2233</v>
      </c>
      <c r="D158" t="s">
        <v>2282</v>
      </c>
      <c r="E158" t="s">
        <v>2238</v>
      </c>
      <c r="F158">
        <v>239.9</v>
      </c>
      <c r="G158">
        <v>90.01</v>
      </c>
      <c r="H158">
        <v>7894718651820</v>
      </c>
    </row>
    <row r="159" spans="1:8">
      <c r="A159" t="s">
        <v>2389</v>
      </c>
      <c r="B159" t="s">
        <v>2386</v>
      </c>
      <c r="C159" t="s">
        <v>2233</v>
      </c>
      <c r="D159" t="s">
        <v>2282</v>
      </c>
      <c r="E159" t="s">
        <v>2240</v>
      </c>
      <c r="F159">
        <v>239.9</v>
      </c>
      <c r="G159">
        <v>90.01</v>
      </c>
      <c r="H159">
        <v>7892674078736</v>
      </c>
    </row>
    <row r="160" spans="1:8">
      <c r="A160" t="s">
        <v>2390</v>
      </c>
      <c r="B160" t="s">
        <v>2386</v>
      </c>
      <c r="C160" t="s">
        <v>2233</v>
      </c>
      <c r="D160" t="s">
        <v>2282</v>
      </c>
      <c r="E160" t="s">
        <v>2242</v>
      </c>
      <c r="F160">
        <v>239.9</v>
      </c>
      <c r="G160">
        <v>90.01</v>
      </c>
      <c r="H160">
        <v>7899109668630</v>
      </c>
    </row>
    <row r="161" spans="1:8">
      <c r="A161" t="s">
        <v>2391</v>
      </c>
      <c r="B161" t="s">
        <v>2386</v>
      </c>
      <c r="C161" t="s">
        <v>2233</v>
      </c>
      <c r="D161" t="s">
        <v>2258</v>
      </c>
      <c r="E161" t="s">
        <v>2234</v>
      </c>
      <c r="F161">
        <v>239.9</v>
      </c>
      <c r="G161">
        <v>90.01</v>
      </c>
      <c r="H161">
        <v>7898374890715</v>
      </c>
    </row>
    <row r="162" spans="1:8">
      <c r="A162" t="s">
        <v>2392</v>
      </c>
      <c r="B162" t="s">
        <v>2386</v>
      </c>
      <c r="C162" t="s">
        <v>2233</v>
      </c>
      <c r="D162" t="s">
        <v>2258</v>
      </c>
      <c r="E162" t="s">
        <v>2236</v>
      </c>
      <c r="F162">
        <v>239.9</v>
      </c>
      <c r="G162">
        <v>90.01</v>
      </c>
      <c r="H162">
        <v>7898650899258</v>
      </c>
    </row>
    <row r="163" spans="1:8">
      <c r="A163" t="s">
        <v>2393</v>
      </c>
      <c r="B163" t="s">
        <v>2386</v>
      </c>
      <c r="C163" t="s">
        <v>2233</v>
      </c>
      <c r="D163" t="s">
        <v>2258</v>
      </c>
      <c r="E163" t="s">
        <v>2238</v>
      </c>
      <c r="F163">
        <v>239.9</v>
      </c>
      <c r="G163">
        <v>90.01</v>
      </c>
      <c r="H163">
        <v>7897191217163</v>
      </c>
    </row>
    <row r="164" spans="1:8">
      <c r="A164" t="s">
        <v>2394</v>
      </c>
      <c r="B164" t="s">
        <v>2386</v>
      </c>
      <c r="C164" t="s">
        <v>2233</v>
      </c>
      <c r="D164" t="s">
        <v>2258</v>
      </c>
      <c r="E164" t="s">
        <v>2240</v>
      </c>
      <c r="F164">
        <v>239.9</v>
      </c>
      <c r="G164">
        <v>90.01</v>
      </c>
      <c r="H164">
        <v>7894802231037</v>
      </c>
    </row>
    <row r="165" spans="1:8">
      <c r="A165" t="s">
        <v>2395</v>
      </c>
      <c r="B165" t="s">
        <v>2386</v>
      </c>
      <c r="C165" t="s">
        <v>2233</v>
      </c>
      <c r="D165" t="s">
        <v>2258</v>
      </c>
      <c r="E165" t="s">
        <v>2242</v>
      </c>
      <c r="F165">
        <v>239.9</v>
      </c>
      <c r="G165">
        <v>90.01</v>
      </c>
      <c r="H165">
        <v>7893469266192</v>
      </c>
    </row>
    <row r="166" spans="1:8">
      <c r="A166" t="s">
        <v>2396</v>
      </c>
      <c r="B166" t="s">
        <v>2397</v>
      </c>
      <c r="C166" t="s">
        <v>2233</v>
      </c>
      <c r="D166" t="s">
        <v>2328</v>
      </c>
      <c r="E166" t="s">
        <v>2236</v>
      </c>
      <c r="F166">
        <v>229.9</v>
      </c>
      <c r="G166">
        <v>101.3</v>
      </c>
      <c r="H166">
        <v>7895680874347</v>
      </c>
    </row>
    <row r="167" spans="1:8">
      <c r="A167" t="s">
        <v>2398</v>
      </c>
      <c r="B167" t="s">
        <v>2397</v>
      </c>
      <c r="C167" t="s">
        <v>2233</v>
      </c>
      <c r="D167" t="s">
        <v>2328</v>
      </c>
      <c r="E167" t="s">
        <v>2238</v>
      </c>
      <c r="F167">
        <v>229.9</v>
      </c>
      <c r="G167">
        <v>101.3</v>
      </c>
      <c r="H167">
        <v>7893252811578</v>
      </c>
    </row>
    <row r="168" spans="1:8">
      <c r="A168" t="s">
        <v>2399</v>
      </c>
      <c r="B168" t="s">
        <v>2397</v>
      </c>
      <c r="C168" t="s">
        <v>2233</v>
      </c>
      <c r="D168" t="s">
        <v>2328</v>
      </c>
      <c r="E168" t="s">
        <v>2240</v>
      </c>
      <c r="F168">
        <v>229.9</v>
      </c>
      <c r="G168">
        <v>101.3</v>
      </c>
      <c r="H168">
        <v>7898842709990</v>
      </c>
    </row>
    <row r="169" spans="1:8">
      <c r="A169" t="s">
        <v>2400</v>
      </c>
      <c r="B169" t="s">
        <v>2397</v>
      </c>
      <c r="C169" t="s">
        <v>2233</v>
      </c>
      <c r="D169" t="s">
        <v>2328</v>
      </c>
      <c r="E169" t="s">
        <v>2242</v>
      </c>
      <c r="F169">
        <v>229.9</v>
      </c>
      <c r="G169">
        <v>101.3</v>
      </c>
      <c r="H169">
        <v>7898459156286</v>
      </c>
    </row>
    <row r="170" spans="1:8">
      <c r="A170" t="s">
        <v>2401</v>
      </c>
      <c r="B170" t="s">
        <v>2402</v>
      </c>
      <c r="C170" t="s">
        <v>2195</v>
      </c>
      <c r="D170" t="s">
        <v>2212</v>
      </c>
      <c r="E170" t="s">
        <v>51</v>
      </c>
      <c r="F170">
        <v>239.9</v>
      </c>
      <c r="G170">
        <v>95.24</v>
      </c>
      <c r="H170">
        <v>7896604314468</v>
      </c>
    </row>
    <row r="171" spans="1:8">
      <c r="A171" t="s">
        <v>2403</v>
      </c>
      <c r="B171" t="s">
        <v>2402</v>
      </c>
      <c r="C171" t="s">
        <v>2195</v>
      </c>
      <c r="D171" t="s">
        <v>2212</v>
      </c>
      <c r="E171" t="s">
        <v>54</v>
      </c>
      <c r="F171">
        <v>239.9</v>
      </c>
      <c r="G171">
        <v>95.24</v>
      </c>
      <c r="H171">
        <v>7896292927063</v>
      </c>
    </row>
    <row r="172" spans="1:8">
      <c r="A172" t="s">
        <v>2404</v>
      </c>
      <c r="B172" t="s">
        <v>2402</v>
      </c>
      <c r="C172" t="s">
        <v>2195</v>
      </c>
      <c r="D172" t="s">
        <v>2212</v>
      </c>
      <c r="E172" t="s">
        <v>58</v>
      </c>
      <c r="F172">
        <v>239.9</v>
      </c>
      <c r="G172">
        <v>95.24</v>
      </c>
      <c r="H172">
        <v>7895324047854</v>
      </c>
    </row>
    <row r="173" spans="1:8">
      <c r="A173" t="s">
        <v>2405</v>
      </c>
      <c r="B173" t="s">
        <v>2402</v>
      </c>
      <c r="C173" t="s">
        <v>2195</v>
      </c>
      <c r="D173" t="s">
        <v>2212</v>
      </c>
      <c r="E173" t="s">
        <v>61</v>
      </c>
      <c r="F173">
        <v>239.9</v>
      </c>
      <c r="G173">
        <v>95.24</v>
      </c>
      <c r="H173">
        <v>7895071746840</v>
      </c>
    </row>
    <row r="174" spans="1:8">
      <c r="A174" t="s">
        <v>2406</v>
      </c>
      <c r="B174" t="s">
        <v>2407</v>
      </c>
      <c r="C174" t="s">
        <v>2408</v>
      </c>
      <c r="D174" t="s">
        <v>2258</v>
      </c>
      <c r="E174" t="s">
        <v>51</v>
      </c>
      <c r="F174">
        <v>149.9</v>
      </c>
      <c r="G174">
        <v>70.89</v>
      </c>
      <c r="H174">
        <v>7898336642840</v>
      </c>
    </row>
    <row r="175" spans="1:8">
      <c r="A175" t="s">
        <v>2409</v>
      </c>
      <c r="B175" t="s">
        <v>2407</v>
      </c>
      <c r="C175" t="s">
        <v>2408</v>
      </c>
      <c r="D175" t="s">
        <v>2258</v>
      </c>
      <c r="E175" t="s">
        <v>54</v>
      </c>
      <c r="F175">
        <v>149.9</v>
      </c>
      <c r="G175">
        <v>70.89</v>
      </c>
      <c r="H175">
        <v>7892360156359</v>
      </c>
    </row>
    <row r="176" spans="1:8">
      <c r="A176" t="s">
        <v>2410</v>
      </c>
      <c r="B176" t="s">
        <v>2407</v>
      </c>
      <c r="C176" t="s">
        <v>2408</v>
      </c>
      <c r="D176" t="s">
        <v>2258</v>
      </c>
      <c r="E176" t="s">
        <v>58</v>
      </c>
      <c r="F176">
        <v>149.9</v>
      </c>
      <c r="G176">
        <v>70.89</v>
      </c>
      <c r="H176">
        <v>7899533262916</v>
      </c>
    </row>
    <row r="177" spans="1:8">
      <c r="A177" t="s">
        <v>2411</v>
      </c>
      <c r="B177" t="s">
        <v>2407</v>
      </c>
      <c r="C177" t="s">
        <v>2408</v>
      </c>
      <c r="D177" t="s">
        <v>2258</v>
      </c>
      <c r="E177" t="s">
        <v>61</v>
      </c>
      <c r="F177">
        <v>149.9</v>
      </c>
      <c r="G177">
        <v>70.89</v>
      </c>
      <c r="H177">
        <v>7895012821292</v>
      </c>
    </row>
    <row r="178" spans="1:8">
      <c r="A178" t="s">
        <v>2412</v>
      </c>
      <c r="B178" t="s">
        <v>2413</v>
      </c>
      <c r="C178" t="s">
        <v>2354</v>
      </c>
      <c r="D178" t="s">
        <v>2328</v>
      </c>
      <c r="E178" t="s">
        <v>2181</v>
      </c>
      <c r="F178">
        <v>129.9</v>
      </c>
      <c r="G178">
        <v>54.78</v>
      </c>
      <c r="H178">
        <v>7895426873795</v>
      </c>
    </row>
    <row r="179" spans="1:8">
      <c r="A179" t="s">
        <v>2414</v>
      </c>
      <c r="B179" t="s">
        <v>2413</v>
      </c>
      <c r="C179" t="s">
        <v>2354</v>
      </c>
      <c r="D179" t="s">
        <v>2328</v>
      </c>
      <c r="E179" t="s">
        <v>51</v>
      </c>
      <c r="F179">
        <v>129.9</v>
      </c>
      <c r="G179">
        <v>54.78</v>
      </c>
      <c r="H179">
        <v>7893349981702</v>
      </c>
    </row>
    <row r="180" spans="1:8">
      <c r="A180" t="s">
        <v>2415</v>
      </c>
      <c r="B180" t="s">
        <v>2413</v>
      </c>
      <c r="C180" t="s">
        <v>2354</v>
      </c>
      <c r="D180" t="s">
        <v>2328</v>
      </c>
      <c r="E180" t="s">
        <v>54</v>
      </c>
      <c r="F180">
        <v>129.9</v>
      </c>
      <c r="G180">
        <v>54.78</v>
      </c>
      <c r="H180">
        <v>7891609294432</v>
      </c>
    </row>
    <row r="181" spans="1:8">
      <c r="A181" t="s">
        <v>2416</v>
      </c>
      <c r="B181" t="s">
        <v>2413</v>
      </c>
      <c r="C181" t="s">
        <v>2354</v>
      </c>
      <c r="D181" t="s">
        <v>2328</v>
      </c>
      <c r="E181" t="s">
        <v>58</v>
      </c>
      <c r="F181">
        <v>129.9</v>
      </c>
      <c r="G181">
        <v>54.78</v>
      </c>
      <c r="H181">
        <v>7898383297376</v>
      </c>
    </row>
    <row r="182" spans="1:8">
      <c r="A182" t="s">
        <v>2417</v>
      </c>
      <c r="B182" t="s">
        <v>2413</v>
      </c>
      <c r="C182" t="s">
        <v>2354</v>
      </c>
      <c r="D182" t="s">
        <v>2328</v>
      </c>
      <c r="E182" t="s">
        <v>61</v>
      </c>
      <c r="F182">
        <v>129.9</v>
      </c>
      <c r="G182">
        <v>54.78</v>
      </c>
      <c r="H182">
        <v>7897666736809</v>
      </c>
    </row>
    <row r="183" spans="1:8">
      <c r="A183" t="s">
        <v>2418</v>
      </c>
      <c r="B183" t="s">
        <v>2419</v>
      </c>
      <c r="C183" t="s">
        <v>2408</v>
      </c>
      <c r="D183" t="s">
        <v>2258</v>
      </c>
      <c r="E183" t="s">
        <v>51</v>
      </c>
      <c r="F183">
        <v>169.9</v>
      </c>
      <c r="G183">
        <v>73.81</v>
      </c>
      <c r="H183">
        <v>7893459825767</v>
      </c>
    </row>
    <row r="184" spans="1:8">
      <c r="A184" t="s">
        <v>2420</v>
      </c>
      <c r="B184" t="s">
        <v>2419</v>
      </c>
      <c r="C184" t="s">
        <v>2408</v>
      </c>
      <c r="D184" t="s">
        <v>2258</v>
      </c>
      <c r="E184" t="s">
        <v>54</v>
      </c>
      <c r="F184">
        <v>169.9</v>
      </c>
      <c r="G184">
        <v>73.81</v>
      </c>
      <c r="H184">
        <v>7893095438444</v>
      </c>
    </row>
    <row r="185" spans="1:8">
      <c r="A185" t="s">
        <v>2421</v>
      </c>
      <c r="B185" t="s">
        <v>2419</v>
      </c>
      <c r="C185" t="s">
        <v>2408</v>
      </c>
      <c r="D185" t="s">
        <v>2258</v>
      </c>
      <c r="E185" t="s">
        <v>58</v>
      </c>
      <c r="F185">
        <v>169.9</v>
      </c>
      <c r="G185">
        <v>73.81</v>
      </c>
      <c r="H185">
        <v>7891366768993</v>
      </c>
    </row>
    <row r="186" spans="1:8">
      <c r="A186" t="s">
        <v>2422</v>
      </c>
      <c r="B186" t="s">
        <v>2419</v>
      </c>
      <c r="C186" t="s">
        <v>2408</v>
      </c>
      <c r="D186" t="s">
        <v>2258</v>
      </c>
      <c r="E186" t="s">
        <v>61</v>
      </c>
      <c r="F186">
        <v>169.9</v>
      </c>
      <c r="G186">
        <v>73.81</v>
      </c>
      <c r="H186">
        <v>7891152073423</v>
      </c>
    </row>
    <row r="187" spans="1:8">
      <c r="A187" t="s">
        <v>2423</v>
      </c>
      <c r="B187" t="s">
        <v>2424</v>
      </c>
      <c r="C187" t="s">
        <v>2354</v>
      </c>
      <c r="D187" t="s">
        <v>2307</v>
      </c>
      <c r="E187" t="s">
        <v>51</v>
      </c>
      <c r="F187">
        <v>159.9</v>
      </c>
      <c r="G187">
        <v>69.19</v>
      </c>
      <c r="H187">
        <v>7893010021669</v>
      </c>
    </row>
    <row r="188" spans="1:8">
      <c r="A188" t="s">
        <v>2425</v>
      </c>
      <c r="B188" t="s">
        <v>2424</v>
      </c>
      <c r="C188" t="s">
        <v>2354</v>
      </c>
      <c r="D188" t="s">
        <v>2307</v>
      </c>
      <c r="E188" t="s">
        <v>54</v>
      </c>
      <c r="F188">
        <v>159.9</v>
      </c>
      <c r="G188">
        <v>69.19</v>
      </c>
      <c r="H188">
        <v>7898001227846</v>
      </c>
    </row>
    <row r="189" spans="1:8">
      <c r="A189" t="s">
        <v>2426</v>
      </c>
      <c r="B189" t="s">
        <v>2424</v>
      </c>
      <c r="C189" t="s">
        <v>2354</v>
      </c>
      <c r="D189" t="s">
        <v>2307</v>
      </c>
      <c r="E189" t="s">
        <v>58</v>
      </c>
      <c r="F189">
        <v>159.9</v>
      </c>
      <c r="G189">
        <v>69.19</v>
      </c>
      <c r="H189">
        <v>7899957880017</v>
      </c>
    </row>
    <row r="190" spans="1:8">
      <c r="A190" t="s">
        <v>2427</v>
      </c>
      <c r="B190" t="s">
        <v>2424</v>
      </c>
      <c r="C190" t="s">
        <v>2354</v>
      </c>
      <c r="D190" t="s">
        <v>2307</v>
      </c>
      <c r="E190" t="s">
        <v>61</v>
      </c>
      <c r="F190">
        <v>159.9</v>
      </c>
      <c r="G190">
        <v>69.19</v>
      </c>
      <c r="H190">
        <v>7895343023433</v>
      </c>
    </row>
    <row r="191" spans="1:8">
      <c r="A191" t="s">
        <v>2428</v>
      </c>
      <c r="B191" t="s">
        <v>2424</v>
      </c>
      <c r="C191" t="s">
        <v>2354</v>
      </c>
      <c r="D191" t="s">
        <v>2328</v>
      </c>
      <c r="E191" t="s">
        <v>51</v>
      </c>
      <c r="F191">
        <v>159.9</v>
      </c>
      <c r="G191">
        <v>69.19</v>
      </c>
      <c r="H191">
        <v>7894280977076</v>
      </c>
    </row>
    <row r="192" spans="1:8">
      <c r="A192" t="s">
        <v>2429</v>
      </c>
      <c r="B192" t="s">
        <v>2424</v>
      </c>
      <c r="C192" t="s">
        <v>2354</v>
      </c>
      <c r="D192" t="s">
        <v>2328</v>
      </c>
      <c r="E192" t="s">
        <v>54</v>
      </c>
      <c r="F192">
        <v>159.9</v>
      </c>
      <c r="G192">
        <v>69.19</v>
      </c>
      <c r="H192">
        <v>7890272313440</v>
      </c>
    </row>
    <row r="193" spans="1:8">
      <c r="A193" t="s">
        <v>2430</v>
      </c>
      <c r="B193" t="s">
        <v>2424</v>
      </c>
      <c r="C193" t="s">
        <v>2354</v>
      </c>
      <c r="D193" t="s">
        <v>2328</v>
      </c>
      <c r="E193" t="s">
        <v>58</v>
      </c>
      <c r="F193">
        <v>159.9</v>
      </c>
      <c r="G193">
        <v>69.19</v>
      </c>
      <c r="H193">
        <v>7892334340289</v>
      </c>
    </row>
    <row r="194" spans="1:8">
      <c r="A194" t="s">
        <v>2431</v>
      </c>
      <c r="B194" t="s">
        <v>2424</v>
      </c>
      <c r="C194" t="s">
        <v>2354</v>
      </c>
      <c r="D194" t="s">
        <v>2328</v>
      </c>
      <c r="E194" t="s">
        <v>61</v>
      </c>
      <c r="F194">
        <v>159.9</v>
      </c>
      <c r="G194">
        <v>69.19</v>
      </c>
      <c r="H194">
        <v>7891394091018</v>
      </c>
    </row>
    <row r="195" spans="1:8">
      <c r="A195" t="s">
        <v>2432</v>
      </c>
      <c r="B195" t="s">
        <v>2433</v>
      </c>
      <c r="C195" t="s">
        <v>2179</v>
      </c>
      <c r="D195" t="s">
        <v>2212</v>
      </c>
      <c r="E195" t="s">
        <v>51</v>
      </c>
      <c r="F195">
        <v>249.9</v>
      </c>
      <c r="G195">
        <v>113.28</v>
      </c>
      <c r="H195">
        <v>7896203731215</v>
      </c>
    </row>
    <row r="196" spans="1:8">
      <c r="A196" t="s">
        <v>2434</v>
      </c>
      <c r="B196" t="s">
        <v>2433</v>
      </c>
      <c r="C196" t="s">
        <v>2179</v>
      </c>
      <c r="D196" t="s">
        <v>2212</v>
      </c>
      <c r="E196" t="s">
        <v>54</v>
      </c>
      <c r="F196">
        <v>249.9</v>
      </c>
      <c r="G196">
        <v>113.28</v>
      </c>
      <c r="H196">
        <v>7892434169780</v>
      </c>
    </row>
    <row r="197" spans="1:8">
      <c r="A197" t="s">
        <v>2435</v>
      </c>
      <c r="B197" t="s">
        <v>2433</v>
      </c>
      <c r="C197" t="s">
        <v>2179</v>
      </c>
      <c r="D197" t="s">
        <v>2212</v>
      </c>
      <c r="E197" t="s">
        <v>58</v>
      </c>
      <c r="F197">
        <v>249.9</v>
      </c>
      <c r="G197">
        <v>113.28</v>
      </c>
      <c r="H197">
        <v>7898347055592</v>
      </c>
    </row>
    <row r="198" spans="1:8">
      <c r="A198" t="s">
        <v>2436</v>
      </c>
      <c r="B198" t="s">
        <v>2433</v>
      </c>
      <c r="C198" t="s">
        <v>2179</v>
      </c>
      <c r="D198" t="s">
        <v>2212</v>
      </c>
      <c r="E198" t="s">
        <v>61</v>
      </c>
      <c r="F198">
        <v>249.9</v>
      </c>
      <c r="G198">
        <v>113.28</v>
      </c>
      <c r="H198">
        <v>7891115574387</v>
      </c>
    </row>
    <row r="199" spans="1:8">
      <c r="A199" t="s">
        <v>2437</v>
      </c>
      <c r="B199" t="s">
        <v>2438</v>
      </c>
      <c r="C199" t="s">
        <v>2354</v>
      </c>
      <c r="D199" t="s">
        <v>2212</v>
      </c>
      <c r="E199" t="s">
        <v>51</v>
      </c>
      <c r="F199">
        <v>139.9</v>
      </c>
      <c r="G199">
        <v>54.32</v>
      </c>
      <c r="H199">
        <v>7894105009227</v>
      </c>
    </row>
    <row r="200" spans="1:8">
      <c r="A200" t="s">
        <v>2439</v>
      </c>
      <c r="B200" t="s">
        <v>2438</v>
      </c>
      <c r="C200" t="s">
        <v>2354</v>
      </c>
      <c r="D200" t="s">
        <v>2212</v>
      </c>
      <c r="E200" t="s">
        <v>54</v>
      </c>
      <c r="F200">
        <v>139.9</v>
      </c>
      <c r="G200">
        <v>54.32</v>
      </c>
      <c r="H200">
        <v>7892502372296</v>
      </c>
    </row>
    <row r="201" spans="1:8">
      <c r="A201" t="s">
        <v>2440</v>
      </c>
      <c r="B201" t="s">
        <v>2438</v>
      </c>
      <c r="C201" t="s">
        <v>2354</v>
      </c>
      <c r="D201" t="s">
        <v>2212</v>
      </c>
      <c r="E201" t="s">
        <v>58</v>
      </c>
      <c r="F201">
        <v>139.9</v>
      </c>
      <c r="G201">
        <v>54.32</v>
      </c>
      <c r="H201">
        <v>7898090373110</v>
      </c>
    </row>
    <row r="202" spans="1:8">
      <c r="A202" t="s">
        <v>2441</v>
      </c>
      <c r="B202" t="s">
        <v>2438</v>
      </c>
      <c r="C202" t="s">
        <v>2354</v>
      </c>
      <c r="D202" t="s">
        <v>2212</v>
      </c>
      <c r="E202" t="s">
        <v>61</v>
      </c>
      <c r="F202">
        <v>139.9</v>
      </c>
      <c r="G202">
        <v>54.32</v>
      </c>
      <c r="H202">
        <v>7897282332256</v>
      </c>
    </row>
    <row r="203" spans="1:8">
      <c r="A203" t="s">
        <v>2442</v>
      </c>
      <c r="B203" t="s">
        <v>2438</v>
      </c>
      <c r="C203" t="s">
        <v>2354</v>
      </c>
      <c r="D203" t="s">
        <v>2307</v>
      </c>
      <c r="E203" t="s">
        <v>51</v>
      </c>
      <c r="F203">
        <v>139.9</v>
      </c>
      <c r="G203">
        <v>54.32</v>
      </c>
      <c r="H203">
        <v>7891286055654</v>
      </c>
    </row>
    <row r="204" spans="1:8">
      <c r="A204" t="s">
        <v>2443</v>
      </c>
      <c r="B204" t="s">
        <v>2438</v>
      </c>
      <c r="C204" t="s">
        <v>2354</v>
      </c>
      <c r="D204" t="s">
        <v>2307</v>
      </c>
      <c r="E204" t="s">
        <v>54</v>
      </c>
      <c r="F204">
        <v>139.9</v>
      </c>
      <c r="G204">
        <v>54.32</v>
      </c>
      <c r="H204">
        <v>7897790302437</v>
      </c>
    </row>
    <row r="205" spans="1:8">
      <c r="A205" t="s">
        <v>2444</v>
      </c>
      <c r="B205" t="s">
        <v>2438</v>
      </c>
      <c r="C205" t="s">
        <v>2354</v>
      </c>
      <c r="D205" t="s">
        <v>2307</v>
      </c>
      <c r="E205" t="s">
        <v>58</v>
      </c>
      <c r="F205">
        <v>139.9</v>
      </c>
      <c r="G205">
        <v>54.32</v>
      </c>
      <c r="H205">
        <v>7895538222894</v>
      </c>
    </row>
    <row r="206" spans="1:8">
      <c r="A206" t="s">
        <v>2445</v>
      </c>
      <c r="B206" t="s">
        <v>2438</v>
      </c>
      <c r="C206" t="s">
        <v>2354</v>
      </c>
      <c r="D206" t="s">
        <v>2307</v>
      </c>
      <c r="E206" t="s">
        <v>61</v>
      </c>
      <c r="F206">
        <v>139.9</v>
      </c>
      <c r="G206">
        <v>54.32</v>
      </c>
      <c r="H206">
        <v>7893972035964</v>
      </c>
    </row>
    <row r="207" spans="1:8">
      <c r="A207" t="s">
        <v>2446</v>
      </c>
      <c r="B207" t="s">
        <v>2438</v>
      </c>
      <c r="C207" t="s">
        <v>2354</v>
      </c>
      <c r="D207" t="s">
        <v>2255</v>
      </c>
      <c r="E207" t="s">
        <v>51</v>
      </c>
      <c r="F207">
        <v>139.9</v>
      </c>
      <c r="G207">
        <v>54.32</v>
      </c>
      <c r="H207">
        <v>7894420746852</v>
      </c>
    </row>
    <row r="208" spans="1:8">
      <c r="A208" t="s">
        <v>2447</v>
      </c>
      <c r="B208" t="s">
        <v>2438</v>
      </c>
      <c r="C208" t="s">
        <v>2354</v>
      </c>
      <c r="D208" t="s">
        <v>2255</v>
      </c>
      <c r="E208" t="s">
        <v>54</v>
      </c>
      <c r="F208">
        <v>139.9</v>
      </c>
      <c r="G208">
        <v>54.32</v>
      </c>
      <c r="H208">
        <v>7896002694605</v>
      </c>
    </row>
    <row r="209" spans="1:8">
      <c r="A209" t="s">
        <v>2448</v>
      </c>
      <c r="B209" t="s">
        <v>2438</v>
      </c>
      <c r="C209" t="s">
        <v>2354</v>
      </c>
      <c r="D209" t="s">
        <v>2255</v>
      </c>
      <c r="E209" t="s">
        <v>58</v>
      </c>
      <c r="F209">
        <v>139.9</v>
      </c>
      <c r="G209">
        <v>54.32</v>
      </c>
      <c r="H209">
        <v>7897833748130</v>
      </c>
    </row>
    <row r="210" spans="1:8">
      <c r="A210" t="s">
        <v>2449</v>
      </c>
      <c r="B210" t="s">
        <v>2438</v>
      </c>
      <c r="C210" t="s">
        <v>2354</v>
      </c>
      <c r="D210" t="s">
        <v>2255</v>
      </c>
      <c r="E210" t="s">
        <v>61</v>
      </c>
      <c r="F210">
        <v>139.9</v>
      </c>
      <c r="G210">
        <v>54.32</v>
      </c>
      <c r="H210">
        <v>7892057307941</v>
      </c>
    </row>
    <row r="211" spans="1:8">
      <c r="A211" t="s">
        <v>2450</v>
      </c>
      <c r="B211" t="s">
        <v>2451</v>
      </c>
      <c r="C211" t="s">
        <v>2188</v>
      </c>
      <c r="D211" t="s">
        <v>2212</v>
      </c>
      <c r="E211" t="s">
        <v>51</v>
      </c>
      <c r="F211">
        <v>119.9</v>
      </c>
      <c r="G211">
        <v>47.63</v>
      </c>
      <c r="H211">
        <v>7890621423714</v>
      </c>
    </row>
    <row r="212" spans="1:8">
      <c r="A212" t="s">
        <v>2452</v>
      </c>
      <c r="B212" t="s">
        <v>2451</v>
      </c>
      <c r="C212" t="s">
        <v>2188</v>
      </c>
      <c r="D212" t="s">
        <v>2212</v>
      </c>
      <c r="E212" t="s">
        <v>54</v>
      </c>
      <c r="F212">
        <v>119.9</v>
      </c>
      <c r="G212">
        <v>47.63</v>
      </c>
      <c r="H212">
        <v>7892552032089</v>
      </c>
    </row>
    <row r="213" spans="1:8">
      <c r="A213" t="s">
        <v>2453</v>
      </c>
      <c r="B213" t="s">
        <v>2451</v>
      </c>
      <c r="C213" t="s">
        <v>2188</v>
      </c>
      <c r="D213" t="s">
        <v>2212</v>
      </c>
      <c r="E213" t="s">
        <v>58</v>
      </c>
      <c r="F213">
        <v>119.9</v>
      </c>
      <c r="G213">
        <v>47.63</v>
      </c>
      <c r="H213">
        <v>7895928813909</v>
      </c>
    </row>
    <row r="214" spans="1:8">
      <c r="A214" t="s">
        <v>2454</v>
      </c>
      <c r="B214" t="s">
        <v>2451</v>
      </c>
      <c r="C214" t="s">
        <v>2188</v>
      </c>
      <c r="D214" t="s">
        <v>2212</v>
      </c>
      <c r="E214" t="s">
        <v>61</v>
      </c>
      <c r="F214">
        <v>119.9</v>
      </c>
      <c r="G214">
        <v>47.63</v>
      </c>
      <c r="H214">
        <v>7897245245685</v>
      </c>
    </row>
    <row r="215" spans="1:8">
      <c r="A215" t="s">
        <v>2455</v>
      </c>
      <c r="B215" t="s">
        <v>2456</v>
      </c>
      <c r="C215" t="s">
        <v>2408</v>
      </c>
      <c r="D215" t="s">
        <v>2212</v>
      </c>
      <c r="E215" t="s">
        <v>2181</v>
      </c>
      <c r="F215">
        <v>229.9</v>
      </c>
      <c r="G215">
        <v>104.84</v>
      </c>
      <c r="H215">
        <v>7894257529543</v>
      </c>
    </row>
    <row r="216" spans="1:8">
      <c r="A216" t="s">
        <v>2457</v>
      </c>
      <c r="B216" t="s">
        <v>2456</v>
      </c>
      <c r="C216" t="s">
        <v>2408</v>
      </c>
      <c r="D216" t="s">
        <v>2212</v>
      </c>
      <c r="E216" t="s">
        <v>51</v>
      </c>
      <c r="F216">
        <v>229.9</v>
      </c>
      <c r="G216">
        <v>104.84</v>
      </c>
      <c r="H216">
        <v>7894491355342</v>
      </c>
    </row>
    <row r="217" spans="1:8">
      <c r="A217" t="s">
        <v>2458</v>
      </c>
      <c r="B217" t="s">
        <v>2456</v>
      </c>
      <c r="C217" t="s">
        <v>2408</v>
      </c>
      <c r="D217" t="s">
        <v>2212</v>
      </c>
      <c r="E217" t="s">
        <v>54</v>
      </c>
      <c r="F217">
        <v>229.9</v>
      </c>
      <c r="G217">
        <v>104.84</v>
      </c>
      <c r="H217">
        <v>7892701968382</v>
      </c>
    </row>
    <row r="218" spans="1:8">
      <c r="A218" t="s">
        <v>2459</v>
      </c>
      <c r="B218" t="s">
        <v>2456</v>
      </c>
      <c r="C218" t="s">
        <v>2408</v>
      </c>
      <c r="D218" t="s">
        <v>2212</v>
      </c>
      <c r="E218" t="s">
        <v>58</v>
      </c>
      <c r="F218">
        <v>229.9</v>
      </c>
      <c r="G218">
        <v>104.84</v>
      </c>
      <c r="H218">
        <v>7890739669806</v>
      </c>
    </row>
    <row r="219" spans="1:8">
      <c r="A219" t="s">
        <v>2460</v>
      </c>
      <c r="B219" t="s">
        <v>2456</v>
      </c>
      <c r="C219" t="s">
        <v>2408</v>
      </c>
      <c r="D219" t="s">
        <v>2212</v>
      </c>
      <c r="E219" t="s">
        <v>61</v>
      </c>
      <c r="F219">
        <v>229.9</v>
      </c>
      <c r="G219">
        <v>104.84</v>
      </c>
      <c r="H219">
        <v>7890796119351</v>
      </c>
    </row>
    <row r="220" spans="1:8">
      <c r="A220" t="s">
        <v>2461</v>
      </c>
      <c r="B220" t="s">
        <v>2462</v>
      </c>
      <c r="C220" t="s">
        <v>2179</v>
      </c>
      <c r="D220" t="s">
        <v>2253</v>
      </c>
      <c r="E220" t="s">
        <v>2181</v>
      </c>
      <c r="F220">
        <v>229.9</v>
      </c>
      <c r="G220">
        <v>105.64</v>
      </c>
      <c r="H220">
        <v>7892781372949</v>
      </c>
    </row>
    <row r="221" spans="1:8">
      <c r="A221" t="s">
        <v>2463</v>
      </c>
      <c r="B221" t="s">
        <v>2462</v>
      </c>
      <c r="C221" t="s">
        <v>2179</v>
      </c>
      <c r="D221" t="s">
        <v>2253</v>
      </c>
      <c r="E221" t="s">
        <v>51</v>
      </c>
      <c r="F221">
        <v>229.9</v>
      </c>
      <c r="G221">
        <v>105.64</v>
      </c>
      <c r="H221">
        <v>7893417036235</v>
      </c>
    </row>
    <row r="222" spans="1:8">
      <c r="A222" t="s">
        <v>2464</v>
      </c>
      <c r="B222" t="s">
        <v>2462</v>
      </c>
      <c r="C222" t="s">
        <v>2179</v>
      </c>
      <c r="D222" t="s">
        <v>2253</v>
      </c>
      <c r="E222" t="s">
        <v>54</v>
      </c>
      <c r="F222">
        <v>229.9</v>
      </c>
      <c r="G222">
        <v>105.64</v>
      </c>
      <c r="H222">
        <v>7891424094156</v>
      </c>
    </row>
    <row r="223" spans="1:8">
      <c r="A223" t="s">
        <v>2465</v>
      </c>
      <c r="B223" t="s">
        <v>2462</v>
      </c>
      <c r="C223" t="s">
        <v>2179</v>
      </c>
      <c r="D223" t="s">
        <v>2253</v>
      </c>
      <c r="E223" t="s">
        <v>58</v>
      </c>
      <c r="F223">
        <v>229.9</v>
      </c>
      <c r="G223">
        <v>105.64</v>
      </c>
      <c r="H223">
        <v>7890865242096</v>
      </c>
    </row>
    <row r="224" spans="1:8">
      <c r="A224" t="s">
        <v>2466</v>
      </c>
      <c r="B224" t="s">
        <v>2462</v>
      </c>
      <c r="C224" t="s">
        <v>2179</v>
      </c>
      <c r="D224" t="s">
        <v>2253</v>
      </c>
      <c r="E224" t="s">
        <v>61</v>
      </c>
      <c r="F224">
        <v>229.9</v>
      </c>
      <c r="G224">
        <v>105.64</v>
      </c>
      <c r="H224">
        <v>7899087809704</v>
      </c>
    </row>
    <row r="225" spans="1:8">
      <c r="A225" t="s">
        <v>2467</v>
      </c>
      <c r="B225" t="s">
        <v>2468</v>
      </c>
      <c r="C225" t="s">
        <v>2354</v>
      </c>
      <c r="D225" t="s">
        <v>2253</v>
      </c>
      <c r="E225" t="s">
        <v>51</v>
      </c>
      <c r="F225">
        <v>109.9</v>
      </c>
      <c r="G225">
        <v>39.049999999999997</v>
      </c>
      <c r="H225">
        <v>7891195645052</v>
      </c>
    </row>
    <row r="226" spans="1:8">
      <c r="A226" t="s">
        <v>2469</v>
      </c>
      <c r="B226" t="s">
        <v>2468</v>
      </c>
      <c r="C226" t="s">
        <v>2354</v>
      </c>
      <c r="D226" t="s">
        <v>2253</v>
      </c>
      <c r="E226" t="s">
        <v>54</v>
      </c>
      <c r="F226">
        <v>109.9</v>
      </c>
      <c r="G226">
        <v>39.049999999999997</v>
      </c>
      <c r="H226">
        <v>7899409347730</v>
      </c>
    </row>
    <row r="227" spans="1:8">
      <c r="A227" t="s">
        <v>2470</v>
      </c>
      <c r="B227" t="s">
        <v>2468</v>
      </c>
      <c r="C227" t="s">
        <v>2354</v>
      </c>
      <c r="D227" t="s">
        <v>2253</v>
      </c>
      <c r="E227" t="s">
        <v>58</v>
      </c>
      <c r="F227">
        <v>109.9</v>
      </c>
      <c r="G227">
        <v>39.049999999999997</v>
      </c>
      <c r="H227">
        <v>7896433789673</v>
      </c>
    </row>
    <row r="228" spans="1:8">
      <c r="A228" t="s">
        <v>2471</v>
      </c>
      <c r="B228" t="s">
        <v>2468</v>
      </c>
      <c r="C228" t="s">
        <v>2354</v>
      </c>
      <c r="D228" t="s">
        <v>2253</v>
      </c>
      <c r="E228" t="s">
        <v>61</v>
      </c>
      <c r="F228">
        <v>109.9</v>
      </c>
      <c r="G228">
        <v>39.049999999999997</v>
      </c>
      <c r="H228">
        <v>7894077402873</v>
      </c>
    </row>
    <row r="229" spans="1:8">
      <c r="A229" t="s">
        <v>2472</v>
      </c>
      <c r="B229" t="s">
        <v>2473</v>
      </c>
      <c r="C229" t="s">
        <v>2233</v>
      </c>
      <c r="D229" t="s">
        <v>2212</v>
      </c>
      <c r="E229" t="s">
        <v>2236</v>
      </c>
      <c r="F229">
        <v>299.89999999999998</v>
      </c>
      <c r="G229">
        <v>14112</v>
      </c>
      <c r="H229">
        <v>7890413543187</v>
      </c>
    </row>
    <row r="230" spans="1:8">
      <c r="A230" t="s">
        <v>2474</v>
      </c>
      <c r="B230" t="s">
        <v>2473</v>
      </c>
      <c r="C230" t="s">
        <v>2233</v>
      </c>
      <c r="D230" t="s">
        <v>2212</v>
      </c>
      <c r="E230" t="s">
        <v>2238</v>
      </c>
      <c r="F230">
        <v>299.89999999999998</v>
      </c>
      <c r="G230">
        <v>141.12</v>
      </c>
      <c r="H230">
        <v>7898945982252</v>
      </c>
    </row>
    <row r="231" spans="1:8">
      <c r="A231" t="s">
        <v>2475</v>
      </c>
      <c r="B231" t="s">
        <v>2473</v>
      </c>
      <c r="C231" t="s">
        <v>2233</v>
      </c>
      <c r="D231" t="s">
        <v>2212</v>
      </c>
      <c r="E231" t="s">
        <v>2240</v>
      </c>
      <c r="F231">
        <v>299.89999999999998</v>
      </c>
      <c r="G231">
        <v>141.12</v>
      </c>
      <c r="H231">
        <v>7895324112651</v>
      </c>
    </row>
    <row r="232" spans="1:8">
      <c r="A232" t="s">
        <v>2476</v>
      </c>
      <c r="B232" t="s">
        <v>2473</v>
      </c>
      <c r="C232" t="s">
        <v>2233</v>
      </c>
      <c r="D232" t="s">
        <v>2212</v>
      </c>
      <c r="E232" t="s">
        <v>2242</v>
      </c>
      <c r="F232">
        <v>299.89999999999998</v>
      </c>
      <c r="G232">
        <v>141.12</v>
      </c>
      <c r="H232">
        <v>7894594839978</v>
      </c>
    </row>
    <row r="233" spans="1:8">
      <c r="A233" t="s">
        <v>2477</v>
      </c>
      <c r="B233" t="s">
        <v>2473</v>
      </c>
      <c r="C233" t="s">
        <v>2233</v>
      </c>
      <c r="D233" t="s">
        <v>2328</v>
      </c>
      <c r="E233" t="s">
        <v>2236</v>
      </c>
      <c r="F233">
        <v>299.89999999999998</v>
      </c>
      <c r="G233">
        <v>141.12</v>
      </c>
      <c r="H233">
        <v>7899733962524</v>
      </c>
    </row>
    <row r="234" spans="1:8">
      <c r="A234" t="s">
        <v>2478</v>
      </c>
      <c r="B234" t="s">
        <v>2473</v>
      </c>
      <c r="C234" t="s">
        <v>2233</v>
      </c>
      <c r="D234" t="s">
        <v>2328</v>
      </c>
      <c r="E234" t="s">
        <v>2238</v>
      </c>
      <c r="F234">
        <v>299.89999999999998</v>
      </c>
      <c r="G234">
        <v>141.12</v>
      </c>
      <c r="H234">
        <v>7896296212530</v>
      </c>
    </row>
    <row r="235" spans="1:8">
      <c r="A235" t="s">
        <v>2479</v>
      </c>
      <c r="B235" t="s">
        <v>2473</v>
      </c>
      <c r="C235" t="s">
        <v>2233</v>
      </c>
      <c r="D235" t="s">
        <v>2328</v>
      </c>
      <c r="E235" t="s">
        <v>2240</v>
      </c>
      <c r="F235">
        <v>299.89999999999998</v>
      </c>
      <c r="G235">
        <v>141.12</v>
      </c>
      <c r="H235">
        <v>7890802528054</v>
      </c>
    </row>
    <row r="236" spans="1:8">
      <c r="A236" t="s">
        <v>2480</v>
      </c>
      <c r="B236" t="s">
        <v>2473</v>
      </c>
      <c r="C236" t="s">
        <v>2233</v>
      </c>
      <c r="D236" t="s">
        <v>2328</v>
      </c>
      <c r="E236" t="s">
        <v>2242</v>
      </c>
      <c r="F236">
        <v>299.89999999999998</v>
      </c>
      <c r="G236">
        <v>141.12</v>
      </c>
      <c r="H236">
        <v>7897522448310</v>
      </c>
    </row>
    <row r="237" spans="1:8">
      <c r="A237" t="s">
        <v>2481</v>
      </c>
      <c r="B237" t="s">
        <v>2473</v>
      </c>
      <c r="C237" t="s">
        <v>2233</v>
      </c>
      <c r="D237" t="s">
        <v>2253</v>
      </c>
      <c r="E237" t="s">
        <v>2236</v>
      </c>
      <c r="F237">
        <v>299.89999999999998</v>
      </c>
      <c r="G237">
        <v>141.12</v>
      </c>
      <c r="H237">
        <v>7899668648517</v>
      </c>
    </row>
    <row r="238" spans="1:8">
      <c r="A238" t="s">
        <v>2482</v>
      </c>
      <c r="B238" t="s">
        <v>2473</v>
      </c>
      <c r="C238" t="s">
        <v>2233</v>
      </c>
      <c r="D238" t="s">
        <v>2253</v>
      </c>
      <c r="E238" t="s">
        <v>2238</v>
      </c>
      <c r="F238">
        <v>299.89999999999998</v>
      </c>
      <c r="G238">
        <v>141.12</v>
      </c>
      <c r="H238">
        <v>7894968164828</v>
      </c>
    </row>
    <row r="239" spans="1:8">
      <c r="A239" t="s">
        <v>2483</v>
      </c>
      <c r="B239" t="s">
        <v>2473</v>
      </c>
      <c r="C239" t="s">
        <v>2233</v>
      </c>
      <c r="D239" t="s">
        <v>2253</v>
      </c>
      <c r="E239" t="s">
        <v>2240</v>
      </c>
      <c r="F239">
        <v>299.89999999999998</v>
      </c>
      <c r="G239">
        <v>141.12</v>
      </c>
      <c r="H239">
        <v>7894249042036</v>
      </c>
    </row>
    <row r="240" spans="1:8">
      <c r="A240" t="s">
        <v>2484</v>
      </c>
      <c r="B240" t="s">
        <v>2473</v>
      </c>
      <c r="C240" t="s">
        <v>2233</v>
      </c>
      <c r="D240" t="s">
        <v>2253</v>
      </c>
      <c r="E240" t="s">
        <v>2242</v>
      </c>
      <c r="F240">
        <v>299.89999999999998</v>
      </c>
      <c r="G240">
        <v>141.12</v>
      </c>
      <c r="H240">
        <v>7890194735757</v>
      </c>
    </row>
    <row r="241" spans="1:8">
      <c r="A241" t="s">
        <v>2485</v>
      </c>
      <c r="B241" t="s">
        <v>2486</v>
      </c>
      <c r="C241" t="s">
        <v>2233</v>
      </c>
      <c r="D241" t="s">
        <v>2253</v>
      </c>
      <c r="E241" t="s">
        <v>2234</v>
      </c>
      <c r="F241">
        <v>229.9</v>
      </c>
      <c r="G241">
        <v>82.96</v>
      </c>
      <c r="H241">
        <v>7897038524577</v>
      </c>
    </row>
    <row r="242" spans="1:8">
      <c r="A242" t="s">
        <v>2487</v>
      </c>
      <c r="B242" t="s">
        <v>2486</v>
      </c>
      <c r="C242" t="s">
        <v>2233</v>
      </c>
      <c r="D242" t="s">
        <v>2253</v>
      </c>
      <c r="E242" t="s">
        <v>2236</v>
      </c>
      <c r="F242">
        <v>229.9</v>
      </c>
      <c r="G242">
        <v>82.96</v>
      </c>
      <c r="H242">
        <v>7890484599472</v>
      </c>
    </row>
    <row r="243" spans="1:8">
      <c r="A243" t="s">
        <v>2488</v>
      </c>
      <c r="B243" t="s">
        <v>2486</v>
      </c>
      <c r="C243" t="s">
        <v>2233</v>
      </c>
      <c r="D243" t="s">
        <v>2253</v>
      </c>
      <c r="E243" t="s">
        <v>2238</v>
      </c>
      <c r="F243">
        <v>229.9</v>
      </c>
      <c r="G243">
        <v>82.96</v>
      </c>
      <c r="H243">
        <v>7892915958469</v>
      </c>
    </row>
    <row r="244" spans="1:8">
      <c r="A244" t="s">
        <v>2489</v>
      </c>
      <c r="B244" t="s">
        <v>2486</v>
      </c>
      <c r="C244" t="s">
        <v>2233</v>
      </c>
      <c r="D244" t="s">
        <v>2253</v>
      </c>
      <c r="E244" t="s">
        <v>2240</v>
      </c>
      <c r="F244">
        <v>229.9</v>
      </c>
      <c r="G244">
        <v>82.96</v>
      </c>
      <c r="H244">
        <v>7896644842006</v>
      </c>
    </row>
    <row r="245" spans="1:8">
      <c r="A245" t="s">
        <v>2490</v>
      </c>
      <c r="B245" t="s">
        <v>2486</v>
      </c>
      <c r="C245" t="s">
        <v>2233</v>
      </c>
      <c r="D245" t="s">
        <v>2253</v>
      </c>
      <c r="E245" t="s">
        <v>2242</v>
      </c>
      <c r="F245">
        <v>229.9</v>
      </c>
      <c r="G245">
        <v>82.96</v>
      </c>
      <c r="H245">
        <v>7897963064759</v>
      </c>
    </row>
    <row r="246" spans="1:8">
      <c r="A246" t="s">
        <v>2491</v>
      </c>
      <c r="B246" t="s">
        <v>2492</v>
      </c>
      <c r="C246" t="s">
        <v>2179</v>
      </c>
      <c r="D246" t="s">
        <v>2189</v>
      </c>
      <c r="E246" t="s">
        <v>51</v>
      </c>
      <c r="F246">
        <v>269.89999999999998</v>
      </c>
      <c r="G246">
        <v>94.91</v>
      </c>
      <c r="H246">
        <v>7896280062431</v>
      </c>
    </row>
    <row r="247" spans="1:8">
      <c r="A247" t="s">
        <v>2493</v>
      </c>
      <c r="B247" t="s">
        <v>2492</v>
      </c>
      <c r="C247" t="s">
        <v>2179</v>
      </c>
      <c r="D247" t="s">
        <v>2189</v>
      </c>
      <c r="E247" t="s">
        <v>54</v>
      </c>
      <c r="F247">
        <v>269.89999999999998</v>
      </c>
      <c r="G247">
        <v>94.91</v>
      </c>
      <c r="H247">
        <v>7894165724856</v>
      </c>
    </row>
    <row r="248" spans="1:8">
      <c r="A248" t="s">
        <v>2494</v>
      </c>
      <c r="B248" t="s">
        <v>2492</v>
      </c>
      <c r="C248" t="s">
        <v>2179</v>
      </c>
      <c r="D248" t="s">
        <v>2189</v>
      </c>
      <c r="E248" t="s">
        <v>58</v>
      </c>
      <c r="F248">
        <v>269.89999999999998</v>
      </c>
      <c r="G248">
        <v>94.91</v>
      </c>
      <c r="H248">
        <v>7890186076257</v>
      </c>
    </row>
    <row r="249" spans="1:8">
      <c r="A249" t="s">
        <v>2495</v>
      </c>
      <c r="B249" t="s">
        <v>2492</v>
      </c>
      <c r="C249" t="s">
        <v>2179</v>
      </c>
      <c r="D249" t="s">
        <v>2189</v>
      </c>
      <c r="E249" t="s">
        <v>61</v>
      </c>
      <c r="F249">
        <v>269.89999999999998</v>
      </c>
      <c r="G249">
        <v>94.91</v>
      </c>
      <c r="H249">
        <v>7894813033972</v>
      </c>
    </row>
    <row r="250" spans="1:8">
      <c r="A250" t="s">
        <v>2496</v>
      </c>
      <c r="B250" t="s">
        <v>2497</v>
      </c>
      <c r="C250" t="s">
        <v>2273</v>
      </c>
      <c r="D250" t="s">
        <v>2180</v>
      </c>
      <c r="E250" t="s">
        <v>51</v>
      </c>
      <c r="F250">
        <v>199.9</v>
      </c>
      <c r="G250">
        <v>80.19</v>
      </c>
      <c r="H250">
        <v>7891661785282</v>
      </c>
    </row>
    <row r="251" spans="1:8">
      <c r="A251" t="s">
        <v>2498</v>
      </c>
      <c r="B251" t="s">
        <v>2497</v>
      </c>
      <c r="C251" t="s">
        <v>2273</v>
      </c>
      <c r="D251" t="s">
        <v>2180</v>
      </c>
      <c r="E251" t="s">
        <v>54</v>
      </c>
      <c r="F251">
        <v>199.9</v>
      </c>
      <c r="G251">
        <v>80.19</v>
      </c>
      <c r="H251">
        <v>7892890744989</v>
      </c>
    </row>
    <row r="252" spans="1:8">
      <c r="A252" t="s">
        <v>2499</v>
      </c>
      <c r="B252" t="s">
        <v>2497</v>
      </c>
      <c r="C252" t="s">
        <v>2273</v>
      </c>
      <c r="D252" t="s">
        <v>2180</v>
      </c>
      <c r="E252" t="s">
        <v>58</v>
      </c>
      <c r="F252">
        <v>199.9</v>
      </c>
      <c r="G252">
        <v>80.19</v>
      </c>
      <c r="H252">
        <v>7897476877778</v>
      </c>
    </row>
    <row r="253" spans="1:8">
      <c r="A253" t="s">
        <v>2500</v>
      </c>
      <c r="B253" t="s">
        <v>2497</v>
      </c>
      <c r="C253" t="s">
        <v>2273</v>
      </c>
      <c r="D253" t="s">
        <v>2180</v>
      </c>
      <c r="E253" t="s">
        <v>61</v>
      </c>
      <c r="F253">
        <v>199.9</v>
      </c>
      <c r="G253">
        <v>80.19</v>
      </c>
      <c r="H253">
        <v>7890197254118</v>
      </c>
    </row>
    <row r="254" spans="1:8">
      <c r="A254" t="s">
        <v>2501</v>
      </c>
      <c r="B254" t="s">
        <v>2502</v>
      </c>
      <c r="C254" t="s">
        <v>2273</v>
      </c>
      <c r="D254" t="s">
        <v>2253</v>
      </c>
      <c r="E254" t="s">
        <v>51</v>
      </c>
      <c r="F254">
        <v>199.9</v>
      </c>
      <c r="G254">
        <v>87.39</v>
      </c>
      <c r="H254">
        <v>7894750319665</v>
      </c>
    </row>
    <row r="255" spans="1:8">
      <c r="A255" t="s">
        <v>2503</v>
      </c>
      <c r="B255" t="s">
        <v>2502</v>
      </c>
      <c r="C255" t="s">
        <v>2273</v>
      </c>
      <c r="D255" t="s">
        <v>2253</v>
      </c>
      <c r="E255" t="s">
        <v>54</v>
      </c>
      <c r="F255">
        <v>199.9</v>
      </c>
      <c r="G255">
        <v>87.39</v>
      </c>
      <c r="H255">
        <v>7898522976216</v>
      </c>
    </row>
    <row r="256" spans="1:8">
      <c r="A256" t="s">
        <v>2504</v>
      </c>
      <c r="B256" t="s">
        <v>2502</v>
      </c>
      <c r="C256" t="s">
        <v>2273</v>
      </c>
      <c r="D256" t="s">
        <v>2253</v>
      </c>
      <c r="E256" t="s">
        <v>58</v>
      </c>
      <c r="F256">
        <v>199.9</v>
      </c>
      <c r="G256">
        <v>87.39</v>
      </c>
      <c r="H256">
        <v>7895520946852</v>
      </c>
    </row>
    <row r="257" spans="1:8">
      <c r="A257" t="s">
        <v>2505</v>
      </c>
      <c r="B257" t="s">
        <v>2506</v>
      </c>
      <c r="C257" t="s">
        <v>2408</v>
      </c>
      <c r="D257" t="s">
        <v>2189</v>
      </c>
      <c r="E257" t="s">
        <v>2181</v>
      </c>
      <c r="F257">
        <v>249.9</v>
      </c>
      <c r="G257">
        <v>99.43</v>
      </c>
      <c r="H257">
        <v>7893592893890</v>
      </c>
    </row>
    <row r="258" spans="1:8">
      <c r="A258" t="s">
        <v>2507</v>
      </c>
      <c r="B258" t="s">
        <v>2506</v>
      </c>
      <c r="C258" t="s">
        <v>2408</v>
      </c>
      <c r="D258" t="s">
        <v>2189</v>
      </c>
      <c r="E258" t="s">
        <v>51</v>
      </c>
      <c r="F258">
        <v>249.9</v>
      </c>
      <c r="G258">
        <v>99.43</v>
      </c>
      <c r="H258">
        <v>7899058618052</v>
      </c>
    </row>
    <row r="259" spans="1:8">
      <c r="A259" t="s">
        <v>2508</v>
      </c>
      <c r="B259" t="s">
        <v>2506</v>
      </c>
      <c r="C259" t="s">
        <v>2408</v>
      </c>
      <c r="D259" t="s">
        <v>2189</v>
      </c>
      <c r="E259" t="s">
        <v>54</v>
      </c>
      <c r="F259">
        <v>249.9</v>
      </c>
      <c r="G259">
        <v>99.43</v>
      </c>
      <c r="H259">
        <v>7896913119525</v>
      </c>
    </row>
    <row r="260" spans="1:8">
      <c r="A260" t="s">
        <v>2509</v>
      </c>
      <c r="B260" t="s">
        <v>2506</v>
      </c>
      <c r="C260" t="s">
        <v>2408</v>
      </c>
      <c r="D260" t="s">
        <v>2189</v>
      </c>
      <c r="E260" t="s">
        <v>58</v>
      </c>
      <c r="F260">
        <v>249.9</v>
      </c>
      <c r="G260">
        <v>99.43</v>
      </c>
      <c r="H260">
        <v>7895866809774</v>
      </c>
    </row>
    <row r="261" spans="1:8">
      <c r="A261" t="s">
        <v>2510</v>
      </c>
      <c r="B261" t="s">
        <v>2506</v>
      </c>
      <c r="C261" t="s">
        <v>2408</v>
      </c>
      <c r="D261" t="s">
        <v>2189</v>
      </c>
      <c r="E261" t="s">
        <v>61</v>
      </c>
      <c r="F261">
        <v>249.9</v>
      </c>
      <c r="G261">
        <v>99.43</v>
      </c>
      <c r="H261">
        <v>7893777714118</v>
      </c>
    </row>
    <row r="262" spans="1:8">
      <c r="A262" t="s">
        <v>2511</v>
      </c>
      <c r="B262" t="s">
        <v>2512</v>
      </c>
      <c r="C262" t="s">
        <v>2296</v>
      </c>
      <c r="D262" t="s">
        <v>2244</v>
      </c>
      <c r="E262" t="s">
        <v>2234</v>
      </c>
      <c r="F262">
        <v>159.9</v>
      </c>
      <c r="G262">
        <v>56.83</v>
      </c>
      <c r="H262">
        <v>7895266904499</v>
      </c>
    </row>
    <row r="263" spans="1:8">
      <c r="A263" t="s">
        <v>2513</v>
      </c>
      <c r="B263" t="s">
        <v>2512</v>
      </c>
      <c r="C263" t="s">
        <v>2296</v>
      </c>
      <c r="D263" t="s">
        <v>2244</v>
      </c>
      <c r="E263" t="s">
        <v>2236</v>
      </c>
      <c r="F263">
        <v>159.9</v>
      </c>
      <c r="G263">
        <v>56.83</v>
      </c>
      <c r="H263">
        <v>7890664473387</v>
      </c>
    </row>
    <row r="264" spans="1:8">
      <c r="A264" t="s">
        <v>2514</v>
      </c>
      <c r="B264" t="s">
        <v>2512</v>
      </c>
      <c r="C264" t="s">
        <v>2296</v>
      </c>
      <c r="D264" t="s">
        <v>2244</v>
      </c>
      <c r="E264" t="s">
        <v>2238</v>
      </c>
      <c r="F264">
        <v>159.9</v>
      </c>
      <c r="G264">
        <v>56.83</v>
      </c>
      <c r="H264">
        <v>7894403261044</v>
      </c>
    </row>
    <row r="265" spans="1:8">
      <c r="A265" t="s">
        <v>2515</v>
      </c>
      <c r="B265" t="s">
        <v>2512</v>
      </c>
      <c r="C265" t="s">
        <v>2296</v>
      </c>
      <c r="D265" t="s">
        <v>2244</v>
      </c>
      <c r="E265" t="s">
        <v>2240</v>
      </c>
      <c r="F265">
        <v>159.9</v>
      </c>
      <c r="G265">
        <v>56.83</v>
      </c>
      <c r="H265">
        <v>7891963876183</v>
      </c>
    </row>
    <row r="266" spans="1:8">
      <c r="A266" t="s">
        <v>2516</v>
      </c>
      <c r="B266" t="s">
        <v>2512</v>
      </c>
      <c r="C266" t="s">
        <v>2296</v>
      </c>
      <c r="D266" t="s">
        <v>2244</v>
      </c>
      <c r="E266" t="s">
        <v>2242</v>
      </c>
      <c r="F266">
        <v>159.9</v>
      </c>
      <c r="G266">
        <v>56.83</v>
      </c>
      <c r="H266">
        <v>7894671128995</v>
      </c>
    </row>
    <row r="267" spans="1:8">
      <c r="A267" t="s">
        <v>2517</v>
      </c>
      <c r="B267" t="s">
        <v>2518</v>
      </c>
      <c r="C267" t="s">
        <v>2519</v>
      </c>
      <c r="D267" t="s">
        <v>2307</v>
      </c>
      <c r="E267" t="s">
        <v>51</v>
      </c>
      <c r="F267">
        <v>239.9</v>
      </c>
      <c r="G267">
        <v>109.9</v>
      </c>
      <c r="H267">
        <v>7898198424691</v>
      </c>
    </row>
    <row r="268" spans="1:8">
      <c r="A268" t="s">
        <v>2520</v>
      </c>
      <c r="B268" t="s">
        <v>2518</v>
      </c>
      <c r="C268" t="s">
        <v>2519</v>
      </c>
      <c r="D268" t="s">
        <v>2307</v>
      </c>
      <c r="E268" t="s">
        <v>54</v>
      </c>
      <c r="F268">
        <v>239.9</v>
      </c>
      <c r="G268">
        <v>109.9</v>
      </c>
      <c r="H268">
        <v>7894146456639</v>
      </c>
    </row>
    <row r="269" spans="1:8">
      <c r="A269" t="s">
        <v>2521</v>
      </c>
      <c r="B269" t="s">
        <v>2518</v>
      </c>
      <c r="C269" t="s">
        <v>2519</v>
      </c>
      <c r="D269" t="s">
        <v>2307</v>
      </c>
      <c r="E269" t="s">
        <v>58</v>
      </c>
      <c r="F269">
        <v>239.9</v>
      </c>
      <c r="G269">
        <v>109.9</v>
      </c>
      <c r="H269">
        <v>7897487896270</v>
      </c>
    </row>
    <row r="270" spans="1:8">
      <c r="A270" t="s">
        <v>2522</v>
      </c>
      <c r="B270" t="s">
        <v>2518</v>
      </c>
      <c r="C270" t="s">
        <v>2519</v>
      </c>
      <c r="D270" t="s">
        <v>2307</v>
      </c>
      <c r="E270" t="s">
        <v>61</v>
      </c>
      <c r="F270">
        <v>239.9</v>
      </c>
      <c r="G270">
        <v>109.9</v>
      </c>
      <c r="H270">
        <v>7895062352623</v>
      </c>
    </row>
    <row r="271" spans="1:8">
      <c r="A271" t="s">
        <v>2523</v>
      </c>
      <c r="B271" t="s">
        <v>2518</v>
      </c>
      <c r="C271" t="s">
        <v>2519</v>
      </c>
      <c r="D271" t="s">
        <v>2189</v>
      </c>
      <c r="E271" t="s">
        <v>51</v>
      </c>
      <c r="F271">
        <v>239.9</v>
      </c>
      <c r="G271">
        <v>109.9</v>
      </c>
      <c r="H271">
        <v>7894280713612</v>
      </c>
    </row>
    <row r="272" spans="1:8">
      <c r="A272" t="s">
        <v>2524</v>
      </c>
      <c r="B272" t="s">
        <v>2518</v>
      </c>
      <c r="C272" t="s">
        <v>2519</v>
      </c>
      <c r="D272" t="s">
        <v>2189</v>
      </c>
      <c r="E272" t="s">
        <v>54</v>
      </c>
      <c r="F272">
        <v>239.9</v>
      </c>
      <c r="G272">
        <v>109.9</v>
      </c>
      <c r="H272">
        <v>7894134874094</v>
      </c>
    </row>
    <row r="273" spans="1:8">
      <c r="A273" t="s">
        <v>2525</v>
      </c>
      <c r="B273" t="s">
        <v>2518</v>
      </c>
      <c r="C273" t="s">
        <v>2519</v>
      </c>
      <c r="D273" t="s">
        <v>2189</v>
      </c>
      <c r="E273" t="s">
        <v>58</v>
      </c>
      <c r="F273">
        <v>239.9</v>
      </c>
      <c r="G273">
        <v>109.9</v>
      </c>
      <c r="H273">
        <v>7892420628611</v>
      </c>
    </row>
    <row r="274" spans="1:8">
      <c r="A274" t="s">
        <v>2526</v>
      </c>
      <c r="B274" t="s">
        <v>2518</v>
      </c>
      <c r="C274" t="s">
        <v>2519</v>
      </c>
      <c r="D274" t="s">
        <v>2189</v>
      </c>
      <c r="E274" t="s">
        <v>61</v>
      </c>
      <c r="F274">
        <v>239.9</v>
      </c>
      <c r="G274">
        <v>109.9</v>
      </c>
      <c r="H274">
        <v>7896347069342</v>
      </c>
    </row>
    <row r="275" spans="1:8">
      <c r="A275" t="s">
        <v>2527</v>
      </c>
      <c r="B275" t="s">
        <v>2528</v>
      </c>
      <c r="C275" t="s">
        <v>2519</v>
      </c>
      <c r="D275" t="s">
        <v>2189</v>
      </c>
      <c r="E275" t="s">
        <v>2181</v>
      </c>
      <c r="F275">
        <v>209.9</v>
      </c>
      <c r="G275">
        <v>75.319999999999993</v>
      </c>
      <c r="H275">
        <v>7891300596965</v>
      </c>
    </row>
    <row r="276" spans="1:8">
      <c r="A276" t="s">
        <v>2529</v>
      </c>
      <c r="B276" t="s">
        <v>2528</v>
      </c>
      <c r="C276" t="s">
        <v>2519</v>
      </c>
      <c r="D276" t="s">
        <v>2189</v>
      </c>
      <c r="E276" t="s">
        <v>51</v>
      </c>
      <c r="F276">
        <v>209.9</v>
      </c>
      <c r="G276">
        <v>75.319999999999993</v>
      </c>
      <c r="H276">
        <v>7892018222429</v>
      </c>
    </row>
    <row r="277" spans="1:8">
      <c r="A277" t="s">
        <v>2530</v>
      </c>
      <c r="B277" t="s">
        <v>2528</v>
      </c>
      <c r="C277" t="s">
        <v>2519</v>
      </c>
      <c r="D277" t="s">
        <v>2189</v>
      </c>
      <c r="E277" t="s">
        <v>54</v>
      </c>
      <c r="F277">
        <v>209.9</v>
      </c>
      <c r="G277">
        <v>75.319999999999993</v>
      </c>
      <c r="H277">
        <v>7893867743455</v>
      </c>
    </row>
    <row r="278" spans="1:8">
      <c r="A278" t="s">
        <v>2531</v>
      </c>
      <c r="B278" t="s">
        <v>2528</v>
      </c>
      <c r="C278" t="s">
        <v>2519</v>
      </c>
      <c r="D278" t="s">
        <v>2189</v>
      </c>
      <c r="E278" t="s">
        <v>58</v>
      </c>
      <c r="F278">
        <v>209.9</v>
      </c>
      <c r="G278">
        <v>75.319999999999993</v>
      </c>
      <c r="H278">
        <v>7898378323882</v>
      </c>
    </row>
    <row r="279" spans="1:8">
      <c r="A279" t="s">
        <v>2532</v>
      </c>
      <c r="B279" t="s">
        <v>2528</v>
      </c>
      <c r="C279" t="s">
        <v>2519</v>
      </c>
      <c r="D279" t="s">
        <v>2189</v>
      </c>
      <c r="E279" t="s">
        <v>61</v>
      </c>
      <c r="F279">
        <v>209.9</v>
      </c>
      <c r="G279">
        <v>75.319999999999993</v>
      </c>
      <c r="H279">
        <v>7894388009372</v>
      </c>
    </row>
    <row r="280" spans="1:8">
      <c r="A280" t="s">
        <v>2533</v>
      </c>
      <c r="B280" t="s">
        <v>2534</v>
      </c>
      <c r="C280" t="s">
        <v>2188</v>
      </c>
      <c r="D280" t="s">
        <v>2189</v>
      </c>
      <c r="E280" t="s">
        <v>51</v>
      </c>
      <c r="F280">
        <v>89.9</v>
      </c>
      <c r="G280">
        <v>30.88</v>
      </c>
      <c r="H280">
        <v>7891891911123</v>
      </c>
    </row>
    <row r="281" spans="1:8">
      <c r="A281" t="s">
        <v>2535</v>
      </c>
      <c r="B281" t="s">
        <v>2534</v>
      </c>
      <c r="C281" t="s">
        <v>2188</v>
      </c>
      <c r="D281" t="s">
        <v>2189</v>
      </c>
      <c r="E281" t="s">
        <v>54</v>
      </c>
      <c r="F281">
        <v>89.9</v>
      </c>
      <c r="G281">
        <v>30.88</v>
      </c>
      <c r="H281">
        <v>7890853516413</v>
      </c>
    </row>
    <row r="282" spans="1:8">
      <c r="A282" t="s">
        <v>2536</v>
      </c>
      <c r="B282" t="s">
        <v>2534</v>
      </c>
      <c r="C282" t="s">
        <v>2188</v>
      </c>
      <c r="D282" t="s">
        <v>2189</v>
      </c>
      <c r="E282" t="s">
        <v>58</v>
      </c>
      <c r="F282">
        <v>89.9</v>
      </c>
      <c r="G282">
        <v>30.88</v>
      </c>
      <c r="H282">
        <v>7896136306382</v>
      </c>
    </row>
    <row r="283" spans="1:8">
      <c r="A283" t="s">
        <v>2537</v>
      </c>
      <c r="B283" t="s">
        <v>2534</v>
      </c>
      <c r="C283" t="s">
        <v>2188</v>
      </c>
      <c r="D283" t="s">
        <v>2244</v>
      </c>
      <c r="E283" t="s">
        <v>51</v>
      </c>
      <c r="F283">
        <v>89.9</v>
      </c>
      <c r="G283">
        <v>30.88</v>
      </c>
      <c r="H283">
        <v>7896988029965</v>
      </c>
    </row>
    <row r="284" spans="1:8">
      <c r="A284" t="s">
        <v>2538</v>
      </c>
      <c r="B284" t="s">
        <v>2534</v>
      </c>
      <c r="C284" t="s">
        <v>2188</v>
      </c>
      <c r="D284" t="s">
        <v>2244</v>
      </c>
      <c r="E284" t="s">
        <v>54</v>
      </c>
      <c r="F284">
        <v>89.9</v>
      </c>
      <c r="G284">
        <v>30.88</v>
      </c>
      <c r="H284">
        <v>7899272703619</v>
      </c>
    </row>
    <row r="285" spans="1:8">
      <c r="A285" t="s">
        <v>2539</v>
      </c>
      <c r="B285" t="s">
        <v>2534</v>
      </c>
      <c r="C285" t="s">
        <v>2188</v>
      </c>
      <c r="D285" t="s">
        <v>2244</v>
      </c>
      <c r="E285" t="s">
        <v>58</v>
      </c>
      <c r="F285">
        <v>89.9</v>
      </c>
      <c r="G285">
        <v>30.88</v>
      </c>
      <c r="H285">
        <v>7898963322566</v>
      </c>
    </row>
    <row r="286" spans="1:8">
      <c r="A286" t="s">
        <v>2540</v>
      </c>
      <c r="B286" t="s">
        <v>2541</v>
      </c>
      <c r="C286" t="s">
        <v>2354</v>
      </c>
      <c r="D286" t="s">
        <v>2244</v>
      </c>
      <c r="E286" t="s">
        <v>51</v>
      </c>
      <c r="F286">
        <v>149.9</v>
      </c>
      <c r="G286">
        <v>61.26</v>
      </c>
      <c r="H286">
        <v>7895053965597</v>
      </c>
    </row>
    <row r="287" spans="1:8">
      <c r="A287" t="s">
        <v>2542</v>
      </c>
      <c r="B287" t="s">
        <v>2541</v>
      </c>
      <c r="C287" t="s">
        <v>2354</v>
      </c>
      <c r="D287" t="s">
        <v>2244</v>
      </c>
      <c r="E287" t="s">
        <v>54</v>
      </c>
      <c r="F287">
        <v>149.9</v>
      </c>
      <c r="G287">
        <v>61.26</v>
      </c>
      <c r="H287">
        <v>7894671024785</v>
      </c>
    </row>
    <row r="288" spans="1:8">
      <c r="A288" t="s">
        <v>2543</v>
      </c>
      <c r="B288" t="s">
        <v>2541</v>
      </c>
      <c r="C288" t="s">
        <v>2354</v>
      </c>
      <c r="D288" t="s">
        <v>2244</v>
      </c>
      <c r="E288" t="s">
        <v>58</v>
      </c>
      <c r="F288">
        <v>149.9</v>
      </c>
      <c r="G288">
        <v>61.26</v>
      </c>
      <c r="H288">
        <v>7894508226580</v>
      </c>
    </row>
    <row r="289" spans="1:8">
      <c r="A289" t="s">
        <v>2544</v>
      </c>
      <c r="B289" t="s">
        <v>2541</v>
      </c>
      <c r="C289" t="s">
        <v>2354</v>
      </c>
      <c r="D289" t="s">
        <v>2227</v>
      </c>
      <c r="E289" t="s">
        <v>51</v>
      </c>
      <c r="F289">
        <v>149.9</v>
      </c>
      <c r="G289">
        <v>61.26</v>
      </c>
      <c r="H289">
        <v>7895753292160</v>
      </c>
    </row>
    <row r="290" spans="1:8">
      <c r="A290" t="s">
        <v>2545</v>
      </c>
      <c r="B290" t="s">
        <v>2541</v>
      </c>
      <c r="C290" t="s">
        <v>2354</v>
      </c>
      <c r="D290" t="s">
        <v>2227</v>
      </c>
      <c r="E290" t="s">
        <v>54</v>
      </c>
      <c r="F290">
        <v>149.9</v>
      </c>
      <c r="G290">
        <v>61.26</v>
      </c>
      <c r="H290">
        <v>7892836131729</v>
      </c>
    </row>
    <row r="291" spans="1:8">
      <c r="A291" t="s">
        <v>2546</v>
      </c>
      <c r="B291" t="s">
        <v>2541</v>
      </c>
      <c r="C291" t="s">
        <v>2354</v>
      </c>
      <c r="D291" t="s">
        <v>2227</v>
      </c>
      <c r="E291" t="s">
        <v>58</v>
      </c>
      <c r="F291">
        <v>149.9</v>
      </c>
      <c r="G291">
        <v>61.26</v>
      </c>
      <c r="H291">
        <v>7897181484247</v>
      </c>
    </row>
    <row r="292" spans="1:8">
      <c r="A292" t="s">
        <v>2547</v>
      </c>
      <c r="B292" t="s">
        <v>2548</v>
      </c>
      <c r="C292" t="s">
        <v>2408</v>
      </c>
      <c r="D292" t="s">
        <v>2227</v>
      </c>
      <c r="E292" t="s">
        <v>51</v>
      </c>
      <c r="F292">
        <v>249.9</v>
      </c>
      <c r="G292">
        <v>95.15</v>
      </c>
      <c r="H292">
        <v>7894088316152</v>
      </c>
    </row>
    <row r="293" spans="1:8">
      <c r="A293" t="s">
        <v>2549</v>
      </c>
      <c r="B293" t="s">
        <v>2548</v>
      </c>
      <c r="C293" t="s">
        <v>2408</v>
      </c>
      <c r="D293" t="s">
        <v>2227</v>
      </c>
      <c r="E293" t="s">
        <v>54</v>
      </c>
      <c r="F293">
        <v>249.9</v>
      </c>
      <c r="G293">
        <v>95.15</v>
      </c>
      <c r="H293">
        <v>7893100612142</v>
      </c>
    </row>
    <row r="294" spans="1:8">
      <c r="A294" t="s">
        <v>2550</v>
      </c>
      <c r="B294" t="s">
        <v>2548</v>
      </c>
      <c r="C294" t="s">
        <v>2408</v>
      </c>
      <c r="D294" t="s">
        <v>2227</v>
      </c>
      <c r="E294" t="s">
        <v>58</v>
      </c>
      <c r="F294">
        <v>249.9</v>
      </c>
      <c r="G294">
        <v>95.15</v>
      </c>
      <c r="H294">
        <v>7890563892630</v>
      </c>
    </row>
    <row r="295" spans="1:8">
      <c r="A295" t="s">
        <v>2551</v>
      </c>
      <c r="B295" t="s">
        <v>2548</v>
      </c>
      <c r="C295" t="s">
        <v>2408</v>
      </c>
      <c r="D295" t="s">
        <v>2227</v>
      </c>
      <c r="E295" t="s">
        <v>61</v>
      </c>
      <c r="F295">
        <v>249.9</v>
      </c>
      <c r="G295">
        <v>95.15</v>
      </c>
      <c r="H295">
        <v>7896415253895</v>
      </c>
    </row>
    <row r="296" spans="1:8">
      <c r="A296" t="s">
        <v>2552</v>
      </c>
      <c r="B296" t="s">
        <v>2548</v>
      </c>
      <c r="C296" t="s">
        <v>2408</v>
      </c>
      <c r="D296" t="s">
        <v>2212</v>
      </c>
      <c r="E296" t="s">
        <v>51</v>
      </c>
      <c r="F296">
        <v>249.9</v>
      </c>
      <c r="G296">
        <v>95.15</v>
      </c>
      <c r="H296">
        <v>7890546602249</v>
      </c>
    </row>
    <row r="297" spans="1:8">
      <c r="A297" t="s">
        <v>2553</v>
      </c>
      <c r="B297" t="s">
        <v>2548</v>
      </c>
      <c r="C297" t="s">
        <v>2408</v>
      </c>
      <c r="D297" t="s">
        <v>2212</v>
      </c>
      <c r="E297" t="s">
        <v>54</v>
      </c>
      <c r="F297">
        <v>249.9</v>
      </c>
      <c r="G297">
        <v>95.15</v>
      </c>
      <c r="H297">
        <v>7896989347174</v>
      </c>
    </row>
    <row r="298" spans="1:8">
      <c r="A298" t="s">
        <v>2554</v>
      </c>
      <c r="B298" t="s">
        <v>2548</v>
      </c>
      <c r="C298" t="s">
        <v>2408</v>
      </c>
      <c r="D298" t="s">
        <v>2212</v>
      </c>
      <c r="E298" t="s">
        <v>58</v>
      </c>
      <c r="F298">
        <v>249.9</v>
      </c>
      <c r="G298">
        <v>95.15</v>
      </c>
      <c r="H298">
        <v>7897342756350</v>
      </c>
    </row>
    <row r="299" spans="1:8">
      <c r="A299" t="s">
        <v>2555</v>
      </c>
      <c r="B299" t="s">
        <v>2548</v>
      </c>
      <c r="C299" t="s">
        <v>2408</v>
      </c>
      <c r="D299" t="s">
        <v>2212</v>
      </c>
      <c r="E299" t="s">
        <v>61</v>
      </c>
      <c r="F299">
        <v>249.9</v>
      </c>
      <c r="G299">
        <v>95.15</v>
      </c>
      <c r="H299">
        <v>7891667169444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vulto</dc:creator>
  <cp:keywords/>
  <dc:description/>
  <cp:lastModifiedBy/>
  <cp:revision/>
  <dcterms:created xsi:type="dcterms:W3CDTF">2026-09-30T18:00:00Z</dcterms:created>
  <dcterms:modified xsi:type="dcterms:W3CDTF">2026-10-15T19:18:57Z</dcterms:modified>
  <cp:category/>
  <cp:contentStatus/>
</cp:coreProperties>
</file>