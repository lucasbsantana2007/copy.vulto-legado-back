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alinsperedu-my.sharepoint.com/personal/lucasbs10_al_insper_edu_br/Documents/"/>
    </mc:Choice>
  </mc:AlternateContent>
  <xr:revisionPtr revIDLastSave="0" documentId="8_{8D98CFD2-5084-4734-83FF-90E96F129A3B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Vendas Março" sheetId="3" r:id="rId1"/>
    <sheet name="Itens Vendidos" sheetId="5" r:id="rId2"/>
    <sheet name="Resumo" sheetId="4" r:id="rId3"/>
    <sheet name="Conferência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B6" i="4" s="1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0" i="4"/>
  <c r="B28" i="4"/>
  <c r="C28" i="4"/>
  <c r="C29" i="4" s="1"/>
  <c r="B27" i="4"/>
  <c r="C27" i="4"/>
  <c r="B26" i="4"/>
  <c r="C26" i="4"/>
  <c r="B22" i="4"/>
  <c r="B23" i="4" s="1"/>
  <c r="C22" i="4"/>
  <c r="B21" i="4"/>
  <c r="C21" i="4"/>
  <c r="B20" i="4"/>
  <c r="C20" i="4"/>
  <c r="B19" i="4"/>
  <c r="C19" i="4"/>
  <c r="B18" i="4"/>
  <c r="C18" i="4"/>
  <c r="B14" i="4"/>
  <c r="C14" i="4"/>
  <c r="B13" i="4"/>
  <c r="C13" i="4"/>
  <c r="B12" i="4"/>
  <c r="C12" i="4"/>
  <c r="B4" i="4"/>
  <c r="B5" i="4"/>
  <c r="B7" i="4"/>
  <c r="B8" i="4"/>
  <c r="B9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B29" i="4" l="1"/>
  <c r="C23" i="4"/>
  <c r="C15" i="4"/>
  <c r="B15" i="4"/>
</calcChain>
</file>

<file path=xl/sharedStrings.xml><?xml version="1.0" encoding="utf-8"?>
<sst xmlns="http://schemas.openxmlformats.org/spreadsheetml/2006/main" count="1040" uniqueCount="318">
  <si>
    <t>Vendas Manuais – Loja Batel – Março/2026</t>
  </si>
  <si>
    <t>Registro durante a queda do sistema. Vendas canceladas/estornadas ficam na lista, mas não entram nos totais (ver aba Resumo). Cliente "Outros" = venda sem nome e sem CPF – ponto de atenção.</t>
  </si>
  <si>
    <t>Nº</t>
  </si>
  <si>
    <t>Data</t>
  </si>
  <si>
    <t>Hora</t>
  </si>
  <si>
    <t>Semana</t>
  </si>
  <si>
    <t>Cliente</t>
  </si>
  <si>
    <t>CPF</t>
  </si>
  <si>
    <t>Peças</t>
  </si>
  <si>
    <t>Qtd</t>
  </si>
  <si>
    <t>Valor (R$)</t>
  </si>
  <si>
    <t>Pagamento</t>
  </si>
  <si>
    <t>Vendedor(a)</t>
  </si>
  <si>
    <t>Status</t>
  </si>
  <si>
    <t>Lançado no Vulto+</t>
  </si>
  <si>
    <t>Observação</t>
  </si>
  <si>
    <t>Igor</t>
  </si>
  <si>
    <t>191.281.999-60</t>
  </si>
  <si>
    <t>1x Moletom zíper college (Azul marinho, M)</t>
  </si>
  <si>
    <t>Pix</t>
  </si>
  <si>
    <t>Gustavo</t>
  </si>
  <si>
    <t>Concluída</t>
  </si>
  <si>
    <t>Não</t>
  </si>
  <si>
    <t>Vinícius</t>
  </si>
  <si>
    <t>372.366.587-07</t>
  </si>
  <si>
    <t>2x Pochete nylon (Branco, U) + 1x Camisa linho leve (Lilás, G)</t>
  </si>
  <si>
    <t>Crédito</t>
  </si>
  <si>
    <t>Desconto gerente</t>
  </si>
  <si>
    <t>Outros</t>
  </si>
  <si>
    <t/>
  </si>
  <si>
    <t>1x Saia cargo plissada (Vinho, P)</t>
  </si>
  <si>
    <t>Patrícia W.</t>
  </si>
  <si>
    <t>1x Jaqueta couro eco clássica (Vinho, M)</t>
  </si>
  <si>
    <t>Crédito 2x</t>
  </si>
  <si>
    <t>1x Hoodie oversized bordado (Branco, M) + 1x Cropped amarração floral (Amarelo, GG) + 1x Regata retrô (Lilás, M)</t>
  </si>
  <si>
    <t>Luana Batista</t>
  </si>
  <si>
    <t>844.262.790-11</t>
  </si>
  <si>
    <t>1x Camiseta raglan retrô (Vinho, G)</t>
  </si>
  <si>
    <t>Melissa R</t>
  </si>
  <si>
    <t>891.151.002-51</t>
  </si>
  <si>
    <t>1x Calça alfaiataria sarja (Preto, 40)</t>
  </si>
  <si>
    <t>Fernanda K.</t>
  </si>
  <si>
    <t>Cancelada</t>
  </si>
  <si>
    <t>Diego Santos</t>
  </si>
  <si>
    <t>013.949.436-79</t>
  </si>
  <si>
    <t>1x Bermuda sarja ampla (Vinho, 36) + 1x Bermuda moletom ampla (Azul marinho, 40) + 1x Vestido slip canelado (Marrom, P)</t>
  </si>
  <si>
    <t>Débito</t>
  </si>
  <si>
    <t>Sim</t>
  </si>
  <si>
    <t>Caio</t>
  </si>
  <si>
    <t>876.438.971-58</t>
  </si>
  <si>
    <t>1x Saia midi evasê (Off white, GG) + 1x Minissaia utilitária (Cinza mescla, M)</t>
  </si>
  <si>
    <t>1x Camisa cuban ampla (Bege, G) + 1x Calça cargo parachute (Marrom, 38) + 1x Cinto básico (Off white, U)</t>
  </si>
  <si>
    <t>1x Camisa jeans estonada (Jeans claro, P) + 1x Camisa cuban bolso (Marrom, M)</t>
  </si>
  <si>
    <t>Priscila F</t>
  </si>
  <si>
    <t>824.356.419-58</t>
  </si>
  <si>
    <t>1x Saia midi fenda (Off white, M) + 1x Cropped canelado tricot (Vinho, M)</t>
  </si>
  <si>
    <t>Carolina Rodrigues</t>
  </si>
  <si>
    <t>108.127.090-04</t>
  </si>
  <si>
    <t>2x Top faixa tricot (Azul marinho, M) + 1x Vestido midi cetim (Cinza mescla, P) + 1x Camisa oxford listrada (Amarelo, G)</t>
  </si>
  <si>
    <t>1x Bermuda moletom ampla (Azul marinho, 44)</t>
  </si>
  <si>
    <t>Kamila</t>
  </si>
  <si>
    <t>365.148.855-19</t>
  </si>
  <si>
    <t>1x Calça jogger ripstop (Preto, 40)</t>
  </si>
  <si>
    <t>1x Calça cargo parachute (Marrom, 40)</t>
  </si>
  <si>
    <t>Lorenzo R</t>
  </si>
  <si>
    <t>067.900.295-24</t>
  </si>
  <si>
    <t>1x Top alcinha canelado (Preto, G) + 1x Hoodie oversized bordado (Branco, P)</t>
  </si>
  <si>
    <t>1x Moletom zíper college (Azul marinho, G)</t>
  </si>
  <si>
    <t>Alice Fonseca</t>
  </si>
  <si>
    <t>290.437.273-34</t>
  </si>
  <si>
    <t>1x Moletom zíper college (Cinza mescla, G) + 1x Camiseta raglan retrô (Vinho, G)</t>
  </si>
  <si>
    <t>Alice Correia</t>
  </si>
  <si>
    <t>485.479.084-98</t>
  </si>
  <si>
    <t>Dinheiro</t>
  </si>
  <si>
    <t>Estornada</t>
  </si>
  <si>
    <t>Cecília</t>
  </si>
  <si>
    <t>534.877.448-05</t>
  </si>
  <si>
    <t>2x Saia cargo utilitária (Marrom, M)</t>
  </si>
  <si>
    <t>Yasmin Teixeira</t>
  </si>
  <si>
    <t>128.750.826-04</t>
  </si>
  <si>
    <t>1x Moletom zíper college (Azul marinho, GG)</t>
  </si>
  <si>
    <t>2x Short alfaiataria clássica (Jeans claro, 38) + 1x Vestido midi cetim (Cinza mescla, M)</t>
  </si>
  <si>
    <t>Clara F</t>
  </si>
  <si>
    <t>994.429.732-15</t>
  </si>
  <si>
    <t>1x Vestido tubinho cetim (Azul marinho, P) + 1x Calça mom clara (Off white, 38)</t>
  </si>
  <si>
    <t>João Tavares</t>
  </si>
  <si>
    <t>632.980.366-84</t>
  </si>
  <si>
    <t>1x Calça alfaiataria parachute (Lilás, 40)</t>
  </si>
  <si>
    <t>2x Calça jogger ripstop (Preto, 42) + 1x Camisa xadrez leve (Bege, M) + 1x Calça jeans reta destroyed (Preto, 40)</t>
  </si>
  <si>
    <t>1x Suéter tricô fio leve (Verde oliva, M)</t>
  </si>
  <si>
    <t>Henrique</t>
  </si>
  <si>
    <t>1x Moletom canguru bordado (Off white, G) + 1x Moletom zíper bordado (Off white, P)</t>
  </si>
  <si>
    <t>Paulo Ramos Fonseca</t>
  </si>
  <si>
    <t>922.325.035-85</t>
  </si>
  <si>
    <t>1x Camiseta raglan retrô (Vinho, GG)</t>
  </si>
  <si>
    <t>Leonardo Moura</t>
  </si>
  <si>
    <t>964.208.507-03</t>
  </si>
  <si>
    <t>1x Camiseta oversized urbana (Bege, G) + 1x Camiseta estampada vintage (Amarelo, G)</t>
  </si>
  <si>
    <t>Daniela N</t>
  </si>
  <si>
    <t>582.363.011-50</t>
  </si>
  <si>
    <t>1x Camisa xadrez bolso (Branco, G)</t>
  </si>
  <si>
    <t>1x Camisa oxford listrada (Amarelo, P)</t>
  </si>
  <si>
    <t>Lívia</t>
  </si>
  <si>
    <t>641.751.903-17</t>
  </si>
  <si>
    <t>1x Corta-vento utilitária (Off white, M) + 1x Camiseta raglan skate (Cinza mescla, M) + 1x Vestido slip canelado (Marrom, M)</t>
  </si>
  <si>
    <t>102.719.253-02</t>
  </si>
  <si>
    <t>1x Overshirt ampla (Branco, G) + 1x Top alcinha floral (Bege, P)</t>
  </si>
  <si>
    <t>Olívia R</t>
  </si>
  <si>
    <t>139.217.652-26</t>
  </si>
  <si>
    <t>1x Short jeans clássica (Jeans escuro, 40)</t>
  </si>
  <si>
    <t>Bernardo Lima</t>
  </si>
  <si>
    <t>709.379.737-77</t>
  </si>
  <si>
    <t>1x Camisa cuban bolso (Marrom, M) + 1x Vestido midi cetim (Marrom, GG)</t>
  </si>
  <si>
    <t>Carolina Barros Machado</t>
  </si>
  <si>
    <t>543.255.186-14</t>
  </si>
  <si>
    <t>2x Camiseta boxy logo (Preto, G)</t>
  </si>
  <si>
    <t>1x Pochete nylon (Branco, U) + 1x Camiseta estampada vintage (Amarelo, P)</t>
  </si>
  <si>
    <t>1x Saia midi fenda (Branco, M)</t>
  </si>
  <si>
    <t>Sofia Martins Campos</t>
  </si>
  <si>
    <t>710.386.555-87</t>
  </si>
  <si>
    <t>1x Calça jeans reta parachute (Preto, 40) + 1x Overshirt praia (Verde oliva, G)</t>
  </si>
  <si>
    <t>2x Overshirt ampla (Branco, G) + 1x Calça mom clara (Off white, 36)</t>
  </si>
  <si>
    <t>2x Calça cargo sarja (Amarelo, 38)</t>
  </si>
  <si>
    <t>1x Cinto básico (Off white, U)</t>
  </si>
  <si>
    <t>Bruno Cardoso Freitas</t>
  </si>
  <si>
    <t>948.755.513-71</t>
  </si>
  <si>
    <t>1x Cropped canelado basic (Off white, M) + 2x Calça wide leg escura (Bege, 42)</t>
  </si>
  <si>
    <t>1x Camiseta básica urbana (Amarelo, M) + 1x Moletom zíper college (Cinza mescla, G) + 1x Camisa cuban bolso (Marrom, GG)</t>
  </si>
  <si>
    <t>Fábio B</t>
  </si>
  <si>
    <t>220.253.334-63</t>
  </si>
  <si>
    <t>1x Saia cargo plissada (Vinho, G) + 1x Pochete nylon (Branco, U) + 1x Moletom zíper logo (Marrom, P)</t>
  </si>
  <si>
    <t>Renata Peixoto</t>
  </si>
  <si>
    <t>742.300.372-79</t>
  </si>
  <si>
    <t>1x Short alfaiataria barra desfiada (Branco, 38) + 1x Cinto básico (Off white, U)</t>
  </si>
  <si>
    <t>Davi C</t>
  </si>
  <si>
    <t>655.104.835-80</t>
  </si>
  <si>
    <t>2x Cardigan chunky (Lilás, P) + 1x Suéter tricô fio leve (Verde oliva, M)</t>
  </si>
  <si>
    <t>Natália Vieira Rocha</t>
  </si>
  <si>
    <t>159.053.266-06</t>
  </si>
  <si>
    <t>1x Vestido chemise canelado (Off white, G)</t>
  </si>
  <si>
    <t>1x Hoodie oversized college (Cinza mescla, M)</t>
  </si>
  <si>
    <t>1x Meia cano alto (par) couro eco (Off white, U)</t>
  </si>
  <si>
    <t>1x Cropped amarração floral (Amarelo, G) + 1x Camiseta oversized logo (Off white, G)</t>
  </si>
  <si>
    <t>1x Pochete nylon (Branco, U) + 1x Top alcinha canelado (Verde oliva, M) + 1x Calça cargo comfort (Branco, 42) + 1x Meia cano alto (par) bordado (Verde oliva, U)</t>
  </si>
  <si>
    <t>Thaís</t>
  </si>
  <si>
    <t>549.389.170-09</t>
  </si>
  <si>
    <t>2x Bermuda moletom ampla (Azul marinho, 38) + 1x Calça wide leg parachute (Lilás, 38) + 1x Pochete nylon (Branco, U)</t>
  </si>
  <si>
    <t>Letícia</t>
  </si>
  <si>
    <t>825.662.515-50</t>
  </si>
  <si>
    <t>1x Cropped canelado (Verde oliva, M)</t>
  </si>
  <si>
    <t>1x Calça mom clara (Bege, 36) + 1x Jaqueta puffer matelassê (Marrom, P) + 1x Saia midi evasê (Off white, P)</t>
  </si>
  <si>
    <t>Luan</t>
  </si>
  <si>
    <t>364.304.806-82</t>
  </si>
  <si>
    <t>1x Regata skate (Cinza mescla, G)</t>
  </si>
  <si>
    <t>Sabrina</t>
  </si>
  <si>
    <t>128.028.447-17</t>
  </si>
  <si>
    <t>2x Cinto nylon (Cinza mescla, U)</t>
  </si>
  <si>
    <t>Marcelo G</t>
  </si>
  <si>
    <t>358.081.072-37</t>
  </si>
  <si>
    <t>1x Short alfaiataria clássica (Jeans claro, 42)</t>
  </si>
  <si>
    <t>1x Cropped amarração canelado (Marrom, M)</t>
  </si>
  <si>
    <t>1x Camisa cuban bolso (Marrom, GG) + 1x Camisa cuban ampla (Bege, M)</t>
  </si>
  <si>
    <t>1x Short alfaiataria barra desfiada (Branco, 44)</t>
  </si>
  <si>
    <t>Bianca C</t>
  </si>
  <si>
    <t>811.451.314-41</t>
  </si>
  <si>
    <t>1x Camisa cuban estonada (Azul marinho, M)</t>
  </si>
  <si>
    <t>Renata</t>
  </si>
  <si>
    <t>1x Camiseta raglan retrô (Vinho, GG) + 1x Pochete nylon (Branco, U)</t>
  </si>
  <si>
    <t>1x Minissaia utilitária (Cinza mescla, G) + 1x Calça mom clara (Bege, 44)</t>
  </si>
  <si>
    <t>Ícaro R</t>
  </si>
  <si>
    <t>477.066.637-36</t>
  </si>
  <si>
    <t>1x Moletom zíper college (Bege, G)</t>
  </si>
  <si>
    <t>Beatriz</t>
  </si>
  <si>
    <t>070.588.501-19</t>
  </si>
  <si>
    <t>1x Colete tricô fio leve (Verde oliva, M)</t>
  </si>
  <si>
    <t>1x Calça mom clara (Bege, 38) + 1x Moletom canguru bordado (Off white, M)</t>
  </si>
  <si>
    <t>2x Vestido slip canelado (Marrom, P)</t>
  </si>
  <si>
    <t>Cauã</t>
  </si>
  <si>
    <t>226.747.315-16</t>
  </si>
  <si>
    <t>1x Moletom zíper bordado (Off white, M)</t>
  </si>
  <si>
    <t>Itens Vendidos – Março/2026 (uma linha por peça)</t>
  </si>
  <si>
    <t>Padrão: Tipo / Produto / Cor / Tamanho / Qtd. Data e Status vêm da aba Vendas Março pelo Nº da venda.</t>
  </si>
  <si>
    <t>Nº venda</t>
  </si>
  <si>
    <t>Tipo</t>
  </si>
  <si>
    <t>Produto</t>
  </si>
  <si>
    <t>Cor</t>
  </si>
  <si>
    <t>Tamanho</t>
  </si>
  <si>
    <t>Moletom</t>
  </si>
  <si>
    <t>Moletom zíper college</t>
  </si>
  <si>
    <t>Azul marinho</t>
  </si>
  <si>
    <t>M</t>
  </si>
  <si>
    <t>Pochete</t>
  </si>
  <si>
    <t>Pochete nylon</t>
  </si>
  <si>
    <t>Branco</t>
  </si>
  <si>
    <t>U</t>
  </si>
  <si>
    <t>Camisa</t>
  </si>
  <si>
    <t>Camisa linho leve</t>
  </si>
  <si>
    <t>Lilás</t>
  </si>
  <si>
    <t>G</t>
  </si>
  <si>
    <t>Saia</t>
  </si>
  <si>
    <t>Saia cargo plissada</t>
  </si>
  <si>
    <t>Vinho</t>
  </si>
  <si>
    <t>P</t>
  </si>
  <si>
    <t>Jaqueta</t>
  </si>
  <si>
    <t>Jaqueta couro eco clássica</t>
  </si>
  <si>
    <t>Hoodie</t>
  </si>
  <si>
    <t>Hoodie oversized bordado</t>
  </si>
  <si>
    <t>Cropped</t>
  </si>
  <si>
    <t>Cropped amarração floral</t>
  </si>
  <si>
    <t>Amarelo</t>
  </si>
  <si>
    <t>GG</t>
  </si>
  <si>
    <t>Regata</t>
  </si>
  <si>
    <t>Regata retrô</t>
  </si>
  <si>
    <t>Camiseta</t>
  </si>
  <si>
    <t>Camiseta raglan retrô</t>
  </si>
  <si>
    <t>Calça</t>
  </si>
  <si>
    <t>Calça alfaiataria sarja</t>
  </si>
  <si>
    <t>Preto</t>
  </si>
  <si>
    <t>40</t>
  </si>
  <si>
    <t>Bermuda</t>
  </si>
  <si>
    <t>Bermuda sarja ampla</t>
  </si>
  <si>
    <t>36</t>
  </si>
  <si>
    <t>Bermuda moletom ampla</t>
  </si>
  <si>
    <t>Vestido</t>
  </si>
  <si>
    <t>Vestido slip canelado</t>
  </si>
  <si>
    <t>Marrom</t>
  </si>
  <si>
    <t>Saia midi evasê</t>
  </si>
  <si>
    <t>Off white</t>
  </si>
  <si>
    <t>Minissaia</t>
  </si>
  <si>
    <t>Minissaia utilitária</t>
  </si>
  <si>
    <t>Cinza mescla</t>
  </si>
  <si>
    <t>Camisa cuban ampla</t>
  </si>
  <si>
    <t>Bege</t>
  </si>
  <si>
    <t>Calça cargo parachute</t>
  </si>
  <si>
    <t>38</t>
  </si>
  <si>
    <t>Cinto</t>
  </si>
  <si>
    <t>Cinto básico</t>
  </si>
  <si>
    <t>Camisa jeans estonada</t>
  </si>
  <si>
    <t>Jeans claro</t>
  </si>
  <si>
    <t>Camisa cuban bolso</t>
  </si>
  <si>
    <t>Saia midi fenda</t>
  </si>
  <si>
    <t>Cropped canelado tricot</t>
  </si>
  <si>
    <t>Top</t>
  </si>
  <si>
    <t>Top faixa tricot</t>
  </si>
  <si>
    <t>Vestido midi cetim</t>
  </si>
  <si>
    <t>Camisa oxford listrada</t>
  </si>
  <si>
    <t>44</t>
  </si>
  <si>
    <t>Calça jogger ripstop</t>
  </si>
  <si>
    <t>Top alcinha canelado</t>
  </si>
  <si>
    <t>Saia cargo utilitária</t>
  </si>
  <si>
    <t>Short</t>
  </si>
  <si>
    <t>Short alfaiataria clássica</t>
  </si>
  <si>
    <t>Vestido tubinho cetim</t>
  </si>
  <si>
    <t>Calça mom clara</t>
  </si>
  <si>
    <t>Calça alfaiataria parachute</t>
  </si>
  <si>
    <t>42</t>
  </si>
  <si>
    <t>Camisa xadrez leve</t>
  </si>
  <si>
    <t>Calça jeans reta destroyed</t>
  </si>
  <si>
    <t>Suéter</t>
  </si>
  <si>
    <t>Suéter tricô fio leve</t>
  </si>
  <si>
    <t>Verde oliva</t>
  </si>
  <si>
    <t>Moletom canguru bordado</t>
  </si>
  <si>
    <t>Moletom zíper bordado</t>
  </si>
  <si>
    <t>Camiseta oversized urbana</t>
  </si>
  <si>
    <t>Camiseta estampada vintage</t>
  </si>
  <si>
    <t>Camisa xadrez bolso</t>
  </si>
  <si>
    <t>Corta-vento</t>
  </si>
  <si>
    <t>Corta-vento utilitária</t>
  </si>
  <si>
    <t>Camiseta raglan skate</t>
  </si>
  <si>
    <t>Overshirt</t>
  </si>
  <si>
    <t>Overshirt ampla</t>
  </si>
  <si>
    <t>Top alcinha floral</t>
  </si>
  <si>
    <t>Short jeans clássica</t>
  </si>
  <si>
    <t>Jeans escuro</t>
  </si>
  <si>
    <t>Camiseta boxy logo</t>
  </si>
  <si>
    <t>Calça jeans reta parachute</t>
  </si>
  <si>
    <t>Overshirt praia</t>
  </si>
  <si>
    <t>Calça cargo sarja</t>
  </si>
  <si>
    <t>Cropped canelado basic</t>
  </si>
  <si>
    <t>Calça wide leg escura</t>
  </si>
  <si>
    <t>Camiseta básica urbana</t>
  </si>
  <si>
    <t>Moletom zíper logo</t>
  </si>
  <si>
    <t>Short alfaiataria barra desfiada</t>
  </si>
  <si>
    <t>Cardigan</t>
  </si>
  <si>
    <t>Cardigan chunky</t>
  </si>
  <si>
    <t>Vestido chemise canelado</t>
  </si>
  <si>
    <t>Hoodie oversized college</t>
  </si>
  <si>
    <t>Meia</t>
  </si>
  <si>
    <t>Meia cano alto (par) couro eco</t>
  </si>
  <si>
    <t>Camiseta oversized logo</t>
  </si>
  <si>
    <t>Calça cargo comfort</t>
  </si>
  <si>
    <t>Meia cano alto (par) bordado</t>
  </si>
  <si>
    <t>Calça wide leg parachute</t>
  </si>
  <si>
    <t>Cropped canelado</t>
  </si>
  <si>
    <t>Jaqueta puffer matelassê</t>
  </si>
  <si>
    <t>Regata skate</t>
  </si>
  <si>
    <t>Cinto nylon</t>
  </si>
  <si>
    <t>Cropped amarração canelado</t>
  </si>
  <si>
    <t>Camisa cuban estonada</t>
  </si>
  <si>
    <t>Colete</t>
  </si>
  <si>
    <t>Colete tricô fio leve</t>
  </si>
  <si>
    <t>Resumo – Vendas Manuais Batel – Março/2026</t>
  </si>
  <si>
    <t>Indicadores gerais</t>
  </si>
  <si>
    <t>Faturamento (vendas concluídas)</t>
  </si>
  <si>
    <t>Nº de vendas concluídas</t>
  </si>
  <si>
    <t>Peças vendidas</t>
  </si>
  <si>
    <t>Ticket médio</t>
  </si>
  <si>
    <t>Canceladas/estornadas (R$)</t>
  </si>
  <si>
    <t>Vendas pendentes de lançar no Vulto+</t>
  </si>
  <si>
    <t>Vendas sem cliente identificado ("Outros")</t>
  </si>
  <si>
    <t>Por semana</t>
  </si>
  <si>
    <t>Nº vendas</t>
  </si>
  <si>
    <t>Total</t>
  </si>
  <si>
    <t>Por forma de pagamento</t>
  </si>
  <si>
    <t>Por vendedor(a)</t>
  </si>
  <si>
    <t>conferir com extrato da maquininha!!!</t>
  </si>
  <si>
    <t>semana 1 bateu</t>
  </si>
  <si>
    <t>semana 2 faltou 1 venda pix?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</si>
</sst>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emana &quot;0"/>
    <numFmt numFmtId="165" formatCode="&quot;R$&quot;\ 0.00"/>
  </numFmts>
  <fonts count="6">
    <font>
      <sz val="11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  <xf numFmtId="0" fontId="2" fillId="0" borderId="1" xfId="0" applyFont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5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26">
    <dxf>
      <alignment horizontal="center"/>
    </dxf>
    <dxf>
      <alignment horizontal="center"/>
    </dxf>
    <dxf>
      <numFmt numFmtId="30" formatCode="@"/>
      <alignment horizontal="center"/>
    </dxf>
    <dxf>
      <alignment horizontal="center"/>
    </dxf>
    <dxf>
      <alignment horizontal="center"/>
    </dxf>
    <dxf>
      <border>
        <bottom style="thin">
          <color auto="1"/>
        </bottom>
      </border>
    </dxf>
    <dxf>
      <font>
        <b/>
        <color rgb="FF000000"/>
      </font>
      <fill>
        <patternFill patternType="none"/>
      </fill>
    </dxf>
    <dxf>
      <font>
        <strike/>
        <color rgb="FF9C0006"/>
      </font>
      <fill>
        <patternFill patternType="solid">
          <fgColor indexed="64"/>
          <bgColor rgb="FFFFE7E7"/>
        </patternFill>
      </fill>
    </dxf>
    <dxf>
      <alignment vertical="center"/>
    </dxf>
    <dxf>
      <alignment horizontal="center" vertical="center"/>
    </dxf>
    <dxf>
      <alignment horizontal="center" vertical="center"/>
    </dxf>
    <dxf>
      <alignment vertical="center"/>
    </dxf>
    <dxf>
      <alignment horizontal="center" vertical="center"/>
    </dxf>
    <dxf>
      <alignment vertical="center"/>
    </dxf>
    <dxf>
      <alignment horizontal="center" vertical="center"/>
    </dxf>
    <dxf>
      <alignment vertical="center" wrapText="1"/>
    </dxf>
    <dxf>
      <numFmt numFmtId="30" formatCode="@"/>
      <alignment horizontal="center"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>
        <bottom style="thin">
          <color auto="1"/>
        </bottom>
      </border>
    </dxf>
    <dxf>
      <alignment vertical="center"/>
    </dxf>
    <dxf>
      <font>
        <b/>
        <color rgb="FF000000"/>
      </font>
      <fill>
        <patternFill patternType="none"/>
      </fill>
      <alignment wrapText="1"/>
    </dxf>
    <dxf>
      <font>
        <strike/>
        <color rgb="FF9C0006"/>
      </font>
      <fill>
        <patternFill patternType="solid">
          <fgColor indexed="64"/>
          <bgColor rgb="FFFFE7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B8B92-855C-5541-846B-7FEF80D31573}" name="tbVendasMarco" displayName="tbVendasMarco" ref="A4:N76" totalsRowShown="0" headerRowDxfId="24" dataDxfId="23" headerRowBorderDxfId="22">
  <autoFilter ref="A4:N76" xr:uid="{F77B8B92-855C-5541-846B-7FEF80D31573}"/>
  <tableColumns count="14">
    <tableColumn id="1" xr3:uid="{FA202235-623D-3047-9344-3EFB1918437F}" name="Nº" dataDxfId="21"/>
    <tableColumn id="2" xr3:uid="{A57F0AB8-E052-BE41-BA95-A4006FD45E12}" name="Data" dataDxfId="20"/>
    <tableColumn id="3" xr3:uid="{9EED6AE2-1D94-B044-9FFC-A8F5E62585C7}" name="Hora" dataDxfId="19"/>
    <tableColumn id="4" xr3:uid="{CD0CDD50-EA4F-064B-A84B-13CAB822C100}" name="Semana" dataDxfId="18">
      <calculatedColumnFormula>WEEKNUM(tbVendasMarco[[#This Row],[Data]],2)-WEEKNUM(DATE(YEAR(tbVendasMarco[[#This Row],[Data]]),MONTH(tbVendasMarco[[#This Row],[Data]]),1),2)</calculatedColumnFormula>
    </tableColumn>
    <tableColumn id="5" xr3:uid="{0AC7854F-6829-2941-999B-3C852112185C}" name="Cliente" dataDxfId="17"/>
    <tableColumn id="6" xr3:uid="{4D13298B-04E2-DC4E-8468-581C50E0FB38}" name="CPF" dataDxfId="16"/>
    <tableColumn id="7" xr3:uid="{A674BA7D-B9B3-124B-8073-7E8D57D6AE43}" name="Peças" dataDxfId="15"/>
    <tableColumn id="8" xr3:uid="{77004A0B-9481-1843-B797-26C1443ABD15}" name="Qtd" dataDxfId="14">
      <calculatedColumnFormula>SUMIFS(tbItens[Qtd],tbItens[Nº venda],tbVendasMarco[[#This Row],[Nº]])</calculatedColumnFormula>
    </tableColumn>
    <tableColumn id="9" xr3:uid="{7CC20DBA-7499-A14C-BE62-756C471479D5}" name="Valor (R$)" dataDxfId="13"/>
    <tableColumn id="10" xr3:uid="{2F866A26-4CF1-9E4E-AFC6-F6E9620CC9F8}" name="Pagamento" dataDxfId="12"/>
    <tableColumn id="11" xr3:uid="{F7929AA2-2B0B-E448-9F0E-C231DD690E46}" name="Vendedor(a)" dataDxfId="11"/>
    <tableColumn id="12" xr3:uid="{75C96D8A-44AD-AB47-BD2C-046DE731B2EA}" name="Status" dataDxfId="10"/>
    <tableColumn id="13" xr3:uid="{8BEEDD6C-9F5E-5B4F-A4C4-6193CD2FDAD3}" name="Lançado no Vulto+" dataDxfId="9"/>
    <tableColumn id="14" xr3:uid="{25D7207F-CC2C-314C-A9AD-4B3CF9A334DC}" name="Observação" dataDxfId="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F8DCF-225A-744A-9D47-CE7987C8FB2A}" name="tbItens" displayName="tbItens" ref="A4:H122" totalsRowShown="0" headerRowDxfId="6" headerRowBorderDxfId="5">
  <autoFilter ref="A4:H122" xr:uid="{0D4F8DCF-225A-744A-9D47-CE7987C8FB2A}"/>
  <tableColumns count="8">
    <tableColumn id="1" xr3:uid="{207ADDFD-4DAC-1546-9A17-65B8D825806C}" name="Nº venda" dataDxfId="4"/>
    <tableColumn id="2" xr3:uid="{C4E9B51D-8E82-224A-A12C-170C4C3351DC}" name="Data" dataDxfId="3">
      <calculatedColumnFormula>_xlfn.XLOOKUP(tbItens[[#This Row],[Nº venda]],tbVendasMarco[Nº],tbVendasMarco[Data])</calculatedColumnFormula>
    </tableColumn>
    <tableColumn id="3" xr3:uid="{596C62F5-C038-464D-B189-BEC2DB3371ED}" name="Tipo"/>
    <tableColumn id="4" xr3:uid="{8E8EBADA-12B3-3C4F-AB8B-11353CFE3EE4}" name="Produto"/>
    <tableColumn id="5" xr3:uid="{B870ACF8-7CFB-AF4F-BC63-310EDB0234EE}" name="Cor"/>
    <tableColumn id="6" xr3:uid="{656EE06C-5066-304F-AF37-50B04B2BDADB}" name="Tamanho" dataDxfId="2"/>
    <tableColumn id="7" xr3:uid="{CB90E89D-698B-D24B-92AA-D34954B60A07}" name="Qtd" dataDxfId="1"/>
    <tableColumn id="8" xr3:uid="{E016D3E5-6642-E145-BC0E-92091A198698}" name="Status" dataDxfId="0">
      <calculatedColumnFormula>_xlfn.XLOOKUP(tbItens[[#This Row],[Nº venda]],tbVendasMarco[Nº],tbVendasMarco[Status])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C07A43-02AB-334C-B7BD-B0B0C6C81F38}">
  <we:reference id="wa200010725" version="1.0.0.1" store="pt-BR" storeType="OMEX"/>
  <we:alternateReferences>
    <we:reference id="wa200010725" version="1.0.0.1" store="pt-BR" storeType="OMEX"/>
  </we:alternateReferences>
  <we:properties>
    <we:property name="claude.fileId" value="&quot;7606c5e0-6287-4aa2-9259-b712312b2a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50CD-6712-FC42-96B6-0E69570F4BC8}">
  <dimension ref="A1:N76"/>
  <sheetViews>
    <sheetView tabSelected="1" topLeftCell="G1" zoomScale="186" workbookViewId="0">
      <pane ySplit="4" topLeftCell="A28" activePane="bottomLeft" state="frozen"/>
      <selection pane="bottomLeft" activeCell="I30" sqref="I30"/>
    </sheetView>
  </sheetViews>
  <sheetFormatPr defaultColWidth="11.42578125" defaultRowHeight="15"/>
  <cols>
    <col min="1" max="1" width="5" customWidth="1"/>
    <col min="2" max="2" width="11.7109375" customWidth="1"/>
    <col min="3" max="3" width="7.42578125" customWidth="1"/>
    <col min="4" max="4" width="8.28515625" customWidth="1"/>
    <col min="5" max="5" width="23.28515625" customWidth="1"/>
    <col min="6" max="6" width="15.85546875" customWidth="1"/>
    <col min="7" max="7" width="55" customWidth="1"/>
    <col min="8" max="8" width="5.85546875" customWidth="1"/>
    <col min="9" max="10" width="12.42578125" customWidth="1"/>
    <col min="11" max="11" width="13.28515625" customWidth="1"/>
    <col min="12" max="12" width="11.7109375" customWidth="1"/>
    <col min="13" max="13" width="15.85546875" customWidth="1"/>
    <col min="14" max="14" width="18.28515625" customWidth="1"/>
  </cols>
  <sheetData>
    <row r="1" spans="1:14" ht="18.95">
      <c r="A1" s="17" t="s">
        <v>0</v>
      </c>
    </row>
    <row r="2" spans="1:14">
      <c r="A2" s="1" t="s">
        <v>1</v>
      </c>
    </row>
    <row r="4" spans="1:14" ht="15.95">
      <c r="A4" s="15" t="s">
        <v>2</v>
      </c>
      <c r="B4" s="15" t="s">
        <v>3</v>
      </c>
      <c r="C4" s="15" t="s">
        <v>4</v>
      </c>
      <c r="D4" s="15" t="s">
        <v>5</v>
      </c>
      <c r="E4" s="16" t="s">
        <v>6</v>
      </c>
      <c r="F4" s="15" t="s">
        <v>7</v>
      </c>
      <c r="G4" s="16" t="s">
        <v>8</v>
      </c>
      <c r="H4" s="15" t="s">
        <v>9</v>
      </c>
      <c r="I4" s="16" t="s">
        <v>10</v>
      </c>
      <c r="J4" s="15" t="s">
        <v>11</v>
      </c>
      <c r="K4" s="16" t="s">
        <v>12</v>
      </c>
      <c r="L4" s="15" t="s">
        <v>13</v>
      </c>
      <c r="M4" s="15" t="s">
        <v>14</v>
      </c>
      <c r="N4" s="16" t="s">
        <v>15</v>
      </c>
    </row>
    <row r="5" spans="1:14" s="8" customFormat="1" ht="15.95">
      <c r="A5" s="5">
        <v>1</v>
      </c>
      <c r="B5" s="6">
        <v>46083</v>
      </c>
      <c r="C5" s="7">
        <v>0.65694444444444444</v>
      </c>
      <c r="D5" s="5">
        <f>WEEKNUM(tbVendasMarco[[#This Row],[Data]],2)-WEEKNUM(DATE(YEAR(tbVendasMarco[[#This Row],[Data]]),MONTH(tbVendasMarco[[#This Row],[Data]]),1),2)</f>
        <v>1</v>
      </c>
      <c r="E5" s="8" t="s">
        <v>16</v>
      </c>
      <c r="F5" s="9" t="s">
        <v>17</v>
      </c>
      <c r="G5" s="10" t="s">
        <v>18</v>
      </c>
      <c r="H5" s="5">
        <f>SUMIFS(tbItens[Qtd],tbItens[Nº venda],tbVendasMarco[[#This Row],[Nº]])</f>
        <v>1</v>
      </c>
      <c r="I5" s="24">
        <v>269.89999999999998</v>
      </c>
      <c r="J5" s="5" t="s">
        <v>19</v>
      </c>
      <c r="K5" s="8" t="s">
        <v>20</v>
      </c>
      <c r="L5" s="5" t="s">
        <v>21</v>
      </c>
      <c r="M5" s="5" t="s">
        <v>22</v>
      </c>
    </row>
    <row r="6" spans="1:14" s="8" customFormat="1" ht="15.95">
      <c r="A6" s="5">
        <v>2</v>
      </c>
      <c r="B6" s="6">
        <v>46083</v>
      </c>
      <c r="C6" s="7">
        <v>0.86805555555555558</v>
      </c>
      <c r="D6" s="5">
        <f>WEEKNUM(tbVendasMarco[[#This Row],[Data]],2)-WEEKNUM(DATE(YEAR(tbVendasMarco[[#This Row],[Data]]),MONTH(tbVendasMarco[[#This Row],[Data]]),1),2)</f>
        <v>1</v>
      </c>
      <c r="E6" s="8" t="s">
        <v>23</v>
      </c>
      <c r="F6" s="9" t="s">
        <v>24</v>
      </c>
      <c r="G6" s="10" t="s">
        <v>25</v>
      </c>
      <c r="H6" s="5">
        <f>SUMIFS(tbItens[Qtd],tbItens[Nº venda],tbVendasMarco[[#This Row],[Nº]])</f>
        <v>3</v>
      </c>
      <c r="I6" s="24">
        <v>370.21</v>
      </c>
      <c r="J6" s="5" t="s">
        <v>26</v>
      </c>
      <c r="K6" s="8" t="s">
        <v>20</v>
      </c>
      <c r="L6" s="5" t="s">
        <v>21</v>
      </c>
      <c r="M6" s="5" t="s">
        <v>22</v>
      </c>
      <c r="N6" s="8" t="s">
        <v>27</v>
      </c>
    </row>
    <row r="7" spans="1:14" s="8" customFormat="1" ht="15.95">
      <c r="A7" s="5">
        <v>3</v>
      </c>
      <c r="B7" s="6">
        <v>46084</v>
      </c>
      <c r="C7" s="7">
        <v>0.42986111111111114</v>
      </c>
      <c r="D7" s="5">
        <f>WEEKNUM(tbVendasMarco[[#This Row],[Data]],2)-WEEKNUM(DATE(YEAR(tbVendasMarco[[#This Row],[Data]]),MONTH(tbVendasMarco[[#This Row],[Data]]),1),2)</f>
        <v>1</v>
      </c>
      <c r="E7" s="8" t="s">
        <v>28</v>
      </c>
      <c r="F7" s="9" t="s">
        <v>29</v>
      </c>
      <c r="G7" s="10" t="s">
        <v>30</v>
      </c>
      <c r="H7" s="5">
        <f>SUMIFS(tbItens[Qtd],tbItens[Nº venda],tbVendasMarco[[#This Row],[Nº]])</f>
        <v>1</v>
      </c>
      <c r="I7" s="24">
        <v>209.9</v>
      </c>
      <c r="J7" s="5" t="s">
        <v>26</v>
      </c>
      <c r="K7" s="8" t="s">
        <v>31</v>
      </c>
      <c r="L7" s="5" t="s">
        <v>21</v>
      </c>
      <c r="M7" s="5" t="s">
        <v>22</v>
      </c>
    </row>
    <row r="8" spans="1:14" s="8" customFormat="1" ht="15.95">
      <c r="A8" s="5">
        <v>4</v>
      </c>
      <c r="B8" s="6">
        <v>46084</v>
      </c>
      <c r="C8" s="7">
        <v>0.67777777777777781</v>
      </c>
      <c r="D8" s="5">
        <f>WEEKNUM(tbVendasMarco[[#This Row],[Data]],2)-WEEKNUM(DATE(YEAR(tbVendasMarco[[#This Row],[Data]]),MONTH(tbVendasMarco[[#This Row],[Data]]),1),2)</f>
        <v>1</v>
      </c>
      <c r="E8" s="8" t="s">
        <v>28</v>
      </c>
      <c r="F8" s="9" t="s">
        <v>29</v>
      </c>
      <c r="G8" s="10" t="s">
        <v>32</v>
      </c>
      <c r="H8" s="5">
        <f>SUMIFS(tbItens[Qtd],tbItens[Nº venda],tbVendasMarco[[#This Row],[Nº]])</f>
        <v>1</v>
      </c>
      <c r="I8" s="24">
        <v>529.9</v>
      </c>
      <c r="J8" s="5" t="s">
        <v>33</v>
      </c>
      <c r="K8" s="8" t="s">
        <v>31</v>
      </c>
      <c r="L8" s="5" t="s">
        <v>21</v>
      </c>
      <c r="M8" s="5" t="s">
        <v>22</v>
      </c>
    </row>
    <row r="9" spans="1:14" s="8" customFormat="1" ht="32.1">
      <c r="A9" s="5">
        <v>5</v>
      </c>
      <c r="B9" s="6">
        <v>46085</v>
      </c>
      <c r="C9" s="7">
        <v>0.63472222222222219</v>
      </c>
      <c r="D9" s="5">
        <f>WEEKNUM(tbVendasMarco[[#This Row],[Data]],2)-WEEKNUM(DATE(YEAR(tbVendasMarco[[#This Row],[Data]]),MONTH(tbVendasMarco[[#This Row],[Data]]),1),2)</f>
        <v>1</v>
      </c>
      <c r="E9" s="8" t="s">
        <v>28</v>
      </c>
      <c r="F9" s="9" t="s">
        <v>29</v>
      </c>
      <c r="G9" s="10" t="s">
        <v>34</v>
      </c>
      <c r="H9" s="5">
        <f>SUMIFS(tbItens[Qtd],tbItens[Nº venda],tbVendasMarco[[#This Row],[Nº]])</f>
        <v>3</v>
      </c>
      <c r="I9" s="24">
        <v>509.7</v>
      </c>
      <c r="J9" s="5" t="s">
        <v>33</v>
      </c>
      <c r="K9" s="8" t="s">
        <v>20</v>
      </c>
      <c r="L9" s="5" t="s">
        <v>21</v>
      </c>
      <c r="M9" s="5" t="s">
        <v>22</v>
      </c>
    </row>
    <row r="10" spans="1:14" s="8" customFormat="1" ht="15.95">
      <c r="A10" s="5">
        <v>6</v>
      </c>
      <c r="B10" s="6">
        <v>46085</v>
      </c>
      <c r="C10" s="7">
        <v>0.69166666666666665</v>
      </c>
      <c r="D10" s="5">
        <f>WEEKNUM(tbVendasMarco[[#This Row],[Data]],2)-WEEKNUM(DATE(YEAR(tbVendasMarco[[#This Row],[Data]]),MONTH(tbVendasMarco[[#This Row],[Data]]),1),2)</f>
        <v>1</v>
      </c>
      <c r="E10" s="8" t="s">
        <v>35</v>
      </c>
      <c r="F10" s="9" t="s">
        <v>36</v>
      </c>
      <c r="G10" s="10" t="s">
        <v>37</v>
      </c>
      <c r="H10" s="5">
        <f>SUMIFS(tbItens[Qtd],tbItens[Nº venda],tbVendasMarco[[#This Row],[Nº]])</f>
        <v>1</v>
      </c>
      <c r="I10" s="24">
        <v>89.9</v>
      </c>
      <c r="J10" s="5" t="s">
        <v>33</v>
      </c>
      <c r="K10" s="8" t="s">
        <v>20</v>
      </c>
      <c r="L10" s="5" t="s">
        <v>21</v>
      </c>
      <c r="M10" s="5" t="s">
        <v>22</v>
      </c>
    </row>
    <row r="11" spans="1:14" s="8" customFormat="1" ht="15.95">
      <c r="A11" s="5">
        <v>7</v>
      </c>
      <c r="B11" s="6">
        <v>46085</v>
      </c>
      <c r="C11" s="7">
        <v>0.73472222222222228</v>
      </c>
      <c r="D11" s="5">
        <f>WEEKNUM(tbVendasMarco[[#This Row],[Data]],2)-WEEKNUM(DATE(YEAR(tbVendasMarco[[#This Row],[Data]]),MONTH(tbVendasMarco[[#This Row],[Data]]),1),2)</f>
        <v>1</v>
      </c>
      <c r="E11" s="8" t="s">
        <v>38</v>
      </c>
      <c r="F11" s="9" t="s">
        <v>39</v>
      </c>
      <c r="G11" s="10" t="s">
        <v>40</v>
      </c>
      <c r="H11" s="5">
        <f>SUMIFS(tbItens[Qtd],tbItens[Nº venda],tbVendasMarco[[#This Row],[Nº]])</f>
        <v>1</v>
      </c>
      <c r="I11" s="24">
        <v>189.9</v>
      </c>
      <c r="J11" s="5" t="s">
        <v>26</v>
      </c>
      <c r="K11" s="8" t="s">
        <v>41</v>
      </c>
      <c r="L11" s="5" t="s">
        <v>42</v>
      </c>
      <c r="M11" s="5" t="s">
        <v>22</v>
      </c>
    </row>
    <row r="12" spans="1:14" s="8" customFormat="1" ht="32.1">
      <c r="A12" s="5">
        <v>8</v>
      </c>
      <c r="B12" s="6">
        <v>46086</v>
      </c>
      <c r="C12" s="7">
        <v>0.55208333333333337</v>
      </c>
      <c r="D12" s="5">
        <f>WEEKNUM(tbVendasMarco[[#This Row],[Data]],2)-WEEKNUM(DATE(YEAR(tbVendasMarco[[#This Row],[Data]]),MONTH(tbVendasMarco[[#This Row],[Data]]),1),2)</f>
        <v>1</v>
      </c>
      <c r="E12" s="8" t="s">
        <v>43</v>
      </c>
      <c r="F12" s="9" t="s">
        <v>44</v>
      </c>
      <c r="G12" s="10" t="s">
        <v>45</v>
      </c>
      <c r="H12" s="5">
        <f>SUMIFS(tbItens[Qtd],tbItens[Nº venda],tbVendasMarco[[#This Row],[Nº]])</f>
        <v>3</v>
      </c>
      <c r="I12" s="24">
        <v>639.70000000000005</v>
      </c>
      <c r="J12" s="5" t="s">
        <v>46</v>
      </c>
      <c r="K12" s="8" t="s">
        <v>41</v>
      </c>
      <c r="L12" s="5" t="s">
        <v>21</v>
      </c>
      <c r="M12" s="5" t="s">
        <v>47</v>
      </c>
    </row>
    <row r="13" spans="1:14" s="8" customFormat="1" ht="32.1">
      <c r="A13" s="5">
        <v>9</v>
      </c>
      <c r="B13" s="6">
        <v>46086</v>
      </c>
      <c r="C13" s="7">
        <v>0.57708333333333328</v>
      </c>
      <c r="D13" s="5">
        <f>WEEKNUM(tbVendasMarco[[#This Row],[Data]],2)-WEEKNUM(DATE(YEAR(tbVendasMarco[[#This Row],[Data]]),MONTH(tbVendasMarco[[#This Row],[Data]]),1),2)</f>
        <v>1</v>
      </c>
      <c r="E13" s="8" t="s">
        <v>48</v>
      </c>
      <c r="F13" s="9" t="s">
        <v>49</v>
      </c>
      <c r="G13" s="10" t="s">
        <v>50</v>
      </c>
      <c r="H13" s="5">
        <f>SUMIFS(tbItens[Qtd],tbItens[Nº venda],tbVendasMarco[[#This Row],[Nº]])</f>
        <v>2</v>
      </c>
      <c r="I13" s="24">
        <v>309.8</v>
      </c>
      <c r="J13" s="5" t="s">
        <v>33</v>
      </c>
      <c r="K13" s="8" t="s">
        <v>41</v>
      </c>
      <c r="L13" s="5" t="s">
        <v>21</v>
      </c>
      <c r="M13" s="5" t="s">
        <v>47</v>
      </c>
    </row>
    <row r="14" spans="1:14" s="8" customFormat="1" ht="32.1">
      <c r="A14" s="5">
        <v>10</v>
      </c>
      <c r="B14" s="6">
        <v>46086</v>
      </c>
      <c r="C14" s="7">
        <v>0.58333333333333337</v>
      </c>
      <c r="D14" s="5">
        <f>WEEKNUM(tbVendasMarco[[#This Row],[Data]],2)-WEEKNUM(DATE(YEAR(tbVendasMarco[[#This Row],[Data]]),MONTH(tbVendasMarco[[#This Row],[Data]]),1),2)</f>
        <v>1</v>
      </c>
      <c r="E14" s="8" t="s">
        <v>28</v>
      </c>
      <c r="F14" s="9" t="s">
        <v>29</v>
      </c>
      <c r="G14" s="10" t="s">
        <v>51</v>
      </c>
      <c r="H14" s="5">
        <f>SUMIFS(tbItens[Qtd],tbItens[Nº venda],tbVendasMarco[[#This Row],[Nº]])</f>
        <v>3</v>
      </c>
      <c r="I14" s="24">
        <v>629.70000000000005</v>
      </c>
      <c r="J14" s="5" t="s">
        <v>26</v>
      </c>
      <c r="K14" s="8" t="s">
        <v>31</v>
      </c>
      <c r="L14" s="5" t="s">
        <v>21</v>
      </c>
      <c r="M14" s="5" t="s">
        <v>22</v>
      </c>
    </row>
    <row r="15" spans="1:14" s="8" customFormat="1" ht="32.1">
      <c r="A15" s="5">
        <v>11</v>
      </c>
      <c r="B15" s="6">
        <v>46086</v>
      </c>
      <c r="C15" s="7">
        <v>0.64236111111111116</v>
      </c>
      <c r="D15" s="5">
        <f>WEEKNUM(tbVendasMarco[[#This Row],[Data]],2)-WEEKNUM(DATE(YEAR(tbVendasMarco[[#This Row],[Data]]),MONTH(tbVendasMarco[[#This Row],[Data]]),1),2)</f>
        <v>1</v>
      </c>
      <c r="E15" s="8" t="s">
        <v>28</v>
      </c>
      <c r="F15" s="9" t="s">
        <v>29</v>
      </c>
      <c r="G15" s="10" t="s">
        <v>52</v>
      </c>
      <c r="H15" s="5">
        <f>SUMIFS(tbItens[Qtd],tbItens[Nº venda],tbVendasMarco[[#This Row],[Nº]])</f>
        <v>2</v>
      </c>
      <c r="I15" s="24">
        <v>529.79999999999995</v>
      </c>
      <c r="J15" s="5" t="s">
        <v>46</v>
      </c>
      <c r="K15" s="8" t="s">
        <v>31</v>
      </c>
      <c r="L15" s="5" t="s">
        <v>21</v>
      </c>
      <c r="M15" s="5" t="s">
        <v>22</v>
      </c>
    </row>
    <row r="16" spans="1:14" s="8" customFormat="1" ht="32.1">
      <c r="A16" s="5">
        <v>12</v>
      </c>
      <c r="B16" s="6">
        <v>46086</v>
      </c>
      <c r="C16" s="7">
        <v>0.64722222222222225</v>
      </c>
      <c r="D16" s="5">
        <f>WEEKNUM(tbVendasMarco[[#This Row],[Data]],2)-WEEKNUM(DATE(YEAR(tbVendasMarco[[#This Row],[Data]]),MONTH(tbVendasMarco[[#This Row],[Data]]),1),2)</f>
        <v>1</v>
      </c>
      <c r="E16" s="8" t="s">
        <v>53</v>
      </c>
      <c r="F16" s="9" t="s">
        <v>54</v>
      </c>
      <c r="G16" s="10" t="s">
        <v>55</v>
      </c>
      <c r="H16" s="5">
        <f>SUMIFS(tbItens[Qtd],tbItens[Nº venda],tbVendasMarco[[#This Row],[Nº]])</f>
        <v>2</v>
      </c>
      <c r="I16" s="24">
        <v>269.8</v>
      </c>
      <c r="J16" s="5" t="s">
        <v>19</v>
      </c>
      <c r="K16" s="8" t="s">
        <v>20</v>
      </c>
      <c r="L16" s="5" t="s">
        <v>21</v>
      </c>
      <c r="M16" s="5" t="s">
        <v>22</v>
      </c>
    </row>
    <row r="17" spans="1:14" s="8" customFormat="1" ht="32.1">
      <c r="A17" s="5">
        <v>13</v>
      </c>
      <c r="B17" s="6">
        <v>46086</v>
      </c>
      <c r="C17" s="7">
        <v>0.6958333333333333</v>
      </c>
      <c r="D17" s="5">
        <f>WEEKNUM(tbVendasMarco[[#This Row],[Data]],2)-WEEKNUM(DATE(YEAR(tbVendasMarco[[#This Row],[Data]]),MONTH(tbVendasMarco[[#This Row],[Data]]),1),2)</f>
        <v>1</v>
      </c>
      <c r="E17" s="8" t="s">
        <v>56</v>
      </c>
      <c r="F17" s="9" t="s">
        <v>57</v>
      </c>
      <c r="G17" s="10" t="s">
        <v>58</v>
      </c>
      <c r="H17" s="5">
        <f>SUMIFS(tbItens[Qtd],tbItens[Nº venda],tbVendasMarco[[#This Row],[Nº]])</f>
        <v>4</v>
      </c>
      <c r="I17" s="24">
        <v>809.6</v>
      </c>
      <c r="J17" s="5" t="s">
        <v>19</v>
      </c>
      <c r="K17" s="8" t="s">
        <v>31</v>
      </c>
      <c r="L17" s="5" t="s">
        <v>21</v>
      </c>
      <c r="M17" s="5" t="s">
        <v>22</v>
      </c>
    </row>
    <row r="18" spans="1:14" s="8" customFormat="1" ht="15.95">
      <c r="A18" s="5">
        <v>14</v>
      </c>
      <c r="B18" s="6">
        <v>46086</v>
      </c>
      <c r="C18" s="7"/>
      <c r="D18" s="5">
        <f>WEEKNUM(tbVendasMarco[[#This Row],[Data]],2)-WEEKNUM(DATE(YEAR(tbVendasMarco[[#This Row],[Data]]),MONTH(tbVendasMarco[[#This Row],[Data]]),1),2)</f>
        <v>1</v>
      </c>
      <c r="E18" s="8" t="s">
        <v>28</v>
      </c>
      <c r="F18" s="9" t="s">
        <v>29</v>
      </c>
      <c r="G18" s="10" t="s">
        <v>59</v>
      </c>
      <c r="H18" s="5">
        <f>SUMIFS(tbItens[Qtd],tbItens[Nº venda],tbVendasMarco[[#This Row],[Nº]])</f>
        <v>1</v>
      </c>
      <c r="I18" s="24">
        <v>189.9</v>
      </c>
      <c r="J18" s="5" t="s">
        <v>46</v>
      </c>
      <c r="K18" s="8" t="s">
        <v>31</v>
      </c>
      <c r="L18" s="5" t="s">
        <v>21</v>
      </c>
      <c r="M18" s="5" t="s">
        <v>22</v>
      </c>
    </row>
    <row r="19" spans="1:14" s="8" customFormat="1" ht="15.95">
      <c r="A19" s="5">
        <v>15</v>
      </c>
      <c r="B19" s="6">
        <v>46086</v>
      </c>
      <c r="C19" s="7">
        <v>0.85833333333333328</v>
      </c>
      <c r="D19" s="5">
        <f>WEEKNUM(tbVendasMarco[[#This Row],[Data]],2)-WEEKNUM(DATE(YEAR(tbVendasMarco[[#This Row],[Data]]),MONTH(tbVendasMarco[[#This Row],[Data]]),1),2)</f>
        <v>1</v>
      </c>
      <c r="E19" s="8" t="s">
        <v>60</v>
      </c>
      <c r="F19" s="9" t="s">
        <v>61</v>
      </c>
      <c r="G19" s="10" t="s">
        <v>62</v>
      </c>
      <c r="H19" s="5">
        <f>SUMIFS(tbItens[Qtd],tbItens[Nº venda],tbVendasMarco[[#This Row],[Nº]])</f>
        <v>1</v>
      </c>
      <c r="I19" s="24">
        <v>359.9</v>
      </c>
      <c r="J19" s="5" t="s">
        <v>33</v>
      </c>
      <c r="K19" s="8" t="s">
        <v>41</v>
      </c>
      <c r="L19" s="5" t="s">
        <v>21</v>
      </c>
      <c r="M19" s="5" t="s">
        <v>22</v>
      </c>
    </row>
    <row r="20" spans="1:14" s="8" customFormat="1" ht="15.95">
      <c r="A20" s="5">
        <v>16</v>
      </c>
      <c r="B20" s="6">
        <v>46087</v>
      </c>
      <c r="C20" s="7">
        <v>0.4236111111111111</v>
      </c>
      <c r="D20" s="5">
        <f>WEEKNUM(tbVendasMarco[[#This Row],[Data]],2)-WEEKNUM(DATE(YEAR(tbVendasMarco[[#This Row],[Data]]),MONTH(tbVendasMarco[[#This Row],[Data]]),1),2)</f>
        <v>1</v>
      </c>
      <c r="E20" s="8" t="s">
        <v>28</v>
      </c>
      <c r="F20" s="9" t="s">
        <v>29</v>
      </c>
      <c r="G20" s="10" t="s">
        <v>63</v>
      </c>
      <c r="H20" s="5">
        <f>SUMIFS(tbItens[Qtd],tbItens[Nº venda],tbVendasMarco[[#This Row],[Nº]])</f>
        <v>1</v>
      </c>
      <c r="I20" s="24">
        <v>278.91000000000003</v>
      </c>
      <c r="J20" s="5" t="s">
        <v>19</v>
      </c>
      <c r="K20" s="8" t="s">
        <v>41</v>
      </c>
      <c r="L20" s="5" t="s">
        <v>21</v>
      </c>
      <c r="M20" s="5" t="s">
        <v>22</v>
      </c>
      <c r="N20" s="8" t="s">
        <v>27</v>
      </c>
    </row>
    <row r="21" spans="1:14" s="8" customFormat="1" ht="32.1">
      <c r="A21" s="5">
        <v>17</v>
      </c>
      <c r="B21" s="6">
        <v>46087</v>
      </c>
      <c r="C21" s="7">
        <v>0.6958333333333333</v>
      </c>
      <c r="D21" s="5">
        <f>WEEKNUM(tbVendasMarco[[#This Row],[Data]],2)-WEEKNUM(DATE(YEAR(tbVendasMarco[[#This Row],[Data]]),MONTH(tbVendasMarco[[#This Row],[Data]]),1),2)</f>
        <v>1</v>
      </c>
      <c r="E21" s="8" t="s">
        <v>64</v>
      </c>
      <c r="F21" s="9" t="s">
        <v>65</v>
      </c>
      <c r="G21" s="10" t="s">
        <v>66</v>
      </c>
      <c r="H21" s="5">
        <f>SUMIFS(tbItens[Qtd],tbItens[Nº venda],tbVendasMarco[[#This Row],[Nº]])</f>
        <v>2</v>
      </c>
      <c r="I21" s="24">
        <v>449.8</v>
      </c>
      <c r="J21" s="5" t="s">
        <v>46</v>
      </c>
      <c r="K21" s="8" t="s">
        <v>41</v>
      </c>
      <c r="L21" s="5" t="s">
        <v>21</v>
      </c>
      <c r="M21" s="5" t="s">
        <v>47</v>
      </c>
    </row>
    <row r="22" spans="1:14" s="8" customFormat="1" ht="15.95">
      <c r="A22" s="5">
        <v>18</v>
      </c>
      <c r="B22" s="6">
        <v>46087</v>
      </c>
      <c r="C22" s="7">
        <v>0.75486111111111109</v>
      </c>
      <c r="D22" s="5">
        <f>WEEKNUM(tbVendasMarco[[#This Row],[Data]],2)-WEEKNUM(DATE(YEAR(tbVendasMarco[[#This Row],[Data]]),MONTH(tbVendasMarco[[#This Row],[Data]]),1),2)</f>
        <v>1</v>
      </c>
      <c r="E22" s="8" t="s">
        <v>28</v>
      </c>
      <c r="F22" s="9" t="s">
        <v>29</v>
      </c>
      <c r="G22" s="10" t="s">
        <v>67</v>
      </c>
      <c r="H22" s="5">
        <f>SUMIFS(tbItens[Qtd],tbItens[Nº venda],tbVendasMarco[[#This Row],[Nº]])</f>
        <v>1</v>
      </c>
      <c r="I22" s="24">
        <v>242.91</v>
      </c>
      <c r="J22" s="5" t="s">
        <v>46</v>
      </c>
      <c r="K22" s="8" t="s">
        <v>31</v>
      </c>
      <c r="L22" s="5" t="s">
        <v>21</v>
      </c>
      <c r="M22" s="5" t="s">
        <v>22</v>
      </c>
    </row>
    <row r="23" spans="1:14" s="8" customFormat="1" ht="32.1">
      <c r="A23" s="5">
        <v>19</v>
      </c>
      <c r="B23" s="6">
        <v>46087</v>
      </c>
      <c r="C23" s="7">
        <v>0.81874999999999998</v>
      </c>
      <c r="D23" s="5">
        <f>WEEKNUM(tbVendasMarco[[#This Row],[Data]],2)-WEEKNUM(DATE(YEAR(tbVendasMarco[[#This Row],[Data]]),MONTH(tbVendasMarco[[#This Row],[Data]]),1),2)</f>
        <v>1</v>
      </c>
      <c r="E23" s="8" t="s">
        <v>68</v>
      </c>
      <c r="F23" s="9" t="s">
        <v>69</v>
      </c>
      <c r="G23" s="10" t="s">
        <v>70</v>
      </c>
      <c r="H23" s="5">
        <f>SUMIFS(tbItens[Qtd],tbItens[Nº venda],tbVendasMarco[[#This Row],[Nº]])</f>
        <v>2</v>
      </c>
      <c r="I23" s="24">
        <v>359.8</v>
      </c>
      <c r="J23" s="5" t="s">
        <v>33</v>
      </c>
      <c r="K23" s="8" t="s">
        <v>41</v>
      </c>
      <c r="L23" s="5" t="s">
        <v>21</v>
      </c>
      <c r="M23" s="5" t="s">
        <v>22</v>
      </c>
    </row>
    <row r="24" spans="1:14" s="8" customFormat="1" ht="15.95">
      <c r="A24" s="5">
        <v>20</v>
      </c>
      <c r="B24" s="6">
        <v>46088</v>
      </c>
      <c r="C24" s="7">
        <v>0.6430555555555556</v>
      </c>
      <c r="D24" s="5">
        <f>WEEKNUM(tbVendasMarco[[#This Row],[Data]],2)-WEEKNUM(DATE(YEAR(tbVendasMarco[[#This Row],[Data]]),MONTH(tbVendasMarco[[#This Row],[Data]]),1),2)</f>
        <v>1</v>
      </c>
      <c r="E24" s="8" t="s">
        <v>71</v>
      </c>
      <c r="F24" s="9" t="s">
        <v>72</v>
      </c>
      <c r="G24" s="10" t="s">
        <v>62</v>
      </c>
      <c r="H24" s="5">
        <f>SUMIFS(tbItens[Qtd],tbItens[Nº venda],tbVendasMarco[[#This Row],[Nº]])</f>
        <v>1</v>
      </c>
      <c r="I24" s="24">
        <v>359.9</v>
      </c>
      <c r="J24" s="5" t="s">
        <v>73</v>
      </c>
      <c r="K24" s="8" t="s">
        <v>41</v>
      </c>
      <c r="L24" s="5" t="s">
        <v>74</v>
      </c>
      <c r="M24" s="5" t="s">
        <v>22</v>
      </c>
    </row>
    <row r="25" spans="1:14" s="8" customFormat="1" ht="15.95">
      <c r="A25" s="5">
        <v>21</v>
      </c>
      <c r="B25" s="6">
        <v>46088</v>
      </c>
      <c r="C25" s="7">
        <v>0.66874999999999996</v>
      </c>
      <c r="D25" s="5">
        <f>WEEKNUM(tbVendasMarco[[#This Row],[Data]],2)-WEEKNUM(DATE(YEAR(tbVendasMarco[[#This Row],[Data]]),MONTH(tbVendasMarco[[#This Row],[Data]]),1),2)</f>
        <v>1</v>
      </c>
      <c r="E25" s="8" t="s">
        <v>75</v>
      </c>
      <c r="F25" s="9" t="s">
        <v>76</v>
      </c>
      <c r="G25" s="10" t="s">
        <v>77</v>
      </c>
      <c r="H25" s="5">
        <f>SUMIFS(tbItens[Qtd],tbItens[Nº venda],tbVendasMarco[[#This Row],[Nº]])</f>
        <v>2</v>
      </c>
      <c r="I25" s="24">
        <v>459.8</v>
      </c>
      <c r="J25" s="5" t="s">
        <v>46</v>
      </c>
      <c r="K25" s="8" t="s">
        <v>31</v>
      </c>
      <c r="L25" s="5" t="s">
        <v>21</v>
      </c>
      <c r="M25" s="5" t="s">
        <v>47</v>
      </c>
    </row>
    <row r="26" spans="1:14" s="8" customFormat="1" ht="15.95">
      <c r="A26" s="5">
        <v>22</v>
      </c>
      <c r="B26" s="6">
        <v>46088</v>
      </c>
      <c r="C26" s="7">
        <v>0.75763888888888886</v>
      </c>
      <c r="D26" s="5">
        <f>WEEKNUM(tbVendasMarco[[#This Row],[Data]],2)-WEEKNUM(DATE(YEAR(tbVendasMarco[[#This Row],[Data]]),MONTH(tbVendasMarco[[#This Row],[Data]]),1),2)</f>
        <v>1</v>
      </c>
      <c r="E26" s="8" t="s">
        <v>78</v>
      </c>
      <c r="F26" s="9" t="s">
        <v>79</v>
      </c>
      <c r="G26" s="10" t="s">
        <v>80</v>
      </c>
      <c r="H26" s="5">
        <f>SUMIFS(tbItens[Qtd],tbItens[Nº venda],tbVendasMarco[[#This Row],[Nº]])</f>
        <v>1</v>
      </c>
      <c r="I26" s="24">
        <v>269.89999999999998</v>
      </c>
      <c r="J26" s="5" t="s">
        <v>26</v>
      </c>
      <c r="K26" s="8" t="s">
        <v>20</v>
      </c>
      <c r="L26" s="5" t="s">
        <v>21</v>
      </c>
      <c r="M26" s="5" t="s">
        <v>47</v>
      </c>
    </row>
    <row r="27" spans="1:14" s="8" customFormat="1" ht="32.1">
      <c r="A27" s="5">
        <v>23</v>
      </c>
      <c r="B27" s="6">
        <v>46088</v>
      </c>
      <c r="C27" s="7">
        <v>0.81874999999999998</v>
      </c>
      <c r="D27" s="5">
        <f>WEEKNUM(tbVendasMarco[[#This Row],[Data]],2)-WEEKNUM(DATE(YEAR(tbVendasMarco[[#This Row],[Data]]),MONTH(tbVendasMarco[[#This Row],[Data]]),1),2)</f>
        <v>1</v>
      </c>
      <c r="E27" s="8" t="s">
        <v>78</v>
      </c>
      <c r="F27" s="9" t="s">
        <v>79</v>
      </c>
      <c r="G27" s="10" t="s">
        <v>81</v>
      </c>
      <c r="H27" s="5">
        <f>SUMIFS(tbItens[Qtd],tbItens[Nº venda],tbVendasMarco[[#This Row],[Nº]])</f>
        <v>3</v>
      </c>
      <c r="I27" s="24">
        <v>689.7</v>
      </c>
      <c r="J27" s="5" t="s">
        <v>26</v>
      </c>
      <c r="K27" s="8" t="s">
        <v>41</v>
      </c>
      <c r="L27" s="5" t="s">
        <v>21</v>
      </c>
      <c r="M27" s="5" t="s">
        <v>22</v>
      </c>
    </row>
    <row r="28" spans="1:14" s="8" customFormat="1" ht="32.1">
      <c r="A28" s="5">
        <v>24</v>
      </c>
      <c r="B28" s="6">
        <v>46089</v>
      </c>
      <c r="C28" s="7">
        <v>0.58819444444444446</v>
      </c>
      <c r="D28" s="5">
        <f>WEEKNUM(tbVendasMarco[[#This Row],[Data]],2)-WEEKNUM(DATE(YEAR(tbVendasMarco[[#This Row],[Data]]),MONTH(tbVendasMarco[[#This Row],[Data]]),1),2)</f>
        <v>1</v>
      </c>
      <c r="E28" s="8" t="s">
        <v>82</v>
      </c>
      <c r="F28" s="9" t="s">
        <v>83</v>
      </c>
      <c r="G28" s="10" t="s">
        <v>84</v>
      </c>
      <c r="H28" s="5">
        <f>SUMIFS(tbItens[Qtd],tbItens[Nº venda],tbVendasMarco[[#This Row],[Nº]])</f>
        <v>2</v>
      </c>
      <c r="I28" s="24">
        <v>499.8</v>
      </c>
      <c r="J28" s="5" t="s">
        <v>73</v>
      </c>
      <c r="K28" s="8" t="s">
        <v>20</v>
      </c>
      <c r="L28" s="5" t="s">
        <v>21</v>
      </c>
      <c r="M28" s="5" t="s">
        <v>22</v>
      </c>
    </row>
    <row r="29" spans="1:14" s="8" customFormat="1" ht="15.95">
      <c r="A29" s="5">
        <v>25</v>
      </c>
      <c r="B29" s="6">
        <v>46089</v>
      </c>
      <c r="C29" s="7">
        <v>0.6118055555555556</v>
      </c>
      <c r="D29" s="5">
        <f>WEEKNUM(tbVendasMarco[[#This Row],[Data]],2)-WEEKNUM(DATE(YEAR(tbVendasMarco[[#This Row],[Data]]),MONTH(tbVendasMarco[[#This Row],[Data]]),1),2)</f>
        <v>1</v>
      </c>
      <c r="E29" s="8" t="s">
        <v>85</v>
      </c>
      <c r="F29" s="9" t="s">
        <v>86</v>
      </c>
      <c r="G29" s="10" t="s">
        <v>87</v>
      </c>
      <c r="H29" s="5">
        <f>SUMIFS(tbItens[Qtd],tbItens[Nº venda],tbVendasMarco[[#This Row],[Nº]])</f>
        <v>1</v>
      </c>
      <c r="I29" s="24">
        <v>259.89999999999998</v>
      </c>
      <c r="J29" s="5" t="s">
        <v>73</v>
      </c>
      <c r="K29" s="8" t="s">
        <v>41</v>
      </c>
      <c r="L29" s="5" t="s">
        <v>74</v>
      </c>
      <c r="M29" s="5" t="s">
        <v>22</v>
      </c>
    </row>
    <row r="30" spans="1:14" s="8" customFormat="1" ht="32.1">
      <c r="A30" s="5">
        <v>26</v>
      </c>
      <c r="B30" s="6">
        <v>46089</v>
      </c>
      <c r="C30" s="7">
        <v>0.75694444444444442</v>
      </c>
      <c r="D30" s="5">
        <f>WEEKNUM(tbVendasMarco[[#This Row],[Data]],2)-WEEKNUM(DATE(YEAR(tbVendasMarco[[#This Row],[Data]]),MONTH(tbVendasMarco[[#This Row],[Data]]),1),2)</f>
        <v>1</v>
      </c>
      <c r="E30" s="8" t="s">
        <v>28</v>
      </c>
      <c r="F30" s="9" t="s">
        <v>29</v>
      </c>
      <c r="G30" s="10" t="s">
        <v>88</v>
      </c>
      <c r="H30" s="5">
        <f>SUMIFS(tbItens[Qtd],tbItens[Nº venda],tbVendasMarco[[#This Row],[Nº]])</f>
        <v>4</v>
      </c>
      <c r="I30" s="24">
        <v>1199.5999999999999</v>
      </c>
      <c r="J30" s="5" t="s">
        <v>26</v>
      </c>
      <c r="K30" s="8" t="s">
        <v>41</v>
      </c>
      <c r="L30" s="5" t="s">
        <v>21</v>
      </c>
      <c r="M30" s="5" t="s">
        <v>22</v>
      </c>
    </row>
    <row r="31" spans="1:14" s="8" customFormat="1" ht="15.95">
      <c r="A31" s="5">
        <v>27</v>
      </c>
      <c r="B31" s="6">
        <v>46089</v>
      </c>
      <c r="C31" s="7">
        <v>0.80763888888888891</v>
      </c>
      <c r="D31" s="5">
        <f>WEEKNUM(tbVendasMarco[[#This Row],[Data]],2)-WEEKNUM(DATE(YEAR(tbVendasMarco[[#This Row],[Data]]),MONTH(tbVendasMarco[[#This Row],[Data]]),1),2)</f>
        <v>1</v>
      </c>
      <c r="E31" s="8" t="s">
        <v>28</v>
      </c>
      <c r="F31" s="9" t="s">
        <v>29</v>
      </c>
      <c r="G31" s="10" t="s">
        <v>89</v>
      </c>
      <c r="H31" s="5">
        <f>SUMIFS(tbItens[Qtd],tbItens[Nº venda],tbVendasMarco[[#This Row],[Nº]])</f>
        <v>1</v>
      </c>
      <c r="I31" s="24">
        <v>229.9</v>
      </c>
      <c r="J31" s="5" t="s">
        <v>33</v>
      </c>
      <c r="K31" s="8" t="s">
        <v>41</v>
      </c>
      <c r="L31" s="5" t="s">
        <v>21</v>
      </c>
      <c r="M31" s="5" t="s">
        <v>22</v>
      </c>
    </row>
    <row r="32" spans="1:14" s="8" customFormat="1" ht="32.1">
      <c r="A32" s="5">
        <v>28</v>
      </c>
      <c r="B32" s="6">
        <v>46091</v>
      </c>
      <c r="C32" s="7">
        <v>0.52013888888888893</v>
      </c>
      <c r="D32" s="5">
        <f>WEEKNUM(tbVendasMarco[[#This Row],[Data]],2)-WEEKNUM(DATE(YEAR(tbVendasMarco[[#This Row],[Data]]),MONTH(tbVendasMarco[[#This Row],[Data]]),1),2)</f>
        <v>2</v>
      </c>
      <c r="E32" s="8" t="s">
        <v>90</v>
      </c>
      <c r="F32" s="9" t="s">
        <v>29</v>
      </c>
      <c r="G32" s="10" t="s">
        <v>91</v>
      </c>
      <c r="H32" s="5">
        <f>SUMIFS(tbItens[Qtd],tbItens[Nº venda],tbVendasMarco[[#This Row],[Nº]])</f>
        <v>2</v>
      </c>
      <c r="I32" s="24">
        <v>599.79999999999995</v>
      </c>
      <c r="J32" s="5" t="s">
        <v>46</v>
      </c>
      <c r="K32" s="8" t="s">
        <v>31</v>
      </c>
      <c r="L32" s="5" t="s">
        <v>21</v>
      </c>
      <c r="M32" s="5" t="s">
        <v>22</v>
      </c>
    </row>
    <row r="33" spans="1:14" s="8" customFormat="1" ht="15.95">
      <c r="A33" s="5">
        <v>29</v>
      </c>
      <c r="B33" s="6">
        <v>46091</v>
      </c>
      <c r="C33" s="7"/>
      <c r="D33" s="5">
        <f>WEEKNUM(tbVendasMarco[[#This Row],[Data]],2)-WEEKNUM(DATE(YEAR(tbVendasMarco[[#This Row],[Data]]),MONTH(tbVendasMarco[[#This Row],[Data]]),1),2)</f>
        <v>2</v>
      </c>
      <c r="E33" s="8" t="s">
        <v>92</v>
      </c>
      <c r="F33" s="9" t="s">
        <v>93</v>
      </c>
      <c r="G33" s="10" t="s">
        <v>94</v>
      </c>
      <c r="H33" s="5">
        <f>SUMIFS(tbItens[Qtd],tbItens[Nº venda],tbVendasMarco[[#This Row],[Nº]])</f>
        <v>1</v>
      </c>
      <c r="I33" s="24">
        <v>89.9</v>
      </c>
      <c r="J33" s="5" t="s">
        <v>73</v>
      </c>
      <c r="K33" s="8" t="s">
        <v>20</v>
      </c>
      <c r="L33" s="5" t="s">
        <v>21</v>
      </c>
      <c r="M33" s="5" t="s">
        <v>22</v>
      </c>
    </row>
    <row r="34" spans="1:14" s="8" customFormat="1" ht="32.1">
      <c r="A34" s="5">
        <v>30</v>
      </c>
      <c r="B34" s="6">
        <v>46091</v>
      </c>
      <c r="C34" s="7">
        <v>0.55208333333333337</v>
      </c>
      <c r="D34" s="5">
        <f>WEEKNUM(tbVendasMarco[[#This Row],[Data]],2)-WEEKNUM(DATE(YEAR(tbVendasMarco[[#This Row],[Data]]),MONTH(tbVendasMarco[[#This Row],[Data]]),1),2)</f>
        <v>2</v>
      </c>
      <c r="E34" s="8" t="s">
        <v>95</v>
      </c>
      <c r="F34" s="9" t="s">
        <v>96</v>
      </c>
      <c r="G34" s="10" t="s">
        <v>97</v>
      </c>
      <c r="H34" s="5">
        <f>SUMIFS(tbItens[Qtd],tbItens[Nº venda],tbVendasMarco[[#This Row],[Nº]])</f>
        <v>2</v>
      </c>
      <c r="I34" s="24">
        <v>239.8</v>
      </c>
      <c r="J34" s="5" t="s">
        <v>73</v>
      </c>
      <c r="K34" s="8" t="s">
        <v>31</v>
      </c>
      <c r="L34" s="5" t="s">
        <v>21</v>
      </c>
      <c r="M34" s="5" t="s">
        <v>22</v>
      </c>
    </row>
    <row r="35" spans="1:14" s="8" customFormat="1" ht="15.95">
      <c r="A35" s="5">
        <v>31</v>
      </c>
      <c r="B35" s="6">
        <v>46091</v>
      </c>
      <c r="C35" s="7">
        <v>0.60347222222222219</v>
      </c>
      <c r="D35" s="5">
        <f>WEEKNUM(tbVendasMarco[[#This Row],[Data]],2)-WEEKNUM(DATE(YEAR(tbVendasMarco[[#This Row],[Data]]),MONTH(tbVendasMarco[[#This Row],[Data]]),1),2)</f>
        <v>2</v>
      </c>
      <c r="E35" s="8" t="s">
        <v>98</v>
      </c>
      <c r="F35" s="9" t="s">
        <v>99</v>
      </c>
      <c r="G35" s="10" t="s">
        <v>62</v>
      </c>
      <c r="H35" s="5">
        <f>SUMIFS(tbItens[Qtd],tbItens[Nº venda],tbVendasMarco[[#This Row],[Nº]])</f>
        <v>1</v>
      </c>
      <c r="I35" s="24">
        <v>323.91000000000003</v>
      </c>
      <c r="J35" s="5" t="s">
        <v>26</v>
      </c>
      <c r="K35" s="8" t="s">
        <v>20</v>
      </c>
      <c r="L35" s="5" t="s">
        <v>21</v>
      </c>
      <c r="M35" s="5" t="s">
        <v>22</v>
      </c>
      <c r="N35" s="8" t="s">
        <v>27</v>
      </c>
    </row>
    <row r="36" spans="1:14" s="8" customFormat="1" ht="15.95">
      <c r="A36" s="5">
        <v>32</v>
      </c>
      <c r="B36" s="6">
        <v>46091</v>
      </c>
      <c r="C36" s="7">
        <v>0.73819444444444449</v>
      </c>
      <c r="D36" s="5">
        <f>WEEKNUM(tbVendasMarco[[#This Row],[Data]],2)-WEEKNUM(DATE(YEAR(tbVendasMarco[[#This Row],[Data]]),MONTH(tbVendasMarco[[#This Row],[Data]]),1),2)</f>
        <v>2</v>
      </c>
      <c r="E36" s="8" t="s">
        <v>28</v>
      </c>
      <c r="F36" s="9" t="s">
        <v>29</v>
      </c>
      <c r="G36" s="10" t="s">
        <v>100</v>
      </c>
      <c r="H36" s="5">
        <f>SUMIFS(tbItens[Qtd],tbItens[Nº venda],tbVendasMarco[[#This Row],[Nº]])</f>
        <v>1</v>
      </c>
      <c r="I36" s="24">
        <v>161.4</v>
      </c>
      <c r="J36" s="5" t="s">
        <v>73</v>
      </c>
      <c r="K36" s="8" t="s">
        <v>41</v>
      </c>
      <c r="L36" s="5" t="s">
        <v>21</v>
      </c>
      <c r="M36" s="5" t="s">
        <v>22</v>
      </c>
      <c r="N36" s="8" t="s">
        <v>27</v>
      </c>
    </row>
    <row r="37" spans="1:14" s="8" customFormat="1" ht="15.95">
      <c r="A37" s="5">
        <v>33</v>
      </c>
      <c r="B37" s="6">
        <v>46091</v>
      </c>
      <c r="C37" s="7">
        <v>0.77222222222222225</v>
      </c>
      <c r="D37" s="5">
        <f>WEEKNUM(tbVendasMarco[[#This Row],[Data]],2)-WEEKNUM(DATE(YEAR(tbVendasMarco[[#This Row],[Data]]),MONTH(tbVendasMarco[[#This Row],[Data]]),1),2)</f>
        <v>2</v>
      </c>
      <c r="E37" s="8" t="s">
        <v>28</v>
      </c>
      <c r="F37" s="9" t="s">
        <v>29</v>
      </c>
      <c r="G37" s="10" t="s">
        <v>101</v>
      </c>
      <c r="H37" s="5">
        <f>SUMIFS(tbItens[Qtd],tbItens[Nº venda],tbVendasMarco[[#This Row],[Nº]])</f>
        <v>1</v>
      </c>
      <c r="I37" s="24">
        <v>246.9</v>
      </c>
      <c r="J37" s="5" t="s">
        <v>46</v>
      </c>
      <c r="K37" s="8" t="s">
        <v>31</v>
      </c>
      <c r="L37" s="5" t="s">
        <v>21</v>
      </c>
      <c r="M37" s="5" t="s">
        <v>22</v>
      </c>
      <c r="N37" s="8" t="s">
        <v>27</v>
      </c>
    </row>
    <row r="38" spans="1:14" s="8" customFormat="1" ht="32.1">
      <c r="A38" s="5">
        <v>34</v>
      </c>
      <c r="B38" s="6">
        <v>46091</v>
      </c>
      <c r="C38" s="7">
        <v>0.84513888888888888</v>
      </c>
      <c r="D38" s="5">
        <f>WEEKNUM(tbVendasMarco[[#This Row],[Data]],2)-WEEKNUM(DATE(YEAR(tbVendasMarco[[#This Row],[Data]]),MONTH(tbVendasMarco[[#This Row],[Data]]),1),2)</f>
        <v>2</v>
      </c>
      <c r="E38" s="8" t="s">
        <v>102</v>
      </c>
      <c r="F38" s="9" t="s">
        <v>103</v>
      </c>
      <c r="G38" s="10" t="s">
        <v>104</v>
      </c>
      <c r="H38" s="5">
        <f>SUMIFS(tbItens[Qtd],tbItens[Nº venda],tbVendasMarco[[#This Row],[Nº]])</f>
        <v>3</v>
      </c>
      <c r="I38" s="24">
        <v>869.7</v>
      </c>
      <c r="J38" s="5" t="s">
        <v>19</v>
      </c>
      <c r="K38" s="8" t="s">
        <v>31</v>
      </c>
      <c r="L38" s="5" t="s">
        <v>21</v>
      </c>
      <c r="M38" s="5" t="s">
        <v>22</v>
      </c>
    </row>
    <row r="39" spans="1:14" s="8" customFormat="1" ht="15.95">
      <c r="A39" s="5">
        <v>35</v>
      </c>
      <c r="B39" s="6">
        <v>46092</v>
      </c>
      <c r="C39" s="7"/>
      <c r="D39" s="5">
        <f>WEEKNUM(tbVendasMarco[[#This Row],[Data]],2)-WEEKNUM(DATE(YEAR(tbVendasMarco[[#This Row],[Data]]),MONTH(tbVendasMarco[[#This Row],[Data]]),1),2)</f>
        <v>2</v>
      </c>
      <c r="E39" s="8" t="s">
        <v>90</v>
      </c>
      <c r="F39" s="9" t="s">
        <v>105</v>
      </c>
      <c r="G39" s="10" t="s">
        <v>106</v>
      </c>
      <c r="H39" s="5">
        <f>SUMIFS(tbItens[Qtd],tbItens[Nº venda],tbVendasMarco[[#This Row],[Nº]])</f>
        <v>2</v>
      </c>
      <c r="I39" s="24">
        <v>389.8</v>
      </c>
      <c r="J39" s="5" t="s">
        <v>19</v>
      </c>
      <c r="K39" s="8" t="s">
        <v>20</v>
      </c>
      <c r="L39" s="5" t="s">
        <v>21</v>
      </c>
      <c r="M39" s="5" t="s">
        <v>47</v>
      </c>
    </row>
    <row r="40" spans="1:14" s="8" customFormat="1" ht="15.95">
      <c r="A40" s="5">
        <v>36</v>
      </c>
      <c r="B40" s="6">
        <v>46093</v>
      </c>
      <c r="C40" s="7">
        <v>0.48125000000000001</v>
      </c>
      <c r="D40" s="5">
        <f>WEEKNUM(tbVendasMarco[[#This Row],[Data]],2)-WEEKNUM(DATE(YEAR(tbVendasMarco[[#This Row],[Data]]),MONTH(tbVendasMarco[[#This Row],[Data]]),1),2)</f>
        <v>2</v>
      </c>
      <c r="E40" s="8" t="s">
        <v>107</v>
      </c>
      <c r="F40" s="9" t="s">
        <v>108</v>
      </c>
      <c r="G40" s="10" t="s">
        <v>109</v>
      </c>
      <c r="H40" s="5">
        <f>SUMIFS(tbItens[Qtd],tbItens[Nº venda],tbVendasMarco[[#This Row],[Nº]])</f>
        <v>1</v>
      </c>
      <c r="I40" s="24">
        <v>139.9</v>
      </c>
      <c r="J40" s="5" t="s">
        <v>33</v>
      </c>
      <c r="K40" s="8" t="s">
        <v>41</v>
      </c>
      <c r="L40" s="5" t="s">
        <v>21</v>
      </c>
      <c r="M40" s="5" t="s">
        <v>22</v>
      </c>
    </row>
    <row r="41" spans="1:14" s="8" customFormat="1" ht="32.1">
      <c r="A41" s="5">
        <v>37</v>
      </c>
      <c r="B41" s="6">
        <v>46093</v>
      </c>
      <c r="C41" s="7">
        <v>0.55277777777777781</v>
      </c>
      <c r="D41" s="5">
        <f>WEEKNUM(tbVendasMarco[[#This Row],[Data]],2)-WEEKNUM(DATE(YEAR(tbVendasMarco[[#This Row],[Data]]),MONTH(tbVendasMarco[[#This Row],[Data]]),1),2)</f>
        <v>2</v>
      </c>
      <c r="E41" s="8" t="s">
        <v>110</v>
      </c>
      <c r="F41" s="9" t="s">
        <v>111</v>
      </c>
      <c r="G41" s="10" t="s">
        <v>112</v>
      </c>
      <c r="H41" s="5">
        <f>SUMIFS(tbItens[Qtd],tbItens[Nº venda],tbVendasMarco[[#This Row],[Nº]])</f>
        <v>2</v>
      </c>
      <c r="I41" s="24">
        <v>529.79999999999995</v>
      </c>
      <c r="J41" s="5" t="s">
        <v>46</v>
      </c>
      <c r="K41" s="8" t="s">
        <v>20</v>
      </c>
      <c r="L41" s="5" t="s">
        <v>21</v>
      </c>
      <c r="M41" s="5" t="s">
        <v>22</v>
      </c>
    </row>
    <row r="42" spans="1:14" s="8" customFormat="1" ht="15.95">
      <c r="A42" s="5">
        <v>38</v>
      </c>
      <c r="B42" s="6">
        <v>46093</v>
      </c>
      <c r="C42" s="7">
        <v>0.65138888888888891</v>
      </c>
      <c r="D42" s="5">
        <f>WEEKNUM(tbVendasMarco[[#This Row],[Data]],2)-WEEKNUM(DATE(YEAR(tbVendasMarco[[#This Row],[Data]]),MONTH(tbVendasMarco[[#This Row],[Data]]),1),2)</f>
        <v>2</v>
      </c>
      <c r="E42" s="8" t="s">
        <v>113</v>
      </c>
      <c r="F42" s="9" t="s">
        <v>114</v>
      </c>
      <c r="G42" s="10" t="s">
        <v>115</v>
      </c>
      <c r="H42" s="5">
        <f>SUMIFS(tbItens[Qtd],tbItens[Nº venda],tbVendasMarco[[#This Row],[Nº]])</f>
        <v>2</v>
      </c>
      <c r="I42" s="24">
        <v>299.8</v>
      </c>
      <c r="J42" s="5" t="s">
        <v>73</v>
      </c>
      <c r="K42" s="8" t="s">
        <v>20</v>
      </c>
      <c r="L42" s="5" t="s">
        <v>21</v>
      </c>
      <c r="M42" s="5" t="s">
        <v>22</v>
      </c>
    </row>
    <row r="43" spans="1:14" s="8" customFormat="1" ht="32.1">
      <c r="A43" s="5">
        <v>39</v>
      </c>
      <c r="B43" s="6">
        <v>46093</v>
      </c>
      <c r="C43" s="7">
        <v>0.68819444444444444</v>
      </c>
      <c r="D43" s="5">
        <f>WEEKNUM(tbVendasMarco[[#This Row],[Data]],2)-WEEKNUM(DATE(YEAR(tbVendasMarco[[#This Row],[Data]]),MONTH(tbVendasMarco[[#This Row],[Data]]),1),2)</f>
        <v>2</v>
      </c>
      <c r="E43" s="8" t="s">
        <v>28</v>
      </c>
      <c r="F43" s="9" t="s">
        <v>29</v>
      </c>
      <c r="G43" s="10" t="s">
        <v>116</v>
      </c>
      <c r="H43" s="5">
        <f>SUMIFS(tbItens[Qtd],tbItens[Nº venda],tbVendasMarco[[#This Row],[Nº]])</f>
        <v>2</v>
      </c>
      <c r="I43" s="24">
        <v>199.8</v>
      </c>
      <c r="J43" s="5" t="s">
        <v>73</v>
      </c>
      <c r="K43" s="8" t="s">
        <v>20</v>
      </c>
      <c r="L43" s="5" t="s">
        <v>21</v>
      </c>
      <c r="M43" s="5" t="s">
        <v>22</v>
      </c>
    </row>
    <row r="44" spans="1:14" s="8" customFormat="1" ht="15.95">
      <c r="A44" s="5">
        <v>40</v>
      </c>
      <c r="B44" s="6">
        <v>46093</v>
      </c>
      <c r="C44" s="7">
        <v>0.77569444444444446</v>
      </c>
      <c r="D44" s="5">
        <f>WEEKNUM(tbVendasMarco[[#This Row],[Data]],2)-WEEKNUM(DATE(YEAR(tbVendasMarco[[#This Row],[Data]]),MONTH(tbVendasMarco[[#This Row],[Data]]),1),2)</f>
        <v>2</v>
      </c>
      <c r="E44" s="8" t="s">
        <v>28</v>
      </c>
      <c r="F44" s="9" t="s">
        <v>29</v>
      </c>
      <c r="G44" s="10" t="s">
        <v>117</v>
      </c>
      <c r="H44" s="5">
        <f>SUMIFS(tbItens[Qtd],tbItens[Nº venda],tbVendasMarco[[#This Row],[Nº]])</f>
        <v>1</v>
      </c>
      <c r="I44" s="24">
        <v>139.9</v>
      </c>
      <c r="J44" s="5" t="s">
        <v>73</v>
      </c>
      <c r="K44" s="8" t="s">
        <v>20</v>
      </c>
      <c r="L44" s="5" t="s">
        <v>21</v>
      </c>
      <c r="M44" s="5" t="s">
        <v>22</v>
      </c>
    </row>
    <row r="45" spans="1:14" s="8" customFormat="1" ht="32.1">
      <c r="A45" s="5">
        <v>41</v>
      </c>
      <c r="B45" s="6">
        <v>46093</v>
      </c>
      <c r="C45" s="7"/>
      <c r="D45" s="5">
        <f>WEEKNUM(tbVendasMarco[[#This Row],[Data]],2)-WEEKNUM(DATE(YEAR(tbVendasMarco[[#This Row],[Data]]),MONTH(tbVendasMarco[[#This Row],[Data]]),1),2)</f>
        <v>2</v>
      </c>
      <c r="E45" s="8" t="s">
        <v>118</v>
      </c>
      <c r="F45" s="9" t="s">
        <v>119</v>
      </c>
      <c r="G45" s="10" t="s">
        <v>120</v>
      </c>
      <c r="H45" s="5">
        <f>SUMIFS(tbItens[Qtd],tbItens[Nº venda],tbVendasMarco[[#This Row],[Nº]])</f>
        <v>2</v>
      </c>
      <c r="I45" s="24">
        <v>599.79999999999995</v>
      </c>
      <c r="J45" s="5" t="s">
        <v>19</v>
      </c>
      <c r="K45" s="8" t="s">
        <v>20</v>
      </c>
      <c r="L45" s="5" t="s">
        <v>21</v>
      </c>
      <c r="M45" s="5" t="s">
        <v>22</v>
      </c>
    </row>
    <row r="46" spans="1:14" s="8" customFormat="1" ht="15.95">
      <c r="A46" s="5">
        <v>42</v>
      </c>
      <c r="B46" s="6">
        <v>46094</v>
      </c>
      <c r="C46" s="7">
        <v>0.41666666666666669</v>
      </c>
      <c r="D46" s="5">
        <f>WEEKNUM(tbVendasMarco[[#This Row],[Data]],2)-WEEKNUM(DATE(YEAR(tbVendasMarco[[#This Row],[Data]]),MONTH(tbVendasMarco[[#This Row],[Data]]),1),2)</f>
        <v>2</v>
      </c>
      <c r="E46" s="8" t="s">
        <v>28</v>
      </c>
      <c r="F46" s="9" t="s">
        <v>29</v>
      </c>
      <c r="G46" s="10" t="s">
        <v>121</v>
      </c>
      <c r="H46" s="5">
        <f>SUMIFS(tbItens[Qtd],tbItens[Nº venda],tbVendasMarco[[#This Row],[Nº]])</f>
        <v>3</v>
      </c>
      <c r="I46" s="24">
        <v>729.7</v>
      </c>
      <c r="J46" s="5" t="s">
        <v>19</v>
      </c>
      <c r="K46" s="8" t="s">
        <v>20</v>
      </c>
      <c r="L46" s="5" t="s">
        <v>21</v>
      </c>
      <c r="M46" s="5" t="s">
        <v>22</v>
      </c>
    </row>
    <row r="47" spans="1:14" s="8" customFormat="1" ht="15.95">
      <c r="A47" s="5">
        <v>43</v>
      </c>
      <c r="B47" s="6">
        <v>46094</v>
      </c>
      <c r="C47" s="7">
        <v>0.55069444444444449</v>
      </c>
      <c r="D47" s="5">
        <f>WEEKNUM(tbVendasMarco[[#This Row],[Data]],2)-WEEKNUM(DATE(YEAR(tbVendasMarco[[#This Row],[Data]]),MONTH(tbVendasMarco[[#This Row],[Data]]),1),2)</f>
        <v>2</v>
      </c>
      <c r="E47" s="8" t="s">
        <v>28</v>
      </c>
      <c r="F47" s="9" t="s">
        <v>29</v>
      </c>
      <c r="G47" s="10" t="s">
        <v>122</v>
      </c>
      <c r="H47" s="5">
        <f>SUMIFS(tbItens[Qtd],tbItens[Nº venda],tbVendasMarco[[#This Row],[Nº]])</f>
        <v>2</v>
      </c>
      <c r="I47" s="24">
        <v>519.79999999999995</v>
      </c>
      <c r="J47" s="5" t="s">
        <v>26</v>
      </c>
      <c r="K47" s="8" t="s">
        <v>20</v>
      </c>
      <c r="L47" s="5" t="s">
        <v>21</v>
      </c>
      <c r="M47" s="5" t="s">
        <v>22</v>
      </c>
    </row>
    <row r="48" spans="1:14" s="8" customFormat="1" ht="15.95">
      <c r="A48" s="5">
        <v>44</v>
      </c>
      <c r="B48" s="6">
        <v>46094</v>
      </c>
      <c r="C48" s="7">
        <v>0.62986111111111109</v>
      </c>
      <c r="D48" s="5">
        <f>WEEKNUM(tbVendasMarco[[#This Row],[Data]],2)-WEEKNUM(DATE(YEAR(tbVendasMarco[[#This Row],[Data]]),MONTH(tbVendasMarco[[#This Row],[Data]]),1),2)</f>
        <v>2</v>
      </c>
      <c r="E48" s="8" t="s">
        <v>28</v>
      </c>
      <c r="F48" s="9" t="s">
        <v>29</v>
      </c>
      <c r="G48" s="10" t="s">
        <v>123</v>
      </c>
      <c r="H48" s="5">
        <f>SUMIFS(tbItens[Qtd],tbItens[Nº venda],tbVendasMarco[[#This Row],[Nº]])</f>
        <v>1</v>
      </c>
      <c r="I48" s="24">
        <v>139.9</v>
      </c>
      <c r="J48" s="5" t="s">
        <v>46</v>
      </c>
      <c r="K48" s="8" t="s">
        <v>20</v>
      </c>
      <c r="L48" s="5" t="s">
        <v>21</v>
      </c>
      <c r="M48" s="5" t="s">
        <v>22</v>
      </c>
    </row>
    <row r="49" spans="1:14" s="8" customFormat="1" ht="32.1">
      <c r="A49" s="5">
        <v>45</v>
      </c>
      <c r="B49" s="6">
        <v>46094</v>
      </c>
      <c r="C49" s="7">
        <v>0.64444444444444449</v>
      </c>
      <c r="D49" s="5">
        <f>WEEKNUM(tbVendasMarco[[#This Row],[Data]],2)-WEEKNUM(DATE(YEAR(tbVendasMarco[[#This Row],[Data]]),MONTH(tbVendasMarco[[#This Row],[Data]]),1),2)</f>
        <v>2</v>
      </c>
      <c r="E49" s="8" t="s">
        <v>124</v>
      </c>
      <c r="F49" s="9" t="s">
        <v>125</v>
      </c>
      <c r="G49" s="10" t="s">
        <v>126</v>
      </c>
      <c r="H49" s="5">
        <f>SUMIFS(tbItens[Qtd],tbItens[Nº venda],tbVendasMarco[[#This Row],[Nº]])</f>
        <v>3</v>
      </c>
      <c r="I49" s="24">
        <v>619.70000000000005</v>
      </c>
      <c r="J49" s="5" t="s">
        <v>33</v>
      </c>
      <c r="K49" s="8" t="s">
        <v>31</v>
      </c>
      <c r="L49" s="5" t="s">
        <v>21</v>
      </c>
      <c r="M49" s="5" t="s">
        <v>22</v>
      </c>
    </row>
    <row r="50" spans="1:14" s="8" customFormat="1" ht="32.1">
      <c r="A50" s="5">
        <v>46</v>
      </c>
      <c r="B50" s="6">
        <v>46095</v>
      </c>
      <c r="C50" s="7"/>
      <c r="D50" s="5">
        <f>WEEKNUM(tbVendasMarco[[#This Row],[Data]],2)-WEEKNUM(DATE(YEAR(tbVendasMarco[[#This Row],[Data]]),MONTH(tbVendasMarco[[#This Row],[Data]]),1),2)</f>
        <v>2</v>
      </c>
      <c r="E50" s="8" t="s">
        <v>28</v>
      </c>
      <c r="F50" s="9" t="s">
        <v>29</v>
      </c>
      <c r="G50" s="10" t="s">
        <v>127</v>
      </c>
      <c r="H50" s="5">
        <f>SUMIFS(tbItens[Qtd],tbItens[Nº venda],tbVendasMarco[[#This Row],[Nº]])</f>
        <v>3</v>
      </c>
      <c r="I50" s="24">
        <v>649.70000000000005</v>
      </c>
      <c r="J50" s="5" t="s">
        <v>33</v>
      </c>
      <c r="K50" s="8" t="s">
        <v>41</v>
      </c>
      <c r="L50" s="5" t="s">
        <v>21</v>
      </c>
      <c r="M50" s="5" t="s">
        <v>22</v>
      </c>
    </row>
    <row r="51" spans="1:14" s="8" customFormat="1" ht="32.1">
      <c r="A51" s="5">
        <v>47</v>
      </c>
      <c r="B51" s="6">
        <v>46095</v>
      </c>
      <c r="C51" s="7">
        <v>0.65347222222222223</v>
      </c>
      <c r="D51" s="5">
        <f>WEEKNUM(tbVendasMarco[[#This Row],[Data]],2)-WEEKNUM(DATE(YEAR(tbVendasMarco[[#This Row],[Data]]),MONTH(tbVendasMarco[[#This Row],[Data]]),1),2)</f>
        <v>2</v>
      </c>
      <c r="E51" s="8" t="s">
        <v>128</v>
      </c>
      <c r="F51" s="9" t="s">
        <v>129</v>
      </c>
      <c r="G51" s="10" t="s">
        <v>130</v>
      </c>
      <c r="H51" s="5">
        <f>SUMIFS(tbItens[Qtd],tbItens[Nº venda],tbVendasMarco[[#This Row],[Nº]])</f>
        <v>3</v>
      </c>
      <c r="I51" s="24">
        <v>669.7</v>
      </c>
      <c r="J51" s="5" t="s">
        <v>33</v>
      </c>
      <c r="K51" s="8" t="s">
        <v>41</v>
      </c>
      <c r="L51" s="5" t="s">
        <v>21</v>
      </c>
      <c r="M51" s="5" t="s">
        <v>22</v>
      </c>
    </row>
    <row r="52" spans="1:14" s="8" customFormat="1" ht="32.1">
      <c r="A52" s="5">
        <v>48</v>
      </c>
      <c r="B52" s="6">
        <v>46095</v>
      </c>
      <c r="C52" s="7">
        <v>0.76111111111111107</v>
      </c>
      <c r="D52" s="5">
        <f>WEEKNUM(tbVendasMarco[[#This Row],[Data]],2)-WEEKNUM(DATE(YEAR(tbVendasMarco[[#This Row],[Data]]),MONTH(tbVendasMarco[[#This Row],[Data]]),1),2)</f>
        <v>2</v>
      </c>
      <c r="E52" s="8" t="s">
        <v>131</v>
      </c>
      <c r="F52" s="9" t="s">
        <v>132</v>
      </c>
      <c r="G52" s="10" t="s">
        <v>133</v>
      </c>
      <c r="H52" s="5">
        <f>SUMIFS(tbItens[Qtd],tbItens[Nº venda],tbVendasMarco[[#This Row],[Nº]])</f>
        <v>2</v>
      </c>
      <c r="I52" s="24">
        <v>329.8</v>
      </c>
      <c r="J52" s="5" t="s">
        <v>73</v>
      </c>
      <c r="K52" s="8" t="s">
        <v>31</v>
      </c>
      <c r="L52" s="5" t="s">
        <v>21</v>
      </c>
      <c r="M52" s="5" t="s">
        <v>47</v>
      </c>
    </row>
    <row r="53" spans="1:14" s="8" customFormat="1" ht="15.95">
      <c r="A53" s="5">
        <v>49</v>
      </c>
      <c r="B53" s="6">
        <v>46095</v>
      </c>
      <c r="C53" s="7">
        <v>0.77569444444444446</v>
      </c>
      <c r="D53" s="5">
        <f>WEEKNUM(tbVendasMarco[[#This Row],[Data]],2)-WEEKNUM(DATE(YEAR(tbVendasMarco[[#This Row],[Data]]),MONTH(tbVendasMarco[[#This Row],[Data]]),1),2)</f>
        <v>2</v>
      </c>
      <c r="E53" s="8" t="s">
        <v>134</v>
      </c>
      <c r="F53" s="9" t="s">
        <v>135</v>
      </c>
      <c r="G53" s="10" t="s">
        <v>136</v>
      </c>
      <c r="H53" s="5">
        <f>SUMIFS(tbItens[Qtd],tbItens[Nº venda],tbVendasMarco[[#This Row],[Nº]])</f>
        <v>3</v>
      </c>
      <c r="I53" s="24">
        <v>749.7</v>
      </c>
      <c r="J53" s="5" t="s">
        <v>46</v>
      </c>
      <c r="K53" s="8" t="s">
        <v>31</v>
      </c>
      <c r="L53" s="5" t="s">
        <v>21</v>
      </c>
      <c r="M53" s="5" t="s">
        <v>47</v>
      </c>
    </row>
    <row r="54" spans="1:14" s="8" customFormat="1" ht="15.95">
      <c r="A54" s="5">
        <v>50</v>
      </c>
      <c r="B54" s="6">
        <v>46096</v>
      </c>
      <c r="C54" s="7"/>
      <c r="D54" s="5">
        <f>WEEKNUM(tbVendasMarco[[#This Row],[Data]],2)-WEEKNUM(DATE(YEAR(tbVendasMarco[[#This Row],[Data]]),MONTH(tbVendasMarco[[#This Row],[Data]]),1),2)</f>
        <v>2</v>
      </c>
      <c r="E54" s="8" t="s">
        <v>137</v>
      </c>
      <c r="F54" s="9" t="s">
        <v>138</v>
      </c>
      <c r="G54" s="10" t="s">
        <v>139</v>
      </c>
      <c r="H54" s="5">
        <f>SUMIFS(tbItens[Qtd],tbItens[Nº venda],tbVendasMarco[[#This Row],[Nº]])</f>
        <v>1</v>
      </c>
      <c r="I54" s="24">
        <v>296.91000000000003</v>
      </c>
      <c r="J54" s="5" t="s">
        <v>33</v>
      </c>
      <c r="K54" s="8" t="s">
        <v>41</v>
      </c>
      <c r="L54" s="5" t="s">
        <v>21</v>
      </c>
      <c r="M54" s="5" t="s">
        <v>22</v>
      </c>
    </row>
    <row r="55" spans="1:14" s="8" customFormat="1" ht="15.95">
      <c r="A55" s="5">
        <v>51</v>
      </c>
      <c r="B55" s="6">
        <v>46096</v>
      </c>
      <c r="C55" s="7">
        <v>0.76875000000000004</v>
      </c>
      <c r="D55" s="5">
        <f>WEEKNUM(tbVendasMarco[[#This Row],[Data]],2)-WEEKNUM(DATE(YEAR(tbVendasMarco[[#This Row],[Data]]),MONTH(tbVendasMarco[[#This Row],[Data]]),1),2)</f>
        <v>2</v>
      </c>
      <c r="E55" s="8" t="s">
        <v>28</v>
      </c>
      <c r="F55" s="9" t="s">
        <v>29</v>
      </c>
      <c r="G55" s="10" t="s">
        <v>140</v>
      </c>
      <c r="H55" s="5">
        <f>SUMIFS(tbItens[Qtd],tbItens[Nº venda],tbVendasMarco[[#This Row],[Nº]])</f>
        <v>1</v>
      </c>
      <c r="I55" s="24">
        <v>219.9</v>
      </c>
      <c r="J55" s="5" t="s">
        <v>33</v>
      </c>
      <c r="K55" s="8" t="s">
        <v>31</v>
      </c>
      <c r="L55" s="5" t="s">
        <v>21</v>
      </c>
      <c r="M55" s="5" t="s">
        <v>22</v>
      </c>
    </row>
    <row r="56" spans="1:14" s="8" customFormat="1" ht="15.95">
      <c r="A56" s="5">
        <v>52</v>
      </c>
      <c r="B56" s="6">
        <v>46097</v>
      </c>
      <c r="C56" s="7">
        <v>0.77847222222222223</v>
      </c>
      <c r="D56" s="5">
        <f>WEEKNUM(tbVendasMarco[[#This Row],[Data]],2)-WEEKNUM(DATE(YEAR(tbVendasMarco[[#This Row],[Data]]),MONTH(tbVendasMarco[[#This Row],[Data]]),1),2)</f>
        <v>3</v>
      </c>
      <c r="E56" s="8" t="s">
        <v>98</v>
      </c>
      <c r="F56" s="9" t="s">
        <v>99</v>
      </c>
      <c r="G56" s="10" t="s">
        <v>141</v>
      </c>
      <c r="H56" s="5">
        <f>SUMIFS(tbItens[Qtd],tbItens[Nº venda],tbVendasMarco[[#This Row],[Nº]])</f>
        <v>1</v>
      </c>
      <c r="I56" s="24">
        <v>149.9</v>
      </c>
      <c r="J56" s="5" t="s">
        <v>33</v>
      </c>
      <c r="K56" s="8" t="s">
        <v>20</v>
      </c>
      <c r="L56" s="5" t="s">
        <v>21</v>
      </c>
      <c r="M56" s="5" t="s">
        <v>22</v>
      </c>
    </row>
    <row r="57" spans="1:14" s="8" customFormat="1" ht="15.95">
      <c r="A57" s="5">
        <v>53</v>
      </c>
      <c r="B57" s="6">
        <v>46098</v>
      </c>
      <c r="C57" s="7"/>
      <c r="D57" s="5">
        <f>WEEKNUM(tbVendasMarco[[#This Row],[Data]],2)-WEEKNUM(DATE(YEAR(tbVendasMarco[[#This Row],[Data]]),MONTH(tbVendasMarco[[#This Row],[Data]]),1),2)</f>
        <v>3</v>
      </c>
      <c r="E57" s="8" t="s">
        <v>28</v>
      </c>
      <c r="F57" s="9" t="s">
        <v>29</v>
      </c>
      <c r="G57" s="10" t="s">
        <v>18</v>
      </c>
      <c r="H57" s="5">
        <f>SUMIFS(tbItens[Qtd],tbItens[Nº venda],tbVendasMarco[[#This Row],[Nº]])</f>
        <v>1</v>
      </c>
      <c r="I57" s="24">
        <v>269.89999999999998</v>
      </c>
      <c r="J57" s="5" t="s">
        <v>46</v>
      </c>
      <c r="K57" s="8" t="s">
        <v>31</v>
      </c>
      <c r="L57" s="5" t="s">
        <v>21</v>
      </c>
      <c r="M57" s="5" t="s">
        <v>22</v>
      </c>
    </row>
    <row r="58" spans="1:14" s="8" customFormat="1" ht="32.1">
      <c r="A58" s="5">
        <v>54</v>
      </c>
      <c r="B58" s="6">
        <v>46099</v>
      </c>
      <c r="C58" s="7">
        <v>0.76597222222222228</v>
      </c>
      <c r="D58" s="5">
        <f>WEEKNUM(tbVendasMarco[[#This Row],[Data]],2)-WEEKNUM(DATE(YEAR(tbVendasMarco[[#This Row],[Data]]),MONTH(tbVendasMarco[[#This Row],[Data]]),1),2)</f>
        <v>3</v>
      </c>
      <c r="E58" s="8" t="s">
        <v>118</v>
      </c>
      <c r="F58" s="9" t="s">
        <v>119</v>
      </c>
      <c r="G58" s="10" t="s">
        <v>142</v>
      </c>
      <c r="H58" s="5">
        <f>SUMIFS(tbItens[Qtd],tbItens[Nº venda],tbVendasMarco[[#This Row],[Nº]])</f>
        <v>2</v>
      </c>
      <c r="I58" s="24">
        <v>229.8</v>
      </c>
      <c r="J58" s="5" t="s">
        <v>26</v>
      </c>
      <c r="K58" s="8" t="s">
        <v>20</v>
      </c>
      <c r="L58" s="5" t="s">
        <v>21</v>
      </c>
      <c r="M58" s="5" t="s">
        <v>22</v>
      </c>
    </row>
    <row r="59" spans="1:14" s="8" customFormat="1" ht="48">
      <c r="A59" s="5">
        <v>55</v>
      </c>
      <c r="B59" s="6">
        <v>46099</v>
      </c>
      <c r="C59" s="7"/>
      <c r="D59" s="5">
        <f>WEEKNUM(tbVendasMarco[[#This Row],[Data]],2)-WEEKNUM(DATE(YEAR(tbVendasMarco[[#This Row],[Data]]),MONTH(tbVendasMarco[[#This Row],[Data]]),1),2)</f>
        <v>3</v>
      </c>
      <c r="E59" s="8" t="s">
        <v>28</v>
      </c>
      <c r="F59" s="9" t="s">
        <v>29</v>
      </c>
      <c r="G59" s="10" t="s">
        <v>143</v>
      </c>
      <c r="H59" s="5">
        <f>SUMIFS(tbItens[Qtd],tbItens[Nº venda],tbVendasMarco[[#This Row],[Nº]])</f>
        <v>4</v>
      </c>
      <c r="I59" s="24">
        <v>656.64</v>
      </c>
      <c r="J59" s="5" t="s">
        <v>33</v>
      </c>
      <c r="K59" s="8" t="s">
        <v>41</v>
      </c>
      <c r="L59" s="5" t="s">
        <v>21</v>
      </c>
      <c r="M59" s="5" t="s">
        <v>22</v>
      </c>
      <c r="N59" s="8" t="s">
        <v>27</v>
      </c>
    </row>
    <row r="60" spans="1:14" s="8" customFormat="1" ht="32.1">
      <c r="A60" s="5">
        <v>56</v>
      </c>
      <c r="B60" s="6">
        <v>46100</v>
      </c>
      <c r="C60" s="7">
        <v>0.65763888888888888</v>
      </c>
      <c r="D60" s="5">
        <f>WEEKNUM(tbVendasMarco[[#This Row],[Data]],2)-WEEKNUM(DATE(YEAR(tbVendasMarco[[#This Row],[Data]]),MONTH(tbVendasMarco[[#This Row],[Data]]),1),2)</f>
        <v>3</v>
      </c>
      <c r="E60" s="8" t="s">
        <v>144</v>
      </c>
      <c r="F60" s="9" t="s">
        <v>145</v>
      </c>
      <c r="G60" s="10" t="s">
        <v>146</v>
      </c>
      <c r="H60" s="5">
        <f>SUMIFS(tbItens[Qtd],tbItens[Nº venda],tbVendasMarco[[#This Row],[Nº]])</f>
        <v>4</v>
      </c>
      <c r="I60" s="24">
        <v>739.6</v>
      </c>
      <c r="J60" s="5" t="s">
        <v>46</v>
      </c>
      <c r="K60" s="8" t="s">
        <v>41</v>
      </c>
      <c r="L60" s="5" t="s">
        <v>21</v>
      </c>
      <c r="M60" s="5" t="s">
        <v>47</v>
      </c>
    </row>
    <row r="61" spans="1:14" s="8" customFormat="1" ht="15.95">
      <c r="A61" s="5">
        <v>57</v>
      </c>
      <c r="B61" s="6">
        <v>46101</v>
      </c>
      <c r="C61" s="7">
        <v>0.56666666666666665</v>
      </c>
      <c r="D61" s="5">
        <f>WEEKNUM(tbVendasMarco[[#This Row],[Data]],2)-WEEKNUM(DATE(YEAR(tbVendasMarco[[#This Row],[Data]]),MONTH(tbVendasMarco[[#This Row],[Data]]),1),2)</f>
        <v>3</v>
      </c>
      <c r="E61" s="8" t="s">
        <v>147</v>
      </c>
      <c r="F61" s="9" t="s">
        <v>148</v>
      </c>
      <c r="G61" s="10" t="s">
        <v>149</v>
      </c>
      <c r="H61" s="5">
        <f>SUMIFS(tbItens[Qtd],tbItens[Nº venda],tbVendasMarco[[#This Row],[Nº]])</f>
        <v>1</v>
      </c>
      <c r="I61" s="24">
        <v>89.9</v>
      </c>
      <c r="J61" s="5" t="s">
        <v>73</v>
      </c>
      <c r="K61" s="8" t="s">
        <v>31</v>
      </c>
      <c r="L61" s="5" t="s">
        <v>21</v>
      </c>
      <c r="M61" s="5" t="s">
        <v>47</v>
      </c>
    </row>
    <row r="62" spans="1:14" s="8" customFormat="1" ht="32.1">
      <c r="A62" s="5">
        <v>58</v>
      </c>
      <c r="B62" s="6">
        <v>46101</v>
      </c>
      <c r="C62" s="7"/>
      <c r="D62" s="5">
        <f>WEEKNUM(tbVendasMarco[[#This Row],[Data]],2)-WEEKNUM(DATE(YEAR(tbVendasMarco[[#This Row],[Data]]),MONTH(tbVendasMarco[[#This Row],[Data]]),1),2)</f>
        <v>3</v>
      </c>
      <c r="E62" s="8" t="s">
        <v>92</v>
      </c>
      <c r="F62" s="9" t="s">
        <v>93</v>
      </c>
      <c r="G62" s="10" t="s">
        <v>150</v>
      </c>
      <c r="H62" s="5">
        <f>SUMIFS(tbItens[Qtd],tbItens[Nº venda],tbVendasMarco[[#This Row],[Nº]])</f>
        <v>3</v>
      </c>
      <c r="I62" s="24">
        <v>859.7</v>
      </c>
      <c r="J62" s="5" t="s">
        <v>26</v>
      </c>
      <c r="K62" s="8" t="s">
        <v>20</v>
      </c>
      <c r="L62" s="5" t="s">
        <v>21</v>
      </c>
      <c r="M62" s="5" t="s">
        <v>22</v>
      </c>
    </row>
    <row r="63" spans="1:14" s="8" customFormat="1" ht="15.95">
      <c r="A63" s="5">
        <v>59</v>
      </c>
      <c r="B63" s="6">
        <v>46101</v>
      </c>
      <c r="C63" s="7">
        <v>0.75069444444444444</v>
      </c>
      <c r="D63" s="5">
        <f>WEEKNUM(tbVendasMarco[[#This Row],[Data]],2)-WEEKNUM(DATE(YEAR(tbVendasMarco[[#This Row],[Data]]),MONTH(tbVendasMarco[[#This Row],[Data]]),1),2)</f>
        <v>3</v>
      </c>
      <c r="E63" s="8" t="s">
        <v>151</v>
      </c>
      <c r="F63" s="9" t="s">
        <v>152</v>
      </c>
      <c r="G63" s="10" t="s">
        <v>153</v>
      </c>
      <c r="H63" s="5">
        <f>SUMIFS(tbItens[Qtd],tbItens[Nº venda],tbVendasMarco[[#This Row],[Nº]])</f>
        <v>1</v>
      </c>
      <c r="I63" s="24">
        <v>119.9</v>
      </c>
      <c r="J63" s="5" t="s">
        <v>46</v>
      </c>
      <c r="K63" s="8" t="s">
        <v>41</v>
      </c>
      <c r="L63" s="5" t="s">
        <v>21</v>
      </c>
      <c r="M63" s="5" t="s">
        <v>47</v>
      </c>
    </row>
    <row r="64" spans="1:14" s="8" customFormat="1" ht="15.95">
      <c r="A64" s="5">
        <v>60</v>
      </c>
      <c r="B64" s="6">
        <v>46101</v>
      </c>
      <c r="C64" s="7">
        <v>0.75416666666666665</v>
      </c>
      <c r="D64" s="5">
        <f>WEEKNUM(tbVendasMarco[[#This Row],[Data]],2)-WEEKNUM(DATE(YEAR(tbVendasMarco[[#This Row],[Data]]),MONTH(tbVendasMarco[[#This Row],[Data]]),1),2)</f>
        <v>3</v>
      </c>
      <c r="E64" s="8" t="s">
        <v>154</v>
      </c>
      <c r="F64" s="9" t="s">
        <v>155</v>
      </c>
      <c r="G64" s="10" t="s">
        <v>156</v>
      </c>
      <c r="H64" s="5">
        <f>SUMIFS(tbItens[Qtd],tbItens[Nº venda],tbVendasMarco[[#This Row],[Nº]])</f>
        <v>2</v>
      </c>
      <c r="I64" s="24">
        <v>279.8</v>
      </c>
      <c r="J64" s="5" t="s">
        <v>33</v>
      </c>
      <c r="K64" s="8" t="s">
        <v>31</v>
      </c>
      <c r="L64" s="5" t="s">
        <v>21</v>
      </c>
      <c r="M64" s="5" t="s">
        <v>22</v>
      </c>
    </row>
    <row r="65" spans="1:13" s="8" customFormat="1" ht="15.95">
      <c r="A65" s="5">
        <v>61</v>
      </c>
      <c r="B65" s="6">
        <v>46101</v>
      </c>
      <c r="C65" s="7">
        <v>0.7680555555555556</v>
      </c>
      <c r="D65" s="5">
        <f>WEEKNUM(tbVendasMarco[[#This Row],[Data]],2)-WEEKNUM(DATE(YEAR(tbVendasMarco[[#This Row],[Data]]),MONTH(tbVendasMarco[[#This Row],[Data]]),1),2)</f>
        <v>3</v>
      </c>
      <c r="E65" s="8" t="s">
        <v>157</v>
      </c>
      <c r="F65" s="9" t="s">
        <v>158</v>
      </c>
      <c r="G65" s="10" t="s">
        <v>159</v>
      </c>
      <c r="H65" s="5">
        <f>SUMIFS(tbItens[Qtd],tbItens[Nº venda],tbVendasMarco[[#This Row],[Nº]])</f>
        <v>1</v>
      </c>
      <c r="I65" s="24">
        <v>219.9</v>
      </c>
      <c r="J65" s="5" t="s">
        <v>46</v>
      </c>
      <c r="K65" s="8" t="s">
        <v>20</v>
      </c>
      <c r="L65" s="5" t="s">
        <v>21</v>
      </c>
      <c r="M65" s="5" t="s">
        <v>22</v>
      </c>
    </row>
    <row r="66" spans="1:13" s="8" customFormat="1" ht="15.95">
      <c r="A66" s="5">
        <v>62</v>
      </c>
      <c r="B66" s="6">
        <v>46101</v>
      </c>
      <c r="C66" s="7">
        <v>0.80486111111111114</v>
      </c>
      <c r="D66" s="5">
        <f>WEEKNUM(tbVendasMarco[[#This Row],[Data]],2)-WEEKNUM(DATE(YEAR(tbVendasMarco[[#This Row],[Data]]),MONTH(tbVendasMarco[[#This Row],[Data]]),1),2)</f>
        <v>3</v>
      </c>
      <c r="E66" s="8" t="s">
        <v>28</v>
      </c>
      <c r="F66" s="9" t="s">
        <v>29</v>
      </c>
      <c r="G66" s="10" t="s">
        <v>160</v>
      </c>
      <c r="H66" s="5">
        <f>SUMIFS(tbItens[Qtd],tbItens[Nº venda],tbVendasMarco[[#This Row],[Nº]])</f>
        <v>1</v>
      </c>
      <c r="I66" s="24">
        <v>89.9</v>
      </c>
      <c r="J66" s="5" t="s">
        <v>73</v>
      </c>
      <c r="K66" s="8" t="s">
        <v>31</v>
      </c>
      <c r="L66" s="5" t="s">
        <v>21</v>
      </c>
      <c r="M66" s="5" t="s">
        <v>22</v>
      </c>
    </row>
    <row r="67" spans="1:13" s="8" customFormat="1" ht="32.1">
      <c r="A67" s="5">
        <v>63</v>
      </c>
      <c r="B67" s="6">
        <v>46101</v>
      </c>
      <c r="C67" s="7">
        <v>0.80555555555555558</v>
      </c>
      <c r="D67" s="5">
        <f>WEEKNUM(tbVendasMarco[[#This Row],[Data]],2)-WEEKNUM(DATE(YEAR(tbVendasMarco[[#This Row],[Data]]),MONTH(tbVendasMarco[[#This Row],[Data]]),1),2)</f>
        <v>3</v>
      </c>
      <c r="E67" s="8" t="s">
        <v>28</v>
      </c>
      <c r="F67" s="9" t="s">
        <v>29</v>
      </c>
      <c r="G67" s="10" t="s">
        <v>161</v>
      </c>
      <c r="H67" s="5">
        <f>SUMIFS(tbItens[Qtd],tbItens[Nº venda],tbVendasMarco[[#This Row],[Nº]])</f>
        <v>2</v>
      </c>
      <c r="I67" s="24">
        <v>459.8</v>
      </c>
      <c r="J67" s="5" t="s">
        <v>33</v>
      </c>
      <c r="K67" s="8" t="s">
        <v>41</v>
      </c>
      <c r="L67" s="5" t="s">
        <v>21</v>
      </c>
      <c r="M67" s="5" t="s">
        <v>22</v>
      </c>
    </row>
    <row r="68" spans="1:13" s="8" customFormat="1" ht="15.95">
      <c r="A68" s="5">
        <v>64</v>
      </c>
      <c r="B68" s="6">
        <v>46102</v>
      </c>
      <c r="C68" s="7">
        <v>0.41736111111111113</v>
      </c>
      <c r="D68" s="5">
        <f>WEEKNUM(tbVendasMarco[[#This Row],[Data]],2)-WEEKNUM(DATE(YEAR(tbVendasMarco[[#This Row],[Data]]),MONTH(tbVendasMarco[[#This Row],[Data]]),1),2)</f>
        <v>3</v>
      </c>
      <c r="E68" s="8" t="s">
        <v>151</v>
      </c>
      <c r="F68" s="9" t="s">
        <v>152</v>
      </c>
      <c r="G68" s="10" t="s">
        <v>162</v>
      </c>
      <c r="H68" s="5">
        <f>SUMIFS(tbItens[Qtd],tbItens[Nº venda],tbVendasMarco[[#This Row],[Nº]])</f>
        <v>1</v>
      </c>
      <c r="I68" s="24">
        <v>189.9</v>
      </c>
      <c r="J68" s="5" t="s">
        <v>73</v>
      </c>
      <c r="K68" s="8" t="s">
        <v>31</v>
      </c>
      <c r="L68" s="5" t="s">
        <v>21</v>
      </c>
      <c r="M68" s="5" t="s">
        <v>22</v>
      </c>
    </row>
    <row r="69" spans="1:13" s="8" customFormat="1" ht="15.95">
      <c r="A69" s="5">
        <v>65</v>
      </c>
      <c r="B69" s="6">
        <v>46102</v>
      </c>
      <c r="C69" s="7"/>
      <c r="D69" s="5">
        <f>WEEKNUM(tbVendasMarco[[#This Row],[Data]],2)-WEEKNUM(DATE(YEAR(tbVendasMarco[[#This Row],[Data]]),MONTH(tbVendasMarco[[#This Row],[Data]]),1),2)</f>
        <v>3</v>
      </c>
      <c r="E69" s="8" t="s">
        <v>163</v>
      </c>
      <c r="F69" s="9" t="s">
        <v>164</v>
      </c>
      <c r="G69" s="10" t="s">
        <v>165</v>
      </c>
      <c r="H69" s="5">
        <f>SUMIFS(tbItens[Qtd],tbItens[Nº venda],tbVendasMarco[[#This Row],[Nº]])</f>
        <v>1</v>
      </c>
      <c r="I69" s="24">
        <v>199.9</v>
      </c>
      <c r="J69" s="5" t="s">
        <v>46</v>
      </c>
      <c r="K69" s="8" t="s">
        <v>20</v>
      </c>
      <c r="L69" s="5" t="s">
        <v>21</v>
      </c>
      <c r="M69" s="5" t="s">
        <v>47</v>
      </c>
    </row>
    <row r="70" spans="1:13" s="8" customFormat="1" ht="15.95">
      <c r="A70" s="5">
        <v>66</v>
      </c>
      <c r="B70" s="6">
        <v>46102</v>
      </c>
      <c r="C70" s="7">
        <v>0.44513888888888886</v>
      </c>
      <c r="D70" s="5">
        <f>WEEKNUM(tbVendasMarco[[#This Row],[Data]],2)-WEEKNUM(DATE(YEAR(tbVendasMarco[[#This Row],[Data]]),MONTH(tbVendasMarco[[#This Row],[Data]]),1),2)</f>
        <v>3</v>
      </c>
      <c r="E70" s="8" t="s">
        <v>166</v>
      </c>
      <c r="F70" s="9" t="s">
        <v>29</v>
      </c>
      <c r="G70" s="10" t="s">
        <v>167</v>
      </c>
      <c r="H70" s="5">
        <f>SUMIFS(tbItens[Qtd],tbItens[Nº venda],tbVendasMarco[[#This Row],[Nº]])</f>
        <v>2</v>
      </c>
      <c r="I70" s="24">
        <v>199.8</v>
      </c>
      <c r="J70" s="5" t="s">
        <v>33</v>
      </c>
      <c r="K70" s="8" t="s">
        <v>41</v>
      </c>
      <c r="L70" s="5" t="s">
        <v>21</v>
      </c>
      <c r="M70" s="5" t="s">
        <v>22</v>
      </c>
    </row>
    <row r="71" spans="1:13" s="8" customFormat="1" ht="32.1">
      <c r="A71" s="5">
        <v>67</v>
      </c>
      <c r="B71" s="6">
        <v>46102</v>
      </c>
      <c r="C71" s="7">
        <v>0.54583333333333328</v>
      </c>
      <c r="D71" s="5">
        <f>WEEKNUM(tbVendasMarco[[#This Row],[Data]],2)-WEEKNUM(DATE(YEAR(tbVendasMarco[[#This Row],[Data]]),MONTH(tbVendasMarco[[#This Row],[Data]]),1),2)</f>
        <v>3</v>
      </c>
      <c r="E71" s="8" t="s">
        <v>28</v>
      </c>
      <c r="F71" s="9" t="s">
        <v>29</v>
      </c>
      <c r="G71" s="10" t="s">
        <v>168</v>
      </c>
      <c r="H71" s="5">
        <f>SUMIFS(tbItens[Qtd],tbItens[Nº venda],tbVendasMarco[[#This Row],[Nº]])</f>
        <v>2</v>
      </c>
      <c r="I71" s="24">
        <v>389.8</v>
      </c>
      <c r="J71" s="5" t="s">
        <v>19</v>
      </c>
      <c r="K71" s="8" t="s">
        <v>20</v>
      </c>
      <c r="L71" s="5" t="s">
        <v>21</v>
      </c>
      <c r="M71" s="5" t="s">
        <v>22</v>
      </c>
    </row>
    <row r="72" spans="1:13" s="8" customFormat="1" ht="15.95">
      <c r="A72" s="5">
        <v>68</v>
      </c>
      <c r="B72" s="6">
        <v>46102</v>
      </c>
      <c r="C72" s="7">
        <v>0.55763888888888891</v>
      </c>
      <c r="D72" s="5">
        <f>WEEKNUM(tbVendasMarco[[#This Row],[Data]],2)-WEEKNUM(DATE(YEAR(tbVendasMarco[[#This Row],[Data]]),MONTH(tbVendasMarco[[#This Row],[Data]]),1),2)</f>
        <v>3</v>
      </c>
      <c r="E72" s="8" t="s">
        <v>169</v>
      </c>
      <c r="F72" s="9" t="s">
        <v>170</v>
      </c>
      <c r="G72" s="10" t="s">
        <v>171</v>
      </c>
      <c r="H72" s="5">
        <f>SUMIFS(tbItens[Qtd],tbItens[Nº venda],tbVendasMarco[[#This Row],[Nº]])</f>
        <v>1</v>
      </c>
      <c r="I72" s="24">
        <v>269.89999999999998</v>
      </c>
      <c r="J72" s="5" t="s">
        <v>73</v>
      </c>
      <c r="K72" s="8" t="s">
        <v>20</v>
      </c>
      <c r="L72" s="5" t="s">
        <v>21</v>
      </c>
      <c r="M72" s="5" t="s">
        <v>47</v>
      </c>
    </row>
    <row r="73" spans="1:13" s="8" customFormat="1" ht="15.95">
      <c r="A73" s="5">
        <v>69</v>
      </c>
      <c r="B73" s="6">
        <v>46103</v>
      </c>
      <c r="C73" s="7">
        <v>0.51527777777777772</v>
      </c>
      <c r="D73" s="5">
        <f>WEEKNUM(tbVendasMarco[[#This Row],[Data]],2)-WEEKNUM(DATE(YEAR(tbVendasMarco[[#This Row],[Data]]),MONTH(tbVendasMarco[[#This Row],[Data]]),1),2)</f>
        <v>3</v>
      </c>
      <c r="E73" s="8" t="s">
        <v>172</v>
      </c>
      <c r="F73" s="9" t="s">
        <v>173</v>
      </c>
      <c r="G73" s="10" t="s">
        <v>174</v>
      </c>
      <c r="H73" s="5">
        <f>SUMIFS(tbItens[Qtd],tbItens[Nº venda],tbVendasMarco[[#This Row],[Nº]])</f>
        <v>1</v>
      </c>
      <c r="I73" s="24">
        <v>219.9</v>
      </c>
      <c r="J73" s="5" t="s">
        <v>73</v>
      </c>
      <c r="K73" s="8" t="s">
        <v>20</v>
      </c>
      <c r="L73" s="5" t="s">
        <v>21</v>
      </c>
      <c r="M73" s="5" t="s">
        <v>22</v>
      </c>
    </row>
    <row r="74" spans="1:13" s="8" customFormat="1" ht="32.1">
      <c r="A74" s="5">
        <v>70</v>
      </c>
      <c r="B74" s="6">
        <v>46103</v>
      </c>
      <c r="C74" s="7">
        <v>0.55625000000000002</v>
      </c>
      <c r="D74" s="5">
        <f>WEEKNUM(tbVendasMarco[[#This Row],[Data]],2)-WEEKNUM(DATE(YEAR(tbVendasMarco[[#This Row],[Data]]),MONTH(tbVendasMarco[[#This Row],[Data]]),1),2)</f>
        <v>3</v>
      </c>
      <c r="E74" s="8" t="s">
        <v>28</v>
      </c>
      <c r="F74" s="9" t="s">
        <v>29</v>
      </c>
      <c r="G74" s="10" t="s">
        <v>175</v>
      </c>
      <c r="H74" s="5">
        <f>SUMIFS(tbItens[Qtd],tbItens[Nº venda],tbVendasMarco[[#This Row],[Nº]])</f>
        <v>2</v>
      </c>
      <c r="I74" s="24">
        <v>529.79999999999995</v>
      </c>
      <c r="J74" s="5" t="s">
        <v>46</v>
      </c>
      <c r="K74" s="8" t="s">
        <v>31</v>
      </c>
      <c r="L74" s="5" t="s">
        <v>21</v>
      </c>
      <c r="M74" s="5" t="s">
        <v>22</v>
      </c>
    </row>
    <row r="75" spans="1:13" s="8" customFormat="1" ht="15.95">
      <c r="A75" s="5">
        <v>71</v>
      </c>
      <c r="B75" s="6">
        <v>46103</v>
      </c>
      <c r="C75" s="7">
        <v>0.67638888888888893</v>
      </c>
      <c r="D75" s="5">
        <f>WEEKNUM(tbVendasMarco[[#This Row],[Data]],2)-WEEKNUM(DATE(YEAR(tbVendasMarco[[#This Row],[Data]]),MONTH(tbVendasMarco[[#This Row],[Data]]),1),2)</f>
        <v>3</v>
      </c>
      <c r="E75" s="8" t="s">
        <v>28</v>
      </c>
      <c r="F75" s="9" t="s">
        <v>29</v>
      </c>
      <c r="G75" s="10" t="s">
        <v>176</v>
      </c>
      <c r="H75" s="5">
        <f>SUMIFS(tbItens[Qtd],tbItens[Nº venda],tbVendasMarco[[#This Row],[Nº]])</f>
        <v>2</v>
      </c>
      <c r="I75" s="24">
        <v>579.79999999999995</v>
      </c>
      <c r="J75" s="5" t="s">
        <v>26</v>
      </c>
      <c r="K75" s="8" t="s">
        <v>20</v>
      </c>
      <c r="L75" s="5" t="s">
        <v>21</v>
      </c>
      <c r="M75" s="5" t="s">
        <v>22</v>
      </c>
    </row>
    <row r="76" spans="1:13" s="8" customFormat="1" ht="15.95">
      <c r="A76" s="5">
        <v>72</v>
      </c>
      <c r="B76" s="6">
        <v>46103</v>
      </c>
      <c r="C76" s="7">
        <v>0.76736111111111116</v>
      </c>
      <c r="D76" s="5">
        <f>WEEKNUM(tbVendasMarco[[#This Row],[Data]],2)-WEEKNUM(DATE(YEAR(tbVendasMarco[[#This Row],[Data]]),MONTH(tbVendasMarco[[#This Row],[Data]]),1),2)</f>
        <v>3</v>
      </c>
      <c r="E76" s="8" t="s">
        <v>177</v>
      </c>
      <c r="F76" s="9" t="s">
        <v>178</v>
      </c>
      <c r="G76" s="10" t="s">
        <v>179</v>
      </c>
      <c r="H76" s="5">
        <f>SUMIFS(tbItens[Qtd],tbItens[Nº venda],tbVendasMarco[[#This Row],[Nº]])</f>
        <v>1</v>
      </c>
      <c r="I76" s="24">
        <v>319.89999999999998</v>
      </c>
      <c r="J76" s="5" t="s">
        <v>19</v>
      </c>
      <c r="K76" s="8" t="s">
        <v>41</v>
      </c>
      <c r="L76" s="5" t="s">
        <v>21</v>
      </c>
      <c r="M76" s="5" t="s">
        <v>22</v>
      </c>
    </row>
  </sheetData>
  <conditionalFormatting sqref="A5:N76">
    <cfRule type="expression" dxfId="25" priority="1">
      <formula>$L5&lt;&gt;"Concluída"</formula>
    </cfRule>
  </conditionalFormatting>
  <dataValidations count="4">
    <dataValidation type="list" allowBlank="1" showInputMessage="1" showErrorMessage="1" sqref="J5:J76" xr:uid="{4E7AC45A-B3C7-DA41-8B5F-511409BA7C99}">
      <formula1>"Pix,Crédito,Crédito 2x,Débito,Dinheiro"</formula1>
    </dataValidation>
    <dataValidation type="list" allowBlank="1" showInputMessage="1" showErrorMessage="1" sqref="K5:K76" xr:uid="{087CFFF7-7916-2C46-AE91-E6E33B16DF97}">
      <formula1>"Gustavo,Patrícia W.,Fernanda K."</formula1>
    </dataValidation>
    <dataValidation type="list" allowBlank="1" showInputMessage="1" showErrorMessage="1" sqref="L5:L76" xr:uid="{5D399547-1FFA-8649-AD64-997D83DBB055}">
      <formula1>"Concluída,Cancelada,Estornada"</formula1>
    </dataValidation>
    <dataValidation type="list" allowBlank="1" showInputMessage="1" showErrorMessage="1" sqref="M5:M76" xr:uid="{13B96266-B88F-3947-ADA8-56B8CB52B2C7}">
      <formula1>"Sim,Não"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7773-9D15-E145-9FBA-B333FEF5A82C}">
  <dimension ref="A1:H122"/>
  <sheetViews>
    <sheetView workbookViewId="0">
      <pane ySplit="4" topLeftCell="A25" activePane="bottomLeft" state="frozen"/>
      <selection pane="bottomLeft"/>
    </sheetView>
  </sheetViews>
  <sheetFormatPr defaultColWidth="11.42578125" defaultRowHeight="15"/>
  <cols>
    <col min="1" max="1" width="10" customWidth="1"/>
    <col min="2" max="2" width="12.42578125" customWidth="1"/>
    <col min="3" max="3" width="15" customWidth="1"/>
    <col min="4" max="4" width="33.28515625" customWidth="1"/>
    <col min="5" max="5" width="15" customWidth="1"/>
    <col min="6" max="6" width="10" customWidth="1"/>
    <col min="7" max="7" width="6.7109375" customWidth="1"/>
    <col min="8" max="8" width="12.42578125" customWidth="1"/>
  </cols>
  <sheetData>
    <row r="1" spans="1:8" ht="18.95">
      <c r="A1" s="17" t="s">
        <v>180</v>
      </c>
    </row>
    <row r="2" spans="1:8">
      <c r="A2" s="1" t="s">
        <v>181</v>
      </c>
    </row>
    <row r="4" spans="1:8">
      <c r="A4" s="23" t="s">
        <v>182</v>
      </c>
      <c r="B4" s="23" t="s">
        <v>3</v>
      </c>
      <c r="C4" s="22" t="s">
        <v>183</v>
      </c>
      <c r="D4" s="22" t="s">
        <v>184</v>
      </c>
      <c r="E4" s="22" t="s">
        <v>185</v>
      </c>
      <c r="F4" s="23" t="s">
        <v>186</v>
      </c>
      <c r="G4" s="23" t="s">
        <v>9</v>
      </c>
      <c r="H4" s="23" t="s">
        <v>13</v>
      </c>
    </row>
    <row r="5" spans="1:8">
      <c r="A5" s="2">
        <v>1</v>
      </c>
      <c r="B5" s="3">
        <f>_xlfn.XLOOKUP(tbItens[[#This Row],[Nº venda]],tbVendasMarco[Nº],tbVendasMarco[Data])</f>
        <v>46083</v>
      </c>
      <c r="C5" t="s">
        <v>187</v>
      </c>
      <c r="D5" t="s">
        <v>188</v>
      </c>
      <c r="E5" t="s">
        <v>189</v>
      </c>
      <c r="F5" s="4" t="s">
        <v>190</v>
      </c>
      <c r="G5" s="2">
        <v>1</v>
      </c>
      <c r="H5" s="2" t="str">
        <f>_xlfn.XLOOKUP(tbItens[[#This Row],[Nº venda]],tbVendasMarco[Nº],tbVendasMarco[Status])</f>
        <v>Concluída</v>
      </c>
    </row>
    <row r="6" spans="1:8">
      <c r="A6" s="2">
        <v>2</v>
      </c>
      <c r="B6" s="3">
        <f>_xlfn.XLOOKUP(tbItens[[#This Row],[Nº venda]],tbVendasMarco[Nº],tbVendasMarco[Data])</f>
        <v>46083</v>
      </c>
      <c r="C6" t="s">
        <v>191</v>
      </c>
      <c r="D6" t="s">
        <v>192</v>
      </c>
      <c r="E6" t="s">
        <v>193</v>
      </c>
      <c r="F6" s="4" t="s">
        <v>194</v>
      </c>
      <c r="G6" s="2">
        <v>2</v>
      </c>
      <c r="H6" s="2" t="str">
        <f>_xlfn.XLOOKUP(tbItens[[#This Row],[Nº venda]],tbVendasMarco[Nº],tbVendasMarco[Status])</f>
        <v>Concluída</v>
      </c>
    </row>
    <row r="7" spans="1:8">
      <c r="A7" s="2">
        <v>2</v>
      </c>
      <c r="B7" s="3">
        <f>_xlfn.XLOOKUP(tbItens[[#This Row],[Nº venda]],tbVendasMarco[Nº],tbVendasMarco[Data])</f>
        <v>46083</v>
      </c>
      <c r="C7" t="s">
        <v>195</v>
      </c>
      <c r="D7" t="s">
        <v>196</v>
      </c>
      <c r="E7" t="s">
        <v>197</v>
      </c>
      <c r="F7" s="4" t="s">
        <v>198</v>
      </c>
      <c r="G7" s="2">
        <v>1</v>
      </c>
      <c r="H7" s="2" t="str">
        <f>_xlfn.XLOOKUP(tbItens[[#This Row],[Nº venda]],tbVendasMarco[Nº],tbVendasMarco[Status])</f>
        <v>Concluída</v>
      </c>
    </row>
    <row r="8" spans="1:8">
      <c r="A8" s="2">
        <v>3</v>
      </c>
      <c r="B8" s="3">
        <f>_xlfn.XLOOKUP(tbItens[[#This Row],[Nº venda]],tbVendasMarco[Nº],tbVendasMarco[Data])</f>
        <v>46084</v>
      </c>
      <c r="C8" t="s">
        <v>199</v>
      </c>
      <c r="D8" t="s">
        <v>200</v>
      </c>
      <c r="E8" t="s">
        <v>201</v>
      </c>
      <c r="F8" s="4" t="s">
        <v>202</v>
      </c>
      <c r="G8" s="2">
        <v>1</v>
      </c>
      <c r="H8" s="2" t="str">
        <f>_xlfn.XLOOKUP(tbItens[[#This Row],[Nº venda]],tbVendasMarco[Nº],tbVendasMarco[Status])</f>
        <v>Concluída</v>
      </c>
    </row>
    <row r="9" spans="1:8">
      <c r="A9" s="2">
        <v>4</v>
      </c>
      <c r="B9" s="3">
        <f>_xlfn.XLOOKUP(tbItens[[#This Row],[Nº venda]],tbVendasMarco[Nº],tbVendasMarco[Data])</f>
        <v>46084</v>
      </c>
      <c r="C9" t="s">
        <v>203</v>
      </c>
      <c r="D9" t="s">
        <v>204</v>
      </c>
      <c r="E9" t="s">
        <v>201</v>
      </c>
      <c r="F9" s="4" t="s">
        <v>190</v>
      </c>
      <c r="G9" s="2">
        <v>1</v>
      </c>
      <c r="H9" s="2" t="str">
        <f>_xlfn.XLOOKUP(tbItens[[#This Row],[Nº venda]],tbVendasMarco[Nº],tbVendasMarco[Status])</f>
        <v>Concluída</v>
      </c>
    </row>
    <row r="10" spans="1:8">
      <c r="A10" s="2">
        <v>5</v>
      </c>
      <c r="B10" s="3">
        <f>_xlfn.XLOOKUP(tbItens[[#This Row],[Nº venda]],tbVendasMarco[Nº],tbVendasMarco[Data])</f>
        <v>46085</v>
      </c>
      <c r="C10" t="s">
        <v>205</v>
      </c>
      <c r="D10" t="s">
        <v>206</v>
      </c>
      <c r="E10" t="s">
        <v>193</v>
      </c>
      <c r="F10" s="4" t="s">
        <v>190</v>
      </c>
      <c r="G10" s="2">
        <v>1</v>
      </c>
      <c r="H10" s="2" t="str">
        <f>_xlfn.XLOOKUP(tbItens[[#This Row],[Nº venda]],tbVendasMarco[Nº],tbVendasMarco[Status])</f>
        <v>Concluída</v>
      </c>
    </row>
    <row r="11" spans="1:8">
      <c r="A11" s="2">
        <v>5</v>
      </c>
      <c r="B11" s="3">
        <f>_xlfn.XLOOKUP(tbItens[[#This Row],[Nº venda]],tbVendasMarco[Nº],tbVendasMarco[Data])</f>
        <v>46085</v>
      </c>
      <c r="C11" t="s">
        <v>207</v>
      </c>
      <c r="D11" t="s">
        <v>208</v>
      </c>
      <c r="E11" t="s">
        <v>209</v>
      </c>
      <c r="F11" s="4" t="s">
        <v>210</v>
      </c>
      <c r="G11" s="2">
        <v>1</v>
      </c>
      <c r="H11" s="2" t="str">
        <f>_xlfn.XLOOKUP(tbItens[[#This Row],[Nº venda]],tbVendasMarco[Nº],tbVendasMarco[Status])</f>
        <v>Concluída</v>
      </c>
    </row>
    <row r="12" spans="1:8">
      <c r="A12" s="2">
        <v>5</v>
      </c>
      <c r="B12" s="3">
        <f>_xlfn.XLOOKUP(tbItens[[#This Row],[Nº venda]],tbVendasMarco[Nº],tbVendasMarco[Data])</f>
        <v>46085</v>
      </c>
      <c r="C12" t="s">
        <v>211</v>
      </c>
      <c r="D12" t="s">
        <v>212</v>
      </c>
      <c r="E12" t="s">
        <v>197</v>
      </c>
      <c r="F12" s="4" t="s">
        <v>190</v>
      </c>
      <c r="G12" s="2">
        <v>1</v>
      </c>
      <c r="H12" s="2" t="str">
        <f>_xlfn.XLOOKUP(tbItens[[#This Row],[Nº venda]],tbVendasMarco[Nº],tbVendasMarco[Status])</f>
        <v>Concluída</v>
      </c>
    </row>
    <row r="13" spans="1:8">
      <c r="A13" s="2">
        <v>6</v>
      </c>
      <c r="B13" s="3">
        <f>_xlfn.XLOOKUP(tbItens[[#This Row],[Nº venda]],tbVendasMarco[Nº],tbVendasMarco[Data])</f>
        <v>46085</v>
      </c>
      <c r="C13" t="s">
        <v>213</v>
      </c>
      <c r="D13" t="s">
        <v>214</v>
      </c>
      <c r="E13" t="s">
        <v>201</v>
      </c>
      <c r="F13" s="4" t="s">
        <v>198</v>
      </c>
      <c r="G13" s="2">
        <v>1</v>
      </c>
      <c r="H13" s="2" t="str">
        <f>_xlfn.XLOOKUP(tbItens[[#This Row],[Nº venda]],tbVendasMarco[Nº],tbVendasMarco[Status])</f>
        <v>Concluída</v>
      </c>
    </row>
    <row r="14" spans="1:8">
      <c r="A14" s="2">
        <v>7</v>
      </c>
      <c r="B14" s="3">
        <f>_xlfn.XLOOKUP(tbItens[[#This Row],[Nº venda]],tbVendasMarco[Nº],tbVendasMarco[Data])</f>
        <v>46085</v>
      </c>
      <c r="C14" t="s">
        <v>215</v>
      </c>
      <c r="D14" t="s">
        <v>216</v>
      </c>
      <c r="E14" t="s">
        <v>217</v>
      </c>
      <c r="F14" s="4" t="s">
        <v>218</v>
      </c>
      <c r="G14" s="2">
        <v>1</v>
      </c>
      <c r="H14" s="2" t="str">
        <f>_xlfn.XLOOKUP(tbItens[[#This Row],[Nº venda]],tbVendasMarco[Nº],tbVendasMarco[Status])</f>
        <v>Cancelada</v>
      </c>
    </row>
    <row r="15" spans="1:8">
      <c r="A15" s="2">
        <v>8</v>
      </c>
      <c r="B15" s="3">
        <f>_xlfn.XLOOKUP(tbItens[[#This Row],[Nº venda]],tbVendasMarco[Nº],tbVendasMarco[Data])</f>
        <v>46086</v>
      </c>
      <c r="C15" t="s">
        <v>219</v>
      </c>
      <c r="D15" t="s">
        <v>220</v>
      </c>
      <c r="E15" t="s">
        <v>201</v>
      </c>
      <c r="F15" s="4" t="s">
        <v>221</v>
      </c>
      <c r="G15" s="2">
        <v>1</v>
      </c>
      <c r="H15" s="2" t="str">
        <f>_xlfn.XLOOKUP(tbItens[[#This Row],[Nº venda]],tbVendasMarco[Nº],tbVendasMarco[Status])</f>
        <v>Concluída</v>
      </c>
    </row>
    <row r="16" spans="1:8">
      <c r="A16" s="2">
        <v>8</v>
      </c>
      <c r="B16" s="3">
        <f>_xlfn.XLOOKUP(tbItens[[#This Row],[Nº venda]],tbVendasMarco[Nº],tbVendasMarco[Data])</f>
        <v>46086</v>
      </c>
      <c r="C16" t="s">
        <v>219</v>
      </c>
      <c r="D16" t="s">
        <v>222</v>
      </c>
      <c r="E16" t="s">
        <v>189</v>
      </c>
      <c r="F16" s="4" t="s">
        <v>218</v>
      </c>
      <c r="G16" s="2">
        <v>1</v>
      </c>
      <c r="H16" s="2" t="str">
        <f>_xlfn.XLOOKUP(tbItens[[#This Row],[Nº venda]],tbVendasMarco[Nº],tbVendasMarco[Status])</f>
        <v>Concluída</v>
      </c>
    </row>
    <row r="17" spans="1:8">
      <c r="A17" s="2">
        <v>8</v>
      </c>
      <c r="B17" s="3">
        <f>_xlfn.XLOOKUP(tbItens[[#This Row],[Nº venda]],tbVendasMarco[Nº],tbVendasMarco[Data])</f>
        <v>46086</v>
      </c>
      <c r="C17" t="s">
        <v>223</v>
      </c>
      <c r="D17" t="s">
        <v>224</v>
      </c>
      <c r="E17" t="s">
        <v>225</v>
      </c>
      <c r="F17" s="4" t="s">
        <v>202</v>
      </c>
      <c r="G17" s="2">
        <v>1</v>
      </c>
      <c r="H17" s="2" t="str">
        <f>_xlfn.XLOOKUP(tbItens[[#This Row],[Nº venda]],tbVendasMarco[Nº],tbVendasMarco[Status])</f>
        <v>Concluída</v>
      </c>
    </row>
    <row r="18" spans="1:8">
      <c r="A18" s="2">
        <v>9</v>
      </c>
      <c r="B18" s="3">
        <f>_xlfn.XLOOKUP(tbItens[[#This Row],[Nº venda]],tbVendasMarco[Nº],tbVendasMarco[Data])</f>
        <v>46086</v>
      </c>
      <c r="C18" t="s">
        <v>199</v>
      </c>
      <c r="D18" t="s">
        <v>226</v>
      </c>
      <c r="E18" t="s">
        <v>227</v>
      </c>
      <c r="F18" s="4" t="s">
        <v>210</v>
      </c>
      <c r="G18" s="2">
        <v>1</v>
      </c>
      <c r="H18" s="2" t="str">
        <f>_xlfn.XLOOKUP(tbItens[[#This Row],[Nº venda]],tbVendasMarco[Nº],tbVendasMarco[Status])</f>
        <v>Concluída</v>
      </c>
    </row>
    <row r="19" spans="1:8">
      <c r="A19" s="2">
        <v>9</v>
      </c>
      <c r="B19" s="3">
        <f>_xlfn.XLOOKUP(tbItens[[#This Row],[Nº venda]],tbVendasMarco[Nº],tbVendasMarco[Data])</f>
        <v>46086</v>
      </c>
      <c r="C19" t="s">
        <v>228</v>
      </c>
      <c r="D19" t="s">
        <v>229</v>
      </c>
      <c r="E19" t="s">
        <v>230</v>
      </c>
      <c r="F19" s="4" t="s">
        <v>190</v>
      </c>
      <c r="G19" s="2">
        <v>1</v>
      </c>
      <c r="H19" s="2" t="str">
        <f>_xlfn.XLOOKUP(tbItens[[#This Row],[Nº venda]],tbVendasMarco[Nº],tbVendasMarco[Status])</f>
        <v>Concluída</v>
      </c>
    </row>
    <row r="20" spans="1:8">
      <c r="A20" s="2">
        <v>10</v>
      </c>
      <c r="B20" s="3">
        <f>_xlfn.XLOOKUP(tbItens[[#This Row],[Nº venda]],tbVendasMarco[Nº],tbVendasMarco[Data])</f>
        <v>46086</v>
      </c>
      <c r="C20" t="s">
        <v>195</v>
      </c>
      <c r="D20" t="s">
        <v>231</v>
      </c>
      <c r="E20" t="s">
        <v>232</v>
      </c>
      <c r="F20" s="4" t="s">
        <v>198</v>
      </c>
      <c r="G20" s="2">
        <v>1</v>
      </c>
      <c r="H20" s="2" t="str">
        <f>_xlfn.XLOOKUP(tbItens[[#This Row],[Nº venda]],tbVendasMarco[Nº],tbVendasMarco[Status])</f>
        <v>Concluída</v>
      </c>
    </row>
    <row r="21" spans="1:8">
      <c r="A21" s="2">
        <v>10</v>
      </c>
      <c r="B21" s="3">
        <f>_xlfn.XLOOKUP(tbItens[[#This Row],[Nº venda]],tbVendasMarco[Nº],tbVendasMarco[Data])</f>
        <v>46086</v>
      </c>
      <c r="C21" t="s">
        <v>215</v>
      </c>
      <c r="D21" t="s">
        <v>233</v>
      </c>
      <c r="E21" t="s">
        <v>225</v>
      </c>
      <c r="F21" s="4" t="s">
        <v>234</v>
      </c>
      <c r="G21" s="2">
        <v>1</v>
      </c>
      <c r="H21" s="2" t="str">
        <f>_xlfn.XLOOKUP(tbItens[[#This Row],[Nº venda]],tbVendasMarco[Nº],tbVendasMarco[Status])</f>
        <v>Concluída</v>
      </c>
    </row>
    <row r="22" spans="1:8">
      <c r="A22" s="2">
        <v>10</v>
      </c>
      <c r="B22" s="3">
        <f>_xlfn.XLOOKUP(tbItens[[#This Row],[Nº venda]],tbVendasMarco[Nº],tbVendasMarco[Data])</f>
        <v>46086</v>
      </c>
      <c r="C22" t="s">
        <v>235</v>
      </c>
      <c r="D22" t="s">
        <v>236</v>
      </c>
      <c r="E22" t="s">
        <v>227</v>
      </c>
      <c r="F22" s="4" t="s">
        <v>194</v>
      </c>
      <c r="G22" s="2">
        <v>1</v>
      </c>
      <c r="H22" s="2" t="str">
        <f>_xlfn.XLOOKUP(tbItens[[#This Row],[Nº venda]],tbVendasMarco[Nº],tbVendasMarco[Status])</f>
        <v>Concluída</v>
      </c>
    </row>
    <row r="23" spans="1:8">
      <c r="A23" s="2">
        <v>11</v>
      </c>
      <c r="B23" s="3">
        <f>_xlfn.XLOOKUP(tbItens[[#This Row],[Nº venda]],tbVendasMarco[Nº],tbVendasMarco[Data])</f>
        <v>46086</v>
      </c>
      <c r="C23" t="s">
        <v>195</v>
      </c>
      <c r="D23" t="s">
        <v>237</v>
      </c>
      <c r="E23" t="s">
        <v>238</v>
      </c>
      <c r="F23" s="4" t="s">
        <v>202</v>
      </c>
      <c r="G23" s="2">
        <v>1</v>
      </c>
      <c r="H23" s="2" t="str">
        <f>_xlfn.XLOOKUP(tbItens[[#This Row],[Nº venda]],tbVendasMarco[Nº],tbVendasMarco[Status])</f>
        <v>Concluída</v>
      </c>
    </row>
    <row r="24" spans="1:8">
      <c r="A24" s="2">
        <v>11</v>
      </c>
      <c r="B24" s="3">
        <f>_xlfn.XLOOKUP(tbItens[[#This Row],[Nº venda]],tbVendasMarco[Nº],tbVendasMarco[Data])</f>
        <v>46086</v>
      </c>
      <c r="C24" t="s">
        <v>195</v>
      </c>
      <c r="D24" t="s">
        <v>239</v>
      </c>
      <c r="E24" t="s">
        <v>225</v>
      </c>
      <c r="F24" s="4" t="s">
        <v>190</v>
      </c>
      <c r="G24" s="2">
        <v>1</v>
      </c>
      <c r="H24" s="2" t="str">
        <f>_xlfn.XLOOKUP(tbItens[[#This Row],[Nº venda]],tbVendasMarco[Nº],tbVendasMarco[Status])</f>
        <v>Concluída</v>
      </c>
    </row>
    <row r="25" spans="1:8">
      <c r="A25" s="2">
        <v>12</v>
      </c>
      <c r="B25" s="3">
        <f>_xlfn.XLOOKUP(tbItens[[#This Row],[Nº venda]],tbVendasMarco[Nº],tbVendasMarco[Data])</f>
        <v>46086</v>
      </c>
      <c r="C25" t="s">
        <v>199</v>
      </c>
      <c r="D25" t="s">
        <v>240</v>
      </c>
      <c r="E25" t="s">
        <v>227</v>
      </c>
      <c r="F25" s="4" t="s">
        <v>190</v>
      </c>
      <c r="G25" s="2">
        <v>1</v>
      </c>
      <c r="H25" s="2" t="str">
        <f>_xlfn.XLOOKUP(tbItens[[#This Row],[Nº venda]],tbVendasMarco[Nº],tbVendasMarco[Status])</f>
        <v>Concluída</v>
      </c>
    </row>
    <row r="26" spans="1:8">
      <c r="A26" s="2">
        <v>12</v>
      </c>
      <c r="B26" s="3">
        <f>_xlfn.XLOOKUP(tbItens[[#This Row],[Nº venda]],tbVendasMarco[Nº],tbVendasMarco[Data])</f>
        <v>46086</v>
      </c>
      <c r="C26" t="s">
        <v>207</v>
      </c>
      <c r="D26" t="s">
        <v>241</v>
      </c>
      <c r="E26" t="s">
        <v>201</v>
      </c>
      <c r="F26" s="4" t="s">
        <v>190</v>
      </c>
      <c r="G26" s="2">
        <v>1</v>
      </c>
      <c r="H26" s="2" t="str">
        <f>_xlfn.XLOOKUP(tbItens[[#This Row],[Nº venda]],tbVendasMarco[Nº],tbVendasMarco[Status])</f>
        <v>Concluída</v>
      </c>
    </row>
    <row r="27" spans="1:8">
      <c r="A27" s="2">
        <v>13</v>
      </c>
      <c r="B27" s="3">
        <f>_xlfn.XLOOKUP(tbItens[[#This Row],[Nº venda]],tbVendasMarco[Nº],tbVendasMarco[Data])</f>
        <v>46086</v>
      </c>
      <c r="C27" t="s">
        <v>242</v>
      </c>
      <c r="D27" t="s">
        <v>243</v>
      </c>
      <c r="E27" t="s">
        <v>189</v>
      </c>
      <c r="F27" s="4" t="s">
        <v>190</v>
      </c>
      <c r="G27" s="2">
        <v>2</v>
      </c>
      <c r="H27" s="2" t="str">
        <f>_xlfn.XLOOKUP(tbItens[[#This Row],[Nº venda]],tbVendasMarco[Nº],tbVendasMarco[Status])</f>
        <v>Concluída</v>
      </c>
    </row>
    <row r="28" spans="1:8">
      <c r="A28" s="2">
        <v>13</v>
      </c>
      <c r="B28" s="3">
        <f>_xlfn.XLOOKUP(tbItens[[#This Row],[Nº venda]],tbVendasMarco[Nº],tbVendasMarco[Data])</f>
        <v>46086</v>
      </c>
      <c r="C28" t="s">
        <v>223</v>
      </c>
      <c r="D28" t="s">
        <v>244</v>
      </c>
      <c r="E28" t="s">
        <v>230</v>
      </c>
      <c r="F28" s="4" t="s">
        <v>202</v>
      </c>
      <c r="G28" s="2">
        <v>1</v>
      </c>
      <c r="H28" s="2" t="str">
        <f>_xlfn.XLOOKUP(tbItens[[#This Row],[Nº venda]],tbVendasMarco[Nº],tbVendasMarco[Status])</f>
        <v>Concluída</v>
      </c>
    </row>
    <row r="29" spans="1:8">
      <c r="A29" s="2">
        <v>13</v>
      </c>
      <c r="B29" s="3">
        <f>_xlfn.XLOOKUP(tbItens[[#This Row],[Nº venda]],tbVendasMarco[Nº],tbVendasMarco[Data])</f>
        <v>46086</v>
      </c>
      <c r="C29" t="s">
        <v>195</v>
      </c>
      <c r="D29" t="s">
        <v>245</v>
      </c>
      <c r="E29" t="s">
        <v>209</v>
      </c>
      <c r="F29" s="4" t="s">
        <v>198</v>
      </c>
      <c r="G29" s="2">
        <v>1</v>
      </c>
      <c r="H29" s="2" t="str">
        <f>_xlfn.XLOOKUP(tbItens[[#This Row],[Nº venda]],tbVendasMarco[Nº],tbVendasMarco[Status])</f>
        <v>Concluída</v>
      </c>
    </row>
    <row r="30" spans="1:8">
      <c r="A30" s="2">
        <v>14</v>
      </c>
      <c r="B30" s="3">
        <f>_xlfn.XLOOKUP(tbItens[[#This Row],[Nº venda]],tbVendasMarco[Nº],tbVendasMarco[Data])</f>
        <v>46086</v>
      </c>
      <c r="C30" t="s">
        <v>219</v>
      </c>
      <c r="D30" t="s">
        <v>222</v>
      </c>
      <c r="E30" t="s">
        <v>189</v>
      </c>
      <c r="F30" s="4" t="s">
        <v>246</v>
      </c>
      <c r="G30" s="2">
        <v>1</v>
      </c>
      <c r="H30" s="2" t="str">
        <f>_xlfn.XLOOKUP(tbItens[[#This Row],[Nº venda]],tbVendasMarco[Nº],tbVendasMarco[Status])</f>
        <v>Concluída</v>
      </c>
    </row>
    <row r="31" spans="1:8">
      <c r="A31" s="2">
        <v>15</v>
      </c>
      <c r="B31" s="3">
        <f>_xlfn.XLOOKUP(tbItens[[#This Row],[Nº venda]],tbVendasMarco[Nº],tbVendasMarco[Data])</f>
        <v>46086</v>
      </c>
      <c r="C31" t="s">
        <v>215</v>
      </c>
      <c r="D31" t="s">
        <v>247</v>
      </c>
      <c r="E31" t="s">
        <v>217</v>
      </c>
      <c r="F31" s="4" t="s">
        <v>218</v>
      </c>
      <c r="G31" s="2">
        <v>1</v>
      </c>
      <c r="H31" s="2" t="str">
        <f>_xlfn.XLOOKUP(tbItens[[#This Row],[Nº venda]],tbVendasMarco[Nº],tbVendasMarco[Status])</f>
        <v>Concluída</v>
      </c>
    </row>
    <row r="32" spans="1:8">
      <c r="A32" s="2">
        <v>16</v>
      </c>
      <c r="B32" s="3">
        <f>_xlfn.XLOOKUP(tbItens[[#This Row],[Nº venda]],tbVendasMarco[Nº],tbVendasMarco[Data])</f>
        <v>46087</v>
      </c>
      <c r="C32" t="s">
        <v>215</v>
      </c>
      <c r="D32" t="s">
        <v>233</v>
      </c>
      <c r="E32" t="s">
        <v>225</v>
      </c>
      <c r="F32" s="4" t="s">
        <v>218</v>
      </c>
      <c r="G32" s="2">
        <v>1</v>
      </c>
      <c r="H32" s="2" t="str">
        <f>_xlfn.XLOOKUP(tbItens[[#This Row],[Nº venda]],tbVendasMarco[Nº],tbVendasMarco[Status])</f>
        <v>Concluída</v>
      </c>
    </row>
    <row r="33" spans="1:8">
      <c r="A33" s="2">
        <v>17</v>
      </c>
      <c r="B33" s="3">
        <f>_xlfn.XLOOKUP(tbItens[[#This Row],[Nº venda]],tbVendasMarco[Nº],tbVendasMarco[Data])</f>
        <v>46087</v>
      </c>
      <c r="C33" t="s">
        <v>242</v>
      </c>
      <c r="D33" t="s">
        <v>248</v>
      </c>
      <c r="E33" t="s">
        <v>217</v>
      </c>
      <c r="F33" s="4" t="s">
        <v>198</v>
      </c>
      <c r="G33" s="2">
        <v>1</v>
      </c>
      <c r="H33" s="2" t="str">
        <f>_xlfn.XLOOKUP(tbItens[[#This Row],[Nº venda]],tbVendasMarco[Nº],tbVendasMarco[Status])</f>
        <v>Concluída</v>
      </c>
    </row>
    <row r="34" spans="1:8">
      <c r="A34" s="2">
        <v>17</v>
      </c>
      <c r="B34" s="3">
        <f>_xlfn.XLOOKUP(tbItens[[#This Row],[Nº venda]],tbVendasMarco[Nº],tbVendasMarco[Data])</f>
        <v>46087</v>
      </c>
      <c r="C34" t="s">
        <v>205</v>
      </c>
      <c r="D34" t="s">
        <v>206</v>
      </c>
      <c r="E34" t="s">
        <v>193</v>
      </c>
      <c r="F34" s="4" t="s">
        <v>202</v>
      </c>
      <c r="G34" s="2">
        <v>1</v>
      </c>
      <c r="H34" s="2" t="str">
        <f>_xlfn.XLOOKUP(tbItens[[#This Row],[Nº venda]],tbVendasMarco[Nº],tbVendasMarco[Status])</f>
        <v>Concluída</v>
      </c>
    </row>
    <row r="35" spans="1:8">
      <c r="A35" s="2">
        <v>18</v>
      </c>
      <c r="B35" s="3">
        <f>_xlfn.XLOOKUP(tbItens[[#This Row],[Nº venda]],tbVendasMarco[Nº],tbVendasMarco[Data])</f>
        <v>46087</v>
      </c>
      <c r="C35" t="s">
        <v>187</v>
      </c>
      <c r="D35" t="s">
        <v>188</v>
      </c>
      <c r="E35" t="s">
        <v>189</v>
      </c>
      <c r="F35" s="4" t="s">
        <v>198</v>
      </c>
      <c r="G35" s="2">
        <v>1</v>
      </c>
      <c r="H35" s="2" t="str">
        <f>_xlfn.XLOOKUP(tbItens[[#This Row],[Nº venda]],tbVendasMarco[Nº],tbVendasMarco[Status])</f>
        <v>Concluída</v>
      </c>
    </row>
    <row r="36" spans="1:8">
      <c r="A36" s="2">
        <v>19</v>
      </c>
      <c r="B36" s="3">
        <f>_xlfn.XLOOKUP(tbItens[[#This Row],[Nº venda]],tbVendasMarco[Nº],tbVendasMarco[Data])</f>
        <v>46087</v>
      </c>
      <c r="C36" t="s">
        <v>187</v>
      </c>
      <c r="D36" t="s">
        <v>188</v>
      </c>
      <c r="E36" t="s">
        <v>230</v>
      </c>
      <c r="F36" s="4" t="s">
        <v>198</v>
      </c>
      <c r="G36" s="2">
        <v>1</v>
      </c>
      <c r="H36" s="2" t="str">
        <f>_xlfn.XLOOKUP(tbItens[[#This Row],[Nº venda]],tbVendasMarco[Nº],tbVendasMarco[Status])</f>
        <v>Concluída</v>
      </c>
    </row>
    <row r="37" spans="1:8">
      <c r="A37" s="2">
        <v>19</v>
      </c>
      <c r="B37" s="3">
        <f>_xlfn.XLOOKUP(tbItens[[#This Row],[Nº venda]],tbVendasMarco[Nº],tbVendasMarco[Data])</f>
        <v>46087</v>
      </c>
      <c r="C37" t="s">
        <v>213</v>
      </c>
      <c r="D37" t="s">
        <v>214</v>
      </c>
      <c r="E37" t="s">
        <v>201</v>
      </c>
      <c r="F37" s="4" t="s">
        <v>198</v>
      </c>
      <c r="G37" s="2">
        <v>1</v>
      </c>
      <c r="H37" s="2" t="str">
        <f>_xlfn.XLOOKUP(tbItens[[#This Row],[Nº venda]],tbVendasMarco[Nº],tbVendasMarco[Status])</f>
        <v>Concluída</v>
      </c>
    </row>
    <row r="38" spans="1:8">
      <c r="A38" s="2">
        <v>20</v>
      </c>
      <c r="B38" s="3">
        <f>_xlfn.XLOOKUP(tbItens[[#This Row],[Nº venda]],tbVendasMarco[Nº],tbVendasMarco[Data])</f>
        <v>46088</v>
      </c>
      <c r="C38" t="s">
        <v>215</v>
      </c>
      <c r="D38" t="s">
        <v>247</v>
      </c>
      <c r="E38" t="s">
        <v>217</v>
      </c>
      <c r="F38" s="4" t="s">
        <v>218</v>
      </c>
      <c r="G38" s="2">
        <v>1</v>
      </c>
      <c r="H38" s="2" t="str">
        <f>_xlfn.XLOOKUP(tbItens[[#This Row],[Nº venda]],tbVendasMarco[Nº],tbVendasMarco[Status])</f>
        <v>Estornada</v>
      </c>
    </row>
    <row r="39" spans="1:8">
      <c r="A39" s="2">
        <v>21</v>
      </c>
      <c r="B39" s="3">
        <f>_xlfn.XLOOKUP(tbItens[[#This Row],[Nº venda]],tbVendasMarco[Nº],tbVendasMarco[Data])</f>
        <v>46088</v>
      </c>
      <c r="C39" t="s">
        <v>199</v>
      </c>
      <c r="D39" t="s">
        <v>249</v>
      </c>
      <c r="E39" t="s">
        <v>225</v>
      </c>
      <c r="F39" s="4" t="s">
        <v>190</v>
      </c>
      <c r="G39" s="2">
        <v>2</v>
      </c>
      <c r="H39" s="2" t="str">
        <f>_xlfn.XLOOKUP(tbItens[[#This Row],[Nº venda]],tbVendasMarco[Nº],tbVendasMarco[Status])</f>
        <v>Concluída</v>
      </c>
    </row>
    <row r="40" spans="1:8">
      <c r="A40" s="2">
        <v>22</v>
      </c>
      <c r="B40" s="3">
        <f>_xlfn.XLOOKUP(tbItens[[#This Row],[Nº venda]],tbVendasMarco[Nº],tbVendasMarco[Data])</f>
        <v>46088</v>
      </c>
      <c r="C40" t="s">
        <v>187</v>
      </c>
      <c r="D40" t="s">
        <v>188</v>
      </c>
      <c r="E40" t="s">
        <v>189</v>
      </c>
      <c r="F40" s="4" t="s">
        <v>210</v>
      </c>
      <c r="G40" s="2">
        <v>1</v>
      </c>
      <c r="H40" s="2" t="str">
        <f>_xlfn.XLOOKUP(tbItens[[#This Row],[Nº venda]],tbVendasMarco[Nº],tbVendasMarco[Status])</f>
        <v>Concluída</v>
      </c>
    </row>
    <row r="41" spans="1:8">
      <c r="A41" s="2">
        <v>23</v>
      </c>
      <c r="B41" s="3">
        <f>_xlfn.XLOOKUP(tbItens[[#This Row],[Nº venda]],tbVendasMarco[Nº],tbVendasMarco[Data])</f>
        <v>46088</v>
      </c>
      <c r="C41" t="s">
        <v>250</v>
      </c>
      <c r="D41" t="s">
        <v>251</v>
      </c>
      <c r="E41" t="s">
        <v>238</v>
      </c>
      <c r="F41" s="4" t="s">
        <v>234</v>
      </c>
      <c r="G41" s="2">
        <v>2</v>
      </c>
      <c r="H41" s="2" t="str">
        <f>_xlfn.XLOOKUP(tbItens[[#This Row],[Nº venda]],tbVendasMarco[Nº],tbVendasMarco[Status])</f>
        <v>Concluída</v>
      </c>
    </row>
    <row r="42" spans="1:8">
      <c r="A42" s="2">
        <v>23</v>
      </c>
      <c r="B42" s="3">
        <f>_xlfn.XLOOKUP(tbItens[[#This Row],[Nº venda]],tbVendasMarco[Nº],tbVendasMarco[Data])</f>
        <v>46088</v>
      </c>
      <c r="C42" t="s">
        <v>223</v>
      </c>
      <c r="D42" t="s">
        <v>244</v>
      </c>
      <c r="E42" t="s">
        <v>230</v>
      </c>
      <c r="F42" s="4" t="s">
        <v>190</v>
      </c>
      <c r="G42" s="2">
        <v>1</v>
      </c>
      <c r="H42" s="2" t="str">
        <f>_xlfn.XLOOKUP(tbItens[[#This Row],[Nº venda]],tbVendasMarco[Nº],tbVendasMarco[Status])</f>
        <v>Concluída</v>
      </c>
    </row>
    <row r="43" spans="1:8">
      <c r="A43" s="2">
        <v>24</v>
      </c>
      <c r="B43" s="3">
        <f>_xlfn.XLOOKUP(tbItens[[#This Row],[Nº venda]],tbVendasMarco[Nº],tbVendasMarco[Data])</f>
        <v>46089</v>
      </c>
      <c r="C43" t="s">
        <v>223</v>
      </c>
      <c r="D43" t="s">
        <v>252</v>
      </c>
      <c r="E43" t="s">
        <v>189</v>
      </c>
      <c r="F43" s="4" t="s">
        <v>202</v>
      </c>
      <c r="G43" s="2">
        <v>1</v>
      </c>
      <c r="H43" s="2" t="str">
        <f>_xlfn.XLOOKUP(tbItens[[#This Row],[Nº venda]],tbVendasMarco[Nº],tbVendasMarco[Status])</f>
        <v>Concluída</v>
      </c>
    </row>
    <row r="44" spans="1:8">
      <c r="A44" s="2">
        <v>24</v>
      </c>
      <c r="B44" s="3">
        <f>_xlfn.XLOOKUP(tbItens[[#This Row],[Nº venda]],tbVendasMarco[Nº],tbVendasMarco[Data])</f>
        <v>46089</v>
      </c>
      <c r="C44" t="s">
        <v>215</v>
      </c>
      <c r="D44" t="s">
        <v>253</v>
      </c>
      <c r="E44" t="s">
        <v>227</v>
      </c>
      <c r="F44" s="4" t="s">
        <v>234</v>
      </c>
      <c r="G44" s="2">
        <v>1</v>
      </c>
      <c r="H44" s="2" t="str">
        <f>_xlfn.XLOOKUP(tbItens[[#This Row],[Nº venda]],tbVendasMarco[Nº],tbVendasMarco[Status])</f>
        <v>Concluída</v>
      </c>
    </row>
    <row r="45" spans="1:8">
      <c r="A45" s="2">
        <v>25</v>
      </c>
      <c r="B45" s="3">
        <f>_xlfn.XLOOKUP(tbItens[[#This Row],[Nº venda]],tbVendasMarco[Nº],tbVendasMarco[Data])</f>
        <v>46089</v>
      </c>
      <c r="C45" t="s">
        <v>215</v>
      </c>
      <c r="D45" t="s">
        <v>254</v>
      </c>
      <c r="E45" t="s">
        <v>197</v>
      </c>
      <c r="F45" s="4" t="s">
        <v>218</v>
      </c>
      <c r="G45" s="2">
        <v>1</v>
      </c>
      <c r="H45" s="2" t="str">
        <f>_xlfn.XLOOKUP(tbItens[[#This Row],[Nº venda]],tbVendasMarco[Nº],tbVendasMarco[Status])</f>
        <v>Estornada</v>
      </c>
    </row>
    <row r="46" spans="1:8">
      <c r="A46" s="2">
        <v>26</v>
      </c>
      <c r="B46" s="3">
        <f>_xlfn.XLOOKUP(tbItens[[#This Row],[Nº venda]],tbVendasMarco[Nº],tbVendasMarco[Data])</f>
        <v>46089</v>
      </c>
      <c r="C46" t="s">
        <v>215</v>
      </c>
      <c r="D46" t="s">
        <v>247</v>
      </c>
      <c r="E46" t="s">
        <v>217</v>
      </c>
      <c r="F46" s="4" t="s">
        <v>255</v>
      </c>
      <c r="G46" s="2">
        <v>2</v>
      </c>
      <c r="H46" s="2" t="str">
        <f>_xlfn.XLOOKUP(tbItens[[#This Row],[Nº venda]],tbVendasMarco[Nº],tbVendasMarco[Status])</f>
        <v>Concluída</v>
      </c>
    </row>
    <row r="47" spans="1:8">
      <c r="A47" s="2">
        <v>26</v>
      </c>
      <c r="B47" s="3">
        <f>_xlfn.XLOOKUP(tbItens[[#This Row],[Nº venda]],tbVendasMarco[Nº],tbVendasMarco[Data])</f>
        <v>46089</v>
      </c>
      <c r="C47" t="s">
        <v>195</v>
      </c>
      <c r="D47" t="s">
        <v>256</v>
      </c>
      <c r="E47" t="s">
        <v>232</v>
      </c>
      <c r="F47" s="4" t="s">
        <v>190</v>
      </c>
      <c r="G47" s="2">
        <v>1</v>
      </c>
      <c r="H47" s="2" t="str">
        <f>_xlfn.XLOOKUP(tbItens[[#This Row],[Nº venda]],tbVendasMarco[Nº],tbVendasMarco[Status])</f>
        <v>Concluída</v>
      </c>
    </row>
    <row r="48" spans="1:8">
      <c r="A48" s="2">
        <v>26</v>
      </c>
      <c r="B48" s="3">
        <f>_xlfn.XLOOKUP(tbItens[[#This Row],[Nº venda]],tbVendasMarco[Nº],tbVendasMarco[Data])</f>
        <v>46089</v>
      </c>
      <c r="C48" t="s">
        <v>215</v>
      </c>
      <c r="D48" t="s">
        <v>257</v>
      </c>
      <c r="E48" t="s">
        <v>217</v>
      </c>
      <c r="F48" s="4" t="s">
        <v>218</v>
      </c>
      <c r="G48" s="2">
        <v>1</v>
      </c>
      <c r="H48" s="2" t="str">
        <f>_xlfn.XLOOKUP(tbItens[[#This Row],[Nº venda]],tbVendasMarco[Nº],tbVendasMarco[Status])</f>
        <v>Concluída</v>
      </c>
    </row>
    <row r="49" spans="1:8">
      <c r="A49" s="2">
        <v>27</v>
      </c>
      <c r="B49" s="3">
        <f>_xlfn.XLOOKUP(tbItens[[#This Row],[Nº venda]],tbVendasMarco[Nº],tbVendasMarco[Data])</f>
        <v>46089</v>
      </c>
      <c r="C49" t="s">
        <v>258</v>
      </c>
      <c r="D49" t="s">
        <v>259</v>
      </c>
      <c r="E49" t="s">
        <v>260</v>
      </c>
      <c r="F49" s="4" t="s">
        <v>190</v>
      </c>
      <c r="G49" s="2">
        <v>1</v>
      </c>
      <c r="H49" s="2" t="str">
        <f>_xlfn.XLOOKUP(tbItens[[#This Row],[Nº venda]],tbVendasMarco[Nº],tbVendasMarco[Status])</f>
        <v>Concluída</v>
      </c>
    </row>
    <row r="50" spans="1:8">
      <c r="A50" s="2">
        <v>28</v>
      </c>
      <c r="B50" s="3">
        <f>_xlfn.XLOOKUP(tbItens[[#This Row],[Nº venda]],tbVendasMarco[Nº],tbVendasMarco[Data])</f>
        <v>46091</v>
      </c>
      <c r="C50" t="s">
        <v>187</v>
      </c>
      <c r="D50" t="s">
        <v>261</v>
      </c>
      <c r="E50" t="s">
        <v>227</v>
      </c>
      <c r="F50" s="4" t="s">
        <v>198</v>
      </c>
      <c r="G50" s="2">
        <v>1</v>
      </c>
      <c r="H50" s="2" t="str">
        <f>_xlfn.XLOOKUP(tbItens[[#This Row],[Nº venda]],tbVendasMarco[Nº],tbVendasMarco[Status])</f>
        <v>Concluída</v>
      </c>
    </row>
    <row r="51" spans="1:8">
      <c r="A51" s="2">
        <v>28</v>
      </c>
      <c r="B51" s="3">
        <f>_xlfn.XLOOKUP(tbItens[[#This Row],[Nº venda]],tbVendasMarco[Nº],tbVendasMarco[Data])</f>
        <v>46091</v>
      </c>
      <c r="C51" t="s">
        <v>187</v>
      </c>
      <c r="D51" t="s">
        <v>262</v>
      </c>
      <c r="E51" t="s">
        <v>227</v>
      </c>
      <c r="F51" s="4" t="s">
        <v>202</v>
      </c>
      <c r="G51" s="2">
        <v>1</v>
      </c>
      <c r="H51" s="2" t="str">
        <f>_xlfn.XLOOKUP(tbItens[[#This Row],[Nº venda]],tbVendasMarco[Nº],tbVendasMarco[Status])</f>
        <v>Concluída</v>
      </c>
    </row>
    <row r="52" spans="1:8">
      <c r="A52" s="2">
        <v>29</v>
      </c>
      <c r="B52" s="3">
        <f>_xlfn.XLOOKUP(tbItens[[#This Row],[Nº venda]],tbVendasMarco[Nº],tbVendasMarco[Data])</f>
        <v>46091</v>
      </c>
      <c r="C52" t="s">
        <v>213</v>
      </c>
      <c r="D52" t="s">
        <v>214</v>
      </c>
      <c r="E52" t="s">
        <v>201</v>
      </c>
      <c r="F52" s="4" t="s">
        <v>210</v>
      </c>
      <c r="G52" s="2">
        <v>1</v>
      </c>
      <c r="H52" s="2" t="str">
        <f>_xlfn.XLOOKUP(tbItens[[#This Row],[Nº venda]],tbVendasMarco[Nº],tbVendasMarco[Status])</f>
        <v>Concluída</v>
      </c>
    </row>
    <row r="53" spans="1:8">
      <c r="A53" s="2">
        <v>30</v>
      </c>
      <c r="B53" s="3">
        <f>_xlfn.XLOOKUP(tbItens[[#This Row],[Nº venda]],tbVendasMarco[Nº],tbVendasMarco[Data])</f>
        <v>46091</v>
      </c>
      <c r="C53" t="s">
        <v>213</v>
      </c>
      <c r="D53" t="s">
        <v>263</v>
      </c>
      <c r="E53" t="s">
        <v>232</v>
      </c>
      <c r="F53" s="4" t="s">
        <v>198</v>
      </c>
      <c r="G53" s="2">
        <v>1</v>
      </c>
      <c r="H53" s="2" t="str">
        <f>_xlfn.XLOOKUP(tbItens[[#This Row],[Nº venda]],tbVendasMarco[Nº],tbVendasMarco[Status])</f>
        <v>Concluída</v>
      </c>
    </row>
    <row r="54" spans="1:8">
      <c r="A54" s="2">
        <v>30</v>
      </c>
      <c r="B54" s="3">
        <f>_xlfn.XLOOKUP(tbItens[[#This Row],[Nº venda]],tbVendasMarco[Nº],tbVendasMarco[Data])</f>
        <v>46091</v>
      </c>
      <c r="C54" t="s">
        <v>213</v>
      </c>
      <c r="D54" t="s">
        <v>264</v>
      </c>
      <c r="E54" t="s">
        <v>209</v>
      </c>
      <c r="F54" s="4" t="s">
        <v>198</v>
      </c>
      <c r="G54" s="2">
        <v>1</v>
      </c>
      <c r="H54" s="2" t="str">
        <f>_xlfn.XLOOKUP(tbItens[[#This Row],[Nº venda]],tbVendasMarco[Nº],tbVendasMarco[Status])</f>
        <v>Concluída</v>
      </c>
    </row>
    <row r="55" spans="1:8">
      <c r="A55" s="2">
        <v>31</v>
      </c>
      <c r="B55" s="3">
        <f>_xlfn.XLOOKUP(tbItens[[#This Row],[Nº venda]],tbVendasMarco[Nº],tbVendasMarco[Data])</f>
        <v>46091</v>
      </c>
      <c r="C55" t="s">
        <v>215</v>
      </c>
      <c r="D55" t="s">
        <v>247</v>
      </c>
      <c r="E55" t="s">
        <v>217</v>
      </c>
      <c r="F55" s="4" t="s">
        <v>218</v>
      </c>
      <c r="G55" s="2">
        <v>1</v>
      </c>
      <c r="H55" s="2" t="str">
        <f>_xlfn.XLOOKUP(tbItens[[#This Row],[Nº venda]],tbVendasMarco[Nº],tbVendasMarco[Status])</f>
        <v>Concluída</v>
      </c>
    </row>
    <row r="56" spans="1:8">
      <c r="A56" s="2">
        <v>32</v>
      </c>
      <c r="B56" s="3">
        <f>_xlfn.XLOOKUP(tbItens[[#This Row],[Nº venda]],tbVendasMarco[Nº],tbVendasMarco[Data])</f>
        <v>46091</v>
      </c>
      <c r="C56" t="s">
        <v>195</v>
      </c>
      <c r="D56" t="s">
        <v>265</v>
      </c>
      <c r="E56" t="s">
        <v>193</v>
      </c>
      <c r="F56" s="4" t="s">
        <v>198</v>
      </c>
      <c r="G56" s="2">
        <v>1</v>
      </c>
      <c r="H56" s="2" t="str">
        <f>_xlfn.XLOOKUP(tbItens[[#This Row],[Nº venda]],tbVendasMarco[Nº],tbVendasMarco[Status])</f>
        <v>Concluída</v>
      </c>
    </row>
    <row r="57" spans="1:8">
      <c r="A57" s="2">
        <v>33</v>
      </c>
      <c r="B57" s="3">
        <f>_xlfn.XLOOKUP(tbItens[[#This Row],[Nº venda]],tbVendasMarco[Nº],tbVendasMarco[Data])</f>
        <v>46091</v>
      </c>
      <c r="C57" t="s">
        <v>195</v>
      </c>
      <c r="D57" t="s">
        <v>245</v>
      </c>
      <c r="E57" t="s">
        <v>209</v>
      </c>
      <c r="F57" s="4" t="s">
        <v>202</v>
      </c>
      <c r="G57" s="2">
        <v>1</v>
      </c>
      <c r="H57" s="2" t="str">
        <f>_xlfn.XLOOKUP(tbItens[[#This Row],[Nº venda]],tbVendasMarco[Nº],tbVendasMarco[Status])</f>
        <v>Concluída</v>
      </c>
    </row>
    <row r="58" spans="1:8">
      <c r="A58" s="2">
        <v>34</v>
      </c>
      <c r="B58" s="3">
        <f>_xlfn.XLOOKUP(tbItens[[#This Row],[Nº venda]],tbVendasMarco[Nº],tbVendasMarco[Data])</f>
        <v>46091</v>
      </c>
      <c r="C58" t="s">
        <v>266</v>
      </c>
      <c r="D58" t="s">
        <v>267</v>
      </c>
      <c r="E58" t="s">
        <v>227</v>
      </c>
      <c r="F58" s="4" t="s">
        <v>190</v>
      </c>
      <c r="G58" s="2">
        <v>1</v>
      </c>
      <c r="H58" s="2" t="str">
        <f>_xlfn.XLOOKUP(tbItens[[#This Row],[Nº venda]],tbVendasMarco[Nº],tbVendasMarco[Status])</f>
        <v>Concluída</v>
      </c>
    </row>
    <row r="59" spans="1:8">
      <c r="A59" s="2">
        <v>34</v>
      </c>
      <c r="B59" s="3">
        <f>_xlfn.XLOOKUP(tbItens[[#This Row],[Nº venda]],tbVendasMarco[Nº],tbVendasMarco[Data])</f>
        <v>46091</v>
      </c>
      <c r="C59" t="s">
        <v>213</v>
      </c>
      <c r="D59" t="s">
        <v>268</v>
      </c>
      <c r="E59" t="s">
        <v>230</v>
      </c>
      <c r="F59" s="4" t="s">
        <v>190</v>
      </c>
      <c r="G59" s="2">
        <v>1</v>
      </c>
      <c r="H59" s="2" t="str">
        <f>_xlfn.XLOOKUP(tbItens[[#This Row],[Nº venda]],tbVendasMarco[Nº],tbVendasMarco[Status])</f>
        <v>Concluída</v>
      </c>
    </row>
    <row r="60" spans="1:8">
      <c r="A60" s="2">
        <v>34</v>
      </c>
      <c r="B60" s="3">
        <f>_xlfn.XLOOKUP(tbItens[[#This Row],[Nº venda]],tbVendasMarco[Nº],tbVendasMarco[Data])</f>
        <v>46091</v>
      </c>
      <c r="C60" t="s">
        <v>223</v>
      </c>
      <c r="D60" t="s">
        <v>224</v>
      </c>
      <c r="E60" t="s">
        <v>225</v>
      </c>
      <c r="F60" s="4" t="s">
        <v>190</v>
      </c>
      <c r="G60" s="2">
        <v>1</v>
      </c>
      <c r="H60" s="2" t="str">
        <f>_xlfn.XLOOKUP(tbItens[[#This Row],[Nº venda]],tbVendasMarco[Nº],tbVendasMarco[Status])</f>
        <v>Concluída</v>
      </c>
    </row>
    <row r="61" spans="1:8">
      <c r="A61" s="2">
        <v>35</v>
      </c>
      <c r="B61" s="3">
        <f>_xlfn.XLOOKUP(tbItens[[#This Row],[Nº venda]],tbVendasMarco[Nº],tbVendasMarco[Data])</f>
        <v>46092</v>
      </c>
      <c r="C61" t="s">
        <v>269</v>
      </c>
      <c r="D61" t="s">
        <v>270</v>
      </c>
      <c r="E61" t="s">
        <v>193</v>
      </c>
      <c r="F61" s="4" t="s">
        <v>198</v>
      </c>
      <c r="G61" s="2">
        <v>1</v>
      </c>
      <c r="H61" s="2" t="str">
        <f>_xlfn.XLOOKUP(tbItens[[#This Row],[Nº venda]],tbVendasMarco[Nº],tbVendasMarco[Status])</f>
        <v>Concluída</v>
      </c>
    </row>
    <row r="62" spans="1:8">
      <c r="A62" s="2">
        <v>35</v>
      </c>
      <c r="B62" s="3">
        <f>_xlfn.XLOOKUP(tbItens[[#This Row],[Nº venda]],tbVendasMarco[Nº],tbVendasMarco[Data])</f>
        <v>46092</v>
      </c>
      <c r="C62" t="s">
        <v>242</v>
      </c>
      <c r="D62" t="s">
        <v>271</v>
      </c>
      <c r="E62" t="s">
        <v>232</v>
      </c>
      <c r="F62" s="4" t="s">
        <v>202</v>
      </c>
      <c r="G62" s="2">
        <v>1</v>
      </c>
      <c r="H62" s="2" t="str">
        <f>_xlfn.XLOOKUP(tbItens[[#This Row],[Nº venda]],tbVendasMarco[Nº],tbVendasMarco[Status])</f>
        <v>Concluída</v>
      </c>
    </row>
    <row r="63" spans="1:8">
      <c r="A63" s="2">
        <v>36</v>
      </c>
      <c r="B63" s="3">
        <f>_xlfn.XLOOKUP(tbItens[[#This Row],[Nº venda]],tbVendasMarco[Nº],tbVendasMarco[Data])</f>
        <v>46093</v>
      </c>
      <c r="C63" t="s">
        <v>250</v>
      </c>
      <c r="D63" t="s">
        <v>272</v>
      </c>
      <c r="E63" t="s">
        <v>273</v>
      </c>
      <c r="F63" s="4" t="s">
        <v>218</v>
      </c>
      <c r="G63" s="2">
        <v>1</v>
      </c>
      <c r="H63" s="2" t="str">
        <f>_xlfn.XLOOKUP(tbItens[[#This Row],[Nº venda]],tbVendasMarco[Nº],tbVendasMarco[Status])</f>
        <v>Concluída</v>
      </c>
    </row>
    <row r="64" spans="1:8">
      <c r="A64" s="2">
        <v>37</v>
      </c>
      <c r="B64" s="3">
        <f>_xlfn.XLOOKUP(tbItens[[#This Row],[Nº venda]],tbVendasMarco[Nº],tbVendasMarco[Data])</f>
        <v>46093</v>
      </c>
      <c r="C64" t="s">
        <v>195</v>
      </c>
      <c r="D64" t="s">
        <v>239</v>
      </c>
      <c r="E64" t="s">
        <v>225</v>
      </c>
      <c r="F64" s="4" t="s">
        <v>190</v>
      </c>
      <c r="G64" s="2">
        <v>1</v>
      </c>
      <c r="H64" s="2" t="str">
        <f>_xlfn.XLOOKUP(tbItens[[#This Row],[Nº venda]],tbVendasMarco[Nº],tbVendasMarco[Status])</f>
        <v>Concluída</v>
      </c>
    </row>
    <row r="65" spans="1:8">
      <c r="A65" s="2">
        <v>37</v>
      </c>
      <c r="B65" s="3">
        <f>_xlfn.XLOOKUP(tbItens[[#This Row],[Nº venda]],tbVendasMarco[Nº],tbVendasMarco[Data])</f>
        <v>46093</v>
      </c>
      <c r="C65" t="s">
        <v>223</v>
      </c>
      <c r="D65" t="s">
        <v>244</v>
      </c>
      <c r="E65" t="s">
        <v>225</v>
      </c>
      <c r="F65" s="4" t="s">
        <v>210</v>
      </c>
      <c r="G65" s="2">
        <v>1</v>
      </c>
      <c r="H65" s="2" t="str">
        <f>_xlfn.XLOOKUP(tbItens[[#This Row],[Nº venda]],tbVendasMarco[Nº],tbVendasMarco[Status])</f>
        <v>Concluída</v>
      </c>
    </row>
    <row r="66" spans="1:8">
      <c r="A66" s="2">
        <v>38</v>
      </c>
      <c r="B66" s="3">
        <f>_xlfn.XLOOKUP(tbItens[[#This Row],[Nº venda]],tbVendasMarco[Nº],tbVendasMarco[Data])</f>
        <v>46093</v>
      </c>
      <c r="C66" t="s">
        <v>213</v>
      </c>
      <c r="D66" t="s">
        <v>274</v>
      </c>
      <c r="E66" t="s">
        <v>217</v>
      </c>
      <c r="F66" s="4" t="s">
        <v>198</v>
      </c>
      <c r="G66" s="2">
        <v>2</v>
      </c>
      <c r="H66" s="2" t="str">
        <f>_xlfn.XLOOKUP(tbItens[[#This Row],[Nº venda]],tbVendasMarco[Nº],tbVendasMarco[Status])</f>
        <v>Concluída</v>
      </c>
    </row>
    <row r="67" spans="1:8">
      <c r="A67" s="2">
        <v>39</v>
      </c>
      <c r="B67" s="3">
        <f>_xlfn.XLOOKUP(tbItens[[#This Row],[Nº venda]],tbVendasMarco[Nº],tbVendasMarco[Data])</f>
        <v>46093</v>
      </c>
      <c r="C67" t="s">
        <v>191</v>
      </c>
      <c r="D67" t="s">
        <v>192</v>
      </c>
      <c r="E67" t="s">
        <v>193</v>
      </c>
      <c r="F67" s="4" t="s">
        <v>194</v>
      </c>
      <c r="G67" s="2">
        <v>1</v>
      </c>
      <c r="H67" s="2" t="str">
        <f>_xlfn.XLOOKUP(tbItens[[#This Row],[Nº venda]],tbVendasMarco[Nº],tbVendasMarco[Status])</f>
        <v>Concluída</v>
      </c>
    </row>
    <row r="68" spans="1:8">
      <c r="A68" s="2">
        <v>39</v>
      </c>
      <c r="B68" s="3">
        <f>_xlfn.XLOOKUP(tbItens[[#This Row],[Nº venda]],tbVendasMarco[Nº],tbVendasMarco[Data])</f>
        <v>46093</v>
      </c>
      <c r="C68" t="s">
        <v>213</v>
      </c>
      <c r="D68" t="s">
        <v>264</v>
      </c>
      <c r="E68" t="s">
        <v>209</v>
      </c>
      <c r="F68" s="4" t="s">
        <v>202</v>
      </c>
      <c r="G68" s="2">
        <v>1</v>
      </c>
      <c r="H68" s="2" t="str">
        <f>_xlfn.XLOOKUP(tbItens[[#This Row],[Nº venda]],tbVendasMarco[Nº],tbVendasMarco[Status])</f>
        <v>Concluída</v>
      </c>
    </row>
    <row r="69" spans="1:8">
      <c r="A69" s="2">
        <v>40</v>
      </c>
      <c r="B69" s="3">
        <f>_xlfn.XLOOKUP(tbItens[[#This Row],[Nº venda]],tbVendasMarco[Nº],tbVendasMarco[Data])</f>
        <v>46093</v>
      </c>
      <c r="C69" t="s">
        <v>199</v>
      </c>
      <c r="D69" t="s">
        <v>240</v>
      </c>
      <c r="E69" t="s">
        <v>193</v>
      </c>
      <c r="F69" s="4" t="s">
        <v>190</v>
      </c>
      <c r="G69" s="2">
        <v>1</v>
      </c>
      <c r="H69" s="2" t="str">
        <f>_xlfn.XLOOKUP(tbItens[[#This Row],[Nº venda]],tbVendasMarco[Nº],tbVendasMarco[Status])</f>
        <v>Concluída</v>
      </c>
    </row>
    <row r="70" spans="1:8">
      <c r="A70" s="2">
        <v>41</v>
      </c>
      <c r="B70" s="3">
        <f>_xlfn.XLOOKUP(tbItens[[#This Row],[Nº venda]],tbVendasMarco[Nº],tbVendasMarco[Data])</f>
        <v>46093</v>
      </c>
      <c r="C70" t="s">
        <v>215</v>
      </c>
      <c r="D70" t="s">
        <v>275</v>
      </c>
      <c r="E70" t="s">
        <v>217</v>
      </c>
      <c r="F70" s="4" t="s">
        <v>218</v>
      </c>
      <c r="G70" s="2">
        <v>1</v>
      </c>
      <c r="H70" s="2" t="str">
        <f>_xlfn.XLOOKUP(tbItens[[#This Row],[Nº venda]],tbVendasMarco[Nº],tbVendasMarco[Status])</f>
        <v>Concluída</v>
      </c>
    </row>
    <row r="71" spans="1:8">
      <c r="A71" s="2">
        <v>41</v>
      </c>
      <c r="B71" s="3">
        <f>_xlfn.XLOOKUP(tbItens[[#This Row],[Nº venda]],tbVendasMarco[Nº],tbVendasMarco[Data])</f>
        <v>46093</v>
      </c>
      <c r="C71" t="s">
        <v>269</v>
      </c>
      <c r="D71" t="s">
        <v>276</v>
      </c>
      <c r="E71" t="s">
        <v>260</v>
      </c>
      <c r="F71" s="4" t="s">
        <v>198</v>
      </c>
      <c r="G71" s="2">
        <v>1</v>
      </c>
      <c r="H71" s="2" t="str">
        <f>_xlfn.XLOOKUP(tbItens[[#This Row],[Nº venda]],tbVendasMarco[Nº],tbVendasMarco[Status])</f>
        <v>Concluída</v>
      </c>
    </row>
    <row r="72" spans="1:8">
      <c r="A72" s="2">
        <v>42</v>
      </c>
      <c r="B72" s="3">
        <f>_xlfn.XLOOKUP(tbItens[[#This Row],[Nº venda]],tbVendasMarco[Nº],tbVendasMarco[Data])</f>
        <v>46094</v>
      </c>
      <c r="C72" t="s">
        <v>269</v>
      </c>
      <c r="D72" t="s">
        <v>270</v>
      </c>
      <c r="E72" t="s">
        <v>193</v>
      </c>
      <c r="F72" s="4" t="s">
        <v>198</v>
      </c>
      <c r="G72" s="2">
        <v>2</v>
      </c>
      <c r="H72" s="2" t="str">
        <f>_xlfn.XLOOKUP(tbItens[[#This Row],[Nº venda]],tbVendasMarco[Nº],tbVendasMarco[Status])</f>
        <v>Concluída</v>
      </c>
    </row>
    <row r="73" spans="1:8">
      <c r="A73" s="2">
        <v>42</v>
      </c>
      <c r="B73" s="3">
        <f>_xlfn.XLOOKUP(tbItens[[#This Row],[Nº venda]],tbVendasMarco[Nº],tbVendasMarco[Data])</f>
        <v>46094</v>
      </c>
      <c r="C73" t="s">
        <v>215</v>
      </c>
      <c r="D73" t="s">
        <v>253</v>
      </c>
      <c r="E73" t="s">
        <v>227</v>
      </c>
      <c r="F73" s="4" t="s">
        <v>221</v>
      </c>
      <c r="G73" s="2">
        <v>1</v>
      </c>
      <c r="H73" s="2" t="str">
        <f>_xlfn.XLOOKUP(tbItens[[#This Row],[Nº venda]],tbVendasMarco[Nº],tbVendasMarco[Status])</f>
        <v>Concluída</v>
      </c>
    </row>
    <row r="74" spans="1:8">
      <c r="A74" s="2">
        <v>43</v>
      </c>
      <c r="B74" s="3">
        <f>_xlfn.XLOOKUP(tbItens[[#This Row],[Nº venda]],tbVendasMarco[Nº],tbVendasMarco[Data])</f>
        <v>46094</v>
      </c>
      <c r="C74" t="s">
        <v>215</v>
      </c>
      <c r="D74" t="s">
        <v>277</v>
      </c>
      <c r="E74" t="s">
        <v>209</v>
      </c>
      <c r="F74" s="4" t="s">
        <v>234</v>
      </c>
      <c r="G74" s="2">
        <v>2</v>
      </c>
      <c r="H74" s="2" t="str">
        <f>_xlfn.XLOOKUP(tbItens[[#This Row],[Nº venda]],tbVendasMarco[Nº],tbVendasMarco[Status])</f>
        <v>Concluída</v>
      </c>
    </row>
    <row r="75" spans="1:8">
      <c r="A75" s="2">
        <v>44</v>
      </c>
      <c r="B75" s="3">
        <f>_xlfn.XLOOKUP(tbItens[[#This Row],[Nº venda]],tbVendasMarco[Nº],tbVendasMarco[Data])</f>
        <v>46094</v>
      </c>
      <c r="C75" t="s">
        <v>235</v>
      </c>
      <c r="D75" t="s">
        <v>236</v>
      </c>
      <c r="E75" t="s">
        <v>227</v>
      </c>
      <c r="F75" s="4" t="s">
        <v>194</v>
      </c>
      <c r="G75" s="2">
        <v>1</v>
      </c>
      <c r="H75" s="2" t="str">
        <f>_xlfn.XLOOKUP(tbItens[[#This Row],[Nº venda]],tbVendasMarco[Nº],tbVendasMarco[Status])</f>
        <v>Concluída</v>
      </c>
    </row>
    <row r="76" spans="1:8">
      <c r="A76" s="2">
        <v>45</v>
      </c>
      <c r="B76" s="3">
        <f>_xlfn.XLOOKUP(tbItens[[#This Row],[Nº venda]],tbVendasMarco[Nº],tbVendasMarco[Data])</f>
        <v>46094</v>
      </c>
      <c r="C76" t="s">
        <v>207</v>
      </c>
      <c r="D76" t="s">
        <v>278</v>
      </c>
      <c r="E76" t="s">
        <v>227</v>
      </c>
      <c r="F76" s="4" t="s">
        <v>190</v>
      </c>
      <c r="G76" s="2">
        <v>1</v>
      </c>
      <c r="H76" s="2" t="str">
        <f>_xlfn.XLOOKUP(tbItens[[#This Row],[Nº venda]],tbVendasMarco[Nº],tbVendasMarco[Status])</f>
        <v>Concluída</v>
      </c>
    </row>
    <row r="77" spans="1:8">
      <c r="A77" s="2">
        <v>45</v>
      </c>
      <c r="B77" s="3">
        <f>_xlfn.XLOOKUP(tbItens[[#This Row],[Nº venda]],tbVendasMarco[Nº],tbVendasMarco[Data])</f>
        <v>46094</v>
      </c>
      <c r="C77" t="s">
        <v>215</v>
      </c>
      <c r="D77" t="s">
        <v>279</v>
      </c>
      <c r="E77" t="s">
        <v>232</v>
      </c>
      <c r="F77" s="4" t="s">
        <v>255</v>
      </c>
      <c r="G77" s="2">
        <v>2</v>
      </c>
      <c r="H77" s="2" t="str">
        <f>_xlfn.XLOOKUP(tbItens[[#This Row],[Nº venda]],tbVendasMarco[Nº],tbVendasMarco[Status])</f>
        <v>Concluída</v>
      </c>
    </row>
    <row r="78" spans="1:8">
      <c r="A78" s="2">
        <v>46</v>
      </c>
      <c r="B78" s="3">
        <f>_xlfn.XLOOKUP(tbItens[[#This Row],[Nº venda]],tbVendasMarco[Nº],tbVendasMarco[Data])</f>
        <v>46095</v>
      </c>
      <c r="C78" t="s">
        <v>213</v>
      </c>
      <c r="D78" t="s">
        <v>280</v>
      </c>
      <c r="E78" t="s">
        <v>209</v>
      </c>
      <c r="F78" s="4" t="s">
        <v>190</v>
      </c>
      <c r="G78" s="2">
        <v>1</v>
      </c>
      <c r="H78" s="2" t="str">
        <f>_xlfn.XLOOKUP(tbItens[[#This Row],[Nº venda]],tbVendasMarco[Nº],tbVendasMarco[Status])</f>
        <v>Concluída</v>
      </c>
    </row>
    <row r="79" spans="1:8">
      <c r="A79" s="2">
        <v>46</v>
      </c>
      <c r="B79" s="3">
        <f>_xlfn.XLOOKUP(tbItens[[#This Row],[Nº venda]],tbVendasMarco[Nº],tbVendasMarco[Data])</f>
        <v>46095</v>
      </c>
      <c r="C79" t="s">
        <v>187</v>
      </c>
      <c r="D79" t="s">
        <v>188</v>
      </c>
      <c r="E79" t="s">
        <v>230</v>
      </c>
      <c r="F79" s="4" t="s">
        <v>198</v>
      </c>
      <c r="G79" s="2">
        <v>1</v>
      </c>
      <c r="H79" s="2" t="str">
        <f>_xlfn.XLOOKUP(tbItens[[#This Row],[Nº venda]],tbVendasMarco[Nº],tbVendasMarco[Status])</f>
        <v>Concluída</v>
      </c>
    </row>
    <row r="80" spans="1:8">
      <c r="A80" s="2">
        <v>46</v>
      </c>
      <c r="B80" s="3">
        <f>_xlfn.XLOOKUP(tbItens[[#This Row],[Nº venda]],tbVendasMarco[Nº],tbVendasMarco[Data])</f>
        <v>46095</v>
      </c>
      <c r="C80" t="s">
        <v>195</v>
      </c>
      <c r="D80" t="s">
        <v>239</v>
      </c>
      <c r="E80" t="s">
        <v>225</v>
      </c>
      <c r="F80" s="4" t="s">
        <v>210</v>
      </c>
      <c r="G80" s="2">
        <v>1</v>
      </c>
      <c r="H80" s="2" t="str">
        <f>_xlfn.XLOOKUP(tbItens[[#This Row],[Nº venda]],tbVendasMarco[Nº],tbVendasMarco[Status])</f>
        <v>Concluída</v>
      </c>
    </row>
    <row r="81" spans="1:8">
      <c r="A81" s="2">
        <v>47</v>
      </c>
      <c r="B81" s="3">
        <f>_xlfn.XLOOKUP(tbItens[[#This Row],[Nº venda]],tbVendasMarco[Nº],tbVendasMarco[Data])</f>
        <v>46095</v>
      </c>
      <c r="C81" t="s">
        <v>199</v>
      </c>
      <c r="D81" t="s">
        <v>200</v>
      </c>
      <c r="E81" t="s">
        <v>201</v>
      </c>
      <c r="F81" s="4" t="s">
        <v>198</v>
      </c>
      <c r="G81" s="2">
        <v>1</v>
      </c>
      <c r="H81" s="2" t="str">
        <f>_xlfn.XLOOKUP(tbItens[[#This Row],[Nº venda]],tbVendasMarco[Nº],tbVendasMarco[Status])</f>
        <v>Concluída</v>
      </c>
    </row>
    <row r="82" spans="1:8">
      <c r="A82" s="2">
        <v>47</v>
      </c>
      <c r="B82" s="3">
        <f>_xlfn.XLOOKUP(tbItens[[#This Row],[Nº venda]],tbVendasMarco[Nº],tbVendasMarco[Data])</f>
        <v>46095</v>
      </c>
      <c r="C82" t="s">
        <v>191</v>
      </c>
      <c r="D82" t="s">
        <v>192</v>
      </c>
      <c r="E82" t="s">
        <v>193</v>
      </c>
      <c r="F82" s="4" t="s">
        <v>194</v>
      </c>
      <c r="G82" s="2">
        <v>1</v>
      </c>
      <c r="H82" s="2" t="str">
        <f>_xlfn.XLOOKUP(tbItens[[#This Row],[Nº venda]],tbVendasMarco[Nº],tbVendasMarco[Status])</f>
        <v>Concluída</v>
      </c>
    </row>
    <row r="83" spans="1:8">
      <c r="A83" s="2">
        <v>47</v>
      </c>
      <c r="B83" s="3">
        <f>_xlfn.XLOOKUP(tbItens[[#This Row],[Nº venda]],tbVendasMarco[Nº],tbVendasMarco[Data])</f>
        <v>46095</v>
      </c>
      <c r="C83" t="s">
        <v>187</v>
      </c>
      <c r="D83" t="s">
        <v>281</v>
      </c>
      <c r="E83" t="s">
        <v>225</v>
      </c>
      <c r="F83" s="4" t="s">
        <v>202</v>
      </c>
      <c r="G83" s="2">
        <v>1</v>
      </c>
      <c r="H83" s="2" t="str">
        <f>_xlfn.XLOOKUP(tbItens[[#This Row],[Nº venda]],tbVendasMarco[Nº],tbVendasMarco[Status])</f>
        <v>Concluída</v>
      </c>
    </row>
    <row r="84" spans="1:8">
      <c r="A84" s="2">
        <v>48</v>
      </c>
      <c r="B84" s="3">
        <f>_xlfn.XLOOKUP(tbItens[[#This Row],[Nº venda]],tbVendasMarco[Nº],tbVendasMarco[Data])</f>
        <v>46095</v>
      </c>
      <c r="C84" t="s">
        <v>250</v>
      </c>
      <c r="D84" t="s">
        <v>282</v>
      </c>
      <c r="E84" t="s">
        <v>193</v>
      </c>
      <c r="F84" s="4" t="s">
        <v>234</v>
      </c>
      <c r="G84" s="2">
        <v>1</v>
      </c>
      <c r="H84" s="2" t="str">
        <f>_xlfn.XLOOKUP(tbItens[[#This Row],[Nº venda]],tbVendasMarco[Nº],tbVendasMarco[Status])</f>
        <v>Concluída</v>
      </c>
    </row>
    <row r="85" spans="1:8">
      <c r="A85" s="2">
        <v>48</v>
      </c>
      <c r="B85" s="3">
        <f>_xlfn.XLOOKUP(tbItens[[#This Row],[Nº venda]],tbVendasMarco[Nº],tbVendasMarco[Data])</f>
        <v>46095</v>
      </c>
      <c r="C85" t="s">
        <v>235</v>
      </c>
      <c r="D85" t="s">
        <v>236</v>
      </c>
      <c r="E85" t="s">
        <v>227</v>
      </c>
      <c r="F85" s="4" t="s">
        <v>194</v>
      </c>
      <c r="G85" s="2">
        <v>1</v>
      </c>
      <c r="H85" s="2" t="str">
        <f>_xlfn.XLOOKUP(tbItens[[#This Row],[Nº venda]],tbVendasMarco[Nº],tbVendasMarco[Status])</f>
        <v>Concluída</v>
      </c>
    </row>
    <row r="86" spans="1:8">
      <c r="A86" s="2">
        <v>49</v>
      </c>
      <c r="B86" s="3">
        <f>_xlfn.XLOOKUP(tbItens[[#This Row],[Nº venda]],tbVendasMarco[Nº],tbVendasMarco[Data])</f>
        <v>46095</v>
      </c>
      <c r="C86" t="s">
        <v>283</v>
      </c>
      <c r="D86" t="s">
        <v>284</v>
      </c>
      <c r="E86" t="s">
        <v>197</v>
      </c>
      <c r="F86" s="4" t="s">
        <v>202</v>
      </c>
      <c r="G86" s="2">
        <v>2</v>
      </c>
      <c r="H86" s="2" t="str">
        <f>_xlfn.XLOOKUP(tbItens[[#This Row],[Nº venda]],tbVendasMarco[Nº],tbVendasMarco[Status])</f>
        <v>Concluída</v>
      </c>
    </row>
    <row r="87" spans="1:8">
      <c r="A87" s="2">
        <v>49</v>
      </c>
      <c r="B87" s="3">
        <f>_xlfn.XLOOKUP(tbItens[[#This Row],[Nº venda]],tbVendasMarco[Nº],tbVendasMarco[Data])</f>
        <v>46095</v>
      </c>
      <c r="C87" t="s">
        <v>258</v>
      </c>
      <c r="D87" t="s">
        <v>259</v>
      </c>
      <c r="E87" t="s">
        <v>260</v>
      </c>
      <c r="F87" s="4" t="s">
        <v>190</v>
      </c>
      <c r="G87" s="2">
        <v>1</v>
      </c>
      <c r="H87" s="2" t="str">
        <f>_xlfn.XLOOKUP(tbItens[[#This Row],[Nº venda]],tbVendasMarco[Nº],tbVendasMarco[Status])</f>
        <v>Concluída</v>
      </c>
    </row>
    <row r="88" spans="1:8">
      <c r="A88" s="2">
        <v>50</v>
      </c>
      <c r="B88" s="3">
        <f>_xlfn.XLOOKUP(tbItens[[#This Row],[Nº venda]],tbVendasMarco[Nº],tbVendasMarco[Data])</f>
        <v>46096</v>
      </c>
      <c r="C88" t="s">
        <v>223</v>
      </c>
      <c r="D88" t="s">
        <v>285</v>
      </c>
      <c r="E88" t="s">
        <v>227</v>
      </c>
      <c r="F88" s="4" t="s">
        <v>198</v>
      </c>
      <c r="G88" s="2">
        <v>1</v>
      </c>
      <c r="H88" s="2" t="str">
        <f>_xlfn.XLOOKUP(tbItens[[#This Row],[Nº venda]],tbVendasMarco[Nº],tbVendasMarco[Status])</f>
        <v>Concluída</v>
      </c>
    </row>
    <row r="89" spans="1:8">
      <c r="A89" s="2">
        <v>51</v>
      </c>
      <c r="B89" s="3">
        <f>_xlfn.XLOOKUP(tbItens[[#This Row],[Nº venda]],tbVendasMarco[Nº],tbVendasMarco[Data])</f>
        <v>46096</v>
      </c>
      <c r="C89" t="s">
        <v>205</v>
      </c>
      <c r="D89" t="s">
        <v>286</v>
      </c>
      <c r="E89" t="s">
        <v>230</v>
      </c>
      <c r="F89" s="4" t="s">
        <v>190</v>
      </c>
      <c r="G89" s="2">
        <v>1</v>
      </c>
      <c r="H89" s="2" t="str">
        <f>_xlfn.XLOOKUP(tbItens[[#This Row],[Nº venda]],tbVendasMarco[Nº],tbVendasMarco[Status])</f>
        <v>Concluída</v>
      </c>
    </row>
    <row r="90" spans="1:8">
      <c r="A90" s="2">
        <v>52</v>
      </c>
      <c r="B90" s="3">
        <f>_xlfn.XLOOKUP(tbItens[[#This Row],[Nº venda]],tbVendasMarco[Nº],tbVendasMarco[Data])</f>
        <v>46097</v>
      </c>
      <c r="C90" t="s">
        <v>287</v>
      </c>
      <c r="D90" t="s">
        <v>288</v>
      </c>
      <c r="E90" t="s">
        <v>227</v>
      </c>
      <c r="F90" s="4" t="s">
        <v>194</v>
      </c>
      <c r="G90" s="2">
        <v>1</v>
      </c>
      <c r="H90" s="2" t="str">
        <f>_xlfn.XLOOKUP(tbItens[[#This Row],[Nº venda]],tbVendasMarco[Nº],tbVendasMarco[Status])</f>
        <v>Concluída</v>
      </c>
    </row>
    <row r="91" spans="1:8">
      <c r="A91" s="2">
        <v>53</v>
      </c>
      <c r="B91" s="3">
        <f>_xlfn.XLOOKUP(tbItens[[#This Row],[Nº venda]],tbVendasMarco[Nº],tbVendasMarco[Data])</f>
        <v>46098</v>
      </c>
      <c r="C91" t="s">
        <v>187</v>
      </c>
      <c r="D91" t="s">
        <v>188</v>
      </c>
      <c r="E91" t="s">
        <v>189</v>
      </c>
      <c r="F91" s="4" t="s">
        <v>190</v>
      </c>
      <c r="G91" s="2">
        <v>1</v>
      </c>
      <c r="H91" s="2" t="str">
        <f>_xlfn.XLOOKUP(tbItens[[#This Row],[Nº venda]],tbVendasMarco[Nº],tbVendasMarco[Status])</f>
        <v>Concluída</v>
      </c>
    </row>
    <row r="92" spans="1:8">
      <c r="A92" s="2">
        <v>54</v>
      </c>
      <c r="B92" s="3">
        <f>_xlfn.XLOOKUP(tbItens[[#This Row],[Nº venda]],tbVendasMarco[Nº],tbVendasMarco[Data])</f>
        <v>46099</v>
      </c>
      <c r="C92" t="s">
        <v>207</v>
      </c>
      <c r="D92" t="s">
        <v>208</v>
      </c>
      <c r="E92" t="s">
        <v>209</v>
      </c>
      <c r="F92" s="4" t="s">
        <v>198</v>
      </c>
      <c r="G92" s="2">
        <v>1</v>
      </c>
      <c r="H92" s="2" t="str">
        <f>_xlfn.XLOOKUP(tbItens[[#This Row],[Nº venda]],tbVendasMarco[Nº],tbVendasMarco[Status])</f>
        <v>Concluída</v>
      </c>
    </row>
    <row r="93" spans="1:8">
      <c r="A93" s="2">
        <v>54</v>
      </c>
      <c r="B93" s="3">
        <f>_xlfn.XLOOKUP(tbItens[[#This Row],[Nº venda]],tbVendasMarco[Nº],tbVendasMarco[Data])</f>
        <v>46099</v>
      </c>
      <c r="C93" t="s">
        <v>213</v>
      </c>
      <c r="D93" t="s">
        <v>289</v>
      </c>
      <c r="E93" t="s">
        <v>227</v>
      </c>
      <c r="F93" s="4" t="s">
        <v>198</v>
      </c>
      <c r="G93" s="2">
        <v>1</v>
      </c>
      <c r="H93" s="2" t="str">
        <f>_xlfn.XLOOKUP(tbItens[[#This Row],[Nº venda]],tbVendasMarco[Nº],tbVendasMarco[Status])</f>
        <v>Concluída</v>
      </c>
    </row>
    <row r="94" spans="1:8">
      <c r="A94" s="2">
        <v>55</v>
      </c>
      <c r="B94" s="3">
        <f>_xlfn.XLOOKUP(tbItens[[#This Row],[Nº venda]],tbVendasMarco[Nº],tbVendasMarco[Data])</f>
        <v>46099</v>
      </c>
      <c r="C94" t="s">
        <v>191</v>
      </c>
      <c r="D94" t="s">
        <v>192</v>
      </c>
      <c r="E94" t="s">
        <v>193</v>
      </c>
      <c r="F94" s="4" t="s">
        <v>194</v>
      </c>
      <c r="G94" s="2">
        <v>1</v>
      </c>
      <c r="H94" s="2" t="str">
        <f>_xlfn.XLOOKUP(tbItens[[#This Row],[Nº venda]],tbVendasMarco[Nº],tbVendasMarco[Status])</f>
        <v>Concluída</v>
      </c>
    </row>
    <row r="95" spans="1:8">
      <c r="A95" s="2">
        <v>55</v>
      </c>
      <c r="B95" s="3">
        <f>_xlfn.XLOOKUP(tbItens[[#This Row],[Nº venda]],tbVendasMarco[Nº],tbVendasMarco[Data])</f>
        <v>46099</v>
      </c>
      <c r="C95" t="s">
        <v>242</v>
      </c>
      <c r="D95" t="s">
        <v>248</v>
      </c>
      <c r="E95" t="s">
        <v>260</v>
      </c>
      <c r="F95" s="4" t="s">
        <v>190</v>
      </c>
      <c r="G95" s="2">
        <v>1</v>
      </c>
      <c r="H95" s="2" t="str">
        <f>_xlfn.XLOOKUP(tbItens[[#This Row],[Nº venda]],tbVendasMarco[Nº],tbVendasMarco[Status])</f>
        <v>Concluída</v>
      </c>
    </row>
    <row r="96" spans="1:8">
      <c r="A96" s="2">
        <v>55</v>
      </c>
      <c r="B96" s="3">
        <f>_xlfn.XLOOKUP(tbItens[[#This Row],[Nº venda]],tbVendasMarco[Nº],tbVendasMarco[Data])</f>
        <v>46099</v>
      </c>
      <c r="C96" t="s">
        <v>215</v>
      </c>
      <c r="D96" t="s">
        <v>290</v>
      </c>
      <c r="E96" t="s">
        <v>193</v>
      </c>
      <c r="F96" s="4" t="s">
        <v>255</v>
      </c>
      <c r="G96" s="2">
        <v>1</v>
      </c>
      <c r="H96" s="2" t="str">
        <f>_xlfn.XLOOKUP(tbItens[[#This Row],[Nº venda]],tbVendasMarco[Nº],tbVendasMarco[Status])</f>
        <v>Concluída</v>
      </c>
    </row>
    <row r="97" spans="1:8">
      <c r="A97" s="2">
        <v>55</v>
      </c>
      <c r="B97" s="3">
        <f>_xlfn.XLOOKUP(tbItens[[#This Row],[Nº venda]],tbVendasMarco[Nº],tbVendasMarco[Data])</f>
        <v>46099</v>
      </c>
      <c r="C97" t="s">
        <v>287</v>
      </c>
      <c r="D97" t="s">
        <v>291</v>
      </c>
      <c r="E97" t="s">
        <v>260</v>
      </c>
      <c r="F97" s="4" t="s">
        <v>194</v>
      </c>
      <c r="G97" s="2">
        <v>1</v>
      </c>
      <c r="H97" s="2" t="str">
        <f>_xlfn.XLOOKUP(tbItens[[#This Row],[Nº venda]],tbVendasMarco[Nº],tbVendasMarco[Status])</f>
        <v>Concluída</v>
      </c>
    </row>
    <row r="98" spans="1:8">
      <c r="A98" s="2">
        <v>56</v>
      </c>
      <c r="B98" s="3">
        <f>_xlfn.XLOOKUP(tbItens[[#This Row],[Nº venda]],tbVendasMarco[Nº],tbVendasMarco[Data])</f>
        <v>46100</v>
      </c>
      <c r="C98" t="s">
        <v>219</v>
      </c>
      <c r="D98" t="s">
        <v>222</v>
      </c>
      <c r="E98" t="s">
        <v>189</v>
      </c>
      <c r="F98" s="4" t="s">
        <v>234</v>
      </c>
      <c r="G98" s="2">
        <v>2</v>
      </c>
      <c r="H98" s="2" t="str">
        <f>_xlfn.XLOOKUP(tbItens[[#This Row],[Nº venda]],tbVendasMarco[Nº],tbVendasMarco[Status])</f>
        <v>Concluída</v>
      </c>
    </row>
    <row r="99" spans="1:8">
      <c r="A99" s="2">
        <v>56</v>
      </c>
      <c r="B99" s="3">
        <f>_xlfn.XLOOKUP(tbItens[[#This Row],[Nº venda]],tbVendasMarco[Nº],tbVendasMarco[Data])</f>
        <v>46100</v>
      </c>
      <c r="C99" t="s">
        <v>215</v>
      </c>
      <c r="D99" t="s">
        <v>292</v>
      </c>
      <c r="E99" t="s">
        <v>197</v>
      </c>
      <c r="F99" s="4" t="s">
        <v>234</v>
      </c>
      <c r="G99" s="2">
        <v>1</v>
      </c>
      <c r="H99" s="2" t="str">
        <f>_xlfn.XLOOKUP(tbItens[[#This Row],[Nº venda]],tbVendasMarco[Nº],tbVendasMarco[Status])</f>
        <v>Concluída</v>
      </c>
    </row>
    <row r="100" spans="1:8">
      <c r="A100" s="2">
        <v>56</v>
      </c>
      <c r="B100" s="3">
        <f>_xlfn.XLOOKUP(tbItens[[#This Row],[Nº venda]],tbVendasMarco[Nº],tbVendasMarco[Data])</f>
        <v>46100</v>
      </c>
      <c r="C100" t="s">
        <v>191</v>
      </c>
      <c r="D100" t="s">
        <v>192</v>
      </c>
      <c r="E100" t="s">
        <v>193</v>
      </c>
      <c r="F100" s="4" t="s">
        <v>194</v>
      </c>
      <c r="G100" s="2">
        <v>1</v>
      </c>
      <c r="H100" s="2" t="str">
        <f>_xlfn.XLOOKUP(tbItens[[#This Row],[Nº venda]],tbVendasMarco[Nº],tbVendasMarco[Status])</f>
        <v>Concluída</v>
      </c>
    </row>
    <row r="101" spans="1:8">
      <c r="A101" s="2">
        <v>57</v>
      </c>
      <c r="B101" s="3">
        <f>_xlfn.XLOOKUP(tbItens[[#This Row],[Nº venda]],tbVendasMarco[Nº],tbVendasMarco[Data])</f>
        <v>46101</v>
      </c>
      <c r="C101" t="s">
        <v>207</v>
      </c>
      <c r="D101" t="s">
        <v>293</v>
      </c>
      <c r="E101" t="s">
        <v>260</v>
      </c>
      <c r="F101" s="4" t="s">
        <v>190</v>
      </c>
      <c r="G101" s="2">
        <v>1</v>
      </c>
      <c r="H101" s="2" t="str">
        <f>_xlfn.XLOOKUP(tbItens[[#This Row],[Nº venda]],tbVendasMarco[Nº],tbVendasMarco[Status])</f>
        <v>Concluída</v>
      </c>
    </row>
    <row r="102" spans="1:8">
      <c r="A102" s="2">
        <v>58</v>
      </c>
      <c r="B102" s="3">
        <f>_xlfn.XLOOKUP(tbItens[[#This Row],[Nº venda]],tbVendasMarco[Nº],tbVendasMarco[Data])</f>
        <v>46101</v>
      </c>
      <c r="C102" t="s">
        <v>215</v>
      </c>
      <c r="D102" t="s">
        <v>253</v>
      </c>
      <c r="E102" t="s">
        <v>232</v>
      </c>
      <c r="F102" s="4" t="s">
        <v>221</v>
      </c>
      <c r="G102" s="2">
        <v>1</v>
      </c>
      <c r="H102" s="2" t="str">
        <f>_xlfn.XLOOKUP(tbItens[[#This Row],[Nº venda]],tbVendasMarco[Nº],tbVendasMarco[Status])</f>
        <v>Concluída</v>
      </c>
    </row>
    <row r="103" spans="1:8">
      <c r="A103" s="2">
        <v>58</v>
      </c>
      <c r="B103" s="3">
        <f>_xlfn.XLOOKUP(tbItens[[#This Row],[Nº venda]],tbVendasMarco[Nº],tbVendasMarco[Data])</f>
        <v>46101</v>
      </c>
      <c r="C103" t="s">
        <v>203</v>
      </c>
      <c r="D103" t="s">
        <v>294</v>
      </c>
      <c r="E103" t="s">
        <v>225</v>
      </c>
      <c r="F103" s="4" t="s">
        <v>202</v>
      </c>
      <c r="G103" s="2">
        <v>1</v>
      </c>
      <c r="H103" s="2" t="str">
        <f>_xlfn.XLOOKUP(tbItens[[#This Row],[Nº venda]],tbVendasMarco[Nº],tbVendasMarco[Status])</f>
        <v>Concluída</v>
      </c>
    </row>
    <row r="104" spans="1:8">
      <c r="A104" s="2">
        <v>58</v>
      </c>
      <c r="B104" s="3">
        <f>_xlfn.XLOOKUP(tbItens[[#This Row],[Nº venda]],tbVendasMarco[Nº],tbVendasMarco[Data])</f>
        <v>46101</v>
      </c>
      <c r="C104" t="s">
        <v>199</v>
      </c>
      <c r="D104" t="s">
        <v>226</v>
      </c>
      <c r="E104" t="s">
        <v>227</v>
      </c>
      <c r="F104" s="4" t="s">
        <v>202</v>
      </c>
      <c r="G104" s="2">
        <v>1</v>
      </c>
      <c r="H104" s="2" t="str">
        <f>_xlfn.XLOOKUP(tbItens[[#This Row],[Nº venda]],tbVendasMarco[Nº],tbVendasMarco[Status])</f>
        <v>Concluída</v>
      </c>
    </row>
    <row r="105" spans="1:8">
      <c r="A105" s="2">
        <v>59</v>
      </c>
      <c r="B105" s="3">
        <f>_xlfn.XLOOKUP(tbItens[[#This Row],[Nº venda]],tbVendasMarco[Nº],tbVendasMarco[Data])</f>
        <v>46101</v>
      </c>
      <c r="C105" t="s">
        <v>211</v>
      </c>
      <c r="D105" t="s">
        <v>295</v>
      </c>
      <c r="E105" t="s">
        <v>230</v>
      </c>
      <c r="F105" s="4" t="s">
        <v>198</v>
      </c>
      <c r="G105" s="2">
        <v>1</v>
      </c>
      <c r="H105" s="2" t="str">
        <f>_xlfn.XLOOKUP(tbItens[[#This Row],[Nº venda]],tbVendasMarco[Nº],tbVendasMarco[Status])</f>
        <v>Concluída</v>
      </c>
    </row>
    <row r="106" spans="1:8">
      <c r="A106" s="2">
        <v>60</v>
      </c>
      <c r="B106" s="3">
        <f>_xlfn.XLOOKUP(tbItens[[#This Row],[Nº venda]],tbVendasMarco[Nº],tbVendasMarco[Data])</f>
        <v>46101</v>
      </c>
      <c r="C106" t="s">
        <v>235</v>
      </c>
      <c r="D106" t="s">
        <v>296</v>
      </c>
      <c r="E106" t="s">
        <v>230</v>
      </c>
      <c r="F106" s="4" t="s">
        <v>194</v>
      </c>
      <c r="G106" s="2">
        <v>2</v>
      </c>
      <c r="H106" s="2" t="str">
        <f>_xlfn.XLOOKUP(tbItens[[#This Row],[Nº venda]],tbVendasMarco[Nº],tbVendasMarco[Status])</f>
        <v>Concluída</v>
      </c>
    </row>
    <row r="107" spans="1:8">
      <c r="A107" s="2">
        <v>61</v>
      </c>
      <c r="B107" s="3">
        <f>_xlfn.XLOOKUP(tbItens[[#This Row],[Nº venda]],tbVendasMarco[Nº],tbVendasMarco[Data])</f>
        <v>46101</v>
      </c>
      <c r="C107" t="s">
        <v>250</v>
      </c>
      <c r="D107" t="s">
        <v>251</v>
      </c>
      <c r="E107" t="s">
        <v>238</v>
      </c>
      <c r="F107" s="4" t="s">
        <v>255</v>
      </c>
      <c r="G107" s="2">
        <v>1</v>
      </c>
      <c r="H107" s="2" t="str">
        <f>_xlfn.XLOOKUP(tbItens[[#This Row],[Nº venda]],tbVendasMarco[Nº],tbVendasMarco[Status])</f>
        <v>Concluída</v>
      </c>
    </row>
    <row r="108" spans="1:8">
      <c r="A108" s="2">
        <v>62</v>
      </c>
      <c r="B108" s="3">
        <f>_xlfn.XLOOKUP(tbItens[[#This Row],[Nº venda]],tbVendasMarco[Nº],tbVendasMarco[Data])</f>
        <v>46101</v>
      </c>
      <c r="C108" t="s">
        <v>207</v>
      </c>
      <c r="D108" t="s">
        <v>297</v>
      </c>
      <c r="E108" t="s">
        <v>225</v>
      </c>
      <c r="F108" s="4" t="s">
        <v>190</v>
      </c>
      <c r="G108" s="2">
        <v>1</v>
      </c>
      <c r="H108" s="2" t="str">
        <f>_xlfn.XLOOKUP(tbItens[[#This Row],[Nº venda]],tbVendasMarco[Nº],tbVendasMarco[Status])</f>
        <v>Concluída</v>
      </c>
    </row>
    <row r="109" spans="1:8">
      <c r="A109" s="2">
        <v>63</v>
      </c>
      <c r="B109" s="3">
        <f>_xlfn.XLOOKUP(tbItens[[#This Row],[Nº venda]],tbVendasMarco[Nº],tbVendasMarco[Data])</f>
        <v>46101</v>
      </c>
      <c r="C109" t="s">
        <v>195</v>
      </c>
      <c r="D109" t="s">
        <v>239</v>
      </c>
      <c r="E109" t="s">
        <v>225</v>
      </c>
      <c r="F109" s="4" t="s">
        <v>210</v>
      </c>
      <c r="G109" s="2">
        <v>1</v>
      </c>
      <c r="H109" s="2" t="str">
        <f>_xlfn.XLOOKUP(tbItens[[#This Row],[Nº venda]],tbVendasMarco[Nº],tbVendasMarco[Status])</f>
        <v>Concluída</v>
      </c>
    </row>
    <row r="110" spans="1:8">
      <c r="A110" s="2">
        <v>63</v>
      </c>
      <c r="B110" s="3">
        <f>_xlfn.XLOOKUP(tbItens[[#This Row],[Nº venda]],tbVendasMarco[Nº],tbVendasMarco[Data])</f>
        <v>46101</v>
      </c>
      <c r="C110" t="s">
        <v>195</v>
      </c>
      <c r="D110" t="s">
        <v>231</v>
      </c>
      <c r="E110" t="s">
        <v>232</v>
      </c>
      <c r="F110" s="4" t="s">
        <v>190</v>
      </c>
      <c r="G110" s="2">
        <v>1</v>
      </c>
      <c r="H110" s="2" t="str">
        <f>_xlfn.XLOOKUP(tbItens[[#This Row],[Nº venda]],tbVendasMarco[Nº],tbVendasMarco[Status])</f>
        <v>Concluída</v>
      </c>
    </row>
    <row r="111" spans="1:8">
      <c r="A111" s="2">
        <v>64</v>
      </c>
      <c r="B111" s="3">
        <f>_xlfn.XLOOKUP(tbItens[[#This Row],[Nº venda]],tbVendasMarco[Nº],tbVendasMarco[Data])</f>
        <v>46102</v>
      </c>
      <c r="C111" t="s">
        <v>250</v>
      </c>
      <c r="D111" t="s">
        <v>282</v>
      </c>
      <c r="E111" t="s">
        <v>193</v>
      </c>
      <c r="F111" s="4" t="s">
        <v>246</v>
      </c>
      <c r="G111" s="2">
        <v>1</v>
      </c>
      <c r="H111" s="2" t="str">
        <f>_xlfn.XLOOKUP(tbItens[[#This Row],[Nº venda]],tbVendasMarco[Nº],tbVendasMarco[Status])</f>
        <v>Concluída</v>
      </c>
    </row>
    <row r="112" spans="1:8">
      <c r="A112" s="2">
        <v>65</v>
      </c>
      <c r="B112" s="3">
        <f>_xlfn.XLOOKUP(tbItens[[#This Row],[Nº venda]],tbVendasMarco[Nº],tbVendasMarco[Data])</f>
        <v>46102</v>
      </c>
      <c r="C112" t="s">
        <v>195</v>
      </c>
      <c r="D112" t="s">
        <v>298</v>
      </c>
      <c r="E112" t="s">
        <v>189</v>
      </c>
      <c r="F112" s="4" t="s">
        <v>190</v>
      </c>
      <c r="G112" s="2">
        <v>1</v>
      </c>
      <c r="H112" s="2" t="str">
        <f>_xlfn.XLOOKUP(tbItens[[#This Row],[Nº venda]],tbVendasMarco[Nº],tbVendasMarco[Status])</f>
        <v>Concluída</v>
      </c>
    </row>
    <row r="113" spans="1:8">
      <c r="A113" s="2">
        <v>66</v>
      </c>
      <c r="B113" s="3">
        <f>_xlfn.XLOOKUP(tbItens[[#This Row],[Nº venda]],tbVendasMarco[Nº],tbVendasMarco[Data])</f>
        <v>46102</v>
      </c>
      <c r="C113" t="s">
        <v>213</v>
      </c>
      <c r="D113" t="s">
        <v>214</v>
      </c>
      <c r="E113" t="s">
        <v>201</v>
      </c>
      <c r="F113" s="4" t="s">
        <v>210</v>
      </c>
      <c r="G113" s="2">
        <v>1</v>
      </c>
      <c r="H113" s="2" t="str">
        <f>_xlfn.XLOOKUP(tbItens[[#This Row],[Nº venda]],tbVendasMarco[Nº],tbVendasMarco[Status])</f>
        <v>Concluída</v>
      </c>
    </row>
    <row r="114" spans="1:8">
      <c r="A114" s="2">
        <v>66</v>
      </c>
      <c r="B114" s="3">
        <f>_xlfn.XLOOKUP(tbItens[[#This Row],[Nº venda]],tbVendasMarco[Nº],tbVendasMarco[Data])</f>
        <v>46102</v>
      </c>
      <c r="C114" t="s">
        <v>191</v>
      </c>
      <c r="D114" t="s">
        <v>192</v>
      </c>
      <c r="E114" t="s">
        <v>193</v>
      </c>
      <c r="F114" s="4" t="s">
        <v>194</v>
      </c>
      <c r="G114" s="2">
        <v>1</v>
      </c>
      <c r="H114" s="2" t="str">
        <f>_xlfn.XLOOKUP(tbItens[[#This Row],[Nº venda]],tbVendasMarco[Nº],tbVendasMarco[Status])</f>
        <v>Concluída</v>
      </c>
    </row>
    <row r="115" spans="1:8">
      <c r="A115" s="2">
        <v>67</v>
      </c>
      <c r="B115" s="3">
        <f>_xlfn.XLOOKUP(tbItens[[#This Row],[Nº venda]],tbVendasMarco[Nº],tbVendasMarco[Data])</f>
        <v>46102</v>
      </c>
      <c r="C115" t="s">
        <v>228</v>
      </c>
      <c r="D115" t="s">
        <v>229</v>
      </c>
      <c r="E115" t="s">
        <v>230</v>
      </c>
      <c r="F115" s="4" t="s">
        <v>198</v>
      </c>
      <c r="G115" s="2">
        <v>1</v>
      </c>
      <c r="H115" s="2" t="str">
        <f>_xlfn.XLOOKUP(tbItens[[#This Row],[Nº venda]],tbVendasMarco[Nº],tbVendasMarco[Status])</f>
        <v>Concluída</v>
      </c>
    </row>
    <row r="116" spans="1:8">
      <c r="A116" s="2">
        <v>67</v>
      </c>
      <c r="B116" s="3">
        <f>_xlfn.XLOOKUP(tbItens[[#This Row],[Nº venda]],tbVendasMarco[Nº],tbVendasMarco[Data])</f>
        <v>46102</v>
      </c>
      <c r="C116" t="s">
        <v>215</v>
      </c>
      <c r="D116" t="s">
        <v>253</v>
      </c>
      <c r="E116" t="s">
        <v>232</v>
      </c>
      <c r="F116" s="4" t="s">
        <v>246</v>
      </c>
      <c r="G116" s="2">
        <v>1</v>
      </c>
      <c r="H116" s="2" t="str">
        <f>_xlfn.XLOOKUP(tbItens[[#This Row],[Nº venda]],tbVendasMarco[Nº],tbVendasMarco[Status])</f>
        <v>Concluída</v>
      </c>
    </row>
    <row r="117" spans="1:8">
      <c r="A117" s="2">
        <v>68</v>
      </c>
      <c r="B117" s="3">
        <f>_xlfn.XLOOKUP(tbItens[[#This Row],[Nº venda]],tbVendasMarco[Nº],tbVendasMarco[Data])</f>
        <v>46102</v>
      </c>
      <c r="C117" t="s">
        <v>187</v>
      </c>
      <c r="D117" t="s">
        <v>188</v>
      </c>
      <c r="E117" t="s">
        <v>232</v>
      </c>
      <c r="F117" s="4" t="s">
        <v>198</v>
      </c>
      <c r="G117" s="2">
        <v>1</v>
      </c>
      <c r="H117" s="2" t="str">
        <f>_xlfn.XLOOKUP(tbItens[[#This Row],[Nº venda]],tbVendasMarco[Nº],tbVendasMarco[Status])</f>
        <v>Concluída</v>
      </c>
    </row>
    <row r="118" spans="1:8">
      <c r="A118" s="2">
        <v>69</v>
      </c>
      <c r="B118" s="3">
        <f>_xlfn.XLOOKUP(tbItens[[#This Row],[Nº venda]],tbVendasMarco[Nº],tbVendasMarco[Data])</f>
        <v>46103</v>
      </c>
      <c r="C118" t="s">
        <v>299</v>
      </c>
      <c r="D118" t="s">
        <v>300</v>
      </c>
      <c r="E118" t="s">
        <v>260</v>
      </c>
      <c r="F118" s="4" t="s">
        <v>190</v>
      </c>
      <c r="G118" s="2">
        <v>1</v>
      </c>
      <c r="H118" s="2" t="str">
        <f>_xlfn.XLOOKUP(tbItens[[#This Row],[Nº venda]],tbVendasMarco[Nº],tbVendasMarco[Status])</f>
        <v>Concluída</v>
      </c>
    </row>
    <row r="119" spans="1:8">
      <c r="A119" s="2">
        <v>70</v>
      </c>
      <c r="B119" s="3">
        <f>_xlfn.XLOOKUP(tbItens[[#This Row],[Nº venda]],tbVendasMarco[Nº],tbVendasMarco[Data])</f>
        <v>46103</v>
      </c>
      <c r="C119" t="s">
        <v>215</v>
      </c>
      <c r="D119" t="s">
        <v>253</v>
      </c>
      <c r="E119" t="s">
        <v>232</v>
      </c>
      <c r="F119" s="4" t="s">
        <v>234</v>
      </c>
      <c r="G119" s="2">
        <v>1</v>
      </c>
      <c r="H119" s="2" t="str">
        <f>_xlfn.XLOOKUP(tbItens[[#This Row],[Nº venda]],tbVendasMarco[Nº],tbVendasMarco[Status])</f>
        <v>Concluída</v>
      </c>
    </row>
    <row r="120" spans="1:8">
      <c r="A120" s="2">
        <v>70</v>
      </c>
      <c r="B120" s="3">
        <f>_xlfn.XLOOKUP(tbItens[[#This Row],[Nº venda]],tbVendasMarco[Nº],tbVendasMarco[Data])</f>
        <v>46103</v>
      </c>
      <c r="C120" t="s">
        <v>187</v>
      </c>
      <c r="D120" t="s">
        <v>261</v>
      </c>
      <c r="E120" t="s">
        <v>227</v>
      </c>
      <c r="F120" s="4" t="s">
        <v>190</v>
      </c>
      <c r="G120" s="2">
        <v>1</v>
      </c>
      <c r="H120" s="2" t="str">
        <f>_xlfn.XLOOKUP(tbItens[[#This Row],[Nº venda]],tbVendasMarco[Nº],tbVendasMarco[Status])</f>
        <v>Concluída</v>
      </c>
    </row>
    <row r="121" spans="1:8">
      <c r="A121" s="2">
        <v>71</v>
      </c>
      <c r="B121" s="3">
        <f>_xlfn.XLOOKUP(tbItens[[#This Row],[Nº venda]],tbVendasMarco[Nº],tbVendasMarco[Data])</f>
        <v>46103</v>
      </c>
      <c r="C121" t="s">
        <v>223</v>
      </c>
      <c r="D121" t="s">
        <v>224</v>
      </c>
      <c r="E121" t="s">
        <v>225</v>
      </c>
      <c r="F121" s="4" t="s">
        <v>202</v>
      </c>
      <c r="G121" s="2">
        <v>2</v>
      </c>
      <c r="H121" s="2" t="str">
        <f>_xlfn.XLOOKUP(tbItens[[#This Row],[Nº venda]],tbVendasMarco[Nº],tbVendasMarco[Status])</f>
        <v>Concluída</v>
      </c>
    </row>
    <row r="122" spans="1:8">
      <c r="A122" s="2">
        <v>72</v>
      </c>
      <c r="B122" s="3">
        <f>_xlfn.XLOOKUP(tbItens[[#This Row],[Nº venda]],tbVendasMarco[Nº],tbVendasMarco[Data])</f>
        <v>46103</v>
      </c>
      <c r="C122" t="s">
        <v>187</v>
      </c>
      <c r="D122" t="s">
        <v>262</v>
      </c>
      <c r="E122" t="s">
        <v>227</v>
      </c>
      <c r="F122" s="4" t="s">
        <v>190</v>
      </c>
      <c r="G122" s="2">
        <v>1</v>
      </c>
      <c r="H122" s="2" t="str">
        <f>_xlfn.XLOOKUP(tbItens[[#This Row],[Nº venda]],tbVendasMarco[Nº],tbVendasMarco[Status])</f>
        <v>Concluída</v>
      </c>
    </row>
  </sheetData>
  <conditionalFormatting sqref="A5:H122">
    <cfRule type="expression" dxfId="7" priority="1">
      <formula>$H5&lt;&gt;"Concluída"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682D-D528-7D41-A931-C3AC31581AEF}">
  <dimension ref="A1:C29"/>
  <sheetViews>
    <sheetView workbookViewId="0"/>
  </sheetViews>
  <sheetFormatPr defaultColWidth="11.42578125" defaultRowHeight="15"/>
  <cols>
    <col min="1" max="1" width="38.28515625" customWidth="1"/>
    <col min="2" max="3" width="15" customWidth="1"/>
  </cols>
  <sheetData>
    <row r="1" spans="1:3" ht="18.95">
      <c r="A1" s="17" t="s">
        <v>301</v>
      </c>
    </row>
    <row r="3" spans="1:3">
      <c r="A3" s="18" t="s">
        <v>302</v>
      </c>
      <c r="B3" s="18"/>
      <c r="C3" s="18"/>
    </row>
    <row r="4" spans="1:3">
      <c r="A4" t="s">
        <v>303</v>
      </c>
      <c r="B4" s="25">
        <f>SUMIFS(tbVendasMarco[Valor (R$)],tbVendasMarco[Status],"Concluída")</f>
        <v>27216.290000000008</v>
      </c>
    </row>
    <row r="5" spans="1:3">
      <c r="A5" t="s">
        <v>304</v>
      </c>
      <c r="B5">
        <f>COUNTIFS(tbVendasMarco[Status],"Concluída")</f>
        <v>69</v>
      </c>
    </row>
    <row r="6" spans="1:3">
      <c r="A6" t="s">
        <v>305</v>
      </c>
      <c r="B6">
        <f>SUMIFS(tbVendasMarco[Qtd],tbVendasMarco[Status],"Concluída")</f>
        <v>128</v>
      </c>
    </row>
    <row r="7" spans="1:3">
      <c r="A7" t="s">
        <v>306</v>
      </c>
      <c r="B7" s="25">
        <f>IFERROR(B4/B5,0)</f>
        <v>394.43898550724651</v>
      </c>
    </row>
    <row r="8" spans="1:3">
      <c r="A8" t="s">
        <v>307</v>
      </c>
      <c r="B8" s="25">
        <f>SUMIFS(tbVendasMarco[Valor (R$)],tbVendasMarco[Status],"&lt;&gt;Concluída")</f>
        <v>809.69999999999993</v>
      </c>
    </row>
    <row r="9" spans="1:3">
      <c r="A9" t="s">
        <v>308</v>
      </c>
      <c r="B9">
        <f>COUNTIFS(tbVendasMarco[Status],"Concluída",tbVendasMarco[Lançado no Vulto+],"Não")</f>
        <v>56</v>
      </c>
    </row>
    <row r="10" spans="1:3">
      <c r="A10" s="20" t="s">
        <v>309</v>
      </c>
      <c r="B10" s="21">
        <f>COUNTIFS(tbVendasMarco[Cliente],"Outros")</f>
        <v>26</v>
      </c>
    </row>
    <row r="11" spans="1:3">
      <c r="A11" s="18" t="s">
        <v>310</v>
      </c>
      <c r="B11" s="19" t="s">
        <v>10</v>
      </c>
      <c r="C11" s="19" t="s">
        <v>311</v>
      </c>
    </row>
    <row r="12" spans="1:3">
      <c r="A12" s="11">
        <v>1</v>
      </c>
      <c r="B12" s="26">
        <f>SUMIFS(tbVendasMarco[Valor (R$)],tbVendasMarco[Status],"Concluída",tbVendasMarco[Semana],$A12)</f>
        <v>10397.83</v>
      </c>
      <c r="C12" s="13">
        <f>COUNTIFS(tbVendasMarco[Status],"Concluída",tbVendasMarco[Semana],$A12)</f>
        <v>24</v>
      </c>
    </row>
    <row r="13" spans="1:3">
      <c r="A13" s="11">
        <v>2</v>
      </c>
      <c r="B13" s="26">
        <f>SUMIFS(tbVendasMarco[Valor (R$)],tbVendasMarco[Status],"Concluída",tbVendasMarco[Semana],$A13)</f>
        <v>9755.02</v>
      </c>
      <c r="C13" s="13">
        <f>COUNTIFS(tbVendasMarco[Status],"Concluída",tbVendasMarco[Semana],$A13)</f>
        <v>24</v>
      </c>
    </row>
    <row r="14" spans="1:3">
      <c r="A14" s="11">
        <v>3</v>
      </c>
      <c r="B14" s="26">
        <f>SUMIFS(tbVendasMarco[Valor (R$)],tbVendasMarco[Status],"Concluída",tbVendasMarco[Semana],$A14)</f>
        <v>7063.4399999999987</v>
      </c>
      <c r="C14" s="13">
        <f>COUNTIFS(tbVendasMarco[Status],"Concluída",tbVendasMarco[Semana],$A14)</f>
        <v>21</v>
      </c>
    </row>
    <row r="15" spans="1:3">
      <c r="A15" s="12" t="s">
        <v>312</v>
      </c>
      <c r="B15" s="27">
        <f>SUM(B12:B14)</f>
        <v>27216.289999999997</v>
      </c>
      <c r="C15" s="14">
        <f>SUM(C12:C14)</f>
        <v>69</v>
      </c>
    </row>
    <row r="16" spans="1:3">
      <c r="B16" s="13"/>
      <c r="C16" s="13"/>
    </row>
    <row r="17" spans="1:3">
      <c r="A17" s="18" t="s">
        <v>313</v>
      </c>
      <c r="B17" s="19" t="s">
        <v>10</v>
      </c>
      <c r="C17" s="19" t="s">
        <v>311</v>
      </c>
    </row>
    <row r="18" spans="1:3">
      <c r="A18" t="s">
        <v>19</v>
      </c>
      <c r="B18" s="26">
        <f>SUMIFS(tbVendasMarco[Valor (R$)],tbVendasMarco[Status],"Concluída",tbVendasMarco[Pagamento],$A18)</f>
        <v>4926.91</v>
      </c>
      <c r="C18" s="13">
        <f>COUNTIFS(tbVendasMarco[Status],"Concluída",tbVendasMarco[Pagamento],$A18)</f>
        <v>10</v>
      </c>
    </row>
    <row r="19" spans="1:3">
      <c r="A19" t="s">
        <v>26</v>
      </c>
      <c r="B19" s="26">
        <f>SUMIFS(tbVendasMarco[Valor (R$)],tbVendasMarco[Status],"Concluída",tbVendasMarco[Pagamento],$A19)</f>
        <v>5882.0199999999995</v>
      </c>
      <c r="C19" s="13">
        <f>COUNTIFS(tbVendasMarco[Status],"Concluída",tbVendasMarco[Pagamento],$A19)</f>
        <v>11</v>
      </c>
    </row>
    <row r="20" spans="1:3">
      <c r="A20" t="s">
        <v>33</v>
      </c>
      <c r="B20" s="26">
        <f>SUMIFS(tbVendasMarco[Valor (R$)],tbVendasMarco[Status],"Concluída",tbVendasMarco[Pagamento],$A20)</f>
        <v>6730.65</v>
      </c>
      <c r="C20" s="13">
        <f>COUNTIFS(tbVendasMarco[Status],"Concluída",tbVendasMarco[Pagamento],$A20)</f>
        <v>18</v>
      </c>
    </row>
    <row r="21" spans="1:3">
      <c r="A21" t="s">
        <v>46</v>
      </c>
      <c r="B21" s="26">
        <f>SUMIFS(tbVendasMarco[Valor (R$)],tbVendasMarco[Status],"Concluída",tbVendasMarco[Pagamento],$A21)</f>
        <v>6857.0099999999993</v>
      </c>
      <c r="C21" s="13">
        <f>COUNTIFS(tbVendasMarco[Status],"Concluída",tbVendasMarco[Pagamento],$A21)</f>
        <v>17</v>
      </c>
    </row>
    <row r="22" spans="1:3">
      <c r="A22" t="s">
        <v>73</v>
      </c>
      <c r="B22" s="26">
        <f>SUMIFS(tbVendasMarco[Valor (R$)],tbVendasMarco[Status],"Concluída",tbVendasMarco[Pagamento],$A22)</f>
        <v>2819.7000000000003</v>
      </c>
      <c r="C22" s="13">
        <f>COUNTIFS(tbVendasMarco[Status],"Concluída",tbVendasMarco[Pagamento],$A22)</f>
        <v>13</v>
      </c>
    </row>
    <row r="23" spans="1:3">
      <c r="A23" s="12" t="s">
        <v>312</v>
      </c>
      <c r="B23" s="27">
        <f>SUM(B18:B22)</f>
        <v>27216.29</v>
      </c>
      <c r="C23" s="14">
        <f>SUM(C18:C22)</f>
        <v>69</v>
      </c>
    </row>
    <row r="24" spans="1:3">
      <c r="B24" s="13"/>
      <c r="C24" s="13"/>
    </row>
    <row r="25" spans="1:3">
      <c r="A25" s="18" t="s">
        <v>314</v>
      </c>
      <c r="B25" s="19" t="s">
        <v>10</v>
      </c>
      <c r="C25" s="19" t="s">
        <v>311</v>
      </c>
    </row>
    <row r="26" spans="1:3">
      <c r="A26" t="s">
        <v>20</v>
      </c>
      <c r="B26" s="26">
        <f>SUMIFS(tbVendasMarco[Valor (R$)],tbVendasMarco[Status],"Concluída",tbVendasMarco[Vendedor(a)],$A26)</f>
        <v>9359.9199999999964</v>
      </c>
      <c r="C26" s="13">
        <f>COUNTIFS(tbVendasMarco[Status],"Concluída",tbVendasMarco[Vendedor(a)],$A26)</f>
        <v>27</v>
      </c>
    </row>
    <row r="27" spans="1:3">
      <c r="A27" t="s">
        <v>31</v>
      </c>
      <c r="B27" s="26">
        <f>SUMIFS(tbVendasMarco[Valor (R$)],tbVendasMarco[Status],"Concluída",tbVendasMarco[Vendedor(a)],$A27)</f>
        <v>8926.0099999999984</v>
      </c>
      <c r="C27" s="13">
        <f>COUNTIFS(tbVendasMarco[Status],"Concluída",tbVendasMarco[Vendedor(a)],$A27)</f>
        <v>22</v>
      </c>
    </row>
    <row r="28" spans="1:3">
      <c r="A28" t="s">
        <v>41</v>
      </c>
      <c r="B28" s="26">
        <f>SUMIFS(tbVendasMarco[Valor (R$)],tbVendasMarco[Status],"Concluída",tbVendasMarco[Vendedor(a)],$A28)</f>
        <v>8930.3599999999988</v>
      </c>
      <c r="C28" s="13">
        <f>COUNTIFS(tbVendasMarco[Status],"Concluída",tbVendasMarco[Vendedor(a)],$A28)</f>
        <v>20</v>
      </c>
    </row>
    <row r="29" spans="1:3">
      <c r="A29" s="12" t="s">
        <v>312</v>
      </c>
      <c r="B29" s="27">
        <f>SUM(B26:B28)</f>
        <v>27216.289999999994</v>
      </c>
      <c r="C29" s="14">
        <f>SUM(C26:C28)</f>
        <v>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ColWidth="8.85546875" defaultRowHeight="15"/>
  <sheetData>
    <row r="1" spans="1:1">
      <c r="A1" t="s">
        <v>315</v>
      </c>
    </row>
    <row r="2" spans="1:1">
      <c r="A2" t="s">
        <v>316</v>
      </c>
    </row>
    <row r="3" spans="1:1">
      <c r="A3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vulto</dc:creator>
  <cp:keywords/>
  <dc:description/>
  <cp:lastModifiedBy/>
  <cp:revision/>
  <dcterms:created xsi:type="dcterms:W3CDTF">2026-09-30T18:00:00Z</dcterms:created>
  <dcterms:modified xsi:type="dcterms:W3CDTF">2026-10-15T19:18:39Z</dcterms:modified>
  <cp:category/>
  <cp:contentStatus/>
</cp:coreProperties>
</file>