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linsperedu-my.sharepoint.com/personal/pedropc7_al_insper_edu_br/Documents/"/>
    </mc:Choice>
  </mc:AlternateContent>
  <xr:revisionPtr revIDLastSave="0" documentId="8_{7C14A3A7-A318-4593-9718-76CD48F74A9A}" xr6:coauthVersionLast="47" xr6:coauthVersionMax="47" xr10:uidLastSave="{00000000-0000-0000-0000-000000000000}"/>
  <bookViews>
    <workbookView xWindow="-108" yWindow="-108" windowWidth="23256" windowHeight="13896" firstSheet="2" activeTab="3" xr2:uid="{00000000-000D-0000-FFFF-FFFF00000000}"/>
  </bookViews>
  <sheets>
    <sheet name="PINHEIROS" sheetId="1" r:id="rId1"/>
    <sheet name="ELDORADO" sheetId="2" r:id="rId2"/>
    <sheet name="SAVASSI" sheetId="3" r:id="rId3"/>
    <sheet name="BATEL" sheetId="4" r:id="rId4"/>
    <sheet name="CD" sheetId="5" r:id="rId5"/>
    <sheet name="AVARIA PINHEIROS" sheetId="12" r:id="rId6"/>
    <sheet name="AVARIA ESTIMADA" sheetId="16" r:id="rId7"/>
    <sheet name="DECISÕES" sheetId="14" r:id="rId8"/>
    <sheet name="CATÁLOGO" sheetId="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 a="1"/>
  <c r="I3" i="4"/>
  <c r="I5" i="4" s="1"/>
  <c r="I4" i="4"/>
  <c r="I6" i="4" s="1"/>
  <c r="I7" i="4"/>
  <c r="I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2" i="4"/>
  <c r="H12" i="3" a="1"/>
  <c r="I3" i="3"/>
  <c r="I5" i="3" s="1"/>
  <c r="I4" i="3"/>
  <c r="I6" i="3" s="1"/>
  <c r="I7" i="3"/>
  <c r="I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2" i="3"/>
  <c r="H12" i="2" a="1"/>
  <c r="I3" i="2"/>
  <c r="I5" i="2" s="1"/>
  <c r="I4" i="2"/>
  <c r="I6" i="2" s="1"/>
  <c r="I7" i="2"/>
  <c r="I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2" i="2"/>
  <c r="H12" i="1" a="1"/>
  <c r="I4" i="1"/>
  <c r="I7" i="1"/>
  <c r="I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2" i="1"/>
  <c r="D11" i="16"/>
  <c r="D12" i="16"/>
  <c r="D13" i="16"/>
  <c r="C41" i="16"/>
  <c r="E41" i="16"/>
  <c r="G41" i="16"/>
  <c r="I41" i="16"/>
  <c r="A18" i="16"/>
  <c r="B18" i="16"/>
  <c r="C18" i="16"/>
  <c r="D18" i="16" s="1"/>
  <c r="D41" i="16" s="1"/>
  <c r="A19" i="16"/>
  <c r="B19" i="16"/>
  <c r="C19" i="16"/>
  <c r="D19" i="16" s="1"/>
  <c r="A20" i="16"/>
  <c r="B20" i="16"/>
  <c r="C20" i="16"/>
  <c r="D20" i="16" s="1"/>
  <c r="A21" i="16"/>
  <c r="B21" i="16"/>
  <c r="C21" i="16"/>
  <c r="D21" i="16" s="1"/>
  <c r="A22" i="16"/>
  <c r="B22" i="16"/>
  <c r="C22" i="16"/>
  <c r="D22" i="16" s="1"/>
  <c r="A23" i="16"/>
  <c r="B23" i="16"/>
  <c r="C23" i="16"/>
  <c r="D23" i="16" s="1"/>
  <c r="E23" i="16"/>
  <c r="G23" i="16"/>
  <c r="I23" i="16"/>
  <c r="A24" i="16"/>
  <c r="B24" i="16"/>
  <c r="C24" i="16"/>
  <c r="D24" i="16"/>
  <c r="F24" i="16" s="1"/>
  <c r="E24" i="16"/>
  <c r="G24" i="16"/>
  <c r="H24" i="16"/>
  <c r="I24" i="16"/>
  <c r="J24" i="16"/>
  <c r="A25" i="16"/>
  <c r="B25" i="16"/>
  <c r="C25" i="16"/>
  <c r="D25" i="16"/>
  <c r="J25" i="16"/>
  <c r="A26" i="16"/>
  <c r="B26" i="16"/>
  <c r="C26" i="16"/>
  <c r="D26" i="16"/>
  <c r="F26" i="16" s="1"/>
  <c r="E26" i="16"/>
  <c r="G26" i="16"/>
  <c r="H26" i="16"/>
  <c r="I26" i="16"/>
  <c r="J26" i="16"/>
  <c r="A27" i="16"/>
  <c r="B27" i="16"/>
  <c r="C27" i="16"/>
  <c r="D27" i="16"/>
  <c r="E27" i="16"/>
  <c r="G27" i="16"/>
  <c r="I27" i="16"/>
  <c r="A28" i="16"/>
  <c r="B28" i="16"/>
  <c r="C28" i="16"/>
  <c r="D28" i="16"/>
  <c r="E28" i="16"/>
  <c r="G28" i="16"/>
  <c r="I28" i="16"/>
  <c r="J28" i="16"/>
  <c r="A29" i="16"/>
  <c r="B29" i="16"/>
  <c r="C29" i="16"/>
  <c r="D29" i="16" s="1"/>
  <c r="A30" i="16"/>
  <c r="E30" i="16" s="1"/>
  <c r="B30" i="16"/>
  <c r="C30" i="16"/>
  <c r="D30" i="16" s="1"/>
  <c r="G30" i="16"/>
  <c r="I30" i="16"/>
  <c r="A31" i="16"/>
  <c r="B31" i="16"/>
  <c r="C31" i="16"/>
  <c r="D31" i="16" s="1"/>
  <c r="A32" i="16"/>
  <c r="B32" i="16"/>
  <c r="C32" i="16"/>
  <c r="D32" i="16"/>
  <c r="A33" i="16"/>
  <c r="B33" i="16"/>
  <c r="C33" i="16"/>
  <c r="D33" i="16"/>
  <c r="E33" i="16"/>
  <c r="F33" i="16"/>
  <c r="G33" i="16"/>
  <c r="H33" i="16"/>
  <c r="I33" i="16"/>
  <c r="J33" i="16"/>
  <c r="A34" i="16"/>
  <c r="B34" i="16"/>
  <c r="C34" i="16"/>
  <c r="D34" i="16"/>
  <c r="E34" i="16"/>
  <c r="F34" i="16"/>
  <c r="G34" i="16"/>
  <c r="H34" i="16"/>
  <c r="I34" i="16"/>
  <c r="J34" i="16"/>
  <c r="A35" i="16"/>
  <c r="B35" i="16"/>
  <c r="C35" i="16"/>
  <c r="D35" i="16"/>
  <c r="E35" i="16"/>
  <c r="F35" i="16"/>
  <c r="G35" i="16"/>
  <c r="H35" i="16"/>
  <c r="I35" i="16"/>
  <c r="J35" i="16"/>
  <c r="A36" i="16"/>
  <c r="B36" i="16"/>
  <c r="C36" i="16"/>
  <c r="D36" i="16"/>
  <c r="E36" i="16"/>
  <c r="F36" i="16"/>
  <c r="G36" i="16"/>
  <c r="H36" i="16"/>
  <c r="I36" i="16"/>
  <c r="J36" i="16"/>
  <c r="A37" i="16"/>
  <c r="B37" i="16"/>
  <c r="C37" i="16"/>
  <c r="D37" i="16"/>
  <c r="F37" i="16" s="1"/>
  <c r="E37" i="16"/>
  <c r="G37" i="16"/>
  <c r="H37" i="16"/>
  <c r="I37" i="16"/>
  <c r="J37" i="16"/>
  <c r="A38" i="16"/>
  <c r="B38" i="16"/>
  <c r="C38" i="16"/>
  <c r="D38" i="16"/>
  <c r="F38" i="16" s="1"/>
  <c r="E38" i="16"/>
  <c r="G38" i="16"/>
  <c r="H38" i="16"/>
  <c r="I38" i="16"/>
  <c r="J38" i="16"/>
  <c r="A39" i="16"/>
  <c r="B39" i="16"/>
  <c r="C39" i="16"/>
  <c r="D39" i="16"/>
  <c r="E39" i="16"/>
  <c r="F39" i="16"/>
  <c r="G39" i="16"/>
  <c r="H39" i="16"/>
  <c r="I39" i="16"/>
  <c r="J39" i="16"/>
  <c r="A40" i="16"/>
  <c r="B40" i="16"/>
  <c r="C40" i="16"/>
  <c r="D40" i="16"/>
  <c r="E40" i="16"/>
  <c r="F40" i="16"/>
  <c r="G40" i="16"/>
  <c r="H40" i="16"/>
  <c r="I40" i="16"/>
  <c r="J40" i="16"/>
  <c r="B10" i="16"/>
  <c r="C10" i="16"/>
  <c r="D10" i="16"/>
  <c r="E10" i="16"/>
  <c r="F10" i="16"/>
  <c r="B11" i="16"/>
  <c r="B12" i="16"/>
  <c r="F12" i="16"/>
  <c r="B13" i="16"/>
  <c r="B5" i="16"/>
  <c r="B7" i="16" s="1"/>
  <c r="B6" i="16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D2" i="12"/>
  <c r="B2" i="12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F2" i="5"/>
  <c r="B2" i="5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D2" i="4"/>
  <c r="B2" i="4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D2" i="3"/>
  <c r="B2" i="3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2" i="2"/>
  <c r="B2" i="2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D2" i="1"/>
  <c r="B2" i="1"/>
  <c r="E18" i="14"/>
  <c r="E19" i="14"/>
  <c r="E20" i="14"/>
  <c r="I3" i="1" l="1"/>
  <c r="F27" i="16"/>
  <c r="H27" i="16"/>
  <c r="J27" i="16"/>
  <c r="F28" i="16"/>
  <c r="H28" i="16"/>
  <c r="E18" i="16"/>
  <c r="I18" i="16"/>
  <c r="G18" i="16"/>
  <c r="F18" i="16"/>
  <c r="F41" i="16" s="1"/>
  <c r="J18" i="16"/>
  <c r="J41" i="16" s="1"/>
  <c r="H18" i="16"/>
  <c r="H41" i="16" s="1"/>
  <c r="E19" i="16"/>
  <c r="G19" i="16"/>
  <c r="I19" i="16"/>
  <c r="H19" i="16"/>
  <c r="J19" i="16"/>
  <c r="F19" i="16"/>
  <c r="G20" i="16"/>
  <c r="E20" i="16"/>
  <c r="I20" i="16"/>
  <c r="H20" i="16"/>
  <c r="F20" i="16"/>
  <c r="J20" i="16"/>
  <c r="E21" i="16"/>
  <c r="I21" i="16"/>
  <c r="G21" i="16"/>
  <c r="J21" i="16"/>
  <c r="H21" i="16"/>
  <c r="F21" i="16"/>
  <c r="E22" i="16"/>
  <c r="I22" i="16"/>
  <c r="G22" i="16"/>
  <c r="J22" i="16"/>
  <c r="F22" i="16"/>
  <c r="H22" i="16"/>
  <c r="H23" i="16"/>
  <c r="F23" i="16"/>
  <c r="J23" i="16"/>
  <c r="G25" i="16"/>
  <c r="I25" i="16"/>
  <c r="E25" i="16"/>
  <c r="F25" i="16"/>
  <c r="H25" i="16"/>
  <c r="I29" i="16"/>
  <c r="G29" i="16"/>
  <c r="E29" i="16"/>
  <c r="F29" i="16"/>
  <c r="J29" i="16"/>
  <c r="H29" i="16"/>
  <c r="H30" i="16"/>
  <c r="J30" i="16"/>
  <c r="F30" i="16"/>
  <c r="E31" i="16"/>
  <c r="I31" i="16"/>
  <c r="G31" i="16"/>
  <c r="J31" i="16"/>
  <c r="H31" i="16"/>
  <c r="F31" i="16"/>
  <c r="I32" i="16"/>
  <c r="E32" i="16"/>
  <c r="G32" i="16"/>
  <c r="H32" i="16"/>
  <c r="F32" i="16"/>
  <c r="J32" i="16"/>
  <c r="C11" i="16"/>
  <c r="C14" i="16" s="1"/>
  <c r="B14" i="16"/>
  <c r="E11" i="16"/>
  <c r="F11" i="16"/>
  <c r="D14" i="16"/>
  <c r="E12" i="16"/>
  <c r="C12" i="16"/>
  <c r="C13" i="16"/>
  <c r="E13" i="16"/>
  <c r="F13" i="16"/>
  <c r="I5" i="1" l="1"/>
  <c r="I6" i="1"/>
  <c r="E14" i="16"/>
  <c r="F1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Pace</author>
  </authors>
  <commentList>
    <comment ref="A1" authorId="0" shapeId="0" xr:uid="{43985E10-464F-472C-8273-D4B5A62D1013}">
      <text>
        <r>
          <rPr>
            <b/>
            <sz val="9"/>
            <color indexed="81"/>
            <rFont val="Segoe UI"/>
            <family val="2"/>
          </rPr>
          <t>Pedro Pace:</t>
        </r>
        <r>
          <rPr>
            <sz val="9"/>
            <color indexed="81"/>
            <rFont val="Segoe UI"/>
            <family val="2"/>
          </rPr>
          <t xml:space="preserve">
Source: novo-catalogo_vulto_2026_REVISADO_final.xlsx, uploaded 15/10/2026. Uploaded file. Abas Verão 25, Inverno 25, Verão 26, Inverno 26, Atemporais (vale a coleção mais nova; Atemporais só se não estiver em coleção) + 35 SKUs da aba PLANILHA ANTIGA NAO USAR (modelos que existem no estoque mas não no catálogo 2026). Tamanhos no padrão do catálogo (XP/P/M/G/GG/XG/U).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<sst xmlns="http://schemas.openxmlformats.org/spreadsheetml/2006/main" count="10441" uniqueCount="2065">
  <si>
    <t>SKU</t>
  </si>
  <si>
    <t>QTD</t>
  </si>
  <si>
    <t>OBS</t>
  </si>
  <si>
    <t>VLT-JAQ-001-OLI-P</t>
  </si>
  <si>
    <t>provador</t>
  </si>
  <si>
    <t>VLT-JAQ-001-OLI-M</t>
  </si>
  <si>
    <t>VLT-MOL-002-BRA-G</t>
  </si>
  <si>
    <t>vitrine</t>
  </si>
  <si>
    <t>VLT-MOL-002-OLI-GG</t>
  </si>
  <si>
    <t>VLT-JAQ-002-MRR-P</t>
  </si>
  <si>
    <t>VLT-JAQ-002-MRR-GG</t>
  </si>
  <si>
    <t>VLT-ACE-001-PRE-U</t>
  </si>
  <si>
    <t>VLT-TRI-003-BEG-M</t>
  </si>
  <si>
    <t>VLT-TRI-003-BEG-GG</t>
  </si>
  <si>
    <t>VLT-TRI-003-MRR-P</t>
  </si>
  <si>
    <t>VLT-TRI-003-MRR-M</t>
  </si>
  <si>
    <t>VLT-TRI-003-MRR-G</t>
  </si>
  <si>
    <t>VLT-TOP-002-AZM-P</t>
  </si>
  <si>
    <t>VLT-TOP-002-AZM-M</t>
  </si>
  <si>
    <t>VLT-TOP-002-AZM-G</t>
  </si>
  <si>
    <t>VLT-TOP-002-AZM-GG</t>
  </si>
  <si>
    <t>VLT-TOP-002-PRE-P</t>
  </si>
  <si>
    <t>VLT-TOP-002-PRE-G</t>
  </si>
  <si>
    <t>estoque cima</t>
  </si>
  <si>
    <t>VLT-ACE-003-BEG-U</t>
  </si>
  <si>
    <t>VLT-CAM-001-CIN-P</t>
  </si>
  <si>
    <t>VLT-CAM-001-CIN-M</t>
  </si>
  <si>
    <t>VLT-CAM-001-CIN-G</t>
  </si>
  <si>
    <t>VLT-ACE-004-CIN-U</t>
  </si>
  <si>
    <t>VLT-ACE-005-OFF-U</t>
  </si>
  <si>
    <t>VLT-MOL-003-AZM-P</t>
  </si>
  <si>
    <t>VLT-MOL-003-AZM-M</t>
  </si>
  <si>
    <t>VLT-MOL-003-AZM-G</t>
  </si>
  <si>
    <t>VLT-MOL-003-AZM-GG</t>
  </si>
  <si>
    <t>VLT-MOL-003-BEG-M</t>
  </si>
  <si>
    <t>VLT-MOL-003-BEG-G</t>
  </si>
  <si>
    <t>VLT-MOL-003-BEG-GG</t>
  </si>
  <si>
    <t>VLT-SAI-002-BRA-P</t>
  </si>
  <si>
    <t>VLT-SAI-002-BRA-M</t>
  </si>
  <si>
    <t>VLT-SAI-002-BRA-G</t>
  </si>
  <si>
    <t>VLT-SAI-002-BRA-GG</t>
  </si>
  <si>
    <t>VLT-SAI-002-OFF-P</t>
  </si>
  <si>
    <t>VLT-SAI-002-OFF-GG</t>
  </si>
  <si>
    <t>VLT-TRI-004-BRA-P</t>
  </si>
  <si>
    <t>VLT-TRI-004-BRA-M</t>
  </si>
  <si>
    <t>VLT-TRI-004-BRA-G</t>
  </si>
  <si>
    <t>VLT-TRI-004-BRA-GG</t>
  </si>
  <si>
    <t>VLT-CMS-001-BEG-P</t>
  </si>
  <si>
    <t>VLT-CMS-001-BEG-M</t>
  </si>
  <si>
    <t>VLT-CMS-001-BEG-G</t>
  </si>
  <si>
    <t>VLT-CMS-001-BEG-GG</t>
  </si>
  <si>
    <t>VLT-CAM-002-AZM-P</t>
  </si>
  <si>
    <t>VLT-CAM-002-AZM-M</t>
  </si>
  <si>
    <t>VLT-CAM-002-AZM-G</t>
  </si>
  <si>
    <t>VLT-CAM-002-AZM-GG</t>
  </si>
  <si>
    <t>VLT-CMS-002-BEG-P</t>
  </si>
  <si>
    <t>VLT-CMS-002-BEG-M</t>
  </si>
  <si>
    <t>VLT-CMS-002-BEG-G</t>
  </si>
  <si>
    <t>VLT-CMS-002-BEG-GG</t>
  </si>
  <si>
    <t>VLT-CAM-003-CIN-P</t>
  </si>
  <si>
    <t>VLT-CAM-003-CIN-M</t>
  </si>
  <si>
    <t>VLT-CAM-003-CIN-G</t>
  </si>
  <si>
    <t>VLT-CAM-003-CIN-GG</t>
  </si>
  <si>
    <t>VLT-CAM-003-AZM-P</t>
  </si>
  <si>
    <t>VLT-CAM-003-AZM-M</t>
  </si>
  <si>
    <t>VLT-CAM-003-AZM-G</t>
  </si>
  <si>
    <t>VLT-CAM-003-AZM-GG</t>
  </si>
  <si>
    <t>VLT-MOL-004-BRA-P</t>
  </si>
  <si>
    <t>VLT-MOL-004-BRA-M</t>
  </si>
  <si>
    <t>VLT-MOL-004-BRA-G</t>
  </si>
  <si>
    <t>VLT-MOL-004-BRA-GG</t>
  </si>
  <si>
    <t>VLT-CAM-004-BRA-P</t>
  </si>
  <si>
    <t>VLT-CAM-004-BRA-M</t>
  </si>
  <si>
    <t>VLT-CAM-004-BRA-G</t>
  </si>
  <si>
    <t>VLT-CAM-004-CIN-P</t>
  </si>
  <si>
    <t>VLT-CAM-004-CIN-M</t>
  </si>
  <si>
    <t>VLT-CAM-004-CIN-G</t>
  </si>
  <si>
    <t>VLT-CAM-004-CIN-GG</t>
  </si>
  <si>
    <t>VLT-CAM-004-PRE-P</t>
  </si>
  <si>
    <t>VLT-CAM-004-PRE-M</t>
  </si>
  <si>
    <t>VLT-CAM-004-PRE-G</t>
  </si>
  <si>
    <t>VLT-CAM-004-PRE-GG</t>
  </si>
  <si>
    <t>VLT-TOP-003-BRA-P</t>
  </si>
  <si>
    <t>VLT-TOP-003-BRA-M</t>
  </si>
  <si>
    <t>VLT-TOP-003-BRA-G</t>
  </si>
  <si>
    <t>VLT-TOP-003-BRA-GG</t>
  </si>
  <si>
    <t>VLT-CMS-003-BRA-P</t>
  </si>
  <si>
    <t>VLT-CMS-003-BRA-M</t>
  </si>
  <si>
    <t>VLT-CMS-003-BRA-G</t>
  </si>
  <si>
    <t>VLT-MOL-005-OFF-P</t>
  </si>
  <si>
    <t>VLT-MOL-005-OFF-M</t>
  </si>
  <si>
    <t>VLT-MOL-005-OFF-G</t>
  </si>
  <si>
    <t>VLT-MOL-005-OFF-GG</t>
  </si>
  <si>
    <t>VLT-CAM-005-OFF-P</t>
  </si>
  <si>
    <t>VLT-CAM-005-OFF-M</t>
  </si>
  <si>
    <t>VLT-CAM-005-OFF-G</t>
  </si>
  <si>
    <t>VLT-CAM-005-OFF-GG</t>
  </si>
  <si>
    <t>VLT-CMS-004-AZM-P</t>
  </si>
  <si>
    <t>VLT-CMS-004-AZM-M</t>
  </si>
  <si>
    <t>VLT-CMS-004-AZM-G</t>
  </si>
  <si>
    <t>VLT-CMS-004-AZM-GG</t>
  </si>
  <si>
    <t>VLT-CMS-005-BRA-P</t>
  </si>
  <si>
    <t>VLT-CMS-005-BRA-GG</t>
  </si>
  <si>
    <t>VLT-MOL-006-AMA-P</t>
  </si>
  <si>
    <t>VLT-MOL-006-AMA-M</t>
  </si>
  <si>
    <t>VLT-MOL-006-AMA-G</t>
  </si>
  <si>
    <t>VLT-MOL-006-AMA-GG</t>
  </si>
  <si>
    <t>VLT-VES-001-AZM-P</t>
  </si>
  <si>
    <t>VLT-VES-001-AZM-M</t>
  </si>
  <si>
    <t>VLT-VES-001-AZM-G</t>
  </si>
  <si>
    <t>VLT-VES-001-AZM-GG</t>
  </si>
  <si>
    <t>VLT-SAI-003-OFF-P</t>
  </si>
  <si>
    <t>VLT-SAI-003-OFF-M</t>
  </si>
  <si>
    <t>VLT-SAI-003-OFF-G</t>
  </si>
  <si>
    <t>VLT-SAI-003-OFF-GG</t>
  </si>
  <si>
    <t>VLT-SAI-004-MRR-P</t>
  </si>
  <si>
    <t>VLT-SAI-004-MRR-M</t>
  </si>
  <si>
    <t>VLT-SAI-004-MRR-G</t>
  </si>
  <si>
    <t>VLT-SAI-004-MRR-GG</t>
  </si>
  <si>
    <t>VLT-SAI-005-OFF-P</t>
  </si>
  <si>
    <t>VLT-SAI-005-OFF-M</t>
  </si>
  <si>
    <t>VLT-SAI-005-OFF-G</t>
  </si>
  <si>
    <t>VLT-CAM-007-CIN-M</t>
  </si>
  <si>
    <t>VLT-CAM-007-CIN-G</t>
  </si>
  <si>
    <t>VLT-TOP-004-OLI-P</t>
  </si>
  <si>
    <t>VLT-TOP-004-OLI-M</t>
  </si>
  <si>
    <t>VLT-TOP-004-OLI-G</t>
  </si>
  <si>
    <t>VLT-TOP-004-OLI-GG</t>
  </si>
  <si>
    <t>VLT-MOL-007-CIN-P</t>
  </si>
  <si>
    <t>VLT-MOL-007-CIN-M</t>
  </si>
  <si>
    <t>VLT-MOL-007-CIN-GG</t>
  </si>
  <si>
    <t>VLT-MOL-008-VIN-M</t>
  </si>
  <si>
    <t>VLT-MOL-008-VIN-G</t>
  </si>
  <si>
    <t>VLT-MOL-008-VIN-GG</t>
  </si>
  <si>
    <t>VLT-MOL-008-LIL-M</t>
  </si>
  <si>
    <t>VLT-MOL-008-LIL-G</t>
  </si>
  <si>
    <t>VLT-MOL-008-LIL-GG</t>
  </si>
  <si>
    <t>VLT-VES-002-MRR-P</t>
  </si>
  <si>
    <t>VLT-VES-002-MRR-M</t>
  </si>
  <si>
    <t>VLT-VES-002-MRR-G</t>
  </si>
  <si>
    <t>VLT-VES-002-MRR-GG</t>
  </si>
  <si>
    <t>VLT-TOP-005-OFF-P</t>
  </si>
  <si>
    <t>VLT-TOP-005-OFF-M</t>
  </si>
  <si>
    <t>VLT-TOP-005-OFF-G</t>
  </si>
  <si>
    <t>VLT-TOP-005-OFF-GG</t>
  </si>
  <si>
    <t>VLT-VES-003-CIN-P</t>
  </si>
  <si>
    <t>VLT-VES-003-CIN-G</t>
  </si>
  <si>
    <t>VLT-VES-003-CIN-GG</t>
  </si>
  <si>
    <t>VLT-VES-003-AMA-G</t>
  </si>
  <si>
    <t>VLT-VES-004-AMA-P</t>
  </si>
  <si>
    <t>VLT-VES-004-AMA-M</t>
  </si>
  <si>
    <t>VLT-VES-004-AMA-GG</t>
  </si>
  <si>
    <t>VLT-VES-005-PRE-P</t>
  </si>
  <si>
    <t>VLT-VES-005-PRE-M</t>
  </si>
  <si>
    <t>VLT-VES-005-PRE-G</t>
  </si>
  <si>
    <t>VLT-VES-005-PRE-GG</t>
  </si>
  <si>
    <t>VLT-TOP-006-MRR-P</t>
  </si>
  <si>
    <t>VLT-TOP-006-MRR-M</t>
  </si>
  <si>
    <t>VLT-TOP-006-MRR-G</t>
  </si>
  <si>
    <t>VLT-TOP-006-MRR-GG</t>
  </si>
  <si>
    <t>VLT-CAM-008-VIN-M</t>
  </si>
  <si>
    <t>VLT-CAM-008-VIN-G</t>
  </si>
  <si>
    <t>VLT-MOL-009-MRR-P</t>
  </si>
  <si>
    <t>VLT-MOL-009-MRR-M</t>
  </si>
  <si>
    <t>VLT-MOL-009-MRR-G</t>
  </si>
  <si>
    <t>VLT-MOL-009-MRR-GG</t>
  </si>
  <si>
    <t>VLT-TOP-008-BEG-P</t>
  </si>
  <si>
    <t>VLT-TOP-008-BEG-M</t>
  </si>
  <si>
    <t>VLT-TOP-008-BEG-G</t>
  </si>
  <si>
    <t>VLT-CAM-009-VIN-P</t>
  </si>
  <si>
    <t>VLT-CAM-009-VIN-M</t>
  </si>
  <si>
    <t>VLT-CAM-009-VIN-G</t>
  </si>
  <si>
    <t>VLT-CAM-009-VIN-GG</t>
  </si>
  <si>
    <t>VLT-TOP-009-BEG-P</t>
  </si>
  <si>
    <t>VLT-TOP-009-BEG-M</t>
  </si>
  <si>
    <t>VLT-TOP-009-BEG-G</t>
  </si>
  <si>
    <t>VLT-TOP-009-BEG-GG</t>
  </si>
  <si>
    <t>VLT-TOP-010-AMA-P</t>
  </si>
  <si>
    <t>VLT-TOP-010-AMA-M</t>
  </si>
  <si>
    <t>VLT-TOP-010-AMA-G</t>
  </si>
  <si>
    <t>VLT-TOP-010-VIN-M</t>
  </si>
  <si>
    <t>VLT-TOP-010-VIN-G</t>
  </si>
  <si>
    <t>VLT-CAM-010-OLI-P</t>
  </si>
  <si>
    <t>VLT-CAM-010-OLI-M</t>
  </si>
  <si>
    <t>VLT-CAM-010-OLI-G</t>
  </si>
  <si>
    <t>VLT-CAM-010-OLI-GG</t>
  </si>
  <si>
    <t>VLT-CAM-010-VIN-G</t>
  </si>
  <si>
    <t>VLT-CAM-011-VIN-P</t>
  </si>
  <si>
    <t>VLT-CAM-011-VIN-M</t>
  </si>
  <si>
    <t>VLT-CAM-011-VIN-G</t>
  </si>
  <si>
    <t>VLT-CAM-011-LIL-M</t>
  </si>
  <si>
    <t>VLT-CMS-007-LIL-M</t>
  </si>
  <si>
    <t>VLT-CMS-007-LIL-G</t>
  </si>
  <si>
    <t>VLT-CMS-007-LIL-GG</t>
  </si>
  <si>
    <t>VLT-CMS-007-BRA-P</t>
  </si>
  <si>
    <t>VLT-CMS-007-BRA-M</t>
  </si>
  <si>
    <t>VLT-CMS-007-BRA-G</t>
  </si>
  <si>
    <t>VLT-CMS-007-BRA-GG</t>
  </si>
  <si>
    <t>VLT-CAM-012-OLI-P</t>
  </si>
  <si>
    <t>VLT-CAM-012-OLI-M</t>
  </si>
  <si>
    <t>VLT-CAM-012-OLI-G</t>
  </si>
  <si>
    <t>VLT-CAM-012-OLI-GG</t>
  </si>
  <si>
    <t>VLT-MOL-010-AMA-P</t>
  </si>
  <si>
    <t>VLT-MOL-010-AMA-M</t>
  </si>
  <si>
    <t>VLT-MOL-010-AMA-G</t>
  </si>
  <si>
    <t>VLT-JAQ-004-VIN-P</t>
  </si>
  <si>
    <t>VLT-JAQ-004-VIN-M</t>
  </si>
  <si>
    <t>VLT-JAQ-004-VIN-G</t>
  </si>
  <si>
    <t>VLT-JAQ-004-VIN-GG</t>
  </si>
  <si>
    <t>VLT-ACE-008-OLI-U</t>
  </si>
  <si>
    <t>VLT-VES-006-MRR-P</t>
  </si>
  <si>
    <t>VLT-VES-006-MRR-M</t>
  </si>
  <si>
    <t>VLT-VES-006-MRR-G</t>
  </si>
  <si>
    <t>VLT-VES-006-MRR-GG</t>
  </si>
  <si>
    <t>VLT-VES-006-VIN-P</t>
  </si>
  <si>
    <t>VLT-VES-006-VIN-M</t>
  </si>
  <si>
    <t>VLT-VES-006-VIN-G</t>
  </si>
  <si>
    <t>VLT-VES-006-VIN-GG</t>
  </si>
  <si>
    <t>VLT-TRI-005-OLI-P</t>
  </si>
  <si>
    <t>VLT-TRI-005-OLI-M</t>
  </si>
  <si>
    <t>VLT-TRI-005-OLI-G</t>
  </si>
  <si>
    <t>VLT-TRI-005-OLI-GG</t>
  </si>
  <si>
    <t>VLT-CAM-013-OLI-P</t>
  </si>
  <si>
    <t>VLT-CAM-013-OLI-M</t>
  </si>
  <si>
    <t>VLT-CAM-013-OLI-G</t>
  </si>
  <si>
    <t>VLT-CAM-013-OLI-GG</t>
  </si>
  <si>
    <t>VLT-CAM-014-LIL-P</t>
  </si>
  <si>
    <t>VLT-CAM-014-LIL-M</t>
  </si>
  <si>
    <t>VLT-CAM-014-LIL-G</t>
  </si>
  <si>
    <t>VLT-CAM-014-CIN-M</t>
  </si>
  <si>
    <t>VLT-CAM-014-CIN-G</t>
  </si>
  <si>
    <t>VLT-SAI-006-PRE-P</t>
  </si>
  <si>
    <t>VLT-SAI-006-PRE-M</t>
  </si>
  <si>
    <t>VLT-SAI-006-PRE-G</t>
  </si>
  <si>
    <t>VLT-SAI-006-PRE-GG</t>
  </si>
  <si>
    <t>VLT-TRI-006-BEG-P</t>
  </si>
  <si>
    <t>VLT-TRI-006-BEG-M</t>
  </si>
  <si>
    <t>VLT-TRI-006-BEG-G</t>
  </si>
  <si>
    <t>VLT-TRI-006-BEG-GG</t>
  </si>
  <si>
    <t>VLT-TRI-007-LIL-P</t>
  </si>
  <si>
    <t>VLT-TRI-007-LIL-M</t>
  </si>
  <si>
    <t>VLT-TRI-007-LIL-G</t>
  </si>
  <si>
    <t>VLT-TRI-007-LIL-GG</t>
  </si>
  <si>
    <t>VLT-VES-007-OLI-P</t>
  </si>
  <si>
    <t>VLT-VES-007-OLI-M</t>
  </si>
  <si>
    <t>VLT-VES-007-OLI-G</t>
  </si>
  <si>
    <t>VLT-VES-007-OLI-GG</t>
  </si>
  <si>
    <t>VLT-TRI-008-LIL-P</t>
  </si>
  <si>
    <t>VLT-TRI-008-LIL-M</t>
  </si>
  <si>
    <t>VLT-TRI-008-LIL-G</t>
  </si>
  <si>
    <t>VLT-ACE-009-OLI-U</t>
  </si>
  <si>
    <t>VLT-ACE-009-BRA-U</t>
  </si>
  <si>
    <t>VLT-CAM-015-CIN-P</t>
  </si>
  <si>
    <t>VLT-CAM-015-CIN-M</t>
  </si>
  <si>
    <t>VLT-SAI-007-VIN-P</t>
  </si>
  <si>
    <t>VLT-SAI-007-VIN-G</t>
  </si>
  <si>
    <t>VLT-SAI-007-VIN-GG</t>
  </si>
  <si>
    <t>VLT-TRI-009-AMA-P</t>
  </si>
  <si>
    <t>VLT-TRI-009-AMA-M</t>
  </si>
  <si>
    <t>VLT-TRI-009-AMA-G</t>
  </si>
  <si>
    <t>VLT-TRI-009-AMA-GG</t>
  </si>
  <si>
    <t>VLT-MOL-012-OFF-P</t>
  </si>
  <si>
    <t>VLT-MOL-012-OFF-M</t>
  </si>
  <si>
    <t>VLT-MOL-012-OFF-G</t>
  </si>
  <si>
    <t>VLT-MOL-012-OFF-GG</t>
  </si>
  <si>
    <t>VLT-TRI-010-OLI-P</t>
  </si>
  <si>
    <t>VLT-TRI-010-OLI-M</t>
  </si>
  <si>
    <t>VLT-TRI-010-OLI-G</t>
  </si>
  <si>
    <t>VLT-TRI-011-BEG-P</t>
  </si>
  <si>
    <t>VLT-TRI-011-BEG-M</t>
  </si>
  <si>
    <t>VLT-TRI-011-BEG-G</t>
  </si>
  <si>
    <t>VLT-TOP-011-CIN-P</t>
  </si>
  <si>
    <t>VLT-TOP-011-CIN-M</t>
  </si>
  <si>
    <t>VLT-TOP-011-CIN-G</t>
  </si>
  <si>
    <t>VLT-TOP-011-CIN-GG</t>
  </si>
  <si>
    <t>VLT-JAQ-005-AMA-P</t>
  </si>
  <si>
    <t>VLT-JAQ-005-AMA-M</t>
  </si>
  <si>
    <t>VLT-JAQ-005-AMA-G</t>
  </si>
  <si>
    <t>VLT-JAQ-005-AMA-GG</t>
  </si>
  <si>
    <t>VLT-CAM-016-BEG-P</t>
  </si>
  <si>
    <t>VLT-CAM-016-BEG-M</t>
  </si>
  <si>
    <t>VLT-CAM-016-BEG-G</t>
  </si>
  <si>
    <t>VLT-CMS-008-OLI-P</t>
  </si>
  <si>
    <t>VLT-CMS-008-OLI-M</t>
  </si>
  <si>
    <t>VLT-CMS-008-OLI-G</t>
  </si>
  <si>
    <t>VLT-CMS-008-OLI-GG</t>
  </si>
  <si>
    <t>VLT-ACE-010-BEG-U</t>
  </si>
  <si>
    <t>VLT-ACE-010-LIL-U</t>
  </si>
  <si>
    <t>VLT-ACE-010-AMA-U</t>
  </si>
  <si>
    <t>VLT-TOP-012-OLI-P</t>
  </si>
  <si>
    <t>VLT-TOP-012-OLI-G</t>
  </si>
  <si>
    <t>VLT-TOP-012-OLI-GG</t>
  </si>
  <si>
    <t>VLT-TOP-012-PRE-P</t>
  </si>
  <si>
    <t>VLT-TOP-012-PRE-M</t>
  </si>
  <si>
    <t>VLT-TOP-012-PRE-G</t>
  </si>
  <si>
    <t>VLT-TOP-012-PRE-GG</t>
  </si>
  <si>
    <t>VLT-SAI-008-VIN-P</t>
  </si>
  <si>
    <t>VLT-SAI-008-VIN-M</t>
  </si>
  <si>
    <t>VLT-SAI-008-VIN-G</t>
  </si>
  <si>
    <t>VLT-SAI-008-VIN-GG</t>
  </si>
  <si>
    <t>VLT-CMS-009-LIL-P</t>
  </si>
  <si>
    <t>VLT-CMS-009-LIL-M</t>
  </si>
  <si>
    <t>VLT-CMS-009-LIL-G</t>
  </si>
  <si>
    <t>VLT-CMS-009-LIL-GG</t>
  </si>
  <si>
    <t>VLT-VES-008-AZM-P</t>
  </si>
  <si>
    <t>VLT-VES-008-AZM-M</t>
  </si>
  <si>
    <t>VLT-VES-008-AZM-G</t>
  </si>
  <si>
    <t>VLT-VES-008-AZM-GG</t>
  </si>
  <si>
    <t>VLT-VES-008-OFF-P</t>
  </si>
  <si>
    <t>VLT-VES-008-OFF-M</t>
  </si>
  <si>
    <t>VLT-VES-008-OFF-G</t>
  </si>
  <si>
    <t>VLT-VES-008-OFF-GG</t>
  </si>
  <si>
    <t>VLT-CMS-010-MRR-P</t>
  </si>
  <si>
    <t>VLT-CMS-010-MRR-M</t>
  </si>
  <si>
    <t>VLT-CMS-010-MRR-G</t>
  </si>
  <si>
    <t>VLT-CMS-011-JES-P</t>
  </si>
  <si>
    <t>VLT-CMS-011-JES-M</t>
  </si>
  <si>
    <t>VLT-CMS-011-JES-G</t>
  </si>
  <si>
    <t>VLT-CMS-011-JES-GG</t>
  </si>
  <si>
    <t>VLT-CMS-011-JCL-P</t>
  </si>
  <si>
    <t>VLT-CMS-011-JCL-M</t>
  </si>
  <si>
    <t>VLT-CMS-011-JCL-G</t>
  </si>
  <si>
    <t>VLT-CMS-011-JCL-GG</t>
  </si>
  <si>
    <t>VLT-SAI-009-BRA-P</t>
  </si>
  <si>
    <t>VLT-SAI-009-BRA-M</t>
  </si>
  <si>
    <t>VLT-SAI-009-BRA-G</t>
  </si>
  <si>
    <t>VLT-SAI-009-BRA-GG</t>
  </si>
  <si>
    <t>VLT-SAI-009-BEG-P</t>
  </si>
  <si>
    <t>VLT-SAI-009-BEG-M</t>
  </si>
  <si>
    <t>VLT-SAI-009-BEG-G</t>
  </si>
  <si>
    <t>VLT-SAI-009-BEG-GG</t>
  </si>
  <si>
    <t>VLT-TOP-013-OLI-P</t>
  </si>
  <si>
    <t>VLT-TOP-013-OLI-M</t>
  </si>
  <si>
    <t>VLT-TOP-013-OLI-G</t>
  </si>
  <si>
    <t>VLT-TOP-013-OLI-GG</t>
  </si>
  <si>
    <t>VLT-TOP-014-AMA-P</t>
  </si>
  <si>
    <t>VLT-TOP-014-AMA-M</t>
  </si>
  <si>
    <t>VLT-TOP-014-AMA-G</t>
  </si>
  <si>
    <t>VLT-CAM-017-AMA-P</t>
  </si>
  <si>
    <t>VLT-CAM-017-AMA-M</t>
  </si>
  <si>
    <t>VLT-CAM-017-AMA-G</t>
  </si>
  <si>
    <t>VLT-CAM-017-AMA-GG</t>
  </si>
  <si>
    <t>VLT-CAM-018-LIL-P</t>
  </si>
  <si>
    <t>VLT-CAM-018-LIL-M</t>
  </si>
  <si>
    <t>VLT-CAM-018-LIL-G</t>
  </si>
  <si>
    <t>VLT-CAM-018-LIL-GG</t>
  </si>
  <si>
    <t>VLT-VES-009-BEG-P</t>
  </si>
  <si>
    <t>VLT-VES-009-BEG-M</t>
  </si>
  <si>
    <t>VLT-VES-009-BEG-G</t>
  </si>
  <si>
    <t>VLT-VES-009-PRE-P</t>
  </si>
  <si>
    <t>VLT-VES-009-PRE-M</t>
  </si>
  <si>
    <t>VLT-VES-009-PRE-G</t>
  </si>
  <si>
    <t>VLT-VES-010-CIN-P</t>
  </si>
  <si>
    <t>VLT-VES-010-CIN-M</t>
  </si>
  <si>
    <t>VLT-VES-010-CIN-G</t>
  </si>
  <si>
    <t>VLT-VES-010-CIN-GG</t>
  </si>
  <si>
    <t>VLT-VES-010-OFF-P</t>
  </si>
  <si>
    <t>VLT-VES-010-OFF-M</t>
  </si>
  <si>
    <t>VLT-VES-010-OFF-G</t>
  </si>
  <si>
    <t>VLT-VES-010-OFF-GG</t>
  </si>
  <si>
    <t>VLT-VES-010-MRR-P</t>
  </si>
  <si>
    <t>VLT-VES-010-MRR-M</t>
  </si>
  <si>
    <t>VLT-VES-010-MRR-G</t>
  </si>
  <si>
    <t>VLT-VES-010-MRR-GG</t>
  </si>
  <si>
    <t>VLT-TOP-015-VIN-P</t>
  </si>
  <si>
    <t>VLT-TOP-015-VIN-M</t>
  </si>
  <si>
    <t>VLT-TOP-015-VIN-G</t>
  </si>
  <si>
    <t>VLT-TOP-015-VIN-GG</t>
  </si>
  <si>
    <t>VLT-CMS-012-OLI-P</t>
  </si>
  <si>
    <t>VLT-CMS-012-OLI-M</t>
  </si>
  <si>
    <t>VLT-CMS-012-OLI-G</t>
  </si>
  <si>
    <t>VLT-CMS-012-OLI-GG</t>
  </si>
  <si>
    <t>VLT-CMS-012-AMA-P</t>
  </si>
  <si>
    <t>VLT-CMS-012-AMA-M</t>
  </si>
  <si>
    <t>VLT-CMS-012-AMA-G</t>
  </si>
  <si>
    <t>VLT-CMS-012-AMA-GG</t>
  </si>
  <si>
    <t>VLT-TRI-012-CIN-P</t>
  </si>
  <si>
    <t>VLT-TRI-012-CIN-M</t>
  </si>
  <si>
    <t>VLT-TRI-012-CIN-G</t>
  </si>
  <si>
    <t>VLT-TRI-012-CIN-GG</t>
  </si>
  <si>
    <t>VLT-CMS-013-BRA-P</t>
  </si>
  <si>
    <t>VLT-CMS-013-BRA-M</t>
  </si>
  <si>
    <t>VLT-CMS-013-BRA-G</t>
  </si>
  <si>
    <t>VLT-TOP-001-AMA-P</t>
  </si>
  <si>
    <t>VLT-TOP-001-AMA-M</t>
  </si>
  <si>
    <t>VLT-TOP-001-AMA-G</t>
  </si>
  <si>
    <t>VLT-TOP-001-AMA-GG</t>
  </si>
  <si>
    <t>VLT-JAQ-002-MRR-M</t>
  </si>
  <si>
    <t>VLT-JAQ-002-MRR-G</t>
  </si>
  <si>
    <t>VLT-CAM-019-OLI-P</t>
  </si>
  <si>
    <t>VLT-CAM-019-OLI-M</t>
  </si>
  <si>
    <t>VLT-CAM-019-OLI-G</t>
  </si>
  <si>
    <t>VLT-CAM-019-OLI-GG</t>
  </si>
  <si>
    <t>VLT-JAQ-007-OFF-P</t>
  </si>
  <si>
    <t>VLT-JAQ-007-OFF-M</t>
  </si>
  <si>
    <t>VLT-JAQ-007-OFF-G</t>
  </si>
  <si>
    <t>VLT-JAQ-007-OFF-GG</t>
  </si>
  <si>
    <t>VLT-MOL-013-MRR-P</t>
  </si>
  <si>
    <t>VLT-MOL-013-MRR-M</t>
  </si>
  <si>
    <t>VLT-MOL-013-MRR-G</t>
  </si>
  <si>
    <t>VLT-CMS-014-AMA-P</t>
  </si>
  <si>
    <t>VLT-CMS-014-AMA-M</t>
  </si>
  <si>
    <t>VLT-CMS-014-AMA-G</t>
  </si>
  <si>
    <t>VLT-CMS-014-AMA-GG</t>
  </si>
  <si>
    <t>VLT-VES-011-OFF-P</t>
  </si>
  <si>
    <t>VLT-VES-011-OFF-G</t>
  </si>
  <si>
    <t>VLT-SAI-010-CIN-M</t>
  </si>
  <si>
    <t>VLT-SAI-010-CIN-G</t>
  </si>
  <si>
    <t>VLT-SAI-010-CIN-GG</t>
  </si>
  <si>
    <t>VLT-CAM-020-AMA-M</t>
  </si>
  <si>
    <t>VLT-CAM-020-AMA-G</t>
  </si>
  <si>
    <t>VLT-CAM-020-AMA-GG</t>
  </si>
  <si>
    <t>VLT-CAM-020-LIL-P</t>
  </si>
  <si>
    <t>VLT-CAM-020-LIL-M</t>
  </si>
  <si>
    <t>VLT-CAM-020-LIL-G</t>
  </si>
  <si>
    <t>VLT-CAM-020-LIL-GG</t>
  </si>
  <si>
    <t>VLT-ACE-011-BRA-U</t>
  </si>
  <si>
    <t>VLT-SAI-011-CIN-P</t>
  </si>
  <si>
    <t>VLT-SAI-011-CIN-M</t>
  </si>
  <si>
    <t>VLT-SAI-011-CIN-G</t>
  </si>
  <si>
    <t>VLT-SAI-011-CIN-GG</t>
  </si>
  <si>
    <t>VLT-MOL-014-OLI-P</t>
  </si>
  <si>
    <t>VLT-MOL-014-OLI-M</t>
  </si>
  <si>
    <t>VLT-MOL-014-OLI-G</t>
  </si>
  <si>
    <t>VLT-MOL-014-OLI-GG</t>
  </si>
  <si>
    <t>VLT-MOL-014-AMA-M</t>
  </si>
  <si>
    <t>VLT-MOL-014-AMA-G</t>
  </si>
  <si>
    <t>VLT-MOL-014-AMA-GG</t>
  </si>
  <si>
    <t>VLT-MOL-015-AZM-P</t>
  </si>
  <si>
    <t>VLT-MOL-015-AZM-M</t>
  </si>
  <si>
    <t>VLT-MOL-015-AZM-G</t>
  </si>
  <si>
    <t>VLT-MOL-015-AZM-GG</t>
  </si>
  <si>
    <t>VLT-JAQ-001-OLI-G</t>
  </si>
  <si>
    <t>VLT-JAQ-001-OLI-GG</t>
  </si>
  <si>
    <t>VLT-JAQ-001-BRA-P</t>
  </si>
  <si>
    <t>VLT-JAQ-001-BRA-M</t>
  </si>
  <si>
    <t>VLT-JAQ-001-BRA-G</t>
  </si>
  <si>
    <t>VLT-JAQ-001-BRA-GG</t>
  </si>
  <si>
    <t>VLT-MOL-002-BRA-P</t>
  </si>
  <si>
    <t>VLT-MOL-002-BRA-M</t>
  </si>
  <si>
    <t>VLT-MOL-002-BRA-GG</t>
  </si>
  <si>
    <t>VLT-TRI-013-MRR-P</t>
  </si>
  <si>
    <t>VLT-TRI-013-MRR-M</t>
  </si>
  <si>
    <t>VLT-TRI-013-MRR-G</t>
  </si>
  <si>
    <t>VLT-TRI-013-MRR-GG</t>
  </si>
  <si>
    <t>VLT-JAQ-009-AMA-M</t>
  </si>
  <si>
    <t>VLT-JAQ-009-AMA-G</t>
  </si>
  <si>
    <t>VLT-JAQ-009-AMA-GG</t>
  </si>
  <si>
    <t>VLT-JAQ-010-VIN-P</t>
  </si>
  <si>
    <t>VLT-JAQ-010-VIN-M</t>
  </si>
  <si>
    <t>VLT-JAQ-010-VIN-G</t>
  </si>
  <si>
    <t>VLT-JAQ-010-VIN-GG</t>
  </si>
  <si>
    <t>VLT-JAQ-010-OLI-P</t>
  </si>
  <si>
    <t>VLT-JAQ-010-OLI-M</t>
  </si>
  <si>
    <t>VLT-JAQ-010-OLI-G</t>
  </si>
  <si>
    <t>VLT-JAQ-010-OLI-GG</t>
  </si>
  <si>
    <t>VLT-TRI-001-MRR-M</t>
  </si>
  <si>
    <t>VLT-TRI-001-MRR-G</t>
  </si>
  <si>
    <t>VLT-SAI-012-BEG-P</t>
  </si>
  <si>
    <t>VLT-SAI-012-BEG-G</t>
  </si>
  <si>
    <t>VLT-SAI-012-BEG-GG</t>
  </si>
  <si>
    <t>VLT-MOL-017-LIL-P</t>
  </si>
  <si>
    <t>VLT-MOL-017-LIL-M</t>
  </si>
  <si>
    <t>VLT-MOL-017-LIL-G</t>
  </si>
  <si>
    <t>VLT-MOL-017-LIL-GG</t>
  </si>
  <si>
    <t>VLT-ACE-012-AZM-U</t>
  </si>
  <si>
    <t>VLT-MOL-018-BRA-P</t>
  </si>
  <si>
    <t>VLT-MOL-018-BRA-M</t>
  </si>
  <si>
    <t>VLT-MOL-018-BRA-G</t>
  </si>
  <si>
    <t>VLT-MOL-018-BRA-GG</t>
  </si>
  <si>
    <t>VLT-ACE-013-OLI-U</t>
  </si>
  <si>
    <t>VLT-CAM-021-AZM-P</t>
  </si>
  <si>
    <t>VLT-CAM-021-AZM-M</t>
  </si>
  <si>
    <t>VLT-CAM-021-AZM-G</t>
  </si>
  <si>
    <t>VLT-CAM-021-AZM-GG</t>
  </si>
  <si>
    <t>VLT-CAM-022-MRR-P</t>
  </si>
  <si>
    <t>VLT-CAM-022-MRR-M</t>
  </si>
  <si>
    <t>VLT-CAM-022-MRR-G</t>
  </si>
  <si>
    <t>VLT-CAM-022-MRR-GG</t>
  </si>
  <si>
    <t>VLT-CMS-015-LIL-P</t>
  </si>
  <si>
    <t>VLT-CMS-015-LIL-M</t>
  </si>
  <si>
    <t>VLT-CMS-015-LIL-G</t>
  </si>
  <si>
    <t>VLT-CMS-015-OFF-P</t>
  </si>
  <si>
    <t>VLT-CMS-015-OFF-M</t>
  </si>
  <si>
    <t>VLT-CMS-015-OFF-G</t>
  </si>
  <si>
    <t>VLT-CAM-023-AMA-P</t>
  </si>
  <si>
    <t>VLT-CAM-023-AMA-M</t>
  </si>
  <si>
    <t>VLT-CAM-023-AMA-G</t>
  </si>
  <si>
    <t>VLT-CAM-023-AMA-GG</t>
  </si>
  <si>
    <t>VLT-MOL-019-OLI-P</t>
  </si>
  <si>
    <t>VLT-MOL-019-OLI-GG</t>
  </si>
  <si>
    <t>VLT-CAM-024-LIL-P</t>
  </si>
  <si>
    <t>VLT-CAM-024-LIL-M</t>
  </si>
  <si>
    <t>VLT-CAM-024-LIL-G</t>
  </si>
  <si>
    <t>VLT-CAM-024-LIL-GG</t>
  </si>
  <si>
    <t>VLT-CAM-024-AMA-P</t>
  </si>
  <si>
    <t>VLT-CAM-024-AMA-M</t>
  </si>
  <si>
    <t>VLT-CAM-024-AMA-G</t>
  </si>
  <si>
    <t>VLT-CAM-024-AMA-GG</t>
  </si>
  <si>
    <t>VLT-MOL-020-VIN-P</t>
  </si>
  <si>
    <t>VLT-MOL-020-VIN-M</t>
  </si>
  <si>
    <t>VLT-MOL-020-VIN-G</t>
  </si>
  <si>
    <t>VLT-MOL-020-VIN-GG</t>
  </si>
  <si>
    <t>VLT-CAM-025-MRR-P</t>
  </si>
  <si>
    <t>VLT-CAM-025-MRR-M</t>
  </si>
  <si>
    <t>VLT-CAM-025-MRR-G</t>
  </si>
  <si>
    <t>VLT-CAM-025-MRR-GG</t>
  </si>
  <si>
    <t>VLT-TRI-015-OLI-P</t>
  </si>
  <si>
    <t>VLT-TRI-015-OLI-M</t>
  </si>
  <si>
    <t>VLT-TRI-015-OLI-G</t>
  </si>
  <si>
    <t>VLT-TRI-015-OLI-GG</t>
  </si>
  <si>
    <t>VLT-MOL-001-MRR-P</t>
  </si>
  <si>
    <t>VLT-MOL-001-MRR-M</t>
  </si>
  <si>
    <t>VLT-MOL-001-MRR-GG</t>
  </si>
  <si>
    <t>VLT-CMS-016-VIN-P</t>
  </si>
  <si>
    <t>VLT-CMS-016-VIN-M</t>
  </si>
  <si>
    <t>VLT-CMS-016-VIN-G</t>
  </si>
  <si>
    <t>VLT-CMS-016-VIN-GG</t>
  </si>
  <si>
    <t>VLT-CMS-016-BRA-M</t>
  </si>
  <si>
    <t>VLT-CMS-016-BRA-G</t>
  </si>
  <si>
    <t>VLT-CMS-016-BRA-GG</t>
  </si>
  <si>
    <t>VLT-MOL-022-AMA-P</t>
  </si>
  <si>
    <t>VLT-MOL-022-AMA-M</t>
  </si>
  <si>
    <t>VLT-MOL-022-AMA-G</t>
  </si>
  <si>
    <t>VLT-MOL-022-AMA-GG</t>
  </si>
  <si>
    <t>VLT-JAQ-011-OLI-P</t>
  </si>
  <si>
    <t>VLT-JAQ-011-OLI-M</t>
  </si>
  <si>
    <t>VLT-JAQ-011-OLI-G</t>
  </si>
  <si>
    <t>VLT-JAQ-011-OLI-GG</t>
  </si>
  <si>
    <t>MOL002VP</t>
  </si>
  <si>
    <t>CAL001V36</t>
  </si>
  <si>
    <t>CAL001V38</t>
  </si>
  <si>
    <t>CAL001V42</t>
  </si>
  <si>
    <t>CAL001V44</t>
  </si>
  <si>
    <t>CAL001H36</t>
  </si>
  <si>
    <t>CAL001H40</t>
  </si>
  <si>
    <t>CAL001H44</t>
  </si>
  <si>
    <t>SAI001GM</t>
  </si>
  <si>
    <t>SAI001JP</t>
  </si>
  <si>
    <t>SAI001JM</t>
  </si>
  <si>
    <t>BER001B38</t>
  </si>
  <si>
    <t>BER001B40</t>
  </si>
  <si>
    <t>BER001B42</t>
  </si>
  <si>
    <t>BER001B44</t>
  </si>
  <si>
    <t>CAL003P38</t>
  </si>
  <si>
    <t>CAL003P40</t>
  </si>
  <si>
    <t>CAL003P42</t>
  </si>
  <si>
    <t>CAL003P44</t>
  </si>
  <si>
    <t>CAL004C36</t>
  </si>
  <si>
    <t>CAL004C38</t>
  </si>
  <si>
    <t>CAL004C40</t>
  </si>
  <si>
    <t>CAL004C42</t>
  </si>
  <si>
    <t>CAL004C44</t>
  </si>
  <si>
    <t>CAL004C46</t>
  </si>
  <si>
    <t>CAL004G36</t>
  </si>
  <si>
    <t>CAL004G38</t>
  </si>
  <si>
    <t>CAL004G40</t>
  </si>
  <si>
    <t>CAL004G46</t>
  </si>
  <si>
    <t>CAL005P36</t>
  </si>
  <si>
    <t>CAL005P38</t>
  </si>
  <si>
    <t>CAL005P40</t>
  </si>
  <si>
    <t>CAL005P42</t>
  </si>
  <si>
    <t>CAL005P44</t>
  </si>
  <si>
    <t>TOP002AP</t>
  </si>
  <si>
    <t>TOP002AM</t>
  </si>
  <si>
    <t>TOP002AG</t>
  </si>
  <si>
    <t>TOP002AGG</t>
  </si>
  <si>
    <t>TOP002PM</t>
  </si>
  <si>
    <t>TOP002PG</t>
  </si>
  <si>
    <t>TOP002PGG</t>
  </si>
  <si>
    <t>BER002C36</t>
  </si>
  <si>
    <t>BER002C38</t>
  </si>
  <si>
    <t>BER002C40</t>
  </si>
  <si>
    <t>BER002C42</t>
  </si>
  <si>
    <t>BER002C44</t>
  </si>
  <si>
    <t>BER003B36</t>
  </si>
  <si>
    <t>BER003B38</t>
  </si>
  <si>
    <t>BER003B40</t>
  </si>
  <si>
    <t>BER003B42</t>
  </si>
  <si>
    <t>BER003B44</t>
  </si>
  <si>
    <t>BER003B46</t>
  </si>
  <si>
    <t>ACE003GU</t>
  </si>
  <si>
    <t>CAM001CP</t>
  </si>
  <si>
    <t>CAM001CM</t>
  </si>
  <si>
    <t>CAM001CG</t>
  </si>
  <si>
    <t>CAM001CGG</t>
  </si>
  <si>
    <t>ACE004CU</t>
  </si>
  <si>
    <t>MOL003AP</t>
  </si>
  <si>
    <t>MOL003AM</t>
  </si>
  <si>
    <t>MOL003AG</t>
  </si>
  <si>
    <t>MOL003AGG</t>
  </si>
  <si>
    <t>MOL003GM</t>
  </si>
  <si>
    <t>MOL003GG</t>
  </si>
  <si>
    <t>MOL003GGG</t>
  </si>
  <si>
    <t>SAI002BP</t>
  </si>
  <si>
    <t>SAI002BM</t>
  </si>
  <si>
    <t>SAI002BG</t>
  </si>
  <si>
    <t>SAI002BGG</t>
  </si>
  <si>
    <t>SAI002OP</t>
  </si>
  <si>
    <t>SAI002OM</t>
  </si>
  <si>
    <t>SAI002OG</t>
  </si>
  <si>
    <t>SAI002OGG</t>
  </si>
  <si>
    <t>CAL006J36</t>
  </si>
  <si>
    <t>CAL006J38</t>
  </si>
  <si>
    <t>CAL006J40</t>
  </si>
  <si>
    <t>CAL006J42</t>
  </si>
  <si>
    <t>CAL006J44</t>
  </si>
  <si>
    <t>CAL006G36</t>
  </si>
  <si>
    <t>CAL006G38</t>
  </si>
  <si>
    <t>CAL007A38</t>
  </si>
  <si>
    <t>CAL007A40</t>
  </si>
  <si>
    <t>CAL007A42</t>
  </si>
  <si>
    <t>CAL007A44</t>
  </si>
  <si>
    <t>TRI004BP</t>
  </si>
  <si>
    <t>TRI004BM</t>
  </si>
  <si>
    <t>TRI004BG</t>
  </si>
  <si>
    <t>TRI004BGG</t>
  </si>
  <si>
    <t>CMS001GP</t>
  </si>
  <si>
    <t>CMS001GM</t>
  </si>
  <si>
    <t>CMS001GG</t>
  </si>
  <si>
    <t>CAM002APP</t>
  </si>
  <si>
    <t>CAM002AP</t>
  </si>
  <si>
    <t>CAM002AM</t>
  </si>
  <si>
    <t>CAM002AG</t>
  </si>
  <si>
    <t>CAM002AGG</t>
  </si>
  <si>
    <t>CMS002GP</t>
  </si>
  <si>
    <t>CMS002GM</t>
  </si>
  <si>
    <t>CMS002GG</t>
  </si>
  <si>
    <t>CMS002GGG</t>
  </si>
  <si>
    <t>CAM003CP</t>
  </si>
  <si>
    <t>CAM003CM</t>
  </si>
  <si>
    <t>CAM003CG</t>
  </si>
  <si>
    <t>CAM003CGG</t>
  </si>
  <si>
    <t>CAM003AP</t>
  </si>
  <si>
    <t>CAM003AM</t>
  </si>
  <si>
    <t>CAM003AG</t>
  </si>
  <si>
    <t>CAM003AGG</t>
  </si>
  <si>
    <t>MOL004BP</t>
  </si>
  <si>
    <t>MOL004BM</t>
  </si>
  <si>
    <t>MOL004BG</t>
  </si>
  <si>
    <t>MOL004BGG</t>
  </si>
  <si>
    <t>CAM004BP</t>
  </si>
  <si>
    <t>CAM004BM</t>
  </si>
  <si>
    <t>CAM004BG</t>
  </si>
  <si>
    <t>CAM004BGG</t>
  </si>
  <si>
    <t>CAM004CP</t>
  </si>
  <si>
    <t>CAM004CM</t>
  </si>
  <si>
    <t>CAM004CG</t>
  </si>
  <si>
    <t>CAM004CGG</t>
  </si>
  <si>
    <t>CAM004PP</t>
  </si>
  <si>
    <t>CAM004PM</t>
  </si>
  <si>
    <t>CAM004PG</t>
  </si>
  <si>
    <t>CAM004PGG</t>
  </si>
  <si>
    <t>TOP003BM</t>
  </si>
  <si>
    <t>TOP003BG</t>
  </si>
  <si>
    <t>TOP003BGG</t>
  </si>
  <si>
    <t>CMS003BPP</t>
  </si>
  <si>
    <t>CMS003BP</t>
  </si>
  <si>
    <t>CMS003BM</t>
  </si>
  <si>
    <t>CMS003BG</t>
  </si>
  <si>
    <t>CMS003BGG</t>
  </si>
  <si>
    <t>MOL005OPP</t>
  </si>
  <si>
    <t>MOL005OP</t>
  </si>
  <si>
    <t>MOL005OM</t>
  </si>
  <si>
    <t>MOL005OG</t>
  </si>
  <si>
    <t>MOL005OGG</t>
  </si>
  <si>
    <t>CAM005OP</t>
  </si>
  <si>
    <t>CAM005OM</t>
  </si>
  <si>
    <t>CAM005OG</t>
  </si>
  <si>
    <t>CAM005OGG</t>
  </si>
  <si>
    <t>CAL008B38</t>
  </si>
  <si>
    <t>CAL008B40</t>
  </si>
  <si>
    <t>CAL008B42</t>
  </si>
  <si>
    <t>CAL008B44</t>
  </si>
  <si>
    <t>CAL008A38</t>
  </si>
  <si>
    <t>CAL008A40</t>
  </si>
  <si>
    <t>CAL008A42</t>
  </si>
  <si>
    <t>CAL008A44</t>
  </si>
  <si>
    <t>CAL008O38</t>
  </si>
  <si>
    <t>CAL008O40</t>
  </si>
  <si>
    <t>CAL008O42</t>
  </si>
  <si>
    <t>CAL008O44</t>
  </si>
  <si>
    <t>CAL009O36</t>
  </si>
  <si>
    <t>CAL009O38</t>
  </si>
  <si>
    <t>CAL009O40</t>
  </si>
  <si>
    <t>CAL009O42</t>
  </si>
  <si>
    <t>CAL009O44</t>
  </si>
  <si>
    <t>BER004E38</t>
  </si>
  <si>
    <t>BER004E40</t>
  </si>
  <si>
    <t>BER004E42</t>
  </si>
  <si>
    <t>BER004E44</t>
  </si>
  <si>
    <t>CMS004AP</t>
  </si>
  <si>
    <t>CMS005BP</t>
  </si>
  <si>
    <t>CMS005BM</t>
  </si>
  <si>
    <t>CMS005BG</t>
  </si>
  <si>
    <t>CMS005BGG</t>
  </si>
  <si>
    <t>CAL010M38</t>
  </si>
  <si>
    <t>CAL010M42</t>
  </si>
  <si>
    <t>CAL010M44</t>
  </si>
  <si>
    <t>MOL006YP</t>
  </si>
  <si>
    <t>MOL006YM</t>
  </si>
  <si>
    <t>MOL006YG</t>
  </si>
  <si>
    <t>MOL006YGG</t>
  </si>
  <si>
    <t>VES001AP</t>
  </si>
  <si>
    <t>VES001AM</t>
  </si>
  <si>
    <t>VES001AG</t>
  </si>
  <si>
    <t>SAI003OP</t>
  </si>
  <si>
    <t>SAI003OM</t>
  </si>
  <si>
    <t>SAI003OG</t>
  </si>
  <si>
    <t>CAM006HGG</t>
  </si>
  <si>
    <t>SAI004MP</t>
  </si>
  <si>
    <t>SAI004MM</t>
  </si>
  <si>
    <t>SAI004MG</t>
  </si>
  <si>
    <t>SAI004MGG</t>
  </si>
  <si>
    <t>SAI005OP</t>
  </si>
  <si>
    <t>SAI005OM</t>
  </si>
  <si>
    <t>SAI005OG</t>
  </si>
  <si>
    <t>CMS006YM</t>
  </si>
  <si>
    <t>CAM007CP</t>
  </si>
  <si>
    <t>CAM007CM</t>
  </si>
  <si>
    <t>CAM007CG</t>
  </si>
  <si>
    <t>CAM007CGG</t>
  </si>
  <si>
    <t>BER005H36</t>
  </si>
  <si>
    <t>BER005H38</t>
  </si>
  <si>
    <t>BER005H40</t>
  </si>
  <si>
    <t>BER005H42</t>
  </si>
  <si>
    <t>TOP004VP</t>
  </si>
  <si>
    <t>TOP004VM</t>
  </si>
  <si>
    <t>TOP004VGG</t>
  </si>
  <si>
    <t>MOL007CP</t>
  </si>
  <si>
    <t>MOL007CM</t>
  </si>
  <si>
    <t>MOL007CG</t>
  </si>
  <si>
    <t>MOL007CGG</t>
  </si>
  <si>
    <t>MOL008HP</t>
  </si>
  <si>
    <t>MOL008HM</t>
  </si>
  <si>
    <t>MOL008HGG</t>
  </si>
  <si>
    <t>MOL008LP</t>
  </si>
  <si>
    <t>MOL008LM</t>
  </si>
  <si>
    <t>MOL008LGG</t>
  </si>
  <si>
    <t>VES002MP</t>
  </si>
  <si>
    <t>VES002MM</t>
  </si>
  <si>
    <t>VES002MG</t>
  </si>
  <si>
    <t>VES002MGG</t>
  </si>
  <si>
    <t>TOP005OP</t>
  </si>
  <si>
    <t>TOP005OM</t>
  </si>
  <si>
    <t>TOP005OG</t>
  </si>
  <si>
    <t>TOP005OGG</t>
  </si>
  <si>
    <t>VES003CP</t>
  </si>
  <si>
    <t>VES003CM</t>
  </si>
  <si>
    <t>VES003CG</t>
  </si>
  <si>
    <t>VES003CGG</t>
  </si>
  <si>
    <t>VES003YP</t>
  </si>
  <si>
    <t>VES004YPP</t>
  </si>
  <si>
    <t>VES004YP</t>
  </si>
  <si>
    <t>VES004YM</t>
  </si>
  <si>
    <t>VES004YGG</t>
  </si>
  <si>
    <t>VES005PP</t>
  </si>
  <si>
    <t>VES005PM</t>
  </si>
  <si>
    <t>VES005PG</t>
  </si>
  <si>
    <t>VES005PGG</t>
  </si>
  <si>
    <t>TOP006MP</t>
  </si>
  <si>
    <t>TOP006MM</t>
  </si>
  <si>
    <t>TOP006MG</t>
  </si>
  <si>
    <t>TOP006MGG</t>
  </si>
  <si>
    <t>MOL009MP</t>
  </si>
  <si>
    <t>MOL009MM</t>
  </si>
  <si>
    <t>MOL009MG</t>
  </si>
  <si>
    <t>MOL009MGG</t>
  </si>
  <si>
    <t>TOP008GP</t>
  </si>
  <si>
    <t>TOP008GM</t>
  </si>
  <si>
    <t>TOP008GG</t>
  </si>
  <si>
    <t>CAM009HP</t>
  </si>
  <si>
    <t>CAM009HM</t>
  </si>
  <si>
    <t>CAM009HG</t>
  </si>
  <si>
    <t>CAM009HGG</t>
  </si>
  <si>
    <t>ACE007GU</t>
  </si>
  <si>
    <t>TOP009GP</t>
  </si>
  <si>
    <t>TOP009GM</t>
  </si>
  <si>
    <t>TOP009GG</t>
  </si>
  <si>
    <t>TOP010YP</t>
  </si>
  <si>
    <t>TOP010YG</t>
  </si>
  <si>
    <t>TOP010HP</t>
  </si>
  <si>
    <t>TOP010HM</t>
  </si>
  <si>
    <t>TOP010HG</t>
  </si>
  <si>
    <t>CAM010VP</t>
  </si>
  <si>
    <t>CAM010VM</t>
  </si>
  <si>
    <t>CAM010VG</t>
  </si>
  <si>
    <t>CAM010VGG</t>
  </si>
  <si>
    <t>CAM010HP</t>
  </si>
  <si>
    <t>CAM010HM</t>
  </si>
  <si>
    <t>CAM010HG</t>
  </si>
  <si>
    <t>CAM011HP</t>
  </si>
  <si>
    <t>CAM011HG</t>
  </si>
  <si>
    <t>CMS007LP</t>
  </si>
  <si>
    <t>CMS007LM</t>
  </si>
  <si>
    <t>CMS007LG</t>
  </si>
  <si>
    <t>CMS007BP</t>
  </si>
  <si>
    <t>CMS007BM</t>
  </si>
  <si>
    <t>CMS007BG</t>
  </si>
  <si>
    <t>CMS007BGG</t>
  </si>
  <si>
    <t>CAM012VP</t>
  </si>
  <si>
    <t>CAM012VM</t>
  </si>
  <si>
    <t>CAM012VG</t>
  </si>
  <si>
    <t>CAM012VGG</t>
  </si>
  <si>
    <t>MOL010YP</t>
  </si>
  <si>
    <t>MOL010YM</t>
  </si>
  <si>
    <t>MOL010YG</t>
  </si>
  <si>
    <t>JAQ004HP</t>
  </si>
  <si>
    <t>JAQ004HM</t>
  </si>
  <si>
    <t>JAQ004HG</t>
  </si>
  <si>
    <t>JAQ004HGG</t>
  </si>
  <si>
    <t>CAL011L36</t>
  </si>
  <si>
    <t>CAL011L38</t>
  </si>
  <si>
    <t>CAL011L40</t>
  </si>
  <si>
    <t>CAL011L42</t>
  </si>
  <si>
    <t>CAL011L44</t>
  </si>
  <si>
    <t>ACE008VU</t>
  </si>
  <si>
    <t>VES006MP</t>
  </si>
  <si>
    <t>VES006MM</t>
  </si>
  <si>
    <t>VES006MG</t>
  </si>
  <si>
    <t>VES006MGG</t>
  </si>
  <si>
    <t>VES006HP</t>
  </si>
  <si>
    <t>VES006HM</t>
  </si>
  <si>
    <t>VES006HG</t>
  </si>
  <si>
    <t>VES006HGG</t>
  </si>
  <si>
    <t>TRI005VP</t>
  </si>
  <si>
    <t>TRI005VM</t>
  </si>
  <si>
    <t>TRI005VG</t>
  </si>
  <si>
    <t>TRI005VGG</t>
  </si>
  <si>
    <t>CAM013VPP</t>
  </si>
  <si>
    <t>CAM013VP</t>
  </si>
  <si>
    <t>CAM013VM</t>
  </si>
  <si>
    <t>CAM013VG</t>
  </si>
  <si>
    <t>CAM013VGG</t>
  </si>
  <si>
    <t>CAM014LP</t>
  </si>
  <si>
    <t>CAM014LG</t>
  </si>
  <si>
    <t>CAM014CM</t>
  </si>
  <si>
    <t>SAI006PPP</t>
  </si>
  <si>
    <t>SAI006PP</t>
  </si>
  <si>
    <t>SAI006PM</t>
  </si>
  <si>
    <t>SAI006PG</t>
  </si>
  <si>
    <t>SAI006PGG</t>
  </si>
  <si>
    <t>TRI006GP</t>
  </si>
  <si>
    <t>TRI006GM</t>
  </si>
  <si>
    <t>TRI006GG</t>
  </si>
  <si>
    <t>TRI006GGG</t>
  </si>
  <si>
    <t>CAL012P38</t>
  </si>
  <si>
    <t>CAL012P40</t>
  </si>
  <si>
    <t>CAL012P42</t>
  </si>
  <si>
    <t>CAL012P44</t>
  </si>
  <si>
    <t>TRI007LPP</t>
  </si>
  <si>
    <t>TRI007LP</t>
  </si>
  <si>
    <t>TRI007LM</t>
  </si>
  <si>
    <t>TRI007LG</t>
  </si>
  <si>
    <t>TRI007LGG</t>
  </si>
  <si>
    <t>BER006L36</t>
  </si>
  <si>
    <t>BER006L38</t>
  </si>
  <si>
    <t>BER006L40</t>
  </si>
  <si>
    <t>BER006L42</t>
  </si>
  <si>
    <t>BER006L44</t>
  </si>
  <si>
    <t>CAL013M36</t>
  </si>
  <si>
    <t>CAL013M38</t>
  </si>
  <si>
    <t>CAL013M40</t>
  </si>
  <si>
    <t>CAL013M42</t>
  </si>
  <si>
    <t>CAL013M44</t>
  </si>
  <si>
    <t>VES007VP</t>
  </si>
  <si>
    <t>VES007VM</t>
  </si>
  <si>
    <t>VES007VG</t>
  </si>
  <si>
    <t>VES007VGG</t>
  </si>
  <si>
    <t>TRI008LP</t>
  </si>
  <si>
    <t>TRI008LM</t>
  </si>
  <si>
    <t>TRI008LG</t>
  </si>
  <si>
    <t>ACE009VU</t>
  </si>
  <si>
    <t>ACE009BU</t>
  </si>
  <si>
    <t>CAL014A36</t>
  </si>
  <si>
    <t>CAL014A38</t>
  </si>
  <si>
    <t>CAL014A40</t>
  </si>
  <si>
    <t>CAL014A42</t>
  </si>
  <si>
    <t>CAL014A44</t>
  </si>
  <si>
    <t>CAM015CP</t>
  </si>
  <si>
    <t>CAM015CM</t>
  </si>
  <si>
    <t>CAM015CG</t>
  </si>
  <si>
    <t>SAI007HP</t>
  </si>
  <si>
    <t>SAI007HM</t>
  </si>
  <si>
    <t>SAI007HG</t>
  </si>
  <si>
    <t>TRI009YP</t>
  </si>
  <si>
    <t>TRI009YM</t>
  </si>
  <si>
    <t>TRI009YG</t>
  </si>
  <si>
    <t>TRI009YGG</t>
  </si>
  <si>
    <t>MOL012OPP</t>
  </si>
  <si>
    <t>MOL012OP</t>
  </si>
  <si>
    <t>MOL012OM</t>
  </si>
  <si>
    <t>MOL012OG</t>
  </si>
  <si>
    <t>MOL012OGG</t>
  </si>
  <si>
    <t>CAL015G36</t>
  </si>
  <si>
    <t>CAL015G38</t>
  </si>
  <si>
    <t>CAL015G40</t>
  </si>
  <si>
    <t>CAL015G42</t>
  </si>
  <si>
    <t>CAL015G44</t>
  </si>
  <si>
    <t>CAL016V36</t>
  </si>
  <si>
    <t>CAL016V38</t>
  </si>
  <si>
    <t>CAL016V40</t>
  </si>
  <si>
    <t>CAL016V42</t>
  </si>
  <si>
    <t>CAL016V44</t>
  </si>
  <si>
    <t>CAL017H38</t>
  </si>
  <si>
    <t>CAL017H40</t>
  </si>
  <si>
    <t>CAL017H42</t>
  </si>
  <si>
    <t>TRI010VM</t>
  </si>
  <si>
    <t>TRI010VG</t>
  </si>
  <si>
    <t>TRI011GP</t>
  </si>
  <si>
    <t>TRI011GM</t>
  </si>
  <si>
    <t>TRI011GG</t>
  </si>
  <si>
    <t>CAL018G36</t>
  </si>
  <si>
    <t>CAL018G38</t>
  </si>
  <si>
    <t>CAL018G40</t>
  </si>
  <si>
    <t>CAL018G42</t>
  </si>
  <si>
    <t>CAL018G44</t>
  </si>
  <si>
    <t>TOP011CP</t>
  </si>
  <si>
    <t>TOP011CM</t>
  </si>
  <si>
    <t>TOP011CG</t>
  </si>
  <si>
    <t>TOP011CGG</t>
  </si>
  <si>
    <t>JAQ005YP</t>
  </si>
  <si>
    <t>JAQ005YM</t>
  </si>
  <si>
    <t>JAQ005YG</t>
  </si>
  <si>
    <t>JAQ005YGG</t>
  </si>
  <si>
    <t>CAL019B38</t>
  </si>
  <si>
    <t>CAL020Y36</t>
  </si>
  <si>
    <t>CAL020Y38</t>
  </si>
  <si>
    <t>CAL020Y42</t>
  </si>
  <si>
    <t>CAL020Y44</t>
  </si>
  <si>
    <t>CAM016GP</t>
  </si>
  <si>
    <t>CAM016GG</t>
  </si>
  <si>
    <t>CMS008VP</t>
  </si>
  <si>
    <t>CMS008VM</t>
  </si>
  <si>
    <t>CMS008VG</t>
  </si>
  <si>
    <t>CMS008VGG</t>
  </si>
  <si>
    <t>ACE010GU</t>
  </si>
  <si>
    <t>ACE010LU</t>
  </si>
  <si>
    <t>ACE010YU</t>
  </si>
  <si>
    <t>TOP012VP</t>
  </si>
  <si>
    <t>TOP012VM</t>
  </si>
  <si>
    <t>TOP012VG</t>
  </si>
  <si>
    <t>TOP012VGG</t>
  </si>
  <si>
    <t>TOP012PP</t>
  </si>
  <si>
    <t>TOP012PG</t>
  </si>
  <si>
    <t>SAI008HP</t>
  </si>
  <si>
    <t>SAI008HM</t>
  </si>
  <si>
    <t>SAI008HG</t>
  </si>
  <si>
    <t>SAI008HGG</t>
  </si>
  <si>
    <t>CAL021P36</t>
  </si>
  <si>
    <t>CAL021P40</t>
  </si>
  <si>
    <t>CAL021P42</t>
  </si>
  <si>
    <t>CAL021P44</t>
  </si>
  <si>
    <t>CMS009LPP</t>
  </si>
  <si>
    <t>CMS009LP</t>
  </si>
  <si>
    <t>CMS009LM</t>
  </si>
  <si>
    <t>CMS009LG</t>
  </si>
  <si>
    <t>CMS009LGG</t>
  </si>
  <si>
    <t>VES008AP</t>
  </si>
  <si>
    <t>VES008AM</t>
  </si>
  <si>
    <t>VES008AG</t>
  </si>
  <si>
    <t>VES008AGG</t>
  </si>
  <si>
    <t>VES008OP</t>
  </si>
  <si>
    <t>VES008OM</t>
  </si>
  <si>
    <t>VES008OG</t>
  </si>
  <si>
    <t>VES008OGG</t>
  </si>
  <si>
    <t>CAL023L36</t>
  </si>
  <si>
    <t>CAL023L38</t>
  </si>
  <si>
    <t>CAL023L40</t>
  </si>
  <si>
    <t>CAL023L42</t>
  </si>
  <si>
    <t>CAL023L44</t>
  </si>
  <si>
    <t>BER007A38</t>
  </si>
  <si>
    <t>BER007A40</t>
  </si>
  <si>
    <t>BER007A42</t>
  </si>
  <si>
    <t>BER007A44</t>
  </si>
  <si>
    <t>CMS010MP</t>
  </si>
  <si>
    <t>CMS010MM</t>
  </si>
  <si>
    <t>CMS010MG</t>
  </si>
  <si>
    <t>CMS010MGG</t>
  </si>
  <si>
    <t>CMS011EP</t>
  </si>
  <si>
    <t>CMS011EM</t>
  </si>
  <si>
    <t>CMS011EG</t>
  </si>
  <si>
    <t>CMS011EGG</t>
  </si>
  <si>
    <t>CMS011JP</t>
  </si>
  <si>
    <t>CMS011JM</t>
  </si>
  <si>
    <t>CMS011JG</t>
  </si>
  <si>
    <t>CMS011JGG</t>
  </si>
  <si>
    <t>SAI009BP</t>
  </si>
  <si>
    <t>SAI009BM</t>
  </si>
  <si>
    <t>SAI009BG</t>
  </si>
  <si>
    <t>SAI009BGG</t>
  </si>
  <si>
    <t>SAI009GP</t>
  </si>
  <si>
    <t>SAI009GM</t>
  </si>
  <si>
    <t>SAI009GG</t>
  </si>
  <si>
    <t>SAI009GGG</t>
  </si>
  <si>
    <t>TOP013VM</t>
  </si>
  <si>
    <t>TOP013VG</t>
  </si>
  <si>
    <t>TOP013VGG</t>
  </si>
  <si>
    <t>BER008G36</t>
  </si>
  <si>
    <t>BER008G38</t>
  </si>
  <si>
    <t>BER008G40</t>
  </si>
  <si>
    <t>BER008G42</t>
  </si>
  <si>
    <t>BER008G44</t>
  </si>
  <si>
    <t>BER008G46</t>
  </si>
  <si>
    <t>TOP014YP</t>
  </si>
  <si>
    <t>TOP014YM</t>
  </si>
  <si>
    <t>TOP014YG</t>
  </si>
  <si>
    <t>CAM017YP</t>
  </si>
  <si>
    <t>CAM017YM</t>
  </si>
  <si>
    <t>CAM017YG</t>
  </si>
  <si>
    <t>CAM018LP</t>
  </si>
  <si>
    <t>CAM018LM</t>
  </si>
  <si>
    <t>CAM018LG</t>
  </si>
  <si>
    <t>CAM018LGG</t>
  </si>
  <si>
    <t>VES009GP</t>
  </si>
  <si>
    <t>VES009GM</t>
  </si>
  <si>
    <t>VES009GG</t>
  </si>
  <si>
    <t>VES009PP</t>
  </si>
  <si>
    <t>VES009PM</t>
  </si>
  <si>
    <t>VES009PG</t>
  </si>
  <si>
    <t>VES010CP</t>
  </si>
  <si>
    <t>VES010CG</t>
  </si>
  <si>
    <t>VES010CGG</t>
  </si>
  <si>
    <t>VES010OP</t>
  </si>
  <si>
    <t>VES010OG</t>
  </si>
  <si>
    <t>VES010MP</t>
  </si>
  <si>
    <t>VES010MM</t>
  </si>
  <si>
    <t>VES010MG</t>
  </si>
  <si>
    <t>VES010MGG</t>
  </si>
  <si>
    <t>BER009J38</t>
  </si>
  <si>
    <t>BER009J40</t>
  </si>
  <si>
    <t>BER009J42</t>
  </si>
  <si>
    <t>BER009J44</t>
  </si>
  <si>
    <t>BER009J46</t>
  </si>
  <si>
    <t>TOP015HP</t>
  </si>
  <si>
    <t>TOP015HM</t>
  </si>
  <si>
    <t>TOP015HG</t>
  </si>
  <si>
    <t>TOP015HGG</t>
  </si>
  <si>
    <t>CMS012VPP</t>
  </si>
  <si>
    <t>CMS012VP</t>
  </si>
  <si>
    <t>CMS012VM</t>
  </si>
  <si>
    <t>CMS012VG</t>
  </si>
  <si>
    <t>CMS012VGG</t>
  </si>
  <si>
    <t>CMS012YPP</t>
  </si>
  <si>
    <t>CMS012YP</t>
  </si>
  <si>
    <t>CMS012YM</t>
  </si>
  <si>
    <t>CMS012YG</t>
  </si>
  <si>
    <t>CMS012YGG</t>
  </si>
  <si>
    <t>CAL024A38</t>
  </si>
  <si>
    <t>CAL024A40</t>
  </si>
  <si>
    <t>CAL024A42</t>
  </si>
  <si>
    <t>CAL024A44</t>
  </si>
  <si>
    <t>TRI012CP</t>
  </si>
  <si>
    <t>TRI012CM</t>
  </si>
  <si>
    <t>TRI012CG</t>
  </si>
  <si>
    <t>TRI012CGG</t>
  </si>
  <si>
    <t>CMS013BP</t>
  </si>
  <si>
    <t>CMS013BM</t>
  </si>
  <si>
    <t>CMS013BG</t>
  </si>
  <si>
    <t>TOP001YPP</t>
  </si>
  <si>
    <t>TOP001YP</t>
  </si>
  <si>
    <t>TOP001YM</t>
  </si>
  <si>
    <t>TOP001YG</t>
  </si>
  <si>
    <t>TOP001YGG</t>
  </si>
  <si>
    <t>JAQ002MP</t>
  </si>
  <si>
    <t>JAQ002MM</t>
  </si>
  <si>
    <t>JAQ002MG</t>
  </si>
  <si>
    <t>JAQ002MGG</t>
  </si>
  <si>
    <t>CAM019VP</t>
  </si>
  <si>
    <t>CAM019VM</t>
  </si>
  <si>
    <t>CAM019VGG</t>
  </si>
  <si>
    <t>JAQ007OPP</t>
  </si>
  <si>
    <t>JAQ007OP</t>
  </si>
  <si>
    <t>JAQ007OM</t>
  </si>
  <si>
    <t>JAQ007OG</t>
  </si>
  <si>
    <t>JAQ007OGG</t>
  </si>
  <si>
    <t>MOL013MP</t>
  </si>
  <si>
    <t>MOL013MM</t>
  </si>
  <si>
    <t>MOL013MG</t>
  </si>
  <si>
    <t>MOL013MGG</t>
  </si>
  <si>
    <t>CMS014YPP</t>
  </si>
  <si>
    <t>CMS014YP</t>
  </si>
  <si>
    <t>CMS014YM</t>
  </si>
  <si>
    <t>CMS014YG</t>
  </si>
  <si>
    <t>VES011OP</t>
  </si>
  <si>
    <t>VES011OM</t>
  </si>
  <si>
    <t>VES011OG</t>
  </si>
  <si>
    <t>SAI010CP</t>
  </si>
  <si>
    <t>SAI010CM</t>
  </si>
  <si>
    <t>SAI010CG</t>
  </si>
  <si>
    <t>SAI010CGG</t>
  </si>
  <si>
    <t>CAM020YP</t>
  </si>
  <si>
    <t>CAM020YM</t>
  </si>
  <si>
    <t>CAM020YG</t>
  </si>
  <si>
    <t>CAM020LP</t>
  </si>
  <si>
    <t>CAM020LM</t>
  </si>
  <si>
    <t>CAM020LG</t>
  </si>
  <si>
    <t>CAM020LGG</t>
  </si>
  <si>
    <t>BER010L38</t>
  </si>
  <si>
    <t>BER010L40</t>
  </si>
  <si>
    <t>BER010L42</t>
  </si>
  <si>
    <t>BER010L44</t>
  </si>
  <si>
    <t>CAL025E38</t>
  </si>
  <si>
    <t>CAL025E40</t>
  </si>
  <si>
    <t>CAL025E42</t>
  </si>
  <si>
    <t>CAL025E44</t>
  </si>
  <si>
    <t>SAI011CP</t>
  </si>
  <si>
    <t>SAI011CM</t>
  </si>
  <si>
    <t>SAI011CG</t>
  </si>
  <si>
    <t>SAI011CGG</t>
  </si>
  <si>
    <t>MOL014VP</t>
  </si>
  <si>
    <t>MOL014VM</t>
  </si>
  <si>
    <t>MOL014VG</t>
  </si>
  <si>
    <t>MOL014VGG</t>
  </si>
  <si>
    <t>MOL014YP</t>
  </si>
  <si>
    <t>MOL014YG</t>
  </si>
  <si>
    <t>MOL014YGG</t>
  </si>
  <si>
    <t>MOL015AP</t>
  </si>
  <si>
    <t>MOL015AM</t>
  </si>
  <si>
    <t>MOL015AG</t>
  </si>
  <si>
    <t>MOL015AGG</t>
  </si>
  <si>
    <t>JAQ001VP</t>
  </si>
  <si>
    <t>JAQ001VM</t>
  </si>
  <si>
    <t>JAQ001VG</t>
  </si>
  <si>
    <t>JAQ001VGG</t>
  </si>
  <si>
    <t>JAQ001BP</t>
  </si>
  <si>
    <t>JAQ001BM</t>
  </si>
  <si>
    <t>JAQ001BG</t>
  </si>
  <si>
    <t>JAQ001BGG</t>
  </si>
  <si>
    <t>MOL002BP</t>
  </si>
  <si>
    <t>MOL002BM</t>
  </si>
  <si>
    <t>MOL002BG</t>
  </si>
  <si>
    <t>MOL002BGG</t>
  </si>
  <si>
    <t>TRI013MPP</t>
  </si>
  <si>
    <t>TRI013MP</t>
  </si>
  <si>
    <t>TRI013MM</t>
  </si>
  <si>
    <t>TRI013MG</t>
  </si>
  <si>
    <t>TRI013MGG</t>
  </si>
  <si>
    <t>BER011G38</t>
  </si>
  <si>
    <t>BER011G40</t>
  </si>
  <si>
    <t>BER011G42</t>
  </si>
  <si>
    <t>BER011G44</t>
  </si>
  <si>
    <t>JAQ009YP</t>
  </si>
  <si>
    <t>JAQ009YM</t>
  </si>
  <si>
    <t>JAQ009YG</t>
  </si>
  <si>
    <t>JAQ009YGG</t>
  </si>
  <si>
    <t>JAQ010HPP</t>
  </si>
  <si>
    <t>JAQ010HP</t>
  </si>
  <si>
    <t>JAQ010HM</t>
  </si>
  <si>
    <t>JAQ010HG</t>
  </si>
  <si>
    <t>JAQ010HGG</t>
  </si>
  <si>
    <t>JAQ010VPP</t>
  </si>
  <si>
    <t>JAQ010VP</t>
  </si>
  <si>
    <t>JAQ010VM</t>
  </si>
  <si>
    <t>JAQ010VG</t>
  </si>
  <si>
    <t>JAQ010VGG</t>
  </si>
  <si>
    <t>TRI001MP</t>
  </si>
  <si>
    <t>TRI001MM</t>
  </si>
  <si>
    <t>TRI001MG</t>
  </si>
  <si>
    <t>TRI001MGG</t>
  </si>
  <si>
    <t>SAI012GP</t>
  </si>
  <si>
    <t>SAI012GM</t>
  </si>
  <si>
    <t>SAI012GGG</t>
  </si>
  <si>
    <t>MOL017LM</t>
  </si>
  <si>
    <t>MOL017LG</t>
  </si>
  <si>
    <t>MOL017LGG</t>
  </si>
  <si>
    <t>ACE012AU</t>
  </si>
  <si>
    <t>MOL018BP</t>
  </si>
  <si>
    <t>MOL018BM</t>
  </si>
  <si>
    <t>MOL018BG</t>
  </si>
  <si>
    <t>MOL018BGG</t>
  </si>
  <si>
    <t>ACE013VU</t>
  </si>
  <si>
    <t>CAL026O36</t>
  </si>
  <si>
    <t>CAL026O38</t>
  </si>
  <si>
    <t>CAL026O40</t>
  </si>
  <si>
    <t>CAL026O42</t>
  </si>
  <si>
    <t>CAL026O44</t>
  </si>
  <si>
    <t>CAM021AP</t>
  </si>
  <si>
    <t>CAM021AM</t>
  </si>
  <si>
    <t>CAM021AGG</t>
  </si>
  <si>
    <t>CAM022MP</t>
  </si>
  <si>
    <t>CAM022MM</t>
  </si>
  <si>
    <t>CAM022MG</t>
  </si>
  <si>
    <t>CAM022MGG</t>
  </si>
  <si>
    <t>CMS015LP</t>
  </si>
  <si>
    <t>CMS015LM</t>
  </si>
  <si>
    <t>CMS015LG</t>
  </si>
  <si>
    <t>CMS015OP</t>
  </si>
  <si>
    <t>CMS015OM</t>
  </si>
  <si>
    <t>CMS015OG</t>
  </si>
  <si>
    <t>CAM023YP</t>
  </si>
  <si>
    <t>CAM023YM</t>
  </si>
  <si>
    <t>CAM023YG</t>
  </si>
  <si>
    <t>CAM023YGG</t>
  </si>
  <si>
    <t>CAL027P36</t>
  </si>
  <si>
    <t>CAL027P38</t>
  </si>
  <si>
    <t>CAL027P40</t>
  </si>
  <si>
    <t>CAL027P44</t>
  </si>
  <si>
    <t>MOL019VP</t>
  </si>
  <si>
    <t>MOL019VM</t>
  </si>
  <si>
    <t>MOL019VG</t>
  </si>
  <si>
    <t>MOL019VGG</t>
  </si>
  <si>
    <t>CAM024LP</t>
  </si>
  <si>
    <t>CAM024LM</t>
  </si>
  <si>
    <t>CAM024LG</t>
  </si>
  <si>
    <t>CAM024LGG</t>
  </si>
  <si>
    <t>CAM024YP</t>
  </si>
  <si>
    <t>CAM024YM</t>
  </si>
  <si>
    <t>CAM024YG</t>
  </si>
  <si>
    <t>CAM024YGG</t>
  </si>
  <si>
    <t>MOL020HPP</t>
  </si>
  <si>
    <t>MOL020HP</t>
  </si>
  <si>
    <t>MOL020HG</t>
  </si>
  <si>
    <t>MOL020HGG</t>
  </si>
  <si>
    <t>CAM025MP</t>
  </si>
  <si>
    <t>CAM025MM</t>
  </si>
  <si>
    <t>CAM025MG</t>
  </si>
  <si>
    <t>CAM025MGG</t>
  </si>
  <si>
    <t>TRI015VP</t>
  </si>
  <si>
    <t>TRI015VM</t>
  </si>
  <si>
    <t>TRI015VG</t>
  </si>
  <si>
    <t>TRI015VGG</t>
  </si>
  <si>
    <t>CAL028A36</t>
  </si>
  <si>
    <t>CAL028A38</t>
  </si>
  <si>
    <t>CAL028A40</t>
  </si>
  <si>
    <t>CAL028A42</t>
  </si>
  <si>
    <t>CAL028A44</t>
  </si>
  <si>
    <t>MOL001MP</t>
  </si>
  <si>
    <t>MOL001MG</t>
  </si>
  <si>
    <t>CMS016HPP</t>
  </si>
  <si>
    <t>CMS016HP</t>
  </si>
  <si>
    <t>CMS016HM</t>
  </si>
  <si>
    <t>CMS016HG</t>
  </si>
  <si>
    <t>CMS016HGG</t>
  </si>
  <si>
    <t>CMS016BPP</t>
  </si>
  <si>
    <t>CMS016BP</t>
  </si>
  <si>
    <t>CMS016BM</t>
  </si>
  <si>
    <t>CMS016BG</t>
  </si>
  <si>
    <t>CMS016BGG</t>
  </si>
  <si>
    <t>MOL022YP</t>
  </si>
  <si>
    <t>MOL022YM</t>
  </si>
  <si>
    <t>MOL022YG</t>
  </si>
  <si>
    <t>MOL022YGG</t>
  </si>
  <si>
    <t>JAQ011VP</t>
  </si>
  <si>
    <t>JAQ011VM</t>
  </si>
  <si>
    <t>JAQ011VG</t>
  </si>
  <si>
    <t>JAQ011VGG</t>
  </si>
  <si>
    <t>VLT-SAI-001-BEG-GG</t>
  </si>
  <si>
    <t>VLT-ACE-003-OFF-U</t>
  </si>
  <si>
    <t>VLT-CAM-001-CIN-GG</t>
  </si>
  <si>
    <t>VLT-CAM-004-BRA-GG</t>
  </si>
  <si>
    <t>VLT-CMS-003-BRA-GG</t>
  </si>
  <si>
    <t>VLT-CMS-005-BRA-M</t>
  </si>
  <si>
    <t>VLT-CMS-005-BRA-G</t>
  </si>
  <si>
    <t>VLT-CMS-006-AMA-GG</t>
  </si>
  <si>
    <t>VLT-MOL-007-CIN-G</t>
  </si>
  <si>
    <t>VLT-MOL-008-VIN-P</t>
  </si>
  <si>
    <t>VLT-VES-004-AMA-G</t>
  </si>
  <si>
    <t>VLT-TOP-010-VIN-P</t>
  </si>
  <si>
    <t>VLT-CAM-010-VIN-M</t>
  </si>
  <si>
    <t>VLT-CAM-011-LIL-G</t>
  </si>
  <si>
    <t>VLT-CAM-014-CIN-P</t>
  </si>
  <si>
    <t>VLT-SAI-007-VIN-M</t>
  </si>
  <si>
    <t>VLT-TOP-012-OLI-M</t>
  </si>
  <si>
    <t>VLT-CMS-010-MRR-GG</t>
  </si>
  <si>
    <t>VLT-VES-011-OFF-M</t>
  </si>
  <si>
    <t>VLT-SAI-010-CIN-P</t>
  </si>
  <si>
    <t>VLT-MOL-014-AMA-P</t>
  </si>
  <si>
    <t>VLT-JAQ-009-AMA-P</t>
  </si>
  <si>
    <t>VLT-TRI-001-MRR-GG</t>
  </si>
  <si>
    <t>VLT-SAI-012-BEG-M</t>
  </si>
  <si>
    <t>VLT-MOL-019-OLI-M</t>
  </si>
  <si>
    <t>VLT-MOL-019-OLI-G</t>
  </si>
  <si>
    <t>VLT-MOL-001-MRR-G</t>
  </si>
  <si>
    <t>VLT-CMS-016-BRA-P</t>
  </si>
  <si>
    <t>VLT-TOP-002-PRE-GG</t>
  </si>
  <si>
    <t>VLT-SAI-002-OFF-M</t>
  </si>
  <si>
    <t>VLT-SAI-002-OFF-G</t>
  </si>
  <si>
    <t>VLT-MOL-008-LIL-P</t>
  </si>
  <si>
    <t>VLT-VES-003-CIN-M</t>
  </si>
  <si>
    <t>VLT-VES-003-AMA-P</t>
  </si>
  <si>
    <t>VLT-VES-003-AMA-M</t>
  </si>
  <si>
    <t>VLT-VES-003-AMA-GG</t>
  </si>
  <si>
    <t>VLT-CAM-010-VIN-P</t>
  </si>
  <si>
    <t>VLT-CAM-010-VIN-GG</t>
  </si>
  <si>
    <t>VLT-CAM-011-LIL-P</t>
  </si>
  <si>
    <t>VLT-CMS-007-LIL-P</t>
  </si>
  <si>
    <t>VLT-CAM-015-CIN-G</t>
  </si>
  <si>
    <t>VLT-CAM-020-AMA-P</t>
  </si>
  <si>
    <t>VLT-TRI-001-MRR-P</t>
  </si>
  <si>
    <t>(1 no estoque + 1 vitrine)</t>
  </si>
  <si>
    <t>(3 no estoque + 1 vitrine)</t>
  </si>
  <si>
    <t>provador | SKU corrigido (era VLT-CLA-003-PRE-44)</t>
  </si>
  <si>
    <t>SKU corrigido (era VLT-CA-L023-LIL-36)</t>
  </si>
  <si>
    <t>somado duplicado (1+4)</t>
  </si>
  <si>
    <t>somado duplicado (0+3)</t>
  </si>
  <si>
    <t>SKU corrigido (era VLT-EVS-011-OFF-M)</t>
  </si>
  <si>
    <t>provador | somado duplicado (2+1)</t>
  </si>
  <si>
    <t>somado duplicado (2+2)</t>
  </si>
  <si>
    <t>vitrine | somado duplicado (2+6)</t>
  </si>
  <si>
    <t>SKU corrigido (era VLT-MOL-001-RMR-G)</t>
  </si>
  <si>
    <t>estoque cima | SKU corrigido (era VLT-CMS-016-BAR-PP)</t>
  </si>
  <si>
    <t>VLT-MOL-002-OLI-P</t>
  </si>
  <si>
    <t>conferente: Lari</t>
  </si>
  <si>
    <t>conferente: Thiago</t>
  </si>
  <si>
    <t>conferente: Jéssica</t>
  </si>
  <si>
    <t>VLT-TRI-003-PRE-G</t>
  </si>
  <si>
    <t>VLT-SAI-001-BEG-M</t>
  </si>
  <si>
    <t>VLT-SAI-001-JCL-P</t>
  </si>
  <si>
    <t>VLT-SAI-001-JCL-M</t>
  </si>
  <si>
    <t>VLT-TOP-002-PRE-M</t>
  </si>
  <si>
    <t>conferente: Lari | código corrigido (era SAI00O3GG)</t>
  </si>
  <si>
    <t>VLT-CAM-006-VIN-GG</t>
  </si>
  <si>
    <t>VLT-CMS-006-AMA-M</t>
  </si>
  <si>
    <t>VLT-CAM-007-CIN-P</t>
  </si>
  <si>
    <t>VLT-CAM-007-CIN-GG</t>
  </si>
  <si>
    <t>VLT-ACE-007-BEG-U</t>
  </si>
  <si>
    <t>conferente: Jéssica | código corrigido (era CMS007GLG)</t>
  </si>
  <si>
    <t>VLT-MOL-013-MRR-GG</t>
  </si>
  <si>
    <t>conferente: Thiago | código corrigido (era CAL0253E6)</t>
  </si>
  <si>
    <t>conferente: Jéssica | código corrigido (era MOL014MY)</t>
  </si>
  <si>
    <t>conferente: Thiago | código corrigido (era MOL02H0M)</t>
  </si>
  <si>
    <t>VLT-TRI-003-BEG-G</t>
  </si>
  <si>
    <t>VLT-SAI-001-PRE-GG</t>
  </si>
  <si>
    <t>(4 no estoque + 1 vitrine)</t>
  </si>
  <si>
    <t>(2 no estoque + 1 vitrine)</t>
  </si>
  <si>
    <t>VLT-CAM-008-VIN-P</t>
  </si>
  <si>
    <t>(2 no estoque + 2 vitrine)</t>
  </si>
  <si>
    <t>(1 no estoque + 2 vitrine)</t>
  </si>
  <si>
    <t>conferente: Jéssica | código corrigido (era CAL0174H4)</t>
  </si>
  <si>
    <t>conferente: Jéssica | somado duplicado (6+4; conferente: Jéssica)</t>
  </si>
  <si>
    <t>conferente: Thiago | somado CMS0010GG (4+3; considerado CMS-010, cor MRR por ser a única do modelo; conferente: Jéssica)</t>
  </si>
  <si>
    <t>conferente: Jéssica | código corrigido (era CAM019GV)</t>
  </si>
  <si>
    <t>faltou contar provador | provador considerado 0 (decisão 15/10)</t>
  </si>
  <si>
    <t>faltou contar provador | (1 no estoque + 2 vitrine) | provador considerado 0 (decisão 15/10)</t>
  </si>
  <si>
    <t>recontar | QTD imputada pela mediana Pinheiros/Eldorado (contado: 5; decisão 15/10)</t>
  </si>
  <si>
    <t>recontar | QTD imputada pela mediana Pinheiros/Eldorado (contado: 1; decisão 15/10)</t>
  </si>
  <si>
    <t>recontar | QTD imputada pela mediana Pinheiros/Eldorado (contado: 2; decisão 15/10)</t>
  </si>
  <si>
    <t>recontar | QTD imputada pela mediana Pinheiros/Eldorado (contado: 6; decisão 15/10)</t>
  </si>
  <si>
    <t>recontar | QTD imputada pela mediana Pinheiros/Eldorado (contado: 3; decisão 15/10)</t>
  </si>
  <si>
    <t>recontar | (1 no estoque + 1 vitrine) | QTD imputada pela mediana Pinheiros/Eldorado (contado: 2; decisão 15/10)</t>
  </si>
  <si>
    <t>recontar | QTD imputada pela mediana Pinheiros/Eldorado (contado: 4; decisão 15/10)</t>
  </si>
  <si>
    <t>recontar | QTD imputada pela mediana Pinheiros/Eldorado (contado: 0; decisão 15/10)</t>
  </si>
  <si>
    <t>vitrine | QTD ajustada 0→1 (OBS indica peça; decisão 15/10)</t>
  </si>
  <si>
    <t>provador | QTD ajustada 0→1 (OBS indica peça; decisão 15/10)</t>
  </si>
  <si>
    <t>avaria? | 1 peça(s) transferida(s) p/ aba AVARIA PINHEIROS (decisão 15/10)</t>
  </si>
  <si>
    <t>avaria? | 6 peça(s) transferida(s) p/ aba AVARIA PINHEIROS (decisão 15/10)</t>
  </si>
  <si>
    <t>avaria? | 2 peça(s) transferida(s) p/ aba AVARIA PINHEIROS (decisão 15/10)</t>
  </si>
  <si>
    <t>avaria? | 5 peça(s) transferida(s) p/ aba AVARIA PINHEIROS (decisão 15/10)</t>
  </si>
  <si>
    <t>avaria? | 4 peça(s) transferida(s) p/ aba AVARIA PINHEIROS (decisão 15/10)</t>
  </si>
  <si>
    <t>avaria? | 3 peça(s) transferida(s) p/ aba AVARIA PINHEIROS (decisão 15/10)</t>
  </si>
  <si>
    <t>avaria? | 7 peça(s) transferida(s) p/ aba AVARIA PINHEIROS (decisão 15/10)</t>
  </si>
  <si>
    <t>avaria? | SKU corrigido (era VLT-BE-R007-AZM-42) | 4 peça(s) transferida(s) p/ aba AVARIA PINHEIROS (decisão 15/10)</t>
  </si>
  <si>
    <t>avaria? | SKU corrigido (era VLT-ACM-020-AMA-P) | 4 peça(s) transferida(s) p/ aba AVARIA PINHEIROS (decisão 15/10)</t>
  </si>
  <si>
    <t>Registro de decisões – Inventário</t>
  </si>
  <si>
    <t>#</t>
  </si>
  <si>
    <t>Data</t>
  </si>
  <si>
    <t>Tema</t>
  </si>
  <si>
    <t>Decisão</t>
  </si>
  <si>
    <t>Impacto para os próximos passos</t>
  </si>
  <si>
    <t>15/10/2026</t>
  </si>
  <si>
    <t>Pinheiros – avaria</t>
  </si>
  <si>
    <t>Peças com avaria saem do estoque bom e ficam na aba AVARIA PINHEIROS (23 SKUs, 80 peças)</t>
  </si>
  <si>
    <t>Avaria não entra como estoque vendável</t>
  </si>
  <si>
    <t>Batel – provador</t>
  </si>
  <si>
    <t>46 SKUs com 'faltou contar provador' considerados com provador = 0</t>
  </si>
  <si>
    <t>Estoque da Batel pode estar subestimado</t>
  </si>
  <si>
    <t>Batel – recontar</t>
  </si>
  <si>
    <t>Savassi – por SKU</t>
  </si>
  <si>
    <t>Total por modelo rateado pela proporção de cor/tamanho da Pinheiros (Eldorado+Batel para CMS-006 e ACE-007) – estoque simulado</t>
  </si>
  <si>
    <t>CD – reservado</t>
  </si>
  <si>
    <t>Reservado no CD = reposições de lojas já pedidas. Mantido no CD (não somado às lojas, não descartado)</t>
  </si>
  <si>
    <t>Usar SALDO vs DISPONÍVEL conforme a análise; ao somar lojas + CD, não contar o reservado em duplicidade quando a reposição chegar na loja</t>
  </si>
  <si>
    <t>Referência CD (peças)</t>
  </si>
  <si>
    <t>Data de corte</t>
  </si>
  <si>
    <t>Todas as contagens consideradas como posição de 28/09/2026 (Pinheiros foi contada em 20/09; Eldorado, Savassi e Batel sem data informada; CD = WMS 28/09)</t>
  </si>
  <si>
    <t>QTD RESERVADA</t>
  </si>
  <si>
    <t>QTD DISPONÍVEL</t>
  </si>
  <si>
    <t>avaria? | transferido da aba PINHEIROS linha 6 (decisão 15/10)</t>
  </si>
  <si>
    <t>avaria? | transferido da aba PINHEIROS linha 18 (decisão 15/10)</t>
  </si>
  <si>
    <t>avaria? | transferido da aba PINHEIROS linha 119 (decisão 15/10)</t>
  </si>
  <si>
    <t>avaria? | transferido da aba PINHEIROS linha 200 (decisão 15/10)</t>
  </si>
  <si>
    <t>avaria? | transferido da aba PINHEIROS linha 201 (decisão 15/10)</t>
  </si>
  <si>
    <t>avaria? | transferido da aba PINHEIROS linha 227 (decisão 15/10)</t>
  </si>
  <si>
    <t>avaria? | transferido da aba PINHEIROS linha 247 (decisão 15/10)</t>
  </si>
  <si>
    <t>avaria? | transferido da aba PINHEIROS linha 279 (decisão 15/10)</t>
  </si>
  <si>
    <t>avaria? | transferido da aba PINHEIROS linha 286 (decisão 15/10)</t>
  </si>
  <si>
    <t>avaria? | transferido da aba PINHEIROS linha 327 (decisão 15/10)</t>
  </si>
  <si>
    <t>avaria? | transferido da aba PINHEIROS linha 336 (decisão 15/10)</t>
  </si>
  <si>
    <t>avaria? | transferido da aba PINHEIROS linha 364 (decisão 15/10)</t>
  </si>
  <si>
    <t>avaria? | transferido da aba PINHEIROS linha 365 (decisão 15/10)</t>
  </si>
  <si>
    <t>avaria? | transferido da aba PINHEIROS linha 443 (decisão 15/10)</t>
  </si>
  <si>
    <t>avaria? | SKU corrigido (era VLT-BE-R007-AZM-42) | transferido da aba PINHEIROS linha 448 (decisão 15/10)</t>
  </si>
  <si>
    <t>avaria? | transferido da aba PINHEIROS linha 461 (decisão 15/10)</t>
  </si>
  <si>
    <t>avaria? | transferido da aba PINHEIROS linha 484 (decisão 15/10)</t>
  </si>
  <si>
    <t>avaria? | transferido da aba PINHEIROS linha 492 (decisão 15/10)</t>
  </si>
  <si>
    <t>avaria? | transferido da aba PINHEIROS linha 525 (decisão 15/10)</t>
  </si>
  <si>
    <t>avaria? | transferido da aba PINHEIROS linha 539 (decisão 15/10)</t>
  </si>
  <si>
    <t>avaria? | SKU corrigido (era VLT-ACM-020-AMA-P) | transferido da aba PINHEIROS linha 568 (decisão 15/10)</t>
  </si>
  <si>
    <t>avaria? | transferido da aba PINHEIROS linha 570 (decisão 15/10)</t>
  </si>
  <si>
    <t>avaria? | transferido da aba PINHEIROS linha 679 (decisão 15/10)</t>
  </si>
  <si>
    <t>ESTOQUE SIMULADO</t>
  </si>
  <si>
    <t>Quantidades por SKU da Savassi são simuladas (OBS = ESTOQUE SIMULADO). A contagem original por modelo foi removida com os backups; total por modelo = soma da aba SAVASSI</t>
  </si>
  <si>
    <t>16/10/2026</t>
  </si>
  <si>
    <t>Avaria – outras lojas</t>
  </si>
  <si>
    <t>Eldorado, Savassi, Batel e CD não têm nenhum registro de avaria (conferido também nas contagens originais). Avaria considerada inexistente nessas lojas</t>
  </si>
  <si>
    <t>Padronização final</t>
  </si>
  <si>
    <t>Sem backups: originais não estão mais no arquivo. Datas das contagens só ficam registradas nesta aba (decisão 6)</t>
  </si>
  <si>
    <t>QTD total (antigo SALDO)</t>
  </si>
  <si>
    <t>QTD RESERVADA (reposições pedidas)</t>
  </si>
  <si>
    <t>Valores estimados, não contados: 113 peças imputadas vs 90 contadas (+23). Se a loja enviar a recontagem, substituir na aba BATEL</t>
  </si>
  <si>
    <t>Recontagem solicitada à loja NÃO foi recebida. 36 SKUs imputados pela mediana do mesmo SKU na Pinheiros e Eldorado (arredondada; sem referência = mantém contado), tratados como MAR. Valor contado original fica na OBS de cada linha da aba BATEL</t>
  </si>
  <si>
    <t>Abas renomeadas (PINHEIROS, ELDORADO, SAVASSI, BATEL, CD, AVARIA PINHEIROS, DECISÕES); cabeçalho único SKU | QTD | OBS (CD: SKU | QTD | QTD RESERVADA | QTD DISPONÍVEL | OBS; QTD do CD = antigo SALDO); título da Pinheiros removido (cabeçalho na linha 1); fórmulas da Batel fixadas em valor; aba RECONTAGEM BATEL excluída; abas BKP excluídas</t>
  </si>
  <si>
    <t>CÓDIGO CD</t>
  </si>
  <si>
    <t>PRODUTO</t>
  </si>
  <si>
    <t>COLEÇÃO VIGENTE</t>
  </si>
  <si>
    <t>STATUS CATÁLOGO</t>
  </si>
  <si>
    <t>ORIGEM CÓDIGO CD</t>
  </si>
  <si>
    <t>Meia Cano Alto (par) Couro Eco</t>
  </si>
  <si>
    <t>Atemporais</t>
  </si>
  <si>
    <t>Ativo</t>
  </si>
  <si>
    <t>Catálogo</t>
  </si>
  <si>
    <t>ACE003OU</t>
  </si>
  <si>
    <t>Descontinuado</t>
  </si>
  <si>
    <t>Gerado pela regra (sem código no catálogo)</t>
  </si>
  <si>
    <t>Cinto Nylon</t>
  </si>
  <si>
    <t>VLT-ACE-005-BEG-U</t>
  </si>
  <si>
    <t>ACE005GU</t>
  </si>
  <si>
    <t>Cinto Básico</t>
  </si>
  <si>
    <t>Verão 26</t>
  </si>
  <si>
    <t>ACE005OU</t>
  </si>
  <si>
    <t>VLT-ACE-006-PRE-U</t>
  </si>
  <si>
    <t>ACE006PU</t>
  </si>
  <si>
    <t>Bolsa Tiracolo Logo</t>
  </si>
  <si>
    <t>Verão 25</t>
  </si>
  <si>
    <t>Ecobag Couro Eco</t>
  </si>
  <si>
    <t>Meia Cano Alto (par) Bordado</t>
  </si>
  <si>
    <t>Inverno 26</t>
  </si>
  <si>
    <t>Ecobag Básico</t>
  </si>
  <si>
    <t>Inverno 25</t>
  </si>
  <si>
    <t>Bolsa Tiracolo Couro Eco</t>
  </si>
  <si>
    <t>ACE011BU</t>
  </si>
  <si>
    <t>Pochete Nylon</t>
  </si>
  <si>
    <t>Boné Logo</t>
  </si>
  <si>
    <t>Bucket Hat Listrado</t>
  </si>
  <si>
    <t>VLT-BER-001-BRA-G</t>
  </si>
  <si>
    <t>Short Alfaiataria Barra Desfiada</t>
  </si>
  <si>
    <t>VLT-BER-001-BRA-GG</t>
  </si>
  <si>
    <t>VLT-BER-001-BRA-M</t>
  </si>
  <si>
    <t>VLT-BER-001-BRA-P</t>
  </si>
  <si>
    <t>VLT-BER-002-CIN-G</t>
  </si>
  <si>
    <t>Bermuda Moletom Leve</t>
  </si>
  <si>
    <t>VLT-BER-002-CIN-GG</t>
  </si>
  <si>
    <t>VLT-BER-002-CIN-M</t>
  </si>
  <si>
    <t>VLT-BER-002-CIN-P</t>
  </si>
  <si>
    <t>VLT-BER-002-CIN-XP</t>
  </si>
  <si>
    <t>VLT-BER-003-BRA-G</t>
  </si>
  <si>
    <t>Bermuda Cargo Barra Desfiada</t>
  </si>
  <si>
    <t>VLT-BER-003-BRA-GG</t>
  </si>
  <si>
    <t>VLT-BER-003-BRA-M</t>
  </si>
  <si>
    <t>VLT-BER-003-BRA-P</t>
  </si>
  <si>
    <t>VLT-BER-003-BRA-XG</t>
  </si>
  <si>
    <t>VLT-BER-003-BRA-XP</t>
  </si>
  <si>
    <t>VLT-BER-004-JES-G</t>
  </si>
  <si>
    <t>Short Jeans Clássica</t>
  </si>
  <si>
    <t>VLT-BER-004-JES-GG</t>
  </si>
  <si>
    <t>VLT-BER-004-JES-M</t>
  </si>
  <si>
    <t>VLT-BER-004-JES-P</t>
  </si>
  <si>
    <t>VLT-BER-004-JES-XP</t>
  </si>
  <si>
    <t>BER004E36</t>
  </si>
  <si>
    <t>VLT-BER-005-VIN-G</t>
  </si>
  <si>
    <t>Bermuda Sarja Ampla</t>
  </si>
  <si>
    <t>VLT-BER-005-VIN-GG</t>
  </si>
  <si>
    <t>BER005H44</t>
  </si>
  <si>
    <t>VLT-BER-005-VIN-M</t>
  </si>
  <si>
    <t>VLT-BER-005-VIN-P</t>
  </si>
  <si>
    <t>VLT-BER-005-VIN-XP</t>
  </si>
  <si>
    <t>VLT-BER-006-LIL-G</t>
  </si>
  <si>
    <t>Short Alfaiataria Leve</t>
  </si>
  <si>
    <t>VLT-BER-006-LIL-GG</t>
  </si>
  <si>
    <t>VLT-BER-006-LIL-M</t>
  </si>
  <si>
    <t>VLT-BER-006-LIL-P</t>
  </si>
  <si>
    <t>VLT-BER-006-LIL-XP</t>
  </si>
  <si>
    <t>VLT-BER-007-AZM-G</t>
  </si>
  <si>
    <t>Bermuda Moletom Ampla</t>
  </si>
  <si>
    <t>VLT-BER-007-AZM-GG</t>
  </si>
  <si>
    <t>VLT-BER-007-AZM-M</t>
  </si>
  <si>
    <t>VLT-BER-007-AZM-P</t>
  </si>
  <si>
    <t>VLT-BER-008-BEG-G</t>
  </si>
  <si>
    <t>Bermuda Sarja Leve</t>
  </si>
  <si>
    <t>VLT-BER-008-BEG-GG</t>
  </si>
  <si>
    <t>VLT-BER-008-BEG-M</t>
  </si>
  <si>
    <t>VLT-BER-008-BEG-P</t>
  </si>
  <si>
    <t>VLT-BER-008-BEG-XG</t>
  </si>
  <si>
    <t>VLT-BER-008-BEG-XP</t>
  </si>
  <si>
    <t>VLT-BER-009-JCL-G</t>
  </si>
  <si>
    <t>Short Alfaiataria Clássica</t>
  </si>
  <si>
    <t>VLT-BER-009-JCL-GG</t>
  </si>
  <si>
    <t>VLT-BER-009-JCL-M</t>
  </si>
  <si>
    <t>VLT-BER-009-JCL-P</t>
  </si>
  <si>
    <t>VLT-BER-009-JCL-XG</t>
  </si>
  <si>
    <t>VLT-BER-009-JCL-XP</t>
  </si>
  <si>
    <t>BER009J36</t>
  </si>
  <si>
    <t>VLT-BER-010-LIL-G</t>
  </si>
  <si>
    <t>Bermuda Moletom Utilitária</t>
  </si>
  <si>
    <t>VLT-BER-010-LIL-GG</t>
  </si>
  <si>
    <t>VLT-BER-010-LIL-M</t>
  </si>
  <si>
    <t>VLT-BER-010-LIL-P</t>
  </si>
  <si>
    <t>VLT-BER-011-BEG-G</t>
  </si>
  <si>
    <t>Bermuda Cargo Utilitária</t>
  </si>
  <si>
    <t>VLT-BER-011-BEG-GG</t>
  </si>
  <si>
    <t>VLT-BER-011-BEG-M</t>
  </si>
  <si>
    <t>VLT-BER-011-BEG-P</t>
  </si>
  <si>
    <t>VLT-CAL-003-PRE-G</t>
  </si>
  <si>
    <t>Calça Jeans Reta Destroyed</t>
  </si>
  <si>
    <t>VLT-CAL-003-PRE-GG</t>
  </si>
  <si>
    <t>VLT-CAL-003-PRE-M</t>
  </si>
  <si>
    <t>VLT-CAL-003-PRE-P</t>
  </si>
  <si>
    <t>VLT-CAL-004-BEG-G</t>
  </si>
  <si>
    <t>CAL004G42</t>
  </si>
  <si>
    <t>Calça Jogger Destroyed</t>
  </si>
  <si>
    <t>VLT-CAL-004-BEG-GG</t>
  </si>
  <si>
    <t>CAL004G44</t>
  </si>
  <si>
    <t>VLT-CAL-004-BEG-M</t>
  </si>
  <si>
    <t>VLT-CAL-004-BEG-P</t>
  </si>
  <si>
    <t>VLT-CAL-004-BEG-XG</t>
  </si>
  <si>
    <t>VLT-CAL-004-BEG-XP</t>
  </si>
  <si>
    <t>VLT-CAL-004-CIN-G</t>
  </si>
  <si>
    <t>VLT-CAL-004-CIN-GG</t>
  </si>
  <si>
    <t>VLT-CAL-004-CIN-M</t>
  </si>
  <si>
    <t>VLT-CAL-004-CIN-P</t>
  </si>
  <si>
    <t>VLT-CAL-004-CIN-XG</t>
  </si>
  <si>
    <t>VLT-CAL-004-CIN-XP</t>
  </si>
  <si>
    <t>VLT-CAL-005-PRE-G</t>
  </si>
  <si>
    <t>Calça Jogger Ripstop</t>
  </si>
  <si>
    <t>VLT-CAL-005-PRE-GG</t>
  </si>
  <si>
    <t>VLT-CAL-005-PRE-M</t>
  </si>
  <si>
    <t>VLT-CAL-005-PRE-P</t>
  </si>
  <si>
    <t>VLT-CAL-005-PRE-XP</t>
  </si>
  <si>
    <t>VLT-CAL-006-BEG-G</t>
  </si>
  <si>
    <t>CAL006G42</t>
  </si>
  <si>
    <t>Calça Jeans Reta Escura</t>
  </si>
  <si>
    <t>VLT-CAL-006-BEG-GG</t>
  </si>
  <si>
    <t>CAL006G44</t>
  </si>
  <si>
    <t>VLT-CAL-006-BEG-M</t>
  </si>
  <si>
    <t>CAL006G40</t>
  </si>
  <si>
    <t>VLT-CAL-006-BEG-P</t>
  </si>
  <si>
    <t>VLT-CAL-006-BEG-XP</t>
  </si>
  <si>
    <t>VLT-CAL-006-JCL-G</t>
  </si>
  <si>
    <t>VLT-CAL-006-JCL-GG</t>
  </si>
  <si>
    <t>VLT-CAL-006-JCL-M</t>
  </si>
  <si>
    <t>VLT-CAL-006-JCL-P</t>
  </si>
  <si>
    <t>VLT-CAL-006-JCL-XP</t>
  </si>
  <si>
    <t>VLT-CAL-007-AZM-G</t>
  </si>
  <si>
    <t>Calça Cargo Pregas</t>
  </si>
  <si>
    <t>VLT-CAL-007-AZM-GG</t>
  </si>
  <si>
    <t>VLT-CAL-007-AZM-M</t>
  </si>
  <si>
    <t>VLT-CAL-007-AZM-P</t>
  </si>
  <si>
    <t>VLT-CAL-008-AZM-G</t>
  </si>
  <si>
    <t>Calça Cargo Comfort</t>
  </si>
  <si>
    <t>VLT-CAL-008-AZM-GG</t>
  </si>
  <si>
    <t>VLT-CAL-008-AZM-M</t>
  </si>
  <si>
    <t>VLT-CAL-008-AZM-P</t>
  </si>
  <si>
    <t>VLT-CAL-008-BRA-G</t>
  </si>
  <si>
    <t>VLT-CAL-008-BRA-GG</t>
  </si>
  <si>
    <t>VLT-CAL-008-BRA-M</t>
  </si>
  <si>
    <t>VLT-CAL-008-BRA-P</t>
  </si>
  <si>
    <t>VLT-CAL-008-OFF-G</t>
  </si>
  <si>
    <t>VLT-CAL-008-OFF-GG</t>
  </si>
  <si>
    <t>VLT-CAL-008-OFF-M</t>
  </si>
  <si>
    <t>VLT-CAL-008-OFF-P</t>
  </si>
  <si>
    <t>VLT-CAL-009-OFF-G</t>
  </si>
  <si>
    <t>Calça Wide Leg Clara</t>
  </si>
  <si>
    <t>VLT-CAL-009-OFF-GG</t>
  </si>
  <si>
    <t>VLT-CAL-009-OFF-M</t>
  </si>
  <si>
    <t>VLT-CAL-009-OFF-P</t>
  </si>
  <si>
    <t>VLT-CAL-009-OFF-XP</t>
  </si>
  <si>
    <t>VLT-CAL-010-MRR-G</t>
  </si>
  <si>
    <t>Calça Cargo Parachute</t>
  </si>
  <si>
    <t>VLT-CAL-010-MRR-GG</t>
  </si>
  <si>
    <t>VLT-CAL-010-MRR-M</t>
  </si>
  <si>
    <t>CAL010M40</t>
  </si>
  <si>
    <t>VLT-CAL-010-MRR-P</t>
  </si>
  <si>
    <t>VLT-CAL-011-LIL-G</t>
  </si>
  <si>
    <t>Calça Wide Leg Parachute</t>
  </si>
  <si>
    <t>VLT-CAL-011-LIL-GG</t>
  </si>
  <si>
    <t>VLT-CAL-011-LIL-M</t>
  </si>
  <si>
    <t>VLT-CAL-011-LIL-P</t>
  </si>
  <si>
    <t>VLT-CAL-011-LIL-XP</t>
  </si>
  <si>
    <t>VLT-CAL-012-PRE-G</t>
  </si>
  <si>
    <t>Calça Alfaiataria Sarja</t>
  </si>
  <si>
    <t>VLT-CAL-012-PRE-GG</t>
  </si>
  <si>
    <t>VLT-CAL-012-PRE-M</t>
  </si>
  <si>
    <t>VLT-CAL-012-PRE-P</t>
  </si>
  <si>
    <t>VLT-CAL-013-MRR-G</t>
  </si>
  <si>
    <t>Calça Jogger Parachute</t>
  </si>
  <si>
    <t>VLT-CAL-013-MRR-GG</t>
  </si>
  <si>
    <t>VLT-CAL-013-MRR-M</t>
  </si>
  <si>
    <t>VLT-CAL-013-MRR-P</t>
  </si>
  <si>
    <t>VLT-CAL-013-MRR-XP</t>
  </si>
  <si>
    <t>VLT-CAL-014-AZM-G</t>
  </si>
  <si>
    <t>Calça Jeans Reta Comfort</t>
  </si>
  <si>
    <t>VLT-CAL-014-AZM-GG</t>
  </si>
  <si>
    <t>VLT-CAL-014-AZM-M</t>
  </si>
  <si>
    <t>VLT-CAL-014-AZM-P</t>
  </si>
  <si>
    <t>VLT-CAL-014-AZM-XG</t>
  </si>
  <si>
    <t>CAL014A46</t>
  </si>
  <si>
    <t>VLT-CAL-014-AZM-XP</t>
  </si>
  <si>
    <t>VLT-CAL-015-BEG-G</t>
  </si>
  <si>
    <t>Calça Wide Leg Destroyed</t>
  </si>
  <si>
    <t>VLT-CAL-015-BEG-GG</t>
  </si>
  <si>
    <t>VLT-CAL-015-BEG-M</t>
  </si>
  <si>
    <t>VLT-CAL-015-BEG-P</t>
  </si>
  <si>
    <t>VLT-CAL-015-BEG-XP</t>
  </si>
  <si>
    <t>VLT-CAL-016-OLI-G</t>
  </si>
  <si>
    <t>Calça Alfaiataria Pregas</t>
  </si>
  <si>
    <t>VLT-CAL-016-OLI-GG</t>
  </si>
  <si>
    <t>VLT-CAL-016-OLI-M</t>
  </si>
  <si>
    <t>VLT-CAL-016-OLI-P</t>
  </si>
  <si>
    <t>VLT-CAL-016-OLI-XP</t>
  </si>
  <si>
    <t>VLT-CAL-017-VIN-G</t>
  </si>
  <si>
    <t>Calça Mom Comfort</t>
  </si>
  <si>
    <t>VLT-CAL-017-VIN-GG</t>
  </si>
  <si>
    <t>CAL017H44</t>
  </si>
  <si>
    <t>VLT-CAL-017-VIN-M</t>
  </si>
  <si>
    <t>VLT-CAL-017-VIN-P</t>
  </si>
  <si>
    <t>VLT-CAL-018-BEG-G</t>
  </si>
  <si>
    <t>Calça Wide Leg Escura</t>
  </si>
  <si>
    <t>VLT-CAL-018-BEG-GG</t>
  </si>
  <si>
    <t>VLT-CAL-018-BEG-M</t>
  </si>
  <si>
    <t>VLT-CAL-018-BEG-P</t>
  </si>
  <si>
    <t>VLT-CAL-018-BEG-XP</t>
  </si>
  <si>
    <t>VLT-CAL-019-BRA-G</t>
  </si>
  <si>
    <t>CAL019B42</t>
  </si>
  <si>
    <t>Calça Cargo Escura</t>
  </si>
  <si>
    <t>VLT-CAL-019-BRA-GG</t>
  </si>
  <si>
    <t>CAL019B44</t>
  </si>
  <si>
    <t>VLT-CAL-019-BRA-M</t>
  </si>
  <si>
    <t>CAL019B40</t>
  </si>
  <si>
    <t>VLT-CAL-019-BRA-P</t>
  </si>
  <si>
    <t>VLT-CAL-020-AMA-G</t>
  </si>
  <si>
    <t>Calça Cargo Sarja</t>
  </si>
  <si>
    <t>VLT-CAL-020-AMA-GG</t>
  </si>
  <si>
    <t>VLT-CAL-020-AMA-M</t>
  </si>
  <si>
    <t>CAL020Y40</t>
  </si>
  <si>
    <t>VLT-CAL-020-AMA-P</t>
  </si>
  <si>
    <t>VLT-CAL-020-AMA-XP</t>
  </si>
  <si>
    <t>VLT-CAL-021-PRE-G</t>
  </si>
  <si>
    <t>Calça Jeans Reta Parachute</t>
  </si>
  <si>
    <t>VLT-CAL-021-PRE-GG</t>
  </si>
  <si>
    <t>VLT-CAL-021-PRE-M</t>
  </si>
  <si>
    <t>VLT-CAL-021-PRE-P</t>
  </si>
  <si>
    <t>CAL021P38</t>
  </si>
  <si>
    <t>VLT-CAL-021-PRE-XP</t>
  </si>
  <si>
    <t>VLT-CAL-022-BEG-G</t>
  </si>
  <si>
    <t>CAL022G42</t>
  </si>
  <si>
    <t>Calça Mom Clara</t>
  </si>
  <si>
    <t>VLT-CAL-022-BEG-GG</t>
  </si>
  <si>
    <t>CAL022G44</t>
  </si>
  <si>
    <t>VLT-CAL-022-BEG-M</t>
  </si>
  <si>
    <t>CAL022G40</t>
  </si>
  <si>
    <t>VLT-CAL-022-BEG-P</t>
  </si>
  <si>
    <t>CAL022G38</t>
  </si>
  <si>
    <t>VLT-CAL-022-BEG-XP</t>
  </si>
  <si>
    <t>CAL022G36</t>
  </si>
  <si>
    <t>VLT-CAL-022-OFF-G</t>
  </si>
  <si>
    <t>CAL022O42</t>
  </si>
  <si>
    <t>VLT-CAL-022-OFF-GG</t>
  </si>
  <si>
    <t>CAL022O44</t>
  </si>
  <si>
    <t>VLT-CAL-022-OFF-M</t>
  </si>
  <si>
    <t>CAL022O40</t>
  </si>
  <si>
    <t>VLT-CAL-022-OFF-P</t>
  </si>
  <si>
    <t>CAL022O38</t>
  </si>
  <si>
    <t>VLT-CAL-022-OFF-XP</t>
  </si>
  <si>
    <t>CAL022O36</t>
  </si>
  <si>
    <t>VLT-CAL-023-LIL-G</t>
  </si>
  <si>
    <t>Calça Alfaiataria Parachute</t>
  </si>
  <si>
    <t>VLT-CAL-023-LIL-GG</t>
  </si>
  <si>
    <t>VLT-CAL-023-LIL-M</t>
  </si>
  <si>
    <t>VLT-CAL-023-LIL-P</t>
  </si>
  <si>
    <t>VLT-CAL-023-LIL-XP</t>
  </si>
  <si>
    <t>VLT-CAL-024-AZM-G</t>
  </si>
  <si>
    <t>Calça Jogger Pregas</t>
  </si>
  <si>
    <t>VLT-CAL-024-AZM-GG</t>
  </si>
  <si>
    <t>VLT-CAL-024-AZM-M</t>
  </si>
  <si>
    <t>VLT-CAL-024-AZM-P</t>
  </si>
  <si>
    <t>VLT-CAL-025-JES-G</t>
  </si>
  <si>
    <t>Calça Jogger Sarja</t>
  </si>
  <si>
    <t>VLT-CAL-025-JES-GG</t>
  </si>
  <si>
    <t>VLT-CAL-025-JES-M</t>
  </si>
  <si>
    <t>VLT-CAL-025-JES-P</t>
  </si>
  <si>
    <t>VLT-CAL-025-JES-XP</t>
  </si>
  <si>
    <t>CAL025E36</t>
  </si>
  <si>
    <t>VLT-CAL-026-OFF-G</t>
  </si>
  <si>
    <t>Calça Alfaiataria Escura</t>
  </si>
  <si>
    <t>VLT-CAL-026-OFF-GG</t>
  </si>
  <si>
    <t>VLT-CAL-026-OFF-M</t>
  </si>
  <si>
    <t>VLT-CAL-026-OFF-P</t>
  </si>
  <si>
    <t>VLT-CAL-026-OFF-XP</t>
  </si>
  <si>
    <t>VLT-CAL-027-PRE-G</t>
  </si>
  <si>
    <t>CAL027P42</t>
  </si>
  <si>
    <t>Calça Wide Leg Ripstop</t>
  </si>
  <si>
    <t>VLT-CAL-027-PRE-GG</t>
  </si>
  <si>
    <t>VLT-CAL-027-PRE-M</t>
  </si>
  <si>
    <t>VLT-CAL-027-PRE-P</t>
  </si>
  <si>
    <t>VLT-CAL-027-PRE-XP</t>
  </si>
  <si>
    <t>VLT-CAL-028-AZM-G</t>
  </si>
  <si>
    <t>Calça Wide Leg Pregas</t>
  </si>
  <si>
    <t>VLT-CAL-028-AZM-GG</t>
  </si>
  <si>
    <t>VLT-CAL-028-AZM-M</t>
  </si>
  <si>
    <t>VLT-CAL-028-AZM-P</t>
  </si>
  <si>
    <t>VLT-CAL-028-AZM-XP</t>
  </si>
  <si>
    <t>Regata Skate</t>
  </si>
  <si>
    <t>Camiseta Boxy Concreto</t>
  </si>
  <si>
    <t>VLT-CAM-002-AZM-XP</t>
  </si>
  <si>
    <t>Camiseta Oversized Listrada</t>
  </si>
  <si>
    <t>Camiseta Boxy Logo</t>
  </si>
  <si>
    <t>Camiseta Oversized Logo</t>
  </si>
  <si>
    <t>VLT-CAM-006-VIN-G</t>
  </si>
  <si>
    <t>CAM006HG</t>
  </si>
  <si>
    <t>Camiseta Raglan Retrô</t>
  </si>
  <si>
    <t>VLT-CAM-006-VIN-M</t>
  </si>
  <si>
    <t>CAM006HM</t>
  </si>
  <si>
    <t>VLT-CAM-006-VIN-P</t>
  </si>
  <si>
    <t>CAM006HP</t>
  </si>
  <si>
    <t>Camiseta Manga Longa Listrada</t>
  </si>
  <si>
    <t>CAM008HG</t>
  </si>
  <si>
    <t>Regata Sunset</t>
  </si>
  <si>
    <t>VLT-CAM-008-VIN-GG</t>
  </si>
  <si>
    <t>CAM008HGG</t>
  </si>
  <si>
    <t>CAM008HM</t>
  </si>
  <si>
    <t>CAM008HP</t>
  </si>
  <si>
    <t>Camiseta Estampada Pixel</t>
  </si>
  <si>
    <t>Baby Tee Tie-Dye</t>
  </si>
  <si>
    <t>CAM010HGG</t>
  </si>
  <si>
    <t>CAM011LG</t>
  </si>
  <si>
    <t>Camiseta Boxy Urbana</t>
  </si>
  <si>
    <t>CAM011LM</t>
  </si>
  <si>
    <t>CAM011LP</t>
  </si>
  <si>
    <t>CAM011HM</t>
  </si>
  <si>
    <t>Camiseta Raglan Wave</t>
  </si>
  <si>
    <t>Camiseta Manga Longa Concreto</t>
  </si>
  <si>
    <t>VLT-CAM-013-OLI-XP</t>
  </si>
  <si>
    <t>CAM014CG</t>
  </si>
  <si>
    <t>Baby Tee Neon</t>
  </si>
  <si>
    <t>CAM014CP</t>
  </si>
  <si>
    <t>CAM014LM</t>
  </si>
  <si>
    <t>Camiseta Raglan Skate</t>
  </si>
  <si>
    <t>Camiseta Oversized Urbana</t>
  </si>
  <si>
    <t>CAM016GM</t>
  </si>
  <si>
    <t>Camiseta Básica Urbana</t>
  </si>
  <si>
    <t>CAM017YGG</t>
  </si>
  <si>
    <t>Regata Retrô</t>
  </si>
  <si>
    <t>CAM019VG</t>
  </si>
  <si>
    <t>Camiseta Básica Vintage</t>
  </si>
  <si>
    <t>Camiseta Estampada Vintage</t>
  </si>
  <si>
    <t>CAM020YGG</t>
  </si>
  <si>
    <t>CAM021AG</t>
  </si>
  <si>
    <t>Camiseta Boxy Sunset</t>
  </si>
  <si>
    <t>Camiseta Estampada Neon</t>
  </si>
  <si>
    <t>Camiseta Boxy Skate</t>
  </si>
  <si>
    <t>Camiseta Básica Sunset</t>
  </si>
  <si>
    <t>Regata Neon</t>
  </si>
  <si>
    <t>Camisa Xadrez Leve</t>
  </si>
  <si>
    <t>CMS001GGG</t>
  </si>
  <si>
    <t>Camisa Cuban Ampla</t>
  </si>
  <si>
    <t>Overshirt Ampla</t>
  </si>
  <si>
    <t>VLT-CMS-003-BRA-XP</t>
  </si>
  <si>
    <t>CMS004AG</t>
  </si>
  <si>
    <t>Camisa Cuban Estonada</t>
  </si>
  <si>
    <t>CMS004AGG</t>
  </si>
  <si>
    <t>CMS004AM</t>
  </si>
  <si>
    <t>Camisa Jeans Listrada</t>
  </si>
  <si>
    <t>VLT-CMS-006-AMA-G</t>
  </si>
  <si>
    <t>CMS006YG</t>
  </si>
  <si>
    <t>Camisa Oxford Listrada</t>
  </si>
  <si>
    <t>CMS006YGG</t>
  </si>
  <si>
    <t>VLT-CMS-006-AMA-P</t>
  </si>
  <si>
    <t>CMS006YP</t>
  </si>
  <si>
    <t>VLT-CMS-006-AMA-XP</t>
  </si>
  <si>
    <t>CMS006YPP</t>
  </si>
  <si>
    <t>Camisa Linho Bolso</t>
  </si>
  <si>
    <t>CMS007LGG</t>
  </si>
  <si>
    <t>Overshirt Praia</t>
  </si>
  <si>
    <t>Camisa Linho Leve</t>
  </si>
  <si>
    <t>VLT-CMS-009-LIL-XP</t>
  </si>
  <si>
    <t>Camisa Cuban Bolso</t>
  </si>
  <si>
    <t>Camisa Jeans Estonada</t>
  </si>
  <si>
    <t>Camisa Xadrez Ampla</t>
  </si>
  <si>
    <t>VLT-CMS-012-AMA-XP</t>
  </si>
  <si>
    <t>VLT-CMS-012-OLI-XP</t>
  </si>
  <si>
    <t>Camisa Xadrez Bolso</t>
  </si>
  <si>
    <t>Camisa Oxford Clássica</t>
  </si>
  <si>
    <t>CMS014YGG</t>
  </si>
  <si>
    <t>VLT-CMS-014-AMA-XP</t>
  </si>
  <si>
    <t>Camisa Xadrez Listrada</t>
  </si>
  <si>
    <t>Overshirt Listrada</t>
  </si>
  <si>
    <t>VLT-CMS-016-BRA-XP</t>
  </si>
  <si>
    <t>VLT-CMS-016-VIN-XP</t>
  </si>
  <si>
    <t>Bomber Matelassê</t>
  </si>
  <si>
    <t>Jaqueta Puffer Matelassê</t>
  </si>
  <si>
    <t>Jaqueta Couro Eco Clássica</t>
  </si>
  <si>
    <t>Blazer Oversized Matelassê</t>
  </si>
  <si>
    <t>Corta-Vento Utilitária</t>
  </si>
  <si>
    <t>VLT-JAQ-007-OFF-XP</t>
  </si>
  <si>
    <t>Bomber Vintage</t>
  </si>
  <si>
    <t>Corta-Vento Clássica</t>
  </si>
  <si>
    <t>VLT-JAQ-010-OLI-XP</t>
  </si>
  <si>
    <t>VLT-JAQ-010-VIN-XP</t>
  </si>
  <si>
    <t>Bomber Clássica</t>
  </si>
  <si>
    <t>Moletom Canguru Logo</t>
  </si>
  <si>
    <t>MOL001MGG</t>
  </si>
  <si>
    <t>MOL001MM</t>
  </si>
  <si>
    <t>VLT-MOL-001-MRR-XP</t>
  </si>
  <si>
    <t>MOL001MPP</t>
  </si>
  <si>
    <t>Moletom Careca Básico</t>
  </si>
  <si>
    <t>Moletom Zíper College</t>
  </si>
  <si>
    <t>VLT-MOL-003-BEG-P</t>
  </si>
  <si>
    <t>MOL003GP</t>
  </si>
  <si>
    <t>VLT-MOL-003-CIN-G</t>
  </si>
  <si>
    <t>MOL003CG</t>
  </si>
  <si>
    <t>VLT-MOL-003-CIN-GG</t>
  </si>
  <si>
    <t>MOL003CGG</t>
  </si>
  <si>
    <t>VLT-MOL-003-CIN-M</t>
  </si>
  <si>
    <t>MOL003CM</t>
  </si>
  <si>
    <t>VLT-MOL-003-CIN-P</t>
  </si>
  <si>
    <t>MOL003CP</t>
  </si>
  <si>
    <t>Hoodie Oversized Bordado</t>
  </si>
  <si>
    <t>Moletom Canguru Bordado</t>
  </si>
  <si>
    <t>VLT-MOL-005-OFF-XP</t>
  </si>
  <si>
    <t>Moletom Careca College</t>
  </si>
  <si>
    <t>Hoodie Oversized College</t>
  </si>
  <si>
    <t>MOL008LG</t>
  </si>
  <si>
    <t>Moletom Canguru Estonado</t>
  </si>
  <si>
    <t>MOL008HG</t>
  </si>
  <si>
    <t>Moletom Zíper Logo</t>
  </si>
  <si>
    <t>Moletom Canguru College</t>
  </si>
  <si>
    <t>VLT-MOL-011-OLI-G</t>
  </si>
  <si>
    <t>MOL011VG</t>
  </si>
  <si>
    <t>Hoodie Oversized Logo</t>
  </si>
  <si>
    <t>VLT-MOL-011-OLI-M</t>
  </si>
  <si>
    <t>MOL011VM</t>
  </si>
  <si>
    <t>VLT-MOL-011-OLI-P</t>
  </si>
  <si>
    <t>MOL011VP</t>
  </si>
  <si>
    <t>Moletom Zíper Bordado</t>
  </si>
  <si>
    <t>VLT-MOL-012-OFF-XP</t>
  </si>
  <si>
    <t>Moletom Careca Fleece</t>
  </si>
  <si>
    <t>Moletom Canguru Fleece</t>
  </si>
  <si>
    <t>MOL014YM</t>
  </si>
  <si>
    <t>Moletom Zíper Fleece</t>
  </si>
  <si>
    <t>Hoodie Oversized Fleece</t>
  </si>
  <si>
    <t>MOL017LP</t>
  </si>
  <si>
    <t>Moletom Careca Logo</t>
  </si>
  <si>
    <t>Moletom Zíper Básico</t>
  </si>
  <si>
    <t>Moletom Careca Bordado</t>
  </si>
  <si>
    <t>MOL020HM</t>
  </si>
  <si>
    <t>VLT-MOL-020-VIN-XP</t>
  </si>
  <si>
    <t>Moletom Zíper Estonado</t>
  </si>
  <si>
    <t>Saia Midi Fenda</t>
  </si>
  <si>
    <t>Saia Midi Evasê</t>
  </si>
  <si>
    <t>SAI003OGG</t>
  </si>
  <si>
    <t>Saia Cargo Utilitária</t>
  </si>
  <si>
    <t>Saia Jeans Utilitária</t>
  </si>
  <si>
    <t>Saia Jeans Fenda</t>
  </si>
  <si>
    <t>VLT-SAI-006-PRE-XP</t>
  </si>
  <si>
    <t>Saia Cargo Plissada</t>
  </si>
  <si>
    <t>SAI007HGG</t>
  </si>
  <si>
    <t>Saia Cargo Cetim</t>
  </si>
  <si>
    <t>Saia Jeans Plissada</t>
  </si>
  <si>
    <t>Minissaia Utilitária</t>
  </si>
  <si>
    <t>Saia Cargo Fenda</t>
  </si>
  <si>
    <t>SAI012GG</t>
  </si>
  <si>
    <t>Saia Cargo Evasê</t>
  </si>
  <si>
    <t>Cropped Amarração Floral</t>
  </si>
  <si>
    <t>VLT-TOP-001-AMA-XP</t>
  </si>
  <si>
    <t>Top Faixa Tricot</t>
  </si>
  <si>
    <t>TOP002PP</t>
  </si>
  <si>
    <t>Top Faixa Cetim</t>
  </si>
  <si>
    <t>TOP003BP</t>
  </si>
  <si>
    <t>TOP004VG</t>
  </si>
  <si>
    <t>Cropped Canelado Cetim</t>
  </si>
  <si>
    <t>Cropped Canelado Basic</t>
  </si>
  <si>
    <t>Cropped Amarração Canelado</t>
  </si>
  <si>
    <t>VLT-TOP-007-MRR-G</t>
  </si>
  <si>
    <t>TOP007MG</t>
  </si>
  <si>
    <t>Body Floral</t>
  </si>
  <si>
    <t>VLT-TOP-007-MRR-GG</t>
  </si>
  <si>
    <t>TOP007MGG</t>
  </si>
  <si>
    <t>VLT-TOP-007-MRR-M</t>
  </si>
  <si>
    <t>TOP007MM</t>
  </si>
  <si>
    <t>VLT-TOP-007-MRR-P</t>
  </si>
  <si>
    <t>TOP007MP</t>
  </si>
  <si>
    <t>Top Alcinha Floral</t>
  </si>
  <si>
    <t>Top Alcinha Cetim</t>
  </si>
  <si>
    <t>TOP009GGG</t>
  </si>
  <si>
    <t>Body Canelado</t>
  </si>
  <si>
    <t>TOP010YM</t>
  </si>
  <si>
    <t>Body Lisa</t>
  </si>
  <si>
    <t>Top Alcinha Canelado</t>
  </si>
  <si>
    <t>TOP012PGG</t>
  </si>
  <si>
    <t>TOP012PM</t>
  </si>
  <si>
    <t>Cropped Canelado Canelado</t>
  </si>
  <si>
    <t>TOP013VP</t>
  </si>
  <si>
    <t>Body Cetim</t>
  </si>
  <si>
    <t>Cropped Canelado Tricot</t>
  </si>
  <si>
    <t>Cardigan Trançado</t>
  </si>
  <si>
    <t>Blusa Tricot Gola V</t>
  </si>
  <si>
    <t>Colete Tricô Fio Leve</t>
  </si>
  <si>
    <t>Blusa Tricot Chunky</t>
  </si>
  <si>
    <t>Suéter Tricô Gola V</t>
  </si>
  <si>
    <t>VLT-TRI-007-LIL-XP</t>
  </si>
  <si>
    <t>Cardigan Chunky</t>
  </si>
  <si>
    <t>Cardigan Gola V</t>
  </si>
  <si>
    <t>Suéter Tricô Fio Leve</t>
  </si>
  <si>
    <t>TRI010VP</t>
  </si>
  <si>
    <t>Cardigan Fio Leve</t>
  </si>
  <si>
    <t>Cardigan Listrado</t>
  </si>
  <si>
    <t>Suéter Tricô Trançado</t>
  </si>
  <si>
    <t>VLT-TRI-013-MRR-XP</t>
  </si>
  <si>
    <t>Suéter Tricô Chunky</t>
  </si>
  <si>
    <t>Vestido Midi Floral</t>
  </si>
  <si>
    <t>VES001AGG</t>
  </si>
  <si>
    <t>Vestido Slip Canelado</t>
  </si>
  <si>
    <t>VES003YG</t>
  </si>
  <si>
    <t>Macacão Canelado</t>
  </si>
  <si>
    <t>VES003YGG</t>
  </si>
  <si>
    <t>VES003YM</t>
  </si>
  <si>
    <t>VES004YG</t>
  </si>
  <si>
    <t>Macacão Cetim</t>
  </si>
  <si>
    <t>VLT-VES-004-AMA-XP</t>
  </si>
  <si>
    <t>Macacão Floral</t>
  </si>
  <si>
    <t>Vestido Slip Linho</t>
  </si>
  <si>
    <t>Vestido Slip Floral</t>
  </si>
  <si>
    <t>Vestido Tubinho Cetim</t>
  </si>
  <si>
    <t>Vestido Midi Linho</t>
  </si>
  <si>
    <t>Vestido Midi Cetim</t>
  </si>
  <si>
    <t>VES010CM</t>
  </si>
  <si>
    <t>VES010OGG</t>
  </si>
  <si>
    <t>VES010OM</t>
  </si>
  <si>
    <t>Vestido Chemise Canelado</t>
  </si>
  <si>
    <t>Hoodie Oversized Básico</t>
  </si>
  <si>
    <t>Lista 2024 (PLANILHA ANTIGA)</t>
  </si>
  <si>
    <t>Fora do catálogo 2026</t>
  </si>
  <si>
    <t>VLT-MOL-002-OLI-M</t>
  </si>
  <si>
    <t>MOL002VM</t>
  </si>
  <si>
    <t>VLT-MOL-002-OLI-G</t>
  </si>
  <si>
    <t>MOL002VG</t>
  </si>
  <si>
    <t>MOL002VGG</t>
  </si>
  <si>
    <t>VLT-CAL-001-VIN-XP</t>
  </si>
  <si>
    <t>Calça Cargo Ripstop</t>
  </si>
  <si>
    <t>VLT-CAL-001-VIN-P</t>
  </si>
  <si>
    <t>CAL001H38</t>
  </si>
  <si>
    <t>VLT-CAL-001-VIN-M</t>
  </si>
  <si>
    <t>VLT-CAL-001-VIN-G</t>
  </si>
  <si>
    <t>CAL001H42</t>
  </si>
  <si>
    <t>VLT-CAL-001-VIN-GG</t>
  </si>
  <si>
    <t>VLT-CAL-001-OLI-XP</t>
  </si>
  <si>
    <t>VLT-CAL-001-OLI-P</t>
  </si>
  <si>
    <t>VLT-CAL-001-OLI-M</t>
  </si>
  <si>
    <t>CAL001V40</t>
  </si>
  <si>
    <t>VLT-CAL-001-OLI-G</t>
  </si>
  <si>
    <t>VLT-CAL-001-OLI-GG</t>
  </si>
  <si>
    <t>ACE001PU</t>
  </si>
  <si>
    <t>Meia Cano Alto (Par) Básico</t>
  </si>
  <si>
    <t>VLT-TRI-003-BEG-P</t>
  </si>
  <si>
    <t>TRI003GP</t>
  </si>
  <si>
    <t>Blusa Tricot Trançado</t>
  </si>
  <si>
    <t>TRI003GM</t>
  </si>
  <si>
    <t>TRI003GG</t>
  </si>
  <si>
    <t>TRI003GGG</t>
  </si>
  <si>
    <t>TRI003MP</t>
  </si>
  <si>
    <t>TRI003MM</t>
  </si>
  <si>
    <t>TRI003MG</t>
  </si>
  <si>
    <t>VLT-TRI-003-MRR-GG</t>
  </si>
  <si>
    <t>TRI003MGG</t>
  </si>
  <si>
    <t>VLT-SAI-001-BEG-P</t>
  </si>
  <si>
    <t>SAI001GP</t>
  </si>
  <si>
    <t>Saia Jeans Cetim</t>
  </si>
  <si>
    <t>VLT-SAI-001-BEG-G</t>
  </si>
  <si>
    <t>SAI001GG</t>
  </si>
  <si>
    <t>SAI001GGG</t>
  </si>
  <si>
    <t>VLT-SAI-001-JCL-G</t>
  </si>
  <si>
    <t>SAI001JG</t>
  </si>
  <si>
    <t>VLT-SAI-001-JCL-GG</t>
  </si>
  <si>
    <t>SAI001JGG</t>
  </si>
  <si>
    <t>VLT-SAI-001-PRE-P</t>
  </si>
  <si>
    <t>SAI001PP</t>
  </si>
  <si>
    <t>VLT-SAI-001-PRE-M</t>
  </si>
  <si>
    <t>SAI001PM</t>
  </si>
  <si>
    <t>VLT-SAI-001-PRE-G</t>
  </si>
  <si>
    <t>SAI001PG</t>
  </si>
  <si>
    <t>SAI001PGG</t>
  </si>
  <si>
    <t>conferente: Jéssica | SKU só na Eldorado – existe no catálogo (Verão 25, descontinuado)</t>
  </si>
  <si>
    <t>Catálogo Vulto 2026 / código CD</t>
  </si>
  <si>
    <t>Catálogo (novo-catalogo_vulto_2026_REVISADO_final) importado na aba CATÁLOGO como cadastro mestre: vale a coleção mais nova; Atemporais só se o produto não estiver em coleção. Código CD do catálogo segue 100% a regra CAT+NNN+letra da cor+tamanho (numérico 36–46 em CAL/BER). 172 SKUs descontinuados sem código e 35 SKUs da lista 2024 receberam código pela mesma regra. Todas as abas de estoque ganharam CÓDIGO CD (col. B) e STATUS CATÁLOGO (fórmulas na aba CATÁLOGO)</t>
  </si>
  <si>
    <t>Estoque de descontinuados continua contado (Pinheiros 314, Eldorado 357, Savassi 342, Batel 293, CD 871 peças) – decidir liquidação/PMI. Fora do catálogo: só 5 SKUs da Eldorado (12 peças)</t>
  </si>
  <si>
    <t>Padrão de tamanho no SKU</t>
  </si>
  <si>
    <t>SKU das abas de estoque convertido para o padrão do catálogo: 36=XP, 38=P, 40=M, 42=G, 44=GG, 46=XG e PP=XP (código CD mantém o numérico em CAL/BER). Modelos fora do catálogo 2026 mas presentes na lista 2024 (CAL-001, MOL-002-OLI, TRI-003, SAI-001, ACE-001) ficam com status 'Fora do catálogo 2026'</t>
  </si>
  <si>
    <t>SKUs como VLT-CAL-001-OLI-38 passam a VLT-CAL-001-OLI-P. Nenhuma duplicidade gerada; totais por aba inalterados</t>
  </si>
  <si>
    <t>conferente: Lari | código contado TRI003PG não existe (TRI-003 só em BEG/MRR na lista 2024) – mantido, não identificado</t>
  </si>
  <si>
    <t>conferente: Thiago | código contado TOP030BP não existe – corrigido para VLT-TOP-003-BRA-P (dígitos invertidos; decisão 15/10)</t>
  </si>
  <si>
    <t>conferente: Lari | código contado TOP021PGG não existe – corrigido para VLT-TOP-012-PRE-GG (dígitos invertidos; decisão 15/10)</t>
  </si>
  <si>
    <t>conferente: Thiago | código contado CAM002YGG não existe – corrigido para VLT-CAM-020-AMA-GG (dígitos invertidos; decisão 15/10)</t>
  </si>
  <si>
    <t>conferente: Lari | código contado MOL071LP não existe – corrigido para VLT-MOL-017-LIL-P (dígitos invertidos; decisão 15/10)</t>
  </si>
  <si>
    <t>conferente: Jéssica | SKU só na Eldorado – existe na lista 2024 (fora do catálogo 2026), mantido</t>
  </si>
  <si>
    <t>conferente: Lari | SKU só na Eldorado – existe na lista 2024 (fora do catálogo 2026), mantido</t>
  </si>
  <si>
    <t>conferente: Thiago | SKU só na Eldorado – existe no catálogo (descontinuado), mantido</t>
  </si>
  <si>
    <t>conferente: Lari | SKU só na Eldorado – existe no catálogo (descontinuado), mantido</t>
  </si>
  <si>
    <t>Descontinuados e fora do catálogo 2026 no PMI</t>
  </si>
  <si>
    <t>Peças com status Descontinuado ou Fora do catálogo 2026 ENTRAM no PMI como estoque normal. ⚠ ÊNFASE: são candidatas a desconto/liquidação (aplicado no PDV/site – regra 5 do catálogo, não altera preço). Destacadas em laranja/amarelo na coluna STATUS CATÁLOGO</t>
  </si>
  <si>
    <t>Descontinuados: Pinheiros 314, Eldorado 357, Savassi 342, Batel 293, CD 871 peças. Fora do catálogo 2026: Pinheiros 6, Eldorado 11, Savassi 1, Batel 9, Avaria 1</t>
  </si>
  <si>
    <t>Eldorado contada por código CD – revalidação</t>
  </si>
  <si>
    <t>A Eldorado foi contada por código CD (ex.: CAL001V36). Com o catálogo, 4 códigos inexistentes eram dígitos invertidos e foram corrigidos: TOP030BP→TOP-003-BRA-P (5), TOP021PGG→TOP-012-PRE-GG (2), MOL071LP→MOL-017-LIL-P (2), CAM002YGG→CAM-020-AMA-GG (2). TRI003PG (1 peça) não identificado – mantido como FORA DO CATÁLOGO. As 8 correções de letra feitas antes e os demais 'só na Eldorado' existem no catálogo ou na lista 2024</t>
  </si>
  <si>
    <t>Estimativas reconferidas: Batel (36 imputados) = mediana Pinheiros/Eldorado atual em 100% dos casos; nenhum SKU corrigido afeta a imputação. Savassi: rateio bate com a proporção da Pinheiros+avaria (desvio máx. 0,88 peça, só arredondamento)</t>
  </si>
  <si>
    <t>ATENÇÃO: entre 20/09 e 28/09 houve vendas/reposições não refletidas na Pinheiros. Se tivermos acesso às vendas, ajustar cada loja para 28/09 (contagem – vendas + entradas no período) | 16/10: relatório de vendas da Pinheiros 21–28/09 não disponível (arquivo recebido era de vendas manuais da Batel de março/26, não utilizado). Decisão mantida: contagem de 20/09 tratada como 28/09</t>
  </si>
  <si>
    <t>Avaria estimada – Eldorado, Savassi e Batel (rateio da avaria real da Pinheiros)</t>
  </si>
  <si>
    <t>Estimativa, não contagem: todas as lojas recebem do mesmo CD, então aplica-se a taxa de avaria medida na Pinheiros, com a mesma distribuição por SKU (decisão 13).</t>
  </si>
  <si>
    <t>PREMISSA</t>
  </si>
  <si>
    <t>VALOR</t>
  </si>
  <si>
    <t>Avaria contada na Pinheiros (peças)</t>
  </si>
  <si>
    <t>Estoque bom da Pinheiros (peças)</t>
  </si>
  <si>
    <t>Taxa de avaria = avaria ÷ (estoque bom + avaria)</t>
  </si>
  <si>
    <t>LOJA</t>
  </si>
  <si>
    <t>ESTOQUE CONTADO</t>
  </si>
  <si>
    <t>AVARIA TEÓRICA (contado × taxa)</t>
  </si>
  <si>
    <t>AVARIA ESTIMADA (soma por SKU)</t>
  </si>
  <si>
    <t>ESTOQUE VENDÁVEL ESTIMADO</t>
  </si>
  <si>
    <t>% AVARIA</t>
  </si>
  <si>
    <t>PINHEIROS (real)</t>
  </si>
  <si>
    <t>ELDORADO</t>
  </si>
  <si>
    <t>SAVASSI</t>
  </si>
  <si>
    <t>BATEL</t>
  </si>
  <si>
    <t>TOTAL 4 LOJAS</t>
  </si>
  <si>
    <t>AVARIA PINHEIROS</t>
  </si>
  <si>
    <t>PESO NA AVARIA</t>
  </si>
  <si>
    <t>ELDORADO – estoque do SKU</t>
  </si>
  <si>
    <t>ELDORADO – avaria est.</t>
  </si>
  <si>
    <t>SAVASSI – estoque do SKU</t>
  </si>
  <si>
    <t>SAVASSI – avaria est.</t>
  </si>
  <si>
    <t>BATEL – estoque do SKU</t>
  </si>
  <si>
    <t>BATEL – avaria est.</t>
  </si>
  <si>
    <t>Distribuição por SKU: avaria est. = MENOR(estoque do SKU na loja ; ARRED(peso × avaria teórica da loja))</t>
  </si>
  <si>
    <t>TOTAL</t>
  </si>
  <si>
    <t>19/10/2026</t>
  </si>
  <si>
    <t>Avaria – estimativa nas outras lojas</t>
  </si>
  <si>
    <t>SUBSTITUI a decisão 7. Todas as lojas recebem do mesmo CD, então é improvável que só a Pinheiros tenha avaria; considerar as demais sem avaria superestimaria o estoque vendável. Aplicada às lojas Eldorado, Savassi e Batel a taxa real da Pinheiros: 80 peças ÷ 2.438 peças contadas (80 + 2.358 boas) = 3,3% (taxa de 16% avaliada e descartada: não é sustentada pelos dados). A distribuição segue os mesmos 23 SKUs e o mesmo peso de cada SKU na avaria da Pinheiros, limitada ao estoque que a loja tem do SKU. CD fora do cálculo (é a origem; a avaria acontece no transporte/manuseio até a loja). Cálculo na aba AVARIA ESTIMADA (fórmulas)</t>
  </si>
  <si>
    <t>Avaria estimada (não contada): Eldorado 69, Savassi 65, Batel 49 peças (teórica 76/69/62; a diferença existe porque as lojas não têm estoque suficiente de alguns SKUs). Total das 4 lojas ≈ 263 peças (3,0%). As abas de estoque NÃO foram alteradas: para o vendável, usar ESTOQUE VENDÁVEL ESTIMADO da aba AVARIA ESTIMADA. Se as lojas fizerem a triagem física de avaria, substituir a estimativa pelo contado</t>
  </si>
  <si>
    <t>Se surgir avaria fora da Pinheiros, não está refletida; todo o estoque dessas lojas é tratado como vendável | 19/10: SUBSTITUÍDA pela decisão 13 (avaria estimada por rateio da Pinheiros)</t>
  </si>
  <si>
    <t>AVARIA (real)</t>
  </si>
  <si>
    <t>RESUMO AVARIA – PINHEIROS</t>
  </si>
  <si>
    <t>Tipo de avaria</t>
  </si>
  <si>
    <t>Estoque contado (inclui avaria)</t>
  </si>
  <si>
    <t>Peças com avaria</t>
  </si>
  <si>
    <t>Estoque vendável</t>
  </si>
  <si>
    <t>% avaria</t>
  </si>
  <si>
    <t>SKUs afetados</t>
  </si>
  <si>
    <t>% avaria – média das 4 lojas</t>
  </si>
  <si>
    <t>SKUs com avaria (maior → menor)</t>
  </si>
  <si>
    <t>PEÇAS</t>
  </si>
  <si>
    <t>AVARIA EST.</t>
  </si>
  <si>
    <t>RESUMO AVARIA – ELDORADO</t>
  </si>
  <si>
    <t>RESUMO AVARIA – SAVASSI</t>
  </si>
  <si>
    <t>RESUMO AVARIA – BATEL</t>
  </si>
  <si>
    <t>Real (contada)</t>
  </si>
  <si>
    <t>Estimada (decisão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</si>
</sst>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;\-0;\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i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4" fillId="0" borderId="2" xfId="0" applyFont="1" applyBorder="1"/>
    <xf numFmtId="0" fontId="5" fillId="0" borderId="0" xfId="0" applyFont="1"/>
    <xf numFmtId="3" fontId="3" fillId="0" borderId="0" xfId="0" applyNumberFormat="1" applyFont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4" fillId="0" borderId="1" xfId="0" applyFont="1" applyBorder="1"/>
    <xf numFmtId="0" fontId="2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vertical="top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3" xfId="0" applyFont="1" applyBorder="1"/>
    <xf numFmtId="3" fontId="1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0" fillId="5" borderId="0" xfId="0" applyFill="1"/>
    <xf numFmtId="3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0" borderId="4" xfId="0" applyBorder="1"/>
    <xf numFmtId="3" fontId="0" fillId="0" borderId="4" xfId="0" applyNumberFormat="1" applyBorder="1"/>
    <xf numFmtId="0" fontId="0" fillId="0" borderId="5" xfId="0" applyBorder="1"/>
    <xf numFmtId="3" fontId="0" fillId="0" borderId="5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6" borderId="0" xfId="0" applyFill="1"/>
    <xf numFmtId="49" fontId="0" fillId="6" borderId="0" xfId="0" applyNumberFormat="1" applyFill="1"/>
    <xf numFmtId="0" fontId="9" fillId="0" borderId="0" xfId="0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166" fontId="4" fillId="0" borderId="1" xfId="0" applyNumberFormat="1" applyFont="1" applyBorder="1" applyAlignment="1">
      <alignment horizontal="center"/>
    </xf>
    <xf numFmtId="0" fontId="1" fillId="7" borderId="0" xfId="0" applyFont="1" applyFill="1"/>
    <xf numFmtId="0" fontId="0" fillId="0" borderId="6" xfId="0" applyBorder="1"/>
    <xf numFmtId="3" fontId="0" fillId="0" borderId="7" xfId="0" applyNumberFormat="1" applyBorder="1" applyAlignment="1">
      <alignment horizontal="center"/>
    </xf>
    <xf numFmtId="0" fontId="10" fillId="0" borderId="6" xfId="0" applyFont="1" applyBorder="1"/>
    <xf numFmtId="3" fontId="10" fillId="0" borderId="7" xfId="0" applyNumberFormat="1" applyFont="1" applyBorder="1" applyAlignment="1">
      <alignment horizontal="center"/>
    </xf>
    <xf numFmtId="0" fontId="1" fillId="0" borderId="6" xfId="0" applyFont="1" applyBorder="1"/>
    <xf numFmtId="3" fontId="1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8" fillId="0" borderId="7" xfId="0" applyFont="1" applyBorder="1" applyAlignment="1"/>
  </cellXfs>
  <cellStyles count="1">
    <cellStyle name="Normal" xfId="0" builtinId="0"/>
  </cellStyles>
  <dxfs count="22"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184397-FA12-42BC-AC84-B3ABFB7DEF8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03c10bf1-2542-403b-bea9-51d9521e6141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5"/>
  <sheetViews>
    <sheetView workbookViewId="0">
      <pane ySplit="1" topLeftCell="A302" activePane="bottomLeft" state="frozen"/>
      <selection pane="bottomLeft" activeCell="A325" sqref="A325"/>
    </sheetView>
  </sheetViews>
  <sheetFormatPr defaultRowHeight="14.4" x14ac:dyDescent="0.3"/>
  <cols>
    <col min="1" max="1" width="27.77734375" customWidth="1"/>
    <col min="2" max="2" width="16.6640625" customWidth="1"/>
    <col min="3" max="3" width="11.109375" customWidth="1"/>
    <col min="4" max="4" width="24.109375" customWidth="1"/>
    <col min="5" max="5" width="55.5546875" customWidth="1"/>
    <col min="6" max="6" width="14.77734375" customWidth="1"/>
    <col min="7" max="7" width="3.6640625" customWidth="1"/>
    <col min="8" max="8" width="35.21875" customWidth="1"/>
    <col min="9" max="9" width="27.77734375" customWidth="1"/>
  </cols>
  <sheetData>
    <row r="1" spans="1:9" x14ac:dyDescent="0.3">
      <c r="A1" s="10" t="s">
        <v>0</v>
      </c>
      <c r="B1" s="10" t="s">
        <v>1413</v>
      </c>
      <c r="C1" s="10" t="s">
        <v>1</v>
      </c>
      <c r="D1" s="10" t="s">
        <v>1416</v>
      </c>
      <c r="E1" s="10" t="s">
        <v>2</v>
      </c>
      <c r="F1" s="10" t="s">
        <v>2048</v>
      </c>
      <c r="H1" s="22" t="s">
        <v>2049</v>
      </c>
      <c r="I1" s="22"/>
    </row>
    <row r="2" spans="1:9" x14ac:dyDescent="0.3">
      <c r="A2" s="9" t="s">
        <v>8</v>
      </c>
      <c r="B2" s="18" t="str">
        <f>_xlfn.XLOOKUP(A2,CATÁLOGO!$A$2:$A$846,CATÁLOGO!$B$2:$B$846,"FORA DO CATÁLOGO")</f>
        <v>MOL002VGG</v>
      </c>
      <c r="C2" s="11">
        <v>0</v>
      </c>
      <c r="D2" s="11" t="str">
        <f>_xlfn.XLOOKUP(A2,CATÁLOGO!$A$2:$A$846,CATÁLOGO!$E$2:$E$846,"FORA DO CATÁLOGO")</f>
        <v>Fora do catálogo 2026</v>
      </c>
      <c r="E2" s="9"/>
      <c r="F2" s="52">
        <f>SUMIFS('AVARIA PINHEIROS'!$C$2:$C$24,'AVARIA PINHEIROS'!$A$2:$A$24,A2)</f>
        <v>0</v>
      </c>
      <c r="H2" s="54" t="s">
        <v>2050</v>
      </c>
      <c r="I2" s="63" t="s">
        <v>2063</v>
      </c>
    </row>
    <row r="3" spans="1:9" x14ac:dyDescent="0.3">
      <c r="A3" s="9" t="s">
        <v>1953</v>
      </c>
      <c r="B3" s="18" t="str">
        <f>_xlfn.XLOOKUP(A3,CATÁLOGO!$A$2:$A$846,CATÁLOGO!$B$2:$B$846,"FORA DO CATÁLOGO")</f>
        <v>CAL001H42</v>
      </c>
      <c r="C3" s="11">
        <v>1</v>
      </c>
      <c r="D3" s="11" t="str">
        <f>_xlfn.XLOOKUP(A3,CATÁLOGO!$A$2:$A$846,CATÁLOGO!$E$2:$E$846,"FORA DO CATÁLOGO")</f>
        <v>Fora do catálogo 2026</v>
      </c>
      <c r="E3" s="9"/>
      <c r="F3" s="52">
        <f>SUMIFS('AVARIA PINHEIROS'!$C$2:$C$24,'AVARIA PINHEIROS'!$A$2:$A$24,A3)</f>
        <v>0</v>
      </c>
      <c r="H3" s="54" t="s">
        <v>2051</v>
      </c>
      <c r="I3" s="55">
        <f>SUM(C2:C725)+I4</f>
        <v>2438</v>
      </c>
    </row>
    <row r="4" spans="1:9" x14ac:dyDescent="0.3">
      <c r="A4" s="9" t="s">
        <v>11</v>
      </c>
      <c r="B4" s="18" t="str">
        <f>_xlfn.XLOOKUP(A4,CATÁLOGO!$A$2:$A$846,CATÁLOGO!$B$2:$B$846,"FORA DO CATÁLOGO")</f>
        <v>ACE001PU</v>
      </c>
      <c r="C4" s="11">
        <v>0</v>
      </c>
      <c r="D4" s="11" t="str">
        <f>_xlfn.XLOOKUP(A4,CATÁLOGO!$A$2:$A$846,CATÁLOGO!$E$2:$E$846,"FORA DO CATÁLOGO")</f>
        <v>Fora do catálogo 2026</v>
      </c>
      <c r="E4" s="9" t="s">
        <v>1345</v>
      </c>
      <c r="F4" s="52">
        <f>SUMIFS('AVARIA PINHEIROS'!$C$2:$C$24,'AVARIA PINHEIROS'!$A$2:$A$24,A4)</f>
        <v>1</v>
      </c>
      <c r="H4" s="56" t="s">
        <v>2052</v>
      </c>
      <c r="I4" s="57">
        <f>SUM(F2:F725)</f>
        <v>80</v>
      </c>
    </row>
    <row r="5" spans="1:9" x14ac:dyDescent="0.3">
      <c r="A5" s="9" t="s">
        <v>12</v>
      </c>
      <c r="B5" s="18" t="str">
        <f>_xlfn.XLOOKUP(A5,CATÁLOGO!$A$2:$A$846,CATÁLOGO!$B$2:$B$846,"FORA DO CATÁLOGO")</f>
        <v>TRI003GM</v>
      </c>
      <c r="C5" s="11">
        <v>1</v>
      </c>
      <c r="D5" s="11" t="str">
        <f>_xlfn.XLOOKUP(A5,CATÁLOGO!$A$2:$A$846,CATÁLOGO!$E$2:$E$846,"FORA DO CATÁLOGO")</f>
        <v>Fora do catálogo 2026</v>
      </c>
      <c r="E5" s="9"/>
      <c r="F5" s="52">
        <f>SUMIFS('AVARIA PINHEIROS'!$C$2:$C$24,'AVARIA PINHEIROS'!$A$2:$A$24,A5)</f>
        <v>0</v>
      </c>
      <c r="H5" s="58" t="s">
        <v>2053</v>
      </c>
      <c r="I5" s="59">
        <f>I3-I4</f>
        <v>2358</v>
      </c>
    </row>
    <row r="6" spans="1:9" x14ac:dyDescent="0.3">
      <c r="A6" s="9" t="s">
        <v>13</v>
      </c>
      <c r="B6" s="18" t="str">
        <f>_xlfn.XLOOKUP(A6,CATÁLOGO!$A$2:$A$846,CATÁLOGO!$B$2:$B$846,"FORA DO CATÁLOGO")</f>
        <v>TRI003GGG</v>
      </c>
      <c r="C6" s="11">
        <v>1</v>
      </c>
      <c r="D6" s="11" t="str">
        <f>_xlfn.XLOOKUP(A6,CATÁLOGO!$A$2:$A$846,CATÁLOGO!$E$2:$E$846,"FORA DO CATÁLOGO")</f>
        <v>Fora do catálogo 2026</v>
      </c>
      <c r="E6" s="9"/>
      <c r="F6" s="52">
        <f>SUMIFS('AVARIA PINHEIROS'!$C$2:$C$24,'AVARIA PINHEIROS'!$A$2:$A$24,A6)</f>
        <v>0</v>
      </c>
      <c r="H6" s="54" t="s">
        <v>2054</v>
      </c>
      <c r="I6" s="60">
        <f>I4/I3</f>
        <v>3.2813781788351107E-2</v>
      </c>
    </row>
    <row r="7" spans="1:9" x14ac:dyDescent="0.3">
      <c r="A7" s="9" t="s">
        <v>14</v>
      </c>
      <c r="B7" s="18" t="str">
        <f>_xlfn.XLOOKUP(A7,CATÁLOGO!$A$2:$A$846,CATÁLOGO!$B$2:$B$846,"FORA DO CATÁLOGO")</f>
        <v>TRI003MP</v>
      </c>
      <c r="C7" s="11">
        <v>1</v>
      </c>
      <c r="D7" s="11" t="str">
        <f>_xlfn.XLOOKUP(A7,CATÁLOGO!$A$2:$A$846,CATÁLOGO!$E$2:$E$846,"FORA DO CATÁLOGO")</f>
        <v>Fora do catálogo 2026</v>
      </c>
      <c r="E7" s="9"/>
      <c r="F7" s="52">
        <f>SUMIFS('AVARIA PINHEIROS'!$C$2:$C$24,'AVARIA PINHEIROS'!$A$2:$A$24,A7)</f>
        <v>0</v>
      </c>
      <c r="H7" s="54" t="s">
        <v>2055</v>
      </c>
      <c r="I7" s="61">
        <f>COUNTIF(F2:F725,"&gt;0")</f>
        <v>23</v>
      </c>
    </row>
    <row r="8" spans="1:9" x14ac:dyDescent="0.3">
      <c r="A8" s="9" t="s">
        <v>15</v>
      </c>
      <c r="B8" s="18" t="str">
        <f>_xlfn.XLOOKUP(A8,CATÁLOGO!$A$2:$A$846,CATÁLOGO!$B$2:$B$846,"FORA DO CATÁLOGO")</f>
        <v>TRI003MM</v>
      </c>
      <c r="C8" s="11">
        <v>1</v>
      </c>
      <c r="D8" s="11" t="str">
        <f>_xlfn.XLOOKUP(A8,CATÁLOGO!$A$2:$A$846,CATÁLOGO!$E$2:$E$846,"FORA DO CATÁLOGO")</f>
        <v>Fora do catálogo 2026</v>
      </c>
      <c r="E8" s="9"/>
      <c r="F8" s="52">
        <f>SUMIFS('AVARIA PINHEIROS'!$C$2:$C$24,'AVARIA PINHEIROS'!$A$2:$A$24,A8)</f>
        <v>0</v>
      </c>
      <c r="H8" s="54" t="s">
        <v>2056</v>
      </c>
      <c r="I8" s="60">
        <f>'AVARIA ESTIMADA'!F14</f>
        <v>2.995785396970042E-2</v>
      </c>
    </row>
    <row r="9" spans="1:9" x14ac:dyDescent="0.3">
      <c r="A9" s="9" t="s">
        <v>16</v>
      </c>
      <c r="B9" s="18" t="str">
        <f>_xlfn.XLOOKUP(A9,CATÁLOGO!$A$2:$A$846,CATÁLOGO!$B$2:$B$846,"FORA DO CATÁLOGO")</f>
        <v>TRI003MG</v>
      </c>
      <c r="C9" s="11">
        <v>1</v>
      </c>
      <c r="D9" s="11" t="str">
        <f>_xlfn.XLOOKUP(A9,CATÁLOGO!$A$2:$A$846,CATÁLOGO!$E$2:$E$846,"FORA DO CATÁLOGO")</f>
        <v>Fora do catálogo 2026</v>
      </c>
      <c r="E9" s="9"/>
      <c r="F9" s="52">
        <f>SUMIFS('AVARIA PINHEIROS'!$C$2:$C$24,'AVARIA PINHEIROS'!$A$2:$A$24,A9)</f>
        <v>0</v>
      </c>
    </row>
    <row r="10" spans="1:9" x14ac:dyDescent="0.3">
      <c r="A10" s="9" t="s">
        <v>1449</v>
      </c>
      <c r="B10" s="18" t="str">
        <f>_xlfn.XLOOKUP(A10,CATÁLOGO!$A$2:$A$846,CATÁLOGO!$B$2:$B$846,"FORA DO CATÁLOGO")</f>
        <v>BER001B38</v>
      </c>
      <c r="C10" s="11">
        <v>6</v>
      </c>
      <c r="D10" s="11" t="str">
        <f>_xlfn.XLOOKUP(A10,CATÁLOGO!$A$2:$A$846,CATÁLOGO!$E$2:$E$846,"FORA DO CATÁLOGO")</f>
        <v>Ativo</v>
      </c>
      <c r="E10" s="9"/>
      <c r="F10" s="52">
        <f>SUMIFS('AVARIA PINHEIROS'!$C$2:$C$24,'AVARIA PINHEIROS'!$A$2:$A$24,A10)</f>
        <v>0</v>
      </c>
      <c r="H10" s="22" t="s">
        <v>2057</v>
      </c>
      <c r="I10" s="22"/>
    </row>
    <row r="11" spans="1:9" x14ac:dyDescent="0.3">
      <c r="A11" s="9" t="s">
        <v>1448</v>
      </c>
      <c r="B11" s="18" t="str">
        <f>_xlfn.XLOOKUP(A11,CATÁLOGO!$A$2:$A$846,CATÁLOGO!$B$2:$B$846,"FORA DO CATÁLOGO")</f>
        <v>BER001B40</v>
      </c>
      <c r="C11" s="11">
        <v>6</v>
      </c>
      <c r="D11" s="11" t="str">
        <f>_xlfn.XLOOKUP(A11,CATÁLOGO!$A$2:$A$846,CATÁLOGO!$E$2:$E$846,"FORA DO CATÁLOGO")</f>
        <v>Ativo</v>
      </c>
      <c r="E11" s="9"/>
      <c r="F11" s="52">
        <f>SUMIFS('AVARIA PINHEIROS'!$C$2:$C$24,'AVARIA PINHEIROS'!$A$2:$A$24,A11)</f>
        <v>0</v>
      </c>
      <c r="H11" s="53" t="s">
        <v>0</v>
      </c>
      <c r="I11" s="53" t="s">
        <v>2058</v>
      </c>
    </row>
    <row r="12" spans="1:9" x14ac:dyDescent="0.3">
      <c r="A12" s="9" t="s">
        <v>1445</v>
      </c>
      <c r="B12" s="18" t="str">
        <f>_xlfn.XLOOKUP(A12,CATÁLOGO!$A$2:$A$846,CATÁLOGO!$B$2:$B$846,"FORA DO CATÁLOGO")</f>
        <v>BER001B42</v>
      </c>
      <c r="C12" s="11">
        <v>6</v>
      </c>
      <c r="D12" s="11" t="str">
        <f>_xlfn.XLOOKUP(A12,CATÁLOGO!$A$2:$A$846,CATÁLOGO!$E$2:$E$846,"FORA DO CATÁLOGO")</f>
        <v>Ativo</v>
      </c>
      <c r="E12" s="9"/>
      <c r="F12" s="52">
        <f>SUMIFS('AVARIA PINHEIROS'!$C$2:$C$24,'AVARIA PINHEIROS'!$A$2:$A$24,A12)</f>
        <v>0</v>
      </c>
      <c r="H12" t="str" cm="1">
        <f t="array" ref="H12:I34">_xlfn._xlws.SORT(_xlfn._xlws.FILTER(_xlfn.HSTACK(A2:A725,F2:F725),F2:F725&gt;0,"sem avaria"),2,-1)</f>
        <v>VLT-CAL-023-LIL-M</v>
      </c>
      <c r="I12" s="27">
        <v>7</v>
      </c>
    </row>
    <row r="13" spans="1:9" x14ac:dyDescent="0.3">
      <c r="A13" s="9" t="s">
        <v>1447</v>
      </c>
      <c r="B13" s="18" t="str">
        <f>_xlfn.XLOOKUP(A13,CATÁLOGO!$A$2:$A$846,CATÁLOGO!$B$2:$B$846,"FORA DO CATÁLOGO")</f>
        <v>BER001B44</v>
      </c>
      <c r="C13" s="11">
        <v>4</v>
      </c>
      <c r="D13" s="11" t="str">
        <f>_xlfn.XLOOKUP(A13,CATÁLOGO!$A$2:$A$846,CATÁLOGO!$E$2:$E$846,"FORA DO CATÁLOGO")</f>
        <v>Ativo</v>
      </c>
      <c r="E13" s="9"/>
      <c r="F13" s="52">
        <f>SUMIFS('AVARIA PINHEIROS'!$C$2:$C$24,'AVARIA PINHEIROS'!$A$2:$A$24,A13)</f>
        <v>0</v>
      </c>
      <c r="H13" t="str">
        <v>VLT-CAL-003-PRE-G</v>
      </c>
      <c r="I13" s="27">
        <v>6</v>
      </c>
    </row>
    <row r="14" spans="1:9" x14ac:dyDescent="0.3">
      <c r="A14" s="9" t="s">
        <v>1517</v>
      </c>
      <c r="B14" s="18" t="str">
        <f>_xlfn.XLOOKUP(A14,CATÁLOGO!$A$2:$A$846,CATÁLOGO!$B$2:$B$846,"FORA DO CATÁLOGO")</f>
        <v>CAL003P38</v>
      </c>
      <c r="C14" s="11">
        <v>6</v>
      </c>
      <c r="D14" s="11" t="str">
        <f>_xlfn.XLOOKUP(A14,CATÁLOGO!$A$2:$A$846,CATÁLOGO!$E$2:$E$846,"FORA DO CATÁLOGO")</f>
        <v>Ativo</v>
      </c>
      <c r="E14" s="9"/>
      <c r="F14" s="52">
        <f>SUMIFS('AVARIA PINHEIROS'!$C$2:$C$24,'AVARIA PINHEIROS'!$A$2:$A$24,A14)</f>
        <v>0</v>
      </c>
      <c r="H14" t="str">
        <v>VLT-TOP-006-MRR-G</v>
      </c>
      <c r="I14" s="27">
        <v>5</v>
      </c>
    </row>
    <row r="15" spans="1:9" x14ac:dyDescent="0.3">
      <c r="A15" s="9" t="s">
        <v>1516</v>
      </c>
      <c r="B15" s="18" t="str">
        <f>_xlfn.XLOOKUP(A15,CATÁLOGO!$A$2:$A$846,CATÁLOGO!$B$2:$B$846,"FORA DO CATÁLOGO")</f>
        <v>CAL003P40</v>
      </c>
      <c r="C15" s="11">
        <v>6</v>
      </c>
      <c r="D15" s="11" t="str">
        <f>_xlfn.XLOOKUP(A15,CATÁLOGO!$A$2:$A$846,CATÁLOGO!$E$2:$E$846,"FORA DO CATÁLOGO")</f>
        <v>Ativo</v>
      </c>
      <c r="E15" s="9"/>
      <c r="F15" s="52">
        <f>SUMIFS('AVARIA PINHEIROS'!$C$2:$C$24,'AVARIA PINHEIROS'!$A$2:$A$24,A15)</f>
        <v>0</v>
      </c>
      <c r="H15" t="str">
        <v>VLT-CAL-011-LIL-P</v>
      </c>
      <c r="I15" s="27">
        <v>5</v>
      </c>
    </row>
    <row r="16" spans="1:9" x14ac:dyDescent="0.3">
      <c r="A16" s="9" t="s">
        <v>1513</v>
      </c>
      <c r="B16" s="18" t="str">
        <f>_xlfn.XLOOKUP(A16,CATÁLOGO!$A$2:$A$846,CATÁLOGO!$B$2:$B$846,"FORA DO CATÁLOGO")</f>
        <v>CAL003P42</v>
      </c>
      <c r="C16" s="11">
        <v>0</v>
      </c>
      <c r="D16" s="11" t="str">
        <f>_xlfn.XLOOKUP(A16,CATÁLOGO!$A$2:$A$846,CATÁLOGO!$E$2:$E$846,"FORA DO CATÁLOGO")</f>
        <v>Ativo</v>
      </c>
      <c r="E16" s="9" t="s">
        <v>1346</v>
      </c>
      <c r="F16" s="52">
        <f>SUMIFS('AVARIA PINHEIROS'!$C$2:$C$24,'AVARIA PINHEIROS'!$A$2:$A$24,A16)</f>
        <v>6</v>
      </c>
      <c r="H16" t="str">
        <v>VLT-CAL-024-AZM-P</v>
      </c>
      <c r="I16" s="27">
        <v>5</v>
      </c>
    </row>
    <row r="17" spans="1:9" x14ac:dyDescent="0.3">
      <c r="A17" s="9" t="s">
        <v>1515</v>
      </c>
      <c r="B17" s="18" t="str">
        <f>_xlfn.XLOOKUP(A17,CATÁLOGO!$A$2:$A$846,CATÁLOGO!$B$2:$B$846,"FORA DO CATÁLOGO")</f>
        <v>CAL003P44</v>
      </c>
      <c r="C17" s="11">
        <v>4</v>
      </c>
      <c r="D17" s="11" t="str">
        <f>_xlfn.XLOOKUP(A17,CATÁLOGO!$A$2:$A$846,CATÁLOGO!$E$2:$E$846,"FORA DO CATÁLOGO")</f>
        <v>Ativo</v>
      </c>
      <c r="E17" s="9" t="s">
        <v>1292</v>
      </c>
      <c r="F17" s="52">
        <f>SUMIFS('AVARIA PINHEIROS'!$C$2:$C$24,'AVARIA PINHEIROS'!$A$2:$A$24,A17)</f>
        <v>0</v>
      </c>
      <c r="H17" t="str">
        <v>VLT-TOP-001-AMA-G</v>
      </c>
      <c r="I17" s="27">
        <v>5</v>
      </c>
    </row>
    <row r="18" spans="1:9" x14ac:dyDescent="0.3">
      <c r="A18" s="9" t="s">
        <v>1532</v>
      </c>
      <c r="B18" s="18" t="str">
        <f>_xlfn.XLOOKUP(A18,CATÁLOGO!$A$2:$A$846,CATÁLOGO!$B$2:$B$846,"FORA DO CATÁLOGO")</f>
        <v>CAL004C36</v>
      </c>
      <c r="C18" s="11">
        <v>1</v>
      </c>
      <c r="D18" s="11" t="str">
        <f>_xlfn.XLOOKUP(A18,CATÁLOGO!$A$2:$A$846,CATÁLOGO!$E$2:$E$846,"FORA DO CATÁLOGO")</f>
        <v>Ativo</v>
      </c>
      <c r="E18" s="9"/>
      <c r="F18" s="52">
        <f>SUMIFS('AVARIA PINHEIROS'!$C$2:$C$24,'AVARIA PINHEIROS'!$A$2:$A$24,A18)</f>
        <v>0</v>
      </c>
      <c r="H18" t="str">
        <v>VLT-CAM-020-AMA-G</v>
      </c>
      <c r="I18" s="27">
        <v>5</v>
      </c>
    </row>
    <row r="19" spans="1:9" x14ac:dyDescent="0.3">
      <c r="A19" s="9" t="s">
        <v>1530</v>
      </c>
      <c r="B19" s="18" t="str">
        <f>_xlfn.XLOOKUP(A19,CATÁLOGO!$A$2:$A$846,CATÁLOGO!$B$2:$B$846,"FORA DO CATÁLOGO")</f>
        <v>CAL004C38</v>
      </c>
      <c r="C19" s="11">
        <v>2</v>
      </c>
      <c r="D19" s="11" t="str">
        <f>_xlfn.XLOOKUP(A19,CATÁLOGO!$A$2:$A$846,CATÁLOGO!$E$2:$E$846,"FORA DO CATÁLOGO")</f>
        <v>Ativo</v>
      </c>
      <c r="E19" s="9"/>
      <c r="F19" s="52">
        <f>SUMIFS('AVARIA PINHEIROS'!$C$2:$C$24,'AVARIA PINHEIROS'!$A$2:$A$24,A19)</f>
        <v>0</v>
      </c>
      <c r="H19" t="str">
        <v>VLT-VES-006-MRR-G</v>
      </c>
      <c r="I19" s="27">
        <v>4</v>
      </c>
    </row>
    <row r="20" spans="1:9" x14ac:dyDescent="0.3">
      <c r="A20" s="9" t="s">
        <v>1529</v>
      </c>
      <c r="B20" s="18" t="str">
        <f>_xlfn.XLOOKUP(A20,CATÁLOGO!$A$2:$A$846,CATÁLOGO!$B$2:$B$846,"FORA DO CATÁLOGO")</f>
        <v>CAL004C40</v>
      </c>
      <c r="C20" s="11">
        <v>2</v>
      </c>
      <c r="D20" s="11" t="str">
        <f>_xlfn.XLOOKUP(A20,CATÁLOGO!$A$2:$A$846,CATÁLOGO!$E$2:$E$846,"FORA DO CATÁLOGO")</f>
        <v>Ativo</v>
      </c>
      <c r="E20" s="9"/>
      <c r="F20" s="52">
        <f>SUMIFS('AVARIA PINHEIROS'!$C$2:$C$24,'AVARIA PINHEIROS'!$A$2:$A$24,A20)</f>
        <v>0</v>
      </c>
      <c r="H20" t="str">
        <v>VLT-CAL-016-OLI-P</v>
      </c>
      <c r="I20" s="27">
        <v>4</v>
      </c>
    </row>
    <row r="21" spans="1:9" x14ac:dyDescent="0.3">
      <c r="A21" s="9" t="s">
        <v>1527</v>
      </c>
      <c r="B21" s="18" t="str">
        <f>_xlfn.XLOOKUP(A21,CATÁLOGO!$A$2:$A$846,CATÁLOGO!$B$2:$B$846,"FORA DO CATÁLOGO")</f>
        <v>CAL004C42</v>
      </c>
      <c r="C21" s="11">
        <v>2</v>
      </c>
      <c r="D21" s="11" t="str">
        <f>_xlfn.XLOOKUP(A21,CATÁLOGO!$A$2:$A$846,CATÁLOGO!$E$2:$E$846,"FORA DO CATÁLOGO")</f>
        <v>Ativo</v>
      </c>
      <c r="E21" s="9"/>
      <c r="F21" s="52">
        <f>SUMIFS('AVARIA PINHEIROS'!$C$2:$C$24,'AVARIA PINHEIROS'!$A$2:$A$24,A21)</f>
        <v>0</v>
      </c>
      <c r="H21" t="str">
        <v>VLT-CAL-016-OLI-M</v>
      </c>
      <c r="I21" s="27">
        <v>4</v>
      </c>
    </row>
    <row r="22" spans="1:9" x14ac:dyDescent="0.3">
      <c r="A22" s="9" t="s">
        <v>1528</v>
      </c>
      <c r="B22" s="18" t="str">
        <f>_xlfn.XLOOKUP(A22,CATÁLOGO!$A$2:$A$846,CATÁLOGO!$B$2:$B$846,"FORA DO CATÁLOGO")</f>
        <v>CAL004C44</v>
      </c>
      <c r="C22" s="11">
        <v>1</v>
      </c>
      <c r="D22" s="11" t="str">
        <f>_xlfn.XLOOKUP(A22,CATÁLOGO!$A$2:$A$846,CATÁLOGO!$E$2:$E$846,"FORA DO CATÁLOGO")</f>
        <v>Ativo</v>
      </c>
      <c r="E22" s="9"/>
      <c r="F22" s="52">
        <f>SUMIFS('AVARIA PINHEIROS'!$C$2:$C$24,'AVARIA PINHEIROS'!$A$2:$A$24,A22)</f>
        <v>0</v>
      </c>
      <c r="H22" t="str">
        <v>VLT-BER-007-AZM-G</v>
      </c>
      <c r="I22" s="27">
        <v>4</v>
      </c>
    </row>
    <row r="23" spans="1:9" x14ac:dyDescent="0.3">
      <c r="A23" s="9" t="s">
        <v>1531</v>
      </c>
      <c r="B23" s="18" t="str">
        <f>_xlfn.XLOOKUP(A23,CATÁLOGO!$A$2:$A$846,CATÁLOGO!$B$2:$B$846,"FORA DO CATÁLOGO")</f>
        <v>CAL004C46</v>
      </c>
      <c r="C23" s="11">
        <v>1</v>
      </c>
      <c r="D23" s="11" t="str">
        <f>_xlfn.XLOOKUP(A23,CATÁLOGO!$A$2:$A$846,CATÁLOGO!$E$2:$E$846,"FORA DO CATÁLOGO")</f>
        <v>Ativo</v>
      </c>
      <c r="E23" s="9"/>
      <c r="F23" s="52">
        <f>SUMIFS('AVARIA PINHEIROS'!$C$2:$C$24,'AVARIA PINHEIROS'!$A$2:$A$24,A23)</f>
        <v>0</v>
      </c>
      <c r="H23" t="str">
        <v>VLT-CAM-017-AMA-G</v>
      </c>
      <c r="I23" s="27">
        <v>4</v>
      </c>
    </row>
    <row r="24" spans="1:9" x14ac:dyDescent="0.3">
      <c r="A24" s="9" t="s">
        <v>1526</v>
      </c>
      <c r="B24" s="18" t="str">
        <f>_xlfn.XLOOKUP(A24,CATÁLOGO!$A$2:$A$846,CATÁLOGO!$B$2:$B$846,"FORA DO CATÁLOGO")</f>
        <v>CAL004G36</v>
      </c>
      <c r="C24" s="11">
        <v>1</v>
      </c>
      <c r="D24" s="11" t="str">
        <f>_xlfn.XLOOKUP(A24,CATÁLOGO!$A$2:$A$846,CATÁLOGO!$E$2:$E$846,"FORA DO CATÁLOGO")</f>
        <v>Ativo</v>
      </c>
      <c r="E24" s="9"/>
      <c r="F24" s="52">
        <f>SUMIFS('AVARIA PINHEIROS'!$C$2:$C$24,'AVARIA PINHEIROS'!$A$2:$A$24,A24)</f>
        <v>0</v>
      </c>
      <c r="H24" t="str">
        <v>VLT-CAM-020-AMA-P</v>
      </c>
      <c r="I24" s="27">
        <v>4</v>
      </c>
    </row>
    <row r="25" spans="1:9" x14ac:dyDescent="0.3">
      <c r="A25" s="9" t="s">
        <v>1523</v>
      </c>
      <c r="B25" s="18" t="str">
        <f>_xlfn.XLOOKUP(A25,CATÁLOGO!$A$2:$A$846,CATÁLOGO!$B$2:$B$846,"FORA DO CATÁLOGO")</f>
        <v>CAL004G40</v>
      </c>
      <c r="C25" s="11">
        <v>1</v>
      </c>
      <c r="D25" s="11" t="str">
        <f>_xlfn.XLOOKUP(A25,CATÁLOGO!$A$2:$A$846,CATÁLOGO!$E$2:$E$846,"FORA DO CATÁLOGO")</f>
        <v>Ativo</v>
      </c>
      <c r="E25" s="9"/>
      <c r="F25" s="52">
        <f>SUMIFS('AVARIA PINHEIROS'!$C$2:$C$24,'AVARIA PINHEIROS'!$A$2:$A$24,A25)</f>
        <v>0</v>
      </c>
      <c r="H25" t="str">
        <v>VLT-VES-007-OLI-GG</v>
      </c>
      <c r="I25" s="27">
        <v>3</v>
      </c>
    </row>
    <row r="26" spans="1:9" x14ac:dyDescent="0.3">
      <c r="A26" s="9" t="s">
        <v>1518</v>
      </c>
      <c r="B26" s="18" t="str">
        <f>_xlfn.XLOOKUP(A26,CATÁLOGO!$A$2:$A$846,CATÁLOGO!$B$2:$B$846,"FORA DO CATÁLOGO")</f>
        <v>CAL004G42</v>
      </c>
      <c r="C26" s="11">
        <v>1</v>
      </c>
      <c r="D26" s="11" t="str">
        <f>_xlfn.XLOOKUP(A26,CATÁLOGO!$A$2:$A$846,CATÁLOGO!$E$2:$E$846,"FORA DO CATÁLOGO")</f>
        <v>Ativo</v>
      </c>
      <c r="E26" s="9"/>
      <c r="F26" s="52">
        <f>SUMIFS('AVARIA PINHEIROS'!$C$2:$C$24,'AVARIA PINHEIROS'!$A$2:$A$24,A26)</f>
        <v>0</v>
      </c>
      <c r="H26" t="str">
        <v>VLT-VES-009-BEG-G</v>
      </c>
      <c r="I26" s="27">
        <v>3</v>
      </c>
    </row>
    <row r="27" spans="1:9" x14ac:dyDescent="0.3">
      <c r="A27" s="9" t="s">
        <v>1521</v>
      </c>
      <c r="B27" s="18" t="str">
        <f>_xlfn.XLOOKUP(A27,CATÁLOGO!$A$2:$A$846,CATÁLOGO!$B$2:$B$846,"FORA DO CATÁLOGO")</f>
        <v>CAL004G44</v>
      </c>
      <c r="C27" s="11">
        <v>0</v>
      </c>
      <c r="D27" s="11" t="str">
        <f>_xlfn.XLOOKUP(A27,CATÁLOGO!$A$2:$A$846,CATÁLOGO!$E$2:$E$846,"FORA DO CATÁLOGO")</f>
        <v>Ativo</v>
      </c>
      <c r="E27" s="9"/>
      <c r="F27" s="52">
        <f>SUMIFS('AVARIA PINHEIROS'!$C$2:$C$24,'AVARIA PINHEIROS'!$A$2:$A$24,A27)</f>
        <v>0</v>
      </c>
      <c r="H27" t="str">
        <v>VLT-CAM-004-PRE-M</v>
      </c>
      <c r="I27" s="27">
        <v>2</v>
      </c>
    </row>
    <row r="28" spans="1:9" x14ac:dyDescent="0.3">
      <c r="A28" s="9" t="s">
        <v>1538</v>
      </c>
      <c r="B28" s="18" t="str">
        <f>_xlfn.XLOOKUP(A28,CATÁLOGO!$A$2:$A$846,CATÁLOGO!$B$2:$B$846,"FORA DO CATÁLOGO")</f>
        <v>CAL005P36</v>
      </c>
      <c r="C28" s="11">
        <v>4</v>
      </c>
      <c r="D28" s="11" t="str">
        <f>_xlfn.XLOOKUP(A28,CATÁLOGO!$A$2:$A$846,CATÁLOGO!$E$2:$E$846,"FORA DO CATÁLOGO")</f>
        <v>Ativo</v>
      </c>
      <c r="E28" s="9"/>
      <c r="F28" s="52">
        <f>SUMIFS('AVARIA PINHEIROS'!$C$2:$C$24,'AVARIA PINHEIROS'!$A$2:$A$24,A28)</f>
        <v>0</v>
      </c>
      <c r="H28" t="str">
        <v>VLT-BER-006-LIL-G</v>
      </c>
      <c r="I28" s="27">
        <v>2</v>
      </c>
    </row>
    <row r="29" spans="1:9" x14ac:dyDescent="0.3">
      <c r="A29" s="9" t="s">
        <v>1537</v>
      </c>
      <c r="B29" s="18" t="str">
        <f>_xlfn.XLOOKUP(A29,CATÁLOGO!$A$2:$A$846,CATÁLOGO!$B$2:$B$846,"FORA DO CATÁLOGO")</f>
        <v>CAL005P38</v>
      </c>
      <c r="C29" s="11">
        <v>6</v>
      </c>
      <c r="D29" s="11" t="str">
        <f>_xlfn.XLOOKUP(A29,CATÁLOGO!$A$2:$A$846,CATÁLOGO!$E$2:$E$846,"FORA DO CATÁLOGO")</f>
        <v>Ativo</v>
      </c>
      <c r="E29" s="9"/>
      <c r="F29" s="52">
        <f>SUMIFS('AVARIA PINHEIROS'!$C$2:$C$24,'AVARIA PINHEIROS'!$A$2:$A$24,A29)</f>
        <v>0</v>
      </c>
      <c r="H29" t="str">
        <v>VLT-SAI-009-BRA-P</v>
      </c>
      <c r="I29" s="27">
        <v>2</v>
      </c>
    </row>
    <row r="30" spans="1:9" x14ac:dyDescent="0.3">
      <c r="A30" s="9" t="s">
        <v>1536</v>
      </c>
      <c r="B30" s="18" t="str">
        <f>_xlfn.XLOOKUP(A30,CATÁLOGO!$A$2:$A$846,CATÁLOGO!$B$2:$B$846,"FORA DO CATÁLOGO")</f>
        <v>CAL005P40</v>
      </c>
      <c r="C30" s="11">
        <v>6</v>
      </c>
      <c r="D30" s="11" t="str">
        <f>_xlfn.XLOOKUP(A30,CATÁLOGO!$A$2:$A$846,CATÁLOGO!$E$2:$E$846,"FORA DO CATÁLOGO")</f>
        <v>Ativo</v>
      </c>
      <c r="E30" s="9"/>
      <c r="F30" s="52">
        <f>SUMIFS('AVARIA PINHEIROS'!$C$2:$C$24,'AVARIA PINHEIROS'!$A$2:$A$24,A30)</f>
        <v>0</v>
      </c>
      <c r="H30" t="str">
        <v>VLT-MOL-019-OLI-GG</v>
      </c>
      <c r="I30" s="27">
        <v>2</v>
      </c>
    </row>
    <row r="31" spans="1:9" x14ac:dyDescent="0.3">
      <c r="A31" s="9" t="s">
        <v>1533</v>
      </c>
      <c r="B31" s="18" t="str">
        <f>_xlfn.XLOOKUP(A31,CATÁLOGO!$A$2:$A$846,CATÁLOGO!$B$2:$B$846,"FORA DO CATÁLOGO")</f>
        <v>CAL005P42</v>
      </c>
      <c r="C31" s="11">
        <v>5</v>
      </c>
      <c r="D31" s="11" t="str">
        <f>_xlfn.XLOOKUP(A31,CATÁLOGO!$A$2:$A$846,CATÁLOGO!$E$2:$E$846,"FORA DO CATÁLOGO")</f>
        <v>Ativo</v>
      </c>
      <c r="E31" s="9"/>
      <c r="F31" s="52">
        <f>SUMIFS('AVARIA PINHEIROS'!$C$2:$C$24,'AVARIA PINHEIROS'!$A$2:$A$24,A31)</f>
        <v>0</v>
      </c>
      <c r="H31" t="str">
        <v>VLT-ACE-001-PRE-U</v>
      </c>
      <c r="I31" s="27">
        <v>1</v>
      </c>
    </row>
    <row r="32" spans="1:9" x14ac:dyDescent="0.3">
      <c r="A32" s="9" t="s">
        <v>1535</v>
      </c>
      <c r="B32" s="18" t="str">
        <f>_xlfn.XLOOKUP(A32,CATÁLOGO!$A$2:$A$846,CATÁLOGO!$B$2:$B$846,"FORA DO CATÁLOGO")</f>
        <v>CAL005P44</v>
      </c>
      <c r="C32" s="11">
        <v>4</v>
      </c>
      <c r="D32" s="11" t="str">
        <f>_xlfn.XLOOKUP(A32,CATÁLOGO!$A$2:$A$846,CATÁLOGO!$E$2:$E$846,"FORA DO CATÁLOGO")</f>
        <v>Ativo</v>
      </c>
      <c r="E32" s="9" t="s">
        <v>4</v>
      </c>
      <c r="F32" s="52">
        <f>SUMIFS('AVARIA PINHEIROS'!$C$2:$C$24,'AVARIA PINHEIROS'!$A$2:$A$24,A32)</f>
        <v>0</v>
      </c>
      <c r="H32" t="str">
        <v>VLT-MOL-008-VIN-G</v>
      </c>
      <c r="I32" s="27">
        <v>1</v>
      </c>
    </row>
    <row r="33" spans="1:9" x14ac:dyDescent="0.3">
      <c r="A33" s="9" t="s">
        <v>17</v>
      </c>
      <c r="B33" s="18" t="str">
        <f>_xlfn.XLOOKUP(A33,CATÁLOGO!$A$2:$A$846,CATÁLOGO!$B$2:$B$846,"FORA DO CATÁLOGO")</f>
        <v>TOP002AP</v>
      </c>
      <c r="C33" s="11">
        <v>3</v>
      </c>
      <c r="D33" s="11" t="str">
        <f>_xlfn.XLOOKUP(A33,CATÁLOGO!$A$2:$A$846,CATÁLOGO!$E$2:$E$846,"FORA DO CATÁLOGO")</f>
        <v>Ativo</v>
      </c>
      <c r="E33" s="9"/>
      <c r="F33" s="52">
        <f>SUMIFS('AVARIA PINHEIROS'!$C$2:$C$24,'AVARIA PINHEIROS'!$A$2:$A$24,A33)</f>
        <v>0</v>
      </c>
      <c r="H33" t="str">
        <v>VLT-MOL-008-VIN-GG</v>
      </c>
      <c r="I33" s="27">
        <v>1</v>
      </c>
    </row>
    <row r="34" spans="1:9" x14ac:dyDescent="0.3">
      <c r="A34" s="9" t="s">
        <v>18</v>
      </c>
      <c r="B34" s="18" t="str">
        <f>_xlfn.XLOOKUP(A34,CATÁLOGO!$A$2:$A$846,CATÁLOGO!$B$2:$B$846,"FORA DO CATÁLOGO")</f>
        <v>TOP002AM</v>
      </c>
      <c r="C34" s="11">
        <v>6</v>
      </c>
      <c r="D34" s="11" t="str">
        <f>_xlfn.XLOOKUP(A34,CATÁLOGO!$A$2:$A$846,CATÁLOGO!$E$2:$E$846,"FORA DO CATÁLOGO")</f>
        <v>Ativo</v>
      </c>
      <c r="E34" s="9"/>
      <c r="F34" s="52">
        <f>SUMIFS('AVARIA PINHEIROS'!$C$2:$C$24,'AVARIA PINHEIROS'!$A$2:$A$24,A34)</f>
        <v>0</v>
      </c>
      <c r="H34" t="str">
        <v>VLT-TOP-010-AMA-M</v>
      </c>
      <c r="I34" s="27">
        <v>1</v>
      </c>
    </row>
    <row r="35" spans="1:9" x14ac:dyDescent="0.3">
      <c r="A35" s="9" t="s">
        <v>19</v>
      </c>
      <c r="B35" s="18" t="str">
        <f>_xlfn.XLOOKUP(A35,CATÁLOGO!$A$2:$A$846,CATÁLOGO!$B$2:$B$846,"FORA DO CATÁLOGO")</f>
        <v>TOP002AG</v>
      </c>
      <c r="C35" s="11">
        <v>5</v>
      </c>
      <c r="D35" s="11" t="str">
        <f>_xlfn.XLOOKUP(A35,CATÁLOGO!$A$2:$A$846,CATÁLOGO!$E$2:$E$846,"FORA DO CATÁLOGO")</f>
        <v>Ativo</v>
      </c>
      <c r="E35" s="9"/>
      <c r="F35" s="52">
        <f>SUMIFS('AVARIA PINHEIROS'!$C$2:$C$24,'AVARIA PINHEIROS'!$A$2:$A$24,A35)</f>
        <v>0</v>
      </c>
      <c r="I35" s="27"/>
    </row>
    <row r="36" spans="1:9" x14ac:dyDescent="0.3">
      <c r="A36" s="9" t="s">
        <v>20</v>
      </c>
      <c r="B36" s="18" t="str">
        <f>_xlfn.XLOOKUP(A36,CATÁLOGO!$A$2:$A$846,CATÁLOGO!$B$2:$B$846,"FORA DO CATÁLOGO")</f>
        <v>TOP002AGG</v>
      </c>
      <c r="C36" s="11">
        <v>2</v>
      </c>
      <c r="D36" s="11" t="str">
        <f>_xlfn.XLOOKUP(A36,CATÁLOGO!$A$2:$A$846,CATÁLOGO!$E$2:$E$846,"FORA DO CATÁLOGO")</f>
        <v>Ativo</v>
      </c>
      <c r="E36" s="9"/>
      <c r="F36" s="52">
        <f>SUMIFS('AVARIA PINHEIROS'!$C$2:$C$24,'AVARIA PINHEIROS'!$A$2:$A$24,A36)</f>
        <v>0</v>
      </c>
      <c r="I36" s="27"/>
    </row>
    <row r="37" spans="1:9" x14ac:dyDescent="0.3">
      <c r="A37" s="9" t="s">
        <v>21</v>
      </c>
      <c r="B37" s="18" t="str">
        <f>_xlfn.XLOOKUP(A37,CATÁLOGO!$A$2:$A$846,CATÁLOGO!$B$2:$B$846,"FORA DO CATÁLOGO")</f>
        <v>TOP002PP</v>
      </c>
      <c r="C37" s="11">
        <v>2</v>
      </c>
      <c r="D37" s="11" t="str">
        <f>_xlfn.XLOOKUP(A37,CATÁLOGO!$A$2:$A$846,CATÁLOGO!$E$2:$E$846,"FORA DO CATÁLOGO")</f>
        <v>Descontinuado</v>
      </c>
      <c r="E37" s="9"/>
      <c r="F37" s="52">
        <f>SUMIFS('AVARIA PINHEIROS'!$C$2:$C$24,'AVARIA PINHEIROS'!$A$2:$A$24,A37)</f>
        <v>0</v>
      </c>
      <c r="I37" s="27"/>
    </row>
    <row r="38" spans="1:9" x14ac:dyDescent="0.3">
      <c r="A38" s="9" t="s">
        <v>22</v>
      </c>
      <c r="B38" s="18" t="str">
        <f>_xlfn.XLOOKUP(A38,CATÁLOGO!$A$2:$A$846,CATÁLOGO!$B$2:$B$846,"FORA DO CATÁLOGO")</f>
        <v>TOP002PG</v>
      </c>
      <c r="C38" s="11">
        <v>1</v>
      </c>
      <c r="D38" s="11" t="str">
        <f>_xlfn.XLOOKUP(A38,CATÁLOGO!$A$2:$A$846,CATÁLOGO!$E$2:$E$846,"FORA DO CATÁLOGO")</f>
        <v>Descontinuado</v>
      </c>
      <c r="E38" s="9" t="s">
        <v>7</v>
      </c>
      <c r="F38" s="52">
        <f>SUMIFS('AVARIA PINHEIROS'!$C$2:$C$24,'AVARIA PINHEIROS'!$A$2:$A$24,A38)</f>
        <v>0</v>
      </c>
      <c r="I38" s="27"/>
    </row>
    <row r="39" spans="1:9" x14ac:dyDescent="0.3">
      <c r="A39" s="9" t="s">
        <v>1455</v>
      </c>
      <c r="B39" s="18" t="str">
        <f>_xlfn.XLOOKUP(A39,CATÁLOGO!$A$2:$A$846,CATÁLOGO!$B$2:$B$846,"FORA DO CATÁLOGO")</f>
        <v>BER002C36</v>
      </c>
      <c r="C39" s="11">
        <v>1</v>
      </c>
      <c r="D39" s="11" t="str">
        <f>_xlfn.XLOOKUP(A39,CATÁLOGO!$A$2:$A$846,CATÁLOGO!$E$2:$E$846,"FORA DO CATÁLOGO")</f>
        <v>Ativo</v>
      </c>
      <c r="E39" s="9"/>
      <c r="F39" s="52">
        <f>SUMIFS('AVARIA PINHEIROS'!$C$2:$C$24,'AVARIA PINHEIROS'!$A$2:$A$24,A39)</f>
        <v>0</v>
      </c>
      <c r="I39" s="27"/>
    </row>
    <row r="40" spans="1:9" x14ac:dyDescent="0.3">
      <c r="A40" s="9" t="s">
        <v>1454</v>
      </c>
      <c r="B40" s="18" t="str">
        <f>_xlfn.XLOOKUP(A40,CATÁLOGO!$A$2:$A$846,CATÁLOGO!$B$2:$B$846,"FORA DO CATÁLOGO")</f>
        <v>BER002C38</v>
      </c>
      <c r="C40" s="11">
        <v>2</v>
      </c>
      <c r="D40" s="11" t="str">
        <f>_xlfn.XLOOKUP(A40,CATÁLOGO!$A$2:$A$846,CATÁLOGO!$E$2:$E$846,"FORA DO CATÁLOGO")</f>
        <v>Ativo</v>
      </c>
      <c r="E40" s="9" t="s">
        <v>7</v>
      </c>
      <c r="F40" s="52">
        <f>SUMIFS('AVARIA PINHEIROS'!$C$2:$C$24,'AVARIA PINHEIROS'!$A$2:$A$24,A40)</f>
        <v>0</v>
      </c>
      <c r="I40" s="27"/>
    </row>
    <row r="41" spans="1:9" x14ac:dyDescent="0.3">
      <c r="A41" s="9" t="s">
        <v>1453</v>
      </c>
      <c r="B41" s="18" t="str">
        <f>_xlfn.XLOOKUP(A41,CATÁLOGO!$A$2:$A$846,CATÁLOGO!$B$2:$B$846,"FORA DO CATÁLOGO")</f>
        <v>BER002C40</v>
      </c>
      <c r="C41" s="11">
        <v>3</v>
      </c>
      <c r="D41" s="11" t="str">
        <f>_xlfn.XLOOKUP(A41,CATÁLOGO!$A$2:$A$846,CATÁLOGO!$E$2:$E$846,"FORA DO CATÁLOGO")</f>
        <v>Ativo</v>
      </c>
      <c r="E41" s="9"/>
      <c r="F41" s="52">
        <f>SUMIFS('AVARIA PINHEIROS'!$C$2:$C$24,'AVARIA PINHEIROS'!$A$2:$A$24,A41)</f>
        <v>0</v>
      </c>
    </row>
    <row r="42" spans="1:9" x14ac:dyDescent="0.3">
      <c r="A42" s="9" t="s">
        <v>1450</v>
      </c>
      <c r="B42" s="18" t="str">
        <f>_xlfn.XLOOKUP(A42,CATÁLOGO!$A$2:$A$846,CATÁLOGO!$B$2:$B$846,"FORA DO CATÁLOGO")</f>
        <v>BER002C42</v>
      </c>
      <c r="C42" s="11">
        <v>2</v>
      </c>
      <c r="D42" s="11" t="str">
        <f>_xlfn.XLOOKUP(A42,CATÁLOGO!$A$2:$A$846,CATÁLOGO!$E$2:$E$846,"FORA DO CATÁLOGO")</f>
        <v>Ativo</v>
      </c>
      <c r="E42" s="9"/>
      <c r="F42" s="52">
        <f>SUMIFS('AVARIA PINHEIROS'!$C$2:$C$24,'AVARIA PINHEIROS'!$A$2:$A$24,A42)</f>
        <v>0</v>
      </c>
    </row>
    <row r="43" spans="1:9" x14ac:dyDescent="0.3">
      <c r="A43" s="9" t="s">
        <v>1452</v>
      </c>
      <c r="B43" s="18" t="str">
        <f>_xlfn.XLOOKUP(A43,CATÁLOGO!$A$2:$A$846,CATÁLOGO!$B$2:$B$846,"FORA DO CATÁLOGO")</f>
        <v>BER002C44</v>
      </c>
      <c r="C43" s="11">
        <v>1</v>
      </c>
      <c r="D43" s="11" t="str">
        <f>_xlfn.XLOOKUP(A43,CATÁLOGO!$A$2:$A$846,CATÁLOGO!$E$2:$E$846,"FORA DO CATÁLOGO")</f>
        <v>Ativo</v>
      </c>
      <c r="E43" s="9"/>
      <c r="F43" s="52">
        <f>SUMIFS('AVARIA PINHEIROS'!$C$2:$C$24,'AVARIA PINHEIROS'!$A$2:$A$24,A43)</f>
        <v>0</v>
      </c>
    </row>
    <row r="44" spans="1:9" x14ac:dyDescent="0.3">
      <c r="A44" s="9" t="s">
        <v>1462</v>
      </c>
      <c r="B44" s="18" t="str">
        <f>_xlfn.XLOOKUP(A44,CATÁLOGO!$A$2:$A$846,CATÁLOGO!$B$2:$B$846,"FORA DO CATÁLOGO")</f>
        <v>BER003B36</v>
      </c>
      <c r="C44" s="11">
        <v>4</v>
      </c>
      <c r="D44" s="11" t="str">
        <f>_xlfn.XLOOKUP(A44,CATÁLOGO!$A$2:$A$846,CATÁLOGO!$E$2:$E$846,"FORA DO CATÁLOGO")</f>
        <v>Ativo</v>
      </c>
      <c r="E44" s="9"/>
      <c r="F44" s="52">
        <f>SUMIFS('AVARIA PINHEIROS'!$C$2:$C$24,'AVARIA PINHEIROS'!$A$2:$A$24,A44)</f>
        <v>0</v>
      </c>
    </row>
    <row r="45" spans="1:9" x14ac:dyDescent="0.3">
      <c r="A45" s="9" t="s">
        <v>1460</v>
      </c>
      <c r="B45" s="18" t="str">
        <f>_xlfn.XLOOKUP(A45,CATÁLOGO!$A$2:$A$846,CATÁLOGO!$B$2:$B$846,"FORA DO CATÁLOGO")</f>
        <v>BER003B38</v>
      </c>
      <c r="C45" s="11">
        <v>6</v>
      </c>
      <c r="D45" s="11" t="str">
        <f>_xlfn.XLOOKUP(A45,CATÁLOGO!$A$2:$A$846,CATÁLOGO!$E$2:$E$846,"FORA DO CATÁLOGO")</f>
        <v>Ativo</v>
      </c>
      <c r="E45" s="9"/>
      <c r="F45" s="52">
        <f>SUMIFS('AVARIA PINHEIROS'!$C$2:$C$24,'AVARIA PINHEIROS'!$A$2:$A$24,A45)</f>
        <v>0</v>
      </c>
    </row>
    <row r="46" spans="1:9" x14ac:dyDescent="0.3">
      <c r="A46" s="9" t="s">
        <v>1459</v>
      </c>
      <c r="B46" s="18" t="str">
        <f>_xlfn.XLOOKUP(A46,CATÁLOGO!$A$2:$A$846,CATÁLOGO!$B$2:$B$846,"FORA DO CATÁLOGO")</f>
        <v>BER003B40</v>
      </c>
      <c r="C46" s="11">
        <v>6</v>
      </c>
      <c r="D46" s="11" t="str">
        <f>_xlfn.XLOOKUP(A46,CATÁLOGO!$A$2:$A$846,CATÁLOGO!$E$2:$E$846,"FORA DO CATÁLOGO")</f>
        <v>Ativo</v>
      </c>
      <c r="E46" s="9" t="s">
        <v>23</v>
      </c>
      <c r="F46" s="52">
        <f>SUMIFS('AVARIA PINHEIROS'!$C$2:$C$24,'AVARIA PINHEIROS'!$A$2:$A$24,A46)</f>
        <v>0</v>
      </c>
    </row>
    <row r="47" spans="1:9" x14ac:dyDescent="0.3">
      <c r="A47" s="9" t="s">
        <v>1456</v>
      </c>
      <c r="B47" s="18" t="str">
        <f>_xlfn.XLOOKUP(A47,CATÁLOGO!$A$2:$A$846,CATÁLOGO!$B$2:$B$846,"FORA DO CATÁLOGO")</f>
        <v>BER003B42</v>
      </c>
      <c r="C47" s="11">
        <v>6</v>
      </c>
      <c r="D47" s="11" t="str">
        <f>_xlfn.XLOOKUP(A47,CATÁLOGO!$A$2:$A$846,CATÁLOGO!$E$2:$E$846,"FORA DO CATÁLOGO")</f>
        <v>Ativo</v>
      </c>
      <c r="E47" s="9"/>
      <c r="F47" s="52">
        <f>SUMIFS('AVARIA PINHEIROS'!$C$2:$C$24,'AVARIA PINHEIROS'!$A$2:$A$24,A47)</f>
        <v>0</v>
      </c>
    </row>
    <row r="48" spans="1:9" x14ac:dyDescent="0.3">
      <c r="A48" s="9" t="s">
        <v>1458</v>
      </c>
      <c r="B48" s="18" t="str">
        <f>_xlfn.XLOOKUP(A48,CATÁLOGO!$A$2:$A$846,CATÁLOGO!$B$2:$B$846,"FORA DO CATÁLOGO")</f>
        <v>BER003B44</v>
      </c>
      <c r="C48" s="11">
        <v>5</v>
      </c>
      <c r="D48" s="11" t="str">
        <f>_xlfn.XLOOKUP(A48,CATÁLOGO!$A$2:$A$846,CATÁLOGO!$E$2:$E$846,"FORA DO CATÁLOGO")</f>
        <v>Ativo</v>
      </c>
      <c r="E48" s="9"/>
      <c r="F48" s="52">
        <f>SUMIFS('AVARIA PINHEIROS'!$C$2:$C$24,'AVARIA PINHEIROS'!$A$2:$A$24,A48)</f>
        <v>0</v>
      </c>
    </row>
    <row r="49" spans="1:6" x14ac:dyDescent="0.3">
      <c r="A49" s="9" t="s">
        <v>1461</v>
      </c>
      <c r="B49" s="18" t="str">
        <f>_xlfn.XLOOKUP(A49,CATÁLOGO!$A$2:$A$846,CATÁLOGO!$B$2:$B$846,"FORA DO CATÁLOGO")</f>
        <v>BER003B46</v>
      </c>
      <c r="C49" s="11">
        <v>1</v>
      </c>
      <c r="D49" s="11" t="str">
        <f>_xlfn.XLOOKUP(A49,CATÁLOGO!$A$2:$A$846,CATÁLOGO!$E$2:$E$846,"FORA DO CATÁLOGO")</f>
        <v>Ativo</v>
      </c>
      <c r="E49" s="9"/>
      <c r="F49" s="52">
        <f>SUMIFS('AVARIA PINHEIROS'!$C$2:$C$24,'AVARIA PINHEIROS'!$A$2:$A$24,A49)</f>
        <v>0</v>
      </c>
    </row>
    <row r="50" spans="1:6" x14ac:dyDescent="0.3">
      <c r="A50" s="9" t="s">
        <v>24</v>
      </c>
      <c r="B50" s="18" t="str">
        <f>_xlfn.XLOOKUP(A50,CATÁLOGO!$A$2:$A$846,CATÁLOGO!$B$2:$B$846,"FORA DO CATÁLOGO")</f>
        <v>ACE003GU</v>
      </c>
      <c r="C50" s="11">
        <v>3</v>
      </c>
      <c r="D50" s="11" t="str">
        <f>_xlfn.XLOOKUP(A50,CATÁLOGO!$A$2:$A$846,CATÁLOGO!$E$2:$E$846,"FORA DO CATÁLOGO")</f>
        <v>Ativo</v>
      </c>
      <c r="E50" s="9"/>
      <c r="F50" s="52">
        <f>SUMIFS('AVARIA PINHEIROS'!$C$2:$C$24,'AVARIA PINHEIROS'!$A$2:$A$24,A50)</f>
        <v>0</v>
      </c>
    </row>
    <row r="51" spans="1:6" x14ac:dyDescent="0.3">
      <c r="A51" s="9" t="s">
        <v>25</v>
      </c>
      <c r="B51" s="18" t="str">
        <f>_xlfn.XLOOKUP(A51,CATÁLOGO!$A$2:$A$846,CATÁLOGO!$B$2:$B$846,"FORA DO CATÁLOGO")</f>
        <v>CAM001CP</v>
      </c>
      <c r="C51" s="11">
        <v>6</v>
      </c>
      <c r="D51" s="11" t="str">
        <f>_xlfn.XLOOKUP(A51,CATÁLOGO!$A$2:$A$846,CATÁLOGO!$E$2:$E$846,"FORA DO CATÁLOGO")</f>
        <v>Ativo</v>
      </c>
      <c r="E51" s="9"/>
      <c r="F51" s="52">
        <f>SUMIFS('AVARIA PINHEIROS'!$C$2:$C$24,'AVARIA PINHEIROS'!$A$2:$A$24,A51)</f>
        <v>0</v>
      </c>
    </row>
    <row r="52" spans="1:6" x14ac:dyDescent="0.3">
      <c r="A52" s="9" t="s">
        <v>26</v>
      </c>
      <c r="B52" s="18" t="str">
        <f>_xlfn.XLOOKUP(A52,CATÁLOGO!$A$2:$A$846,CATÁLOGO!$B$2:$B$846,"FORA DO CATÁLOGO")</f>
        <v>CAM001CM</v>
      </c>
      <c r="C52" s="11">
        <v>6</v>
      </c>
      <c r="D52" s="11" t="str">
        <f>_xlfn.XLOOKUP(A52,CATÁLOGO!$A$2:$A$846,CATÁLOGO!$E$2:$E$846,"FORA DO CATÁLOGO")</f>
        <v>Ativo</v>
      </c>
      <c r="E52" s="9" t="s">
        <v>4</v>
      </c>
      <c r="F52" s="52">
        <f>SUMIFS('AVARIA PINHEIROS'!$C$2:$C$24,'AVARIA PINHEIROS'!$A$2:$A$24,A52)</f>
        <v>0</v>
      </c>
    </row>
    <row r="53" spans="1:6" x14ac:dyDescent="0.3">
      <c r="A53" s="9" t="s">
        <v>27</v>
      </c>
      <c r="B53" s="18" t="str">
        <f>_xlfn.XLOOKUP(A53,CATÁLOGO!$A$2:$A$846,CATÁLOGO!$B$2:$B$846,"FORA DO CATÁLOGO")</f>
        <v>CAM001CG</v>
      </c>
      <c r="C53" s="11">
        <v>6</v>
      </c>
      <c r="D53" s="11" t="str">
        <f>_xlfn.XLOOKUP(A53,CATÁLOGO!$A$2:$A$846,CATÁLOGO!$E$2:$E$846,"FORA DO CATÁLOGO")</f>
        <v>Ativo</v>
      </c>
      <c r="E53" s="9"/>
      <c r="F53" s="52">
        <f>SUMIFS('AVARIA PINHEIROS'!$C$2:$C$24,'AVARIA PINHEIROS'!$A$2:$A$24,A53)</f>
        <v>0</v>
      </c>
    </row>
    <row r="54" spans="1:6" x14ac:dyDescent="0.3">
      <c r="A54" s="9" t="s">
        <v>28</v>
      </c>
      <c r="B54" s="18" t="str">
        <f>_xlfn.XLOOKUP(A54,CATÁLOGO!$A$2:$A$846,CATÁLOGO!$B$2:$B$846,"FORA DO CATÁLOGO")</f>
        <v>ACE004CU</v>
      </c>
      <c r="C54" s="11">
        <v>5</v>
      </c>
      <c r="D54" s="11" t="str">
        <f>_xlfn.XLOOKUP(A54,CATÁLOGO!$A$2:$A$846,CATÁLOGO!$E$2:$E$846,"FORA DO CATÁLOGO")</f>
        <v>Ativo</v>
      </c>
      <c r="E54" s="9"/>
      <c r="F54" s="52">
        <f>SUMIFS('AVARIA PINHEIROS'!$C$2:$C$24,'AVARIA PINHEIROS'!$A$2:$A$24,A54)</f>
        <v>0</v>
      </c>
    </row>
    <row r="55" spans="1:6" x14ac:dyDescent="0.3">
      <c r="A55" s="9" t="s">
        <v>29</v>
      </c>
      <c r="B55" s="18" t="str">
        <f>_xlfn.XLOOKUP(A55,CATÁLOGO!$A$2:$A$846,CATÁLOGO!$B$2:$B$846,"FORA DO CATÁLOGO")</f>
        <v>ACE005OU</v>
      </c>
      <c r="C55" s="11">
        <v>2</v>
      </c>
      <c r="D55" s="11" t="str">
        <f>_xlfn.XLOOKUP(A55,CATÁLOGO!$A$2:$A$846,CATÁLOGO!$E$2:$E$846,"FORA DO CATÁLOGO")</f>
        <v>Ativo</v>
      </c>
      <c r="E55" s="9"/>
      <c r="F55" s="52">
        <f>SUMIFS('AVARIA PINHEIROS'!$C$2:$C$24,'AVARIA PINHEIROS'!$A$2:$A$24,A55)</f>
        <v>0</v>
      </c>
    </row>
    <row r="56" spans="1:6" x14ac:dyDescent="0.3">
      <c r="A56" s="9" t="s">
        <v>30</v>
      </c>
      <c r="B56" s="18" t="str">
        <f>_xlfn.XLOOKUP(A56,CATÁLOGO!$A$2:$A$846,CATÁLOGO!$B$2:$B$846,"FORA DO CATÁLOGO")</f>
        <v>MOL003AP</v>
      </c>
      <c r="C56" s="11">
        <v>2</v>
      </c>
      <c r="D56" s="11" t="str">
        <f>_xlfn.XLOOKUP(A56,CATÁLOGO!$A$2:$A$846,CATÁLOGO!$E$2:$E$846,"FORA DO CATÁLOGO")</f>
        <v>Ativo</v>
      </c>
      <c r="E56" s="9"/>
      <c r="F56" s="52">
        <f>SUMIFS('AVARIA PINHEIROS'!$C$2:$C$24,'AVARIA PINHEIROS'!$A$2:$A$24,A56)</f>
        <v>0</v>
      </c>
    </row>
    <row r="57" spans="1:6" x14ac:dyDescent="0.3">
      <c r="A57" s="9" t="s">
        <v>31</v>
      </c>
      <c r="B57" s="18" t="str">
        <f>_xlfn.XLOOKUP(A57,CATÁLOGO!$A$2:$A$846,CATÁLOGO!$B$2:$B$846,"FORA DO CATÁLOGO")</f>
        <v>MOL003AM</v>
      </c>
      <c r="C57" s="11">
        <v>3</v>
      </c>
      <c r="D57" s="11" t="str">
        <f>_xlfn.XLOOKUP(A57,CATÁLOGO!$A$2:$A$846,CATÁLOGO!$E$2:$E$846,"FORA DO CATÁLOGO")</f>
        <v>Ativo</v>
      </c>
      <c r="E57" s="9"/>
      <c r="F57" s="52">
        <f>SUMIFS('AVARIA PINHEIROS'!$C$2:$C$24,'AVARIA PINHEIROS'!$A$2:$A$24,A57)</f>
        <v>0</v>
      </c>
    </row>
    <row r="58" spans="1:6" x14ac:dyDescent="0.3">
      <c r="A58" s="9" t="s">
        <v>32</v>
      </c>
      <c r="B58" s="18" t="str">
        <f>_xlfn.XLOOKUP(A58,CATÁLOGO!$A$2:$A$846,CATÁLOGO!$B$2:$B$846,"FORA DO CATÁLOGO")</f>
        <v>MOL003AG</v>
      </c>
      <c r="C58" s="11">
        <v>4</v>
      </c>
      <c r="D58" s="11" t="str">
        <f>_xlfn.XLOOKUP(A58,CATÁLOGO!$A$2:$A$846,CATÁLOGO!$E$2:$E$846,"FORA DO CATÁLOGO")</f>
        <v>Ativo</v>
      </c>
      <c r="E58" s="9"/>
      <c r="F58" s="52">
        <f>SUMIFS('AVARIA PINHEIROS'!$C$2:$C$24,'AVARIA PINHEIROS'!$A$2:$A$24,A58)</f>
        <v>0</v>
      </c>
    </row>
    <row r="59" spans="1:6" x14ac:dyDescent="0.3">
      <c r="A59" s="9" t="s">
        <v>33</v>
      </c>
      <c r="B59" s="18" t="str">
        <f>_xlfn.XLOOKUP(A59,CATÁLOGO!$A$2:$A$846,CATÁLOGO!$B$2:$B$846,"FORA DO CATÁLOGO")</f>
        <v>MOL003AGG</v>
      </c>
      <c r="C59" s="11">
        <v>2</v>
      </c>
      <c r="D59" s="11" t="str">
        <f>_xlfn.XLOOKUP(A59,CATÁLOGO!$A$2:$A$846,CATÁLOGO!$E$2:$E$846,"FORA DO CATÁLOGO")</f>
        <v>Ativo</v>
      </c>
      <c r="E59" s="9"/>
      <c r="F59" s="52">
        <f>SUMIFS('AVARIA PINHEIROS'!$C$2:$C$24,'AVARIA PINHEIROS'!$A$2:$A$24,A59)</f>
        <v>0</v>
      </c>
    </row>
    <row r="60" spans="1:6" x14ac:dyDescent="0.3">
      <c r="A60" s="9" t="s">
        <v>34</v>
      </c>
      <c r="B60" s="18" t="str">
        <f>_xlfn.XLOOKUP(A60,CATÁLOGO!$A$2:$A$846,CATÁLOGO!$B$2:$B$846,"FORA DO CATÁLOGO")</f>
        <v>MOL003GM</v>
      </c>
      <c r="C60" s="11">
        <v>4</v>
      </c>
      <c r="D60" s="11" t="str">
        <f>_xlfn.XLOOKUP(A60,CATÁLOGO!$A$2:$A$846,CATÁLOGO!$E$2:$E$846,"FORA DO CATÁLOGO")</f>
        <v>Ativo</v>
      </c>
      <c r="E60" s="9"/>
      <c r="F60" s="52">
        <f>SUMIFS('AVARIA PINHEIROS'!$C$2:$C$24,'AVARIA PINHEIROS'!$A$2:$A$24,A60)</f>
        <v>0</v>
      </c>
    </row>
    <row r="61" spans="1:6" x14ac:dyDescent="0.3">
      <c r="A61" s="9" t="s">
        <v>35</v>
      </c>
      <c r="B61" s="18" t="str">
        <f>_xlfn.XLOOKUP(A61,CATÁLOGO!$A$2:$A$846,CATÁLOGO!$B$2:$B$846,"FORA DO CATÁLOGO")</f>
        <v>MOL003GG</v>
      </c>
      <c r="C61" s="11">
        <v>2</v>
      </c>
      <c r="D61" s="11" t="str">
        <f>_xlfn.XLOOKUP(A61,CATÁLOGO!$A$2:$A$846,CATÁLOGO!$E$2:$E$846,"FORA DO CATÁLOGO")</f>
        <v>Ativo</v>
      </c>
      <c r="E61" s="9"/>
      <c r="F61" s="52">
        <f>SUMIFS('AVARIA PINHEIROS'!$C$2:$C$24,'AVARIA PINHEIROS'!$A$2:$A$24,A61)</f>
        <v>0</v>
      </c>
    </row>
    <row r="62" spans="1:6" x14ac:dyDescent="0.3">
      <c r="A62" s="9" t="s">
        <v>36</v>
      </c>
      <c r="B62" s="18" t="str">
        <f>_xlfn.XLOOKUP(A62,CATÁLOGO!$A$2:$A$846,CATÁLOGO!$B$2:$B$846,"FORA DO CATÁLOGO")</f>
        <v>MOL003GGG</v>
      </c>
      <c r="C62" s="11">
        <v>1</v>
      </c>
      <c r="D62" s="11" t="str">
        <f>_xlfn.XLOOKUP(A62,CATÁLOGO!$A$2:$A$846,CATÁLOGO!$E$2:$E$846,"FORA DO CATÁLOGO")</f>
        <v>Ativo</v>
      </c>
      <c r="E62" s="9"/>
      <c r="F62" s="52">
        <f>SUMIFS('AVARIA PINHEIROS'!$C$2:$C$24,'AVARIA PINHEIROS'!$A$2:$A$24,A62)</f>
        <v>0</v>
      </c>
    </row>
    <row r="63" spans="1:6" x14ac:dyDescent="0.3">
      <c r="A63" s="9" t="s">
        <v>37</v>
      </c>
      <c r="B63" s="18" t="str">
        <f>_xlfn.XLOOKUP(A63,CATÁLOGO!$A$2:$A$846,CATÁLOGO!$B$2:$B$846,"FORA DO CATÁLOGO")</f>
        <v>SAI002BP</v>
      </c>
      <c r="C63" s="11">
        <v>2</v>
      </c>
      <c r="D63" s="11" t="str">
        <f>_xlfn.XLOOKUP(A63,CATÁLOGO!$A$2:$A$846,CATÁLOGO!$E$2:$E$846,"FORA DO CATÁLOGO")</f>
        <v>Ativo</v>
      </c>
      <c r="E63" s="9" t="s">
        <v>4</v>
      </c>
      <c r="F63" s="52">
        <f>SUMIFS('AVARIA PINHEIROS'!$C$2:$C$24,'AVARIA PINHEIROS'!$A$2:$A$24,A63)</f>
        <v>0</v>
      </c>
    </row>
    <row r="64" spans="1:6" x14ac:dyDescent="0.3">
      <c r="A64" s="9" t="s">
        <v>38</v>
      </c>
      <c r="B64" s="18" t="str">
        <f>_xlfn.XLOOKUP(A64,CATÁLOGO!$A$2:$A$846,CATÁLOGO!$B$2:$B$846,"FORA DO CATÁLOGO")</f>
        <v>SAI002BM</v>
      </c>
      <c r="C64" s="11">
        <v>3</v>
      </c>
      <c r="D64" s="11" t="str">
        <f>_xlfn.XLOOKUP(A64,CATÁLOGO!$A$2:$A$846,CATÁLOGO!$E$2:$E$846,"FORA DO CATÁLOGO")</f>
        <v>Ativo</v>
      </c>
      <c r="E64" s="9"/>
      <c r="F64" s="52">
        <f>SUMIFS('AVARIA PINHEIROS'!$C$2:$C$24,'AVARIA PINHEIROS'!$A$2:$A$24,A64)</f>
        <v>0</v>
      </c>
    </row>
    <row r="65" spans="1:6" x14ac:dyDescent="0.3">
      <c r="A65" s="9" t="s">
        <v>39</v>
      </c>
      <c r="B65" s="18" t="str">
        <f>_xlfn.XLOOKUP(A65,CATÁLOGO!$A$2:$A$846,CATÁLOGO!$B$2:$B$846,"FORA DO CATÁLOGO")</f>
        <v>SAI002BG</v>
      </c>
      <c r="C65" s="11">
        <v>2</v>
      </c>
      <c r="D65" s="11" t="str">
        <f>_xlfn.XLOOKUP(A65,CATÁLOGO!$A$2:$A$846,CATÁLOGO!$E$2:$E$846,"FORA DO CATÁLOGO")</f>
        <v>Ativo</v>
      </c>
      <c r="E65" s="9"/>
      <c r="F65" s="52">
        <f>SUMIFS('AVARIA PINHEIROS'!$C$2:$C$24,'AVARIA PINHEIROS'!$A$2:$A$24,A65)</f>
        <v>0</v>
      </c>
    </row>
    <row r="66" spans="1:6" x14ac:dyDescent="0.3">
      <c r="A66" s="9" t="s">
        <v>40</v>
      </c>
      <c r="B66" s="18" t="str">
        <f>_xlfn.XLOOKUP(A66,CATÁLOGO!$A$2:$A$846,CATÁLOGO!$B$2:$B$846,"FORA DO CATÁLOGO")</f>
        <v>SAI002BGG</v>
      </c>
      <c r="C66" s="11">
        <v>1</v>
      </c>
      <c r="D66" s="11" t="str">
        <f>_xlfn.XLOOKUP(A66,CATÁLOGO!$A$2:$A$846,CATÁLOGO!$E$2:$E$846,"FORA DO CATÁLOGO")</f>
        <v>Ativo</v>
      </c>
      <c r="E66" s="9"/>
      <c r="F66" s="52">
        <f>SUMIFS('AVARIA PINHEIROS'!$C$2:$C$24,'AVARIA PINHEIROS'!$A$2:$A$24,A66)</f>
        <v>0</v>
      </c>
    </row>
    <row r="67" spans="1:6" x14ac:dyDescent="0.3">
      <c r="A67" s="9" t="s">
        <v>41</v>
      </c>
      <c r="B67" s="18" t="str">
        <f>_xlfn.XLOOKUP(A67,CATÁLOGO!$A$2:$A$846,CATÁLOGO!$B$2:$B$846,"FORA DO CATÁLOGO")</f>
        <v>SAI002OP</v>
      </c>
      <c r="C67" s="11">
        <v>1</v>
      </c>
      <c r="D67" s="11" t="str">
        <f>_xlfn.XLOOKUP(A67,CATÁLOGO!$A$2:$A$846,CATÁLOGO!$E$2:$E$846,"FORA DO CATÁLOGO")</f>
        <v>Descontinuado</v>
      </c>
      <c r="E67" s="9" t="s">
        <v>23</v>
      </c>
      <c r="F67" s="52">
        <f>SUMIFS('AVARIA PINHEIROS'!$C$2:$C$24,'AVARIA PINHEIROS'!$A$2:$A$24,A67)</f>
        <v>0</v>
      </c>
    </row>
    <row r="68" spans="1:6" x14ac:dyDescent="0.3">
      <c r="A68" s="9" t="s">
        <v>42</v>
      </c>
      <c r="B68" s="18" t="str">
        <f>_xlfn.XLOOKUP(A68,CATÁLOGO!$A$2:$A$846,CATÁLOGO!$B$2:$B$846,"FORA DO CATÁLOGO")</f>
        <v>SAI002OGG</v>
      </c>
      <c r="C68" s="11">
        <v>1</v>
      </c>
      <c r="D68" s="11" t="str">
        <f>_xlfn.XLOOKUP(A68,CATÁLOGO!$A$2:$A$846,CATÁLOGO!$E$2:$E$846,"FORA DO CATÁLOGO")</f>
        <v>Descontinuado</v>
      </c>
      <c r="E68" s="9"/>
      <c r="F68" s="52">
        <f>SUMIFS('AVARIA PINHEIROS'!$C$2:$C$24,'AVARIA PINHEIROS'!$A$2:$A$24,A68)</f>
        <v>0</v>
      </c>
    </row>
    <row r="69" spans="1:6" x14ac:dyDescent="0.3">
      <c r="A69" s="9" t="s">
        <v>1552</v>
      </c>
      <c r="B69" s="18" t="str">
        <f>_xlfn.XLOOKUP(A69,CATÁLOGO!$A$2:$A$846,CATÁLOGO!$B$2:$B$846,"FORA DO CATÁLOGO")</f>
        <v>CAL006J36</v>
      </c>
      <c r="C69" s="11">
        <v>2</v>
      </c>
      <c r="D69" s="11" t="str">
        <f>_xlfn.XLOOKUP(A69,CATÁLOGO!$A$2:$A$846,CATÁLOGO!$E$2:$E$846,"FORA DO CATÁLOGO")</f>
        <v>Ativo</v>
      </c>
      <c r="E69" s="9"/>
      <c r="F69" s="52">
        <f>SUMIFS('AVARIA PINHEIROS'!$C$2:$C$24,'AVARIA PINHEIROS'!$A$2:$A$24,A69)</f>
        <v>0</v>
      </c>
    </row>
    <row r="70" spans="1:6" x14ac:dyDescent="0.3">
      <c r="A70" s="9" t="s">
        <v>1551</v>
      </c>
      <c r="B70" s="18" t="str">
        <f>_xlfn.XLOOKUP(A70,CATÁLOGO!$A$2:$A$846,CATÁLOGO!$B$2:$B$846,"FORA DO CATÁLOGO")</f>
        <v>CAL006J38</v>
      </c>
      <c r="C70" s="11">
        <v>2</v>
      </c>
      <c r="D70" s="11" t="str">
        <f>_xlfn.XLOOKUP(A70,CATÁLOGO!$A$2:$A$846,CATÁLOGO!$E$2:$E$846,"FORA DO CATÁLOGO")</f>
        <v>Ativo</v>
      </c>
      <c r="E70" s="9"/>
      <c r="F70" s="52">
        <f>SUMIFS('AVARIA PINHEIROS'!$C$2:$C$24,'AVARIA PINHEIROS'!$A$2:$A$24,A70)</f>
        <v>0</v>
      </c>
    </row>
    <row r="71" spans="1:6" x14ac:dyDescent="0.3">
      <c r="A71" s="9" t="s">
        <v>1550</v>
      </c>
      <c r="B71" s="18" t="str">
        <f>_xlfn.XLOOKUP(A71,CATÁLOGO!$A$2:$A$846,CATÁLOGO!$B$2:$B$846,"FORA DO CATÁLOGO")</f>
        <v>CAL006J40</v>
      </c>
      <c r="C71" s="11">
        <v>1</v>
      </c>
      <c r="D71" s="11" t="str">
        <f>_xlfn.XLOOKUP(A71,CATÁLOGO!$A$2:$A$846,CATÁLOGO!$E$2:$E$846,"FORA DO CATÁLOGO")</f>
        <v>Ativo</v>
      </c>
      <c r="E71" s="9"/>
      <c r="F71" s="52">
        <f>SUMIFS('AVARIA PINHEIROS'!$C$2:$C$24,'AVARIA PINHEIROS'!$A$2:$A$24,A71)</f>
        <v>0</v>
      </c>
    </row>
    <row r="72" spans="1:6" x14ac:dyDescent="0.3">
      <c r="A72" s="9" t="s">
        <v>1548</v>
      </c>
      <c r="B72" s="18" t="str">
        <f>_xlfn.XLOOKUP(A72,CATÁLOGO!$A$2:$A$846,CATÁLOGO!$B$2:$B$846,"FORA DO CATÁLOGO")</f>
        <v>CAL006J42</v>
      </c>
      <c r="C72" s="11">
        <v>2</v>
      </c>
      <c r="D72" s="11" t="str">
        <f>_xlfn.XLOOKUP(A72,CATÁLOGO!$A$2:$A$846,CATÁLOGO!$E$2:$E$846,"FORA DO CATÁLOGO")</f>
        <v>Ativo</v>
      </c>
      <c r="E72" s="9"/>
      <c r="F72" s="52">
        <f>SUMIFS('AVARIA PINHEIROS'!$C$2:$C$24,'AVARIA PINHEIROS'!$A$2:$A$24,A72)</f>
        <v>0</v>
      </c>
    </row>
    <row r="73" spans="1:6" x14ac:dyDescent="0.3">
      <c r="A73" s="9" t="s">
        <v>1549</v>
      </c>
      <c r="B73" s="18" t="str">
        <f>_xlfn.XLOOKUP(A73,CATÁLOGO!$A$2:$A$846,CATÁLOGO!$B$2:$B$846,"FORA DO CATÁLOGO")</f>
        <v>CAL006J44</v>
      </c>
      <c r="C73" s="11">
        <v>1</v>
      </c>
      <c r="D73" s="11" t="str">
        <f>_xlfn.XLOOKUP(A73,CATÁLOGO!$A$2:$A$846,CATÁLOGO!$E$2:$E$846,"FORA DO CATÁLOGO")</f>
        <v>Ativo</v>
      </c>
      <c r="E73" s="9"/>
      <c r="F73" s="52">
        <f>SUMIFS('AVARIA PINHEIROS'!$C$2:$C$24,'AVARIA PINHEIROS'!$A$2:$A$24,A73)</f>
        <v>0</v>
      </c>
    </row>
    <row r="74" spans="1:6" x14ac:dyDescent="0.3">
      <c r="A74" s="9" t="s">
        <v>1539</v>
      </c>
      <c r="B74" s="18" t="str">
        <f>_xlfn.XLOOKUP(A74,CATÁLOGO!$A$2:$A$846,CATÁLOGO!$B$2:$B$846,"FORA DO CATÁLOGO")</f>
        <v>CAL006G42</v>
      </c>
      <c r="C74" s="11">
        <v>1</v>
      </c>
      <c r="D74" s="11" t="str">
        <f>_xlfn.XLOOKUP(A74,CATÁLOGO!$A$2:$A$846,CATÁLOGO!$E$2:$E$846,"FORA DO CATÁLOGO")</f>
        <v>Descontinuado</v>
      </c>
      <c r="E74" s="9"/>
      <c r="F74" s="52">
        <f>SUMIFS('AVARIA PINHEIROS'!$C$2:$C$24,'AVARIA PINHEIROS'!$A$2:$A$24,A74)</f>
        <v>0</v>
      </c>
    </row>
    <row r="75" spans="1:6" x14ac:dyDescent="0.3">
      <c r="A75" s="9" t="s">
        <v>1542</v>
      </c>
      <c r="B75" s="18" t="str">
        <f>_xlfn.XLOOKUP(A75,CATÁLOGO!$A$2:$A$846,CATÁLOGO!$B$2:$B$846,"FORA DO CATÁLOGO")</f>
        <v>CAL006G44</v>
      </c>
      <c r="C75" s="11">
        <v>1</v>
      </c>
      <c r="D75" s="11" t="str">
        <f>_xlfn.XLOOKUP(A75,CATÁLOGO!$A$2:$A$846,CATÁLOGO!$E$2:$E$846,"FORA DO CATÁLOGO")</f>
        <v>Descontinuado</v>
      </c>
      <c r="E75" s="9"/>
      <c r="F75" s="52">
        <f>SUMIFS('AVARIA PINHEIROS'!$C$2:$C$24,'AVARIA PINHEIROS'!$A$2:$A$24,A75)</f>
        <v>0</v>
      </c>
    </row>
    <row r="76" spans="1:6" x14ac:dyDescent="0.3">
      <c r="A76" s="9" t="s">
        <v>1557</v>
      </c>
      <c r="B76" s="18" t="str">
        <f>_xlfn.XLOOKUP(A76,CATÁLOGO!$A$2:$A$846,CATÁLOGO!$B$2:$B$846,"FORA DO CATÁLOGO")</f>
        <v>CAL007A38</v>
      </c>
      <c r="C76" s="11">
        <v>6</v>
      </c>
      <c r="D76" s="11" t="str">
        <f>_xlfn.XLOOKUP(A76,CATÁLOGO!$A$2:$A$846,CATÁLOGO!$E$2:$E$846,"FORA DO CATÁLOGO")</f>
        <v>Ativo</v>
      </c>
      <c r="E76" s="9"/>
      <c r="F76" s="52">
        <f>SUMIFS('AVARIA PINHEIROS'!$C$2:$C$24,'AVARIA PINHEIROS'!$A$2:$A$24,A76)</f>
        <v>0</v>
      </c>
    </row>
    <row r="77" spans="1:6" x14ac:dyDescent="0.3">
      <c r="A77" s="9" t="s">
        <v>1556</v>
      </c>
      <c r="B77" s="18" t="str">
        <f>_xlfn.XLOOKUP(A77,CATÁLOGO!$A$2:$A$846,CATÁLOGO!$B$2:$B$846,"FORA DO CATÁLOGO")</f>
        <v>CAL007A40</v>
      </c>
      <c r="C77" s="11">
        <v>7</v>
      </c>
      <c r="D77" s="11" t="str">
        <f>_xlfn.XLOOKUP(A77,CATÁLOGO!$A$2:$A$846,CATÁLOGO!$E$2:$E$846,"FORA DO CATÁLOGO")</f>
        <v>Ativo</v>
      </c>
      <c r="E77" s="9"/>
      <c r="F77" s="52">
        <f>SUMIFS('AVARIA PINHEIROS'!$C$2:$C$24,'AVARIA PINHEIROS'!$A$2:$A$24,A77)</f>
        <v>0</v>
      </c>
    </row>
    <row r="78" spans="1:6" x14ac:dyDescent="0.3">
      <c r="A78" s="9" t="s">
        <v>1553</v>
      </c>
      <c r="B78" s="18" t="str">
        <f>_xlfn.XLOOKUP(A78,CATÁLOGO!$A$2:$A$846,CATÁLOGO!$B$2:$B$846,"FORA DO CATÁLOGO")</f>
        <v>CAL007A42</v>
      </c>
      <c r="C78" s="11">
        <v>6</v>
      </c>
      <c r="D78" s="11" t="str">
        <f>_xlfn.XLOOKUP(A78,CATÁLOGO!$A$2:$A$846,CATÁLOGO!$E$2:$E$846,"FORA DO CATÁLOGO")</f>
        <v>Ativo</v>
      </c>
      <c r="E78" s="9"/>
      <c r="F78" s="52">
        <f>SUMIFS('AVARIA PINHEIROS'!$C$2:$C$24,'AVARIA PINHEIROS'!$A$2:$A$24,A78)</f>
        <v>0</v>
      </c>
    </row>
    <row r="79" spans="1:6" x14ac:dyDescent="0.3">
      <c r="A79" s="9" t="s">
        <v>1555</v>
      </c>
      <c r="B79" s="18" t="str">
        <f>_xlfn.XLOOKUP(A79,CATÁLOGO!$A$2:$A$846,CATÁLOGO!$B$2:$B$846,"FORA DO CATÁLOGO")</f>
        <v>CAL007A44</v>
      </c>
      <c r="C79" s="11">
        <v>4</v>
      </c>
      <c r="D79" s="11" t="str">
        <f>_xlfn.XLOOKUP(A79,CATÁLOGO!$A$2:$A$846,CATÁLOGO!$E$2:$E$846,"FORA DO CATÁLOGO")</f>
        <v>Ativo</v>
      </c>
      <c r="E79" s="9" t="s">
        <v>4</v>
      </c>
      <c r="F79" s="52">
        <f>SUMIFS('AVARIA PINHEIROS'!$C$2:$C$24,'AVARIA PINHEIROS'!$A$2:$A$24,A79)</f>
        <v>0</v>
      </c>
    </row>
    <row r="80" spans="1:6" x14ac:dyDescent="0.3">
      <c r="A80" s="9" t="s">
        <v>43</v>
      </c>
      <c r="B80" s="18" t="str">
        <f>_xlfn.XLOOKUP(A80,CATÁLOGO!$A$2:$A$846,CATÁLOGO!$B$2:$B$846,"FORA DO CATÁLOGO")</f>
        <v>TRI004BP</v>
      </c>
      <c r="C80" s="11">
        <v>4</v>
      </c>
      <c r="D80" s="11" t="str">
        <f>_xlfn.XLOOKUP(A80,CATÁLOGO!$A$2:$A$846,CATÁLOGO!$E$2:$E$846,"FORA DO CATÁLOGO")</f>
        <v>Ativo</v>
      </c>
      <c r="E80" s="9"/>
      <c r="F80" s="52">
        <f>SUMIFS('AVARIA PINHEIROS'!$C$2:$C$24,'AVARIA PINHEIROS'!$A$2:$A$24,A80)</f>
        <v>0</v>
      </c>
    </row>
    <row r="81" spans="1:6" x14ac:dyDescent="0.3">
      <c r="A81" s="9" t="s">
        <v>44</v>
      </c>
      <c r="B81" s="18" t="str">
        <f>_xlfn.XLOOKUP(A81,CATÁLOGO!$A$2:$A$846,CATÁLOGO!$B$2:$B$846,"FORA DO CATÁLOGO")</f>
        <v>TRI004BM</v>
      </c>
      <c r="C81" s="11">
        <v>6</v>
      </c>
      <c r="D81" s="11" t="str">
        <f>_xlfn.XLOOKUP(A81,CATÁLOGO!$A$2:$A$846,CATÁLOGO!$E$2:$E$846,"FORA DO CATÁLOGO")</f>
        <v>Ativo</v>
      </c>
      <c r="E81" s="9"/>
      <c r="F81" s="52">
        <f>SUMIFS('AVARIA PINHEIROS'!$C$2:$C$24,'AVARIA PINHEIROS'!$A$2:$A$24,A81)</f>
        <v>0</v>
      </c>
    </row>
    <row r="82" spans="1:6" x14ac:dyDescent="0.3">
      <c r="A82" s="9" t="s">
        <v>45</v>
      </c>
      <c r="B82" s="18" t="str">
        <f>_xlfn.XLOOKUP(A82,CATÁLOGO!$A$2:$A$846,CATÁLOGO!$B$2:$B$846,"FORA DO CATÁLOGO")</f>
        <v>TRI004BG</v>
      </c>
      <c r="C82" s="11">
        <v>5</v>
      </c>
      <c r="D82" s="11" t="str">
        <f>_xlfn.XLOOKUP(A82,CATÁLOGO!$A$2:$A$846,CATÁLOGO!$E$2:$E$846,"FORA DO CATÁLOGO")</f>
        <v>Ativo</v>
      </c>
      <c r="E82" s="9"/>
      <c r="F82" s="52">
        <f>SUMIFS('AVARIA PINHEIROS'!$C$2:$C$24,'AVARIA PINHEIROS'!$A$2:$A$24,A82)</f>
        <v>0</v>
      </c>
    </row>
    <row r="83" spans="1:6" x14ac:dyDescent="0.3">
      <c r="A83" s="9" t="s">
        <v>46</v>
      </c>
      <c r="B83" s="18" t="str">
        <f>_xlfn.XLOOKUP(A83,CATÁLOGO!$A$2:$A$846,CATÁLOGO!$B$2:$B$846,"FORA DO CATÁLOGO")</f>
        <v>TRI004BGG</v>
      </c>
      <c r="C83" s="11">
        <v>4</v>
      </c>
      <c r="D83" s="11" t="str">
        <f>_xlfn.XLOOKUP(A83,CATÁLOGO!$A$2:$A$846,CATÁLOGO!$E$2:$E$846,"FORA DO CATÁLOGO")</f>
        <v>Ativo</v>
      </c>
      <c r="E83" s="9"/>
      <c r="F83" s="52">
        <f>SUMIFS('AVARIA PINHEIROS'!$C$2:$C$24,'AVARIA PINHEIROS'!$A$2:$A$24,A83)</f>
        <v>0</v>
      </c>
    </row>
    <row r="84" spans="1:6" x14ac:dyDescent="0.3">
      <c r="A84" s="9" t="s">
        <v>47</v>
      </c>
      <c r="B84" s="18" t="str">
        <f>_xlfn.XLOOKUP(A84,CATÁLOGO!$A$2:$A$846,CATÁLOGO!$B$2:$B$846,"FORA DO CATÁLOGO")</f>
        <v>CMS001GP</v>
      </c>
      <c r="C84" s="11">
        <v>6</v>
      </c>
      <c r="D84" s="11" t="str">
        <f>_xlfn.XLOOKUP(A84,CATÁLOGO!$A$2:$A$846,CATÁLOGO!$E$2:$E$846,"FORA DO CATÁLOGO")</f>
        <v>Ativo</v>
      </c>
      <c r="E84" s="9"/>
      <c r="F84" s="52">
        <f>SUMIFS('AVARIA PINHEIROS'!$C$2:$C$24,'AVARIA PINHEIROS'!$A$2:$A$24,A84)</f>
        <v>0</v>
      </c>
    </row>
    <row r="85" spans="1:6" x14ac:dyDescent="0.3">
      <c r="A85" s="9" t="s">
        <v>48</v>
      </c>
      <c r="B85" s="18" t="str">
        <f>_xlfn.XLOOKUP(A85,CATÁLOGO!$A$2:$A$846,CATÁLOGO!$B$2:$B$846,"FORA DO CATÁLOGO")</f>
        <v>CMS001GM</v>
      </c>
      <c r="C85" s="11">
        <v>6</v>
      </c>
      <c r="D85" s="11" t="str">
        <f>_xlfn.XLOOKUP(A85,CATÁLOGO!$A$2:$A$846,CATÁLOGO!$E$2:$E$846,"FORA DO CATÁLOGO")</f>
        <v>Ativo</v>
      </c>
      <c r="E85" s="9"/>
      <c r="F85" s="52">
        <f>SUMIFS('AVARIA PINHEIROS'!$C$2:$C$24,'AVARIA PINHEIROS'!$A$2:$A$24,A85)</f>
        <v>0</v>
      </c>
    </row>
    <row r="86" spans="1:6" x14ac:dyDescent="0.3">
      <c r="A86" s="9" t="s">
        <v>49</v>
      </c>
      <c r="B86" s="18" t="str">
        <f>_xlfn.XLOOKUP(A86,CATÁLOGO!$A$2:$A$846,CATÁLOGO!$B$2:$B$846,"FORA DO CATÁLOGO")</f>
        <v>CMS001GG</v>
      </c>
      <c r="C86" s="11">
        <v>6</v>
      </c>
      <c r="D86" s="11" t="str">
        <f>_xlfn.XLOOKUP(A86,CATÁLOGO!$A$2:$A$846,CATÁLOGO!$E$2:$E$846,"FORA DO CATÁLOGO")</f>
        <v>Ativo</v>
      </c>
      <c r="E86" s="9" t="s">
        <v>23</v>
      </c>
      <c r="F86" s="52">
        <f>SUMIFS('AVARIA PINHEIROS'!$C$2:$C$24,'AVARIA PINHEIROS'!$A$2:$A$24,A86)</f>
        <v>0</v>
      </c>
    </row>
    <row r="87" spans="1:6" x14ac:dyDescent="0.3">
      <c r="A87" s="9" t="s">
        <v>50</v>
      </c>
      <c r="B87" s="18" t="str">
        <f>_xlfn.XLOOKUP(A87,CATÁLOGO!$A$2:$A$846,CATÁLOGO!$B$2:$B$846,"FORA DO CATÁLOGO")</f>
        <v>CMS001GGG</v>
      </c>
      <c r="C87" s="11">
        <v>4</v>
      </c>
      <c r="D87" s="11" t="str">
        <f>_xlfn.XLOOKUP(A87,CATÁLOGO!$A$2:$A$846,CATÁLOGO!$E$2:$E$846,"FORA DO CATÁLOGO")</f>
        <v>Ativo</v>
      </c>
      <c r="E87" s="9"/>
      <c r="F87" s="52">
        <f>SUMIFS('AVARIA PINHEIROS'!$C$2:$C$24,'AVARIA PINHEIROS'!$A$2:$A$24,A87)</f>
        <v>0</v>
      </c>
    </row>
    <row r="88" spans="1:6" x14ac:dyDescent="0.3">
      <c r="A88" s="9" t="s">
        <v>1714</v>
      </c>
      <c r="B88" s="18" t="str">
        <f>_xlfn.XLOOKUP(A88,CATÁLOGO!$A$2:$A$846,CATÁLOGO!$B$2:$B$846,"FORA DO CATÁLOGO")</f>
        <v>CAM002APP</v>
      </c>
      <c r="C88" s="11">
        <v>1</v>
      </c>
      <c r="D88" s="11" t="str">
        <f>_xlfn.XLOOKUP(A88,CATÁLOGO!$A$2:$A$846,CATÁLOGO!$E$2:$E$846,"FORA DO CATÁLOGO")</f>
        <v>Ativo</v>
      </c>
      <c r="E88" s="9"/>
      <c r="F88" s="52">
        <f>SUMIFS('AVARIA PINHEIROS'!$C$2:$C$24,'AVARIA PINHEIROS'!$A$2:$A$24,A88)</f>
        <v>0</v>
      </c>
    </row>
    <row r="89" spans="1:6" x14ac:dyDescent="0.3">
      <c r="A89" s="9" t="s">
        <v>51</v>
      </c>
      <c r="B89" s="18" t="str">
        <f>_xlfn.XLOOKUP(A89,CATÁLOGO!$A$2:$A$846,CATÁLOGO!$B$2:$B$846,"FORA DO CATÁLOGO")</f>
        <v>CAM002AP</v>
      </c>
      <c r="C89" s="11">
        <v>2</v>
      </c>
      <c r="D89" s="11" t="str">
        <f>_xlfn.XLOOKUP(A89,CATÁLOGO!$A$2:$A$846,CATÁLOGO!$E$2:$E$846,"FORA DO CATÁLOGO")</f>
        <v>Ativo</v>
      </c>
      <c r="E89" s="9" t="s">
        <v>7</v>
      </c>
      <c r="F89" s="52">
        <f>SUMIFS('AVARIA PINHEIROS'!$C$2:$C$24,'AVARIA PINHEIROS'!$A$2:$A$24,A89)</f>
        <v>0</v>
      </c>
    </row>
    <row r="90" spans="1:6" x14ac:dyDescent="0.3">
      <c r="A90" s="9" t="s">
        <v>52</v>
      </c>
      <c r="B90" s="18" t="str">
        <f>_xlfn.XLOOKUP(A90,CATÁLOGO!$A$2:$A$846,CATÁLOGO!$B$2:$B$846,"FORA DO CATÁLOGO")</f>
        <v>CAM002AM</v>
      </c>
      <c r="C90" s="11">
        <v>5</v>
      </c>
      <c r="D90" s="11" t="str">
        <f>_xlfn.XLOOKUP(A90,CATÁLOGO!$A$2:$A$846,CATÁLOGO!$E$2:$E$846,"FORA DO CATÁLOGO")</f>
        <v>Ativo</v>
      </c>
      <c r="E90" s="9"/>
      <c r="F90" s="52">
        <f>SUMIFS('AVARIA PINHEIROS'!$C$2:$C$24,'AVARIA PINHEIROS'!$A$2:$A$24,A90)</f>
        <v>0</v>
      </c>
    </row>
    <row r="91" spans="1:6" x14ac:dyDescent="0.3">
      <c r="A91" s="9" t="s">
        <v>53</v>
      </c>
      <c r="B91" s="18" t="str">
        <f>_xlfn.XLOOKUP(A91,CATÁLOGO!$A$2:$A$846,CATÁLOGO!$B$2:$B$846,"FORA DO CATÁLOGO")</f>
        <v>CAM002AG</v>
      </c>
      <c r="C91" s="11">
        <v>4</v>
      </c>
      <c r="D91" s="11" t="str">
        <f>_xlfn.XLOOKUP(A91,CATÁLOGO!$A$2:$A$846,CATÁLOGO!$E$2:$E$846,"FORA DO CATÁLOGO")</f>
        <v>Ativo</v>
      </c>
      <c r="E91" s="9"/>
      <c r="F91" s="52">
        <f>SUMIFS('AVARIA PINHEIROS'!$C$2:$C$24,'AVARIA PINHEIROS'!$A$2:$A$24,A91)</f>
        <v>0</v>
      </c>
    </row>
    <row r="92" spans="1:6" x14ac:dyDescent="0.3">
      <c r="A92" s="9" t="s">
        <v>54</v>
      </c>
      <c r="B92" s="18" t="str">
        <f>_xlfn.XLOOKUP(A92,CATÁLOGO!$A$2:$A$846,CATÁLOGO!$B$2:$B$846,"FORA DO CATÁLOGO")</f>
        <v>CAM002AGG</v>
      </c>
      <c r="C92" s="11">
        <v>2</v>
      </c>
      <c r="D92" s="11" t="str">
        <f>_xlfn.XLOOKUP(A92,CATÁLOGO!$A$2:$A$846,CATÁLOGO!$E$2:$E$846,"FORA DO CATÁLOGO")</f>
        <v>Ativo</v>
      </c>
      <c r="E92" s="9"/>
      <c r="F92" s="52">
        <f>SUMIFS('AVARIA PINHEIROS'!$C$2:$C$24,'AVARIA PINHEIROS'!$A$2:$A$24,A92)</f>
        <v>0</v>
      </c>
    </row>
    <row r="93" spans="1:6" x14ac:dyDescent="0.3">
      <c r="A93" s="9" t="s">
        <v>55</v>
      </c>
      <c r="B93" s="18" t="str">
        <f>_xlfn.XLOOKUP(A93,CATÁLOGO!$A$2:$A$846,CATÁLOGO!$B$2:$B$846,"FORA DO CATÁLOGO")</f>
        <v>CMS002GP</v>
      </c>
      <c r="C93" s="11">
        <v>6</v>
      </c>
      <c r="D93" s="11" t="str">
        <f>_xlfn.XLOOKUP(A93,CATÁLOGO!$A$2:$A$846,CATÁLOGO!$E$2:$E$846,"FORA DO CATÁLOGO")</f>
        <v>Ativo</v>
      </c>
      <c r="E93" s="9"/>
      <c r="F93" s="52">
        <f>SUMIFS('AVARIA PINHEIROS'!$C$2:$C$24,'AVARIA PINHEIROS'!$A$2:$A$24,A93)</f>
        <v>0</v>
      </c>
    </row>
    <row r="94" spans="1:6" x14ac:dyDescent="0.3">
      <c r="A94" s="9" t="s">
        <v>56</v>
      </c>
      <c r="B94" s="18" t="str">
        <f>_xlfn.XLOOKUP(A94,CATÁLOGO!$A$2:$A$846,CATÁLOGO!$B$2:$B$846,"FORA DO CATÁLOGO")</f>
        <v>CMS002GM</v>
      </c>
      <c r="C94" s="11">
        <v>6</v>
      </c>
      <c r="D94" s="11" t="str">
        <f>_xlfn.XLOOKUP(A94,CATÁLOGO!$A$2:$A$846,CATÁLOGO!$E$2:$E$846,"FORA DO CATÁLOGO")</f>
        <v>Ativo</v>
      </c>
      <c r="E94" s="9"/>
      <c r="F94" s="52">
        <f>SUMIFS('AVARIA PINHEIROS'!$C$2:$C$24,'AVARIA PINHEIROS'!$A$2:$A$24,A94)</f>
        <v>0</v>
      </c>
    </row>
    <row r="95" spans="1:6" x14ac:dyDescent="0.3">
      <c r="A95" s="9" t="s">
        <v>57</v>
      </c>
      <c r="B95" s="18" t="str">
        <f>_xlfn.XLOOKUP(A95,CATÁLOGO!$A$2:$A$846,CATÁLOGO!$B$2:$B$846,"FORA DO CATÁLOGO")</f>
        <v>CMS002GG</v>
      </c>
      <c r="C95" s="11">
        <v>5</v>
      </c>
      <c r="D95" s="11" t="str">
        <f>_xlfn.XLOOKUP(A95,CATÁLOGO!$A$2:$A$846,CATÁLOGO!$E$2:$E$846,"FORA DO CATÁLOGO")</f>
        <v>Ativo</v>
      </c>
      <c r="E95" s="9"/>
      <c r="F95" s="52">
        <f>SUMIFS('AVARIA PINHEIROS'!$C$2:$C$24,'AVARIA PINHEIROS'!$A$2:$A$24,A95)</f>
        <v>0</v>
      </c>
    </row>
    <row r="96" spans="1:6" x14ac:dyDescent="0.3">
      <c r="A96" s="9" t="s">
        <v>58</v>
      </c>
      <c r="B96" s="18" t="str">
        <f>_xlfn.XLOOKUP(A96,CATÁLOGO!$A$2:$A$846,CATÁLOGO!$B$2:$B$846,"FORA DO CATÁLOGO")</f>
        <v>CMS002GGG</v>
      </c>
      <c r="C96" s="11">
        <v>4</v>
      </c>
      <c r="D96" s="11" t="str">
        <f>_xlfn.XLOOKUP(A96,CATÁLOGO!$A$2:$A$846,CATÁLOGO!$E$2:$E$846,"FORA DO CATÁLOGO")</f>
        <v>Ativo</v>
      </c>
      <c r="E96" s="9" t="s">
        <v>7</v>
      </c>
      <c r="F96" s="52">
        <f>SUMIFS('AVARIA PINHEIROS'!$C$2:$C$24,'AVARIA PINHEIROS'!$A$2:$A$24,A96)</f>
        <v>0</v>
      </c>
    </row>
    <row r="97" spans="1:6" x14ac:dyDescent="0.3">
      <c r="A97" s="9" t="s">
        <v>59</v>
      </c>
      <c r="B97" s="18" t="str">
        <f>_xlfn.XLOOKUP(A97,CATÁLOGO!$A$2:$A$846,CATÁLOGO!$B$2:$B$846,"FORA DO CATÁLOGO")</f>
        <v>CAM003CP</v>
      </c>
      <c r="C97" s="11">
        <v>3</v>
      </c>
      <c r="D97" s="11" t="str">
        <f>_xlfn.XLOOKUP(A97,CATÁLOGO!$A$2:$A$846,CATÁLOGO!$E$2:$E$846,"FORA DO CATÁLOGO")</f>
        <v>Ativo</v>
      </c>
      <c r="E97" s="9"/>
      <c r="F97" s="52">
        <f>SUMIFS('AVARIA PINHEIROS'!$C$2:$C$24,'AVARIA PINHEIROS'!$A$2:$A$24,A97)</f>
        <v>0</v>
      </c>
    </row>
    <row r="98" spans="1:6" x14ac:dyDescent="0.3">
      <c r="A98" s="9" t="s">
        <v>60</v>
      </c>
      <c r="B98" s="18" t="str">
        <f>_xlfn.XLOOKUP(A98,CATÁLOGO!$A$2:$A$846,CATÁLOGO!$B$2:$B$846,"FORA DO CATÁLOGO")</f>
        <v>CAM003CM</v>
      </c>
      <c r="C98" s="11">
        <v>3</v>
      </c>
      <c r="D98" s="11" t="str">
        <f>_xlfn.XLOOKUP(A98,CATÁLOGO!$A$2:$A$846,CATÁLOGO!$E$2:$E$846,"FORA DO CATÁLOGO")</f>
        <v>Ativo</v>
      </c>
      <c r="E98" s="9"/>
      <c r="F98" s="52">
        <f>SUMIFS('AVARIA PINHEIROS'!$C$2:$C$24,'AVARIA PINHEIROS'!$A$2:$A$24,A98)</f>
        <v>0</v>
      </c>
    </row>
    <row r="99" spans="1:6" x14ac:dyDescent="0.3">
      <c r="A99" s="9" t="s">
        <v>61</v>
      </c>
      <c r="B99" s="18" t="str">
        <f>_xlfn.XLOOKUP(A99,CATÁLOGO!$A$2:$A$846,CATÁLOGO!$B$2:$B$846,"FORA DO CATÁLOGO")</f>
        <v>CAM003CG</v>
      </c>
      <c r="C99" s="11">
        <v>2</v>
      </c>
      <c r="D99" s="11" t="str">
        <f>_xlfn.XLOOKUP(A99,CATÁLOGO!$A$2:$A$846,CATÁLOGO!$E$2:$E$846,"FORA DO CATÁLOGO")</f>
        <v>Ativo</v>
      </c>
      <c r="E99" s="9" t="s">
        <v>7</v>
      </c>
      <c r="F99" s="52">
        <f>SUMIFS('AVARIA PINHEIROS'!$C$2:$C$24,'AVARIA PINHEIROS'!$A$2:$A$24,A99)</f>
        <v>0</v>
      </c>
    </row>
    <row r="100" spans="1:6" x14ac:dyDescent="0.3">
      <c r="A100" s="9" t="s">
        <v>62</v>
      </c>
      <c r="B100" s="18" t="str">
        <f>_xlfn.XLOOKUP(A100,CATÁLOGO!$A$2:$A$846,CATÁLOGO!$B$2:$B$846,"FORA DO CATÁLOGO")</f>
        <v>CAM003CGG</v>
      </c>
      <c r="C100" s="11">
        <v>1</v>
      </c>
      <c r="D100" s="11" t="str">
        <f>_xlfn.XLOOKUP(A100,CATÁLOGO!$A$2:$A$846,CATÁLOGO!$E$2:$E$846,"FORA DO CATÁLOGO")</f>
        <v>Ativo</v>
      </c>
      <c r="E100" s="9"/>
      <c r="F100" s="52">
        <f>SUMIFS('AVARIA PINHEIROS'!$C$2:$C$24,'AVARIA PINHEIROS'!$A$2:$A$24,A100)</f>
        <v>0</v>
      </c>
    </row>
    <row r="101" spans="1:6" x14ac:dyDescent="0.3">
      <c r="A101" s="9" t="s">
        <v>63</v>
      </c>
      <c r="B101" s="18" t="str">
        <f>_xlfn.XLOOKUP(A101,CATÁLOGO!$A$2:$A$846,CATÁLOGO!$B$2:$B$846,"FORA DO CATÁLOGO")</f>
        <v>CAM003AP</v>
      </c>
      <c r="C101" s="11">
        <v>1</v>
      </c>
      <c r="D101" s="11" t="str">
        <f>_xlfn.XLOOKUP(A101,CATÁLOGO!$A$2:$A$846,CATÁLOGO!$E$2:$E$846,"FORA DO CATÁLOGO")</f>
        <v>Ativo</v>
      </c>
      <c r="E101" s="9"/>
      <c r="F101" s="52">
        <f>SUMIFS('AVARIA PINHEIROS'!$C$2:$C$24,'AVARIA PINHEIROS'!$A$2:$A$24,A101)</f>
        <v>0</v>
      </c>
    </row>
    <row r="102" spans="1:6" x14ac:dyDescent="0.3">
      <c r="A102" s="9" t="s">
        <v>64</v>
      </c>
      <c r="B102" s="18" t="str">
        <f>_xlfn.XLOOKUP(A102,CATÁLOGO!$A$2:$A$846,CATÁLOGO!$B$2:$B$846,"FORA DO CATÁLOGO")</f>
        <v>CAM003AM</v>
      </c>
      <c r="C102" s="11">
        <v>2</v>
      </c>
      <c r="D102" s="11" t="str">
        <f>_xlfn.XLOOKUP(A102,CATÁLOGO!$A$2:$A$846,CATÁLOGO!$E$2:$E$846,"FORA DO CATÁLOGO")</f>
        <v>Ativo</v>
      </c>
      <c r="E102" s="9" t="s">
        <v>23</v>
      </c>
      <c r="F102" s="52">
        <f>SUMIFS('AVARIA PINHEIROS'!$C$2:$C$24,'AVARIA PINHEIROS'!$A$2:$A$24,A102)</f>
        <v>0</v>
      </c>
    </row>
    <row r="103" spans="1:6" x14ac:dyDescent="0.3">
      <c r="A103" s="9" t="s">
        <v>65</v>
      </c>
      <c r="B103" s="18" t="str">
        <f>_xlfn.XLOOKUP(A103,CATÁLOGO!$A$2:$A$846,CATÁLOGO!$B$2:$B$846,"FORA DO CATÁLOGO")</f>
        <v>CAM003AG</v>
      </c>
      <c r="C103" s="11">
        <v>1</v>
      </c>
      <c r="D103" s="11" t="str">
        <f>_xlfn.XLOOKUP(A103,CATÁLOGO!$A$2:$A$846,CATÁLOGO!$E$2:$E$846,"FORA DO CATÁLOGO")</f>
        <v>Ativo</v>
      </c>
      <c r="E103" s="9"/>
      <c r="F103" s="52">
        <f>SUMIFS('AVARIA PINHEIROS'!$C$2:$C$24,'AVARIA PINHEIROS'!$A$2:$A$24,A103)</f>
        <v>0</v>
      </c>
    </row>
    <row r="104" spans="1:6" x14ac:dyDescent="0.3">
      <c r="A104" s="9" t="s">
        <v>66</v>
      </c>
      <c r="B104" s="18" t="str">
        <f>_xlfn.XLOOKUP(A104,CATÁLOGO!$A$2:$A$846,CATÁLOGO!$B$2:$B$846,"FORA DO CATÁLOGO")</f>
        <v>CAM003AGG</v>
      </c>
      <c r="C104" s="11">
        <v>1</v>
      </c>
      <c r="D104" s="11" t="str">
        <f>_xlfn.XLOOKUP(A104,CATÁLOGO!$A$2:$A$846,CATÁLOGO!$E$2:$E$846,"FORA DO CATÁLOGO")</f>
        <v>Ativo</v>
      </c>
      <c r="E104" s="9"/>
      <c r="F104" s="52">
        <f>SUMIFS('AVARIA PINHEIROS'!$C$2:$C$24,'AVARIA PINHEIROS'!$A$2:$A$24,A104)</f>
        <v>0</v>
      </c>
    </row>
    <row r="105" spans="1:6" x14ac:dyDescent="0.3">
      <c r="A105" s="9" t="s">
        <v>67</v>
      </c>
      <c r="B105" s="18" t="str">
        <f>_xlfn.XLOOKUP(A105,CATÁLOGO!$A$2:$A$846,CATÁLOGO!$B$2:$B$846,"FORA DO CATÁLOGO")</f>
        <v>MOL004BP</v>
      </c>
      <c r="C105" s="11">
        <v>4</v>
      </c>
      <c r="D105" s="11" t="str">
        <f>_xlfn.XLOOKUP(A105,CATÁLOGO!$A$2:$A$846,CATÁLOGO!$E$2:$E$846,"FORA DO CATÁLOGO")</f>
        <v>Ativo</v>
      </c>
      <c r="E105" s="9"/>
      <c r="F105" s="52">
        <f>SUMIFS('AVARIA PINHEIROS'!$C$2:$C$24,'AVARIA PINHEIROS'!$A$2:$A$24,A105)</f>
        <v>0</v>
      </c>
    </row>
    <row r="106" spans="1:6" x14ac:dyDescent="0.3">
      <c r="A106" s="9" t="s">
        <v>68</v>
      </c>
      <c r="B106" s="18" t="str">
        <f>_xlfn.XLOOKUP(A106,CATÁLOGO!$A$2:$A$846,CATÁLOGO!$B$2:$B$846,"FORA DO CATÁLOGO")</f>
        <v>MOL004BM</v>
      </c>
      <c r="C106" s="11">
        <v>6</v>
      </c>
      <c r="D106" s="11" t="str">
        <f>_xlfn.XLOOKUP(A106,CATÁLOGO!$A$2:$A$846,CATÁLOGO!$E$2:$E$846,"FORA DO CATÁLOGO")</f>
        <v>Ativo</v>
      </c>
      <c r="E106" s="9" t="s">
        <v>23</v>
      </c>
      <c r="F106" s="52">
        <f>SUMIFS('AVARIA PINHEIROS'!$C$2:$C$24,'AVARIA PINHEIROS'!$A$2:$A$24,A106)</f>
        <v>0</v>
      </c>
    </row>
    <row r="107" spans="1:6" x14ac:dyDescent="0.3">
      <c r="A107" s="9" t="s">
        <v>69</v>
      </c>
      <c r="B107" s="18" t="str">
        <f>_xlfn.XLOOKUP(A107,CATÁLOGO!$A$2:$A$846,CATÁLOGO!$B$2:$B$846,"FORA DO CATÁLOGO")</f>
        <v>MOL004BG</v>
      </c>
      <c r="C107" s="11">
        <v>5</v>
      </c>
      <c r="D107" s="11" t="str">
        <f>_xlfn.XLOOKUP(A107,CATÁLOGO!$A$2:$A$846,CATÁLOGO!$E$2:$E$846,"FORA DO CATÁLOGO")</f>
        <v>Ativo</v>
      </c>
      <c r="E107" s="9"/>
      <c r="F107" s="52">
        <f>SUMIFS('AVARIA PINHEIROS'!$C$2:$C$24,'AVARIA PINHEIROS'!$A$2:$A$24,A107)</f>
        <v>0</v>
      </c>
    </row>
    <row r="108" spans="1:6" x14ac:dyDescent="0.3">
      <c r="A108" s="9" t="s">
        <v>70</v>
      </c>
      <c r="B108" s="18" t="str">
        <f>_xlfn.XLOOKUP(A108,CATÁLOGO!$A$2:$A$846,CATÁLOGO!$B$2:$B$846,"FORA DO CATÁLOGO")</f>
        <v>MOL004BGG</v>
      </c>
      <c r="C108" s="11">
        <v>3</v>
      </c>
      <c r="D108" s="11" t="str">
        <f>_xlfn.XLOOKUP(A108,CATÁLOGO!$A$2:$A$846,CATÁLOGO!$E$2:$E$846,"FORA DO CATÁLOGO")</f>
        <v>Ativo</v>
      </c>
      <c r="E108" s="9"/>
      <c r="F108" s="52">
        <f>SUMIFS('AVARIA PINHEIROS'!$C$2:$C$24,'AVARIA PINHEIROS'!$A$2:$A$24,A108)</f>
        <v>0</v>
      </c>
    </row>
    <row r="109" spans="1:6" x14ac:dyDescent="0.3">
      <c r="A109" s="9" t="s">
        <v>71</v>
      </c>
      <c r="B109" s="18" t="str">
        <f>_xlfn.XLOOKUP(A109,CATÁLOGO!$A$2:$A$846,CATÁLOGO!$B$2:$B$846,"FORA DO CATÁLOGO")</f>
        <v>CAM004BP</v>
      </c>
      <c r="C109" s="11">
        <v>3</v>
      </c>
      <c r="D109" s="11" t="str">
        <f>_xlfn.XLOOKUP(A109,CATÁLOGO!$A$2:$A$846,CATÁLOGO!$E$2:$E$846,"FORA DO CATÁLOGO")</f>
        <v>Ativo</v>
      </c>
      <c r="E109" s="9" t="s">
        <v>7</v>
      </c>
      <c r="F109" s="52">
        <f>SUMIFS('AVARIA PINHEIROS'!$C$2:$C$24,'AVARIA PINHEIROS'!$A$2:$A$24,A109)</f>
        <v>0</v>
      </c>
    </row>
    <row r="110" spans="1:6" x14ac:dyDescent="0.3">
      <c r="A110" s="9" t="s">
        <v>72</v>
      </c>
      <c r="B110" s="18" t="str">
        <f>_xlfn.XLOOKUP(A110,CATÁLOGO!$A$2:$A$846,CATÁLOGO!$B$2:$B$846,"FORA DO CATÁLOGO")</f>
        <v>CAM004BM</v>
      </c>
      <c r="C110" s="11">
        <v>3</v>
      </c>
      <c r="D110" s="11" t="str">
        <f>_xlfn.XLOOKUP(A110,CATÁLOGO!$A$2:$A$846,CATÁLOGO!$E$2:$E$846,"FORA DO CATÁLOGO")</f>
        <v>Ativo</v>
      </c>
      <c r="E110" s="9"/>
      <c r="F110" s="52">
        <f>SUMIFS('AVARIA PINHEIROS'!$C$2:$C$24,'AVARIA PINHEIROS'!$A$2:$A$24,A110)</f>
        <v>0</v>
      </c>
    </row>
    <row r="111" spans="1:6" x14ac:dyDescent="0.3">
      <c r="A111" s="9" t="s">
        <v>73</v>
      </c>
      <c r="B111" s="18" t="str">
        <f>_xlfn.XLOOKUP(A111,CATÁLOGO!$A$2:$A$846,CATÁLOGO!$B$2:$B$846,"FORA DO CATÁLOGO")</f>
        <v>CAM004BG</v>
      </c>
      <c r="C111" s="11">
        <v>3</v>
      </c>
      <c r="D111" s="11" t="str">
        <f>_xlfn.XLOOKUP(A111,CATÁLOGO!$A$2:$A$846,CATÁLOGO!$E$2:$E$846,"FORA DO CATÁLOGO")</f>
        <v>Ativo</v>
      </c>
      <c r="E111" s="9"/>
      <c r="F111" s="52">
        <f>SUMIFS('AVARIA PINHEIROS'!$C$2:$C$24,'AVARIA PINHEIROS'!$A$2:$A$24,A111)</f>
        <v>0</v>
      </c>
    </row>
    <row r="112" spans="1:6" x14ac:dyDescent="0.3">
      <c r="A112" s="9" t="s">
        <v>74</v>
      </c>
      <c r="B112" s="18" t="str">
        <f>_xlfn.XLOOKUP(A112,CATÁLOGO!$A$2:$A$846,CATÁLOGO!$B$2:$B$846,"FORA DO CATÁLOGO")</f>
        <v>CAM004CP</v>
      </c>
      <c r="C112" s="11">
        <v>2</v>
      </c>
      <c r="D112" s="11" t="str">
        <f>_xlfn.XLOOKUP(A112,CATÁLOGO!$A$2:$A$846,CATÁLOGO!$E$2:$E$846,"FORA DO CATÁLOGO")</f>
        <v>Ativo</v>
      </c>
      <c r="E112" s="9"/>
      <c r="F112" s="52">
        <f>SUMIFS('AVARIA PINHEIROS'!$C$2:$C$24,'AVARIA PINHEIROS'!$A$2:$A$24,A112)</f>
        <v>0</v>
      </c>
    </row>
    <row r="113" spans="1:6" x14ac:dyDescent="0.3">
      <c r="A113" s="9" t="s">
        <v>75</v>
      </c>
      <c r="B113" s="18" t="str">
        <f>_xlfn.XLOOKUP(A113,CATÁLOGO!$A$2:$A$846,CATÁLOGO!$B$2:$B$846,"FORA DO CATÁLOGO")</f>
        <v>CAM004CM</v>
      </c>
      <c r="C113" s="11">
        <v>3</v>
      </c>
      <c r="D113" s="11" t="str">
        <f>_xlfn.XLOOKUP(A113,CATÁLOGO!$A$2:$A$846,CATÁLOGO!$E$2:$E$846,"FORA DO CATÁLOGO")</f>
        <v>Ativo</v>
      </c>
      <c r="E113" s="9"/>
      <c r="F113" s="52">
        <f>SUMIFS('AVARIA PINHEIROS'!$C$2:$C$24,'AVARIA PINHEIROS'!$A$2:$A$24,A113)</f>
        <v>0</v>
      </c>
    </row>
    <row r="114" spans="1:6" x14ac:dyDescent="0.3">
      <c r="A114" s="9" t="s">
        <v>76</v>
      </c>
      <c r="B114" s="18" t="str">
        <f>_xlfn.XLOOKUP(A114,CATÁLOGO!$A$2:$A$846,CATÁLOGO!$B$2:$B$846,"FORA DO CATÁLOGO")</f>
        <v>CAM004CG</v>
      </c>
      <c r="C114" s="11">
        <v>2</v>
      </c>
      <c r="D114" s="11" t="str">
        <f>_xlfn.XLOOKUP(A114,CATÁLOGO!$A$2:$A$846,CATÁLOGO!$E$2:$E$846,"FORA DO CATÁLOGO")</f>
        <v>Ativo</v>
      </c>
      <c r="E114" s="9"/>
      <c r="F114" s="52">
        <f>SUMIFS('AVARIA PINHEIROS'!$C$2:$C$24,'AVARIA PINHEIROS'!$A$2:$A$24,A114)</f>
        <v>0</v>
      </c>
    </row>
    <row r="115" spans="1:6" x14ac:dyDescent="0.3">
      <c r="A115" s="9" t="s">
        <v>77</v>
      </c>
      <c r="B115" s="18" t="str">
        <f>_xlfn.XLOOKUP(A115,CATÁLOGO!$A$2:$A$846,CATÁLOGO!$B$2:$B$846,"FORA DO CATÁLOGO")</f>
        <v>CAM004CGG</v>
      </c>
      <c r="C115" s="11">
        <v>1</v>
      </c>
      <c r="D115" s="11" t="str">
        <f>_xlfn.XLOOKUP(A115,CATÁLOGO!$A$2:$A$846,CATÁLOGO!$E$2:$E$846,"FORA DO CATÁLOGO")</f>
        <v>Ativo</v>
      </c>
      <c r="E115" s="9"/>
      <c r="F115" s="52">
        <f>SUMIFS('AVARIA PINHEIROS'!$C$2:$C$24,'AVARIA PINHEIROS'!$A$2:$A$24,A115)</f>
        <v>0</v>
      </c>
    </row>
    <row r="116" spans="1:6" x14ac:dyDescent="0.3">
      <c r="A116" s="9" t="s">
        <v>78</v>
      </c>
      <c r="B116" s="18" t="str">
        <f>_xlfn.XLOOKUP(A116,CATÁLOGO!$A$2:$A$846,CATÁLOGO!$B$2:$B$846,"FORA DO CATÁLOGO")</f>
        <v>CAM004PP</v>
      </c>
      <c r="C116" s="11">
        <v>2</v>
      </c>
      <c r="D116" s="11" t="str">
        <f>_xlfn.XLOOKUP(A116,CATÁLOGO!$A$2:$A$846,CATÁLOGO!$E$2:$E$846,"FORA DO CATÁLOGO")</f>
        <v>Ativo</v>
      </c>
      <c r="E116" s="9"/>
      <c r="F116" s="52">
        <f>SUMIFS('AVARIA PINHEIROS'!$C$2:$C$24,'AVARIA PINHEIROS'!$A$2:$A$24,A116)</f>
        <v>0</v>
      </c>
    </row>
    <row r="117" spans="1:6" x14ac:dyDescent="0.3">
      <c r="A117" s="9" t="s">
        <v>79</v>
      </c>
      <c r="B117" s="18" t="str">
        <f>_xlfn.XLOOKUP(A117,CATÁLOGO!$A$2:$A$846,CATÁLOGO!$B$2:$B$846,"FORA DO CATÁLOGO")</f>
        <v>CAM004PM</v>
      </c>
      <c r="C117" s="11">
        <v>0</v>
      </c>
      <c r="D117" s="11" t="str">
        <f>_xlfn.XLOOKUP(A117,CATÁLOGO!$A$2:$A$846,CATÁLOGO!$E$2:$E$846,"FORA DO CATÁLOGO")</f>
        <v>Ativo</v>
      </c>
      <c r="E117" s="9" t="s">
        <v>1347</v>
      </c>
      <c r="F117" s="52">
        <f>SUMIFS('AVARIA PINHEIROS'!$C$2:$C$24,'AVARIA PINHEIROS'!$A$2:$A$24,A117)</f>
        <v>2</v>
      </c>
    </row>
    <row r="118" spans="1:6" x14ac:dyDescent="0.3">
      <c r="A118" s="9" t="s">
        <v>80</v>
      </c>
      <c r="B118" s="18" t="str">
        <f>_xlfn.XLOOKUP(A118,CATÁLOGO!$A$2:$A$846,CATÁLOGO!$B$2:$B$846,"FORA DO CATÁLOGO")</f>
        <v>CAM004PG</v>
      </c>
      <c r="C118" s="11">
        <v>3</v>
      </c>
      <c r="D118" s="11" t="str">
        <f>_xlfn.XLOOKUP(A118,CATÁLOGO!$A$2:$A$846,CATÁLOGO!$E$2:$E$846,"FORA DO CATÁLOGO")</f>
        <v>Ativo</v>
      </c>
      <c r="E118" s="9" t="s">
        <v>7</v>
      </c>
      <c r="F118" s="52">
        <f>SUMIFS('AVARIA PINHEIROS'!$C$2:$C$24,'AVARIA PINHEIROS'!$A$2:$A$24,A118)</f>
        <v>0</v>
      </c>
    </row>
    <row r="119" spans="1:6" x14ac:dyDescent="0.3">
      <c r="A119" s="9" t="s">
        <v>81</v>
      </c>
      <c r="B119" s="18" t="str">
        <f>_xlfn.XLOOKUP(A119,CATÁLOGO!$A$2:$A$846,CATÁLOGO!$B$2:$B$846,"FORA DO CATÁLOGO")</f>
        <v>CAM004PGG</v>
      </c>
      <c r="C119" s="11">
        <v>1</v>
      </c>
      <c r="D119" s="11" t="str">
        <f>_xlfn.XLOOKUP(A119,CATÁLOGO!$A$2:$A$846,CATÁLOGO!$E$2:$E$846,"FORA DO CATÁLOGO")</f>
        <v>Ativo</v>
      </c>
      <c r="E119" s="9"/>
      <c r="F119" s="52">
        <f>SUMIFS('AVARIA PINHEIROS'!$C$2:$C$24,'AVARIA PINHEIROS'!$A$2:$A$24,A119)</f>
        <v>0</v>
      </c>
    </row>
    <row r="120" spans="1:6" x14ac:dyDescent="0.3">
      <c r="A120" s="9" t="s">
        <v>82</v>
      </c>
      <c r="B120" s="18" t="str">
        <f>_xlfn.XLOOKUP(A120,CATÁLOGO!$A$2:$A$846,CATÁLOGO!$B$2:$B$846,"FORA DO CATÁLOGO")</f>
        <v>TOP003BP</v>
      </c>
      <c r="C120" s="11">
        <v>6</v>
      </c>
      <c r="D120" s="11" t="str">
        <f>_xlfn.XLOOKUP(A120,CATÁLOGO!$A$2:$A$846,CATÁLOGO!$E$2:$E$846,"FORA DO CATÁLOGO")</f>
        <v>Ativo</v>
      </c>
      <c r="E120" s="9"/>
      <c r="F120" s="52">
        <f>SUMIFS('AVARIA PINHEIROS'!$C$2:$C$24,'AVARIA PINHEIROS'!$A$2:$A$24,A120)</f>
        <v>0</v>
      </c>
    </row>
    <row r="121" spans="1:6" x14ac:dyDescent="0.3">
      <c r="A121" s="9" t="s">
        <v>83</v>
      </c>
      <c r="B121" s="18" t="str">
        <f>_xlfn.XLOOKUP(A121,CATÁLOGO!$A$2:$A$846,CATÁLOGO!$B$2:$B$846,"FORA DO CATÁLOGO")</f>
        <v>TOP003BM</v>
      </c>
      <c r="C121" s="11">
        <v>4</v>
      </c>
      <c r="D121" s="11" t="str">
        <f>_xlfn.XLOOKUP(A121,CATÁLOGO!$A$2:$A$846,CATÁLOGO!$E$2:$E$846,"FORA DO CATÁLOGO")</f>
        <v>Ativo</v>
      </c>
      <c r="E121" s="9"/>
      <c r="F121" s="52">
        <f>SUMIFS('AVARIA PINHEIROS'!$C$2:$C$24,'AVARIA PINHEIROS'!$A$2:$A$24,A121)</f>
        <v>0</v>
      </c>
    </row>
    <row r="122" spans="1:6" x14ac:dyDescent="0.3">
      <c r="A122" s="9" t="s">
        <v>84</v>
      </c>
      <c r="B122" s="18" t="str">
        <f>_xlfn.XLOOKUP(A122,CATÁLOGO!$A$2:$A$846,CATÁLOGO!$B$2:$B$846,"FORA DO CATÁLOGO")</f>
        <v>TOP003BG</v>
      </c>
      <c r="C122" s="11">
        <v>6</v>
      </c>
      <c r="D122" s="11" t="str">
        <f>_xlfn.XLOOKUP(A122,CATÁLOGO!$A$2:$A$846,CATÁLOGO!$E$2:$E$846,"FORA DO CATÁLOGO")</f>
        <v>Ativo</v>
      </c>
      <c r="E122" s="9"/>
      <c r="F122" s="52">
        <f>SUMIFS('AVARIA PINHEIROS'!$C$2:$C$24,'AVARIA PINHEIROS'!$A$2:$A$24,A122)</f>
        <v>0</v>
      </c>
    </row>
    <row r="123" spans="1:6" x14ac:dyDescent="0.3">
      <c r="A123" s="9" t="s">
        <v>85</v>
      </c>
      <c r="B123" s="18" t="str">
        <f>_xlfn.XLOOKUP(A123,CATÁLOGO!$A$2:$A$846,CATÁLOGO!$B$2:$B$846,"FORA DO CATÁLOGO")</f>
        <v>TOP003BGG</v>
      </c>
      <c r="C123" s="11">
        <v>3</v>
      </c>
      <c r="D123" s="11" t="str">
        <f>_xlfn.XLOOKUP(A123,CATÁLOGO!$A$2:$A$846,CATÁLOGO!$E$2:$E$846,"FORA DO CATÁLOGO")</f>
        <v>Ativo</v>
      </c>
      <c r="E123" s="9"/>
      <c r="F123" s="52">
        <f>SUMIFS('AVARIA PINHEIROS'!$C$2:$C$24,'AVARIA PINHEIROS'!$A$2:$A$24,A123)</f>
        <v>0</v>
      </c>
    </row>
    <row r="124" spans="1:6" x14ac:dyDescent="0.3">
      <c r="A124" s="9" t="s">
        <v>1767</v>
      </c>
      <c r="B124" s="18" t="str">
        <f>_xlfn.XLOOKUP(A124,CATÁLOGO!$A$2:$A$846,CATÁLOGO!$B$2:$B$846,"FORA DO CATÁLOGO")</f>
        <v>CMS003BPP</v>
      </c>
      <c r="C124" s="11">
        <v>2</v>
      </c>
      <c r="D124" s="11" t="str">
        <f>_xlfn.XLOOKUP(A124,CATÁLOGO!$A$2:$A$846,CATÁLOGO!$E$2:$E$846,"FORA DO CATÁLOGO")</f>
        <v>Ativo</v>
      </c>
      <c r="E124" s="9"/>
      <c r="F124" s="52">
        <f>SUMIFS('AVARIA PINHEIROS'!$C$2:$C$24,'AVARIA PINHEIROS'!$A$2:$A$24,A124)</f>
        <v>0</v>
      </c>
    </row>
    <row r="125" spans="1:6" x14ac:dyDescent="0.3">
      <c r="A125" s="9" t="s">
        <v>86</v>
      </c>
      <c r="B125" s="18" t="str">
        <f>_xlfn.XLOOKUP(A125,CATÁLOGO!$A$2:$A$846,CATÁLOGO!$B$2:$B$846,"FORA DO CATÁLOGO")</f>
        <v>CMS003BP</v>
      </c>
      <c r="C125" s="11">
        <v>5</v>
      </c>
      <c r="D125" s="11" t="str">
        <f>_xlfn.XLOOKUP(A125,CATÁLOGO!$A$2:$A$846,CATÁLOGO!$E$2:$E$846,"FORA DO CATÁLOGO")</f>
        <v>Ativo</v>
      </c>
      <c r="E125" s="9"/>
      <c r="F125" s="52">
        <f>SUMIFS('AVARIA PINHEIROS'!$C$2:$C$24,'AVARIA PINHEIROS'!$A$2:$A$24,A125)</f>
        <v>0</v>
      </c>
    </row>
    <row r="126" spans="1:6" x14ac:dyDescent="0.3">
      <c r="A126" s="9" t="s">
        <v>87</v>
      </c>
      <c r="B126" s="18" t="str">
        <f>_xlfn.XLOOKUP(A126,CATÁLOGO!$A$2:$A$846,CATÁLOGO!$B$2:$B$846,"FORA DO CATÁLOGO")</f>
        <v>CMS003BM</v>
      </c>
      <c r="C126" s="11">
        <v>6</v>
      </c>
      <c r="D126" s="11" t="str">
        <f>_xlfn.XLOOKUP(A126,CATÁLOGO!$A$2:$A$846,CATÁLOGO!$E$2:$E$846,"FORA DO CATÁLOGO")</f>
        <v>Ativo</v>
      </c>
      <c r="E126" s="9"/>
      <c r="F126" s="52">
        <f>SUMIFS('AVARIA PINHEIROS'!$C$2:$C$24,'AVARIA PINHEIROS'!$A$2:$A$24,A126)</f>
        <v>0</v>
      </c>
    </row>
    <row r="127" spans="1:6" x14ac:dyDescent="0.3">
      <c r="A127" s="9" t="s">
        <v>88</v>
      </c>
      <c r="B127" s="18" t="str">
        <f>_xlfn.XLOOKUP(A127,CATÁLOGO!$A$2:$A$846,CATÁLOGO!$B$2:$B$846,"FORA DO CATÁLOGO")</f>
        <v>CMS003BG</v>
      </c>
      <c r="C127" s="11">
        <v>6</v>
      </c>
      <c r="D127" s="11" t="str">
        <f>_xlfn.XLOOKUP(A127,CATÁLOGO!$A$2:$A$846,CATÁLOGO!$E$2:$E$846,"FORA DO CATÁLOGO")</f>
        <v>Ativo</v>
      </c>
      <c r="E127" s="9"/>
      <c r="F127" s="52">
        <f>SUMIFS('AVARIA PINHEIROS'!$C$2:$C$24,'AVARIA PINHEIROS'!$A$2:$A$24,A127)</f>
        <v>0</v>
      </c>
    </row>
    <row r="128" spans="1:6" x14ac:dyDescent="0.3">
      <c r="A128" s="9" t="s">
        <v>1829</v>
      </c>
      <c r="B128" s="18" t="str">
        <f>_xlfn.XLOOKUP(A128,CATÁLOGO!$A$2:$A$846,CATÁLOGO!$B$2:$B$846,"FORA DO CATÁLOGO")</f>
        <v>MOL005OPP</v>
      </c>
      <c r="C128" s="11">
        <v>2</v>
      </c>
      <c r="D128" s="11" t="str">
        <f>_xlfn.XLOOKUP(A128,CATÁLOGO!$A$2:$A$846,CATÁLOGO!$E$2:$E$846,"FORA DO CATÁLOGO")</f>
        <v>Ativo</v>
      </c>
      <c r="E128" s="9"/>
      <c r="F128" s="52">
        <f>SUMIFS('AVARIA PINHEIROS'!$C$2:$C$24,'AVARIA PINHEIROS'!$A$2:$A$24,A128)</f>
        <v>0</v>
      </c>
    </row>
    <row r="129" spans="1:6" x14ac:dyDescent="0.3">
      <c r="A129" s="9" t="s">
        <v>89</v>
      </c>
      <c r="B129" s="18" t="str">
        <f>_xlfn.XLOOKUP(A129,CATÁLOGO!$A$2:$A$846,CATÁLOGO!$B$2:$B$846,"FORA DO CATÁLOGO")</f>
        <v>MOL005OP</v>
      </c>
      <c r="C129" s="11">
        <v>5</v>
      </c>
      <c r="D129" s="11" t="str">
        <f>_xlfn.XLOOKUP(A129,CATÁLOGO!$A$2:$A$846,CATÁLOGO!$E$2:$E$846,"FORA DO CATÁLOGO")</f>
        <v>Ativo</v>
      </c>
      <c r="E129" s="9"/>
      <c r="F129" s="52">
        <f>SUMIFS('AVARIA PINHEIROS'!$C$2:$C$24,'AVARIA PINHEIROS'!$A$2:$A$24,A129)</f>
        <v>0</v>
      </c>
    </row>
    <row r="130" spans="1:6" x14ac:dyDescent="0.3">
      <c r="A130" s="9" t="s">
        <v>90</v>
      </c>
      <c r="B130" s="18" t="str">
        <f>_xlfn.XLOOKUP(A130,CATÁLOGO!$A$2:$A$846,CATÁLOGO!$B$2:$B$846,"FORA DO CATÁLOGO")</f>
        <v>MOL005OM</v>
      </c>
      <c r="C130" s="11">
        <v>4</v>
      </c>
      <c r="D130" s="11" t="str">
        <f>_xlfn.XLOOKUP(A130,CATÁLOGO!$A$2:$A$846,CATÁLOGO!$E$2:$E$846,"FORA DO CATÁLOGO")</f>
        <v>Ativo</v>
      </c>
      <c r="E130" s="9"/>
      <c r="F130" s="52">
        <f>SUMIFS('AVARIA PINHEIROS'!$C$2:$C$24,'AVARIA PINHEIROS'!$A$2:$A$24,A130)</f>
        <v>0</v>
      </c>
    </row>
    <row r="131" spans="1:6" x14ac:dyDescent="0.3">
      <c r="A131" s="9" t="s">
        <v>91</v>
      </c>
      <c r="B131" s="18" t="str">
        <f>_xlfn.XLOOKUP(A131,CATÁLOGO!$A$2:$A$846,CATÁLOGO!$B$2:$B$846,"FORA DO CATÁLOGO")</f>
        <v>MOL005OG</v>
      </c>
      <c r="C131" s="11">
        <v>2</v>
      </c>
      <c r="D131" s="11" t="str">
        <f>_xlfn.XLOOKUP(A131,CATÁLOGO!$A$2:$A$846,CATÁLOGO!$E$2:$E$846,"FORA DO CATÁLOGO")</f>
        <v>Ativo</v>
      </c>
      <c r="E131" s="9"/>
      <c r="F131" s="52">
        <f>SUMIFS('AVARIA PINHEIROS'!$C$2:$C$24,'AVARIA PINHEIROS'!$A$2:$A$24,A131)</f>
        <v>0</v>
      </c>
    </row>
    <row r="132" spans="1:6" x14ac:dyDescent="0.3">
      <c r="A132" s="9" t="s">
        <v>92</v>
      </c>
      <c r="B132" s="18" t="str">
        <f>_xlfn.XLOOKUP(A132,CATÁLOGO!$A$2:$A$846,CATÁLOGO!$B$2:$B$846,"FORA DO CATÁLOGO")</f>
        <v>MOL005OGG</v>
      </c>
      <c r="C132" s="11">
        <v>4</v>
      </c>
      <c r="D132" s="11" t="str">
        <f>_xlfn.XLOOKUP(A132,CATÁLOGO!$A$2:$A$846,CATÁLOGO!$E$2:$E$846,"FORA DO CATÁLOGO")</f>
        <v>Ativo</v>
      </c>
      <c r="E132" s="9"/>
      <c r="F132" s="52">
        <f>SUMIFS('AVARIA PINHEIROS'!$C$2:$C$24,'AVARIA PINHEIROS'!$A$2:$A$24,A132)</f>
        <v>0</v>
      </c>
    </row>
    <row r="133" spans="1:6" x14ac:dyDescent="0.3">
      <c r="A133" s="9" t="s">
        <v>93</v>
      </c>
      <c r="B133" s="18" t="str">
        <f>_xlfn.XLOOKUP(A133,CATÁLOGO!$A$2:$A$846,CATÁLOGO!$B$2:$B$846,"FORA DO CATÁLOGO")</f>
        <v>CAM005OP</v>
      </c>
      <c r="C133" s="11">
        <v>6</v>
      </c>
      <c r="D133" s="11" t="str">
        <f>_xlfn.XLOOKUP(A133,CATÁLOGO!$A$2:$A$846,CATÁLOGO!$E$2:$E$846,"FORA DO CATÁLOGO")</f>
        <v>Ativo</v>
      </c>
      <c r="E133" s="9"/>
      <c r="F133" s="52">
        <f>SUMIFS('AVARIA PINHEIROS'!$C$2:$C$24,'AVARIA PINHEIROS'!$A$2:$A$24,A133)</f>
        <v>0</v>
      </c>
    </row>
    <row r="134" spans="1:6" x14ac:dyDescent="0.3">
      <c r="A134" s="9" t="s">
        <v>94</v>
      </c>
      <c r="B134" s="18" t="str">
        <f>_xlfn.XLOOKUP(A134,CATÁLOGO!$A$2:$A$846,CATÁLOGO!$B$2:$B$846,"FORA DO CATÁLOGO")</f>
        <v>CAM005OM</v>
      </c>
      <c r="C134" s="11">
        <v>8</v>
      </c>
      <c r="D134" s="11" t="str">
        <f>_xlfn.XLOOKUP(A134,CATÁLOGO!$A$2:$A$846,CATÁLOGO!$E$2:$E$846,"FORA DO CATÁLOGO")</f>
        <v>Ativo</v>
      </c>
      <c r="E134" s="9"/>
      <c r="F134" s="52">
        <f>SUMIFS('AVARIA PINHEIROS'!$C$2:$C$24,'AVARIA PINHEIROS'!$A$2:$A$24,A134)</f>
        <v>0</v>
      </c>
    </row>
    <row r="135" spans="1:6" x14ac:dyDescent="0.3">
      <c r="A135" s="9" t="s">
        <v>95</v>
      </c>
      <c r="B135" s="18" t="str">
        <f>_xlfn.XLOOKUP(A135,CATÁLOGO!$A$2:$A$846,CATÁLOGO!$B$2:$B$846,"FORA DO CATÁLOGO")</f>
        <v>CAM005OG</v>
      </c>
      <c r="C135" s="11">
        <v>6</v>
      </c>
      <c r="D135" s="11" t="str">
        <f>_xlfn.XLOOKUP(A135,CATÁLOGO!$A$2:$A$846,CATÁLOGO!$E$2:$E$846,"FORA DO CATÁLOGO")</f>
        <v>Ativo</v>
      </c>
      <c r="E135" s="9"/>
      <c r="F135" s="52">
        <f>SUMIFS('AVARIA PINHEIROS'!$C$2:$C$24,'AVARIA PINHEIROS'!$A$2:$A$24,A135)</f>
        <v>0</v>
      </c>
    </row>
    <row r="136" spans="1:6" x14ac:dyDescent="0.3">
      <c r="A136" s="9" t="s">
        <v>96</v>
      </c>
      <c r="B136" s="18" t="str">
        <f>_xlfn.XLOOKUP(A136,CATÁLOGO!$A$2:$A$846,CATÁLOGO!$B$2:$B$846,"FORA DO CATÁLOGO")</f>
        <v>CAM005OGG</v>
      </c>
      <c r="C136" s="11">
        <v>4</v>
      </c>
      <c r="D136" s="11" t="str">
        <f>_xlfn.XLOOKUP(A136,CATÁLOGO!$A$2:$A$846,CATÁLOGO!$E$2:$E$846,"FORA DO CATÁLOGO")</f>
        <v>Ativo</v>
      </c>
      <c r="E136" s="9"/>
      <c r="F136" s="52">
        <f>SUMIFS('AVARIA PINHEIROS'!$C$2:$C$24,'AVARIA PINHEIROS'!$A$2:$A$24,A136)</f>
        <v>0</v>
      </c>
    </row>
    <row r="137" spans="1:6" x14ac:dyDescent="0.3">
      <c r="A137" s="9" t="s">
        <v>1566</v>
      </c>
      <c r="B137" s="18" t="str">
        <f>_xlfn.XLOOKUP(A137,CATÁLOGO!$A$2:$A$846,CATÁLOGO!$B$2:$B$846,"FORA DO CATÁLOGO")</f>
        <v>CAL008B38</v>
      </c>
      <c r="C137" s="11">
        <v>4</v>
      </c>
      <c r="D137" s="11" t="str">
        <f>_xlfn.XLOOKUP(A137,CATÁLOGO!$A$2:$A$846,CATÁLOGO!$E$2:$E$846,"FORA DO CATÁLOGO")</f>
        <v>Ativo</v>
      </c>
      <c r="E137" s="9"/>
      <c r="F137" s="52">
        <f>SUMIFS('AVARIA PINHEIROS'!$C$2:$C$24,'AVARIA PINHEIROS'!$A$2:$A$24,A137)</f>
        <v>0</v>
      </c>
    </row>
    <row r="138" spans="1:6" x14ac:dyDescent="0.3">
      <c r="A138" s="9" t="s">
        <v>1565</v>
      </c>
      <c r="B138" s="18" t="str">
        <f>_xlfn.XLOOKUP(A138,CATÁLOGO!$A$2:$A$846,CATÁLOGO!$B$2:$B$846,"FORA DO CATÁLOGO")</f>
        <v>CAL008B40</v>
      </c>
      <c r="C138" s="11">
        <v>4</v>
      </c>
      <c r="D138" s="11" t="str">
        <f>_xlfn.XLOOKUP(A138,CATÁLOGO!$A$2:$A$846,CATÁLOGO!$E$2:$E$846,"FORA DO CATÁLOGO")</f>
        <v>Ativo</v>
      </c>
      <c r="E138" s="9"/>
      <c r="F138" s="52">
        <f>SUMIFS('AVARIA PINHEIROS'!$C$2:$C$24,'AVARIA PINHEIROS'!$A$2:$A$24,A138)</f>
        <v>0</v>
      </c>
    </row>
    <row r="139" spans="1:6" x14ac:dyDescent="0.3">
      <c r="A139" s="9" t="s">
        <v>1563</v>
      </c>
      <c r="B139" s="18" t="str">
        <f>_xlfn.XLOOKUP(A139,CATÁLOGO!$A$2:$A$846,CATÁLOGO!$B$2:$B$846,"FORA DO CATÁLOGO")</f>
        <v>CAL008B42</v>
      </c>
      <c r="C139" s="11">
        <v>3</v>
      </c>
      <c r="D139" s="11" t="str">
        <f>_xlfn.XLOOKUP(A139,CATÁLOGO!$A$2:$A$846,CATÁLOGO!$E$2:$E$846,"FORA DO CATÁLOGO")</f>
        <v>Ativo</v>
      </c>
      <c r="E139" s="9" t="s">
        <v>7</v>
      </c>
      <c r="F139" s="52">
        <f>SUMIFS('AVARIA PINHEIROS'!$C$2:$C$24,'AVARIA PINHEIROS'!$A$2:$A$24,A139)</f>
        <v>0</v>
      </c>
    </row>
    <row r="140" spans="1:6" x14ac:dyDescent="0.3">
      <c r="A140" s="9" t="s">
        <v>1562</v>
      </c>
      <c r="B140" s="18" t="str">
        <f>_xlfn.XLOOKUP(A140,CATÁLOGO!$A$2:$A$846,CATÁLOGO!$B$2:$B$846,"FORA DO CATÁLOGO")</f>
        <v>CAL008A38</v>
      </c>
      <c r="C140" s="11">
        <v>2</v>
      </c>
      <c r="D140" s="11" t="str">
        <f>_xlfn.XLOOKUP(A140,CATÁLOGO!$A$2:$A$846,CATÁLOGO!$E$2:$E$846,"FORA DO CATÁLOGO")</f>
        <v>Ativo</v>
      </c>
      <c r="E140" s="9"/>
      <c r="F140" s="52">
        <f>SUMIFS('AVARIA PINHEIROS'!$C$2:$C$24,'AVARIA PINHEIROS'!$A$2:$A$24,A140)</f>
        <v>0</v>
      </c>
    </row>
    <row r="141" spans="1:6" x14ac:dyDescent="0.3">
      <c r="A141" s="9" t="s">
        <v>1561</v>
      </c>
      <c r="B141" s="18" t="str">
        <f>_xlfn.XLOOKUP(A141,CATÁLOGO!$A$2:$A$846,CATÁLOGO!$B$2:$B$846,"FORA DO CATÁLOGO")</f>
        <v>CAL008A40</v>
      </c>
      <c r="C141" s="11">
        <v>3</v>
      </c>
      <c r="D141" s="11" t="str">
        <f>_xlfn.XLOOKUP(A141,CATÁLOGO!$A$2:$A$846,CATÁLOGO!$E$2:$E$846,"FORA DO CATÁLOGO")</f>
        <v>Ativo</v>
      </c>
      <c r="E141" s="9"/>
      <c r="F141" s="52">
        <f>SUMIFS('AVARIA PINHEIROS'!$C$2:$C$24,'AVARIA PINHEIROS'!$A$2:$A$24,A141)</f>
        <v>0</v>
      </c>
    </row>
    <row r="142" spans="1:6" x14ac:dyDescent="0.3">
      <c r="A142" s="9" t="s">
        <v>1558</v>
      </c>
      <c r="B142" s="18" t="str">
        <f>_xlfn.XLOOKUP(A142,CATÁLOGO!$A$2:$A$846,CATÁLOGO!$B$2:$B$846,"FORA DO CATÁLOGO")</f>
        <v>CAL008A42</v>
      </c>
      <c r="C142" s="11">
        <v>1</v>
      </c>
      <c r="D142" s="11" t="str">
        <f>_xlfn.XLOOKUP(A142,CATÁLOGO!$A$2:$A$846,CATÁLOGO!$E$2:$E$846,"FORA DO CATÁLOGO")</f>
        <v>Ativo</v>
      </c>
      <c r="E142" s="9"/>
      <c r="F142" s="52">
        <f>SUMIFS('AVARIA PINHEIROS'!$C$2:$C$24,'AVARIA PINHEIROS'!$A$2:$A$24,A142)</f>
        <v>0</v>
      </c>
    </row>
    <row r="143" spans="1:6" x14ac:dyDescent="0.3">
      <c r="A143" s="9" t="s">
        <v>1560</v>
      </c>
      <c r="B143" s="18" t="str">
        <f>_xlfn.XLOOKUP(A143,CATÁLOGO!$A$2:$A$846,CATÁLOGO!$B$2:$B$846,"FORA DO CATÁLOGO")</f>
        <v>CAL008A44</v>
      </c>
      <c r="C143" s="11">
        <v>1</v>
      </c>
      <c r="D143" s="11" t="str">
        <f>_xlfn.XLOOKUP(A143,CATÁLOGO!$A$2:$A$846,CATÁLOGO!$E$2:$E$846,"FORA DO CATÁLOGO")</f>
        <v>Ativo</v>
      </c>
      <c r="E143" s="9"/>
      <c r="F143" s="52">
        <f>SUMIFS('AVARIA PINHEIROS'!$C$2:$C$24,'AVARIA PINHEIROS'!$A$2:$A$24,A143)</f>
        <v>0</v>
      </c>
    </row>
    <row r="144" spans="1:6" x14ac:dyDescent="0.3">
      <c r="A144" s="9" t="s">
        <v>1570</v>
      </c>
      <c r="B144" s="18" t="str">
        <f>_xlfn.XLOOKUP(A144,CATÁLOGO!$A$2:$A$846,CATÁLOGO!$B$2:$B$846,"FORA DO CATÁLOGO")</f>
        <v>CAL008O38</v>
      </c>
      <c r="C144" s="11">
        <v>2</v>
      </c>
      <c r="D144" s="11" t="str">
        <f>_xlfn.XLOOKUP(A144,CATÁLOGO!$A$2:$A$846,CATÁLOGO!$E$2:$E$846,"FORA DO CATÁLOGO")</f>
        <v>Ativo</v>
      </c>
      <c r="E144" s="9"/>
      <c r="F144" s="52">
        <f>SUMIFS('AVARIA PINHEIROS'!$C$2:$C$24,'AVARIA PINHEIROS'!$A$2:$A$24,A144)</f>
        <v>0</v>
      </c>
    </row>
    <row r="145" spans="1:6" x14ac:dyDescent="0.3">
      <c r="A145" s="9" t="s">
        <v>1569</v>
      </c>
      <c r="B145" s="18" t="str">
        <f>_xlfn.XLOOKUP(A145,CATÁLOGO!$A$2:$A$846,CATÁLOGO!$B$2:$B$846,"FORA DO CATÁLOGO")</f>
        <v>CAL008O40</v>
      </c>
      <c r="C145" s="11">
        <v>3</v>
      </c>
      <c r="D145" s="11" t="str">
        <f>_xlfn.XLOOKUP(A145,CATÁLOGO!$A$2:$A$846,CATÁLOGO!$E$2:$E$846,"FORA DO CATÁLOGO")</f>
        <v>Ativo</v>
      </c>
      <c r="E145" s="9"/>
      <c r="F145" s="52">
        <f>SUMIFS('AVARIA PINHEIROS'!$C$2:$C$24,'AVARIA PINHEIROS'!$A$2:$A$24,A145)</f>
        <v>0</v>
      </c>
    </row>
    <row r="146" spans="1:6" x14ac:dyDescent="0.3">
      <c r="A146" s="9" t="s">
        <v>1567</v>
      </c>
      <c r="B146" s="18" t="str">
        <f>_xlfn.XLOOKUP(A146,CATÁLOGO!$A$2:$A$846,CATÁLOGO!$B$2:$B$846,"FORA DO CATÁLOGO")</f>
        <v>CAL008O42</v>
      </c>
      <c r="C146" s="11">
        <v>2</v>
      </c>
      <c r="D146" s="11" t="str">
        <f>_xlfn.XLOOKUP(A146,CATÁLOGO!$A$2:$A$846,CATÁLOGO!$E$2:$E$846,"FORA DO CATÁLOGO")</f>
        <v>Ativo</v>
      </c>
      <c r="E146" s="9" t="s">
        <v>23</v>
      </c>
      <c r="F146" s="52">
        <f>SUMIFS('AVARIA PINHEIROS'!$C$2:$C$24,'AVARIA PINHEIROS'!$A$2:$A$24,A146)</f>
        <v>0</v>
      </c>
    </row>
    <row r="147" spans="1:6" x14ac:dyDescent="0.3">
      <c r="A147" s="9" t="s">
        <v>1568</v>
      </c>
      <c r="B147" s="18" t="str">
        <f>_xlfn.XLOOKUP(A147,CATÁLOGO!$A$2:$A$846,CATÁLOGO!$B$2:$B$846,"FORA DO CATÁLOGO")</f>
        <v>CAL008O44</v>
      </c>
      <c r="C147" s="11">
        <v>1</v>
      </c>
      <c r="D147" s="11" t="str">
        <f>_xlfn.XLOOKUP(A147,CATÁLOGO!$A$2:$A$846,CATÁLOGO!$E$2:$E$846,"FORA DO CATÁLOGO")</f>
        <v>Ativo</v>
      </c>
      <c r="E147" s="9"/>
      <c r="F147" s="52">
        <f>SUMIFS('AVARIA PINHEIROS'!$C$2:$C$24,'AVARIA PINHEIROS'!$A$2:$A$24,A147)</f>
        <v>0</v>
      </c>
    </row>
    <row r="148" spans="1:6" x14ac:dyDescent="0.3">
      <c r="A148" s="9" t="s">
        <v>1576</v>
      </c>
      <c r="B148" s="18" t="str">
        <f>_xlfn.XLOOKUP(A148,CATÁLOGO!$A$2:$A$846,CATÁLOGO!$B$2:$B$846,"FORA DO CATÁLOGO")</f>
        <v>CAL009O36</v>
      </c>
      <c r="C148" s="11">
        <v>4</v>
      </c>
      <c r="D148" s="11" t="str">
        <f>_xlfn.XLOOKUP(A148,CATÁLOGO!$A$2:$A$846,CATÁLOGO!$E$2:$E$846,"FORA DO CATÁLOGO")</f>
        <v>Ativo</v>
      </c>
      <c r="E148" s="9"/>
      <c r="F148" s="52">
        <f>SUMIFS('AVARIA PINHEIROS'!$C$2:$C$24,'AVARIA PINHEIROS'!$A$2:$A$24,A148)</f>
        <v>0</v>
      </c>
    </row>
    <row r="149" spans="1:6" x14ac:dyDescent="0.3">
      <c r="A149" s="9" t="s">
        <v>1575</v>
      </c>
      <c r="B149" s="18" t="str">
        <f>_xlfn.XLOOKUP(A149,CATÁLOGO!$A$2:$A$846,CATÁLOGO!$B$2:$B$846,"FORA DO CATÁLOGO")</f>
        <v>CAL009O38</v>
      </c>
      <c r="C149" s="11">
        <v>6</v>
      </c>
      <c r="D149" s="11" t="str">
        <f>_xlfn.XLOOKUP(A149,CATÁLOGO!$A$2:$A$846,CATÁLOGO!$E$2:$E$846,"FORA DO CATÁLOGO")</f>
        <v>Ativo</v>
      </c>
      <c r="E149" s="9"/>
      <c r="F149" s="52">
        <f>SUMIFS('AVARIA PINHEIROS'!$C$2:$C$24,'AVARIA PINHEIROS'!$A$2:$A$24,A149)</f>
        <v>0</v>
      </c>
    </row>
    <row r="150" spans="1:6" x14ac:dyDescent="0.3">
      <c r="A150" s="9" t="s">
        <v>1574</v>
      </c>
      <c r="B150" s="18" t="str">
        <f>_xlfn.XLOOKUP(A150,CATÁLOGO!$A$2:$A$846,CATÁLOGO!$B$2:$B$846,"FORA DO CATÁLOGO")</f>
        <v>CAL009O40</v>
      </c>
      <c r="C150" s="11">
        <v>6</v>
      </c>
      <c r="D150" s="11" t="str">
        <f>_xlfn.XLOOKUP(A150,CATÁLOGO!$A$2:$A$846,CATÁLOGO!$E$2:$E$846,"FORA DO CATÁLOGO")</f>
        <v>Ativo</v>
      </c>
      <c r="E150" s="9"/>
      <c r="F150" s="52">
        <f>SUMIFS('AVARIA PINHEIROS'!$C$2:$C$24,'AVARIA PINHEIROS'!$A$2:$A$24,A150)</f>
        <v>0</v>
      </c>
    </row>
    <row r="151" spans="1:6" x14ac:dyDescent="0.3">
      <c r="A151" s="9" t="s">
        <v>1571</v>
      </c>
      <c r="B151" s="18" t="str">
        <f>_xlfn.XLOOKUP(A151,CATÁLOGO!$A$2:$A$846,CATÁLOGO!$B$2:$B$846,"FORA DO CATÁLOGO")</f>
        <v>CAL009O42</v>
      </c>
      <c r="C151" s="11">
        <v>6</v>
      </c>
      <c r="D151" s="11" t="str">
        <f>_xlfn.XLOOKUP(A151,CATÁLOGO!$A$2:$A$846,CATÁLOGO!$E$2:$E$846,"FORA DO CATÁLOGO")</f>
        <v>Ativo</v>
      </c>
      <c r="E151" s="9"/>
      <c r="F151" s="52">
        <f>SUMIFS('AVARIA PINHEIROS'!$C$2:$C$24,'AVARIA PINHEIROS'!$A$2:$A$24,A151)</f>
        <v>0</v>
      </c>
    </row>
    <row r="152" spans="1:6" x14ac:dyDescent="0.3">
      <c r="A152" s="9" t="s">
        <v>1573</v>
      </c>
      <c r="B152" s="18" t="str">
        <f>_xlfn.XLOOKUP(A152,CATÁLOGO!$A$2:$A$846,CATÁLOGO!$B$2:$B$846,"FORA DO CATÁLOGO")</f>
        <v>CAL009O44</v>
      </c>
      <c r="C152" s="11">
        <v>4</v>
      </c>
      <c r="D152" s="11" t="str">
        <f>_xlfn.XLOOKUP(A152,CATÁLOGO!$A$2:$A$846,CATÁLOGO!$E$2:$E$846,"FORA DO CATÁLOGO")</f>
        <v>Ativo</v>
      </c>
      <c r="E152" s="9"/>
      <c r="F152" s="52">
        <f>SUMIFS('AVARIA PINHEIROS'!$C$2:$C$24,'AVARIA PINHEIROS'!$A$2:$A$24,A152)</f>
        <v>0</v>
      </c>
    </row>
    <row r="153" spans="1:6" x14ac:dyDescent="0.3">
      <c r="A153" s="9" t="s">
        <v>1468</v>
      </c>
      <c r="B153" s="18" t="str">
        <f>_xlfn.XLOOKUP(A153,CATÁLOGO!$A$2:$A$846,CATÁLOGO!$B$2:$B$846,"FORA DO CATÁLOGO")</f>
        <v>BER004E36</v>
      </c>
      <c r="C153" s="11">
        <v>3</v>
      </c>
      <c r="D153" s="11" t="str">
        <f>_xlfn.XLOOKUP(A153,CATÁLOGO!$A$2:$A$846,CATÁLOGO!$E$2:$E$846,"FORA DO CATÁLOGO")</f>
        <v>Ativo</v>
      </c>
      <c r="E153" s="9"/>
      <c r="F153" s="52">
        <f>SUMIFS('AVARIA PINHEIROS'!$C$2:$C$24,'AVARIA PINHEIROS'!$A$2:$A$24,A153)</f>
        <v>0</v>
      </c>
    </row>
    <row r="154" spans="1:6" x14ac:dyDescent="0.3">
      <c r="A154" s="9" t="s">
        <v>1467</v>
      </c>
      <c r="B154" s="18" t="str">
        <f>_xlfn.XLOOKUP(A154,CATÁLOGO!$A$2:$A$846,CATÁLOGO!$B$2:$B$846,"FORA DO CATÁLOGO")</f>
        <v>BER004E38</v>
      </c>
      <c r="C154" s="11">
        <v>6</v>
      </c>
      <c r="D154" s="11" t="str">
        <f>_xlfn.XLOOKUP(A154,CATÁLOGO!$A$2:$A$846,CATÁLOGO!$E$2:$E$846,"FORA DO CATÁLOGO")</f>
        <v>Ativo</v>
      </c>
      <c r="E154" s="9"/>
      <c r="F154" s="52">
        <f>SUMIFS('AVARIA PINHEIROS'!$C$2:$C$24,'AVARIA PINHEIROS'!$A$2:$A$24,A154)</f>
        <v>0</v>
      </c>
    </row>
    <row r="155" spans="1:6" x14ac:dyDescent="0.3">
      <c r="A155" s="9" t="s">
        <v>1466</v>
      </c>
      <c r="B155" s="18" t="str">
        <f>_xlfn.XLOOKUP(A155,CATÁLOGO!$A$2:$A$846,CATÁLOGO!$B$2:$B$846,"FORA DO CATÁLOGO")</f>
        <v>BER004E40</v>
      </c>
      <c r="C155" s="11">
        <v>5</v>
      </c>
      <c r="D155" s="11" t="str">
        <f>_xlfn.XLOOKUP(A155,CATÁLOGO!$A$2:$A$846,CATÁLOGO!$E$2:$E$846,"FORA DO CATÁLOGO")</f>
        <v>Ativo</v>
      </c>
      <c r="E155" s="9"/>
      <c r="F155" s="52">
        <f>SUMIFS('AVARIA PINHEIROS'!$C$2:$C$24,'AVARIA PINHEIROS'!$A$2:$A$24,A155)</f>
        <v>0</v>
      </c>
    </row>
    <row r="156" spans="1:6" x14ac:dyDescent="0.3">
      <c r="A156" s="9" t="s">
        <v>1463</v>
      </c>
      <c r="B156" s="18" t="str">
        <f>_xlfn.XLOOKUP(A156,CATÁLOGO!$A$2:$A$846,CATÁLOGO!$B$2:$B$846,"FORA DO CATÁLOGO")</f>
        <v>BER004E42</v>
      </c>
      <c r="C156" s="11">
        <v>5</v>
      </c>
      <c r="D156" s="11" t="str">
        <f>_xlfn.XLOOKUP(A156,CATÁLOGO!$A$2:$A$846,CATÁLOGO!$E$2:$E$846,"FORA DO CATÁLOGO")</f>
        <v>Ativo</v>
      </c>
      <c r="E156" s="9"/>
      <c r="F156" s="52">
        <f>SUMIFS('AVARIA PINHEIROS'!$C$2:$C$24,'AVARIA PINHEIROS'!$A$2:$A$24,A156)</f>
        <v>0</v>
      </c>
    </row>
    <row r="157" spans="1:6" x14ac:dyDescent="0.3">
      <c r="A157" s="9" t="s">
        <v>1465</v>
      </c>
      <c r="B157" s="18" t="str">
        <f>_xlfn.XLOOKUP(A157,CATÁLOGO!$A$2:$A$846,CATÁLOGO!$B$2:$B$846,"FORA DO CATÁLOGO")</f>
        <v>BER004E44</v>
      </c>
      <c r="C157" s="11">
        <v>2</v>
      </c>
      <c r="D157" s="11" t="str">
        <f>_xlfn.XLOOKUP(A157,CATÁLOGO!$A$2:$A$846,CATÁLOGO!$E$2:$E$846,"FORA DO CATÁLOGO")</f>
        <v>Ativo</v>
      </c>
      <c r="E157" s="9"/>
      <c r="F157" s="52">
        <f>SUMIFS('AVARIA PINHEIROS'!$C$2:$C$24,'AVARIA PINHEIROS'!$A$2:$A$24,A157)</f>
        <v>0</v>
      </c>
    </row>
    <row r="158" spans="1:6" x14ac:dyDescent="0.3">
      <c r="A158" s="9" t="s">
        <v>97</v>
      </c>
      <c r="B158" s="18" t="str">
        <f>_xlfn.XLOOKUP(A158,CATÁLOGO!$A$2:$A$846,CATÁLOGO!$B$2:$B$846,"FORA DO CATÁLOGO")</f>
        <v>CMS004AP</v>
      </c>
      <c r="C158" s="11">
        <v>1</v>
      </c>
      <c r="D158" s="11" t="str">
        <f>_xlfn.XLOOKUP(A158,CATÁLOGO!$A$2:$A$846,CATÁLOGO!$E$2:$E$846,"FORA DO CATÁLOGO")</f>
        <v>Descontinuado</v>
      </c>
      <c r="E158" s="9"/>
      <c r="F158" s="52">
        <f>SUMIFS('AVARIA PINHEIROS'!$C$2:$C$24,'AVARIA PINHEIROS'!$A$2:$A$24,A158)</f>
        <v>0</v>
      </c>
    </row>
    <row r="159" spans="1:6" x14ac:dyDescent="0.3">
      <c r="A159" s="9" t="s">
        <v>98</v>
      </c>
      <c r="B159" s="18" t="str">
        <f>_xlfn.XLOOKUP(A159,CATÁLOGO!$A$2:$A$846,CATÁLOGO!$B$2:$B$846,"FORA DO CATÁLOGO")</f>
        <v>CMS004AM</v>
      </c>
      <c r="C159" s="11">
        <v>3</v>
      </c>
      <c r="D159" s="11" t="str">
        <f>_xlfn.XLOOKUP(A159,CATÁLOGO!$A$2:$A$846,CATÁLOGO!$E$2:$E$846,"FORA DO CATÁLOGO")</f>
        <v>Descontinuado</v>
      </c>
      <c r="E159" s="9"/>
      <c r="F159" s="52">
        <f>SUMIFS('AVARIA PINHEIROS'!$C$2:$C$24,'AVARIA PINHEIROS'!$A$2:$A$24,A159)</f>
        <v>0</v>
      </c>
    </row>
    <row r="160" spans="1:6" x14ac:dyDescent="0.3">
      <c r="A160" s="9" t="s">
        <v>99</v>
      </c>
      <c r="B160" s="18" t="str">
        <f>_xlfn.XLOOKUP(A160,CATÁLOGO!$A$2:$A$846,CATÁLOGO!$B$2:$B$846,"FORA DO CATÁLOGO")</f>
        <v>CMS004AG</v>
      </c>
      <c r="C160" s="11">
        <v>1</v>
      </c>
      <c r="D160" s="11" t="str">
        <f>_xlfn.XLOOKUP(A160,CATÁLOGO!$A$2:$A$846,CATÁLOGO!$E$2:$E$846,"FORA DO CATÁLOGO")</f>
        <v>Descontinuado</v>
      </c>
      <c r="E160" s="9"/>
      <c r="F160" s="52">
        <f>SUMIFS('AVARIA PINHEIROS'!$C$2:$C$24,'AVARIA PINHEIROS'!$A$2:$A$24,A160)</f>
        <v>0</v>
      </c>
    </row>
    <row r="161" spans="1:6" x14ac:dyDescent="0.3">
      <c r="A161" s="9" t="s">
        <v>100</v>
      </c>
      <c r="B161" s="18" t="str">
        <f>_xlfn.XLOOKUP(A161,CATÁLOGO!$A$2:$A$846,CATÁLOGO!$B$2:$B$846,"FORA DO CATÁLOGO")</f>
        <v>CMS004AGG</v>
      </c>
      <c r="C161" s="11">
        <v>1</v>
      </c>
      <c r="D161" s="11" t="str">
        <f>_xlfn.XLOOKUP(A161,CATÁLOGO!$A$2:$A$846,CATÁLOGO!$E$2:$E$846,"FORA DO CATÁLOGO")</f>
        <v>Descontinuado</v>
      </c>
      <c r="E161" s="9"/>
      <c r="F161" s="52">
        <f>SUMIFS('AVARIA PINHEIROS'!$C$2:$C$24,'AVARIA PINHEIROS'!$A$2:$A$24,A161)</f>
        <v>0</v>
      </c>
    </row>
    <row r="162" spans="1:6" x14ac:dyDescent="0.3">
      <c r="A162" s="9" t="s">
        <v>101</v>
      </c>
      <c r="B162" s="18" t="str">
        <f>_xlfn.XLOOKUP(A162,CATÁLOGO!$A$2:$A$846,CATÁLOGO!$B$2:$B$846,"FORA DO CATÁLOGO")</f>
        <v>CMS005BP</v>
      </c>
      <c r="C162" s="11">
        <v>1</v>
      </c>
      <c r="D162" s="11" t="str">
        <f>_xlfn.XLOOKUP(A162,CATÁLOGO!$A$2:$A$846,CATÁLOGO!$E$2:$E$846,"FORA DO CATÁLOGO")</f>
        <v>Descontinuado</v>
      </c>
      <c r="E162" s="9" t="s">
        <v>7</v>
      </c>
      <c r="F162" s="52">
        <f>SUMIFS('AVARIA PINHEIROS'!$C$2:$C$24,'AVARIA PINHEIROS'!$A$2:$A$24,A162)</f>
        <v>0</v>
      </c>
    </row>
    <row r="163" spans="1:6" x14ac:dyDescent="0.3">
      <c r="A163" s="9" t="s">
        <v>102</v>
      </c>
      <c r="B163" s="18" t="str">
        <f>_xlfn.XLOOKUP(A163,CATÁLOGO!$A$2:$A$846,CATÁLOGO!$B$2:$B$846,"FORA DO CATÁLOGO")</f>
        <v>CMS005BGG</v>
      </c>
      <c r="C163" s="11">
        <v>1</v>
      </c>
      <c r="D163" s="11" t="str">
        <f>_xlfn.XLOOKUP(A163,CATÁLOGO!$A$2:$A$846,CATÁLOGO!$E$2:$E$846,"FORA DO CATÁLOGO")</f>
        <v>Descontinuado</v>
      </c>
      <c r="E163" s="9"/>
      <c r="F163" s="52">
        <f>SUMIFS('AVARIA PINHEIROS'!$C$2:$C$24,'AVARIA PINHEIROS'!$A$2:$A$24,A163)</f>
        <v>0</v>
      </c>
    </row>
    <row r="164" spans="1:6" x14ac:dyDescent="0.3">
      <c r="A164" s="9" t="s">
        <v>1582</v>
      </c>
      <c r="B164" s="18" t="str">
        <f>_xlfn.XLOOKUP(A164,CATÁLOGO!$A$2:$A$846,CATÁLOGO!$B$2:$B$846,"FORA DO CATÁLOGO")</f>
        <v>CAL010M38</v>
      </c>
      <c r="C164" s="11">
        <v>6</v>
      </c>
      <c r="D164" s="11" t="str">
        <f>_xlfn.XLOOKUP(A164,CATÁLOGO!$A$2:$A$846,CATÁLOGO!$E$2:$E$846,"FORA DO CATÁLOGO")</f>
        <v>Ativo</v>
      </c>
      <c r="E164" s="9"/>
      <c r="F164" s="52">
        <f>SUMIFS('AVARIA PINHEIROS'!$C$2:$C$24,'AVARIA PINHEIROS'!$A$2:$A$24,A164)</f>
        <v>0</v>
      </c>
    </row>
    <row r="165" spans="1:6" x14ac:dyDescent="0.3">
      <c r="A165" s="9" t="s">
        <v>1580</v>
      </c>
      <c r="B165" s="18" t="str">
        <f>_xlfn.XLOOKUP(A165,CATÁLOGO!$A$2:$A$846,CATÁLOGO!$B$2:$B$846,"FORA DO CATÁLOGO")</f>
        <v>CAL010M40</v>
      </c>
      <c r="C165" s="11">
        <v>6</v>
      </c>
      <c r="D165" s="11" t="str">
        <f>_xlfn.XLOOKUP(A165,CATÁLOGO!$A$2:$A$846,CATÁLOGO!$E$2:$E$846,"FORA DO CATÁLOGO")</f>
        <v>Ativo</v>
      </c>
      <c r="E165" s="9"/>
      <c r="F165" s="52">
        <f>SUMIFS('AVARIA PINHEIROS'!$C$2:$C$24,'AVARIA PINHEIROS'!$A$2:$A$24,A165)</f>
        <v>0</v>
      </c>
    </row>
    <row r="166" spans="1:6" x14ac:dyDescent="0.3">
      <c r="A166" s="9" t="s">
        <v>1577</v>
      </c>
      <c r="B166" s="18" t="str">
        <f>_xlfn.XLOOKUP(A166,CATÁLOGO!$A$2:$A$846,CATÁLOGO!$B$2:$B$846,"FORA DO CATÁLOGO")</f>
        <v>CAL010M42</v>
      </c>
      <c r="C166" s="11">
        <v>6</v>
      </c>
      <c r="D166" s="11" t="str">
        <f>_xlfn.XLOOKUP(A166,CATÁLOGO!$A$2:$A$846,CATÁLOGO!$E$2:$E$846,"FORA DO CATÁLOGO")</f>
        <v>Ativo</v>
      </c>
      <c r="E166" s="9"/>
      <c r="F166" s="52">
        <f>SUMIFS('AVARIA PINHEIROS'!$C$2:$C$24,'AVARIA PINHEIROS'!$A$2:$A$24,A166)</f>
        <v>0</v>
      </c>
    </row>
    <row r="167" spans="1:6" x14ac:dyDescent="0.3">
      <c r="A167" s="9" t="s">
        <v>1579</v>
      </c>
      <c r="B167" s="18" t="str">
        <f>_xlfn.XLOOKUP(A167,CATÁLOGO!$A$2:$A$846,CATÁLOGO!$B$2:$B$846,"FORA DO CATÁLOGO")</f>
        <v>CAL010M44</v>
      </c>
      <c r="C167" s="11">
        <v>4</v>
      </c>
      <c r="D167" s="11" t="str">
        <f>_xlfn.XLOOKUP(A167,CATÁLOGO!$A$2:$A$846,CATÁLOGO!$E$2:$E$846,"FORA DO CATÁLOGO")</f>
        <v>Ativo</v>
      </c>
      <c r="E167" s="9"/>
      <c r="F167" s="52">
        <f>SUMIFS('AVARIA PINHEIROS'!$C$2:$C$24,'AVARIA PINHEIROS'!$A$2:$A$24,A167)</f>
        <v>0</v>
      </c>
    </row>
    <row r="168" spans="1:6" x14ac:dyDescent="0.3">
      <c r="A168" s="9" t="s">
        <v>103</v>
      </c>
      <c r="B168" s="18" t="str">
        <f>_xlfn.XLOOKUP(A168,CATÁLOGO!$A$2:$A$846,CATÁLOGO!$B$2:$B$846,"FORA DO CATÁLOGO")</f>
        <v>MOL006YP</v>
      </c>
      <c r="C168" s="11">
        <v>0</v>
      </c>
      <c r="D168" s="11" t="str">
        <f>_xlfn.XLOOKUP(A168,CATÁLOGO!$A$2:$A$846,CATÁLOGO!$E$2:$E$846,"FORA DO CATÁLOGO")</f>
        <v>Descontinuado</v>
      </c>
      <c r="E168" s="9"/>
      <c r="F168" s="52">
        <f>SUMIFS('AVARIA PINHEIROS'!$C$2:$C$24,'AVARIA PINHEIROS'!$A$2:$A$24,A168)</f>
        <v>0</v>
      </c>
    </row>
    <row r="169" spans="1:6" x14ac:dyDescent="0.3">
      <c r="A169" s="9" t="s">
        <v>104</v>
      </c>
      <c r="B169" s="18" t="str">
        <f>_xlfn.XLOOKUP(A169,CATÁLOGO!$A$2:$A$846,CATÁLOGO!$B$2:$B$846,"FORA DO CATÁLOGO")</f>
        <v>MOL006YM</v>
      </c>
      <c r="C169" s="11">
        <v>4</v>
      </c>
      <c r="D169" s="11" t="str">
        <f>_xlfn.XLOOKUP(A169,CATÁLOGO!$A$2:$A$846,CATÁLOGO!$E$2:$E$846,"FORA DO CATÁLOGO")</f>
        <v>Descontinuado</v>
      </c>
      <c r="E169" s="9"/>
      <c r="F169" s="52">
        <f>SUMIFS('AVARIA PINHEIROS'!$C$2:$C$24,'AVARIA PINHEIROS'!$A$2:$A$24,A169)</f>
        <v>0</v>
      </c>
    </row>
    <row r="170" spans="1:6" x14ac:dyDescent="0.3">
      <c r="A170" s="9" t="s">
        <v>105</v>
      </c>
      <c r="B170" s="18" t="str">
        <f>_xlfn.XLOOKUP(A170,CATÁLOGO!$A$2:$A$846,CATÁLOGO!$B$2:$B$846,"FORA DO CATÁLOGO")</f>
        <v>MOL006YG</v>
      </c>
      <c r="C170" s="11">
        <v>2</v>
      </c>
      <c r="D170" s="11" t="str">
        <f>_xlfn.XLOOKUP(A170,CATÁLOGO!$A$2:$A$846,CATÁLOGO!$E$2:$E$846,"FORA DO CATÁLOGO")</f>
        <v>Descontinuado</v>
      </c>
      <c r="E170" s="9"/>
      <c r="F170" s="52">
        <f>SUMIFS('AVARIA PINHEIROS'!$C$2:$C$24,'AVARIA PINHEIROS'!$A$2:$A$24,A170)</f>
        <v>0</v>
      </c>
    </row>
    <row r="171" spans="1:6" x14ac:dyDescent="0.3">
      <c r="A171" s="9" t="s">
        <v>106</v>
      </c>
      <c r="B171" s="18" t="str">
        <f>_xlfn.XLOOKUP(A171,CATÁLOGO!$A$2:$A$846,CATÁLOGO!$B$2:$B$846,"FORA DO CATÁLOGO")</f>
        <v>MOL006YGG</v>
      </c>
      <c r="C171" s="11">
        <v>1</v>
      </c>
      <c r="D171" s="11" t="str">
        <f>_xlfn.XLOOKUP(A171,CATÁLOGO!$A$2:$A$846,CATÁLOGO!$E$2:$E$846,"FORA DO CATÁLOGO")</f>
        <v>Descontinuado</v>
      </c>
      <c r="E171" s="9"/>
      <c r="F171" s="52">
        <f>SUMIFS('AVARIA PINHEIROS'!$C$2:$C$24,'AVARIA PINHEIROS'!$A$2:$A$24,A171)</f>
        <v>0</v>
      </c>
    </row>
    <row r="172" spans="1:6" x14ac:dyDescent="0.3">
      <c r="A172" s="9" t="s">
        <v>107</v>
      </c>
      <c r="B172" s="18" t="str">
        <f>_xlfn.XLOOKUP(A172,CATÁLOGO!$A$2:$A$846,CATÁLOGO!$B$2:$B$846,"FORA DO CATÁLOGO")</f>
        <v>VES001AP</v>
      </c>
      <c r="C172" s="11">
        <v>3</v>
      </c>
      <c r="D172" s="11" t="str">
        <f>_xlfn.XLOOKUP(A172,CATÁLOGO!$A$2:$A$846,CATÁLOGO!$E$2:$E$846,"FORA DO CATÁLOGO")</f>
        <v>Descontinuado</v>
      </c>
      <c r="E172" s="9" t="s">
        <v>23</v>
      </c>
      <c r="F172" s="52">
        <f>SUMIFS('AVARIA PINHEIROS'!$C$2:$C$24,'AVARIA PINHEIROS'!$A$2:$A$24,A172)</f>
        <v>0</v>
      </c>
    </row>
    <row r="173" spans="1:6" x14ac:dyDescent="0.3">
      <c r="A173" s="9" t="s">
        <v>108</v>
      </c>
      <c r="B173" s="18" t="str">
        <f>_xlfn.XLOOKUP(A173,CATÁLOGO!$A$2:$A$846,CATÁLOGO!$B$2:$B$846,"FORA DO CATÁLOGO")</f>
        <v>VES001AM</v>
      </c>
      <c r="C173" s="11">
        <v>3</v>
      </c>
      <c r="D173" s="11" t="str">
        <f>_xlfn.XLOOKUP(A173,CATÁLOGO!$A$2:$A$846,CATÁLOGO!$E$2:$E$846,"FORA DO CATÁLOGO")</f>
        <v>Descontinuado</v>
      </c>
      <c r="E173" s="9"/>
      <c r="F173" s="52">
        <f>SUMIFS('AVARIA PINHEIROS'!$C$2:$C$24,'AVARIA PINHEIROS'!$A$2:$A$24,A173)</f>
        <v>0</v>
      </c>
    </row>
    <row r="174" spans="1:6" x14ac:dyDescent="0.3">
      <c r="A174" s="9" t="s">
        <v>109</v>
      </c>
      <c r="B174" s="18" t="str">
        <f>_xlfn.XLOOKUP(A174,CATÁLOGO!$A$2:$A$846,CATÁLOGO!$B$2:$B$846,"FORA DO CATÁLOGO")</f>
        <v>VES001AG</v>
      </c>
      <c r="C174" s="11">
        <v>3</v>
      </c>
      <c r="D174" s="11" t="str">
        <f>_xlfn.XLOOKUP(A174,CATÁLOGO!$A$2:$A$846,CATÁLOGO!$E$2:$E$846,"FORA DO CATÁLOGO")</f>
        <v>Descontinuado</v>
      </c>
      <c r="E174" s="9"/>
      <c r="F174" s="52">
        <f>SUMIFS('AVARIA PINHEIROS'!$C$2:$C$24,'AVARIA PINHEIROS'!$A$2:$A$24,A174)</f>
        <v>0</v>
      </c>
    </row>
    <row r="175" spans="1:6" x14ac:dyDescent="0.3">
      <c r="A175" s="9" t="s">
        <v>110</v>
      </c>
      <c r="B175" s="18" t="str">
        <f>_xlfn.XLOOKUP(A175,CATÁLOGO!$A$2:$A$846,CATÁLOGO!$B$2:$B$846,"FORA DO CATÁLOGO")</f>
        <v>VES001AGG</v>
      </c>
      <c r="C175" s="11">
        <v>1</v>
      </c>
      <c r="D175" s="11" t="str">
        <f>_xlfn.XLOOKUP(A175,CATÁLOGO!$A$2:$A$846,CATÁLOGO!$E$2:$E$846,"FORA DO CATÁLOGO")</f>
        <v>Descontinuado</v>
      </c>
      <c r="E175" s="9"/>
      <c r="F175" s="52">
        <f>SUMIFS('AVARIA PINHEIROS'!$C$2:$C$24,'AVARIA PINHEIROS'!$A$2:$A$24,A175)</f>
        <v>0</v>
      </c>
    </row>
    <row r="176" spans="1:6" x14ac:dyDescent="0.3">
      <c r="A176" s="9" t="s">
        <v>111</v>
      </c>
      <c r="B176" s="18" t="str">
        <f>_xlfn.XLOOKUP(A176,CATÁLOGO!$A$2:$A$846,CATÁLOGO!$B$2:$B$846,"FORA DO CATÁLOGO")</f>
        <v>SAI003OP</v>
      </c>
      <c r="C176" s="11">
        <v>4</v>
      </c>
      <c r="D176" s="11" t="str">
        <f>_xlfn.XLOOKUP(A176,CATÁLOGO!$A$2:$A$846,CATÁLOGO!$E$2:$E$846,"FORA DO CATÁLOGO")</f>
        <v>Ativo</v>
      </c>
      <c r="E176" s="9"/>
      <c r="F176" s="52">
        <f>SUMIFS('AVARIA PINHEIROS'!$C$2:$C$24,'AVARIA PINHEIROS'!$A$2:$A$24,A176)</f>
        <v>0</v>
      </c>
    </row>
    <row r="177" spans="1:6" x14ac:dyDescent="0.3">
      <c r="A177" s="9" t="s">
        <v>112</v>
      </c>
      <c r="B177" s="18" t="str">
        <f>_xlfn.XLOOKUP(A177,CATÁLOGO!$A$2:$A$846,CATÁLOGO!$B$2:$B$846,"FORA DO CATÁLOGO")</f>
        <v>SAI003OM</v>
      </c>
      <c r="C177" s="11">
        <v>5</v>
      </c>
      <c r="D177" s="11" t="str">
        <f>_xlfn.XLOOKUP(A177,CATÁLOGO!$A$2:$A$846,CATÁLOGO!$E$2:$E$846,"FORA DO CATÁLOGO")</f>
        <v>Ativo</v>
      </c>
      <c r="E177" s="9"/>
      <c r="F177" s="52">
        <f>SUMIFS('AVARIA PINHEIROS'!$C$2:$C$24,'AVARIA PINHEIROS'!$A$2:$A$24,A177)</f>
        <v>0</v>
      </c>
    </row>
    <row r="178" spans="1:6" x14ac:dyDescent="0.3">
      <c r="A178" s="9" t="s">
        <v>113</v>
      </c>
      <c r="B178" s="18" t="str">
        <f>_xlfn.XLOOKUP(A178,CATÁLOGO!$A$2:$A$846,CATÁLOGO!$B$2:$B$846,"FORA DO CATÁLOGO")</f>
        <v>SAI003OG</v>
      </c>
      <c r="C178" s="11">
        <v>3</v>
      </c>
      <c r="D178" s="11" t="str">
        <f>_xlfn.XLOOKUP(A178,CATÁLOGO!$A$2:$A$846,CATÁLOGO!$E$2:$E$846,"FORA DO CATÁLOGO")</f>
        <v>Ativo</v>
      </c>
      <c r="E178" s="9"/>
      <c r="F178" s="52">
        <f>SUMIFS('AVARIA PINHEIROS'!$C$2:$C$24,'AVARIA PINHEIROS'!$A$2:$A$24,A178)</f>
        <v>0</v>
      </c>
    </row>
    <row r="179" spans="1:6" x14ac:dyDescent="0.3">
      <c r="A179" s="9" t="s">
        <v>114</v>
      </c>
      <c r="B179" s="18" t="str">
        <f>_xlfn.XLOOKUP(A179,CATÁLOGO!$A$2:$A$846,CATÁLOGO!$B$2:$B$846,"FORA DO CATÁLOGO")</f>
        <v>SAI003OGG</v>
      </c>
      <c r="C179" s="11">
        <v>2</v>
      </c>
      <c r="D179" s="11" t="str">
        <f>_xlfn.XLOOKUP(A179,CATÁLOGO!$A$2:$A$846,CATÁLOGO!$E$2:$E$846,"FORA DO CATÁLOGO")</f>
        <v>Ativo</v>
      </c>
      <c r="E179" s="9"/>
      <c r="F179" s="52">
        <f>SUMIFS('AVARIA PINHEIROS'!$C$2:$C$24,'AVARIA PINHEIROS'!$A$2:$A$24,A179)</f>
        <v>0</v>
      </c>
    </row>
    <row r="180" spans="1:6" x14ac:dyDescent="0.3">
      <c r="A180" s="9" t="s">
        <v>115</v>
      </c>
      <c r="B180" s="18" t="str">
        <f>_xlfn.XLOOKUP(A180,CATÁLOGO!$A$2:$A$846,CATÁLOGO!$B$2:$B$846,"FORA DO CATÁLOGO")</f>
        <v>SAI004MP</v>
      </c>
      <c r="C180" s="11">
        <v>6</v>
      </c>
      <c r="D180" s="11" t="str">
        <f>_xlfn.XLOOKUP(A180,CATÁLOGO!$A$2:$A$846,CATÁLOGO!$E$2:$E$846,"FORA DO CATÁLOGO")</f>
        <v>Ativo</v>
      </c>
      <c r="E180" s="9"/>
      <c r="F180" s="52">
        <f>SUMIFS('AVARIA PINHEIROS'!$C$2:$C$24,'AVARIA PINHEIROS'!$A$2:$A$24,A180)</f>
        <v>0</v>
      </c>
    </row>
    <row r="181" spans="1:6" x14ac:dyDescent="0.3">
      <c r="A181" s="9" t="s">
        <v>116</v>
      </c>
      <c r="B181" s="18" t="str">
        <f>_xlfn.XLOOKUP(A181,CATÁLOGO!$A$2:$A$846,CATÁLOGO!$B$2:$B$846,"FORA DO CATÁLOGO")</f>
        <v>SAI004MM</v>
      </c>
      <c r="C181" s="11">
        <v>6</v>
      </c>
      <c r="D181" s="11" t="str">
        <f>_xlfn.XLOOKUP(A181,CATÁLOGO!$A$2:$A$846,CATÁLOGO!$E$2:$E$846,"FORA DO CATÁLOGO")</f>
        <v>Ativo</v>
      </c>
      <c r="E181" s="9"/>
      <c r="F181" s="52">
        <f>SUMIFS('AVARIA PINHEIROS'!$C$2:$C$24,'AVARIA PINHEIROS'!$A$2:$A$24,A181)</f>
        <v>0</v>
      </c>
    </row>
    <row r="182" spans="1:6" x14ac:dyDescent="0.3">
      <c r="A182" s="9" t="s">
        <v>117</v>
      </c>
      <c r="B182" s="18" t="str">
        <f>_xlfn.XLOOKUP(A182,CATÁLOGO!$A$2:$A$846,CATÁLOGO!$B$2:$B$846,"FORA DO CATÁLOGO")</f>
        <v>SAI004MG</v>
      </c>
      <c r="C182" s="11">
        <v>6</v>
      </c>
      <c r="D182" s="11" t="str">
        <f>_xlfn.XLOOKUP(A182,CATÁLOGO!$A$2:$A$846,CATÁLOGO!$E$2:$E$846,"FORA DO CATÁLOGO")</f>
        <v>Ativo</v>
      </c>
      <c r="E182" s="9"/>
      <c r="F182" s="52">
        <f>SUMIFS('AVARIA PINHEIROS'!$C$2:$C$24,'AVARIA PINHEIROS'!$A$2:$A$24,A182)</f>
        <v>0</v>
      </c>
    </row>
    <row r="183" spans="1:6" x14ac:dyDescent="0.3">
      <c r="A183" s="9" t="s">
        <v>118</v>
      </c>
      <c r="B183" s="18" t="str">
        <f>_xlfn.XLOOKUP(A183,CATÁLOGO!$A$2:$A$846,CATÁLOGO!$B$2:$B$846,"FORA DO CATÁLOGO")</f>
        <v>SAI004MGG</v>
      </c>
      <c r="C183" s="11">
        <v>4</v>
      </c>
      <c r="D183" s="11" t="str">
        <f>_xlfn.XLOOKUP(A183,CATÁLOGO!$A$2:$A$846,CATÁLOGO!$E$2:$E$846,"FORA DO CATÁLOGO")</f>
        <v>Ativo</v>
      </c>
      <c r="E183" s="9"/>
      <c r="F183" s="52">
        <f>SUMIFS('AVARIA PINHEIROS'!$C$2:$C$24,'AVARIA PINHEIROS'!$A$2:$A$24,A183)</f>
        <v>0</v>
      </c>
    </row>
    <row r="184" spans="1:6" x14ac:dyDescent="0.3">
      <c r="A184" s="9" t="s">
        <v>119</v>
      </c>
      <c r="B184" s="18" t="str">
        <f>_xlfn.XLOOKUP(A184,CATÁLOGO!$A$2:$A$846,CATÁLOGO!$B$2:$B$846,"FORA DO CATÁLOGO")</f>
        <v>SAI005OP</v>
      </c>
      <c r="C184" s="11">
        <v>5</v>
      </c>
      <c r="D184" s="11" t="str">
        <f>_xlfn.XLOOKUP(A184,CATÁLOGO!$A$2:$A$846,CATÁLOGO!$E$2:$E$846,"FORA DO CATÁLOGO")</f>
        <v>Ativo</v>
      </c>
      <c r="E184" s="9"/>
      <c r="F184" s="52">
        <f>SUMIFS('AVARIA PINHEIROS'!$C$2:$C$24,'AVARIA PINHEIROS'!$A$2:$A$24,A184)</f>
        <v>0</v>
      </c>
    </row>
    <row r="185" spans="1:6" x14ac:dyDescent="0.3">
      <c r="A185" s="9" t="s">
        <v>120</v>
      </c>
      <c r="B185" s="18" t="str">
        <f>_xlfn.XLOOKUP(A185,CATÁLOGO!$A$2:$A$846,CATÁLOGO!$B$2:$B$846,"FORA DO CATÁLOGO")</f>
        <v>SAI005OM</v>
      </c>
      <c r="C185" s="11">
        <v>6</v>
      </c>
      <c r="D185" s="11" t="str">
        <f>_xlfn.XLOOKUP(A185,CATÁLOGO!$A$2:$A$846,CATÁLOGO!$E$2:$E$846,"FORA DO CATÁLOGO")</f>
        <v>Ativo</v>
      </c>
      <c r="E185" s="9"/>
      <c r="F185" s="52">
        <f>SUMIFS('AVARIA PINHEIROS'!$C$2:$C$24,'AVARIA PINHEIROS'!$A$2:$A$24,A185)</f>
        <v>0</v>
      </c>
    </row>
    <row r="186" spans="1:6" x14ac:dyDescent="0.3">
      <c r="A186" s="9" t="s">
        <v>121</v>
      </c>
      <c r="B186" s="18" t="str">
        <f>_xlfn.XLOOKUP(A186,CATÁLOGO!$A$2:$A$846,CATÁLOGO!$B$2:$B$846,"FORA DO CATÁLOGO")</f>
        <v>SAI005OG</v>
      </c>
      <c r="C186" s="11">
        <v>6</v>
      </c>
      <c r="D186" s="11" t="str">
        <f>_xlfn.XLOOKUP(A186,CATÁLOGO!$A$2:$A$846,CATÁLOGO!$E$2:$E$846,"FORA DO CATÁLOGO")</f>
        <v>Ativo</v>
      </c>
      <c r="E186" s="9"/>
      <c r="F186" s="52">
        <f>SUMIFS('AVARIA PINHEIROS'!$C$2:$C$24,'AVARIA PINHEIROS'!$A$2:$A$24,A186)</f>
        <v>0</v>
      </c>
    </row>
    <row r="187" spans="1:6" x14ac:dyDescent="0.3">
      <c r="A187" s="9" t="s">
        <v>122</v>
      </c>
      <c r="B187" s="18" t="str">
        <f>_xlfn.XLOOKUP(A187,CATÁLOGO!$A$2:$A$846,CATÁLOGO!$B$2:$B$846,"FORA DO CATÁLOGO")</f>
        <v>CAM007CM</v>
      </c>
      <c r="C187" s="11">
        <v>4</v>
      </c>
      <c r="D187" s="11" t="str">
        <f>_xlfn.XLOOKUP(A187,CATÁLOGO!$A$2:$A$846,CATÁLOGO!$E$2:$E$846,"FORA DO CATÁLOGO")</f>
        <v>Descontinuado</v>
      </c>
      <c r="E187" s="9" t="s">
        <v>23</v>
      </c>
      <c r="F187" s="52">
        <f>SUMIFS('AVARIA PINHEIROS'!$C$2:$C$24,'AVARIA PINHEIROS'!$A$2:$A$24,A187)</f>
        <v>0</v>
      </c>
    </row>
    <row r="188" spans="1:6" x14ac:dyDescent="0.3">
      <c r="A188" s="9" t="s">
        <v>123</v>
      </c>
      <c r="B188" s="18" t="str">
        <f>_xlfn.XLOOKUP(A188,CATÁLOGO!$A$2:$A$846,CATÁLOGO!$B$2:$B$846,"FORA DO CATÁLOGO")</f>
        <v>CAM007CG</v>
      </c>
      <c r="C188" s="11">
        <v>1</v>
      </c>
      <c r="D188" s="11" t="str">
        <f>_xlfn.XLOOKUP(A188,CATÁLOGO!$A$2:$A$846,CATÁLOGO!$E$2:$E$846,"FORA DO CATÁLOGO")</f>
        <v>Descontinuado</v>
      </c>
      <c r="E188" s="9"/>
      <c r="F188" s="52">
        <f>SUMIFS('AVARIA PINHEIROS'!$C$2:$C$24,'AVARIA PINHEIROS'!$A$2:$A$24,A188)</f>
        <v>0</v>
      </c>
    </row>
    <row r="189" spans="1:6" x14ac:dyDescent="0.3">
      <c r="A189" s="9" t="s">
        <v>1475</v>
      </c>
      <c r="B189" s="18" t="str">
        <f>_xlfn.XLOOKUP(A189,CATÁLOGO!$A$2:$A$846,CATÁLOGO!$B$2:$B$846,"FORA DO CATÁLOGO")</f>
        <v>BER005H38</v>
      </c>
      <c r="C189" s="11">
        <v>1</v>
      </c>
      <c r="D189" s="11" t="str">
        <f>_xlfn.XLOOKUP(A189,CATÁLOGO!$A$2:$A$846,CATÁLOGO!$E$2:$E$846,"FORA DO CATÁLOGO")</f>
        <v>Descontinuado</v>
      </c>
      <c r="E189" s="9"/>
      <c r="F189" s="52">
        <f>SUMIFS('AVARIA PINHEIROS'!$C$2:$C$24,'AVARIA PINHEIROS'!$A$2:$A$24,A189)</f>
        <v>0</v>
      </c>
    </row>
    <row r="190" spans="1:6" x14ac:dyDescent="0.3">
      <c r="A190" s="9" t="s">
        <v>124</v>
      </c>
      <c r="B190" s="18" t="str">
        <f>_xlfn.XLOOKUP(A190,CATÁLOGO!$A$2:$A$846,CATÁLOGO!$B$2:$B$846,"FORA DO CATÁLOGO")</f>
        <v>TOP004VP</v>
      </c>
      <c r="C190" s="11">
        <v>4</v>
      </c>
      <c r="D190" s="11" t="str">
        <f>_xlfn.XLOOKUP(A190,CATÁLOGO!$A$2:$A$846,CATÁLOGO!$E$2:$E$846,"FORA DO CATÁLOGO")</f>
        <v>Ativo</v>
      </c>
      <c r="E190" s="9"/>
      <c r="F190" s="52">
        <f>SUMIFS('AVARIA PINHEIROS'!$C$2:$C$24,'AVARIA PINHEIROS'!$A$2:$A$24,A190)</f>
        <v>0</v>
      </c>
    </row>
    <row r="191" spans="1:6" x14ac:dyDescent="0.3">
      <c r="A191" s="9" t="s">
        <v>125</v>
      </c>
      <c r="B191" s="18" t="str">
        <f>_xlfn.XLOOKUP(A191,CATÁLOGO!$A$2:$A$846,CATÁLOGO!$B$2:$B$846,"FORA DO CATÁLOGO")</f>
        <v>TOP004VM</v>
      </c>
      <c r="C191" s="11">
        <v>7</v>
      </c>
      <c r="D191" s="11" t="str">
        <f>_xlfn.XLOOKUP(A191,CATÁLOGO!$A$2:$A$846,CATÁLOGO!$E$2:$E$846,"FORA DO CATÁLOGO")</f>
        <v>Ativo</v>
      </c>
      <c r="E191" s="9" t="s">
        <v>7</v>
      </c>
      <c r="F191" s="52">
        <f>SUMIFS('AVARIA PINHEIROS'!$C$2:$C$24,'AVARIA PINHEIROS'!$A$2:$A$24,A191)</f>
        <v>0</v>
      </c>
    </row>
    <row r="192" spans="1:6" x14ac:dyDescent="0.3">
      <c r="A192" s="9" t="s">
        <v>126</v>
      </c>
      <c r="B192" s="18" t="str">
        <f>_xlfn.XLOOKUP(A192,CATÁLOGO!$A$2:$A$846,CATÁLOGO!$B$2:$B$846,"FORA DO CATÁLOGO")</f>
        <v>TOP004VG</v>
      </c>
      <c r="C192" s="11">
        <v>5</v>
      </c>
      <c r="D192" s="11" t="str">
        <f>_xlfn.XLOOKUP(A192,CATÁLOGO!$A$2:$A$846,CATÁLOGO!$E$2:$E$846,"FORA DO CATÁLOGO")</f>
        <v>Ativo</v>
      </c>
      <c r="E192" s="9"/>
      <c r="F192" s="52">
        <f>SUMIFS('AVARIA PINHEIROS'!$C$2:$C$24,'AVARIA PINHEIROS'!$A$2:$A$24,A192)</f>
        <v>0</v>
      </c>
    </row>
    <row r="193" spans="1:6" x14ac:dyDescent="0.3">
      <c r="A193" s="9" t="s">
        <v>127</v>
      </c>
      <c r="B193" s="18" t="str">
        <f>_xlfn.XLOOKUP(A193,CATÁLOGO!$A$2:$A$846,CATÁLOGO!$B$2:$B$846,"FORA DO CATÁLOGO")</f>
        <v>TOP004VGG</v>
      </c>
      <c r="C193" s="11">
        <v>2</v>
      </c>
      <c r="D193" s="11" t="str">
        <f>_xlfn.XLOOKUP(A193,CATÁLOGO!$A$2:$A$846,CATÁLOGO!$E$2:$E$846,"FORA DO CATÁLOGO")</f>
        <v>Ativo</v>
      </c>
      <c r="E193" s="9"/>
      <c r="F193" s="52">
        <f>SUMIFS('AVARIA PINHEIROS'!$C$2:$C$24,'AVARIA PINHEIROS'!$A$2:$A$24,A193)</f>
        <v>0</v>
      </c>
    </row>
    <row r="194" spans="1:6" x14ac:dyDescent="0.3">
      <c r="A194" s="9" t="s">
        <v>128</v>
      </c>
      <c r="B194" s="18" t="str">
        <f>_xlfn.XLOOKUP(A194,CATÁLOGO!$A$2:$A$846,CATÁLOGO!$B$2:$B$846,"FORA DO CATÁLOGO")</f>
        <v>MOL007CP</v>
      </c>
      <c r="C194" s="11">
        <v>3</v>
      </c>
      <c r="D194" s="11" t="str">
        <f>_xlfn.XLOOKUP(A194,CATÁLOGO!$A$2:$A$846,CATÁLOGO!$E$2:$E$846,"FORA DO CATÁLOGO")</f>
        <v>Descontinuado</v>
      </c>
      <c r="E194" s="9"/>
      <c r="F194" s="52">
        <f>SUMIFS('AVARIA PINHEIROS'!$C$2:$C$24,'AVARIA PINHEIROS'!$A$2:$A$24,A194)</f>
        <v>0</v>
      </c>
    </row>
    <row r="195" spans="1:6" x14ac:dyDescent="0.3">
      <c r="A195" s="9" t="s">
        <v>129</v>
      </c>
      <c r="B195" s="18" t="str">
        <f>_xlfn.XLOOKUP(A195,CATÁLOGO!$A$2:$A$846,CATÁLOGO!$B$2:$B$846,"FORA DO CATÁLOGO")</f>
        <v>MOL007CM</v>
      </c>
      <c r="C195" s="11">
        <v>2</v>
      </c>
      <c r="D195" s="11" t="str">
        <f>_xlfn.XLOOKUP(A195,CATÁLOGO!$A$2:$A$846,CATÁLOGO!$E$2:$E$846,"FORA DO CATÁLOGO")</f>
        <v>Descontinuado</v>
      </c>
      <c r="E195" s="9"/>
      <c r="F195" s="52">
        <f>SUMIFS('AVARIA PINHEIROS'!$C$2:$C$24,'AVARIA PINHEIROS'!$A$2:$A$24,A195)</f>
        <v>0</v>
      </c>
    </row>
    <row r="196" spans="1:6" x14ac:dyDescent="0.3">
      <c r="A196" s="9" t="s">
        <v>130</v>
      </c>
      <c r="B196" s="18" t="str">
        <f>_xlfn.XLOOKUP(A196,CATÁLOGO!$A$2:$A$846,CATÁLOGO!$B$2:$B$846,"FORA DO CATÁLOGO")</f>
        <v>MOL007CGG</v>
      </c>
      <c r="C196" s="11">
        <v>2</v>
      </c>
      <c r="D196" s="11" t="str">
        <f>_xlfn.XLOOKUP(A196,CATÁLOGO!$A$2:$A$846,CATÁLOGO!$E$2:$E$846,"FORA DO CATÁLOGO")</f>
        <v>Descontinuado</v>
      </c>
      <c r="E196" s="9"/>
      <c r="F196" s="52">
        <f>SUMIFS('AVARIA PINHEIROS'!$C$2:$C$24,'AVARIA PINHEIROS'!$A$2:$A$24,A196)</f>
        <v>0</v>
      </c>
    </row>
    <row r="197" spans="1:6" x14ac:dyDescent="0.3">
      <c r="A197" s="9" t="s">
        <v>131</v>
      </c>
      <c r="B197" s="18" t="str">
        <f>_xlfn.XLOOKUP(A197,CATÁLOGO!$A$2:$A$846,CATÁLOGO!$B$2:$B$846,"FORA DO CATÁLOGO")</f>
        <v>MOL008HM</v>
      </c>
      <c r="C197" s="11">
        <v>3</v>
      </c>
      <c r="D197" s="11" t="str">
        <f>_xlfn.XLOOKUP(A197,CATÁLOGO!$A$2:$A$846,CATÁLOGO!$E$2:$E$846,"FORA DO CATÁLOGO")</f>
        <v>Descontinuado</v>
      </c>
      <c r="E197" s="9"/>
      <c r="F197" s="52">
        <f>SUMIFS('AVARIA PINHEIROS'!$C$2:$C$24,'AVARIA PINHEIROS'!$A$2:$A$24,A197)</f>
        <v>0</v>
      </c>
    </row>
    <row r="198" spans="1:6" x14ac:dyDescent="0.3">
      <c r="A198" s="9" t="s">
        <v>132</v>
      </c>
      <c r="B198" s="18" t="str">
        <f>_xlfn.XLOOKUP(A198,CATÁLOGO!$A$2:$A$846,CATÁLOGO!$B$2:$B$846,"FORA DO CATÁLOGO")</f>
        <v>MOL008HG</v>
      </c>
      <c r="C198" s="11">
        <v>0</v>
      </c>
      <c r="D198" s="11" t="str">
        <f>_xlfn.XLOOKUP(A198,CATÁLOGO!$A$2:$A$846,CATÁLOGO!$E$2:$E$846,"FORA DO CATÁLOGO")</f>
        <v>Descontinuado</v>
      </c>
      <c r="E198" s="9" t="s">
        <v>1345</v>
      </c>
      <c r="F198" s="52">
        <f>SUMIFS('AVARIA PINHEIROS'!$C$2:$C$24,'AVARIA PINHEIROS'!$A$2:$A$24,A198)</f>
        <v>1</v>
      </c>
    </row>
    <row r="199" spans="1:6" x14ac:dyDescent="0.3">
      <c r="A199" s="9" t="s">
        <v>133</v>
      </c>
      <c r="B199" s="18" t="str">
        <f>_xlfn.XLOOKUP(A199,CATÁLOGO!$A$2:$A$846,CATÁLOGO!$B$2:$B$846,"FORA DO CATÁLOGO")</f>
        <v>MOL008HGG</v>
      </c>
      <c r="C199" s="11">
        <v>0</v>
      </c>
      <c r="D199" s="11" t="str">
        <f>_xlfn.XLOOKUP(A199,CATÁLOGO!$A$2:$A$846,CATÁLOGO!$E$2:$E$846,"FORA DO CATÁLOGO")</f>
        <v>Descontinuado</v>
      </c>
      <c r="E199" s="9" t="s">
        <v>1345</v>
      </c>
      <c r="F199" s="52">
        <f>SUMIFS('AVARIA PINHEIROS'!$C$2:$C$24,'AVARIA PINHEIROS'!$A$2:$A$24,A199)</f>
        <v>1</v>
      </c>
    </row>
    <row r="200" spans="1:6" x14ac:dyDescent="0.3">
      <c r="A200" s="9" t="s">
        <v>134</v>
      </c>
      <c r="B200" s="18" t="str">
        <f>_xlfn.XLOOKUP(A200,CATÁLOGO!$A$2:$A$846,CATÁLOGO!$B$2:$B$846,"FORA DO CATÁLOGO")</f>
        <v>MOL008LM</v>
      </c>
      <c r="C200" s="11">
        <v>2</v>
      </c>
      <c r="D200" s="11" t="str">
        <f>_xlfn.XLOOKUP(A200,CATÁLOGO!$A$2:$A$846,CATÁLOGO!$E$2:$E$846,"FORA DO CATÁLOGO")</f>
        <v>Descontinuado</v>
      </c>
      <c r="E200" s="9"/>
      <c r="F200" s="52">
        <f>SUMIFS('AVARIA PINHEIROS'!$C$2:$C$24,'AVARIA PINHEIROS'!$A$2:$A$24,A200)</f>
        <v>0</v>
      </c>
    </row>
    <row r="201" spans="1:6" x14ac:dyDescent="0.3">
      <c r="A201" s="9" t="s">
        <v>135</v>
      </c>
      <c r="B201" s="18" t="str">
        <f>_xlfn.XLOOKUP(A201,CATÁLOGO!$A$2:$A$846,CATÁLOGO!$B$2:$B$846,"FORA DO CATÁLOGO")</f>
        <v>MOL008LG</v>
      </c>
      <c r="C201" s="11">
        <v>1</v>
      </c>
      <c r="D201" s="11" t="str">
        <f>_xlfn.XLOOKUP(A201,CATÁLOGO!$A$2:$A$846,CATÁLOGO!$E$2:$E$846,"FORA DO CATÁLOGO")</f>
        <v>Descontinuado</v>
      </c>
      <c r="E201" s="9"/>
      <c r="F201" s="52">
        <f>SUMIFS('AVARIA PINHEIROS'!$C$2:$C$24,'AVARIA PINHEIROS'!$A$2:$A$24,A201)</f>
        <v>0</v>
      </c>
    </row>
    <row r="202" spans="1:6" x14ac:dyDescent="0.3">
      <c r="A202" s="9" t="s">
        <v>136</v>
      </c>
      <c r="B202" s="18" t="str">
        <f>_xlfn.XLOOKUP(A202,CATÁLOGO!$A$2:$A$846,CATÁLOGO!$B$2:$B$846,"FORA DO CATÁLOGO")</f>
        <v>MOL008LGG</v>
      </c>
      <c r="C202" s="11">
        <v>1</v>
      </c>
      <c r="D202" s="11" t="str">
        <f>_xlfn.XLOOKUP(A202,CATÁLOGO!$A$2:$A$846,CATÁLOGO!$E$2:$E$846,"FORA DO CATÁLOGO")</f>
        <v>Descontinuado</v>
      </c>
      <c r="E202" s="9" t="s">
        <v>1343</v>
      </c>
      <c r="F202" s="52">
        <f>SUMIFS('AVARIA PINHEIROS'!$C$2:$C$24,'AVARIA PINHEIROS'!$A$2:$A$24,A202)</f>
        <v>0</v>
      </c>
    </row>
    <row r="203" spans="1:6" x14ac:dyDescent="0.3">
      <c r="A203" s="9" t="s">
        <v>137</v>
      </c>
      <c r="B203" s="18" t="str">
        <f>_xlfn.XLOOKUP(A203,CATÁLOGO!$A$2:$A$846,CATÁLOGO!$B$2:$B$846,"FORA DO CATÁLOGO")</f>
        <v>VES002MP</v>
      </c>
      <c r="C203" s="11">
        <v>6</v>
      </c>
      <c r="D203" s="11" t="str">
        <f>_xlfn.XLOOKUP(A203,CATÁLOGO!$A$2:$A$846,CATÁLOGO!$E$2:$E$846,"FORA DO CATÁLOGO")</f>
        <v>Ativo</v>
      </c>
      <c r="E203" s="9"/>
      <c r="F203" s="52">
        <f>SUMIFS('AVARIA PINHEIROS'!$C$2:$C$24,'AVARIA PINHEIROS'!$A$2:$A$24,A203)</f>
        <v>0</v>
      </c>
    </row>
    <row r="204" spans="1:6" x14ac:dyDescent="0.3">
      <c r="A204" s="9" t="s">
        <v>138</v>
      </c>
      <c r="B204" s="18" t="str">
        <f>_xlfn.XLOOKUP(A204,CATÁLOGO!$A$2:$A$846,CATÁLOGO!$B$2:$B$846,"FORA DO CATÁLOGO")</f>
        <v>VES002MM</v>
      </c>
      <c r="C204" s="11">
        <v>4</v>
      </c>
      <c r="D204" s="11" t="str">
        <f>_xlfn.XLOOKUP(A204,CATÁLOGO!$A$2:$A$846,CATÁLOGO!$E$2:$E$846,"FORA DO CATÁLOGO")</f>
        <v>Ativo</v>
      </c>
      <c r="E204" s="9"/>
      <c r="F204" s="52">
        <f>SUMIFS('AVARIA PINHEIROS'!$C$2:$C$24,'AVARIA PINHEIROS'!$A$2:$A$24,A204)</f>
        <v>0</v>
      </c>
    </row>
    <row r="205" spans="1:6" x14ac:dyDescent="0.3">
      <c r="A205" s="9" t="s">
        <v>139</v>
      </c>
      <c r="B205" s="18" t="str">
        <f>_xlfn.XLOOKUP(A205,CATÁLOGO!$A$2:$A$846,CATÁLOGO!$B$2:$B$846,"FORA DO CATÁLOGO")</f>
        <v>VES002MG</v>
      </c>
      <c r="C205" s="11">
        <v>6</v>
      </c>
      <c r="D205" s="11" t="str">
        <f>_xlfn.XLOOKUP(A205,CATÁLOGO!$A$2:$A$846,CATÁLOGO!$E$2:$E$846,"FORA DO CATÁLOGO")</f>
        <v>Ativo</v>
      </c>
      <c r="E205" s="9"/>
      <c r="F205" s="52">
        <f>SUMIFS('AVARIA PINHEIROS'!$C$2:$C$24,'AVARIA PINHEIROS'!$A$2:$A$24,A205)</f>
        <v>0</v>
      </c>
    </row>
    <row r="206" spans="1:6" x14ac:dyDescent="0.3">
      <c r="A206" s="9" t="s">
        <v>140</v>
      </c>
      <c r="B206" s="18" t="str">
        <f>_xlfn.XLOOKUP(A206,CATÁLOGO!$A$2:$A$846,CATÁLOGO!$B$2:$B$846,"FORA DO CATÁLOGO")</f>
        <v>VES002MGG</v>
      </c>
      <c r="C206" s="11">
        <v>4</v>
      </c>
      <c r="D206" s="11" t="str">
        <f>_xlfn.XLOOKUP(A206,CATÁLOGO!$A$2:$A$846,CATÁLOGO!$E$2:$E$846,"FORA DO CATÁLOGO")</f>
        <v>Ativo</v>
      </c>
      <c r="E206" s="9"/>
      <c r="F206" s="52">
        <f>SUMIFS('AVARIA PINHEIROS'!$C$2:$C$24,'AVARIA PINHEIROS'!$A$2:$A$24,A206)</f>
        <v>0</v>
      </c>
    </row>
    <row r="207" spans="1:6" x14ac:dyDescent="0.3">
      <c r="A207" s="9" t="s">
        <v>141</v>
      </c>
      <c r="B207" s="18" t="str">
        <f>_xlfn.XLOOKUP(A207,CATÁLOGO!$A$2:$A$846,CATÁLOGO!$B$2:$B$846,"FORA DO CATÁLOGO")</f>
        <v>TOP005OP</v>
      </c>
      <c r="C207" s="11">
        <v>2</v>
      </c>
      <c r="D207" s="11" t="str">
        <f>_xlfn.XLOOKUP(A207,CATÁLOGO!$A$2:$A$846,CATÁLOGO!$E$2:$E$846,"FORA DO CATÁLOGO")</f>
        <v>Ativo</v>
      </c>
      <c r="E207" s="9"/>
      <c r="F207" s="52">
        <f>SUMIFS('AVARIA PINHEIROS'!$C$2:$C$24,'AVARIA PINHEIROS'!$A$2:$A$24,A207)</f>
        <v>0</v>
      </c>
    </row>
    <row r="208" spans="1:6" x14ac:dyDescent="0.3">
      <c r="A208" s="9" t="s">
        <v>142</v>
      </c>
      <c r="B208" s="18" t="str">
        <f>_xlfn.XLOOKUP(A208,CATÁLOGO!$A$2:$A$846,CATÁLOGO!$B$2:$B$846,"FORA DO CATÁLOGO")</f>
        <v>TOP005OM</v>
      </c>
      <c r="C208" s="11">
        <v>3</v>
      </c>
      <c r="D208" s="11" t="str">
        <f>_xlfn.XLOOKUP(A208,CATÁLOGO!$A$2:$A$846,CATÁLOGO!$E$2:$E$846,"FORA DO CATÁLOGO")</f>
        <v>Ativo</v>
      </c>
      <c r="E208" s="9"/>
      <c r="F208" s="52">
        <f>SUMIFS('AVARIA PINHEIROS'!$C$2:$C$24,'AVARIA PINHEIROS'!$A$2:$A$24,A208)</f>
        <v>0</v>
      </c>
    </row>
    <row r="209" spans="1:6" x14ac:dyDescent="0.3">
      <c r="A209" s="9" t="s">
        <v>143</v>
      </c>
      <c r="B209" s="18" t="str">
        <f>_xlfn.XLOOKUP(A209,CATÁLOGO!$A$2:$A$846,CATÁLOGO!$B$2:$B$846,"FORA DO CATÁLOGO")</f>
        <v>TOP005OG</v>
      </c>
      <c r="C209" s="11">
        <v>2</v>
      </c>
      <c r="D209" s="11" t="str">
        <f>_xlfn.XLOOKUP(A209,CATÁLOGO!$A$2:$A$846,CATÁLOGO!$E$2:$E$846,"FORA DO CATÁLOGO")</f>
        <v>Ativo</v>
      </c>
      <c r="E209" s="9"/>
      <c r="F209" s="52">
        <f>SUMIFS('AVARIA PINHEIROS'!$C$2:$C$24,'AVARIA PINHEIROS'!$A$2:$A$24,A209)</f>
        <v>0</v>
      </c>
    </row>
    <row r="210" spans="1:6" x14ac:dyDescent="0.3">
      <c r="A210" s="9" t="s">
        <v>144</v>
      </c>
      <c r="B210" s="18" t="str">
        <f>_xlfn.XLOOKUP(A210,CATÁLOGO!$A$2:$A$846,CATÁLOGO!$B$2:$B$846,"FORA DO CATÁLOGO")</f>
        <v>TOP005OGG</v>
      </c>
      <c r="C210" s="11">
        <v>1</v>
      </c>
      <c r="D210" s="11" t="str">
        <f>_xlfn.XLOOKUP(A210,CATÁLOGO!$A$2:$A$846,CATÁLOGO!$E$2:$E$846,"FORA DO CATÁLOGO")</f>
        <v>Ativo</v>
      </c>
      <c r="E210" s="9" t="s">
        <v>23</v>
      </c>
      <c r="F210" s="52">
        <f>SUMIFS('AVARIA PINHEIROS'!$C$2:$C$24,'AVARIA PINHEIROS'!$A$2:$A$24,A210)</f>
        <v>0</v>
      </c>
    </row>
    <row r="211" spans="1:6" x14ac:dyDescent="0.3">
      <c r="A211" s="9" t="s">
        <v>145</v>
      </c>
      <c r="B211" s="18" t="str">
        <f>_xlfn.XLOOKUP(A211,CATÁLOGO!$A$2:$A$846,CATÁLOGO!$B$2:$B$846,"FORA DO CATÁLOGO")</f>
        <v>VES003CP</v>
      </c>
      <c r="C211" s="11">
        <v>1</v>
      </c>
      <c r="D211" s="11" t="str">
        <f>_xlfn.XLOOKUP(A211,CATÁLOGO!$A$2:$A$846,CATÁLOGO!$E$2:$E$846,"FORA DO CATÁLOGO")</f>
        <v>Descontinuado</v>
      </c>
      <c r="E211" s="9"/>
      <c r="F211" s="52">
        <f>SUMIFS('AVARIA PINHEIROS'!$C$2:$C$24,'AVARIA PINHEIROS'!$A$2:$A$24,A211)</f>
        <v>0</v>
      </c>
    </row>
    <row r="212" spans="1:6" x14ac:dyDescent="0.3">
      <c r="A212" s="9" t="s">
        <v>146</v>
      </c>
      <c r="B212" s="18" t="str">
        <f>_xlfn.XLOOKUP(A212,CATÁLOGO!$A$2:$A$846,CATÁLOGO!$B$2:$B$846,"FORA DO CATÁLOGO")</f>
        <v>VES003CG</v>
      </c>
      <c r="C212" s="11">
        <v>2</v>
      </c>
      <c r="D212" s="11" t="str">
        <f>_xlfn.XLOOKUP(A212,CATÁLOGO!$A$2:$A$846,CATÁLOGO!$E$2:$E$846,"FORA DO CATÁLOGO")</f>
        <v>Descontinuado</v>
      </c>
      <c r="E212" s="9"/>
      <c r="F212" s="52">
        <f>SUMIFS('AVARIA PINHEIROS'!$C$2:$C$24,'AVARIA PINHEIROS'!$A$2:$A$24,A212)</f>
        <v>0</v>
      </c>
    </row>
    <row r="213" spans="1:6" x14ac:dyDescent="0.3">
      <c r="A213" s="9" t="s">
        <v>147</v>
      </c>
      <c r="B213" s="18" t="str">
        <f>_xlfn.XLOOKUP(A213,CATÁLOGO!$A$2:$A$846,CATÁLOGO!$B$2:$B$846,"FORA DO CATÁLOGO")</f>
        <v>VES003CGG</v>
      </c>
      <c r="C213" s="11">
        <v>1</v>
      </c>
      <c r="D213" s="11" t="str">
        <f>_xlfn.XLOOKUP(A213,CATÁLOGO!$A$2:$A$846,CATÁLOGO!$E$2:$E$846,"FORA DO CATÁLOGO")</f>
        <v>Descontinuado</v>
      </c>
      <c r="E213" s="9"/>
      <c r="F213" s="52">
        <f>SUMIFS('AVARIA PINHEIROS'!$C$2:$C$24,'AVARIA PINHEIROS'!$A$2:$A$24,A213)</f>
        <v>0</v>
      </c>
    </row>
    <row r="214" spans="1:6" x14ac:dyDescent="0.3">
      <c r="A214" s="9" t="s">
        <v>148</v>
      </c>
      <c r="B214" s="18" t="str">
        <f>_xlfn.XLOOKUP(A214,CATÁLOGO!$A$2:$A$846,CATÁLOGO!$B$2:$B$846,"FORA DO CATÁLOGO")</f>
        <v>VES003YG</v>
      </c>
      <c r="C214" s="11">
        <v>1</v>
      </c>
      <c r="D214" s="11" t="str">
        <f>_xlfn.XLOOKUP(A214,CATÁLOGO!$A$2:$A$846,CATÁLOGO!$E$2:$E$846,"FORA DO CATÁLOGO")</f>
        <v>Descontinuado</v>
      </c>
      <c r="E214" s="9" t="s">
        <v>23</v>
      </c>
      <c r="F214" s="52">
        <f>SUMIFS('AVARIA PINHEIROS'!$C$2:$C$24,'AVARIA PINHEIROS'!$A$2:$A$24,A214)</f>
        <v>0</v>
      </c>
    </row>
    <row r="215" spans="1:6" x14ac:dyDescent="0.3">
      <c r="A215" s="9" t="s">
        <v>1929</v>
      </c>
      <c r="B215" s="18" t="str">
        <f>_xlfn.XLOOKUP(A215,CATÁLOGO!$A$2:$A$846,CATÁLOGO!$B$2:$B$846,"FORA DO CATÁLOGO")</f>
        <v>VES004YPP</v>
      </c>
      <c r="C215" s="11">
        <v>1</v>
      </c>
      <c r="D215" s="11" t="str">
        <f>_xlfn.XLOOKUP(A215,CATÁLOGO!$A$2:$A$846,CATÁLOGO!$E$2:$E$846,"FORA DO CATÁLOGO")</f>
        <v>Descontinuado</v>
      </c>
      <c r="E215" s="9"/>
      <c r="F215" s="52">
        <f>SUMIFS('AVARIA PINHEIROS'!$C$2:$C$24,'AVARIA PINHEIROS'!$A$2:$A$24,A215)</f>
        <v>0</v>
      </c>
    </row>
    <row r="216" spans="1:6" x14ac:dyDescent="0.3">
      <c r="A216" s="9" t="s">
        <v>149</v>
      </c>
      <c r="B216" s="18" t="str">
        <f>_xlfn.XLOOKUP(A216,CATÁLOGO!$A$2:$A$846,CATÁLOGO!$B$2:$B$846,"FORA DO CATÁLOGO")</f>
        <v>VES004YP</v>
      </c>
      <c r="C216" s="11">
        <v>1</v>
      </c>
      <c r="D216" s="11" t="str">
        <f>_xlfn.XLOOKUP(A216,CATÁLOGO!$A$2:$A$846,CATÁLOGO!$E$2:$E$846,"FORA DO CATÁLOGO")</f>
        <v>Descontinuado</v>
      </c>
      <c r="E216" s="9"/>
      <c r="F216" s="52">
        <f>SUMIFS('AVARIA PINHEIROS'!$C$2:$C$24,'AVARIA PINHEIROS'!$A$2:$A$24,A216)</f>
        <v>0</v>
      </c>
    </row>
    <row r="217" spans="1:6" x14ac:dyDescent="0.3">
      <c r="A217" s="9" t="s">
        <v>150</v>
      </c>
      <c r="B217" s="18" t="str">
        <f>_xlfn.XLOOKUP(A217,CATÁLOGO!$A$2:$A$846,CATÁLOGO!$B$2:$B$846,"FORA DO CATÁLOGO")</f>
        <v>VES004YM</v>
      </c>
      <c r="C217" s="11">
        <v>2</v>
      </c>
      <c r="D217" s="11" t="str">
        <f>_xlfn.XLOOKUP(A217,CATÁLOGO!$A$2:$A$846,CATÁLOGO!$E$2:$E$846,"FORA DO CATÁLOGO")</f>
        <v>Descontinuado</v>
      </c>
      <c r="E217" s="9"/>
      <c r="F217" s="52">
        <f>SUMIFS('AVARIA PINHEIROS'!$C$2:$C$24,'AVARIA PINHEIROS'!$A$2:$A$24,A217)</f>
        <v>0</v>
      </c>
    </row>
    <row r="218" spans="1:6" x14ac:dyDescent="0.3">
      <c r="A218" s="9" t="s">
        <v>151</v>
      </c>
      <c r="B218" s="18" t="str">
        <f>_xlfn.XLOOKUP(A218,CATÁLOGO!$A$2:$A$846,CATÁLOGO!$B$2:$B$846,"FORA DO CATÁLOGO")</f>
        <v>VES004YGG</v>
      </c>
      <c r="C218" s="11">
        <v>1</v>
      </c>
      <c r="D218" s="11" t="str">
        <f>_xlfn.XLOOKUP(A218,CATÁLOGO!$A$2:$A$846,CATÁLOGO!$E$2:$E$846,"FORA DO CATÁLOGO")</f>
        <v>Descontinuado</v>
      </c>
      <c r="E218" s="9"/>
      <c r="F218" s="52">
        <f>SUMIFS('AVARIA PINHEIROS'!$C$2:$C$24,'AVARIA PINHEIROS'!$A$2:$A$24,A218)</f>
        <v>0</v>
      </c>
    </row>
    <row r="219" spans="1:6" x14ac:dyDescent="0.3">
      <c r="A219" s="9" t="s">
        <v>152</v>
      </c>
      <c r="B219" s="18" t="str">
        <f>_xlfn.XLOOKUP(A219,CATÁLOGO!$A$2:$A$846,CATÁLOGO!$B$2:$B$846,"FORA DO CATÁLOGO")</f>
        <v>VES005PP</v>
      </c>
      <c r="C219" s="11">
        <v>2</v>
      </c>
      <c r="D219" s="11" t="str">
        <f>_xlfn.XLOOKUP(A219,CATÁLOGO!$A$2:$A$846,CATÁLOGO!$E$2:$E$846,"FORA DO CATÁLOGO")</f>
        <v>Descontinuado</v>
      </c>
      <c r="E219" s="9"/>
      <c r="F219" s="52">
        <f>SUMIFS('AVARIA PINHEIROS'!$C$2:$C$24,'AVARIA PINHEIROS'!$A$2:$A$24,A219)</f>
        <v>0</v>
      </c>
    </row>
    <row r="220" spans="1:6" x14ac:dyDescent="0.3">
      <c r="A220" s="9" t="s">
        <v>153</v>
      </c>
      <c r="B220" s="18" t="str">
        <f>_xlfn.XLOOKUP(A220,CATÁLOGO!$A$2:$A$846,CATÁLOGO!$B$2:$B$846,"FORA DO CATÁLOGO")</f>
        <v>VES005PM</v>
      </c>
      <c r="C220" s="11">
        <v>3</v>
      </c>
      <c r="D220" s="11" t="str">
        <f>_xlfn.XLOOKUP(A220,CATÁLOGO!$A$2:$A$846,CATÁLOGO!$E$2:$E$846,"FORA DO CATÁLOGO")</f>
        <v>Descontinuado</v>
      </c>
      <c r="E220" s="9"/>
      <c r="F220" s="52">
        <f>SUMIFS('AVARIA PINHEIROS'!$C$2:$C$24,'AVARIA PINHEIROS'!$A$2:$A$24,A220)</f>
        <v>0</v>
      </c>
    </row>
    <row r="221" spans="1:6" x14ac:dyDescent="0.3">
      <c r="A221" s="9" t="s">
        <v>154</v>
      </c>
      <c r="B221" s="18" t="str">
        <f>_xlfn.XLOOKUP(A221,CATÁLOGO!$A$2:$A$846,CATÁLOGO!$B$2:$B$846,"FORA DO CATÁLOGO")</f>
        <v>VES005PG</v>
      </c>
      <c r="C221" s="11">
        <v>6</v>
      </c>
      <c r="D221" s="11" t="str">
        <f>_xlfn.XLOOKUP(A221,CATÁLOGO!$A$2:$A$846,CATÁLOGO!$E$2:$E$846,"FORA DO CATÁLOGO")</f>
        <v>Descontinuado</v>
      </c>
      <c r="E221" s="9"/>
      <c r="F221" s="52">
        <f>SUMIFS('AVARIA PINHEIROS'!$C$2:$C$24,'AVARIA PINHEIROS'!$A$2:$A$24,A221)</f>
        <v>0</v>
      </c>
    </row>
    <row r="222" spans="1:6" x14ac:dyDescent="0.3">
      <c r="A222" s="9" t="s">
        <v>155</v>
      </c>
      <c r="B222" s="18" t="str">
        <f>_xlfn.XLOOKUP(A222,CATÁLOGO!$A$2:$A$846,CATÁLOGO!$B$2:$B$846,"FORA DO CATÁLOGO")</f>
        <v>VES005PGG</v>
      </c>
      <c r="C222" s="11">
        <v>2</v>
      </c>
      <c r="D222" s="11" t="str">
        <f>_xlfn.XLOOKUP(A222,CATÁLOGO!$A$2:$A$846,CATÁLOGO!$E$2:$E$846,"FORA DO CATÁLOGO")</f>
        <v>Descontinuado</v>
      </c>
      <c r="E222" s="9"/>
      <c r="F222" s="52">
        <f>SUMIFS('AVARIA PINHEIROS'!$C$2:$C$24,'AVARIA PINHEIROS'!$A$2:$A$24,A222)</f>
        <v>0</v>
      </c>
    </row>
    <row r="223" spans="1:6" x14ac:dyDescent="0.3">
      <c r="A223" s="9" t="s">
        <v>156</v>
      </c>
      <c r="B223" s="18" t="str">
        <f>_xlfn.XLOOKUP(A223,CATÁLOGO!$A$2:$A$846,CATÁLOGO!$B$2:$B$846,"FORA DO CATÁLOGO")</f>
        <v>TOP006MP</v>
      </c>
      <c r="C223" s="11">
        <v>5</v>
      </c>
      <c r="D223" s="11" t="str">
        <f>_xlfn.XLOOKUP(A223,CATÁLOGO!$A$2:$A$846,CATÁLOGO!$E$2:$E$846,"FORA DO CATÁLOGO")</f>
        <v>Ativo</v>
      </c>
      <c r="E223" s="9"/>
      <c r="F223" s="52">
        <f>SUMIFS('AVARIA PINHEIROS'!$C$2:$C$24,'AVARIA PINHEIROS'!$A$2:$A$24,A223)</f>
        <v>0</v>
      </c>
    </row>
    <row r="224" spans="1:6" x14ac:dyDescent="0.3">
      <c r="A224" s="9" t="s">
        <v>157</v>
      </c>
      <c r="B224" s="18" t="str">
        <f>_xlfn.XLOOKUP(A224,CATÁLOGO!$A$2:$A$846,CATÁLOGO!$B$2:$B$846,"FORA DO CATÁLOGO")</f>
        <v>TOP006MM</v>
      </c>
      <c r="C224" s="11">
        <v>7</v>
      </c>
      <c r="D224" s="11" t="str">
        <f>_xlfn.XLOOKUP(A224,CATÁLOGO!$A$2:$A$846,CATÁLOGO!$E$2:$E$846,"FORA DO CATÁLOGO")</f>
        <v>Ativo</v>
      </c>
      <c r="E224" s="9"/>
      <c r="F224" s="52">
        <f>SUMIFS('AVARIA PINHEIROS'!$C$2:$C$24,'AVARIA PINHEIROS'!$A$2:$A$24,A224)</f>
        <v>0</v>
      </c>
    </row>
    <row r="225" spans="1:6" x14ac:dyDescent="0.3">
      <c r="A225" s="9" t="s">
        <v>158</v>
      </c>
      <c r="B225" s="18" t="str">
        <f>_xlfn.XLOOKUP(A225,CATÁLOGO!$A$2:$A$846,CATÁLOGO!$B$2:$B$846,"FORA DO CATÁLOGO")</f>
        <v>TOP006MG</v>
      </c>
      <c r="C225" s="11">
        <v>0</v>
      </c>
      <c r="D225" s="11" t="str">
        <f>_xlfn.XLOOKUP(A225,CATÁLOGO!$A$2:$A$846,CATÁLOGO!$E$2:$E$846,"FORA DO CATÁLOGO")</f>
        <v>Ativo</v>
      </c>
      <c r="E225" s="9" t="s">
        <v>1348</v>
      </c>
      <c r="F225" s="52">
        <f>SUMIFS('AVARIA PINHEIROS'!$C$2:$C$24,'AVARIA PINHEIROS'!$A$2:$A$24,A225)</f>
        <v>5</v>
      </c>
    </row>
    <row r="226" spans="1:6" x14ac:dyDescent="0.3">
      <c r="A226" s="9" t="s">
        <v>159</v>
      </c>
      <c r="B226" s="18" t="str">
        <f>_xlfn.XLOOKUP(A226,CATÁLOGO!$A$2:$A$846,CATÁLOGO!$B$2:$B$846,"FORA DO CATÁLOGO")</f>
        <v>TOP006MGG</v>
      </c>
      <c r="C226" s="11">
        <v>3</v>
      </c>
      <c r="D226" s="11" t="str">
        <f>_xlfn.XLOOKUP(A226,CATÁLOGO!$A$2:$A$846,CATÁLOGO!$E$2:$E$846,"FORA DO CATÁLOGO")</f>
        <v>Ativo</v>
      </c>
      <c r="E226" s="9" t="s">
        <v>4</v>
      </c>
      <c r="F226" s="52">
        <f>SUMIFS('AVARIA PINHEIROS'!$C$2:$C$24,'AVARIA PINHEIROS'!$A$2:$A$24,A226)</f>
        <v>0</v>
      </c>
    </row>
    <row r="227" spans="1:6" x14ac:dyDescent="0.3">
      <c r="A227" s="9" t="s">
        <v>160</v>
      </c>
      <c r="B227" s="18" t="str">
        <f>_xlfn.XLOOKUP(A227,CATÁLOGO!$A$2:$A$846,CATÁLOGO!$B$2:$B$846,"FORA DO CATÁLOGO")</f>
        <v>CAM008HM</v>
      </c>
      <c r="C227" s="11">
        <v>2</v>
      </c>
      <c r="D227" s="11" t="str">
        <f>_xlfn.XLOOKUP(A227,CATÁLOGO!$A$2:$A$846,CATÁLOGO!$E$2:$E$846,"FORA DO CATÁLOGO")</f>
        <v>Descontinuado</v>
      </c>
      <c r="E227" s="9"/>
      <c r="F227" s="52">
        <f>SUMIFS('AVARIA PINHEIROS'!$C$2:$C$24,'AVARIA PINHEIROS'!$A$2:$A$24,A227)</f>
        <v>0</v>
      </c>
    </row>
    <row r="228" spans="1:6" x14ac:dyDescent="0.3">
      <c r="A228" s="9" t="s">
        <v>161</v>
      </c>
      <c r="B228" s="18" t="str">
        <f>_xlfn.XLOOKUP(A228,CATÁLOGO!$A$2:$A$846,CATÁLOGO!$B$2:$B$846,"FORA DO CATÁLOGO")</f>
        <v>CAM008HG</v>
      </c>
      <c r="C228" s="11">
        <v>1</v>
      </c>
      <c r="D228" s="11" t="str">
        <f>_xlfn.XLOOKUP(A228,CATÁLOGO!$A$2:$A$846,CATÁLOGO!$E$2:$E$846,"FORA DO CATÁLOGO")</f>
        <v>Descontinuado</v>
      </c>
      <c r="E228" s="9"/>
      <c r="F228" s="52">
        <f>SUMIFS('AVARIA PINHEIROS'!$C$2:$C$24,'AVARIA PINHEIROS'!$A$2:$A$24,A228)</f>
        <v>0</v>
      </c>
    </row>
    <row r="229" spans="1:6" x14ac:dyDescent="0.3">
      <c r="A229" s="9" t="s">
        <v>162</v>
      </c>
      <c r="B229" s="18" t="str">
        <f>_xlfn.XLOOKUP(A229,CATÁLOGO!$A$2:$A$846,CATÁLOGO!$B$2:$B$846,"FORA DO CATÁLOGO")</f>
        <v>MOL009MP</v>
      </c>
      <c r="C229" s="11">
        <v>3</v>
      </c>
      <c r="D229" s="11" t="str">
        <f>_xlfn.XLOOKUP(A229,CATÁLOGO!$A$2:$A$846,CATÁLOGO!$E$2:$E$846,"FORA DO CATÁLOGO")</f>
        <v>Ativo</v>
      </c>
      <c r="E229" s="9"/>
      <c r="F229" s="52">
        <f>SUMIFS('AVARIA PINHEIROS'!$C$2:$C$24,'AVARIA PINHEIROS'!$A$2:$A$24,A229)</f>
        <v>0</v>
      </c>
    </row>
    <row r="230" spans="1:6" x14ac:dyDescent="0.3">
      <c r="A230" s="9" t="s">
        <v>163</v>
      </c>
      <c r="B230" s="18" t="str">
        <f>_xlfn.XLOOKUP(A230,CATÁLOGO!$A$2:$A$846,CATÁLOGO!$B$2:$B$846,"FORA DO CATÁLOGO")</f>
        <v>MOL009MM</v>
      </c>
      <c r="C230" s="11">
        <v>4</v>
      </c>
      <c r="D230" s="11" t="str">
        <f>_xlfn.XLOOKUP(A230,CATÁLOGO!$A$2:$A$846,CATÁLOGO!$E$2:$E$846,"FORA DO CATÁLOGO")</f>
        <v>Ativo</v>
      </c>
      <c r="E230" s="9"/>
      <c r="F230" s="52">
        <f>SUMIFS('AVARIA PINHEIROS'!$C$2:$C$24,'AVARIA PINHEIROS'!$A$2:$A$24,A230)</f>
        <v>0</v>
      </c>
    </row>
    <row r="231" spans="1:6" x14ac:dyDescent="0.3">
      <c r="A231" s="9" t="s">
        <v>164</v>
      </c>
      <c r="B231" s="18" t="str">
        <f>_xlfn.XLOOKUP(A231,CATÁLOGO!$A$2:$A$846,CATÁLOGO!$B$2:$B$846,"FORA DO CATÁLOGO")</f>
        <v>MOL009MG</v>
      </c>
      <c r="C231" s="11">
        <v>3</v>
      </c>
      <c r="D231" s="11" t="str">
        <f>_xlfn.XLOOKUP(A231,CATÁLOGO!$A$2:$A$846,CATÁLOGO!$E$2:$E$846,"FORA DO CATÁLOGO")</f>
        <v>Ativo</v>
      </c>
      <c r="E231" s="9"/>
      <c r="F231" s="52">
        <f>SUMIFS('AVARIA PINHEIROS'!$C$2:$C$24,'AVARIA PINHEIROS'!$A$2:$A$24,A231)</f>
        <v>0</v>
      </c>
    </row>
    <row r="232" spans="1:6" x14ac:dyDescent="0.3">
      <c r="A232" s="9" t="s">
        <v>165</v>
      </c>
      <c r="B232" s="18" t="str">
        <f>_xlfn.XLOOKUP(A232,CATÁLOGO!$A$2:$A$846,CATÁLOGO!$B$2:$B$846,"FORA DO CATÁLOGO")</f>
        <v>MOL009MGG</v>
      </c>
      <c r="C232" s="11">
        <v>2</v>
      </c>
      <c r="D232" s="11" t="str">
        <f>_xlfn.XLOOKUP(A232,CATÁLOGO!$A$2:$A$846,CATÁLOGO!$E$2:$E$846,"FORA DO CATÁLOGO")</f>
        <v>Ativo</v>
      </c>
      <c r="E232" s="9"/>
      <c r="F232" s="52">
        <f>SUMIFS('AVARIA PINHEIROS'!$C$2:$C$24,'AVARIA PINHEIROS'!$A$2:$A$24,A232)</f>
        <v>0</v>
      </c>
    </row>
    <row r="233" spans="1:6" x14ac:dyDescent="0.3">
      <c r="A233" s="9" t="s">
        <v>166</v>
      </c>
      <c r="B233" s="18" t="str">
        <f>_xlfn.XLOOKUP(A233,CATÁLOGO!$A$2:$A$846,CATÁLOGO!$B$2:$B$846,"FORA DO CATÁLOGO")</f>
        <v>TOP008GP</v>
      </c>
      <c r="C233" s="11">
        <v>5</v>
      </c>
      <c r="D233" s="11" t="str">
        <f>_xlfn.XLOOKUP(A233,CATÁLOGO!$A$2:$A$846,CATÁLOGO!$E$2:$E$846,"FORA DO CATÁLOGO")</f>
        <v>Ativo</v>
      </c>
      <c r="E233" s="9"/>
      <c r="F233" s="52">
        <f>SUMIFS('AVARIA PINHEIROS'!$C$2:$C$24,'AVARIA PINHEIROS'!$A$2:$A$24,A233)</f>
        <v>0</v>
      </c>
    </row>
    <row r="234" spans="1:6" x14ac:dyDescent="0.3">
      <c r="A234" s="9" t="s">
        <v>167</v>
      </c>
      <c r="B234" s="18" t="str">
        <f>_xlfn.XLOOKUP(A234,CATÁLOGO!$A$2:$A$846,CATÁLOGO!$B$2:$B$846,"FORA DO CATÁLOGO")</f>
        <v>TOP008GM</v>
      </c>
      <c r="C234" s="11">
        <v>6</v>
      </c>
      <c r="D234" s="11" t="str">
        <f>_xlfn.XLOOKUP(A234,CATÁLOGO!$A$2:$A$846,CATÁLOGO!$E$2:$E$846,"FORA DO CATÁLOGO")</f>
        <v>Ativo</v>
      </c>
      <c r="E234" s="9"/>
      <c r="F234" s="52">
        <f>SUMIFS('AVARIA PINHEIROS'!$C$2:$C$24,'AVARIA PINHEIROS'!$A$2:$A$24,A234)</f>
        <v>0</v>
      </c>
    </row>
    <row r="235" spans="1:6" x14ac:dyDescent="0.3">
      <c r="A235" s="9" t="s">
        <v>168</v>
      </c>
      <c r="B235" s="18" t="str">
        <f>_xlfn.XLOOKUP(A235,CATÁLOGO!$A$2:$A$846,CATÁLOGO!$B$2:$B$846,"FORA DO CATÁLOGO")</f>
        <v>TOP008GG</v>
      </c>
      <c r="C235" s="11">
        <v>6</v>
      </c>
      <c r="D235" s="11" t="str">
        <f>_xlfn.XLOOKUP(A235,CATÁLOGO!$A$2:$A$846,CATÁLOGO!$E$2:$E$846,"FORA DO CATÁLOGO")</f>
        <v>Ativo</v>
      </c>
      <c r="E235" s="9"/>
      <c r="F235" s="52">
        <f>SUMIFS('AVARIA PINHEIROS'!$C$2:$C$24,'AVARIA PINHEIROS'!$A$2:$A$24,A235)</f>
        <v>0</v>
      </c>
    </row>
    <row r="236" spans="1:6" x14ac:dyDescent="0.3">
      <c r="A236" s="9" t="s">
        <v>169</v>
      </c>
      <c r="B236" s="18" t="str">
        <f>_xlfn.XLOOKUP(A236,CATÁLOGO!$A$2:$A$846,CATÁLOGO!$B$2:$B$846,"FORA DO CATÁLOGO")</f>
        <v>CAM009HP</v>
      </c>
      <c r="C236" s="11">
        <v>6</v>
      </c>
      <c r="D236" s="11" t="str">
        <f>_xlfn.XLOOKUP(A236,CATÁLOGO!$A$2:$A$846,CATÁLOGO!$E$2:$E$846,"FORA DO CATÁLOGO")</f>
        <v>Ativo</v>
      </c>
      <c r="E236" s="9"/>
      <c r="F236" s="52">
        <f>SUMIFS('AVARIA PINHEIROS'!$C$2:$C$24,'AVARIA PINHEIROS'!$A$2:$A$24,A236)</f>
        <v>0</v>
      </c>
    </row>
    <row r="237" spans="1:6" x14ac:dyDescent="0.3">
      <c r="A237" s="9" t="s">
        <v>170</v>
      </c>
      <c r="B237" s="18" t="str">
        <f>_xlfn.XLOOKUP(A237,CATÁLOGO!$A$2:$A$846,CATÁLOGO!$B$2:$B$846,"FORA DO CATÁLOGO")</f>
        <v>CAM009HM</v>
      </c>
      <c r="C237" s="11">
        <v>6</v>
      </c>
      <c r="D237" s="11" t="str">
        <f>_xlfn.XLOOKUP(A237,CATÁLOGO!$A$2:$A$846,CATÁLOGO!$E$2:$E$846,"FORA DO CATÁLOGO")</f>
        <v>Ativo</v>
      </c>
      <c r="E237" s="9"/>
      <c r="F237" s="52">
        <f>SUMIFS('AVARIA PINHEIROS'!$C$2:$C$24,'AVARIA PINHEIROS'!$A$2:$A$24,A237)</f>
        <v>0</v>
      </c>
    </row>
    <row r="238" spans="1:6" x14ac:dyDescent="0.3">
      <c r="A238" s="9" t="s">
        <v>171</v>
      </c>
      <c r="B238" s="18" t="str">
        <f>_xlfn.XLOOKUP(A238,CATÁLOGO!$A$2:$A$846,CATÁLOGO!$B$2:$B$846,"FORA DO CATÁLOGO")</f>
        <v>CAM009HG</v>
      </c>
      <c r="C238" s="11">
        <v>6</v>
      </c>
      <c r="D238" s="11" t="str">
        <f>_xlfn.XLOOKUP(A238,CATÁLOGO!$A$2:$A$846,CATÁLOGO!$E$2:$E$846,"FORA DO CATÁLOGO")</f>
        <v>Ativo</v>
      </c>
      <c r="E238" s="9"/>
      <c r="F238" s="52">
        <f>SUMIFS('AVARIA PINHEIROS'!$C$2:$C$24,'AVARIA PINHEIROS'!$A$2:$A$24,A238)</f>
        <v>0</v>
      </c>
    </row>
    <row r="239" spans="1:6" x14ac:dyDescent="0.3">
      <c r="A239" s="9" t="s">
        <v>172</v>
      </c>
      <c r="B239" s="18" t="str">
        <f>_xlfn.XLOOKUP(A239,CATÁLOGO!$A$2:$A$846,CATÁLOGO!$B$2:$B$846,"FORA DO CATÁLOGO")</f>
        <v>CAM009HGG</v>
      </c>
      <c r="C239" s="11">
        <v>4</v>
      </c>
      <c r="D239" s="11" t="str">
        <f>_xlfn.XLOOKUP(A239,CATÁLOGO!$A$2:$A$846,CATÁLOGO!$E$2:$E$846,"FORA DO CATÁLOGO")</f>
        <v>Ativo</v>
      </c>
      <c r="E239" s="9"/>
      <c r="F239" s="52">
        <f>SUMIFS('AVARIA PINHEIROS'!$C$2:$C$24,'AVARIA PINHEIROS'!$A$2:$A$24,A239)</f>
        <v>0</v>
      </c>
    </row>
    <row r="240" spans="1:6" x14ac:dyDescent="0.3">
      <c r="A240" s="9" t="s">
        <v>173</v>
      </c>
      <c r="B240" s="18" t="str">
        <f>_xlfn.XLOOKUP(A240,CATÁLOGO!$A$2:$A$846,CATÁLOGO!$B$2:$B$846,"FORA DO CATÁLOGO")</f>
        <v>TOP009GP</v>
      </c>
      <c r="C240" s="11">
        <v>1</v>
      </c>
      <c r="D240" s="11" t="str">
        <f>_xlfn.XLOOKUP(A240,CATÁLOGO!$A$2:$A$846,CATÁLOGO!$E$2:$E$846,"FORA DO CATÁLOGO")</f>
        <v>Descontinuado</v>
      </c>
      <c r="E240" s="9"/>
      <c r="F240" s="52">
        <f>SUMIFS('AVARIA PINHEIROS'!$C$2:$C$24,'AVARIA PINHEIROS'!$A$2:$A$24,A240)</f>
        <v>0</v>
      </c>
    </row>
    <row r="241" spans="1:6" x14ac:dyDescent="0.3">
      <c r="A241" s="9" t="s">
        <v>174</v>
      </c>
      <c r="B241" s="18" t="str">
        <f>_xlfn.XLOOKUP(A241,CATÁLOGO!$A$2:$A$846,CATÁLOGO!$B$2:$B$846,"FORA DO CATÁLOGO")</f>
        <v>TOP009GM</v>
      </c>
      <c r="C241" s="11">
        <v>2</v>
      </c>
      <c r="D241" s="11" t="str">
        <f>_xlfn.XLOOKUP(A241,CATÁLOGO!$A$2:$A$846,CATÁLOGO!$E$2:$E$846,"FORA DO CATÁLOGO")</f>
        <v>Descontinuado</v>
      </c>
      <c r="E241" s="9"/>
      <c r="F241" s="52">
        <f>SUMIFS('AVARIA PINHEIROS'!$C$2:$C$24,'AVARIA PINHEIROS'!$A$2:$A$24,A241)</f>
        <v>0</v>
      </c>
    </row>
    <row r="242" spans="1:6" x14ac:dyDescent="0.3">
      <c r="A242" s="9" t="s">
        <v>175</v>
      </c>
      <c r="B242" s="18" t="str">
        <f>_xlfn.XLOOKUP(A242,CATÁLOGO!$A$2:$A$846,CATÁLOGO!$B$2:$B$846,"FORA DO CATÁLOGO")</f>
        <v>TOP009GG</v>
      </c>
      <c r="C242" s="11">
        <v>2</v>
      </c>
      <c r="D242" s="11" t="str">
        <f>_xlfn.XLOOKUP(A242,CATÁLOGO!$A$2:$A$846,CATÁLOGO!$E$2:$E$846,"FORA DO CATÁLOGO")</f>
        <v>Descontinuado</v>
      </c>
      <c r="E242" s="9"/>
      <c r="F242" s="52">
        <f>SUMIFS('AVARIA PINHEIROS'!$C$2:$C$24,'AVARIA PINHEIROS'!$A$2:$A$24,A242)</f>
        <v>0</v>
      </c>
    </row>
    <row r="243" spans="1:6" x14ac:dyDescent="0.3">
      <c r="A243" s="9" t="s">
        <v>176</v>
      </c>
      <c r="B243" s="18" t="str">
        <f>_xlfn.XLOOKUP(A243,CATÁLOGO!$A$2:$A$846,CATÁLOGO!$B$2:$B$846,"FORA DO CATÁLOGO")</f>
        <v>TOP009GGG</v>
      </c>
      <c r="C243" s="11">
        <v>0</v>
      </c>
      <c r="D243" s="11" t="str">
        <f>_xlfn.XLOOKUP(A243,CATÁLOGO!$A$2:$A$846,CATÁLOGO!$E$2:$E$846,"FORA DO CATÁLOGO")</f>
        <v>Descontinuado</v>
      </c>
      <c r="E243" s="9"/>
      <c r="F243" s="52">
        <f>SUMIFS('AVARIA PINHEIROS'!$C$2:$C$24,'AVARIA PINHEIROS'!$A$2:$A$24,A243)</f>
        <v>0</v>
      </c>
    </row>
    <row r="244" spans="1:6" x14ac:dyDescent="0.3">
      <c r="A244" s="9" t="s">
        <v>177</v>
      </c>
      <c r="B244" s="18" t="str">
        <f>_xlfn.XLOOKUP(A244,CATÁLOGO!$A$2:$A$846,CATÁLOGO!$B$2:$B$846,"FORA DO CATÁLOGO")</f>
        <v>TOP010YP</v>
      </c>
      <c r="C244" s="11">
        <v>3</v>
      </c>
      <c r="D244" s="11" t="str">
        <f>_xlfn.XLOOKUP(A244,CATÁLOGO!$A$2:$A$846,CATÁLOGO!$E$2:$E$846,"FORA DO CATÁLOGO")</f>
        <v>Descontinuado</v>
      </c>
      <c r="E244" s="9"/>
      <c r="F244" s="52">
        <f>SUMIFS('AVARIA PINHEIROS'!$C$2:$C$24,'AVARIA PINHEIROS'!$A$2:$A$24,A244)</f>
        <v>0</v>
      </c>
    </row>
    <row r="245" spans="1:6" x14ac:dyDescent="0.3">
      <c r="A245" s="9" t="s">
        <v>178</v>
      </c>
      <c r="B245" s="18" t="str">
        <f>_xlfn.XLOOKUP(A245,CATÁLOGO!$A$2:$A$846,CATÁLOGO!$B$2:$B$846,"FORA DO CATÁLOGO")</f>
        <v>TOP010YM</v>
      </c>
      <c r="C245" s="11">
        <v>0</v>
      </c>
      <c r="D245" s="11" t="str">
        <f>_xlfn.XLOOKUP(A245,CATÁLOGO!$A$2:$A$846,CATÁLOGO!$E$2:$E$846,"FORA DO CATÁLOGO")</f>
        <v>Descontinuado</v>
      </c>
      <c r="E245" s="9" t="s">
        <v>1345</v>
      </c>
      <c r="F245" s="52">
        <f>SUMIFS('AVARIA PINHEIROS'!$C$2:$C$24,'AVARIA PINHEIROS'!$A$2:$A$24,A245)</f>
        <v>1</v>
      </c>
    </row>
    <row r="246" spans="1:6" x14ac:dyDescent="0.3">
      <c r="A246" s="9" t="s">
        <v>179</v>
      </c>
      <c r="B246" s="18" t="str">
        <f>_xlfn.XLOOKUP(A246,CATÁLOGO!$A$2:$A$846,CATÁLOGO!$B$2:$B$846,"FORA DO CATÁLOGO")</f>
        <v>TOP010YG</v>
      </c>
      <c r="C246" s="11">
        <v>2</v>
      </c>
      <c r="D246" s="11" t="str">
        <f>_xlfn.XLOOKUP(A246,CATÁLOGO!$A$2:$A$846,CATÁLOGO!$E$2:$E$846,"FORA DO CATÁLOGO")</f>
        <v>Descontinuado</v>
      </c>
      <c r="E246" s="9"/>
      <c r="F246" s="52">
        <f>SUMIFS('AVARIA PINHEIROS'!$C$2:$C$24,'AVARIA PINHEIROS'!$A$2:$A$24,A246)</f>
        <v>0</v>
      </c>
    </row>
    <row r="247" spans="1:6" x14ac:dyDescent="0.3">
      <c r="A247" s="9" t="s">
        <v>180</v>
      </c>
      <c r="B247" s="18" t="str">
        <f>_xlfn.XLOOKUP(A247,CATÁLOGO!$A$2:$A$846,CATÁLOGO!$B$2:$B$846,"FORA DO CATÁLOGO")</f>
        <v>TOP010HM</v>
      </c>
      <c r="C247" s="11">
        <v>2</v>
      </c>
      <c r="D247" s="11" t="str">
        <f>_xlfn.XLOOKUP(A247,CATÁLOGO!$A$2:$A$846,CATÁLOGO!$E$2:$E$846,"FORA DO CATÁLOGO")</f>
        <v>Descontinuado</v>
      </c>
      <c r="E247" s="9" t="s">
        <v>7</v>
      </c>
      <c r="F247" s="52">
        <f>SUMIFS('AVARIA PINHEIROS'!$C$2:$C$24,'AVARIA PINHEIROS'!$A$2:$A$24,A247)</f>
        <v>0</v>
      </c>
    </row>
    <row r="248" spans="1:6" x14ac:dyDescent="0.3">
      <c r="A248" s="9" t="s">
        <v>181</v>
      </c>
      <c r="B248" s="18" t="str">
        <f>_xlfn.XLOOKUP(A248,CATÁLOGO!$A$2:$A$846,CATÁLOGO!$B$2:$B$846,"FORA DO CATÁLOGO")</f>
        <v>TOP010HG</v>
      </c>
      <c r="C248" s="11">
        <v>1</v>
      </c>
      <c r="D248" s="11" t="str">
        <f>_xlfn.XLOOKUP(A248,CATÁLOGO!$A$2:$A$846,CATÁLOGO!$E$2:$E$846,"FORA DO CATÁLOGO")</f>
        <v>Descontinuado</v>
      </c>
      <c r="E248" s="9"/>
      <c r="F248" s="52">
        <f>SUMIFS('AVARIA PINHEIROS'!$C$2:$C$24,'AVARIA PINHEIROS'!$A$2:$A$24,A248)</f>
        <v>0</v>
      </c>
    </row>
    <row r="249" spans="1:6" x14ac:dyDescent="0.3">
      <c r="A249" s="9" t="s">
        <v>182</v>
      </c>
      <c r="B249" s="18" t="str">
        <f>_xlfn.XLOOKUP(A249,CATÁLOGO!$A$2:$A$846,CATÁLOGO!$B$2:$B$846,"FORA DO CATÁLOGO")</f>
        <v>CAM010VP</v>
      </c>
      <c r="C249" s="11">
        <v>1</v>
      </c>
      <c r="D249" s="11" t="str">
        <f>_xlfn.XLOOKUP(A249,CATÁLOGO!$A$2:$A$846,CATÁLOGO!$E$2:$E$846,"FORA DO CATÁLOGO")</f>
        <v>Descontinuado</v>
      </c>
      <c r="E249" s="9"/>
      <c r="F249" s="52">
        <f>SUMIFS('AVARIA PINHEIROS'!$C$2:$C$24,'AVARIA PINHEIROS'!$A$2:$A$24,A249)</f>
        <v>0</v>
      </c>
    </row>
    <row r="250" spans="1:6" x14ac:dyDescent="0.3">
      <c r="A250" s="9" t="s">
        <v>183</v>
      </c>
      <c r="B250" s="18" t="str">
        <f>_xlfn.XLOOKUP(A250,CATÁLOGO!$A$2:$A$846,CATÁLOGO!$B$2:$B$846,"FORA DO CATÁLOGO")</f>
        <v>CAM010VM</v>
      </c>
      <c r="C250" s="11">
        <v>2</v>
      </c>
      <c r="D250" s="11" t="str">
        <f>_xlfn.XLOOKUP(A250,CATÁLOGO!$A$2:$A$846,CATÁLOGO!$E$2:$E$846,"FORA DO CATÁLOGO")</f>
        <v>Descontinuado</v>
      </c>
      <c r="E250" s="9"/>
      <c r="F250" s="52">
        <f>SUMIFS('AVARIA PINHEIROS'!$C$2:$C$24,'AVARIA PINHEIROS'!$A$2:$A$24,A250)</f>
        <v>0</v>
      </c>
    </row>
    <row r="251" spans="1:6" x14ac:dyDescent="0.3">
      <c r="A251" s="9" t="s">
        <v>184</v>
      </c>
      <c r="B251" s="18" t="str">
        <f>_xlfn.XLOOKUP(A251,CATÁLOGO!$A$2:$A$846,CATÁLOGO!$B$2:$B$846,"FORA DO CATÁLOGO")</f>
        <v>CAM010VG</v>
      </c>
      <c r="C251" s="11">
        <v>2</v>
      </c>
      <c r="D251" s="11" t="str">
        <f>_xlfn.XLOOKUP(A251,CATÁLOGO!$A$2:$A$846,CATÁLOGO!$E$2:$E$846,"FORA DO CATÁLOGO")</f>
        <v>Descontinuado</v>
      </c>
      <c r="E251" s="9"/>
      <c r="F251" s="52">
        <f>SUMIFS('AVARIA PINHEIROS'!$C$2:$C$24,'AVARIA PINHEIROS'!$A$2:$A$24,A251)</f>
        <v>0</v>
      </c>
    </row>
    <row r="252" spans="1:6" x14ac:dyDescent="0.3">
      <c r="A252" s="9" t="s">
        <v>185</v>
      </c>
      <c r="B252" s="18" t="str">
        <f>_xlfn.XLOOKUP(A252,CATÁLOGO!$A$2:$A$846,CATÁLOGO!$B$2:$B$846,"FORA DO CATÁLOGO")</f>
        <v>CAM010VGG</v>
      </c>
      <c r="C252" s="11">
        <v>1</v>
      </c>
      <c r="D252" s="11" t="str">
        <f>_xlfn.XLOOKUP(A252,CATÁLOGO!$A$2:$A$846,CATÁLOGO!$E$2:$E$846,"FORA DO CATÁLOGO")</f>
        <v>Descontinuado</v>
      </c>
      <c r="E252" s="9"/>
      <c r="F252" s="52">
        <f>SUMIFS('AVARIA PINHEIROS'!$C$2:$C$24,'AVARIA PINHEIROS'!$A$2:$A$24,A252)</f>
        <v>0</v>
      </c>
    </row>
    <row r="253" spans="1:6" x14ac:dyDescent="0.3">
      <c r="A253" s="9" t="s">
        <v>186</v>
      </c>
      <c r="B253" s="18" t="str">
        <f>_xlfn.XLOOKUP(A253,CATÁLOGO!$A$2:$A$846,CATÁLOGO!$B$2:$B$846,"FORA DO CATÁLOGO")</f>
        <v>CAM010HG</v>
      </c>
      <c r="C253" s="11">
        <v>1</v>
      </c>
      <c r="D253" s="11" t="str">
        <f>_xlfn.XLOOKUP(A253,CATÁLOGO!$A$2:$A$846,CATÁLOGO!$E$2:$E$846,"FORA DO CATÁLOGO")</f>
        <v>Descontinuado</v>
      </c>
      <c r="E253" s="9"/>
      <c r="F253" s="52">
        <f>SUMIFS('AVARIA PINHEIROS'!$C$2:$C$24,'AVARIA PINHEIROS'!$A$2:$A$24,A253)</f>
        <v>0</v>
      </c>
    </row>
    <row r="254" spans="1:6" x14ac:dyDescent="0.3">
      <c r="A254" s="9" t="s">
        <v>187</v>
      </c>
      <c r="B254" s="18" t="str">
        <f>_xlfn.XLOOKUP(A254,CATÁLOGO!$A$2:$A$846,CATÁLOGO!$B$2:$B$846,"FORA DO CATÁLOGO")</f>
        <v>CAM011HP</v>
      </c>
      <c r="C254" s="11">
        <v>2</v>
      </c>
      <c r="D254" s="11" t="str">
        <f>_xlfn.XLOOKUP(A254,CATÁLOGO!$A$2:$A$846,CATÁLOGO!$E$2:$E$846,"FORA DO CATÁLOGO")</f>
        <v>Descontinuado</v>
      </c>
      <c r="E254" s="9" t="s">
        <v>4</v>
      </c>
      <c r="F254" s="52">
        <f>SUMIFS('AVARIA PINHEIROS'!$C$2:$C$24,'AVARIA PINHEIROS'!$A$2:$A$24,A254)</f>
        <v>0</v>
      </c>
    </row>
    <row r="255" spans="1:6" x14ac:dyDescent="0.3">
      <c r="A255" s="9" t="s">
        <v>188</v>
      </c>
      <c r="B255" s="18" t="str">
        <f>_xlfn.XLOOKUP(A255,CATÁLOGO!$A$2:$A$846,CATÁLOGO!$B$2:$B$846,"FORA DO CATÁLOGO")</f>
        <v>CAM011HM</v>
      </c>
      <c r="C255" s="11">
        <v>1</v>
      </c>
      <c r="D255" s="11" t="str">
        <f>_xlfn.XLOOKUP(A255,CATÁLOGO!$A$2:$A$846,CATÁLOGO!$E$2:$E$846,"FORA DO CATÁLOGO")</f>
        <v>Descontinuado</v>
      </c>
      <c r="E255" s="9"/>
      <c r="F255" s="52">
        <f>SUMIFS('AVARIA PINHEIROS'!$C$2:$C$24,'AVARIA PINHEIROS'!$A$2:$A$24,A255)</f>
        <v>0</v>
      </c>
    </row>
    <row r="256" spans="1:6" x14ac:dyDescent="0.3">
      <c r="A256" s="9" t="s">
        <v>189</v>
      </c>
      <c r="B256" s="18" t="str">
        <f>_xlfn.XLOOKUP(A256,CATÁLOGO!$A$2:$A$846,CATÁLOGO!$B$2:$B$846,"FORA DO CATÁLOGO")</f>
        <v>CAM011HG</v>
      </c>
      <c r="C256" s="11">
        <v>2</v>
      </c>
      <c r="D256" s="11" t="str">
        <f>_xlfn.XLOOKUP(A256,CATÁLOGO!$A$2:$A$846,CATÁLOGO!$E$2:$E$846,"FORA DO CATÁLOGO")</f>
        <v>Descontinuado</v>
      </c>
      <c r="E256" s="9"/>
      <c r="F256" s="52">
        <f>SUMIFS('AVARIA PINHEIROS'!$C$2:$C$24,'AVARIA PINHEIROS'!$A$2:$A$24,A256)</f>
        <v>0</v>
      </c>
    </row>
    <row r="257" spans="1:6" x14ac:dyDescent="0.3">
      <c r="A257" s="9" t="s">
        <v>190</v>
      </c>
      <c r="B257" s="18" t="str">
        <f>_xlfn.XLOOKUP(A257,CATÁLOGO!$A$2:$A$846,CATÁLOGO!$B$2:$B$846,"FORA DO CATÁLOGO")</f>
        <v>CAM011LM</v>
      </c>
      <c r="C257" s="11">
        <v>2</v>
      </c>
      <c r="D257" s="11" t="str">
        <f>_xlfn.XLOOKUP(A257,CATÁLOGO!$A$2:$A$846,CATÁLOGO!$E$2:$E$846,"FORA DO CATÁLOGO")</f>
        <v>Descontinuado</v>
      </c>
      <c r="E257" s="9"/>
      <c r="F257" s="52">
        <f>SUMIFS('AVARIA PINHEIROS'!$C$2:$C$24,'AVARIA PINHEIROS'!$A$2:$A$24,A257)</f>
        <v>0</v>
      </c>
    </row>
    <row r="258" spans="1:6" x14ac:dyDescent="0.3">
      <c r="A258" s="9" t="s">
        <v>191</v>
      </c>
      <c r="B258" s="18" t="str">
        <f>_xlfn.XLOOKUP(A258,CATÁLOGO!$A$2:$A$846,CATÁLOGO!$B$2:$B$846,"FORA DO CATÁLOGO")</f>
        <v>CMS007LM</v>
      </c>
      <c r="C258" s="11">
        <v>1</v>
      </c>
      <c r="D258" s="11" t="str">
        <f>_xlfn.XLOOKUP(A258,CATÁLOGO!$A$2:$A$846,CATÁLOGO!$E$2:$E$846,"FORA DO CATÁLOGO")</f>
        <v>Descontinuado</v>
      </c>
      <c r="E258" s="9"/>
      <c r="F258" s="52">
        <f>SUMIFS('AVARIA PINHEIROS'!$C$2:$C$24,'AVARIA PINHEIROS'!$A$2:$A$24,A258)</f>
        <v>0</v>
      </c>
    </row>
    <row r="259" spans="1:6" x14ac:dyDescent="0.3">
      <c r="A259" s="9" t="s">
        <v>192</v>
      </c>
      <c r="B259" s="18" t="str">
        <f>_xlfn.XLOOKUP(A259,CATÁLOGO!$A$2:$A$846,CATÁLOGO!$B$2:$B$846,"FORA DO CATÁLOGO")</f>
        <v>CMS007LG</v>
      </c>
      <c r="C259" s="11">
        <v>3</v>
      </c>
      <c r="D259" s="11" t="str">
        <f>_xlfn.XLOOKUP(A259,CATÁLOGO!$A$2:$A$846,CATÁLOGO!$E$2:$E$846,"FORA DO CATÁLOGO")</f>
        <v>Descontinuado</v>
      </c>
      <c r="E259" s="9"/>
      <c r="F259" s="52">
        <f>SUMIFS('AVARIA PINHEIROS'!$C$2:$C$24,'AVARIA PINHEIROS'!$A$2:$A$24,A259)</f>
        <v>0</v>
      </c>
    </row>
    <row r="260" spans="1:6" x14ac:dyDescent="0.3">
      <c r="A260" s="9" t="s">
        <v>193</v>
      </c>
      <c r="B260" s="18" t="str">
        <f>_xlfn.XLOOKUP(A260,CATÁLOGO!$A$2:$A$846,CATÁLOGO!$B$2:$B$846,"FORA DO CATÁLOGO")</f>
        <v>CMS007LGG</v>
      </c>
      <c r="C260" s="11">
        <v>3</v>
      </c>
      <c r="D260" s="11" t="str">
        <f>_xlfn.XLOOKUP(A260,CATÁLOGO!$A$2:$A$846,CATÁLOGO!$E$2:$E$846,"FORA DO CATÁLOGO")</f>
        <v>Descontinuado</v>
      </c>
      <c r="E260" s="9"/>
      <c r="F260" s="52">
        <f>SUMIFS('AVARIA PINHEIROS'!$C$2:$C$24,'AVARIA PINHEIROS'!$A$2:$A$24,A260)</f>
        <v>0</v>
      </c>
    </row>
    <row r="261" spans="1:6" x14ac:dyDescent="0.3">
      <c r="A261" s="9" t="s">
        <v>194</v>
      </c>
      <c r="B261" s="18" t="str">
        <f>_xlfn.XLOOKUP(A261,CATÁLOGO!$A$2:$A$846,CATÁLOGO!$B$2:$B$846,"FORA DO CATÁLOGO")</f>
        <v>CMS007BP</v>
      </c>
      <c r="C261" s="11">
        <v>2</v>
      </c>
      <c r="D261" s="11" t="str">
        <f>_xlfn.XLOOKUP(A261,CATÁLOGO!$A$2:$A$846,CATÁLOGO!$E$2:$E$846,"FORA DO CATÁLOGO")</f>
        <v>Descontinuado</v>
      </c>
      <c r="E261" s="9"/>
      <c r="F261" s="52">
        <f>SUMIFS('AVARIA PINHEIROS'!$C$2:$C$24,'AVARIA PINHEIROS'!$A$2:$A$24,A261)</f>
        <v>0</v>
      </c>
    </row>
    <row r="262" spans="1:6" x14ac:dyDescent="0.3">
      <c r="A262" s="9" t="s">
        <v>195</v>
      </c>
      <c r="B262" s="18" t="str">
        <f>_xlfn.XLOOKUP(A262,CATÁLOGO!$A$2:$A$846,CATÁLOGO!$B$2:$B$846,"FORA DO CATÁLOGO")</f>
        <v>CMS007BM</v>
      </c>
      <c r="C262" s="11">
        <v>1</v>
      </c>
      <c r="D262" s="11" t="str">
        <f>_xlfn.XLOOKUP(A262,CATÁLOGO!$A$2:$A$846,CATÁLOGO!$E$2:$E$846,"FORA DO CATÁLOGO")</f>
        <v>Descontinuado</v>
      </c>
      <c r="E262" s="9"/>
      <c r="F262" s="52">
        <f>SUMIFS('AVARIA PINHEIROS'!$C$2:$C$24,'AVARIA PINHEIROS'!$A$2:$A$24,A262)</f>
        <v>0</v>
      </c>
    </row>
    <row r="263" spans="1:6" x14ac:dyDescent="0.3">
      <c r="A263" s="9" t="s">
        <v>196</v>
      </c>
      <c r="B263" s="18" t="str">
        <f>_xlfn.XLOOKUP(A263,CATÁLOGO!$A$2:$A$846,CATÁLOGO!$B$2:$B$846,"FORA DO CATÁLOGO")</f>
        <v>CMS007BG</v>
      </c>
      <c r="C263" s="11">
        <v>1</v>
      </c>
      <c r="D263" s="11" t="str">
        <f>_xlfn.XLOOKUP(A263,CATÁLOGO!$A$2:$A$846,CATÁLOGO!$E$2:$E$846,"FORA DO CATÁLOGO")</f>
        <v>Descontinuado</v>
      </c>
      <c r="E263" s="9"/>
      <c r="F263" s="52">
        <f>SUMIFS('AVARIA PINHEIROS'!$C$2:$C$24,'AVARIA PINHEIROS'!$A$2:$A$24,A263)</f>
        <v>0</v>
      </c>
    </row>
    <row r="264" spans="1:6" x14ac:dyDescent="0.3">
      <c r="A264" s="9" t="s">
        <v>197</v>
      </c>
      <c r="B264" s="18" t="str">
        <f>_xlfn.XLOOKUP(A264,CATÁLOGO!$A$2:$A$846,CATÁLOGO!$B$2:$B$846,"FORA DO CATÁLOGO")</f>
        <v>CMS007BGG</v>
      </c>
      <c r="C264" s="11">
        <v>2</v>
      </c>
      <c r="D264" s="11" t="str">
        <f>_xlfn.XLOOKUP(A264,CATÁLOGO!$A$2:$A$846,CATÁLOGO!$E$2:$E$846,"FORA DO CATÁLOGO")</f>
        <v>Descontinuado</v>
      </c>
      <c r="E264" s="9"/>
      <c r="F264" s="52">
        <f>SUMIFS('AVARIA PINHEIROS'!$C$2:$C$24,'AVARIA PINHEIROS'!$A$2:$A$24,A264)</f>
        <v>0</v>
      </c>
    </row>
    <row r="265" spans="1:6" x14ac:dyDescent="0.3">
      <c r="A265" s="9" t="s">
        <v>198</v>
      </c>
      <c r="B265" s="18" t="str">
        <f>_xlfn.XLOOKUP(A265,CATÁLOGO!$A$2:$A$846,CATÁLOGO!$B$2:$B$846,"FORA DO CATÁLOGO")</f>
        <v>CAM012VP</v>
      </c>
      <c r="C265" s="11">
        <v>7</v>
      </c>
      <c r="D265" s="11" t="str">
        <f>_xlfn.XLOOKUP(A265,CATÁLOGO!$A$2:$A$846,CATÁLOGO!$E$2:$E$846,"FORA DO CATÁLOGO")</f>
        <v>Ativo</v>
      </c>
      <c r="E265" s="9"/>
      <c r="F265" s="52">
        <f>SUMIFS('AVARIA PINHEIROS'!$C$2:$C$24,'AVARIA PINHEIROS'!$A$2:$A$24,A265)</f>
        <v>0</v>
      </c>
    </row>
    <row r="266" spans="1:6" x14ac:dyDescent="0.3">
      <c r="A266" s="9" t="s">
        <v>199</v>
      </c>
      <c r="B266" s="18" t="str">
        <f>_xlfn.XLOOKUP(A266,CATÁLOGO!$A$2:$A$846,CATÁLOGO!$B$2:$B$846,"FORA DO CATÁLOGO")</f>
        <v>CAM012VM</v>
      </c>
      <c r="C266" s="11">
        <v>6</v>
      </c>
      <c r="D266" s="11" t="str">
        <f>_xlfn.XLOOKUP(A266,CATÁLOGO!$A$2:$A$846,CATÁLOGO!$E$2:$E$846,"FORA DO CATÁLOGO")</f>
        <v>Ativo</v>
      </c>
      <c r="E266" s="9"/>
      <c r="F266" s="52">
        <f>SUMIFS('AVARIA PINHEIROS'!$C$2:$C$24,'AVARIA PINHEIROS'!$A$2:$A$24,A266)</f>
        <v>0</v>
      </c>
    </row>
    <row r="267" spans="1:6" x14ac:dyDescent="0.3">
      <c r="A267" s="9" t="s">
        <v>200</v>
      </c>
      <c r="B267" s="18" t="str">
        <f>_xlfn.XLOOKUP(A267,CATÁLOGO!$A$2:$A$846,CATÁLOGO!$B$2:$B$846,"FORA DO CATÁLOGO")</f>
        <v>CAM012VG</v>
      </c>
      <c r="C267" s="11">
        <v>6</v>
      </c>
      <c r="D267" s="11" t="str">
        <f>_xlfn.XLOOKUP(A267,CATÁLOGO!$A$2:$A$846,CATÁLOGO!$E$2:$E$846,"FORA DO CATÁLOGO")</f>
        <v>Ativo</v>
      </c>
      <c r="E267" s="9"/>
      <c r="F267" s="52">
        <f>SUMIFS('AVARIA PINHEIROS'!$C$2:$C$24,'AVARIA PINHEIROS'!$A$2:$A$24,A267)</f>
        <v>0</v>
      </c>
    </row>
    <row r="268" spans="1:6" x14ac:dyDescent="0.3">
      <c r="A268" s="9" t="s">
        <v>201</v>
      </c>
      <c r="B268" s="18" t="str">
        <f>_xlfn.XLOOKUP(A268,CATÁLOGO!$A$2:$A$846,CATÁLOGO!$B$2:$B$846,"FORA DO CATÁLOGO")</f>
        <v>CAM012VGG</v>
      </c>
      <c r="C268" s="11">
        <v>4</v>
      </c>
      <c r="D268" s="11" t="str">
        <f>_xlfn.XLOOKUP(A268,CATÁLOGO!$A$2:$A$846,CATÁLOGO!$E$2:$E$846,"FORA DO CATÁLOGO")</f>
        <v>Ativo</v>
      </c>
      <c r="E268" s="9"/>
      <c r="F268" s="52">
        <f>SUMIFS('AVARIA PINHEIROS'!$C$2:$C$24,'AVARIA PINHEIROS'!$A$2:$A$24,A268)</f>
        <v>0</v>
      </c>
    </row>
    <row r="269" spans="1:6" x14ac:dyDescent="0.3">
      <c r="A269" s="9" t="s">
        <v>202</v>
      </c>
      <c r="B269" s="18" t="str">
        <f>_xlfn.XLOOKUP(A269,CATÁLOGO!$A$2:$A$846,CATÁLOGO!$B$2:$B$846,"FORA DO CATÁLOGO")</f>
        <v>MOL010YP</v>
      </c>
      <c r="C269" s="11">
        <v>6</v>
      </c>
      <c r="D269" s="11" t="str">
        <f>_xlfn.XLOOKUP(A269,CATÁLOGO!$A$2:$A$846,CATÁLOGO!$E$2:$E$846,"FORA DO CATÁLOGO")</f>
        <v>Ativo</v>
      </c>
      <c r="E269" s="9"/>
      <c r="F269" s="52">
        <f>SUMIFS('AVARIA PINHEIROS'!$C$2:$C$24,'AVARIA PINHEIROS'!$A$2:$A$24,A269)</f>
        <v>0</v>
      </c>
    </row>
    <row r="270" spans="1:6" x14ac:dyDescent="0.3">
      <c r="A270" s="9" t="s">
        <v>203</v>
      </c>
      <c r="B270" s="18" t="str">
        <f>_xlfn.XLOOKUP(A270,CATÁLOGO!$A$2:$A$846,CATÁLOGO!$B$2:$B$846,"FORA DO CATÁLOGO")</f>
        <v>MOL010YM</v>
      </c>
      <c r="C270" s="11">
        <v>6</v>
      </c>
      <c r="D270" s="11" t="str">
        <f>_xlfn.XLOOKUP(A270,CATÁLOGO!$A$2:$A$846,CATÁLOGO!$E$2:$E$846,"FORA DO CATÁLOGO")</f>
        <v>Ativo</v>
      </c>
      <c r="E270" s="9"/>
      <c r="F270" s="52">
        <f>SUMIFS('AVARIA PINHEIROS'!$C$2:$C$24,'AVARIA PINHEIROS'!$A$2:$A$24,A270)</f>
        <v>0</v>
      </c>
    </row>
    <row r="271" spans="1:6" x14ac:dyDescent="0.3">
      <c r="A271" s="9" t="s">
        <v>204</v>
      </c>
      <c r="B271" s="18" t="str">
        <f>_xlfn.XLOOKUP(A271,CATÁLOGO!$A$2:$A$846,CATÁLOGO!$B$2:$B$846,"FORA DO CATÁLOGO")</f>
        <v>MOL010YG</v>
      </c>
      <c r="C271" s="11">
        <v>7</v>
      </c>
      <c r="D271" s="11" t="str">
        <f>_xlfn.XLOOKUP(A271,CATÁLOGO!$A$2:$A$846,CATÁLOGO!$E$2:$E$846,"FORA DO CATÁLOGO")</f>
        <v>Ativo</v>
      </c>
      <c r="E271" s="9"/>
      <c r="F271" s="52">
        <f>SUMIFS('AVARIA PINHEIROS'!$C$2:$C$24,'AVARIA PINHEIROS'!$A$2:$A$24,A271)</f>
        <v>0</v>
      </c>
    </row>
    <row r="272" spans="1:6" x14ac:dyDescent="0.3">
      <c r="A272" s="9" t="s">
        <v>205</v>
      </c>
      <c r="B272" s="18" t="str">
        <f>_xlfn.XLOOKUP(A272,CATÁLOGO!$A$2:$A$846,CATÁLOGO!$B$2:$B$846,"FORA DO CATÁLOGO")</f>
        <v>JAQ004HP</v>
      </c>
      <c r="C272" s="11">
        <v>6</v>
      </c>
      <c r="D272" s="11" t="str">
        <f>_xlfn.XLOOKUP(A272,CATÁLOGO!$A$2:$A$846,CATÁLOGO!$E$2:$E$846,"FORA DO CATÁLOGO")</f>
        <v>Ativo</v>
      </c>
      <c r="E272" s="9"/>
      <c r="F272" s="52">
        <f>SUMIFS('AVARIA PINHEIROS'!$C$2:$C$24,'AVARIA PINHEIROS'!$A$2:$A$24,A272)</f>
        <v>0</v>
      </c>
    </row>
    <row r="273" spans="1:6" x14ac:dyDescent="0.3">
      <c r="A273" s="9" t="s">
        <v>206</v>
      </c>
      <c r="B273" s="18" t="str">
        <f>_xlfn.XLOOKUP(A273,CATÁLOGO!$A$2:$A$846,CATÁLOGO!$B$2:$B$846,"FORA DO CATÁLOGO")</f>
        <v>JAQ004HM</v>
      </c>
      <c r="C273" s="11">
        <v>6</v>
      </c>
      <c r="D273" s="11" t="str">
        <f>_xlfn.XLOOKUP(A273,CATÁLOGO!$A$2:$A$846,CATÁLOGO!$E$2:$E$846,"FORA DO CATÁLOGO")</f>
        <v>Ativo</v>
      </c>
      <c r="E273" s="9"/>
      <c r="F273" s="52">
        <f>SUMIFS('AVARIA PINHEIROS'!$C$2:$C$24,'AVARIA PINHEIROS'!$A$2:$A$24,A273)</f>
        <v>0</v>
      </c>
    </row>
    <row r="274" spans="1:6" x14ac:dyDescent="0.3">
      <c r="A274" s="9" t="s">
        <v>207</v>
      </c>
      <c r="B274" s="18" t="str">
        <f>_xlfn.XLOOKUP(A274,CATÁLOGO!$A$2:$A$846,CATÁLOGO!$B$2:$B$846,"FORA DO CATÁLOGO")</f>
        <v>JAQ004HG</v>
      </c>
      <c r="C274" s="11">
        <v>6</v>
      </c>
      <c r="D274" s="11" t="str">
        <f>_xlfn.XLOOKUP(A274,CATÁLOGO!$A$2:$A$846,CATÁLOGO!$E$2:$E$846,"FORA DO CATÁLOGO")</f>
        <v>Ativo</v>
      </c>
      <c r="E274" s="9"/>
      <c r="F274" s="52">
        <f>SUMIFS('AVARIA PINHEIROS'!$C$2:$C$24,'AVARIA PINHEIROS'!$A$2:$A$24,A274)</f>
        <v>0</v>
      </c>
    </row>
    <row r="275" spans="1:6" x14ac:dyDescent="0.3">
      <c r="A275" s="9" t="s">
        <v>208</v>
      </c>
      <c r="B275" s="18" t="str">
        <f>_xlfn.XLOOKUP(A275,CATÁLOGO!$A$2:$A$846,CATÁLOGO!$B$2:$B$846,"FORA DO CATÁLOGO")</f>
        <v>JAQ004HGG</v>
      </c>
      <c r="C275" s="11">
        <v>4</v>
      </c>
      <c r="D275" s="11" t="str">
        <f>_xlfn.XLOOKUP(A275,CATÁLOGO!$A$2:$A$846,CATÁLOGO!$E$2:$E$846,"FORA DO CATÁLOGO")</f>
        <v>Ativo</v>
      </c>
      <c r="E275" s="9"/>
      <c r="F275" s="52">
        <f>SUMIFS('AVARIA PINHEIROS'!$C$2:$C$24,'AVARIA PINHEIROS'!$A$2:$A$24,A275)</f>
        <v>0</v>
      </c>
    </row>
    <row r="276" spans="1:6" x14ac:dyDescent="0.3">
      <c r="A276" s="9" t="s">
        <v>1588</v>
      </c>
      <c r="B276" s="18" t="str">
        <f>_xlfn.XLOOKUP(A276,CATÁLOGO!$A$2:$A$846,CATÁLOGO!$B$2:$B$846,"FORA DO CATÁLOGO")</f>
        <v>CAL011L36</v>
      </c>
      <c r="C276" s="11">
        <v>3</v>
      </c>
      <c r="D276" s="11" t="str">
        <f>_xlfn.XLOOKUP(A276,CATÁLOGO!$A$2:$A$846,CATÁLOGO!$E$2:$E$846,"FORA DO CATÁLOGO")</f>
        <v>Ativo</v>
      </c>
      <c r="E276" s="9"/>
      <c r="F276" s="52">
        <f>SUMIFS('AVARIA PINHEIROS'!$C$2:$C$24,'AVARIA PINHEIROS'!$A$2:$A$24,A276)</f>
        <v>0</v>
      </c>
    </row>
    <row r="277" spans="1:6" x14ac:dyDescent="0.3">
      <c r="A277" s="9" t="s">
        <v>1587</v>
      </c>
      <c r="B277" s="18" t="str">
        <f>_xlfn.XLOOKUP(A277,CATÁLOGO!$A$2:$A$846,CATÁLOGO!$B$2:$B$846,"FORA DO CATÁLOGO")</f>
        <v>CAL011L38</v>
      </c>
      <c r="C277" s="11">
        <v>0</v>
      </c>
      <c r="D277" s="11" t="str">
        <f>_xlfn.XLOOKUP(A277,CATÁLOGO!$A$2:$A$846,CATÁLOGO!$E$2:$E$846,"FORA DO CATÁLOGO")</f>
        <v>Ativo</v>
      </c>
      <c r="E277" s="9" t="s">
        <v>1348</v>
      </c>
      <c r="F277" s="52">
        <f>SUMIFS('AVARIA PINHEIROS'!$C$2:$C$24,'AVARIA PINHEIROS'!$A$2:$A$24,A277)</f>
        <v>5</v>
      </c>
    </row>
    <row r="278" spans="1:6" x14ac:dyDescent="0.3">
      <c r="A278" s="9" t="s">
        <v>1586</v>
      </c>
      <c r="B278" s="18" t="str">
        <f>_xlfn.XLOOKUP(A278,CATÁLOGO!$A$2:$A$846,CATÁLOGO!$B$2:$B$846,"FORA DO CATÁLOGO")</f>
        <v>CAL011L40</v>
      </c>
      <c r="C278" s="11">
        <v>6</v>
      </c>
      <c r="D278" s="11" t="str">
        <f>_xlfn.XLOOKUP(A278,CATÁLOGO!$A$2:$A$846,CATÁLOGO!$E$2:$E$846,"FORA DO CATÁLOGO")</f>
        <v>Ativo</v>
      </c>
      <c r="E278" s="9"/>
      <c r="F278" s="52">
        <f>SUMIFS('AVARIA PINHEIROS'!$C$2:$C$24,'AVARIA PINHEIROS'!$A$2:$A$24,A278)</f>
        <v>0</v>
      </c>
    </row>
    <row r="279" spans="1:6" x14ac:dyDescent="0.3">
      <c r="A279" s="9" t="s">
        <v>1583</v>
      </c>
      <c r="B279" s="18" t="str">
        <f>_xlfn.XLOOKUP(A279,CATÁLOGO!$A$2:$A$846,CATÁLOGO!$B$2:$B$846,"FORA DO CATÁLOGO")</f>
        <v>CAL011L42</v>
      </c>
      <c r="C279" s="11">
        <v>6</v>
      </c>
      <c r="D279" s="11" t="str">
        <f>_xlfn.XLOOKUP(A279,CATÁLOGO!$A$2:$A$846,CATÁLOGO!$E$2:$E$846,"FORA DO CATÁLOGO")</f>
        <v>Ativo</v>
      </c>
      <c r="E279" s="9"/>
      <c r="F279" s="52">
        <f>SUMIFS('AVARIA PINHEIROS'!$C$2:$C$24,'AVARIA PINHEIROS'!$A$2:$A$24,A279)</f>
        <v>0</v>
      </c>
    </row>
    <row r="280" spans="1:6" x14ac:dyDescent="0.3">
      <c r="A280" s="9" t="s">
        <v>1585</v>
      </c>
      <c r="B280" s="18" t="str">
        <f>_xlfn.XLOOKUP(A280,CATÁLOGO!$A$2:$A$846,CATÁLOGO!$B$2:$B$846,"FORA DO CATÁLOGO")</f>
        <v>CAL011L44</v>
      </c>
      <c r="C280" s="11">
        <v>2</v>
      </c>
      <c r="D280" s="11" t="str">
        <f>_xlfn.XLOOKUP(A280,CATÁLOGO!$A$2:$A$846,CATÁLOGO!$E$2:$E$846,"FORA DO CATÁLOGO")</f>
        <v>Ativo</v>
      </c>
      <c r="E280" s="9" t="s">
        <v>23</v>
      </c>
      <c r="F280" s="52">
        <f>SUMIFS('AVARIA PINHEIROS'!$C$2:$C$24,'AVARIA PINHEIROS'!$A$2:$A$24,A280)</f>
        <v>0</v>
      </c>
    </row>
    <row r="281" spans="1:6" x14ac:dyDescent="0.3">
      <c r="A281" s="9" t="s">
        <v>209</v>
      </c>
      <c r="B281" s="18" t="str">
        <f>_xlfn.XLOOKUP(A281,CATÁLOGO!$A$2:$A$846,CATÁLOGO!$B$2:$B$846,"FORA DO CATÁLOGO")</f>
        <v>ACE008VU</v>
      </c>
      <c r="C281" s="11">
        <v>5</v>
      </c>
      <c r="D281" s="11" t="str">
        <f>_xlfn.XLOOKUP(A281,CATÁLOGO!$A$2:$A$846,CATÁLOGO!$E$2:$E$846,"FORA DO CATÁLOGO")</f>
        <v>Ativo</v>
      </c>
      <c r="E281" s="9"/>
      <c r="F281" s="52">
        <f>SUMIFS('AVARIA PINHEIROS'!$C$2:$C$24,'AVARIA PINHEIROS'!$A$2:$A$24,A281)</f>
        <v>0</v>
      </c>
    </row>
    <row r="282" spans="1:6" x14ac:dyDescent="0.3">
      <c r="A282" s="9" t="s">
        <v>210</v>
      </c>
      <c r="B282" s="18" t="str">
        <f>_xlfn.XLOOKUP(A282,CATÁLOGO!$A$2:$A$846,CATÁLOGO!$B$2:$B$846,"FORA DO CATÁLOGO")</f>
        <v>VES006MP</v>
      </c>
      <c r="C282" s="11">
        <v>3</v>
      </c>
      <c r="D282" s="11" t="str">
        <f>_xlfn.XLOOKUP(A282,CATÁLOGO!$A$2:$A$846,CATÁLOGO!$E$2:$E$846,"FORA DO CATÁLOGO")</f>
        <v>Ativo</v>
      </c>
      <c r="E282" s="9" t="s">
        <v>7</v>
      </c>
      <c r="F282" s="52">
        <f>SUMIFS('AVARIA PINHEIROS'!$C$2:$C$24,'AVARIA PINHEIROS'!$A$2:$A$24,A282)</f>
        <v>0</v>
      </c>
    </row>
    <row r="283" spans="1:6" x14ac:dyDescent="0.3">
      <c r="A283" s="9" t="s">
        <v>211</v>
      </c>
      <c r="B283" s="18" t="str">
        <f>_xlfn.XLOOKUP(A283,CATÁLOGO!$A$2:$A$846,CATÁLOGO!$B$2:$B$846,"FORA DO CATÁLOGO")</f>
        <v>VES006MM</v>
      </c>
      <c r="C283" s="11">
        <v>6</v>
      </c>
      <c r="D283" s="11" t="str">
        <f>_xlfn.XLOOKUP(A283,CATÁLOGO!$A$2:$A$846,CATÁLOGO!$E$2:$E$846,"FORA DO CATÁLOGO")</f>
        <v>Ativo</v>
      </c>
      <c r="E283" s="9"/>
      <c r="F283" s="52">
        <f>SUMIFS('AVARIA PINHEIROS'!$C$2:$C$24,'AVARIA PINHEIROS'!$A$2:$A$24,A283)</f>
        <v>0</v>
      </c>
    </row>
    <row r="284" spans="1:6" x14ac:dyDescent="0.3">
      <c r="A284" s="9" t="s">
        <v>212</v>
      </c>
      <c r="B284" s="18" t="str">
        <f>_xlfn.XLOOKUP(A284,CATÁLOGO!$A$2:$A$846,CATÁLOGO!$B$2:$B$846,"FORA DO CATÁLOGO")</f>
        <v>VES006MG</v>
      </c>
      <c r="C284" s="11">
        <v>0</v>
      </c>
      <c r="D284" s="11" t="str">
        <f>_xlfn.XLOOKUP(A284,CATÁLOGO!$A$2:$A$846,CATÁLOGO!$E$2:$E$846,"FORA DO CATÁLOGO")</f>
        <v>Ativo</v>
      </c>
      <c r="E284" s="9" t="s">
        <v>1349</v>
      </c>
      <c r="F284" s="52">
        <f>SUMIFS('AVARIA PINHEIROS'!$C$2:$C$24,'AVARIA PINHEIROS'!$A$2:$A$24,A284)</f>
        <v>4</v>
      </c>
    </row>
    <row r="285" spans="1:6" x14ac:dyDescent="0.3">
      <c r="A285" s="9" t="s">
        <v>213</v>
      </c>
      <c r="B285" s="18" t="str">
        <f>_xlfn.XLOOKUP(A285,CATÁLOGO!$A$2:$A$846,CATÁLOGO!$B$2:$B$846,"FORA DO CATÁLOGO")</f>
        <v>VES006MGG</v>
      </c>
      <c r="C285" s="11">
        <v>3</v>
      </c>
      <c r="D285" s="11" t="str">
        <f>_xlfn.XLOOKUP(A285,CATÁLOGO!$A$2:$A$846,CATÁLOGO!$E$2:$E$846,"FORA DO CATÁLOGO")</f>
        <v>Ativo</v>
      </c>
      <c r="E285" s="9"/>
      <c r="F285" s="52">
        <f>SUMIFS('AVARIA PINHEIROS'!$C$2:$C$24,'AVARIA PINHEIROS'!$A$2:$A$24,A285)</f>
        <v>0</v>
      </c>
    </row>
    <row r="286" spans="1:6" x14ac:dyDescent="0.3">
      <c r="A286" s="9" t="s">
        <v>214</v>
      </c>
      <c r="B286" s="18" t="str">
        <f>_xlfn.XLOOKUP(A286,CATÁLOGO!$A$2:$A$846,CATÁLOGO!$B$2:$B$846,"FORA DO CATÁLOGO")</f>
        <v>VES006HP</v>
      </c>
      <c r="C286" s="11">
        <v>3</v>
      </c>
      <c r="D286" s="11" t="str">
        <f>_xlfn.XLOOKUP(A286,CATÁLOGO!$A$2:$A$846,CATÁLOGO!$E$2:$E$846,"FORA DO CATÁLOGO")</f>
        <v>Ativo</v>
      </c>
      <c r="E286" s="9"/>
      <c r="F286" s="52">
        <f>SUMIFS('AVARIA PINHEIROS'!$C$2:$C$24,'AVARIA PINHEIROS'!$A$2:$A$24,A286)</f>
        <v>0</v>
      </c>
    </row>
    <row r="287" spans="1:6" x14ac:dyDescent="0.3">
      <c r="A287" s="9" t="s">
        <v>215</v>
      </c>
      <c r="B287" s="18" t="str">
        <f>_xlfn.XLOOKUP(A287,CATÁLOGO!$A$2:$A$846,CATÁLOGO!$B$2:$B$846,"FORA DO CATÁLOGO")</f>
        <v>VES006HM</v>
      </c>
      <c r="C287" s="11">
        <v>4</v>
      </c>
      <c r="D287" s="11" t="str">
        <f>_xlfn.XLOOKUP(A287,CATÁLOGO!$A$2:$A$846,CATÁLOGO!$E$2:$E$846,"FORA DO CATÁLOGO")</f>
        <v>Ativo</v>
      </c>
      <c r="E287" s="9"/>
      <c r="F287" s="52">
        <f>SUMIFS('AVARIA PINHEIROS'!$C$2:$C$24,'AVARIA PINHEIROS'!$A$2:$A$24,A287)</f>
        <v>0</v>
      </c>
    </row>
    <row r="288" spans="1:6" x14ac:dyDescent="0.3">
      <c r="A288" s="9" t="s">
        <v>216</v>
      </c>
      <c r="B288" s="18" t="str">
        <f>_xlfn.XLOOKUP(A288,CATÁLOGO!$A$2:$A$846,CATÁLOGO!$B$2:$B$846,"FORA DO CATÁLOGO")</f>
        <v>VES006HG</v>
      </c>
      <c r="C288" s="11">
        <v>3</v>
      </c>
      <c r="D288" s="11" t="str">
        <f>_xlfn.XLOOKUP(A288,CATÁLOGO!$A$2:$A$846,CATÁLOGO!$E$2:$E$846,"FORA DO CATÁLOGO")</f>
        <v>Ativo</v>
      </c>
      <c r="E288" s="9"/>
      <c r="F288" s="52">
        <f>SUMIFS('AVARIA PINHEIROS'!$C$2:$C$24,'AVARIA PINHEIROS'!$A$2:$A$24,A288)</f>
        <v>0</v>
      </c>
    </row>
    <row r="289" spans="1:6" x14ac:dyDescent="0.3">
      <c r="A289" s="9" t="s">
        <v>217</v>
      </c>
      <c r="B289" s="18" t="str">
        <f>_xlfn.XLOOKUP(A289,CATÁLOGO!$A$2:$A$846,CATÁLOGO!$B$2:$B$846,"FORA DO CATÁLOGO")</f>
        <v>VES006HGG</v>
      </c>
      <c r="C289" s="11">
        <v>2</v>
      </c>
      <c r="D289" s="11" t="str">
        <f>_xlfn.XLOOKUP(A289,CATÁLOGO!$A$2:$A$846,CATÁLOGO!$E$2:$E$846,"FORA DO CATÁLOGO")</f>
        <v>Ativo</v>
      </c>
      <c r="E289" s="9"/>
      <c r="F289" s="52">
        <f>SUMIFS('AVARIA PINHEIROS'!$C$2:$C$24,'AVARIA PINHEIROS'!$A$2:$A$24,A289)</f>
        <v>0</v>
      </c>
    </row>
    <row r="290" spans="1:6" x14ac:dyDescent="0.3">
      <c r="A290" s="9" t="s">
        <v>218</v>
      </c>
      <c r="B290" s="18" t="str">
        <f>_xlfn.XLOOKUP(A290,CATÁLOGO!$A$2:$A$846,CATÁLOGO!$B$2:$B$846,"FORA DO CATÁLOGO")</f>
        <v>TRI005VP</v>
      </c>
      <c r="C290" s="11">
        <v>6</v>
      </c>
      <c r="D290" s="11" t="str">
        <f>_xlfn.XLOOKUP(A290,CATÁLOGO!$A$2:$A$846,CATÁLOGO!$E$2:$E$846,"FORA DO CATÁLOGO")</f>
        <v>Ativo</v>
      </c>
      <c r="E290" s="9"/>
      <c r="F290" s="52">
        <f>SUMIFS('AVARIA PINHEIROS'!$C$2:$C$24,'AVARIA PINHEIROS'!$A$2:$A$24,A290)</f>
        <v>0</v>
      </c>
    </row>
    <row r="291" spans="1:6" x14ac:dyDescent="0.3">
      <c r="A291" s="9" t="s">
        <v>219</v>
      </c>
      <c r="B291" s="18" t="str">
        <f>_xlfn.XLOOKUP(A291,CATÁLOGO!$A$2:$A$846,CATÁLOGO!$B$2:$B$846,"FORA DO CATÁLOGO")</f>
        <v>TRI005VM</v>
      </c>
      <c r="C291" s="11">
        <v>6</v>
      </c>
      <c r="D291" s="11" t="str">
        <f>_xlfn.XLOOKUP(A291,CATÁLOGO!$A$2:$A$846,CATÁLOGO!$E$2:$E$846,"FORA DO CATÁLOGO")</f>
        <v>Ativo</v>
      </c>
      <c r="E291" s="9" t="s">
        <v>23</v>
      </c>
      <c r="F291" s="52">
        <f>SUMIFS('AVARIA PINHEIROS'!$C$2:$C$24,'AVARIA PINHEIROS'!$A$2:$A$24,A291)</f>
        <v>0</v>
      </c>
    </row>
    <row r="292" spans="1:6" x14ac:dyDescent="0.3">
      <c r="A292" s="9" t="s">
        <v>220</v>
      </c>
      <c r="B292" s="18" t="str">
        <f>_xlfn.XLOOKUP(A292,CATÁLOGO!$A$2:$A$846,CATÁLOGO!$B$2:$B$846,"FORA DO CATÁLOGO")</f>
        <v>TRI005VG</v>
      </c>
      <c r="C292" s="11">
        <v>6</v>
      </c>
      <c r="D292" s="11" t="str">
        <f>_xlfn.XLOOKUP(A292,CATÁLOGO!$A$2:$A$846,CATÁLOGO!$E$2:$E$846,"FORA DO CATÁLOGO")</f>
        <v>Ativo</v>
      </c>
      <c r="E292" s="9"/>
      <c r="F292" s="52">
        <f>SUMIFS('AVARIA PINHEIROS'!$C$2:$C$24,'AVARIA PINHEIROS'!$A$2:$A$24,A292)</f>
        <v>0</v>
      </c>
    </row>
    <row r="293" spans="1:6" x14ac:dyDescent="0.3">
      <c r="A293" s="9" t="s">
        <v>221</v>
      </c>
      <c r="B293" s="18" t="str">
        <f>_xlfn.XLOOKUP(A293,CATÁLOGO!$A$2:$A$846,CATÁLOGO!$B$2:$B$846,"FORA DO CATÁLOGO")</f>
        <v>TRI005VGG</v>
      </c>
      <c r="C293" s="11">
        <v>4</v>
      </c>
      <c r="D293" s="11" t="str">
        <f>_xlfn.XLOOKUP(A293,CATÁLOGO!$A$2:$A$846,CATÁLOGO!$E$2:$E$846,"FORA DO CATÁLOGO")</f>
        <v>Ativo</v>
      </c>
      <c r="E293" s="9"/>
      <c r="F293" s="52">
        <f>SUMIFS('AVARIA PINHEIROS'!$C$2:$C$24,'AVARIA PINHEIROS'!$A$2:$A$24,A293)</f>
        <v>0</v>
      </c>
    </row>
    <row r="294" spans="1:6" x14ac:dyDescent="0.3">
      <c r="A294" s="9" t="s">
        <v>1742</v>
      </c>
      <c r="B294" s="18" t="str">
        <f>_xlfn.XLOOKUP(A294,CATÁLOGO!$A$2:$A$846,CATÁLOGO!$B$2:$B$846,"FORA DO CATÁLOGO")</f>
        <v>CAM013VPP</v>
      </c>
      <c r="C294" s="11">
        <v>2</v>
      </c>
      <c r="D294" s="11" t="str">
        <f>_xlfn.XLOOKUP(A294,CATÁLOGO!$A$2:$A$846,CATÁLOGO!$E$2:$E$846,"FORA DO CATÁLOGO")</f>
        <v>Ativo</v>
      </c>
      <c r="E294" s="9"/>
      <c r="F294" s="52">
        <f>SUMIFS('AVARIA PINHEIROS'!$C$2:$C$24,'AVARIA PINHEIROS'!$A$2:$A$24,A294)</f>
        <v>0</v>
      </c>
    </row>
    <row r="295" spans="1:6" x14ac:dyDescent="0.3">
      <c r="A295" s="9" t="s">
        <v>222</v>
      </c>
      <c r="B295" s="18" t="str">
        <f>_xlfn.XLOOKUP(A295,CATÁLOGO!$A$2:$A$846,CATÁLOGO!$B$2:$B$846,"FORA DO CATÁLOGO")</f>
        <v>CAM013VP</v>
      </c>
      <c r="C295" s="11">
        <v>6</v>
      </c>
      <c r="D295" s="11" t="str">
        <f>_xlfn.XLOOKUP(A295,CATÁLOGO!$A$2:$A$846,CATÁLOGO!$E$2:$E$846,"FORA DO CATÁLOGO")</f>
        <v>Ativo</v>
      </c>
      <c r="E295" s="9"/>
      <c r="F295" s="52">
        <f>SUMIFS('AVARIA PINHEIROS'!$C$2:$C$24,'AVARIA PINHEIROS'!$A$2:$A$24,A295)</f>
        <v>0</v>
      </c>
    </row>
    <row r="296" spans="1:6" x14ac:dyDescent="0.3">
      <c r="A296" s="9" t="s">
        <v>223</v>
      </c>
      <c r="B296" s="18" t="str">
        <f>_xlfn.XLOOKUP(A296,CATÁLOGO!$A$2:$A$846,CATÁLOGO!$B$2:$B$846,"FORA DO CATÁLOGO")</f>
        <v>CAM013VM</v>
      </c>
      <c r="C296" s="11">
        <v>6</v>
      </c>
      <c r="D296" s="11" t="str">
        <f>_xlfn.XLOOKUP(A296,CATÁLOGO!$A$2:$A$846,CATÁLOGO!$E$2:$E$846,"FORA DO CATÁLOGO")</f>
        <v>Ativo</v>
      </c>
      <c r="E296" s="9" t="s">
        <v>23</v>
      </c>
      <c r="F296" s="52">
        <f>SUMIFS('AVARIA PINHEIROS'!$C$2:$C$24,'AVARIA PINHEIROS'!$A$2:$A$24,A296)</f>
        <v>0</v>
      </c>
    </row>
    <row r="297" spans="1:6" x14ac:dyDescent="0.3">
      <c r="A297" s="9" t="s">
        <v>224</v>
      </c>
      <c r="B297" s="18" t="str">
        <f>_xlfn.XLOOKUP(A297,CATÁLOGO!$A$2:$A$846,CATÁLOGO!$B$2:$B$846,"FORA DO CATÁLOGO")</f>
        <v>CAM013VG</v>
      </c>
      <c r="C297" s="11">
        <v>6</v>
      </c>
      <c r="D297" s="11" t="str">
        <f>_xlfn.XLOOKUP(A297,CATÁLOGO!$A$2:$A$846,CATÁLOGO!$E$2:$E$846,"FORA DO CATÁLOGO")</f>
        <v>Ativo</v>
      </c>
      <c r="E297" s="9"/>
      <c r="F297" s="52">
        <f>SUMIFS('AVARIA PINHEIROS'!$C$2:$C$24,'AVARIA PINHEIROS'!$A$2:$A$24,A297)</f>
        <v>0</v>
      </c>
    </row>
    <row r="298" spans="1:6" x14ac:dyDescent="0.3">
      <c r="A298" s="9" t="s">
        <v>225</v>
      </c>
      <c r="B298" s="18" t="str">
        <f>_xlfn.XLOOKUP(A298,CATÁLOGO!$A$2:$A$846,CATÁLOGO!$B$2:$B$846,"FORA DO CATÁLOGO")</f>
        <v>CAM013VGG</v>
      </c>
      <c r="C298" s="11">
        <v>4</v>
      </c>
      <c r="D298" s="11" t="str">
        <f>_xlfn.XLOOKUP(A298,CATÁLOGO!$A$2:$A$846,CATÁLOGO!$E$2:$E$846,"FORA DO CATÁLOGO")</f>
        <v>Ativo</v>
      </c>
      <c r="E298" s="9" t="s">
        <v>23</v>
      </c>
      <c r="F298" s="52">
        <f>SUMIFS('AVARIA PINHEIROS'!$C$2:$C$24,'AVARIA PINHEIROS'!$A$2:$A$24,A298)</f>
        <v>0</v>
      </c>
    </row>
    <row r="299" spans="1:6" x14ac:dyDescent="0.3">
      <c r="A299" s="9" t="s">
        <v>226</v>
      </c>
      <c r="B299" s="18" t="str">
        <f>_xlfn.XLOOKUP(A299,CATÁLOGO!$A$2:$A$846,CATÁLOGO!$B$2:$B$846,"FORA DO CATÁLOGO")</f>
        <v>CAM014LP</v>
      </c>
      <c r="C299" s="11">
        <v>2</v>
      </c>
      <c r="D299" s="11" t="str">
        <f>_xlfn.XLOOKUP(A299,CATÁLOGO!$A$2:$A$846,CATÁLOGO!$E$2:$E$846,"FORA DO CATÁLOGO")</f>
        <v>Descontinuado</v>
      </c>
      <c r="E299" s="9"/>
      <c r="F299" s="52">
        <f>SUMIFS('AVARIA PINHEIROS'!$C$2:$C$24,'AVARIA PINHEIROS'!$A$2:$A$24,A299)</f>
        <v>0</v>
      </c>
    </row>
    <row r="300" spans="1:6" x14ac:dyDescent="0.3">
      <c r="A300" s="9" t="s">
        <v>227</v>
      </c>
      <c r="B300" s="18" t="str">
        <f>_xlfn.XLOOKUP(A300,CATÁLOGO!$A$2:$A$846,CATÁLOGO!$B$2:$B$846,"FORA DO CATÁLOGO")</f>
        <v>CAM014LM</v>
      </c>
      <c r="C300" s="11">
        <v>1</v>
      </c>
      <c r="D300" s="11" t="str">
        <f>_xlfn.XLOOKUP(A300,CATÁLOGO!$A$2:$A$846,CATÁLOGO!$E$2:$E$846,"FORA DO CATÁLOGO")</f>
        <v>Descontinuado</v>
      </c>
      <c r="E300" s="9"/>
      <c r="F300" s="52">
        <f>SUMIFS('AVARIA PINHEIROS'!$C$2:$C$24,'AVARIA PINHEIROS'!$A$2:$A$24,A300)</f>
        <v>0</v>
      </c>
    </row>
    <row r="301" spans="1:6" x14ac:dyDescent="0.3">
      <c r="A301" s="9" t="s">
        <v>228</v>
      </c>
      <c r="B301" s="18" t="str">
        <f>_xlfn.XLOOKUP(A301,CATÁLOGO!$A$2:$A$846,CATÁLOGO!$B$2:$B$846,"FORA DO CATÁLOGO")</f>
        <v>CAM014LG</v>
      </c>
      <c r="C301" s="11">
        <v>3</v>
      </c>
      <c r="D301" s="11" t="str">
        <f>_xlfn.XLOOKUP(A301,CATÁLOGO!$A$2:$A$846,CATÁLOGO!$E$2:$E$846,"FORA DO CATÁLOGO")</f>
        <v>Descontinuado</v>
      </c>
      <c r="E301" s="9"/>
      <c r="F301" s="52">
        <f>SUMIFS('AVARIA PINHEIROS'!$C$2:$C$24,'AVARIA PINHEIROS'!$A$2:$A$24,A301)</f>
        <v>0</v>
      </c>
    </row>
    <row r="302" spans="1:6" x14ac:dyDescent="0.3">
      <c r="A302" s="9" t="s">
        <v>229</v>
      </c>
      <c r="B302" s="18" t="str">
        <f>_xlfn.XLOOKUP(A302,CATÁLOGO!$A$2:$A$846,CATÁLOGO!$B$2:$B$846,"FORA DO CATÁLOGO")</f>
        <v>CAM014CM</v>
      </c>
      <c r="C302" s="11">
        <v>2</v>
      </c>
      <c r="D302" s="11" t="str">
        <f>_xlfn.XLOOKUP(A302,CATÁLOGO!$A$2:$A$846,CATÁLOGO!$E$2:$E$846,"FORA DO CATÁLOGO")</f>
        <v>Descontinuado</v>
      </c>
      <c r="E302" s="9"/>
      <c r="F302" s="52">
        <f>SUMIFS('AVARIA PINHEIROS'!$C$2:$C$24,'AVARIA PINHEIROS'!$A$2:$A$24,A302)</f>
        <v>0</v>
      </c>
    </row>
    <row r="303" spans="1:6" x14ac:dyDescent="0.3">
      <c r="A303" s="9" t="s">
        <v>230</v>
      </c>
      <c r="B303" s="18" t="str">
        <f>_xlfn.XLOOKUP(A303,CATÁLOGO!$A$2:$A$846,CATÁLOGO!$B$2:$B$846,"FORA DO CATÁLOGO")</f>
        <v>CAM014CG</v>
      </c>
      <c r="C303" s="11">
        <v>1</v>
      </c>
      <c r="D303" s="11" t="str">
        <f>_xlfn.XLOOKUP(A303,CATÁLOGO!$A$2:$A$846,CATÁLOGO!$E$2:$E$846,"FORA DO CATÁLOGO")</f>
        <v>Descontinuado</v>
      </c>
      <c r="E303" s="9"/>
      <c r="F303" s="52">
        <f>SUMIFS('AVARIA PINHEIROS'!$C$2:$C$24,'AVARIA PINHEIROS'!$A$2:$A$24,A303)</f>
        <v>0</v>
      </c>
    </row>
    <row r="304" spans="1:6" x14ac:dyDescent="0.3">
      <c r="A304" s="9" t="s">
        <v>1864</v>
      </c>
      <c r="B304" s="18" t="str">
        <f>_xlfn.XLOOKUP(A304,CATÁLOGO!$A$2:$A$846,CATÁLOGO!$B$2:$B$846,"FORA DO CATÁLOGO")</f>
        <v>SAI006PPP</v>
      </c>
      <c r="C304" s="11">
        <v>1</v>
      </c>
      <c r="D304" s="11" t="str">
        <f>_xlfn.XLOOKUP(A304,CATÁLOGO!$A$2:$A$846,CATÁLOGO!$E$2:$E$846,"FORA DO CATÁLOGO")</f>
        <v>Ativo</v>
      </c>
      <c r="E304" s="9"/>
      <c r="F304" s="52">
        <f>SUMIFS('AVARIA PINHEIROS'!$C$2:$C$24,'AVARIA PINHEIROS'!$A$2:$A$24,A304)</f>
        <v>0</v>
      </c>
    </row>
    <row r="305" spans="1:6" x14ac:dyDescent="0.3">
      <c r="A305" s="9" t="s">
        <v>231</v>
      </c>
      <c r="B305" s="18" t="str">
        <f>_xlfn.XLOOKUP(A305,CATÁLOGO!$A$2:$A$846,CATÁLOGO!$B$2:$B$846,"FORA DO CATÁLOGO")</f>
        <v>SAI006PP</v>
      </c>
      <c r="C305" s="11">
        <v>4</v>
      </c>
      <c r="D305" s="11" t="str">
        <f>_xlfn.XLOOKUP(A305,CATÁLOGO!$A$2:$A$846,CATÁLOGO!$E$2:$E$846,"FORA DO CATÁLOGO")</f>
        <v>Ativo</v>
      </c>
      <c r="E305" s="9"/>
      <c r="F305" s="52">
        <f>SUMIFS('AVARIA PINHEIROS'!$C$2:$C$24,'AVARIA PINHEIROS'!$A$2:$A$24,A305)</f>
        <v>0</v>
      </c>
    </row>
    <row r="306" spans="1:6" x14ac:dyDescent="0.3">
      <c r="A306" s="9" t="s">
        <v>232</v>
      </c>
      <c r="B306" s="18" t="str">
        <f>_xlfn.XLOOKUP(A306,CATÁLOGO!$A$2:$A$846,CATÁLOGO!$B$2:$B$846,"FORA DO CATÁLOGO")</f>
        <v>SAI006PM</v>
      </c>
      <c r="C306" s="11">
        <v>6</v>
      </c>
      <c r="D306" s="11" t="str">
        <f>_xlfn.XLOOKUP(A306,CATÁLOGO!$A$2:$A$846,CATÁLOGO!$E$2:$E$846,"FORA DO CATÁLOGO")</f>
        <v>Ativo</v>
      </c>
      <c r="E306" s="9"/>
      <c r="F306" s="52">
        <f>SUMIFS('AVARIA PINHEIROS'!$C$2:$C$24,'AVARIA PINHEIROS'!$A$2:$A$24,A306)</f>
        <v>0</v>
      </c>
    </row>
    <row r="307" spans="1:6" x14ac:dyDescent="0.3">
      <c r="A307" s="9" t="s">
        <v>233</v>
      </c>
      <c r="B307" s="18" t="str">
        <f>_xlfn.XLOOKUP(A307,CATÁLOGO!$A$2:$A$846,CATÁLOGO!$B$2:$B$846,"FORA DO CATÁLOGO")</f>
        <v>SAI006PG</v>
      </c>
      <c r="C307" s="11">
        <v>4</v>
      </c>
      <c r="D307" s="11" t="str">
        <f>_xlfn.XLOOKUP(A307,CATÁLOGO!$A$2:$A$846,CATÁLOGO!$E$2:$E$846,"FORA DO CATÁLOGO")</f>
        <v>Ativo</v>
      </c>
      <c r="E307" s="9"/>
      <c r="F307" s="52">
        <f>SUMIFS('AVARIA PINHEIROS'!$C$2:$C$24,'AVARIA PINHEIROS'!$A$2:$A$24,A307)</f>
        <v>0</v>
      </c>
    </row>
    <row r="308" spans="1:6" x14ac:dyDescent="0.3">
      <c r="A308" s="9" t="s">
        <v>234</v>
      </c>
      <c r="B308" s="18" t="str">
        <f>_xlfn.XLOOKUP(A308,CATÁLOGO!$A$2:$A$846,CATÁLOGO!$B$2:$B$846,"FORA DO CATÁLOGO")</f>
        <v>SAI006PGG</v>
      </c>
      <c r="C308" s="11">
        <v>2</v>
      </c>
      <c r="D308" s="11" t="str">
        <f>_xlfn.XLOOKUP(A308,CATÁLOGO!$A$2:$A$846,CATÁLOGO!$E$2:$E$846,"FORA DO CATÁLOGO")</f>
        <v>Ativo</v>
      </c>
      <c r="E308" s="9"/>
      <c r="F308" s="52">
        <f>SUMIFS('AVARIA PINHEIROS'!$C$2:$C$24,'AVARIA PINHEIROS'!$A$2:$A$24,A308)</f>
        <v>0</v>
      </c>
    </row>
    <row r="309" spans="1:6" x14ac:dyDescent="0.3">
      <c r="A309" s="9" t="s">
        <v>235</v>
      </c>
      <c r="B309" s="18" t="str">
        <f>_xlfn.XLOOKUP(A309,CATÁLOGO!$A$2:$A$846,CATÁLOGO!$B$2:$B$846,"FORA DO CATÁLOGO")</f>
        <v>TRI006GP</v>
      </c>
      <c r="C309" s="11">
        <v>3</v>
      </c>
      <c r="D309" s="11" t="str">
        <f>_xlfn.XLOOKUP(A309,CATÁLOGO!$A$2:$A$846,CATÁLOGO!$E$2:$E$846,"FORA DO CATÁLOGO")</f>
        <v>Descontinuado</v>
      </c>
      <c r="E309" s="9"/>
      <c r="F309" s="52">
        <f>SUMIFS('AVARIA PINHEIROS'!$C$2:$C$24,'AVARIA PINHEIROS'!$A$2:$A$24,A309)</f>
        <v>0</v>
      </c>
    </row>
    <row r="310" spans="1:6" x14ac:dyDescent="0.3">
      <c r="A310" s="9" t="s">
        <v>236</v>
      </c>
      <c r="B310" s="18" t="str">
        <f>_xlfn.XLOOKUP(A310,CATÁLOGO!$A$2:$A$846,CATÁLOGO!$B$2:$B$846,"FORA DO CATÁLOGO")</f>
        <v>TRI006GM</v>
      </c>
      <c r="C310" s="11">
        <v>3</v>
      </c>
      <c r="D310" s="11" t="str">
        <f>_xlfn.XLOOKUP(A310,CATÁLOGO!$A$2:$A$846,CATÁLOGO!$E$2:$E$846,"FORA DO CATÁLOGO")</f>
        <v>Descontinuado</v>
      </c>
      <c r="E310" s="9"/>
      <c r="F310" s="52">
        <f>SUMIFS('AVARIA PINHEIROS'!$C$2:$C$24,'AVARIA PINHEIROS'!$A$2:$A$24,A310)</f>
        <v>0</v>
      </c>
    </row>
    <row r="311" spans="1:6" x14ac:dyDescent="0.3">
      <c r="A311" s="9" t="s">
        <v>237</v>
      </c>
      <c r="B311" s="18" t="str">
        <f>_xlfn.XLOOKUP(A311,CATÁLOGO!$A$2:$A$846,CATÁLOGO!$B$2:$B$846,"FORA DO CATÁLOGO")</f>
        <v>TRI006GG</v>
      </c>
      <c r="C311" s="11">
        <v>3</v>
      </c>
      <c r="D311" s="11" t="str">
        <f>_xlfn.XLOOKUP(A311,CATÁLOGO!$A$2:$A$846,CATÁLOGO!$E$2:$E$846,"FORA DO CATÁLOGO")</f>
        <v>Descontinuado</v>
      </c>
      <c r="E311" s="9"/>
      <c r="F311" s="52">
        <f>SUMIFS('AVARIA PINHEIROS'!$C$2:$C$24,'AVARIA PINHEIROS'!$A$2:$A$24,A311)</f>
        <v>0</v>
      </c>
    </row>
    <row r="312" spans="1:6" x14ac:dyDescent="0.3">
      <c r="A312" s="9" t="s">
        <v>238</v>
      </c>
      <c r="B312" s="18" t="str">
        <f>_xlfn.XLOOKUP(A312,CATÁLOGO!$A$2:$A$846,CATÁLOGO!$B$2:$B$846,"FORA DO CATÁLOGO")</f>
        <v>TRI006GGG</v>
      </c>
      <c r="C312" s="11">
        <v>1</v>
      </c>
      <c r="D312" s="11" t="str">
        <f>_xlfn.XLOOKUP(A312,CATÁLOGO!$A$2:$A$846,CATÁLOGO!$E$2:$E$846,"FORA DO CATÁLOGO")</f>
        <v>Descontinuado</v>
      </c>
      <c r="E312" s="9"/>
      <c r="F312" s="52">
        <f>SUMIFS('AVARIA PINHEIROS'!$C$2:$C$24,'AVARIA PINHEIROS'!$A$2:$A$24,A312)</f>
        <v>0</v>
      </c>
    </row>
    <row r="313" spans="1:6" x14ac:dyDescent="0.3">
      <c r="A313" s="9" t="s">
        <v>1593</v>
      </c>
      <c r="B313" s="18" t="str">
        <f>_xlfn.XLOOKUP(A313,CATÁLOGO!$A$2:$A$846,CATÁLOGO!$B$2:$B$846,"FORA DO CATÁLOGO")</f>
        <v>CAL012P38</v>
      </c>
      <c r="C313" s="11">
        <v>6</v>
      </c>
      <c r="D313" s="11" t="str">
        <f>_xlfn.XLOOKUP(A313,CATÁLOGO!$A$2:$A$846,CATÁLOGO!$E$2:$E$846,"FORA DO CATÁLOGO")</f>
        <v>Ativo</v>
      </c>
      <c r="E313" s="9"/>
      <c r="F313" s="52">
        <f>SUMIFS('AVARIA PINHEIROS'!$C$2:$C$24,'AVARIA PINHEIROS'!$A$2:$A$24,A313)</f>
        <v>0</v>
      </c>
    </row>
    <row r="314" spans="1:6" x14ac:dyDescent="0.3">
      <c r="A314" s="9" t="s">
        <v>1592</v>
      </c>
      <c r="B314" s="18" t="str">
        <f>_xlfn.XLOOKUP(A314,CATÁLOGO!$A$2:$A$846,CATÁLOGO!$B$2:$B$846,"FORA DO CATÁLOGO")</f>
        <v>CAL012P40</v>
      </c>
      <c r="C314" s="11">
        <v>6</v>
      </c>
      <c r="D314" s="11" t="str">
        <f>_xlfn.XLOOKUP(A314,CATÁLOGO!$A$2:$A$846,CATÁLOGO!$E$2:$E$846,"FORA DO CATÁLOGO")</f>
        <v>Ativo</v>
      </c>
      <c r="E314" s="9"/>
      <c r="F314" s="52">
        <f>SUMIFS('AVARIA PINHEIROS'!$C$2:$C$24,'AVARIA PINHEIROS'!$A$2:$A$24,A314)</f>
        <v>0</v>
      </c>
    </row>
    <row r="315" spans="1:6" x14ac:dyDescent="0.3">
      <c r="A315" s="9" t="s">
        <v>1589</v>
      </c>
      <c r="B315" s="18" t="str">
        <f>_xlfn.XLOOKUP(A315,CATÁLOGO!$A$2:$A$846,CATÁLOGO!$B$2:$B$846,"FORA DO CATÁLOGO")</f>
        <v>CAL012P42</v>
      </c>
      <c r="C315" s="11">
        <v>6</v>
      </c>
      <c r="D315" s="11" t="str">
        <f>_xlfn.XLOOKUP(A315,CATÁLOGO!$A$2:$A$846,CATÁLOGO!$E$2:$E$846,"FORA DO CATÁLOGO")</f>
        <v>Ativo</v>
      </c>
      <c r="E315" s="9"/>
      <c r="F315" s="52">
        <f>SUMIFS('AVARIA PINHEIROS'!$C$2:$C$24,'AVARIA PINHEIROS'!$A$2:$A$24,A315)</f>
        <v>0</v>
      </c>
    </row>
    <row r="316" spans="1:6" x14ac:dyDescent="0.3">
      <c r="A316" s="9" t="s">
        <v>1591</v>
      </c>
      <c r="B316" s="18" t="str">
        <f>_xlfn.XLOOKUP(A316,CATÁLOGO!$A$2:$A$846,CATÁLOGO!$B$2:$B$846,"FORA DO CATÁLOGO")</f>
        <v>CAL012P44</v>
      </c>
      <c r="C316" s="11">
        <v>4</v>
      </c>
      <c r="D316" s="11" t="str">
        <f>_xlfn.XLOOKUP(A316,CATÁLOGO!$A$2:$A$846,CATÁLOGO!$E$2:$E$846,"FORA DO CATÁLOGO")</f>
        <v>Ativo</v>
      </c>
      <c r="E316" s="9"/>
      <c r="F316" s="52">
        <f>SUMIFS('AVARIA PINHEIROS'!$C$2:$C$24,'AVARIA PINHEIROS'!$A$2:$A$24,A316)</f>
        <v>0</v>
      </c>
    </row>
    <row r="317" spans="1:6" x14ac:dyDescent="0.3">
      <c r="A317" s="9" t="s">
        <v>1910</v>
      </c>
      <c r="B317" s="18" t="str">
        <f>_xlfn.XLOOKUP(A317,CATÁLOGO!$A$2:$A$846,CATÁLOGO!$B$2:$B$846,"FORA DO CATÁLOGO")</f>
        <v>TRI007LPP</v>
      </c>
      <c r="C317" s="11">
        <v>3</v>
      </c>
      <c r="D317" s="11" t="str">
        <f>_xlfn.XLOOKUP(A317,CATÁLOGO!$A$2:$A$846,CATÁLOGO!$E$2:$E$846,"FORA DO CATÁLOGO")</f>
        <v>Ativo</v>
      </c>
      <c r="E317" s="9"/>
      <c r="F317" s="52">
        <f>SUMIFS('AVARIA PINHEIROS'!$C$2:$C$24,'AVARIA PINHEIROS'!$A$2:$A$24,A317)</f>
        <v>0</v>
      </c>
    </row>
    <row r="318" spans="1:6" x14ac:dyDescent="0.3">
      <c r="A318" s="9" t="s">
        <v>239</v>
      </c>
      <c r="B318" s="18" t="str">
        <f>_xlfn.XLOOKUP(A318,CATÁLOGO!$A$2:$A$846,CATÁLOGO!$B$2:$B$846,"FORA DO CATÁLOGO")</f>
        <v>TRI007LP</v>
      </c>
      <c r="C318" s="11">
        <v>6</v>
      </c>
      <c r="D318" s="11" t="str">
        <f>_xlfn.XLOOKUP(A318,CATÁLOGO!$A$2:$A$846,CATÁLOGO!$E$2:$E$846,"FORA DO CATÁLOGO")</f>
        <v>Ativo</v>
      </c>
      <c r="E318" s="9"/>
      <c r="F318" s="52">
        <f>SUMIFS('AVARIA PINHEIROS'!$C$2:$C$24,'AVARIA PINHEIROS'!$A$2:$A$24,A318)</f>
        <v>0</v>
      </c>
    </row>
    <row r="319" spans="1:6" x14ac:dyDescent="0.3">
      <c r="A319" s="9" t="s">
        <v>240</v>
      </c>
      <c r="B319" s="18" t="str">
        <f>_xlfn.XLOOKUP(A319,CATÁLOGO!$A$2:$A$846,CATÁLOGO!$B$2:$B$846,"FORA DO CATÁLOGO")</f>
        <v>TRI007LM</v>
      </c>
      <c r="C319" s="11">
        <v>6</v>
      </c>
      <c r="D319" s="11" t="str">
        <f>_xlfn.XLOOKUP(A319,CATÁLOGO!$A$2:$A$846,CATÁLOGO!$E$2:$E$846,"FORA DO CATÁLOGO")</f>
        <v>Ativo</v>
      </c>
      <c r="E319" s="9"/>
      <c r="F319" s="52">
        <f>SUMIFS('AVARIA PINHEIROS'!$C$2:$C$24,'AVARIA PINHEIROS'!$A$2:$A$24,A319)</f>
        <v>0</v>
      </c>
    </row>
    <row r="320" spans="1:6" x14ac:dyDescent="0.3">
      <c r="A320" s="9" t="s">
        <v>241</v>
      </c>
      <c r="B320" s="18" t="str">
        <f>_xlfn.XLOOKUP(A320,CATÁLOGO!$A$2:$A$846,CATÁLOGO!$B$2:$B$846,"FORA DO CATÁLOGO")</f>
        <v>TRI007LG</v>
      </c>
      <c r="C320" s="11">
        <v>6</v>
      </c>
      <c r="D320" s="11" t="str">
        <f>_xlfn.XLOOKUP(A320,CATÁLOGO!$A$2:$A$846,CATÁLOGO!$E$2:$E$846,"FORA DO CATÁLOGO")</f>
        <v>Ativo</v>
      </c>
      <c r="E320" s="9"/>
      <c r="F320" s="52">
        <f>SUMIFS('AVARIA PINHEIROS'!$C$2:$C$24,'AVARIA PINHEIROS'!$A$2:$A$24,A320)</f>
        <v>0</v>
      </c>
    </row>
    <row r="321" spans="1:6" x14ac:dyDescent="0.3">
      <c r="A321" s="9" t="s">
        <v>242</v>
      </c>
      <c r="B321" s="18" t="str">
        <f>_xlfn.XLOOKUP(A321,CATÁLOGO!$A$2:$A$846,CATÁLOGO!$B$2:$B$846,"FORA DO CATÁLOGO")</f>
        <v>TRI007LGG</v>
      </c>
      <c r="C321" s="11">
        <v>4</v>
      </c>
      <c r="D321" s="11" t="str">
        <f>_xlfn.XLOOKUP(A321,CATÁLOGO!$A$2:$A$846,CATÁLOGO!$E$2:$E$846,"FORA DO CATÁLOGO")</f>
        <v>Ativo</v>
      </c>
      <c r="E321" s="9"/>
      <c r="F321" s="52">
        <f>SUMIFS('AVARIA PINHEIROS'!$C$2:$C$24,'AVARIA PINHEIROS'!$A$2:$A$24,A321)</f>
        <v>0</v>
      </c>
    </row>
    <row r="322" spans="1:6" x14ac:dyDescent="0.3">
      <c r="A322" s="9" t="s">
        <v>1482</v>
      </c>
      <c r="B322" s="18" t="str">
        <f>_xlfn.XLOOKUP(A322,CATÁLOGO!$A$2:$A$846,CATÁLOGO!$B$2:$B$846,"FORA DO CATÁLOGO")</f>
        <v>BER006L36</v>
      </c>
      <c r="C322" s="11">
        <v>1</v>
      </c>
      <c r="D322" s="11" t="str">
        <f>_xlfn.XLOOKUP(A322,CATÁLOGO!$A$2:$A$846,CATÁLOGO!$E$2:$E$846,"FORA DO CATÁLOGO")</f>
        <v>Ativo</v>
      </c>
      <c r="E322" s="9"/>
      <c r="F322" s="52">
        <f>SUMIFS('AVARIA PINHEIROS'!$C$2:$C$24,'AVARIA PINHEIROS'!$A$2:$A$24,A322)</f>
        <v>0</v>
      </c>
    </row>
    <row r="323" spans="1:6" x14ac:dyDescent="0.3">
      <c r="A323" s="9" t="s">
        <v>1481</v>
      </c>
      <c r="B323" s="18" t="str">
        <f>_xlfn.XLOOKUP(A323,CATÁLOGO!$A$2:$A$846,CATÁLOGO!$B$2:$B$846,"FORA DO CATÁLOGO")</f>
        <v>BER006L38</v>
      </c>
      <c r="C323" s="11">
        <v>3</v>
      </c>
      <c r="D323" s="11" t="str">
        <f>_xlfn.XLOOKUP(A323,CATÁLOGO!$A$2:$A$846,CATÁLOGO!$E$2:$E$846,"FORA DO CATÁLOGO")</f>
        <v>Ativo</v>
      </c>
      <c r="E323" s="9" t="s">
        <v>4</v>
      </c>
      <c r="F323" s="52">
        <f>SUMIFS('AVARIA PINHEIROS'!$C$2:$C$24,'AVARIA PINHEIROS'!$A$2:$A$24,A323)</f>
        <v>0</v>
      </c>
    </row>
    <row r="324" spans="1:6" x14ac:dyDescent="0.3">
      <c r="A324" s="9" t="s">
        <v>1480</v>
      </c>
      <c r="B324" s="18" t="str">
        <f>_xlfn.XLOOKUP(A324,CATÁLOGO!$A$2:$A$846,CATÁLOGO!$B$2:$B$846,"FORA DO CATÁLOGO")</f>
        <v>BER006L40</v>
      </c>
      <c r="C324" s="11">
        <v>3</v>
      </c>
      <c r="D324" s="11" t="str">
        <f>_xlfn.XLOOKUP(A324,CATÁLOGO!$A$2:$A$846,CATÁLOGO!$E$2:$E$846,"FORA DO CATÁLOGO")</f>
        <v>Ativo</v>
      </c>
      <c r="E324" s="9"/>
      <c r="F324" s="52">
        <f>SUMIFS('AVARIA PINHEIROS'!$C$2:$C$24,'AVARIA PINHEIROS'!$A$2:$A$24,A324)</f>
        <v>0</v>
      </c>
    </row>
    <row r="325" spans="1:6" x14ac:dyDescent="0.3">
      <c r="A325" s="9" t="s">
        <v>1477</v>
      </c>
      <c r="B325" s="18" t="str">
        <f>_xlfn.XLOOKUP(A325,CATÁLOGO!$A$2:$A$846,CATÁLOGO!$B$2:$B$846,"FORA DO CATÁLOGO")</f>
        <v>BER006L42</v>
      </c>
      <c r="C325" s="11">
        <v>0</v>
      </c>
      <c r="D325" s="11" t="str">
        <f>_xlfn.XLOOKUP(A325,CATÁLOGO!$A$2:$A$846,CATÁLOGO!$E$2:$E$846,"FORA DO CATÁLOGO")</f>
        <v>Ativo</v>
      </c>
      <c r="E325" s="9" t="s">
        <v>1347</v>
      </c>
      <c r="F325" s="52">
        <f>SUMIFS('AVARIA PINHEIROS'!$C$2:$C$24,'AVARIA PINHEIROS'!$A$2:$A$24,A325)</f>
        <v>2</v>
      </c>
    </row>
    <row r="326" spans="1:6" x14ac:dyDescent="0.3">
      <c r="A326" s="9" t="s">
        <v>1479</v>
      </c>
      <c r="B326" s="18" t="str">
        <f>_xlfn.XLOOKUP(A326,CATÁLOGO!$A$2:$A$846,CATÁLOGO!$B$2:$B$846,"FORA DO CATÁLOGO")</f>
        <v>BER006L44</v>
      </c>
      <c r="C326" s="11">
        <v>1</v>
      </c>
      <c r="D326" s="11" t="str">
        <f>_xlfn.XLOOKUP(A326,CATÁLOGO!$A$2:$A$846,CATÁLOGO!$E$2:$E$846,"FORA DO CATÁLOGO")</f>
        <v>Ativo</v>
      </c>
      <c r="E326" s="9"/>
      <c r="F326" s="52">
        <f>SUMIFS('AVARIA PINHEIROS'!$C$2:$C$24,'AVARIA PINHEIROS'!$A$2:$A$24,A326)</f>
        <v>0</v>
      </c>
    </row>
    <row r="327" spans="1:6" x14ac:dyDescent="0.3">
      <c r="A327" s="9" t="s">
        <v>1599</v>
      </c>
      <c r="B327" s="18" t="str">
        <f>_xlfn.XLOOKUP(A327,CATÁLOGO!$A$2:$A$846,CATÁLOGO!$B$2:$B$846,"FORA DO CATÁLOGO")</f>
        <v>CAL013M36</v>
      </c>
      <c r="C327" s="11">
        <v>1</v>
      </c>
      <c r="D327" s="11" t="str">
        <f>_xlfn.XLOOKUP(A327,CATÁLOGO!$A$2:$A$846,CATÁLOGO!$E$2:$E$846,"FORA DO CATÁLOGO")</f>
        <v>Descontinuado</v>
      </c>
      <c r="E327" s="9"/>
      <c r="F327" s="52">
        <f>SUMIFS('AVARIA PINHEIROS'!$C$2:$C$24,'AVARIA PINHEIROS'!$A$2:$A$24,A327)</f>
        <v>0</v>
      </c>
    </row>
    <row r="328" spans="1:6" x14ac:dyDescent="0.3">
      <c r="A328" s="9" t="s">
        <v>1597</v>
      </c>
      <c r="B328" s="18" t="str">
        <f>_xlfn.XLOOKUP(A328,CATÁLOGO!$A$2:$A$846,CATÁLOGO!$B$2:$B$846,"FORA DO CATÁLOGO")</f>
        <v>CAL013M40</v>
      </c>
      <c r="C328" s="11">
        <v>2</v>
      </c>
      <c r="D328" s="11" t="str">
        <f>_xlfn.XLOOKUP(A328,CATÁLOGO!$A$2:$A$846,CATÁLOGO!$E$2:$E$846,"FORA DO CATÁLOGO")</f>
        <v>Descontinuado</v>
      </c>
      <c r="E328" s="9"/>
      <c r="F328" s="52">
        <f>SUMIFS('AVARIA PINHEIROS'!$C$2:$C$24,'AVARIA PINHEIROS'!$A$2:$A$24,A328)</f>
        <v>0</v>
      </c>
    </row>
    <row r="329" spans="1:6" x14ac:dyDescent="0.3">
      <c r="A329" s="9" t="s">
        <v>1594</v>
      </c>
      <c r="B329" s="18" t="str">
        <f>_xlfn.XLOOKUP(A329,CATÁLOGO!$A$2:$A$846,CATÁLOGO!$B$2:$B$846,"FORA DO CATÁLOGO")</f>
        <v>CAL013M42</v>
      </c>
      <c r="C329" s="11">
        <v>1</v>
      </c>
      <c r="D329" s="11" t="str">
        <f>_xlfn.XLOOKUP(A329,CATÁLOGO!$A$2:$A$846,CATÁLOGO!$E$2:$E$846,"FORA DO CATÁLOGO")</f>
        <v>Descontinuado</v>
      </c>
      <c r="E329" s="9"/>
      <c r="F329" s="52">
        <f>SUMIFS('AVARIA PINHEIROS'!$C$2:$C$24,'AVARIA PINHEIROS'!$A$2:$A$24,A329)</f>
        <v>0</v>
      </c>
    </row>
    <row r="330" spans="1:6" x14ac:dyDescent="0.3">
      <c r="A330" s="9" t="s">
        <v>1596</v>
      </c>
      <c r="B330" s="18" t="str">
        <f>_xlfn.XLOOKUP(A330,CATÁLOGO!$A$2:$A$846,CATÁLOGO!$B$2:$B$846,"FORA DO CATÁLOGO")</f>
        <v>CAL013M44</v>
      </c>
      <c r="C330" s="11">
        <v>1</v>
      </c>
      <c r="D330" s="11" t="str">
        <f>_xlfn.XLOOKUP(A330,CATÁLOGO!$A$2:$A$846,CATÁLOGO!$E$2:$E$846,"FORA DO CATÁLOGO")</f>
        <v>Descontinuado</v>
      </c>
      <c r="E330" s="9"/>
      <c r="F330" s="52">
        <f>SUMIFS('AVARIA PINHEIROS'!$C$2:$C$24,'AVARIA PINHEIROS'!$A$2:$A$24,A330)</f>
        <v>0</v>
      </c>
    </row>
    <row r="331" spans="1:6" x14ac:dyDescent="0.3">
      <c r="A331" s="9" t="s">
        <v>243</v>
      </c>
      <c r="B331" s="18" t="str">
        <f>_xlfn.XLOOKUP(A331,CATÁLOGO!$A$2:$A$846,CATÁLOGO!$B$2:$B$846,"FORA DO CATÁLOGO")</f>
        <v>VES007VP</v>
      </c>
      <c r="C331" s="11">
        <v>5</v>
      </c>
      <c r="D331" s="11" t="str">
        <f>_xlfn.XLOOKUP(A331,CATÁLOGO!$A$2:$A$846,CATÁLOGO!$E$2:$E$846,"FORA DO CATÁLOGO")</f>
        <v>Ativo</v>
      </c>
      <c r="E331" s="9"/>
      <c r="F331" s="52">
        <f>SUMIFS('AVARIA PINHEIROS'!$C$2:$C$24,'AVARIA PINHEIROS'!$A$2:$A$24,A331)</f>
        <v>0</v>
      </c>
    </row>
    <row r="332" spans="1:6" x14ac:dyDescent="0.3">
      <c r="A332" s="9" t="s">
        <v>244</v>
      </c>
      <c r="B332" s="18" t="str">
        <f>_xlfn.XLOOKUP(A332,CATÁLOGO!$A$2:$A$846,CATÁLOGO!$B$2:$B$846,"FORA DO CATÁLOGO")</f>
        <v>VES007VM</v>
      </c>
      <c r="C332" s="11">
        <v>6</v>
      </c>
      <c r="D332" s="11" t="str">
        <f>_xlfn.XLOOKUP(A332,CATÁLOGO!$A$2:$A$846,CATÁLOGO!$E$2:$E$846,"FORA DO CATÁLOGO")</f>
        <v>Ativo</v>
      </c>
      <c r="E332" s="9"/>
      <c r="F332" s="52">
        <f>SUMIFS('AVARIA PINHEIROS'!$C$2:$C$24,'AVARIA PINHEIROS'!$A$2:$A$24,A332)</f>
        <v>0</v>
      </c>
    </row>
    <row r="333" spans="1:6" x14ac:dyDescent="0.3">
      <c r="A333" s="9" t="s">
        <v>245</v>
      </c>
      <c r="B333" s="18" t="str">
        <f>_xlfn.XLOOKUP(A333,CATÁLOGO!$A$2:$A$846,CATÁLOGO!$B$2:$B$846,"FORA DO CATÁLOGO")</f>
        <v>VES007VG</v>
      </c>
      <c r="C333" s="11">
        <v>6</v>
      </c>
      <c r="D333" s="11" t="str">
        <f>_xlfn.XLOOKUP(A333,CATÁLOGO!$A$2:$A$846,CATÁLOGO!$E$2:$E$846,"FORA DO CATÁLOGO")</f>
        <v>Ativo</v>
      </c>
      <c r="E333" s="9" t="s">
        <v>23</v>
      </c>
      <c r="F333" s="52">
        <f>SUMIFS('AVARIA PINHEIROS'!$C$2:$C$24,'AVARIA PINHEIROS'!$A$2:$A$24,A333)</f>
        <v>0</v>
      </c>
    </row>
    <row r="334" spans="1:6" x14ac:dyDescent="0.3">
      <c r="A334" s="9" t="s">
        <v>246</v>
      </c>
      <c r="B334" s="18" t="str">
        <f>_xlfn.XLOOKUP(A334,CATÁLOGO!$A$2:$A$846,CATÁLOGO!$B$2:$B$846,"FORA DO CATÁLOGO")</f>
        <v>VES007VGG</v>
      </c>
      <c r="C334" s="11">
        <v>0</v>
      </c>
      <c r="D334" s="11" t="str">
        <f>_xlfn.XLOOKUP(A334,CATÁLOGO!$A$2:$A$846,CATÁLOGO!$E$2:$E$846,"FORA DO CATÁLOGO")</f>
        <v>Ativo</v>
      </c>
      <c r="E334" s="9" t="s">
        <v>1350</v>
      </c>
      <c r="F334" s="52">
        <f>SUMIFS('AVARIA PINHEIROS'!$C$2:$C$24,'AVARIA PINHEIROS'!$A$2:$A$24,A334)</f>
        <v>3</v>
      </c>
    </row>
    <row r="335" spans="1:6" x14ac:dyDescent="0.3">
      <c r="A335" s="9" t="s">
        <v>247</v>
      </c>
      <c r="B335" s="18" t="str">
        <f>_xlfn.XLOOKUP(A335,CATÁLOGO!$A$2:$A$846,CATÁLOGO!$B$2:$B$846,"FORA DO CATÁLOGO")</f>
        <v>TRI008LP</v>
      </c>
      <c r="C335" s="11">
        <v>6</v>
      </c>
      <c r="D335" s="11" t="str">
        <f>_xlfn.XLOOKUP(A335,CATÁLOGO!$A$2:$A$846,CATÁLOGO!$E$2:$E$846,"FORA DO CATÁLOGO")</f>
        <v>Ativo</v>
      </c>
      <c r="E335" s="9"/>
      <c r="F335" s="52">
        <f>SUMIFS('AVARIA PINHEIROS'!$C$2:$C$24,'AVARIA PINHEIROS'!$A$2:$A$24,A335)</f>
        <v>0</v>
      </c>
    </row>
    <row r="336" spans="1:6" x14ac:dyDescent="0.3">
      <c r="A336" s="9" t="s">
        <v>248</v>
      </c>
      <c r="B336" s="18" t="str">
        <f>_xlfn.XLOOKUP(A336,CATÁLOGO!$A$2:$A$846,CATÁLOGO!$B$2:$B$846,"FORA DO CATÁLOGO")</f>
        <v>TRI008LM</v>
      </c>
      <c r="C336" s="11">
        <v>6</v>
      </c>
      <c r="D336" s="11" t="str">
        <f>_xlfn.XLOOKUP(A336,CATÁLOGO!$A$2:$A$846,CATÁLOGO!$E$2:$E$846,"FORA DO CATÁLOGO")</f>
        <v>Ativo</v>
      </c>
      <c r="E336" s="9"/>
      <c r="F336" s="52">
        <f>SUMIFS('AVARIA PINHEIROS'!$C$2:$C$24,'AVARIA PINHEIROS'!$A$2:$A$24,A336)</f>
        <v>0</v>
      </c>
    </row>
    <row r="337" spans="1:6" x14ac:dyDescent="0.3">
      <c r="A337" s="9" t="s">
        <v>249</v>
      </c>
      <c r="B337" s="18" t="str">
        <f>_xlfn.XLOOKUP(A337,CATÁLOGO!$A$2:$A$846,CATÁLOGO!$B$2:$B$846,"FORA DO CATÁLOGO")</f>
        <v>TRI008LG</v>
      </c>
      <c r="C337" s="11">
        <v>6</v>
      </c>
      <c r="D337" s="11" t="str">
        <f>_xlfn.XLOOKUP(A337,CATÁLOGO!$A$2:$A$846,CATÁLOGO!$E$2:$E$846,"FORA DO CATÁLOGO")</f>
        <v>Ativo</v>
      </c>
      <c r="E337" s="9"/>
      <c r="F337" s="52">
        <f>SUMIFS('AVARIA PINHEIROS'!$C$2:$C$24,'AVARIA PINHEIROS'!$A$2:$A$24,A337)</f>
        <v>0</v>
      </c>
    </row>
    <row r="338" spans="1:6" x14ac:dyDescent="0.3">
      <c r="A338" s="9" t="s">
        <v>250</v>
      </c>
      <c r="B338" s="18" t="str">
        <f>_xlfn.XLOOKUP(A338,CATÁLOGO!$A$2:$A$846,CATÁLOGO!$B$2:$B$846,"FORA DO CATÁLOGO")</f>
        <v>ACE009VU</v>
      </c>
      <c r="C338" s="11">
        <v>3</v>
      </c>
      <c r="D338" s="11" t="str">
        <f>_xlfn.XLOOKUP(A338,CATÁLOGO!$A$2:$A$846,CATÁLOGO!$E$2:$E$846,"FORA DO CATÁLOGO")</f>
        <v>Descontinuado</v>
      </c>
      <c r="E338" s="9"/>
      <c r="F338" s="52">
        <f>SUMIFS('AVARIA PINHEIROS'!$C$2:$C$24,'AVARIA PINHEIROS'!$A$2:$A$24,A338)</f>
        <v>0</v>
      </c>
    </row>
    <row r="339" spans="1:6" x14ac:dyDescent="0.3">
      <c r="A339" s="9" t="s">
        <v>251</v>
      </c>
      <c r="B339" s="18" t="str">
        <f>_xlfn.XLOOKUP(A339,CATÁLOGO!$A$2:$A$846,CATÁLOGO!$B$2:$B$846,"FORA DO CATÁLOGO")</f>
        <v>ACE009BU</v>
      </c>
      <c r="C339" s="11">
        <v>3</v>
      </c>
      <c r="D339" s="11" t="str">
        <f>_xlfn.XLOOKUP(A339,CATÁLOGO!$A$2:$A$846,CATÁLOGO!$E$2:$E$846,"FORA DO CATÁLOGO")</f>
        <v>Descontinuado</v>
      </c>
      <c r="E339" s="9"/>
      <c r="F339" s="52">
        <f>SUMIFS('AVARIA PINHEIROS'!$C$2:$C$24,'AVARIA PINHEIROS'!$A$2:$A$24,A339)</f>
        <v>0</v>
      </c>
    </row>
    <row r="340" spans="1:6" x14ac:dyDescent="0.3">
      <c r="A340" s="9" t="s">
        <v>1604</v>
      </c>
      <c r="B340" s="18" t="str">
        <f>_xlfn.XLOOKUP(A340,CATÁLOGO!$A$2:$A$846,CATÁLOGO!$B$2:$B$846,"FORA DO CATÁLOGO")</f>
        <v>CAL014A38</v>
      </c>
      <c r="C340" s="11">
        <v>3</v>
      </c>
      <c r="D340" s="11" t="str">
        <f>_xlfn.XLOOKUP(A340,CATÁLOGO!$A$2:$A$846,CATÁLOGO!$E$2:$E$846,"FORA DO CATÁLOGO")</f>
        <v>Descontinuado</v>
      </c>
      <c r="E340" s="9"/>
      <c r="F340" s="52">
        <f>SUMIFS('AVARIA PINHEIROS'!$C$2:$C$24,'AVARIA PINHEIROS'!$A$2:$A$24,A340)</f>
        <v>0</v>
      </c>
    </row>
    <row r="341" spans="1:6" x14ac:dyDescent="0.3">
      <c r="A341" s="9" t="s">
        <v>1600</v>
      </c>
      <c r="B341" s="18" t="str">
        <f>_xlfn.XLOOKUP(A341,CATÁLOGO!$A$2:$A$846,CATÁLOGO!$B$2:$B$846,"FORA DO CATÁLOGO")</f>
        <v>CAL014A42</v>
      </c>
      <c r="C341" s="11">
        <v>5</v>
      </c>
      <c r="D341" s="11" t="str">
        <f>_xlfn.XLOOKUP(A341,CATÁLOGO!$A$2:$A$846,CATÁLOGO!$E$2:$E$846,"FORA DO CATÁLOGO")</f>
        <v>Descontinuado</v>
      </c>
      <c r="E341" s="9"/>
      <c r="F341" s="52">
        <f>SUMIFS('AVARIA PINHEIROS'!$C$2:$C$24,'AVARIA PINHEIROS'!$A$2:$A$24,A341)</f>
        <v>0</v>
      </c>
    </row>
    <row r="342" spans="1:6" x14ac:dyDescent="0.3">
      <c r="A342" s="9" t="s">
        <v>1602</v>
      </c>
      <c r="B342" s="18" t="str">
        <f>_xlfn.XLOOKUP(A342,CATÁLOGO!$A$2:$A$846,CATÁLOGO!$B$2:$B$846,"FORA DO CATÁLOGO")</f>
        <v>CAL014A44</v>
      </c>
      <c r="C342" s="11">
        <v>5</v>
      </c>
      <c r="D342" s="11" t="str">
        <f>_xlfn.XLOOKUP(A342,CATÁLOGO!$A$2:$A$846,CATÁLOGO!$E$2:$E$846,"FORA DO CATÁLOGO")</f>
        <v>Descontinuado</v>
      </c>
      <c r="E342" s="9"/>
      <c r="F342" s="52">
        <f>SUMIFS('AVARIA PINHEIROS'!$C$2:$C$24,'AVARIA PINHEIROS'!$A$2:$A$24,A342)</f>
        <v>0</v>
      </c>
    </row>
    <row r="343" spans="1:6" x14ac:dyDescent="0.3">
      <c r="A343" s="9" t="s">
        <v>252</v>
      </c>
      <c r="B343" s="18" t="str">
        <f>_xlfn.XLOOKUP(A343,CATÁLOGO!$A$2:$A$846,CATÁLOGO!$B$2:$B$846,"FORA DO CATÁLOGO")</f>
        <v>CAM015CP</v>
      </c>
      <c r="C343" s="11">
        <v>1</v>
      </c>
      <c r="D343" s="11" t="str">
        <f>_xlfn.XLOOKUP(A343,CATÁLOGO!$A$2:$A$846,CATÁLOGO!$E$2:$E$846,"FORA DO CATÁLOGO")</f>
        <v>Descontinuado</v>
      </c>
      <c r="E343" s="9"/>
      <c r="F343" s="52">
        <f>SUMIFS('AVARIA PINHEIROS'!$C$2:$C$24,'AVARIA PINHEIROS'!$A$2:$A$24,A343)</f>
        <v>0</v>
      </c>
    </row>
    <row r="344" spans="1:6" x14ac:dyDescent="0.3">
      <c r="A344" s="9" t="s">
        <v>253</v>
      </c>
      <c r="B344" s="18" t="str">
        <f>_xlfn.XLOOKUP(A344,CATÁLOGO!$A$2:$A$846,CATÁLOGO!$B$2:$B$846,"FORA DO CATÁLOGO")</f>
        <v>CAM015CM</v>
      </c>
      <c r="C344" s="11">
        <v>6</v>
      </c>
      <c r="D344" s="11" t="str">
        <f>_xlfn.XLOOKUP(A344,CATÁLOGO!$A$2:$A$846,CATÁLOGO!$E$2:$E$846,"FORA DO CATÁLOGO")</f>
        <v>Descontinuado</v>
      </c>
      <c r="E344" s="9"/>
      <c r="F344" s="52">
        <f>SUMIFS('AVARIA PINHEIROS'!$C$2:$C$24,'AVARIA PINHEIROS'!$A$2:$A$24,A344)</f>
        <v>0</v>
      </c>
    </row>
    <row r="345" spans="1:6" x14ac:dyDescent="0.3">
      <c r="A345" s="9" t="s">
        <v>254</v>
      </c>
      <c r="B345" s="18" t="str">
        <f>_xlfn.XLOOKUP(A345,CATÁLOGO!$A$2:$A$846,CATÁLOGO!$B$2:$B$846,"FORA DO CATÁLOGO")</f>
        <v>SAI007HP</v>
      </c>
      <c r="C345" s="11">
        <v>1</v>
      </c>
      <c r="D345" s="11" t="str">
        <f>_xlfn.XLOOKUP(A345,CATÁLOGO!$A$2:$A$846,CATÁLOGO!$E$2:$E$846,"FORA DO CATÁLOGO")</f>
        <v>Descontinuado</v>
      </c>
      <c r="E345" s="9"/>
      <c r="F345" s="52">
        <f>SUMIFS('AVARIA PINHEIROS'!$C$2:$C$24,'AVARIA PINHEIROS'!$A$2:$A$24,A345)</f>
        <v>0</v>
      </c>
    </row>
    <row r="346" spans="1:6" x14ac:dyDescent="0.3">
      <c r="A346" s="9" t="s">
        <v>255</v>
      </c>
      <c r="B346" s="18" t="str">
        <f>_xlfn.XLOOKUP(A346,CATÁLOGO!$A$2:$A$846,CATÁLOGO!$B$2:$B$846,"FORA DO CATÁLOGO")</f>
        <v>SAI007HG</v>
      </c>
      <c r="C346" s="11">
        <v>1</v>
      </c>
      <c r="D346" s="11" t="str">
        <f>_xlfn.XLOOKUP(A346,CATÁLOGO!$A$2:$A$846,CATÁLOGO!$E$2:$E$846,"FORA DO CATÁLOGO")</f>
        <v>Descontinuado</v>
      </c>
      <c r="E346" s="9"/>
      <c r="F346" s="52">
        <f>SUMIFS('AVARIA PINHEIROS'!$C$2:$C$24,'AVARIA PINHEIROS'!$A$2:$A$24,A346)</f>
        <v>0</v>
      </c>
    </row>
    <row r="347" spans="1:6" x14ac:dyDescent="0.3">
      <c r="A347" s="9" t="s">
        <v>256</v>
      </c>
      <c r="B347" s="18" t="str">
        <f>_xlfn.XLOOKUP(A347,CATÁLOGO!$A$2:$A$846,CATÁLOGO!$B$2:$B$846,"FORA DO CATÁLOGO")</f>
        <v>SAI007HGG</v>
      </c>
      <c r="C347" s="11">
        <v>2</v>
      </c>
      <c r="D347" s="11" t="str">
        <f>_xlfn.XLOOKUP(A347,CATÁLOGO!$A$2:$A$846,CATÁLOGO!$E$2:$E$846,"FORA DO CATÁLOGO")</f>
        <v>Descontinuado</v>
      </c>
      <c r="E347" s="9"/>
      <c r="F347" s="52">
        <f>SUMIFS('AVARIA PINHEIROS'!$C$2:$C$24,'AVARIA PINHEIROS'!$A$2:$A$24,A347)</f>
        <v>0</v>
      </c>
    </row>
    <row r="348" spans="1:6" x14ac:dyDescent="0.3">
      <c r="A348" s="9" t="s">
        <v>257</v>
      </c>
      <c r="B348" s="18" t="str">
        <f>_xlfn.XLOOKUP(A348,CATÁLOGO!$A$2:$A$846,CATÁLOGO!$B$2:$B$846,"FORA DO CATÁLOGO")</f>
        <v>TRI009YP</v>
      </c>
      <c r="C348" s="11">
        <v>2</v>
      </c>
      <c r="D348" s="11" t="str">
        <f>_xlfn.XLOOKUP(A348,CATÁLOGO!$A$2:$A$846,CATÁLOGO!$E$2:$E$846,"FORA DO CATÁLOGO")</f>
        <v>Ativo</v>
      </c>
      <c r="E348" s="9"/>
      <c r="F348" s="52">
        <f>SUMIFS('AVARIA PINHEIROS'!$C$2:$C$24,'AVARIA PINHEIROS'!$A$2:$A$24,A348)</f>
        <v>0</v>
      </c>
    </row>
    <row r="349" spans="1:6" x14ac:dyDescent="0.3">
      <c r="A349" s="9" t="s">
        <v>258</v>
      </c>
      <c r="B349" s="18" t="str">
        <f>_xlfn.XLOOKUP(A349,CATÁLOGO!$A$2:$A$846,CATÁLOGO!$B$2:$B$846,"FORA DO CATÁLOGO")</f>
        <v>TRI009YM</v>
      </c>
      <c r="C349" s="11">
        <v>3</v>
      </c>
      <c r="D349" s="11" t="str">
        <f>_xlfn.XLOOKUP(A349,CATÁLOGO!$A$2:$A$846,CATÁLOGO!$E$2:$E$846,"FORA DO CATÁLOGO")</f>
        <v>Ativo</v>
      </c>
      <c r="E349" s="9"/>
      <c r="F349" s="52">
        <f>SUMIFS('AVARIA PINHEIROS'!$C$2:$C$24,'AVARIA PINHEIROS'!$A$2:$A$24,A349)</f>
        <v>0</v>
      </c>
    </row>
    <row r="350" spans="1:6" x14ac:dyDescent="0.3">
      <c r="A350" s="9" t="s">
        <v>259</v>
      </c>
      <c r="B350" s="18" t="str">
        <f>_xlfn.XLOOKUP(A350,CATÁLOGO!$A$2:$A$846,CATÁLOGO!$B$2:$B$846,"FORA DO CATÁLOGO")</f>
        <v>TRI009YG</v>
      </c>
      <c r="C350" s="11">
        <v>3</v>
      </c>
      <c r="D350" s="11" t="str">
        <f>_xlfn.XLOOKUP(A350,CATÁLOGO!$A$2:$A$846,CATÁLOGO!$E$2:$E$846,"FORA DO CATÁLOGO")</f>
        <v>Ativo</v>
      </c>
      <c r="E350" s="9"/>
      <c r="F350" s="52">
        <f>SUMIFS('AVARIA PINHEIROS'!$C$2:$C$24,'AVARIA PINHEIROS'!$A$2:$A$24,A350)</f>
        <v>0</v>
      </c>
    </row>
    <row r="351" spans="1:6" x14ac:dyDescent="0.3">
      <c r="A351" s="9" t="s">
        <v>260</v>
      </c>
      <c r="B351" s="18" t="str">
        <f>_xlfn.XLOOKUP(A351,CATÁLOGO!$A$2:$A$846,CATÁLOGO!$B$2:$B$846,"FORA DO CATÁLOGO")</f>
        <v>TRI009YGG</v>
      </c>
      <c r="C351" s="11">
        <v>1</v>
      </c>
      <c r="D351" s="11" t="str">
        <f>_xlfn.XLOOKUP(A351,CATÁLOGO!$A$2:$A$846,CATÁLOGO!$E$2:$E$846,"FORA DO CATÁLOGO")</f>
        <v>Ativo</v>
      </c>
      <c r="E351" s="9"/>
      <c r="F351" s="52">
        <f>SUMIFS('AVARIA PINHEIROS'!$C$2:$C$24,'AVARIA PINHEIROS'!$A$2:$A$24,A351)</f>
        <v>0</v>
      </c>
    </row>
    <row r="352" spans="1:6" x14ac:dyDescent="0.3">
      <c r="A352" s="9" t="s">
        <v>1845</v>
      </c>
      <c r="B352" s="18" t="str">
        <f>_xlfn.XLOOKUP(A352,CATÁLOGO!$A$2:$A$846,CATÁLOGO!$B$2:$B$846,"FORA DO CATÁLOGO")</f>
        <v>MOL012OPP</v>
      </c>
      <c r="C352" s="11">
        <v>2</v>
      </c>
      <c r="D352" s="11" t="str">
        <f>_xlfn.XLOOKUP(A352,CATÁLOGO!$A$2:$A$846,CATÁLOGO!$E$2:$E$846,"FORA DO CATÁLOGO")</f>
        <v>Ativo</v>
      </c>
      <c r="E352" s="9"/>
      <c r="F352" s="52">
        <f>SUMIFS('AVARIA PINHEIROS'!$C$2:$C$24,'AVARIA PINHEIROS'!$A$2:$A$24,A352)</f>
        <v>0</v>
      </c>
    </row>
    <row r="353" spans="1:6" x14ac:dyDescent="0.3">
      <c r="A353" s="9" t="s">
        <v>261</v>
      </c>
      <c r="B353" s="18" t="str">
        <f>_xlfn.XLOOKUP(A353,CATÁLOGO!$A$2:$A$846,CATÁLOGO!$B$2:$B$846,"FORA DO CATÁLOGO")</f>
        <v>MOL012OP</v>
      </c>
      <c r="C353" s="11">
        <v>6</v>
      </c>
      <c r="D353" s="11" t="str">
        <f>_xlfn.XLOOKUP(A353,CATÁLOGO!$A$2:$A$846,CATÁLOGO!$E$2:$E$846,"FORA DO CATÁLOGO")</f>
        <v>Ativo</v>
      </c>
      <c r="E353" s="9"/>
      <c r="F353" s="52">
        <f>SUMIFS('AVARIA PINHEIROS'!$C$2:$C$24,'AVARIA PINHEIROS'!$A$2:$A$24,A353)</f>
        <v>0</v>
      </c>
    </row>
    <row r="354" spans="1:6" x14ac:dyDescent="0.3">
      <c r="A354" s="9" t="s">
        <v>262</v>
      </c>
      <c r="B354" s="18" t="str">
        <f>_xlfn.XLOOKUP(A354,CATÁLOGO!$A$2:$A$846,CATÁLOGO!$B$2:$B$846,"FORA DO CATÁLOGO")</f>
        <v>MOL012OM</v>
      </c>
      <c r="C354" s="11">
        <v>6</v>
      </c>
      <c r="D354" s="11" t="str">
        <f>_xlfn.XLOOKUP(A354,CATÁLOGO!$A$2:$A$846,CATÁLOGO!$E$2:$E$846,"FORA DO CATÁLOGO")</f>
        <v>Ativo</v>
      </c>
      <c r="E354" s="9"/>
      <c r="F354" s="52">
        <f>SUMIFS('AVARIA PINHEIROS'!$C$2:$C$24,'AVARIA PINHEIROS'!$A$2:$A$24,A354)</f>
        <v>0</v>
      </c>
    </row>
    <row r="355" spans="1:6" x14ac:dyDescent="0.3">
      <c r="A355" s="9" t="s">
        <v>263</v>
      </c>
      <c r="B355" s="18" t="str">
        <f>_xlfn.XLOOKUP(A355,CATÁLOGO!$A$2:$A$846,CATÁLOGO!$B$2:$B$846,"FORA DO CATÁLOGO")</f>
        <v>MOL012OG</v>
      </c>
      <c r="C355" s="11">
        <v>6</v>
      </c>
      <c r="D355" s="11" t="str">
        <f>_xlfn.XLOOKUP(A355,CATÁLOGO!$A$2:$A$846,CATÁLOGO!$E$2:$E$846,"FORA DO CATÁLOGO")</f>
        <v>Ativo</v>
      </c>
      <c r="E355" s="9"/>
      <c r="F355" s="52">
        <f>SUMIFS('AVARIA PINHEIROS'!$C$2:$C$24,'AVARIA PINHEIROS'!$A$2:$A$24,A355)</f>
        <v>0</v>
      </c>
    </row>
    <row r="356" spans="1:6" x14ac:dyDescent="0.3">
      <c r="A356" s="9" t="s">
        <v>264</v>
      </c>
      <c r="B356" s="18" t="str">
        <f>_xlfn.XLOOKUP(A356,CATÁLOGO!$A$2:$A$846,CATÁLOGO!$B$2:$B$846,"FORA DO CATÁLOGO")</f>
        <v>MOL012OGG</v>
      </c>
      <c r="C356" s="11">
        <v>4</v>
      </c>
      <c r="D356" s="11" t="str">
        <f>_xlfn.XLOOKUP(A356,CATÁLOGO!$A$2:$A$846,CATÁLOGO!$E$2:$E$846,"FORA DO CATÁLOGO")</f>
        <v>Ativo</v>
      </c>
      <c r="E356" s="9"/>
      <c r="F356" s="52">
        <f>SUMIFS('AVARIA PINHEIROS'!$C$2:$C$24,'AVARIA PINHEIROS'!$A$2:$A$24,A356)</f>
        <v>0</v>
      </c>
    </row>
    <row r="357" spans="1:6" x14ac:dyDescent="0.3">
      <c r="A357" s="9" t="s">
        <v>1613</v>
      </c>
      <c r="B357" s="18" t="str">
        <f>_xlfn.XLOOKUP(A357,CATÁLOGO!$A$2:$A$846,CATÁLOGO!$B$2:$B$846,"FORA DO CATÁLOGO")</f>
        <v>CAL015G36</v>
      </c>
      <c r="C357" s="11">
        <v>1</v>
      </c>
      <c r="D357" s="11" t="str">
        <f>_xlfn.XLOOKUP(A357,CATÁLOGO!$A$2:$A$846,CATÁLOGO!$E$2:$E$846,"FORA DO CATÁLOGO")</f>
        <v>Descontinuado</v>
      </c>
      <c r="E357" s="9"/>
      <c r="F357" s="52">
        <f>SUMIFS('AVARIA PINHEIROS'!$C$2:$C$24,'AVARIA PINHEIROS'!$A$2:$A$24,A357)</f>
        <v>0</v>
      </c>
    </row>
    <row r="358" spans="1:6" x14ac:dyDescent="0.3">
      <c r="A358" s="9" t="s">
        <v>1612</v>
      </c>
      <c r="B358" s="18" t="str">
        <f>_xlfn.XLOOKUP(A358,CATÁLOGO!$A$2:$A$846,CATÁLOGO!$B$2:$B$846,"FORA DO CATÁLOGO")</f>
        <v>CAL015G38</v>
      </c>
      <c r="C358" s="11">
        <v>4</v>
      </c>
      <c r="D358" s="11" t="str">
        <f>_xlfn.XLOOKUP(A358,CATÁLOGO!$A$2:$A$846,CATÁLOGO!$E$2:$E$846,"FORA DO CATÁLOGO")</f>
        <v>Descontinuado</v>
      </c>
      <c r="E358" s="9"/>
      <c r="F358" s="52">
        <f>SUMIFS('AVARIA PINHEIROS'!$C$2:$C$24,'AVARIA PINHEIROS'!$A$2:$A$24,A358)</f>
        <v>0</v>
      </c>
    </row>
    <row r="359" spans="1:6" x14ac:dyDescent="0.3">
      <c r="A359" s="9" t="s">
        <v>1611</v>
      </c>
      <c r="B359" s="18" t="str">
        <f>_xlfn.XLOOKUP(A359,CATÁLOGO!$A$2:$A$846,CATÁLOGO!$B$2:$B$846,"FORA DO CATÁLOGO")</f>
        <v>CAL015G40</v>
      </c>
      <c r="C359" s="11">
        <v>2</v>
      </c>
      <c r="D359" s="11" t="str">
        <f>_xlfn.XLOOKUP(A359,CATÁLOGO!$A$2:$A$846,CATÁLOGO!$E$2:$E$846,"FORA DO CATÁLOGO")</f>
        <v>Descontinuado</v>
      </c>
      <c r="E359" s="9"/>
      <c r="F359" s="52">
        <f>SUMIFS('AVARIA PINHEIROS'!$C$2:$C$24,'AVARIA PINHEIROS'!$A$2:$A$24,A359)</f>
        <v>0</v>
      </c>
    </row>
    <row r="360" spans="1:6" x14ac:dyDescent="0.3">
      <c r="A360" s="9" t="s">
        <v>1608</v>
      </c>
      <c r="B360" s="18" t="str">
        <f>_xlfn.XLOOKUP(A360,CATÁLOGO!$A$2:$A$846,CATÁLOGO!$B$2:$B$846,"FORA DO CATÁLOGO")</f>
        <v>CAL015G42</v>
      </c>
      <c r="C360" s="11">
        <v>2</v>
      </c>
      <c r="D360" s="11" t="str">
        <f>_xlfn.XLOOKUP(A360,CATÁLOGO!$A$2:$A$846,CATÁLOGO!$E$2:$E$846,"FORA DO CATÁLOGO")</f>
        <v>Descontinuado</v>
      </c>
      <c r="E360" s="9"/>
      <c r="F360" s="52">
        <f>SUMIFS('AVARIA PINHEIROS'!$C$2:$C$24,'AVARIA PINHEIROS'!$A$2:$A$24,A360)</f>
        <v>0</v>
      </c>
    </row>
    <row r="361" spans="1:6" x14ac:dyDescent="0.3">
      <c r="A361" s="9" t="s">
        <v>1619</v>
      </c>
      <c r="B361" s="18" t="str">
        <f>_xlfn.XLOOKUP(A361,CATÁLOGO!$A$2:$A$846,CATÁLOGO!$B$2:$B$846,"FORA DO CATÁLOGO")</f>
        <v>CAL016V36</v>
      </c>
      <c r="C361" s="11">
        <v>1</v>
      </c>
      <c r="D361" s="11" t="str">
        <f>_xlfn.XLOOKUP(A361,CATÁLOGO!$A$2:$A$846,CATÁLOGO!$E$2:$E$846,"FORA DO CATÁLOGO")</f>
        <v>Descontinuado</v>
      </c>
      <c r="E361" s="9"/>
      <c r="F361" s="52">
        <f>SUMIFS('AVARIA PINHEIROS'!$C$2:$C$24,'AVARIA PINHEIROS'!$A$2:$A$24,A361)</f>
        <v>0</v>
      </c>
    </row>
    <row r="362" spans="1:6" x14ac:dyDescent="0.3">
      <c r="A362" s="9" t="s">
        <v>1618</v>
      </c>
      <c r="B362" s="18" t="str">
        <f>_xlfn.XLOOKUP(A362,CATÁLOGO!$A$2:$A$846,CATÁLOGO!$B$2:$B$846,"FORA DO CATÁLOGO")</f>
        <v>CAL016V38</v>
      </c>
      <c r="C362" s="11">
        <v>0</v>
      </c>
      <c r="D362" s="11" t="str">
        <f>_xlfn.XLOOKUP(A362,CATÁLOGO!$A$2:$A$846,CATÁLOGO!$E$2:$E$846,"FORA DO CATÁLOGO")</f>
        <v>Descontinuado</v>
      </c>
      <c r="E362" s="9" t="s">
        <v>1349</v>
      </c>
      <c r="F362" s="52">
        <f>SUMIFS('AVARIA PINHEIROS'!$C$2:$C$24,'AVARIA PINHEIROS'!$A$2:$A$24,A362)</f>
        <v>4</v>
      </c>
    </row>
    <row r="363" spans="1:6" x14ac:dyDescent="0.3">
      <c r="A363" s="9" t="s">
        <v>1617</v>
      </c>
      <c r="B363" s="18" t="str">
        <f>_xlfn.XLOOKUP(A363,CATÁLOGO!$A$2:$A$846,CATÁLOGO!$B$2:$B$846,"FORA DO CATÁLOGO")</f>
        <v>CAL016V40</v>
      </c>
      <c r="C363" s="11">
        <v>0</v>
      </c>
      <c r="D363" s="11" t="str">
        <f>_xlfn.XLOOKUP(A363,CATÁLOGO!$A$2:$A$846,CATÁLOGO!$E$2:$E$846,"FORA DO CATÁLOGO")</f>
        <v>Descontinuado</v>
      </c>
      <c r="E363" s="9" t="s">
        <v>1349</v>
      </c>
      <c r="F363" s="52">
        <f>SUMIFS('AVARIA PINHEIROS'!$C$2:$C$24,'AVARIA PINHEIROS'!$A$2:$A$24,A363)</f>
        <v>4</v>
      </c>
    </row>
    <row r="364" spans="1:6" x14ac:dyDescent="0.3">
      <c r="A364" s="9" t="s">
        <v>1614</v>
      </c>
      <c r="B364" s="18" t="str">
        <f>_xlfn.XLOOKUP(A364,CATÁLOGO!$A$2:$A$846,CATÁLOGO!$B$2:$B$846,"FORA DO CATÁLOGO")</f>
        <v>CAL016V42</v>
      </c>
      <c r="C364" s="11">
        <v>1</v>
      </c>
      <c r="D364" s="11" t="str">
        <f>_xlfn.XLOOKUP(A364,CATÁLOGO!$A$2:$A$846,CATÁLOGO!$E$2:$E$846,"FORA DO CATÁLOGO")</f>
        <v>Descontinuado</v>
      </c>
      <c r="E364" s="9"/>
      <c r="F364" s="52">
        <f>SUMIFS('AVARIA PINHEIROS'!$C$2:$C$24,'AVARIA PINHEIROS'!$A$2:$A$24,A364)</f>
        <v>0</v>
      </c>
    </row>
    <row r="365" spans="1:6" x14ac:dyDescent="0.3">
      <c r="A365" s="9" t="s">
        <v>1616</v>
      </c>
      <c r="B365" s="18" t="str">
        <f>_xlfn.XLOOKUP(A365,CATÁLOGO!$A$2:$A$846,CATÁLOGO!$B$2:$B$846,"FORA DO CATÁLOGO")</f>
        <v>CAL016V44</v>
      </c>
      <c r="C365" s="11">
        <v>2</v>
      </c>
      <c r="D365" s="11" t="str">
        <f>_xlfn.XLOOKUP(A365,CATÁLOGO!$A$2:$A$846,CATÁLOGO!$E$2:$E$846,"FORA DO CATÁLOGO")</f>
        <v>Descontinuado</v>
      </c>
      <c r="E365" s="9"/>
      <c r="F365" s="52">
        <f>SUMIFS('AVARIA PINHEIROS'!$C$2:$C$24,'AVARIA PINHEIROS'!$A$2:$A$24,A365)</f>
        <v>0</v>
      </c>
    </row>
    <row r="366" spans="1:6" x14ac:dyDescent="0.3">
      <c r="A366" s="9" t="s">
        <v>1625</v>
      </c>
      <c r="B366" s="18" t="str">
        <f>_xlfn.XLOOKUP(A366,CATÁLOGO!$A$2:$A$846,CATÁLOGO!$B$2:$B$846,"FORA DO CATÁLOGO")</f>
        <v>CAL017H38</v>
      </c>
      <c r="C366" s="11">
        <v>3</v>
      </c>
      <c r="D366" s="11" t="str">
        <f>_xlfn.XLOOKUP(A366,CATÁLOGO!$A$2:$A$846,CATÁLOGO!$E$2:$E$846,"FORA DO CATÁLOGO")</f>
        <v>Descontinuado</v>
      </c>
      <c r="E366" s="9"/>
      <c r="F366" s="52">
        <f>SUMIFS('AVARIA PINHEIROS'!$C$2:$C$24,'AVARIA PINHEIROS'!$A$2:$A$24,A366)</f>
        <v>0</v>
      </c>
    </row>
    <row r="367" spans="1:6" x14ac:dyDescent="0.3">
      <c r="A367" s="9" t="s">
        <v>1624</v>
      </c>
      <c r="B367" s="18" t="str">
        <f>_xlfn.XLOOKUP(A367,CATÁLOGO!$A$2:$A$846,CATÁLOGO!$B$2:$B$846,"FORA DO CATÁLOGO")</f>
        <v>CAL017H40</v>
      </c>
      <c r="C367" s="11">
        <v>1</v>
      </c>
      <c r="D367" s="11" t="str">
        <f>_xlfn.XLOOKUP(A367,CATÁLOGO!$A$2:$A$846,CATÁLOGO!$E$2:$E$846,"FORA DO CATÁLOGO")</f>
        <v>Descontinuado</v>
      </c>
      <c r="E367" s="9"/>
      <c r="F367" s="52">
        <f>SUMIFS('AVARIA PINHEIROS'!$C$2:$C$24,'AVARIA PINHEIROS'!$A$2:$A$24,A367)</f>
        <v>0</v>
      </c>
    </row>
    <row r="368" spans="1:6" x14ac:dyDescent="0.3">
      <c r="A368" s="9" t="s">
        <v>1620</v>
      </c>
      <c r="B368" s="18" t="str">
        <f>_xlfn.XLOOKUP(A368,CATÁLOGO!$A$2:$A$846,CATÁLOGO!$B$2:$B$846,"FORA DO CATÁLOGO")</f>
        <v>CAL017H42</v>
      </c>
      <c r="C368" s="11">
        <v>2</v>
      </c>
      <c r="D368" s="11" t="str">
        <f>_xlfn.XLOOKUP(A368,CATÁLOGO!$A$2:$A$846,CATÁLOGO!$E$2:$E$846,"FORA DO CATÁLOGO")</f>
        <v>Descontinuado</v>
      </c>
      <c r="E368" s="9"/>
      <c r="F368" s="52">
        <f>SUMIFS('AVARIA PINHEIROS'!$C$2:$C$24,'AVARIA PINHEIROS'!$A$2:$A$24,A368)</f>
        <v>0</v>
      </c>
    </row>
    <row r="369" spans="1:6" x14ac:dyDescent="0.3">
      <c r="A369" s="9" t="s">
        <v>1622</v>
      </c>
      <c r="B369" s="18" t="str">
        <f>_xlfn.XLOOKUP(A369,CATÁLOGO!$A$2:$A$846,CATÁLOGO!$B$2:$B$846,"FORA DO CATÁLOGO")</f>
        <v>CAL017H44</v>
      </c>
      <c r="C369" s="11">
        <v>2</v>
      </c>
      <c r="D369" s="11" t="str">
        <f>_xlfn.XLOOKUP(A369,CATÁLOGO!$A$2:$A$846,CATÁLOGO!$E$2:$E$846,"FORA DO CATÁLOGO")</f>
        <v>Descontinuado</v>
      </c>
      <c r="E369" s="9"/>
      <c r="F369" s="52">
        <f>SUMIFS('AVARIA PINHEIROS'!$C$2:$C$24,'AVARIA PINHEIROS'!$A$2:$A$24,A369)</f>
        <v>0</v>
      </c>
    </row>
    <row r="370" spans="1:6" x14ac:dyDescent="0.3">
      <c r="A370" s="9" t="s">
        <v>265</v>
      </c>
      <c r="B370" s="18" t="str">
        <f>_xlfn.XLOOKUP(A370,CATÁLOGO!$A$2:$A$846,CATÁLOGO!$B$2:$B$846,"FORA DO CATÁLOGO")</f>
        <v>TRI010VP</v>
      </c>
      <c r="C370" s="11">
        <v>0</v>
      </c>
      <c r="D370" s="11" t="str">
        <f>_xlfn.XLOOKUP(A370,CATÁLOGO!$A$2:$A$846,CATÁLOGO!$E$2:$E$846,"FORA DO CATÁLOGO")</f>
        <v>Descontinuado</v>
      </c>
      <c r="E370" s="9"/>
      <c r="F370" s="52">
        <f>SUMIFS('AVARIA PINHEIROS'!$C$2:$C$24,'AVARIA PINHEIROS'!$A$2:$A$24,A370)</f>
        <v>0</v>
      </c>
    </row>
    <row r="371" spans="1:6" x14ac:dyDescent="0.3">
      <c r="A371" s="9" t="s">
        <v>266</v>
      </c>
      <c r="B371" s="18" t="str">
        <f>_xlfn.XLOOKUP(A371,CATÁLOGO!$A$2:$A$846,CATÁLOGO!$B$2:$B$846,"FORA DO CATÁLOGO")</f>
        <v>TRI010VM</v>
      </c>
      <c r="C371" s="11">
        <v>4</v>
      </c>
      <c r="D371" s="11" t="str">
        <f>_xlfn.XLOOKUP(A371,CATÁLOGO!$A$2:$A$846,CATÁLOGO!$E$2:$E$846,"FORA DO CATÁLOGO")</f>
        <v>Descontinuado</v>
      </c>
      <c r="E371" s="9"/>
      <c r="F371" s="52">
        <f>SUMIFS('AVARIA PINHEIROS'!$C$2:$C$24,'AVARIA PINHEIROS'!$A$2:$A$24,A371)</f>
        <v>0</v>
      </c>
    </row>
    <row r="372" spans="1:6" x14ac:dyDescent="0.3">
      <c r="A372" s="9" t="s">
        <v>267</v>
      </c>
      <c r="B372" s="18" t="str">
        <f>_xlfn.XLOOKUP(A372,CATÁLOGO!$A$2:$A$846,CATÁLOGO!$B$2:$B$846,"FORA DO CATÁLOGO")</f>
        <v>TRI010VG</v>
      </c>
      <c r="C372" s="11">
        <v>3</v>
      </c>
      <c r="D372" s="11" t="str">
        <f>_xlfn.XLOOKUP(A372,CATÁLOGO!$A$2:$A$846,CATÁLOGO!$E$2:$E$846,"FORA DO CATÁLOGO")</f>
        <v>Descontinuado</v>
      </c>
      <c r="E372" s="9"/>
      <c r="F372" s="52">
        <f>SUMIFS('AVARIA PINHEIROS'!$C$2:$C$24,'AVARIA PINHEIROS'!$A$2:$A$24,A372)</f>
        <v>0</v>
      </c>
    </row>
    <row r="373" spans="1:6" x14ac:dyDescent="0.3">
      <c r="A373" s="9" t="s">
        <v>268</v>
      </c>
      <c r="B373" s="18" t="str">
        <f>_xlfn.XLOOKUP(A373,CATÁLOGO!$A$2:$A$846,CATÁLOGO!$B$2:$B$846,"FORA DO CATÁLOGO")</f>
        <v>TRI011GP</v>
      </c>
      <c r="C373" s="11">
        <v>7</v>
      </c>
      <c r="D373" s="11" t="str">
        <f>_xlfn.XLOOKUP(A373,CATÁLOGO!$A$2:$A$846,CATÁLOGO!$E$2:$E$846,"FORA DO CATÁLOGO")</f>
        <v>Ativo</v>
      </c>
      <c r="E373" s="9"/>
      <c r="F373" s="52">
        <f>SUMIFS('AVARIA PINHEIROS'!$C$2:$C$24,'AVARIA PINHEIROS'!$A$2:$A$24,A373)</f>
        <v>0</v>
      </c>
    </row>
    <row r="374" spans="1:6" x14ac:dyDescent="0.3">
      <c r="A374" s="9" t="s">
        <v>269</v>
      </c>
      <c r="B374" s="18" t="str">
        <f>_xlfn.XLOOKUP(A374,CATÁLOGO!$A$2:$A$846,CATÁLOGO!$B$2:$B$846,"FORA DO CATÁLOGO")</f>
        <v>TRI011GM</v>
      </c>
      <c r="C374" s="11">
        <v>4</v>
      </c>
      <c r="D374" s="11" t="str">
        <f>_xlfn.XLOOKUP(A374,CATÁLOGO!$A$2:$A$846,CATÁLOGO!$E$2:$E$846,"FORA DO CATÁLOGO")</f>
        <v>Ativo</v>
      </c>
      <c r="E374" s="9"/>
      <c r="F374" s="52">
        <f>SUMIFS('AVARIA PINHEIROS'!$C$2:$C$24,'AVARIA PINHEIROS'!$A$2:$A$24,A374)</f>
        <v>0</v>
      </c>
    </row>
    <row r="375" spans="1:6" x14ac:dyDescent="0.3">
      <c r="A375" s="9" t="s">
        <v>270</v>
      </c>
      <c r="B375" s="18" t="str">
        <f>_xlfn.XLOOKUP(A375,CATÁLOGO!$A$2:$A$846,CATÁLOGO!$B$2:$B$846,"FORA DO CATÁLOGO")</f>
        <v>TRI011GG</v>
      </c>
      <c r="C375" s="11">
        <v>5</v>
      </c>
      <c r="D375" s="11" t="str">
        <f>_xlfn.XLOOKUP(A375,CATÁLOGO!$A$2:$A$846,CATÁLOGO!$E$2:$E$846,"FORA DO CATÁLOGO")</f>
        <v>Ativo</v>
      </c>
      <c r="E375" s="9"/>
      <c r="F375" s="52">
        <f>SUMIFS('AVARIA PINHEIROS'!$C$2:$C$24,'AVARIA PINHEIROS'!$A$2:$A$24,A375)</f>
        <v>0</v>
      </c>
    </row>
    <row r="376" spans="1:6" x14ac:dyDescent="0.3">
      <c r="A376" s="9" t="s">
        <v>1631</v>
      </c>
      <c r="B376" s="18" t="str">
        <f>_xlfn.XLOOKUP(A376,CATÁLOGO!$A$2:$A$846,CATÁLOGO!$B$2:$B$846,"FORA DO CATÁLOGO")</f>
        <v>CAL018G36</v>
      </c>
      <c r="C376" s="11">
        <v>4</v>
      </c>
      <c r="D376" s="11" t="str">
        <f>_xlfn.XLOOKUP(A376,CATÁLOGO!$A$2:$A$846,CATÁLOGO!$E$2:$E$846,"FORA DO CATÁLOGO")</f>
        <v>Ativo</v>
      </c>
      <c r="E376" s="9"/>
      <c r="F376" s="52">
        <f>SUMIFS('AVARIA PINHEIROS'!$C$2:$C$24,'AVARIA PINHEIROS'!$A$2:$A$24,A376)</f>
        <v>0</v>
      </c>
    </row>
    <row r="377" spans="1:6" x14ac:dyDescent="0.3">
      <c r="A377" s="9" t="s">
        <v>1630</v>
      </c>
      <c r="B377" s="18" t="str">
        <f>_xlfn.XLOOKUP(A377,CATÁLOGO!$A$2:$A$846,CATÁLOGO!$B$2:$B$846,"FORA DO CATÁLOGO")</f>
        <v>CAL018G38</v>
      </c>
      <c r="C377" s="11">
        <v>6</v>
      </c>
      <c r="D377" s="11" t="str">
        <f>_xlfn.XLOOKUP(A377,CATÁLOGO!$A$2:$A$846,CATÁLOGO!$E$2:$E$846,"FORA DO CATÁLOGO")</f>
        <v>Ativo</v>
      </c>
      <c r="E377" s="9"/>
      <c r="F377" s="52">
        <f>SUMIFS('AVARIA PINHEIROS'!$C$2:$C$24,'AVARIA PINHEIROS'!$A$2:$A$24,A377)</f>
        <v>0</v>
      </c>
    </row>
    <row r="378" spans="1:6" x14ac:dyDescent="0.3">
      <c r="A378" s="9" t="s">
        <v>1629</v>
      </c>
      <c r="B378" s="18" t="str">
        <f>_xlfn.XLOOKUP(A378,CATÁLOGO!$A$2:$A$846,CATÁLOGO!$B$2:$B$846,"FORA DO CATÁLOGO")</f>
        <v>CAL018G40</v>
      </c>
      <c r="C378" s="11">
        <v>6</v>
      </c>
      <c r="D378" s="11" t="str">
        <f>_xlfn.XLOOKUP(A378,CATÁLOGO!$A$2:$A$846,CATÁLOGO!$E$2:$E$846,"FORA DO CATÁLOGO")</f>
        <v>Ativo</v>
      </c>
      <c r="E378" s="9"/>
      <c r="F378" s="52">
        <f>SUMIFS('AVARIA PINHEIROS'!$C$2:$C$24,'AVARIA PINHEIROS'!$A$2:$A$24,A378)</f>
        <v>0</v>
      </c>
    </row>
    <row r="379" spans="1:6" x14ac:dyDescent="0.3">
      <c r="A379" s="9" t="s">
        <v>1626</v>
      </c>
      <c r="B379" s="18" t="str">
        <f>_xlfn.XLOOKUP(A379,CATÁLOGO!$A$2:$A$846,CATÁLOGO!$B$2:$B$846,"FORA DO CATÁLOGO")</f>
        <v>CAL018G42</v>
      </c>
      <c r="C379" s="11">
        <v>6</v>
      </c>
      <c r="D379" s="11" t="str">
        <f>_xlfn.XLOOKUP(A379,CATÁLOGO!$A$2:$A$846,CATÁLOGO!$E$2:$E$846,"FORA DO CATÁLOGO")</f>
        <v>Ativo</v>
      </c>
      <c r="E379" s="9" t="s">
        <v>7</v>
      </c>
      <c r="F379" s="52">
        <f>SUMIFS('AVARIA PINHEIROS'!$C$2:$C$24,'AVARIA PINHEIROS'!$A$2:$A$24,A379)</f>
        <v>0</v>
      </c>
    </row>
    <row r="380" spans="1:6" x14ac:dyDescent="0.3">
      <c r="A380" s="9" t="s">
        <v>1628</v>
      </c>
      <c r="B380" s="18" t="str">
        <f>_xlfn.XLOOKUP(A380,CATÁLOGO!$A$2:$A$846,CATÁLOGO!$B$2:$B$846,"FORA DO CATÁLOGO")</f>
        <v>CAL018G44</v>
      </c>
      <c r="C380" s="11">
        <v>4</v>
      </c>
      <c r="D380" s="11" t="str">
        <f>_xlfn.XLOOKUP(A380,CATÁLOGO!$A$2:$A$846,CATÁLOGO!$E$2:$E$846,"FORA DO CATÁLOGO")</f>
        <v>Ativo</v>
      </c>
      <c r="E380" s="9"/>
      <c r="F380" s="52">
        <f>SUMIFS('AVARIA PINHEIROS'!$C$2:$C$24,'AVARIA PINHEIROS'!$A$2:$A$24,A380)</f>
        <v>0</v>
      </c>
    </row>
    <row r="381" spans="1:6" x14ac:dyDescent="0.3">
      <c r="A381" s="9" t="s">
        <v>271</v>
      </c>
      <c r="B381" s="18" t="str">
        <f>_xlfn.XLOOKUP(A381,CATÁLOGO!$A$2:$A$846,CATÁLOGO!$B$2:$B$846,"FORA DO CATÁLOGO")</f>
        <v>TOP011CP</v>
      </c>
      <c r="C381" s="11">
        <v>3</v>
      </c>
      <c r="D381" s="11" t="str">
        <f>_xlfn.XLOOKUP(A381,CATÁLOGO!$A$2:$A$846,CATÁLOGO!$E$2:$E$846,"FORA DO CATÁLOGO")</f>
        <v>Descontinuado</v>
      </c>
      <c r="E381" s="9"/>
      <c r="F381" s="52">
        <f>SUMIFS('AVARIA PINHEIROS'!$C$2:$C$24,'AVARIA PINHEIROS'!$A$2:$A$24,A381)</f>
        <v>0</v>
      </c>
    </row>
    <row r="382" spans="1:6" x14ac:dyDescent="0.3">
      <c r="A382" s="9" t="s">
        <v>272</v>
      </c>
      <c r="B382" s="18" t="str">
        <f>_xlfn.XLOOKUP(A382,CATÁLOGO!$A$2:$A$846,CATÁLOGO!$B$2:$B$846,"FORA DO CATÁLOGO")</f>
        <v>TOP011CM</v>
      </c>
      <c r="C382" s="11">
        <v>5</v>
      </c>
      <c r="D382" s="11" t="str">
        <f>_xlfn.XLOOKUP(A382,CATÁLOGO!$A$2:$A$846,CATÁLOGO!$E$2:$E$846,"FORA DO CATÁLOGO")</f>
        <v>Descontinuado</v>
      </c>
      <c r="E382" s="9"/>
      <c r="F382" s="52">
        <f>SUMIFS('AVARIA PINHEIROS'!$C$2:$C$24,'AVARIA PINHEIROS'!$A$2:$A$24,A382)</f>
        <v>0</v>
      </c>
    </row>
    <row r="383" spans="1:6" x14ac:dyDescent="0.3">
      <c r="A383" s="9" t="s">
        <v>273</v>
      </c>
      <c r="B383" s="18" t="str">
        <f>_xlfn.XLOOKUP(A383,CATÁLOGO!$A$2:$A$846,CATÁLOGO!$B$2:$B$846,"FORA DO CATÁLOGO")</f>
        <v>TOP011CG</v>
      </c>
      <c r="C383" s="11">
        <v>4</v>
      </c>
      <c r="D383" s="11" t="str">
        <f>_xlfn.XLOOKUP(A383,CATÁLOGO!$A$2:$A$846,CATÁLOGO!$E$2:$E$846,"FORA DO CATÁLOGO")</f>
        <v>Descontinuado</v>
      </c>
      <c r="E383" s="9"/>
      <c r="F383" s="52">
        <f>SUMIFS('AVARIA PINHEIROS'!$C$2:$C$24,'AVARIA PINHEIROS'!$A$2:$A$24,A383)</f>
        <v>0</v>
      </c>
    </row>
    <row r="384" spans="1:6" x14ac:dyDescent="0.3">
      <c r="A384" s="9" t="s">
        <v>274</v>
      </c>
      <c r="B384" s="18" t="str">
        <f>_xlfn.XLOOKUP(A384,CATÁLOGO!$A$2:$A$846,CATÁLOGO!$B$2:$B$846,"FORA DO CATÁLOGO")</f>
        <v>TOP011CGG</v>
      </c>
      <c r="C384" s="11">
        <v>2</v>
      </c>
      <c r="D384" s="11" t="str">
        <f>_xlfn.XLOOKUP(A384,CATÁLOGO!$A$2:$A$846,CATÁLOGO!$E$2:$E$846,"FORA DO CATÁLOGO")</f>
        <v>Descontinuado</v>
      </c>
      <c r="E384" s="9"/>
      <c r="F384" s="52">
        <f>SUMIFS('AVARIA PINHEIROS'!$C$2:$C$24,'AVARIA PINHEIROS'!$A$2:$A$24,A384)</f>
        <v>0</v>
      </c>
    </row>
    <row r="385" spans="1:6" x14ac:dyDescent="0.3">
      <c r="A385" s="9" t="s">
        <v>275</v>
      </c>
      <c r="B385" s="18" t="str">
        <f>_xlfn.XLOOKUP(A385,CATÁLOGO!$A$2:$A$846,CATÁLOGO!$B$2:$B$846,"FORA DO CATÁLOGO")</f>
        <v>JAQ005YP</v>
      </c>
      <c r="C385" s="11">
        <v>6</v>
      </c>
      <c r="D385" s="11" t="str">
        <f>_xlfn.XLOOKUP(A385,CATÁLOGO!$A$2:$A$846,CATÁLOGO!$E$2:$E$846,"FORA DO CATÁLOGO")</f>
        <v>Ativo</v>
      </c>
      <c r="E385" s="9"/>
      <c r="F385" s="52">
        <f>SUMIFS('AVARIA PINHEIROS'!$C$2:$C$24,'AVARIA PINHEIROS'!$A$2:$A$24,A385)</f>
        <v>0</v>
      </c>
    </row>
    <row r="386" spans="1:6" x14ac:dyDescent="0.3">
      <c r="A386" s="9" t="s">
        <v>276</v>
      </c>
      <c r="B386" s="18" t="str">
        <f>_xlfn.XLOOKUP(A386,CATÁLOGO!$A$2:$A$846,CATÁLOGO!$B$2:$B$846,"FORA DO CATÁLOGO")</f>
        <v>JAQ005YM</v>
      </c>
      <c r="C386" s="11">
        <v>6</v>
      </c>
      <c r="D386" s="11" t="str">
        <f>_xlfn.XLOOKUP(A386,CATÁLOGO!$A$2:$A$846,CATÁLOGO!$E$2:$E$846,"FORA DO CATÁLOGO")</f>
        <v>Ativo</v>
      </c>
      <c r="E386" s="9"/>
      <c r="F386" s="52">
        <f>SUMIFS('AVARIA PINHEIROS'!$C$2:$C$24,'AVARIA PINHEIROS'!$A$2:$A$24,A386)</f>
        <v>0</v>
      </c>
    </row>
    <row r="387" spans="1:6" x14ac:dyDescent="0.3">
      <c r="A387" s="9" t="s">
        <v>277</v>
      </c>
      <c r="B387" s="18" t="str">
        <f>_xlfn.XLOOKUP(A387,CATÁLOGO!$A$2:$A$846,CATÁLOGO!$B$2:$B$846,"FORA DO CATÁLOGO")</f>
        <v>JAQ005YG</v>
      </c>
      <c r="C387" s="11">
        <v>7</v>
      </c>
      <c r="D387" s="11" t="str">
        <f>_xlfn.XLOOKUP(A387,CATÁLOGO!$A$2:$A$846,CATÁLOGO!$E$2:$E$846,"FORA DO CATÁLOGO")</f>
        <v>Ativo</v>
      </c>
      <c r="E387" s="9"/>
      <c r="F387" s="52">
        <f>SUMIFS('AVARIA PINHEIROS'!$C$2:$C$24,'AVARIA PINHEIROS'!$A$2:$A$24,A387)</f>
        <v>0</v>
      </c>
    </row>
    <row r="388" spans="1:6" x14ac:dyDescent="0.3">
      <c r="A388" s="9" t="s">
        <v>278</v>
      </c>
      <c r="B388" s="18" t="str">
        <f>_xlfn.XLOOKUP(A388,CATÁLOGO!$A$2:$A$846,CATÁLOGO!$B$2:$B$846,"FORA DO CATÁLOGO")</f>
        <v>JAQ005YGG</v>
      </c>
      <c r="C388" s="11">
        <v>3</v>
      </c>
      <c r="D388" s="11" t="str">
        <f>_xlfn.XLOOKUP(A388,CATÁLOGO!$A$2:$A$846,CATÁLOGO!$E$2:$E$846,"FORA DO CATÁLOGO")</f>
        <v>Ativo</v>
      </c>
      <c r="E388" s="9"/>
      <c r="F388" s="52">
        <f>SUMIFS('AVARIA PINHEIROS'!$C$2:$C$24,'AVARIA PINHEIROS'!$A$2:$A$24,A388)</f>
        <v>0</v>
      </c>
    </row>
    <row r="389" spans="1:6" x14ac:dyDescent="0.3">
      <c r="A389" s="9" t="s">
        <v>1632</v>
      </c>
      <c r="B389" s="18" t="str">
        <f>_xlfn.XLOOKUP(A389,CATÁLOGO!$A$2:$A$846,CATÁLOGO!$B$2:$B$846,"FORA DO CATÁLOGO")</f>
        <v>CAL019B42</v>
      </c>
      <c r="C389" s="11">
        <v>2</v>
      </c>
      <c r="D389" s="11" t="str">
        <f>_xlfn.XLOOKUP(A389,CATÁLOGO!$A$2:$A$846,CATÁLOGO!$E$2:$E$846,"FORA DO CATÁLOGO")</f>
        <v>Descontinuado</v>
      </c>
      <c r="E389" s="9" t="s">
        <v>4</v>
      </c>
      <c r="F389" s="52">
        <f>SUMIFS('AVARIA PINHEIROS'!$C$2:$C$24,'AVARIA PINHEIROS'!$A$2:$A$24,A389)</f>
        <v>0</v>
      </c>
    </row>
    <row r="390" spans="1:6" x14ac:dyDescent="0.3">
      <c r="A390" s="9" t="s">
        <v>1646</v>
      </c>
      <c r="B390" s="18" t="str">
        <f>_xlfn.XLOOKUP(A390,CATÁLOGO!$A$2:$A$846,CATÁLOGO!$B$2:$B$846,"FORA DO CATÁLOGO")</f>
        <v>CAL020Y36</v>
      </c>
      <c r="C390" s="11">
        <v>3</v>
      </c>
      <c r="D390" s="11" t="str">
        <f>_xlfn.XLOOKUP(A390,CATÁLOGO!$A$2:$A$846,CATÁLOGO!$E$2:$E$846,"FORA DO CATÁLOGO")</f>
        <v>Ativo</v>
      </c>
      <c r="E390" s="9" t="s">
        <v>4</v>
      </c>
      <c r="F390" s="52">
        <f>SUMIFS('AVARIA PINHEIROS'!$C$2:$C$24,'AVARIA PINHEIROS'!$A$2:$A$24,A390)</f>
        <v>0</v>
      </c>
    </row>
    <row r="391" spans="1:6" x14ac:dyDescent="0.3">
      <c r="A391" s="9" t="s">
        <v>1645</v>
      </c>
      <c r="B391" s="18" t="str">
        <f>_xlfn.XLOOKUP(A391,CATÁLOGO!$A$2:$A$846,CATÁLOGO!$B$2:$B$846,"FORA DO CATÁLOGO")</f>
        <v>CAL020Y38</v>
      </c>
      <c r="C391" s="11">
        <v>6</v>
      </c>
      <c r="D391" s="11" t="str">
        <f>_xlfn.XLOOKUP(A391,CATÁLOGO!$A$2:$A$846,CATÁLOGO!$E$2:$E$846,"FORA DO CATÁLOGO")</f>
        <v>Ativo</v>
      </c>
      <c r="E391" s="9"/>
      <c r="F391" s="52">
        <f>SUMIFS('AVARIA PINHEIROS'!$C$2:$C$24,'AVARIA PINHEIROS'!$A$2:$A$24,A391)</f>
        <v>0</v>
      </c>
    </row>
    <row r="392" spans="1:6" x14ac:dyDescent="0.3">
      <c r="A392" s="9" t="s">
        <v>1643</v>
      </c>
      <c r="B392" s="18" t="str">
        <f>_xlfn.XLOOKUP(A392,CATÁLOGO!$A$2:$A$846,CATÁLOGO!$B$2:$B$846,"FORA DO CATÁLOGO")</f>
        <v>CAL020Y40</v>
      </c>
      <c r="C392" s="11">
        <v>6</v>
      </c>
      <c r="D392" s="11" t="str">
        <f>_xlfn.XLOOKUP(A392,CATÁLOGO!$A$2:$A$846,CATÁLOGO!$E$2:$E$846,"FORA DO CATÁLOGO")</f>
        <v>Ativo</v>
      </c>
      <c r="E392" s="9"/>
      <c r="F392" s="52">
        <f>SUMIFS('AVARIA PINHEIROS'!$C$2:$C$24,'AVARIA PINHEIROS'!$A$2:$A$24,A392)</f>
        <v>0</v>
      </c>
    </row>
    <row r="393" spans="1:6" x14ac:dyDescent="0.3">
      <c r="A393" s="9" t="s">
        <v>1640</v>
      </c>
      <c r="B393" s="18" t="str">
        <f>_xlfn.XLOOKUP(A393,CATÁLOGO!$A$2:$A$846,CATÁLOGO!$B$2:$B$846,"FORA DO CATÁLOGO")</f>
        <v>CAL020Y42</v>
      </c>
      <c r="C393" s="11">
        <v>5</v>
      </c>
      <c r="D393" s="11" t="str">
        <f>_xlfn.XLOOKUP(A393,CATÁLOGO!$A$2:$A$846,CATÁLOGO!$E$2:$E$846,"FORA DO CATÁLOGO")</f>
        <v>Ativo</v>
      </c>
      <c r="E393" s="9"/>
      <c r="F393" s="52">
        <f>SUMIFS('AVARIA PINHEIROS'!$C$2:$C$24,'AVARIA PINHEIROS'!$A$2:$A$24,A393)</f>
        <v>0</v>
      </c>
    </row>
    <row r="394" spans="1:6" x14ac:dyDescent="0.3">
      <c r="A394" s="9" t="s">
        <v>1642</v>
      </c>
      <c r="B394" s="18" t="str">
        <f>_xlfn.XLOOKUP(A394,CATÁLOGO!$A$2:$A$846,CATÁLOGO!$B$2:$B$846,"FORA DO CATÁLOGO")</f>
        <v>CAL020Y44</v>
      </c>
      <c r="C394" s="11">
        <v>3</v>
      </c>
      <c r="D394" s="11" t="str">
        <f>_xlfn.XLOOKUP(A394,CATÁLOGO!$A$2:$A$846,CATÁLOGO!$E$2:$E$846,"FORA DO CATÁLOGO")</f>
        <v>Ativo</v>
      </c>
      <c r="E394" s="9"/>
      <c r="F394" s="52">
        <f>SUMIFS('AVARIA PINHEIROS'!$C$2:$C$24,'AVARIA PINHEIROS'!$A$2:$A$24,A394)</f>
        <v>0</v>
      </c>
    </row>
    <row r="395" spans="1:6" x14ac:dyDescent="0.3">
      <c r="A395" s="9" t="s">
        <v>279</v>
      </c>
      <c r="B395" s="18" t="str">
        <f>_xlfn.XLOOKUP(A395,CATÁLOGO!$A$2:$A$846,CATÁLOGO!$B$2:$B$846,"FORA DO CATÁLOGO")</f>
        <v>CAM016GP</v>
      </c>
      <c r="C395" s="11">
        <v>5</v>
      </c>
      <c r="D395" s="11" t="str">
        <f>_xlfn.XLOOKUP(A395,CATÁLOGO!$A$2:$A$846,CATÁLOGO!$E$2:$E$846,"FORA DO CATÁLOGO")</f>
        <v>Ativo</v>
      </c>
      <c r="E395" s="9"/>
      <c r="F395" s="52">
        <f>SUMIFS('AVARIA PINHEIROS'!$C$2:$C$24,'AVARIA PINHEIROS'!$A$2:$A$24,A395)</f>
        <v>0</v>
      </c>
    </row>
    <row r="396" spans="1:6" x14ac:dyDescent="0.3">
      <c r="A396" s="9" t="s">
        <v>280</v>
      </c>
      <c r="B396" s="18" t="str">
        <f>_xlfn.XLOOKUP(A396,CATÁLOGO!$A$2:$A$846,CATÁLOGO!$B$2:$B$846,"FORA DO CATÁLOGO")</f>
        <v>CAM016GM</v>
      </c>
      <c r="C396" s="11">
        <v>6</v>
      </c>
      <c r="D396" s="11" t="str">
        <f>_xlfn.XLOOKUP(A396,CATÁLOGO!$A$2:$A$846,CATÁLOGO!$E$2:$E$846,"FORA DO CATÁLOGO")</f>
        <v>Ativo</v>
      </c>
      <c r="E396" s="9"/>
      <c r="F396" s="52">
        <f>SUMIFS('AVARIA PINHEIROS'!$C$2:$C$24,'AVARIA PINHEIROS'!$A$2:$A$24,A396)</f>
        <v>0</v>
      </c>
    </row>
    <row r="397" spans="1:6" x14ac:dyDescent="0.3">
      <c r="A397" s="9" t="s">
        <v>281</v>
      </c>
      <c r="B397" s="18" t="str">
        <f>_xlfn.XLOOKUP(A397,CATÁLOGO!$A$2:$A$846,CATÁLOGO!$B$2:$B$846,"FORA DO CATÁLOGO")</f>
        <v>CAM016GG</v>
      </c>
      <c r="C397" s="11">
        <v>5</v>
      </c>
      <c r="D397" s="11" t="str">
        <f>_xlfn.XLOOKUP(A397,CATÁLOGO!$A$2:$A$846,CATÁLOGO!$E$2:$E$846,"FORA DO CATÁLOGO")</f>
        <v>Ativo</v>
      </c>
      <c r="E397" s="9"/>
      <c r="F397" s="52">
        <f>SUMIFS('AVARIA PINHEIROS'!$C$2:$C$24,'AVARIA PINHEIROS'!$A$2:$A$24,A397)</f>
        <v>0</v>
      </c>
    </row>
    <row r="398" spans="1:6" x14ac:dyDescent="0.3">
      <c r="A398" s="9" t="s">
        <v>282</v>
      </c>
      <c r="B398" s="18" t="str">
        <f>_xlfn.XLOOKUP(A398,CATÁLOGO!$A$2:$A$846,CATÁLOGO!$B$2:$B$846,"FORA DO CATÁLOGO")</f>
        <v>CMS008VP</v>
      </c>
      <c r="C398" s="11">
        <v>6</v>
      </c>
      <c r="D398" s="11" t="str">
        <f>_xlfn.XLOOKUP(A398,CATÁLOGO!$A$2:$A$846,CATÁLOGO!$E$2:$E$846,"FORA DO CATÁLOGO")</f>
        <v>Ativo</v>
      </c>
      <c r="E398" s="9"/>
      <c r="F398" s="52">
        <f>SUMIFS('AVARIA PINHEIROS'!$C$2:$C$24,'AVARIA PINHEIROS'!$A$2:$A$24,A398)</f>
        <v>0</v>
      </c>
    </row>
    <row r="399" spans="1:6" x14ac:dyDescent="0.3">
      <c r="A399" s="9" t="s">
        <v>283</v>
      </c>
      <c r="B399" s="18" t="str">
        <f>_xlfn.XLOOKUP(A399,CATÁLOGO!$A$2:$A$846,CATÁLOGO!$B$2:$B$846,"FORA DO CATÁLOGO")</f>
        <v>CMS008VM</v>
      </c>
      <c r="C399" s="11">
        <v>6</v>
      </c>
      <c r="D399" s="11" t="str">
        <f>_xlfn.XLOOKUP(A399,CATÁLOGO!$A$2:$A$846,CATÁLOGO!$E$2:$E$846,"FORA DO CATÁLOGO")</f>
        <v>Ativo</v>
      </c>
      <c r="E399" s="9" t="s">
        <v>4</v>
      </c>
      <c r="F399" s="52">
        <f>SUMIFS('AVARIA PINHEIROS'!$C$2:$C$24,'AVARIA PINHEIROS'!$A$2:$A$24,A399)</f>
        <v>0</v>
      </c>
    </row>
    <row r="400" spans="1:6" x14ac:dyDescent="0.3">
      <c r="A400" s="9" t="s">
        <v>284</v>
      </c>
      <c r="B400" s="18" t="str">
        <f>_xlfn.XLOOKUP(A400,CATÁLOGO!$A$2:$A$846,CATÁLOGO!$B$2:$B$846,"FORA DO CATÁLOGO")</f>
        <v>CMS008VG</v>
      </c>
      <c r="C400" s="11">
        <v>5</v>
      </c>
      <c r="D400" s="11" t="str">
        <f>_xlfn.XLOOKUP(A400,CATÁLOGO!$A$2:$A$846,CATÁLOGO!$E$2:$E$846,"FORA DO CATÁLOGO")</f>
        <v>Ativo</v>
      </c>
      <c r="E400" s="9"/>
      <c r="F400" s="52">
        <f>SUMIFS('AVARIA PINHEIROS'!$C$2:$C$24,'AVARIA PINHEIROS'!$A$2:$A$24,A400)</f>
        <v>0</v>
      </c>
    </row>
    <row r="401" spans="1:6" x14ac:dyDescent="0.3">
      <c r="A401" s="9" t="s">
        <v>285</v>
      </c>
      <c r="B401" s="18" t="str">
        <f>_xlfn.XLOOKUP(A401,CATÁLOGO!$A$2:$A$846,CATÁLOGO!$B$2:$B$846,"FORA DO CATÁLOGO")</f>
        <v>CMS008VGG</v>
      </c>
      <c r="C401" s="11">
        <v>4</v>
      </c>
      <c r="D401" s="11" t="str">
        <f>_xlfn.XLOOKUP(A401,CATÁLOGO!$A$2:$A$846,CATÁLOGO!$E$2:$E$846,"FORA DO CATÁLOGO")</f>
        <v>Ativo</v>
      </c>
      <c r="E401" s="9"/>
      <c r="F401" s="52">
        <f>SUMIFS('AVARIA PINHEIROS'!$C$2:$C$24,'AVARIA PINHEIROS'!$A$2:$A$24,A401)</f>
        <v>0</v>
      </c>
    </row>
    <row r="402" spans="1:6" x14ac:dyDescent="0.3">
      <c r="A402" s="9" t="s">
        <v>286</v>
      </c>
      <c r="B402" s="18" t="str">
        <f>_xlfn.XLOOKUP(A402,CATÁLOGO!$A$2:$A$846,CATÁLOGO!$B$2:$B$846,"FORA DO CATÁLOGO")</f>
        <v>ACE010GU</v>
      </c>
      <c r="C402" s="11">
        <v>2</v>
      </c>
      <c r="D402" s="11" t="str">
        <f>_xlfn.XLOOKUP(A402,CATÁLOGO!$A$2:$A$846,CATÁLOGO!$E$2:$E$846,"FORA DO CATÁLOGO")</f>
        <v>Ativo</v>
      </c>
      <c r="E402" s="9"/>
      <c r="F402" s="52">
        <f>SUMIFS('AVARIA PINHEIROS'!$C$2:$C$24,'AVARIA PINHEIROS'!$A$2:$A$24,A402)</f>
        <v>0</v>
      </c>
    </row>
    <row r="403" spans="1:6" x14ac:dyDescent="0.3">
      <c r="A403" s="9" t="s">
        <v>287</v>
      </c>
      <c r="B403" s="18" t="str">
        <f>_xlfn.XLOOKUP(A403,CATÁLOGO!$A$2:$A$846,CATÁLOGO!$B$2:$B$846,"FORA DO CATÁLOGO")</f>
        <v>ACE010LU</v>
      </c>
      <c r="C403" s="11">
        <v>5</v>
      </c>
      <c r="D403" s="11" t="str">
        <f>_xlfn.XLOOKUP(A403,CATÁLOGO!$A$2:$A$846,CATÁLOGO!$E$2:$E$846,"FORA DO CATÁLOGO")</f>
        <v>Ativo</v>
      </c>
      <c r="E403" s="9"/>
      <c r="F403" s="52">
        <f>SUMIFS('AVARIA PINHEIROS'!$C$2:$C$24,'AVARIA PINHEIROS'!$A$2:$A$24,A403)</f>
        <v>0</v>
      </c>
    </row>
    <row r="404" spans="1:6" x14ac:dyDescent="0.3">
      <c r="A404" s="9" t="s">
        <v>288</v>
      </c>
      <c r="B404" s="18" t="str">
        <f>_xlfn.XLOOKUP(A404,CATÁLOGO!$A$2:$A$846,CATÁLOGO!$B$2:$B$846,"FORA DO CATÁLOGO")</f>
        <v>ACE010YU</v>
      </c>
      <c r="C404" s="11">
        <v>2</v>
      </c>
      <c r="D404" s="11" t="str">
        <f>_xlfn.XLOOKUP(A404,CATÁLOGO!$A$2:$A$846,CATÁLOGO!$E$2:$E$846,"FORA DO CATÁLOGO")</f>
        <v>Ativo</v>
      </c>
      <c r="E404" s="9"/>
      <c r="F404" s="52">
        <f>SUMIFS('AVARIA PINHEIROS'!$C$2:$C$24,'AVARIA PINHEIROS'!$A$2:$A$24,A404)</f>
        <v>0</v>
      </c>
    </row>
    <row r="405" spans="1:6" x14ac:dyDescent="0.3">
      <c r="A405" s="9" t="s">
        <v>289</v>
      </c>
      <c r="B405" s="18" t="str">
        <f>_xlfn.XLOOKUP(A405,CATÁLOGO!$A$2:$A$846,CATÁLOGO!$B$2:$B$846,"FORA DO CATÁLOGO")</f>
        <v>TOP012VP</v>
      </c>
      <c r="C405" s="11">
        <v>4</v>
      </c>
      <c r="D405" s="11" t="str">
        <f>_xlfn.XLOOKUP(A405,CATÁLOGO!$A$2:$A$846,CATÁLOGO!$E$2:$E$846,"FORA DO CATÁLOGO")</f>
        <v>Ativo</v>
      </c>
      <c r="E405" s="9"/>
      <c r="F405" s="52">
        <f>SUMIFS('AVARIA PINHEIROS'!$C$2:$C$24,'AVARIA PINHEIROS'!$A$2:$A$24,A405)</f>
        <v>0</v>
      </c>
    </row>
    <row r="406" spans="1:6" x14ac:dyDescent="0.3">
      <c r="A406" s="9" t="s">
        <v>290</v>
      </c>
      <c r="B406" s="18" t="str">
        <f>_xlfn.XLOOKUP(A406,CATÁLOGO!$A$2:$A$846,CATÁLOGO!$B$2:$B$846,"FORA DO CATÁLOGO")</f>
        <v>TOP012VG</v>
      </c>
      <c r="C406" s="11">
        <v>4</v>
      </c>
      <c r="D406" s="11" t="str">
        <f>_xlfn.XLOOKUP(A406,CATÁLOGO!$A$2:$A$846,CATÁLOGO!$E$2:$E$846,"FORA DO CATÁLOGO")</f>
        <v>Ativo</v>
      </c>
      <c r="E406" s="9"/>
      <c r="F406" s="52">
        <f>SUMIFS('AVARIA PINHEIROS'!$C$2:$C$24,'AVARIA PINHEIROS'!$A$2:$A$24,A406)</f>
        <v>0</v>
      </c>
    </row>
    <row r="407" spans="1:6" x14ac:dyDescent="0.3">
      <c r="A407" s="9" t="s">
        <v>291</v>
      </c>
      <c r="B407" s="18" t="str">
        <f>_xlfn.XLOOKUP(A407,CATÁLOGO!$A$2:$A$846,CATÁLOGO!$B$2:$B$846,"FORA DO CATÁLOGO")</f>
        <v>TOP012VGG</v>
      </c>
      <c r="C407" s="11">
        <v>1</v>
      </c>
      <c r="D407" s="11" t="str">
        <f>_xlfn.XLOOKUP(A407,CATÁLOGO!$A$2:$A$846,CATÁLOGO!$E$2:$E$846,"FORA DO CATÁLOGO")</f>
        <v>Ativo</v>
      </c>
      <c r="E407" s="9" t="s">
        <v>1344</v>
      </c>
      <c r="F407" s="52">
        <f>SUMIFS('AVARIA PINHEIROS'!$C$2:$C$24,'AVARIA PINHEIROS'!$A$2:$A$24,A407)</f>
        <v>0</v>
      </c>
    </row>
    <row r="408" spans="1:6" x14ac:dyDescent="0.3">
      <c r="A408" s="9" t="s">
        <v>292</v>
      </c>
      <c r="B408" s="18" t="str">
        <f>_xlfn.XLOOKUP(A408,CATÁLOGO!$A$2:$A$846,CATÁLOGO!$B$2:$B$846,"FORA DO CATÁLOGO")</f>
        <v>TOP012PP</v>
      </c>
      <c r="C408" s="11">
        <v>4</v>
      </c>
      <c r="D408" s="11" t="str">
        <f>_xlfn.XLOOKUP(A408,CATÁLOGO!$A$2:$A$846,CATÁLOGO!$E$2:$E$846,"FORA DO CATÁLOGO")</f>
        <v>Ativo</v>
      </c>
      <c r="E408" s="9"/>
      <c r="F408" s="52">
        <f>SUMIFS('AVARIA PINHEIROS'!$C$2:$C$24,'AVARIA PINHEIROS'!$A$2:$A$24,A408)</f>
        <v>0</v>
      </c>
    </row>
    <row r="409" spans="1:6" x14ac:dyDescent="0.3">
      <c r="A409" s="9" t="s">
        <v>293</v>
      </c>
      <c r="B409" s="18" t="str">
        <f>_xlfn.XLOOKUP(A409,CATÁLOGO!$A$2:$A$846,CATÁLOGO!$B$2:$B$846,"FORA DO CATÁLOGO")</f>
        <v>TOP012PM</v>
      </c>
      <c r="C409" s="11">
        <v>5</v>
      </c>
      <c r="D409" s="11" t="str">
        <f>_xlfn.XLOOKUP(A409,CATÁLOGO!$A$2:$A$846,CATÁLOGO!$E$2:$E$846,"FORA DO CATÁLOGO")</f>
        <v>Ativo</v>
      </c>
      <c r="E409" s="9"/>
      <c r="F409" s="52">
        <f>SUMIFS('AVARIA PINHEIROS'!$C$2:$C$24,'AVARIA PINHEIROS'!$A$2:$A$24,A409)</f>
        <v>0</v>
      </c>
    </row>
    <row r="410" spans="1:6" x14ac:dyDescent="0.3">
      <c r="A410" s="9" t="s">
        <v>294</v>
      </c>
      <c r="B410" s="18" t="str">
        <f>_xlfn.XLOOKUP(A410,CATÁLOGO!$A$2:$A$846,CATÁLOGO!$B$2:$B$846,"FORA DO CATÁLOGO")</f>
        <v>TOP012PG</v>
      </c>
      <c r="C410" s="11">
        <v>4</v>
      </c>
      <c r="D410" s="11" t="str">
        <f>_xlfn.XLOOKUP(A410,CATÁLOGO!$A$2:$A$846,CATÁLOGO!$E$2:$E$846,"FORA DO CATÁLOGO")</f>
        <v>Ativo</v>
      </c>
      <c r="E410" s="9" t="s">
        <v>7</v>
      </c>
      <c r="F410" s="52">
        <f>SUMIFS('AVARIA PINHEIROS'!$C$2:$C$24,'AVARIA PINHEIROS'!$A$2:$A$24,A410)</f>
        <v>0</v>
      </c>
    </row>
    <row r="411" spans="1:6" x14ac:dyDescent="0.3">
      <c r="A411" s="9" t="s">
        <v>295</v>
      </c>
      <c r="B411" s="18" t="str">
        <f>_xlfn.XLOOKUP(A411,CATÁLOGO!$A$2:$A$846,CATÁLOGO!$B$2:$B$846,"FORA DO CATÁLOGO")</f>
        <v>TOP012PGG</v>
      </c>
      <c r="C411" s="11">
        <v>0</v>
      </c>
      <c r="D411" s="11" t="str">
        <f>_xlfn.XLOOKUP(A411,CATÁLOGO!$A$2:$A$846,CATÁLOGO!$E$2:$E$846,"FORA DO CATÁLOGO")</f>
        <v>Ativo</v>
      </c>
      <c r="E411" s="9"/>
      <c r="F411" s="52">
        <f>SUMIFS('AVARIA PINHEIROS'!$C$2:$C$24,'AVARIA PINHEIROS'!$A$2:$A$24,A411)</f>
        <v>0</v>
      </c>
    </row>
    <row r="412" spans="1:6" x14ac:dyDescent="0.3">
      <c r="A412" s="9" t="s">
        <v>296</v>
      </c>
      <c r="B412" s="18" t="str">
        <f>_xlfn.XLOOKUP(A412,CATÁLOGO!$A$2:$A$846,CATÁLOGO!$B$2:$B$846,"FORA DO CATÁLOGO")</f>
        <v>SAI008HP</v>
      </c>
      <c r="C412" s="11">
        <v>5</v>
      </c>
      <c r="D412" s="11" t="str">
        <f>_xlfn.XLOOKUP(A412,CATÁLOGO!$A$2:$A$846,CATÁLOGO!$E$2:$E$846,"FORA DO CATÁLOGO")</f>
        <v>Ativo</v>
      </c>
      <c r="E412" s="9" t="s">
        <v>4</v>
      </c>
      <c r="F412" s="52">
        <f>SUMIFS('AVARIA PINHEIROS'!$C$2:$C$24,'AVARIA PINHEIROS'!$A$2:$A$24,A412)</f>
        <v>0</v>
      </c>
    </row>
    <row r="413" spans="1:6" x14ac:dyDescent="0.3">
      <c r="A413" s="9" t="s">
        <v>297</v>
      </c>
      <c r="B413" s="18" t="str">
        <f>_xlfn.XLOOKUP(A413,CATÁLOGO!$A$2:$A$846,CATÁLOGO!$B$2:$B$846,"FORA DO CATÁLOGO")</f>
        <v>SAI008HM</v>
      </c>
      <c r="C413" s="11">
        <v>5</v>
      </c>
      <c r="D413" s="11" t="str">
        <f>_xlfn.XLOOKUP(A413,CATÁLOGO!$A$2:$A$846,CATÁLOGO!$E$2:$E$846,"FORA DO CATÁLOGO")</f>
        <v>Ativo</v>
      </c>
      <c r="E413" s="9"/>
      <c r="F413" s="52">
        <f>SUMIFS('AVARIA PINHEIROS'!$C$2:$C$24,'AVARIA PINHEIROS'!$A$2:$A$24,A413)</f>
        <v>0</v>
      </c>
    </row>
    <row r="414" spans="1:6" x14ac:dyDescent="0.3">
      <c r="A414" s="9" t="s">
        <v>298</v>
      </c>
      <c r="B414" s="18" t="str">
        <f>_xlfn.XLOOKUP(A414,CATÁLOGO!$A$2:$A$846,CATÁLOGO!$B$2:$B$846,"FORA DO CATÁLOGO")</f>
        <v>SAI008HG</v>
      </c>
      <c r="C414" s="11">
        <v>5</v>
      </c>
      <c r="D414" s="11" t="str">
        <f>_xlfn.XLOOKUP(A414,CATÁLOGO!$A$2:$A$846,CATÁLOGO!$E$2:$E$846,"FORA DO CATÁLOGO")</f>
        <v>Ativo</v>
      </c>
      <c r="E414" s="9"/>
      <c r="F414" s="52">
        <f>SUMIFS('AVARIA PINHEIROS'!$C$2:$C$24,'AVARIA PINHEIROS'!$A$2:$A$24,A414)</f>
        <v>0</v>
      </c>
    </row>
    <row r="415" spans="1:6" x14ac:dyDescent="0.3">
      <c r="A415" s="9" t="s">
        <v>299</v>
      </c>
      <c r="B415" s="18" t="str">
        <f>_xlfn.XLOOKUP(A415,CATÁLOGO!$A$2:$A$846,CATÁLOGO!$B$2:$B$846,"FORA DO CATÁLOGO")</f>
        <v>SAI008HGG</v>
      </c>
      <c r="C415" s="11">
        <v>3</v>
      </c>
      <c r="D415" s="11" t="str">
        <f>_xlfn.XLOOKUP(A415,CATÁLOGO!$A$2:$A$846,CATÁLOGO!$E$2:$E$846,"FORA DO CATÁLOGO")</f>
        <v>Ativo</v>
      </c>
      <c r="E415" s="9"/>
      <c r="F415" s="52">
        <f>SUMIFS('AVARIA PINHEIROS'!$C$2:$C$24,'AVARIA PINHEIROS'!$A$2:$A$24,A415)</f>
        <v>0</v>
      </c>
    </row>
    <row r="416" spans="1:6" x14ac:dyDescent="0.3">
      <c r="A416" s="9" t="s">
        <v>1653</v>
      </c>
      <c r="B416" s="18" t="str">
        <f>_xlfn.XLOOKUP(A416,CATÁLOGO!$A$2:$A$846,CATÁLOGO!$B$2:$B$846,"FORA DO CATÁLOGO")</f>
        <v>CAL021P36</v>
      </c>
      <c r="C416" s="11">
        <v>3</v>
      </c>
      <c r="D416" s="11" t="str">
        <f>_xlfn.XLOOKUP(A416,CATÁLOGO!$A$2:$A$846,CATÁLOGO!$E$2:$E$846,"FORA DO CATÁLOGO")</f>
        <v>Ativo</v>
      </c>
      <c r="E416" s="9"/>
      <c r="F416" s="52">
        <f>SUMIFS('AVARIA PINHEIROS'!$C$2:$C$24,'AVARIA PINHEIROS'!$A$2:$A$24,A416)</f>
        <v>0</v>
      </c>
    </row>
    <row r="417" spans="1:6" x14ac:dyDescent="0.3">
      <c r="A417" s="9" t="s">
        <v>1651</v>
      </c>
      <c r="B417" s="18" t="str">
        <f>_xlfn.XLOOKUP(A417,CATÁLOGO!$A$2:$A$846,CATÁLOGO!$B$2:$B$846,"FORA DO CATÁLOGO")</f>
        <v>CAL021P38</v>
      </c>
      <c r="C417" s="11">
        <v>7</v>
      </c>
      <c r="D417" s="11" t="str">
        <f>_xlfn.XLOOKUP(A417,CATÁLOGO!$A$2:$A$846,CATÁLOGO!$E$2:$E$846,"FORA DO CATÁLOGO")</f>
        <v>Ativo</v>
      </c>
      <c r="E417" s="9"/>
      <c r="F417" s="52">
        <f>SUMIFS('AVARIA PINHEIROS'!$C$2:$C$24,'AVARIA PINHEIROS'!$A$2:$A$24,A417)</f>
        <v>0</v>
      </c>
    </row>
    <row r="418" spans="1:6" x14ac:dyDescent="0.3">
      <c r="A418" s="9" t="s">
        <v>1650</v>
      </c>
      <c r="B418" s="18" t="str">
        <f>_xlfn.XLOOKUP(A418,CATÁLOGO!$A$2:$A$846,CATÁLOGO!$B$2:$B$846,"FORA DO CATÁLOGO")</f>
        <v>CAL021P40</v>
      </c>
      <c r="C418" s="11">
        <v>7</v>
      </c>
      <c r="D418" s="11" t="str">
        <f>_xlfn.XLOOKUP(A418,CATÁLOGO!$A$2:$A$846,CATÁLOGO!$E$2:$E$846,"FORA DO CATÁLOGO")</f>
        <v>Ativo</v>
      </c>
      <c r="E418" s="9"/>
      <c r="F418" s="52">
        <f>SUMIFS('AVARIA PINHEIROS'!$C$2:$C$24,'AVARIA PINHEIROS'!$A$2:$A$24,A418)</f>
        <v>0</v>
      </c>
    </row>
    <row r="419" spans="1:6" x14ac:dyDescent="0.3">
      <c r="A419" s="9" t="s">
        <v>1647</v>
      </c>
      <c r="B419" s="18" t="str">
        <f>_xlfn.XLOOKUP(A419,CATÁLOGO!$A$2:$A$846,CATÁLOGO!$B$2:$B$846,"FORA DO CATÁLOGO")</f>
        <v>CAL021P42</v>
      </c>
      <c r="C419" s="11">
        <v>5</v>
      </c>
      <c r="D419" s="11" t="str">
        <f>_xlfn.XLOOKUP(A419,CATÁLOGO!$A$2:$A$846,CATÁLOGO!$E$2:$E$846,"FORA DO CATÁLOGO")</f>
        <v>Ativo</v>
      </c>
      <c r="E419" s="9"/>
      <c r="F419" s="52">
        <f>SUMIFS('AVARIA PINHEIROS'!$C$2:$C$24,'AVARIA PINHEIROS'!$A$2:$A$24,A419)</f>
        <v>0</v>
      </c>
    </row>
    <row r="420" spans="1:6" x14ac:dyDescent="0.3">
      <c r="A420" s="9" t="s">
        <v>1649</v>
      </c>
      <c r="B420" s="18" t="str">
        <f>_xlfn.XLOOKUP(A420,CATÁLOGO!$A$2:$A$846,CATÁLOGO!$B$2:$B$846,"FORA DO CATÁLOGO")</f>
        <v>CAL021P44</v>
      </c>
      <c r="C420" s="11">
        <v>4</v>
      </c>
      <c r="D420" s="11" t="str">
        <f>_xlfn.XLOOKUP(A420,CATÁLOGO!$A$2:$A$846,CATÁLOGO!$E$2:$E$846,"FORA DO CATÁLOGO")</f>
        <v>Ativo</v>
      </c>
      <c r="E420" s="9"/>
      <c r="F420" s="52">
        <f>SUMIFS('AVARIA PINHEIROS'!$C$2:$C$24,'AVARIA PINHEIROS'!$A$2:$A$24,A420)</f>
        <v>0</v>
      </c>
    </row>
    <row r="421" spans="1:6" x14ac:dyDescent="0.3">
      <c r="A421" s="9" t="s">
        <v>1785</v>
      </c>
      <c r="B421" s="18" t="str">
        <f>_xlfn.XLOOKUP(A421,CATÁLOGO!$A$2:$A$846,CATÁLOGO!$B$2:$B$846,"FORA DO CATÁLOGO")</f>
        <v>CMS009LPP</v>
      </c>
      <c r="C421" s="11">
        <v>2</v>
      </c>
      <c r="D421" s="11" t="str">
        <f>_xlfn.XLOOKUP(A421,CATÁLOGO!$A$2:$A$846,CATÁLOGO!$E$2:$E$846,"FORA DO CATÁLOGO")</f>
        <v>Ativo</v>
      </c>
      <c r="E421" s="9"/>
      <c r="F421" s="52">
        <f>SUMIFS('AVARIA PINHEIROS'!$C$2:$C$24,'AVARIA PINHEIROS'!$A$2:$A$24,A421)</f>
        <v>0</v>
      </c>
    </row>
    <row r="422" spans="1:6" x14ac:dyDescent="0.3">
      <c r="A422" s="9" t="s">
        <v>300</v>
      </c>
      <c r="B422" s="18" t="str">
        <f>_xlfn.XLOOKUP(A422,CATÁLOGO!$A$2:$A$846,CATÁLOGO!$B$2:$B$846,"FORA DO CATÁLOGO")</f>
        <v>CMS009LP</v>
      </c>
      <c r="C422" s="11">
        <v>5</v>
      </c>
      <c r="D422" s="11" t="str">
        <f>_xlfn.XLOOKUP(A422,CATÁLOGO!$A$2:$A$846,CATÁLOGO!$E$2:$E$846,"FORA DO CATÁLOGO")</f>
        <v>Ativo</v>
      </c>
      <c r="E422" s="9"/>
      <c r="F422" s="52">
        <f>SUMIFS('AVARIA PINHEIROS'!$C$2:$C$24,'AVARIA PINHEIROS'!$A$2:$A$24,A422)</f>
        <v>0</v>
      </c>
    </row>
    <row r="423" spans="1:6" x14ac:dyDescent="0.3">
      <c r="A423" s="9" t="s">
        <v>301</v>
      </c>
      <c r="B423" s="18" t="str">
        <f>_xlfn.XLOOKUP(A423,CATÁLOGO!$A$2:$A$846,CATÁLOGO!$B$2:$B$846,"FORA DO CATÁLOGO")</f>
        <v>CMS009LM</v>
      </c>
      <c r="C423" s="11">
        <v>6</v>
      </c>
      <c r="D423" s="11" t="str">
        <f>_xlfn.XLOOKUP(A423,CATÁLOGO!$A$2:$A$846,CATÁLOGO!$E$2:$E$846,"FORA DO CATÁLOGO")</f>
        <v>Ativo</v>
      </c>
      <c r="E423" s="9"/>
      <c r="F423" s="52">
        <f>SUMIFS('AVARIA PINHEIROS'!$C$2:$C$24,'AVARIA PINHEIROS'!$A$2:$A$24,A423)</f>
        <v>0</v>
      </c>
    </row>
    <row r="424" spans="1:6" x14ac:dyDescent="0.3">
      <c r="A424" s="9" t="s">
        <v>302</v>
      </c>
      <c r="B424" s="18" t="str">
        <f>_xlfn.XLOOKUP(A424,CATÁLOGO!$A$2:$A$846,CATÁLOGO!$B$2:$B$846,"FORA DO CATÁLOGO")</f>
        <v>CMS009LG</v>
      </c>
      <c r="C424" s="11">
        <v>6</v>
      </c>
      <c r="D424" s="11" t="str">
        <f>_xlfn.XLOOKUP(A424,CATÁLOGO!$A$2:$A$846,CATÁLOGO!$E$2:$E$846,"FORA DO CATÁLOGO")</f>
        <v>Ativo</v>
      </c>
      <c r="E424" s="9"/>
      <c r="F424" s="52">
        <f>SUMIFS('AVARIA PINHEIROS'!$C$2:$C$24,'AVARIA PINHEIROS'!$A$2:$A$24,A424)</f>
        <v>0</v>
      </c>
    </row>
    <row r="425" spans="1:6" x14ac:dyDescent="0.3">
      <c r="A425" s="9" t="s">
        <v>303</v>
      </c>
      <c r="B425" s="18" t="str">
        <f>_xlfn.XLOOKUP(A425,CATÁLOGO!$A$2:$A$846,CATÁLOGO!$B$2:$B$846,"FORA DO CATÁLOGO")</f>
        <v>CMS009LGG</v>
      </c>
      <c r="C425" s="11">
        <v>3</v>
      </c>
      <c r="D425" s="11" t="str">
        <f>_xlfn.XLOOKUP(A425,CATÁLOGO!$A$2:$A$846,CATÁLOGO!$E$2:$E$846,"FORA DO CATÁLOGO")</f>
        <v>Ativo</v>
      </c>
      <c r="E425" s="9"/>
      <c r="F425" s="52">
        <f>SUMIFS('AVARIA PINHEIROS'!$C$2:$C$24,'AVARIA PINHEIROS'!$A$2:$A$24,A425)</f>
        <v>0</v>
      </c>
    </row>
    <row r="426" spans="1:6" x14ac:dyDescent="0.3">
      <c r="A426" s="9" t="s">
        <v>304</v>
      </c>
      <c r="B426" s="18" t="str">
        <f>_xlfn.XLOOKUP(A426,CATÁLOGO!$A$2:$A$846,CATÁLOGO!$B$2:$B$846,"FORA DO CATÁLOGO")</f>
        <v>VES008AP</v>
      </c>
      <c r="C426" s="11">
        <v>4</v>
      </c>
      <c r="D426" s="11" t="str">
        <f>_xlfn.XLOOKUP(A426,CATÁLOGO!$A$2:$A$846,CATÁLOGO!$E$2:$E$846,"FORA DO CATÁLOGO")</f>
        <v>Ativo</v>
      </c>
      <c r="E426" s="9"/>
      <c r="F426" s="52">
        <f>SUMIFS('AVARIA PINHEIROS'!$C$2:$C$24,'AVARIA PINHEIROS'!$A$2:$A$24,A426)</f>
        <v>0</v>
      </c>
    </row>
    <row r="427" spans="1:6" x14ac:dyDescent="0.3">
      <c r="A427" s="9" t="s">
        <v>305</v>
      </c>
      <c r="B427" s="18" t="str">
        <f>_xlfn.XLOOKUP(A427,CATÁLOGO!$A$2:$A$846,CATÁLOGO!$B$2:$B$846,"FORA DO CATÁLOGO")</f>
        <v>VES008AM</v>
      </c>
      <c r="C427" s="11">
        <v>6</v>
      </c>
      <c r="D427" s="11" t="str">
        <f>_xlfn.XLOOKUP(A427,CATÁLOGO!$A$2:$A$846,CATÁLOGO!$E$2:$E$846,"FORA DO CATÁLOGO")</f>
        <v>Ativo</v>
      </c>
      <c r="E427" s="9"/>
      <c r="F427" s="52">
        <f>SUMIFS('AVARIA PINHEIROS'!$C$2:$C$24,'AVARIA PINHEIROS'!$A$2:$A$24,A427)</f>
        <v>0</v>
      </c>
    </row>
    <row r="428" spans="1:6" x14ac:dyDescent="0.3">
      <c r="A428" s="9" t="s">
        <v>306</v>
      </c>
      <c r="B428" s="18" t="str">
        <f>_xlfn.XLOOKUP(A428,CATÁLOGO!$A$2:$A$846,CATÁLOGO!$B$2:$B$846,"FORA DO CATÁLOGO")</f>
        <v>VES008AG</v>
      </c>
      <c r="C428" s="11">
        <v>5</v>
      </c>
      <c r="D428" s="11" t="str">
        <f>_xlfn.XLOOKUP(A428,CATÁLOGO!$A$2:$A$846,CATÁLOGO!$E$2:$E$846,"FORA DO CATÁLOGO")</f>
        <v>Ativo</v>
      </c>
      <c r="E428" s="9"/>
      <c r="F428" s="52">
        <f>SUMIFS('AVARIA PINHEIROS'!$C$2:$C$24,'AVARIA PINHEIROS'!$A$2:$A$24,A428)</f>
        <v>0</v>
      </c>
    </row>
    <row r="429" spans="1:6" x14ac:dyDescent="0.3">
      <c r="A429" s="9" t="s">
        <v>307</v>
      </c>
      <c r="B429" s="18" t="str">
        <f>_xlfn.XLOOKUP(A429,CATÁLOGO!$A$2:$A$846,CATÁLOGO!$B$2:$B$846,"FORA DO CATÁLOGO")</f>
        <v>VES008AGG</v>
      </c>
      <c r="C429" s="11">
        <v>2</v>
      </c>
      <c r="D429" s="11" t="str">
        <f>_xlfn.XLOOKUP(A429,CATÁLOGO!$A$2:$A$846,CATÁLOGO!$E$2:$E$846,"FORA DO CATÁLOGO")</f>
        <v>Ativo</v>
      </c>
      <c r="E429" s="9"/>
      <c r="F429" s="52">
        <f>SUMIFS('AVARIA PINHEIROS'!$C$2:$C$24,'AVARIA PINHEIROS'!$A$2:$A$24,A429)</f>
        <v>0</v>
      </c>
    </row>
    <row r="430" spans="1:6" x14ac:dyDescent="0.3">
      <c r="A430" s="9" t="s">
        <v>308</v>
      </c>
      <c r="B430" s="18" t="str">
        <f>_xlfn.XLOOKUP(A430,CATÁLOGO!$A$2:$A$846,CATÁLOGO!$B$2:$B$846,"FORA DO CATÁLOGO")</f>
        <v>VES008OP</v>
      </c>
      <c r="C430" s="11">
        <v>2</v>
      </c>
      <c r="D430" s="11" t="str">
        <f>_xlfn.XLOOKUP(A430,CATÁLOGO!$A$2:$A$846,CATÁLOGO!$E$2:$E$846,"FORA DO CATÁLOGO")</f>
        <v>Ativo</v>
      </c>
      <c r="E430" s="9"/>
      <c r="F430" s="52">
        <f>SUMIFS('AVARIA PINHEIROS'!$C$2:$C$24,'AVARIA PINHEIROS'!$A$2:$A$24,A430)</f>
        <v>0</v>
      </c>
    </row>
    <row r="431" spans="1:6" x14ac:dyDescent="0.3">
      <c r="A431" s="9" t="s">
        <v>309</v>
      </c>
      <c r="B431" s="18" t="str">
        <f>_xlfn.XLOOKUP(A431,CATÁLOGO!$A$2:$A$846,CATÁLOGO!$B$2:$B$846,"FORA DO CATÁLOGO")</f>
        <v>VES008OM</v>
      </c>
      <c r="C431" s="11">
        <v>3</v>
      </c>
      <c r="D431" s="11" t="str">
        <f>_xlfn.XLOOKUP(A431,CATÁLOGO!$A$2:$A$846,CATÁLOGO!$E$2:$E$846,"FORA DO CATÁLOGO")</f>
        <v>Ativo</v>
      </c>
      <c r="E431" s="9"/>
      <c r="F431" s="52">
        <f>SUMIFS('AVARIA PINHEIROS'!$C$2:$C$24,'AVARIA PINHEIROS'!$A$2:$A$24,A431)</f>
        <v>0</v>
      </c>
    </row>
    <row r="432" spans="1:6" x14ac:dyDescent="0.3">
      <c r="A432" s="9" t="s">
        <v>310</v>
      </c>
      <c r="B432" s="18" t="str">
        <f>_xlfn.XLOOKUP(A432,CATÁLOGO!$A$2:$A$846,CATÁLOGO!$B$2:$B$846,"FORA DO CATÁLOGO")</f>
        <v>VES008OG</v>
      </c>
      <c r="C432" s="11">
        <v>3</v>
      </c>
      <c r="D432" s="11" t="str">
        <f>_xlfn.XLOOKUP(A432,CATÁLOGO!$A$2:$A$846,CATÁLOGO!$E$2:$E$846,"FORA DO CATÁLOGO")</f>
        <v>Ativo</v>
      </c>
      <c r="E432" s="9"/>
      <c r="F432" s="52">
        <f>SUMIFS('AVARIA PINHEIROS'!$C$2:$C$24,'AVARIA PINHEIROS'!$A$2:$A$24,A432)</f>
        <v>0</v>
      </c>
    </row>
    <row r="433" spans="1:6" x14ac:dyDescent="0.3">
      <c r="A433" s="9" t="s">
        <v>311</v>
      </c>
      <c r="B433" s="18" t="str">
        <f>_xlfn.XLOOKUP(A433,CATÁLOGO!$A$2:$A$846,CATÁLOGO!$B$2:$B$846,"FORA DO CATÁLOGO")</f>
        <v>VES008OGG</v>
      </c>
      <c r="C433" s="11">
        <v>1</v>
      </c>
      <c r="D433" s="11" t="str">
        <f>_xlfn.XLOOKUP(A433,CATÁLOGO!$A$2:$A$846,CATÁLOGO!$E$2:$E$846,"FORA DO CATÁLOGO")</f>
        <v>Ativo</v>
      </c>
      <c r="E433" s="9"/>
      <c r="F433" s="52">
        <f>SUMIFS('AVARIA PINHEIROS'!$C$2:$C$24,'AVARIA PINHEIROS'!$A$2:$A$24,A433)</f>
        <v>0</v>
      </c>
    </row>
    <row r="434" spans="1:6" x14ac:dyDescent="0.3">
      <c r="A434" s="9" t="s">
        <v>1659</v>
      </c>
      <c r="B434" s="18" t="str">
        <f>_xlfn.XLOOKUP(A434,CATÁLOGO!$A$2:$A$846,CATÁLOGO!$B$2:$B$846,"FORA DO CATÁLOGO")</f>
        <v>CAL022G40</v>
      </c>
      <c r="C434" s="11">
        <v>3</v>
      </c>
      <c r="D434" s="11" t="str">
        <f>_xlfn.XLOOKUP(A434,CATÁLOGO!$A$2:$A$846,CATÁLOGO!$E$2:$E$846,"FORA DO CATÁLOGO")</f>
        <v>Descontinuado</v>
      </c>
      <c r="E434" s="9"/>
      <c r="F434" s="52">
        <f>SUMIFS('AVARIA PINHEIROS'!$C$2:$C$24,'AVARIA PINHEIROS'!$A$2:$A$24,A434)</f>
        <v>0</v>
      </c>
    </row>
    <row r="435" spans="1:6" x14ac:dyDescent="0.3">
      <c r="A435" s="9" t="s">
        <v>1654</v>
      </c>
      <c r="B435" s="18" t="str">
        <f>_xlfn.XLOOKUP(A435,CATÁLOGO!$A$2:$A$846,CATÁLOGO!$B$2:$B$846,"FORA DO CATÁLOGO")</f>
        <v>CAL022G42</v>
      </c>
      <c r="C435" s="11">
        <v>4</v>
      </c>
      <c r="D435" s="11" t="str">
        <f>_xlfn.XLOOKUP(A435,CATÁLOGO!$A$2:$A$846,CATÁLOGO!$E$2:$E$846,"FORA DO CATÁLOGO")</f>
        <v>Descontinuado</v>
      </c>
      <c r="E435" s="9" t="s">
        <v>7</v>
      </c>
      <c r="F435" s="52">
        <f>SUMIFS('AVARIA PINHEIROS'!$C$2:$C$24,'AVARIA PINHEIROS'!$A$2:$A$24,A435)</f>
        <v>0</v>
      </c>
    </row>
    <row r="436" spans="1:6" x14ac:dyDescent="0.3">
      <c r="A436" s="9" t="s">
        <v>1671</v>
      </c>
      <c r="B436" s="18" t="str">
        <f>_xlfn.XLOOKUP(A436,CATÁLOGO!$A$2:$A$846,CATÁLOGO!$B$2:$B$846,"FORA DO CATÁLOGO")</f>
        <v>CAL022O38</v>
      </c>
      <c r="C436" s="11">
        <v>2</v>
      </c>
      <c r="D436" s="11" t="str">
        <f>_xlfn.XLOOKUP(A436,CATÁLOGO!$A$2:$A$846,CATÁLOGO!$E$2:$E$846,"FORA DO CATÁLOGO")</f>
        <v>Descontinuado</v>
      </c>
      <c r="E436" s="9"/>
      <c r="F436" s="52">
        <f>SUMIFS('AVARIA PINHEIROS'!$C$2:$C$24,'AVARIA PINHEIROS'!$A$2:$A$24,A436)</f>
        <v>0</v>
      </c>
    </row>
    <row r="437" spans="1:6" x14ac:dyDescent="0.3">
      <c r="A437" s="9" t="s">
        <v>1669</v>
      </c>
      <c r="B437" s="18" t="str">
        <f>_xlfn.XLOOKUP(A437,CATÁLOGO!$A$2:$A$846,CATÁLOGO!$B$2:$B$846,"FORA DO CATÁLOGO")</f>
        <v>CAL022O40</v>
      </c>
      <c r="C437" s="11">
        <v>1</v>
      </c>
      <c r="D437" s="11" t="str">
        <f>_xlfn.XLOOKUP(A437,CATÁLOGO!$A$2:$A$846,CATÁLOGO!$E$2:$E$846,"FORA DO CATÁLOGO")</f>
        <v>Descontinuado</v>
      </c>
      <c r="E437" s="9"/>
      <c r="F437" s="52">
        <f>SUMIFS('AVARIA PINHEIROS'!$C$2:$C$24,'AVARIA PINHEIROS'!$A$2:$A$24,A437)</f>
        <v>0</v>
      </c>
    </row>
    <row r="438" spans="1:6" x14ac:dyDescent="0.3">
      <c r="A438" s="9" t="s">
        <v>1665</v>
      </c>
      <c r="B438" s="18" t="str">
        <f>_xlfn.XLOOKUP(A438,CATÁLOGO!$A$2:$A$846,CATÁLOGO!$B$2:$B$846,"FORA DO CATÁLOGO")</f>
        <v>CAL022O42</v>
      </c>
      <c r="C438" s="11">
        <v>2</v>
      </c>
      <c r="D438" s="11" t="str">
        <f>_xlfn.XLOOKUP(A438,CATÁLOGO!$A$2:$A$846,CATÁLOGO!$E$2:$E$846,"FORA DO CATÁLOGO")</f>
        <v>Descontinuado</v>
      </c>
      <c r="E438" s="9"/>
      <c r="F438" s="52">
        <f>SUMIFS('AVARIA PINHEIROS'!$C$2:$C$24,'AVARIA PINHEIROS'!$A$2:$A$24,A438)</f>
        <v>0</v>
      </c>
    </row>
    <row r="439" spans="1:6" x14ac:dyDescent="0.3">
      <c r="A439" s="9" t="s">
        <v>1680</v>
      </c>
      <c r="B439" s="18" t="str">
        <f>_xlfn.XLOOKUP(A439,CATÁLOGO!$A$2:$A$846,CATÁLOGO!$B$2:$B$846,"FORA DO CATÁLOGO")</f>
        <v>CAL023L36</v>
      </c>
      <c r="C439" s="11">
        <v>4</v>
      </c>
      <c r="D439" s="11" t="str">
        <f>_xlfn.XLOOKUP(A439,CATÁLOGO!$A$2:$A$846,CATÁLOGO!$E$2:$E$846,"FORA DO CATÁLOGO")</f>
        <v>Ativo</v>
      </c>
      <c r="E439" s="9" t="s">
        <v>1293</v>
      </c>
      <c r="F439" s="52">
        <f>SUMIFS('AVARIA PINHEIROS'!$C$2:$C$24,'AVARIA PINHEIROS'!$A$2:$A$24,A439)</f>
        <v>0</v>
      </c>
    </row>
    <row r="440" spans="1:6" x14ac:dyDescent="0.3">
      <c r="A440" s="9" t="s">
        <v>1679</v>
      </c>
      <c r="B440" s="18" t="str">
        <f>_xlfn.XLOOKUP(A440,CATÁLOGO!$A$2:$A$846,CATÁLOGO!$B$2:$B$846,"FORA DO CATÁLOGO")</f>
        <v>CAL023L38</v>
      </c>
      <c r="C440" s="11">
        <v>6</v>
      </c>
      <c r="D440" s="11" t="str">
        <f>_xlfn.XLOOKUP(A440,CATÁLOGO!$A$2:$A$846,CATÁLOGO!$E$2:$E$846,"FORA DO CATÁLOGO")</f>
        <v>Ativo</v>
      </c>
      <c r="E440" s="9"/>
      <c r="F440" s="52">
        <f>SUMIFS('AVARIA PINHEIROS'!$C$2:$C$24,'AVARIA PINHEIROS'!$A$2:$A$24,A440)</f>
        <v>0</v>
      </c>
    </row>
    <row r="441" spans="1:6" x14ac:dyDescent="0.3">
      <c r="A441" s="9" t="s">
        <v>1678</v>
      </c>
      <c r="B441" s="18" t="str">
        <f>_xlfn.XLOOKUP(A441,CATÁLOGO!$A$2:$A$846,CATÁLOGO!$B$2:$B$846,"FORA DO CATÁLOGO")</f>
        <v>CAL023L40</v>
      </c>
      <c r="C441" s="11">
        <v>0</v>
      </c>
      <c r="D441" s="11" t="str">
        <f>_xlfn.XLOOKUP(A441,CATÁLOGO!$A$2:$A$846,CATÁLOGO!$E$2:$E$846,"FORA DO CATÁLOGO")</f>
        <v>Ativo</v>
      </c>
      <c r="E441" s="9" t="s">
        <v>1351</v>
      </c>
      <c r="F441" s="52">
        <f>SUMIFS('AVARIA PINHEIROS'!$C$2:$C$24,'AVARIA PINHEIROS'!$A$2:$A$24,A441)</f>
        <v>7</v>
      </c>
    </row>
    <row r="442" spans="1:6" x14ac:dyDescent="0.3">
      <c r="A442" s="9" t="s">
        <v>1675</v>
      </c>
      <c r="B442" s="18" t="str">
        <f>_xlfn.XLOOKUP(A442,CATÁLOGO!$A$2:$A$846,CATÁLOGO!$B$2:$B$846,"FORA DO CATÁLOGO")</f>
        <v>CAL023L42</v>
      </c>
      <c r="C442" s="11">
        <v>5</v>
      </c>
      <c r="D442" s="11" t="str">
        <f>_xlfn.XLOOKUP(A442,CATÁLOGO!$A$2:$A$846,CATÁLOGO!$E$2:$E$846,"FORA DO CATÁLOGO")</f>
        <v>Ativo</v>
      </c>
      <c r="E442" s="9"/>
      <c r="F442" s="52">
        <f>SUMIFS('AVARIA PINHEIROS'!$C$2:$C$24,'AVARIA PINHEIROS'!$A$2:$A$24,A442)</f>
        <v>0</v>
      </c>
    </row>
    <row r="443" spans="1:6" x14ac:dyDescent="0.3">
      <c r="A443" s="9" t="s">
        <v>1677</v>
      </c>
      <c r="B443" s="18" t="str">
        <f>_xlfn.XLOOKUP(A443,CATÁLOGO!$A$2:$A$846,CATÁLOGO!$B$2:$B$846,"FORA DO CATÁLOGO")</f>
        <v>CAL023L44</v>
      </c>
      <c r="C443" s="11">
        <v>4</v>
      </c>
      <c r="D443" s="11" t="str">
        <f>_xlfn.XLOOKUP(A443,CATÁLOGO!$A$2:$A$846,CATÁLOGO!$E$2:$E$846,"FORA DO CATÁLOGO")</f>
        <v>Ativo</v>
      </c>
      <c r="E443" s="9"/>
      <c r="F443" s="52">
        <f>SUMIFS('AVARIA PINHEIROS'!$C$2:$C$24,'AVARIA PINHEIROS'!$A$2:$A$24,A443)</f>
        <v>0</v>
      </c>
    </row>
    <row r="444" spans="1:6" x14ac:dyDescent="0.3">
      <c r="A444" s="9" t="s">
        <v>1487</v>
      </c>
      <c r="B444" s="18" t="str">
        <f>_xlfn.XLOOKUP(A444,CATÁLOGO!$A$2:$A$846,CATÁLOGO!$B$2:$B$846,"FORA DO CATÁLOGO")</f>
        <v>BER007A38</v>
      </c>
      <c r="C444" s="11">
        <v>1</v>
      </c>
      <c r="D444" s="11" t="str">
        <f>_xlfn.XLOOKUP(A444,CATÁLOGO!$A$2:$A$846,CATÁLOGO!$E$2:$E$846,"FORA DO CATÁLOGO")</f>
        <v>Ativo</v>
      </c>
      <c r="E444" s="9"/>
      <c r="F444" s="52">
        <f>SUMIFS('AVARIA PINHEIROS'!$C$2:$C$24,'AVARIA PINHEIROS'!$A$2:$A$24,A444)</f>
        <v>0</v>
      </c>
    </row>
    <row r="445" spans="1:6" x14ac:dyDescent="0.3">
      <c r="A445" s="9" t="s">
        <v>1486</v>
      </c>
      <c r="B445" s="18" t="str">
        <f>_xlfn.XLOOKUP(A445,CATÁLOGO!$A$2:$A$846,CATÁLOGO!$B$2:$B$846,"FORA DO CATÁLOGO")</f>
        <v>BER007A40</v>
      </c>
      <c r="C445" s="11">
        <v>4</v>
      </c>
      <c r="D445" s="11" t="str">
        <f>_xlfn.XLOOKUP(A445,CATÁLOGO!$A$2:$A$846,CATÁLOGO!$E$2:$E$846,"FORA DO CATÁLOGO")</f>
        <v>Ativo</v>
      </c>
      <c r="E445" s="9"/>
      <c r="F445" s="52">
        <f>SUMIFS('AVARIA PINHEIROS'!$C$2:$C$24,'AVARIA PINHEIROS'!$A$2:$A$24,A445)</f>
        <v>0</v>
      </c>
    </row>
    <row r="446" spans="1:6" x14ac:dyDescent="0.3">
      <c r="A446" s="9" t="s">
        <v>1483</v>
      </c>
      <c r="B446" s="18" t="str">
        <f>_xlfn.XLOOKUP(A446,CATÁLOGO!$A$2:$A$846,CATÁLOGO!$B$2:$B$846,"FORA DO CATÁLOGO")</f>
        <v>BER007A42</v>
      </c>
      <c r="C446" s="11">
        <v>0</v>
      </c>
      <c r="D446" s="11" t="str">
        <f>_xlfn.XLOOKUP(A446,CATÁLOGO!$A$2:$A$846,CATÁLOGO!$E$2:$E$846,"FORA DO CATÁLOGO")</f>
        <v>Ativo</v>
      </c>
      <c r="E446" s="9" t="s">
        <v>1352</v>
      </c>
      <c r="F446" s="52">
        <f>SUMIFS('AVARIA PINHEIROS'!$C$2:$C$24,'AVARIA PINHEIROS'!$A$2:$A$24,A446)</f>
        <v>4</v>
      </c>
    </row>
    <row r="447" spans="1:6" x14ac:dyDescent="0.3">
      <c r="A447" s="9" t="s">
        <v>1485</v>
      </c>
      <c r="B447" s="18" t="str">
        <f>_xlfn.XLOOKUP(A447,CATÁLOGO!$A$2:$A$846,CATÁLOGO!$B$2:$B$846,"FORA DO CATÁLOGO")</f>
        <v>BER007A44</v>
      </c>
      <c r="C447" s="11">
        <v>1</v>
      </c>
      <c r="D447" s="11" t="str">
        <f>_xlfn.XLOOKUP(A447,CATÁLOGO!$A$2:$A$846,CATÁLOGO!$E$2:$E$846,"FORA DO CATÁLOGO")</f>
        <v>Ativo</v>
      </c>
      <c r="E447" s="9"/>
      <c r="F447" s="52">
        <f>SUMIFS('AVARIA PINHEIROS'!$C$2:$C$24,'AVARIA PINHEIROS'!$A$2:$A$24,A447)</f>
        <v>0</v>
      </c>
    </row>
    <row r="448" spans="1:6" x14ac:dyDescent="0.3">
      <c r="A448" s="9" t="s">
        <v>312</v>
      </c>
      <c r="B448" s="18" t="str">
        <f>_xlfn.XLOOKUP(A448,CATÁLOGO!$A$2:$A$846,CATÁLOGO!$B$2:$B$846,"FORA DO CATÁLOGO")</f>
        <v>CMS010MP</v>
      </c>
      <c r="C448" s="11">
        <v>6</v>
      </c>
      <c r="D448" s="11" t="str">
        <f>_xlfn.XLOOKUP(A448,CATÁLOGO!$A$2:$A$846,CATÁLOGO!$E$2:$E$846,"FORA DO CATÁLOGO")</f>
        <v>Ativo</v>
      </c>
      <c r="E448" s="9"/>
      <c r="F448" s="52">
        <f>SUMIFS('AVARIA PINHEIROS'!$C$2:$C$24,'AVARIA PINHEIROS'!$A$2:$A$24,A448)</f>
        <v>0</v>
      </c>
    </row>
    <row r="449" spans="1:6" x14ac:dyDescent="0.3">
      <c r="A449" s="9" t="s">
        <v>313</v>
      </c>
      <c r="B449" s="18" t="str">
        <f>_xlfn.XLOOKUP(A449,CATÁLOGO!$A$2:$A$846,CATÁLOGO!$B$2:$B$846,"FORA DO CATÁLOGO")</f>
        <v>CMS010MM</v>
      </c>
      <c r="C449" s="11">
        <v>3</v>
      </c>
      <c r="D449" s="11" t="str">
        <f>_xlfn.XLOOKUP(A449,CATÁLOGO!$A$2:$A$846,CATÁLOGO!$E$2:$E$846,"FORA DO CATÁLOGO")</f>
        <v>Ativo</v>
      </c>
      <c r="E449" s="9"/>
      <c r="F449" s="52">
        <f>SUMIFS('AVARIA PINHEIROS'!$C$2:$C$24,'AVARIA PINHEIROS'!$A$2:$A$24,A449)</f>
        <v>0</v>
      </c>
    </row>
    <row r="450" spans="1:6" x14ac:dyDescent="0.3">
      <c r="A450" s="9" t="s">
        <v>314</v>
      </c>
      <c r="B450" s="18" t="str">
        <f>_xlfn.XLOOKUP(A450,CATÁLOGO!$A$2:$A$846,CATÁLOGO!$B$2:$B$846,"FORA DO CATÁLOGO")</f>
        <v>CMS010MG</v>
      </c>
      <c r="C450" s="11">
        <v>6</v>
      </c>
      <c r="D450" s="11" t="str">
        <f>_xlfn.XLOOKUP(A450,CATÁLOGO!$A$2:$A$846,CATÁLOGO!$E$2:$E$846,"FORA DO CATÁLOGO")</f>
        <v>Ativo</v>
      </c>
      <c r="E450" s="9"/>
      <c r="F450" s="52">
        <f>SUMIFS('AVARIA PINHEIROS'!$C$2:$C$24,'AVARIA PINHEIROS'!$A$2:$A$24,A450)</f>
        <v>0</v>
      </c>
    </row>
    <row r="451" spans="1:6" x14ac:dyDescent="0.3">
      <c r="A451" s="9" t="s">
        <v>315</v>
      </c>
      <c r="B451" s="18" t="str">
        <f>_xlfn.XLOOKUP(A451,CATÁLOGO!$A$2:$A$846,CATÁLOGO!$B$2:$B$846,"FORA DO CATÁLOGO")</f>
        <v>CMS011EP</v>
      </c>
      <c r="C451" s="11">
        <v>2</v>
      </c>
      <c r="D451" s="11" t="str">
        <f>_xlfn.XLOOKUP(A451,CATÁLOGO!$A$2:$A$846,CATÁLOGO!$E$2:$E$846,"FORA DO CATÁLOGO")</f>
        <v>Ativo</v>
      </c>
      <c r="E451" s="9"/>
      <c r="F451" s="52">
        <f>SUMIFS('AVARIA PINHEIROS'!$C$2:$C$24,'AVARIA PINHEIROS'!$A$2:$A$24,A451)</f>
        <v>0</v>
      </c>
    </row>
    <row r="452" spans="1:6" x14ac:dyDescent="0.3">
      <c r="A452" s="9" t="s">
        <v>316</v>
      </c>
      <c r="B452" s="18" t="str">
        <f>_xlfn.XLOOKUP(A452,CATÁLOGO!$A$2:$A$846,CATÁLOGO!$B$2:$B$846,"FORA DO CATÁLOGO")</f>
        <v>CMS011EM</v>
      </c>
      <c r="C452" s="11">
        <v>4</v>
      </c>
      <c r="D452" s="11" t="str">
        <f>_xlfn.XLOOKUP(A452,CATÁLOGO!$A$2:$A$846,CATÁLOGO!$E$2:$E$846,"FORA DO CATÁLOGO")</f>
        <v>Ativo</v>
      </c>
      <c r="E452" s="9"/>
      <c r="F452" s="52">
        <f>SUMIFS('AVARIA PINHEIROS'!$C$2:$C$24,'AVARIA PINHEIROS'!$A$2:$A$24,A452)</f>
        <v>0</v>
      </c>
    </row>
    <row r="453" spans="1:6" x14ac:dyDescent="0.3">
      <c r="A453" s="9" t="s">
        <v>317</v>
      </c>
      <c r="B453" s="18" t="str">
        <f>_xlfn.XLOOKUP(A453,CATÁLOGO!$A$2:$A$846,CATÁLOGO!$B$2:$B$846,"FORA DO CATÁLOGO")</f>
        <v>CMS011EG</v>
      </c>
      <c r="C453" s="11">
        <v>4</v>
      </c>
      <c r="D453" s="11" t="str">
        <f>_xlfn.XLOOKUP(A453,CATÁLOGO!$A$2:$A$846,CATÁLOGO!$E$2:$E$846,"FORA DO CATÁLOGO")</f>
        <v>Ativo</v>
      </c>
      <c r="E453" s="9"/>
      <c r="F453" s="52">
        <f>SUMIFS('AVARIA PINHEIROS'!$C$2:$C$24,'AVARIA PINHEIROS'!$A$2:$A$24,A453)</f>
        <v>0</v>
      </c>
    </row>
    <row r="454" spans="1:6" x14ac:dyDescent="0.3">
      <c r="A454" s="9" t="s">
        <v>318</v>
      </c>
      <c r="B454" s="18" t="str">
        <f>_xlfn.XLOOKUP(A454,CATÁLOGO!$A$2:$A$846,CATÁLOGO!$B$2:$B$846,"FORA DO CATÁLOGO")</f>
        <v>CMS011EGG</v>
      </c>
      <c r="C454" s="11">
        <v>1</v>
      </c>
      <c r="D454" s="11" t="str">
        <f>_xlfn.XLOOKUP(A454,CATÁLOGO!$A$2:$A$846,CATÁLOGO!$E$2:$E$846,"FORA DO CATÁLOGO")</f>
        <v>Ativo</v>
      </c>
      <c r="E454" s="9"/>
      <c r="F454" s="52">
        <f>SUMIFS('AVARIA PINHEIROS'!$C$2:$C$24,'AVARIA PINHEIROS'!$A$2:$A$24,A454)</f>
        <v>0</v>
      </c>
    </row>
    <row r="455" spans="1:6" x14ac:dyDescent="0.3">
      <c r="A455" s="9" t="s">
        <v>319</v>
      </c>
      <c r="B455" s="18" t="str">
        <f>_xlfn.XLOOKUP(A455,CATÁLOGO!$A$2:$A$846,CATÁLOGO!$B$2:$B$846,"FORA DO CATÁLOGO")</f>
        <v>CMS011JP</v>
      </c>
      <c r="C455" s="11">
        <v>1</v>
      </c>
      <c r="D455" s="11" t="str">
        <f>_xlfn.XLOOKUP(A455,CATÁLOGO!$A$2:$A$846,CATÁLOGO!$E$2:$E$846,"FORA DO CATÁLOGO")</f>
        <v>Ativo</v>
      </c>
      <c r="E455" s="9" t="s">
        <v>23</v>
      </c>
      <c r="F455" s="52">
        <f>SUMIFS('AVARIA PINHEIROS'!$C$2:$C$24,'AVARIA PINHEIROS'!$A$2:$A$24,A455)</f>
        <v>0</v>
      </c>
    </row>
    <row r="456" spans="1:6" x14ac:dyDescent="0.3">
      <c r="A456" s="9" t="s">
        <v>320</v>
      </c>
      <c r="B456" s="18" t="str">
        <f>_xlfn.XLOOKUP(A456,CATÁLOGO!$A$2:$A$846,CATÁLOGO!$B$2:$B$846,"FORA DO CATÁLOGO")</f>
        <v>CMS011JM</v>
      </c>
      <c r="C456" s="11">
        <v>2</v>
      </c>
      <c r="D456" s="11" t="str">
        <f>_xlfn.XLOOKUP(A456,CATÁLOGO!$A$2:$A$846,CATÁLOGO!$E$2:$E$846,"FORA DO CATÁLOGO")</f>
        <v>Ativo</v>
      </c>
      <c r="E456" s="9"/>
      <c r="F456" s="52">
        <f>SUMIFS('AVARIA PINHEIROS'!$C$2:$C$24,'AVARIA PINHEIROS'!$A$2:$A$24,A456)</f>
        <v>0</v>
      </c>
    </row>
    <row r="457" spans="1:6" x14ac:dyDescent="0.3">
      <c r="A457" s="9" t="s">
        <v>321</v>
      </c>
      <c r="B457" s="18" t="str">
        <f>_xlfn.XLOOKUP(A457,CATÁLOGO!$A$2:$A$846,CATÁLOGO!$B$2:$B$846,"FORA DO CATÁLOGO")</f>
        <v>CMS011JG</v>
      </c>
      <c r="C457" s="11">
        <v>2</v>
      </c>
      <c r="D457" s="11" t="str">
        <f>_xlfn.XLOOKUP(A457,CATÁLOGO!$A$2:$A$846,CATÁLOGO!$E$2:$E$846,"FORA DO CATÁLOGO")</f>
        <v>Ativo</v>
      </c>
      <c r="E457" s="9"/>
      <c r="F457" s="52">
        <f>SUMIFS('AVARIA PINHEIROS'!$C$2:$C$24,'AVARIA PINHEIROS'!$A$2:$A$24,A457)</f>
        <v>0</v>
      </c>
    </row>
    <row r="458" spans="1:6" x14ac:dyDescent="0.3">
      <c r="A458" s="9" t="s">
        <v>322</v>
      </c>
      <c r="B458" s="18" t="str">
        <f>_xlfn.XLOOKUP(A458,CATÁLOGO!$A$2:$A$846,CATÁLOGO!$B$2:$B$846,"FORA DO CATÁLOGO")</f>
        <v>CMS011JGG</v>
      </c>
      <c r="C458" s="11">
        <v>1</v>
      </c>
      <c r="D458" s="11" t="str">
        <f>_xlfn.XLOOKUP(A458,CATÁLOGO!$A$2:$A$846,CATÁLOGO!$E$2:$E$846,"FORA DO CATÁLOGO")</f>
        <v>Ativo</v>
      </c>
      <c r="E458" s="9"/>
      <c r="F458" s="52">
        <f>SUMIFS('AVARIA PINHEIROS'!$C$2:$C$24,'AVARIA PINHEIROS'!$A$2:$A$24,A458)</f>
        <v>0</v>
      </c>
    </row>
    <row r="459" spans="1:6" x14ac:dyDescent="0.3">
      <c r="A459" s="9" t="s">
        <v>323</v>
      </c>
      <c r="B459" s="18" t="str">
        <f>_xlfn.XLOOKUP(A459,CATÁLOGO!$A$2:$A$846,CATÁLOGO!$B$2:$B$846,"FORA DO CATÁLOGO")</f>
        <v>SAI009BP</v>
      </c>
      <c r="C459" s="11">
        <v>0</v>
      </c>
      <c r="D459" s="11" t="str">
        <f>_xlfn.XLOOKUP(A459,CATÁLOGO!$A$2:$A$846,CATÁLOGO!$E$2:$E$846,"FORA DO CATÁLOGO")</f>
        <v>Ativo</v>
      </c>
      <c r="E459" s="9" t="s">
        <v>1347</v>
      </c>
      <c r="F459" s="52">
        <f>SUMIFS('AVARIA PINHEIROS'!$C$2:$C$24,'AVARIA PINHEIROS'!$A$2:$A$24,A459)</f>
        <v>2</v>
      </c>
    </row>
    <row r="460" spans="1:6" x14ac:dyDescent="0.3">
      <c r="A460" s="9" t="s">
        <v>324</v>
      </c>
      <c r="B460" s="18" t="str">
        <f>_xlfn.XLOOKUP(A460,CATÁLOGO!$A$2:$A$846,CATÁLOGO!$B$2:$B$846,"FORA DO CATÁLOGO")</f>
        <v>SAI009BM</v>
      </c>
      <c r="C460" s="11">
        <v>2</v>
      </c>
      <c r="D460" s="11" t="str">
        <f>_xlfn.XLOOKUP(A460,CATÁLOGO!$A$2:$A$846,CATÁLOGO!$E$2:$E$846,"FORA DO CATÁLOGO")</f>
        <v>Ativo</v>
      </c>
      <c r="E460" s="9"/>
      <c r="F460" s="52">
        <f>SUMIFS('AVARIA PINHEIROS'!$C$2:$C$24,'AVARIA PINHEIROS'!$A$2:$A$24,A460)</f>
        <v>0</v>
      </c>
    </row>
    <row r="461" spans="1:6" x14ac:dyDescent="0.3">
      <c r="A461" s="9" t="s">
        <v>325</v>
      </c>
      <c r="B461" s="18" t="str">
        <f>_xlfn.XLOOKUP(A461,CATÁLOGO!$A$2:$A$846,CATÁLOGO!$B$2:$B$846,"FORA DO CATÁLOGO")</f>
        <v>SAI009BG</v>
      </c>
      <c r="C461" s="11">
        <v>2</v>
      </c>
      <c r="D461" s="11" t="str">
        <f>_xlfn.XLOOKUP(A461,CATÁLOGO!$A$2:$A$846,CATÁLOGO!$E$2:$E$846,"FORA DO CATÁLOGO")</f>
        <v>Ativo</v>
      </c>
      <c r="E461" s="9"/>
      <c r="F461" s="52">
        <f>SUMIFS('AVARIA PINHEIROS'!$C$2:$C$24,'AVARIA PINHEIROS'!$A$2:$A$24,A461)</f>
        <v>0</v>
      </c>
    </row>
    <row r="462" spans="1:6" x14ac:dyDescent="0.3">
      <c r="A462" s="9" t="s">
        <v>326</v>
      </c>
      <c r="B462" s="18" t="str">
        <f>_xlfn.XLOOKUP(A462,CATÁLOGO!$A$2:$A$846,CATÁLOGO!$B$2:$B$846,"FORA DO CATÁLOGO")</f>
        <v>SAI009BGG</v>
      </c>
      <c r="C462" s="11">
        <v>1</v>
      </c>
      <c r="D462" s="11" t="str">
        <f>_xlfn.XLOOKUP(A462,CATÁLOGO!$A$2:$A$846,CATÁLOGO!$E$2:$E$846,"FORA DO CATÁLOGO")</f>
        <v>Ativo</v>
      </c>
      <c r="E462" s="9"/>
      <c r="F462" s="52">
        <f>SUMIFS('AVARIA PINHEIROS'!$C$2:$C$24,'AVARIA PINHEIROS'!$A$2:$A$24,A462)</f>
        <v>0</v>
      </c>
    </row>
    <row r="463" spans="1:6" x14ac:dyDescent="0.3">
      <c r="A463" s="9" t="s">
        <v>327</v>
      </c>
      <c r="B463" s="18" t="str">
        <f>_xlfn.XLOOKUP(A463,CATÁLOGO!$A$2:$A$846,CATÁLOGO!$B$2:$B$846,"FORA DO CATÁLOGO")</f>
        <v>SAI009GP</v>
      </c>
      <c r="C463" s="11">
        <v>1</v>
      </c>
      <c r="D463" s="11" t="str">
        <f>_xlfn.XLOOKUP(A463,CATÁLOGO!$A$2:$A$846,CATÁLOGO!$E$2:$E$846,"FORA DO CATÁLOGO")</f>
        <v>Ativo</v>
      </c>
      <c r="E463" s="9"/>
      <c r="F463" s="52">
        <f>SUMIFS('AVARIA PINHEIROS'!$C$2:$C$24,'AVARIA PINHEIROS'!$A$2:$A$24,A463)</f>
        <v>0</v>
      </c>
    </row>
    <row r="464" spans="1:6" x14ac:dyDescent="0.3">
      <c r="A464" s="9" t="s">
        <v>328</v>
      </c>
      <c r="B464" s="18" t="str">
        <f>_xlfn.XLOOKUP(A464,CATÁLOGO!$A$2:$A$846,CATÁLOGO!$B$2:$B$846,"FORA DO CATÁLOGO")</f>
        <v>SAI009GM</v>
      </c>
      <c r="C464" s="11">
        <v>1</v>
      </c>
      <c r="D464" s="11" t="str">
        <f>_xlfn.XLOOKUP(A464,CATÁLOGO!$A$2:$A$846,CATÁLOGO!$E$2:$E$846,"FORA DO CATÁLOGO")</f>
        <v>Ativo</v>
      </c>
      <c r="E464" s="9"/>
      <c r="F464" s="52">
        <f>SUMIFS('AVARIA PINHEIROS'!$C$2:$C$24,'AVARIA PINHEIROS'!$A$2:$A$24,A464)</f>
        <v>0</v>
      </c>
    </row>
    <row r="465" spans="1:6" x14ac:dyDescent="0.3">
      <c r="A465" s="9" t="s">
        <v>329</v>
      </c>
      <c r="B465" s="18" t="str">
        <f>_xlfn.XLOOKUP(A465,CATÁLOGO!$A$2:$A$846,CATÁLOGO!$B$2:$B$846,"FORA DO CATÁLOGO")</f>
        <v>SAI009GG</v>
      </c>
      <c r="C465" s="11">
        <v>1</v>
      </c>
      <c r="D465" s="11" t="str">
        <f>_xlfn.XLOOKUP(A465,CATÁLOGO!$A$2:$A$846,CATÁLOGO!$E$2:$E$846,"FORA DO CATÁLOGO")</f>
        <v>Ativo</v>
      </c>
      <c r="E465" s="9"/>
      <c r="F465" s="52">
        <f>SUMIFS('AVARIA PINHEIROS'!$C$2:$C$24,'AVARIA PINHEIROS'!$A$2:$A$24,A465)</f>
        <v>0</v>
      </c>
    </row>
    <row r="466" spans="1:6" x14ac:dyDescent="0.3">
      <c r="A466" s="9" t="s">
        <v>330</v>
      </c>
      <c r="B466" s="18" t="str">
        <f>_xlfn.XLOOKUP(A466,CATÁLOGO!$A$2:$A$846,CATÁLOGO!$B$2:$B$846,"FORA DO CATÁLOGO")</f>
        <v>SAI009GGG</v>
      </c>
      <c r="C466" s="11">
        <v>1</v>
      </c>
      <c r="D466" s="11" t="str">
        <f>_xlfn.XLOOKUP(A466,CATÁLOGO!$A$2:$A$846,CATÁLOGO!$E$2:$E$846,"FORA DO CATÁLOGO")</f>
        <v>Ativo</v>
      </c>
      <c r="E466" s="9"/>
      <c r="F466" s="52">
        <f>SUMIFS('AVARIA PINHEIROS'!$C$2:$C$24,'AVARIA PINHEIROS'!$A$2:$A$24,A466)</f>
        <v>0</v>
      </c>
    </row>
    <row r="467" spans="1:6" x14ac:dyDescent="0.3">
      <c r="A467" s="9" t="s">
        <v>331</v>
      </c>
      <c r="B467" s="18" t="str">
        <f>_xlfn.XLOOKUP(A467,CATÁLOGO!$A$2:$A$846,CATÁLOGO!$B$2:$B$846,"FORA DO CATÁLOGO")</f>
        <v>TOP013VP</v>
      </c>
      <c r="C467" s="11">
        <v>1</v>
      </c>
      <c r="D467" s="11" t="str">
        <f>_xlfn.XLOOKUP(A467,CATÁLOGO!$A$2:$A$846,CATÁLOGO!$E$2:$E$846,"FORA DO CATÁLOGO")</f>
        <v>Ativo</v>
      </c>
      <c r="E467" s="9"/>
      <c r="F467" s="52">
        <f>SUMIFS('AVARIA PINHEIROS'!$C$2:$C$24,'AVARIA PINHEIROS'!$A$2:$A$24,A467)</f>
        <v>0</v>
      </c>
    </row>
    <row r="468" spans="1:6" x14ac:dyDescent="0.3">
      <c r="A468" s="9" t="s">
        <v>332</v>
      </c>
      <c r="B468" s="18" t="str">
        <f>_xlfn.XLOOKUP(A468,CATÁLOGO!$A$2:$A$846,CATÁLOGO!$B$2:$B$846,"FORA DO CATÁLOGO")</f>
        <v>TOP013VM</v>
      </c>
      <c r="C468" s="11">
        <v>5</v>
      </c>
      <c r="D468" s="11" t="str">
        <f>_xlfn.XLOOKUP(A468,CATÁLOGO!$A$2:$A$846,CATÁLOGO!$E$2:$E$846,"FORA DO CATÁLOGO")</f>
        <v>Ativo</v>
      </c>
      <c r="E468" s="9"/>
      <c r="F468" s="52">
        <f>SUMIFS('AVARIA PINHEIROS'!$C$2:$C$24,'AVARIA PINHEIROS'!$A$2:$A$24,A468)</f>
        <v>0</v>
      </c>
    </row>
    <row r="469" spans="1:6" x14ac:dyDescent="0.3">
      <c r="A469" s="9" t="s">
        <v>333</v>
      </c>
      <c r="B469" s="18" t="str">
        <f>_xlfn.XLOOKUP(A469,CATÁLOGO!$A$2:$A$846,CATÁLOGO!$B$2:$B$846,"FORA DO CATÁLOGO")</f>
        <v>TOP013VG</v>
      </c>
      <c r="C469" s="11">
        <v>5</v>
      </c>
      <c r="D469" s="11" t="str">
        <f>_xlfn.XLOOKUP(A469,CATÁLOGO!$A$2:$A$846,CATÁLOGO!$E$2:$E$846,"FORA DO CATÁLOGO")</f>
        <v>Ativo</v>
      </c>
      <c r="E469" s="9"/>
      <c r="F469" s="52">
        <f>SUMIFS('AVARIA PINHEIROS'!$C$2:$C$24,'AVARIA PINHEIROS'!$A$2:$A$24,A469)</f>
        <v>0</v>
      </c>
    </row>
    <row r="470" spans="1:6" x14ac:dyDescent="0.3">
      <c r="A470" s="9" t="s">
        <v>334</v>
      </c>
      <c r="B470" s="18" t="str">
        <f>_xlfn.XLOOKUP(A470,CATÁLOGO!$A$2:$A$846,CATÁLOGO!$B$2:$B$846,"FORA DO CATÁLOGO")</f>
        <v>TOP013VGG</v>
      </c>
      <c r="C470" s="11">
        <v>2</v>
      </c>
      <c r="D470" s="11" t="str">
        <f>_xlfn.XLOOKUP(A470,CATÁLOGO!$A$2:$A$846,CATÁLOGO!$E$2:$E$846,"FORA DO CATÁLOGO")</f>
        <v>Ativo</v>
      </c>
      <c r="E470" s="9"/>
      <c r="F470" s="52">
        <f>SUMIFS('AVARIA PINHEIROS'!$C$2:$C$24,'AVARIA PINHEIROS'!$A$2:$A$24,A470)</f>
        <v>0</v>
      </c>
    </row>
    <row r="471" spans="1:6" x14ac:dyDescent="0.3">
      <c r="A471" s="9" t="s">
        <v>1494</v>
      </c>
      <c r="B471" s="18" t="str">
        <f>_xlfn.XLOOKUP(A471,CATÁLOGO!$A$2:$A$846,CATÁLOGO!$B$2:$B$846,"FORA DO CATÁLOGO")</f>
        <v>BER008G36</v>
      </c>
      <c r="C471" s="11">
        <v>2</v>
      </c>
      <c r="D471" s="11" t="str">
        <f>_xlfn.XLOOKUP(A471,CATÁLOGO!$A$2:$A$846,CATÁLOGO!$E$2:$E$846,"FORA DO CATÁLOGO")</f>
        <v>Ativo</v>
      </c>
      <c r="E471" s="9"/>
      <c r="F471" s="52">
        <f>SUMIFS('AVARIA PINHEIROS'!$C$2:$C$24,'AVARIA PINHEIROS'!$A$2:$A$24,A471)</f>
        <v>0</v>
      </c>
    </row>
    <row r="472" spans="1:6" x14ac:dyDescent="0.3">
      <c r="A472" s="9" t="s">
        <v>1492</v>
      </c>
      <c r="B472" s="18" t="str">
        <f>_xlfn.XLOOKUP(A472,CATÁLOGO!$A$2:$A$846,CATÁLOGO!$B$2:$B$846,"FORA DO CATÁLOGO")</f>
        <v>BER008G38</v>
      </c>
      <c r="C472" s="11">
        <v>6</v>
      </c>
      <c r="D472" s="11" t="str">
        <f>_xlfn.XLOOKUP(A472,CATÁLOGO!$A$2:$A$846,CATÁLOGO!$E$2:$E$846,"FORA DO CATÁLOGO")</f>
        <v>Ativo</v>
      </c>
      <c r="E472" s="9"/>
      <c r="F472" s="52">
        <f>SUMIFS('AVARIA PINHEIROS'!$C$2:$C$24,'AVARIA PINHEIROS'!$A$2:$A$24,A472)</f>
        <v>0</v>
      </c>
    </row>
    <row r="473" spans="1:6" x14ac:dyDescent="0.3">
      <c r="A473" s="9" t="s">
        <v>1491</v>
      </c>
      <c r="B473" s="18" t="str">
        <f>_xlfn.XLOOKUP(A473,CATÁLOGO!$A$2:$A$846,CATÁLOGO!$B$2:$B$846,"FORA DO CATÁLOGO")</f>
        <v>BER008G40</v>
      </c>
      <c r="C473" s="11">
        <v>4</v>
      </c>
      <c r="D473" s="11" t="str">
        <f>_xlfn.XLOOKUP(A473,CATÁLOGO!$A$2:$A$846,CATÁLOGO!$E$2:$E$846,"FORA DO CATÁLOGO")</f>
        <v>Ativo</v>
      </c>
      <c r="E473" s="9"/>
      <c r="F473" s="52">
        <f>SUMIFS('AVARIA PINHEIROS'!$C$2:$C$24,'AVARIA PINHEIROS'!$A$2:$A$24,A473)</f>
        <v>0</v>
      </c>
    </row>
    <row r="474" spans="1:6" x14ac:dyDescent="0.3">
      <c r="A474" s="9" t="s">
        <v>1488</v>
      </c>
      <c r="B474" s="18" t="str">
        <f>_xlfn.XLOOKUP(A474,CATÁLOGO!$A$2:$A$846,CATÁLOGO!$B$2:$B$846,"FORA DO CATÁLOGO")</f>
        <v>BER008G42</v>
      </c>
      <c r="C474" s="11">
        <v>3</v>
      </c>
      <c r="D474" s="11" t="str">
        <f>_xlfn.XLOOKUP(A474,CATÁLOGO!$A$2:$A$846,CATÁLOGO!$E$2:$E$846,"FORA DO CATÁLOGO")</f>
        <v>Ativo</v>
      </c>
      <c r="E474" s="9"/>
      <c r="F474" s="52">
        <f>SUMIFS('AVARIA PINHEIROS'!$C$2:$C$24,'AVARIA PINHEIROS'!$A$2:$A$24,A474)</f>
        <v>0</v>
      </c>
    </row>
    <row r="475" spans="1:6" x14ac:dyDescent="0.3">
      <c r="A475" s="9" t="s">
        <v>1490</v>
      </c>
      <c r="B475" s="18" t="str">
        <f>_xlfn.XLOOKUP(A475,CATÁLOGO!$A$2:$A$846,CATÁLOGO!$B$2:$B$846,"FORA DO CATÁLOGO")</f>
        <v>BER008G44</v>
      </c>
      <c r="C475" s="11">
        <v>2</v>
      </c>
      <c r="D475" s="11" t="str">
        <f>_xlfn.XLOOKUP(A475,CATÁLOGO!$A$2:$A$846,CATÁLOGO!$E$2:$E$846,"FORA DO CATÁLOGO")</f>
        <v>Ativo</v>
      </c>
      <c r="E475" s="9"/>
      <c r="F475" s="52">
        <f>SUMIFS('AVARIA PINHEIROS'!$C$2:$C$24,'AVARIA PINHEIROS'!$A$2:$A$24,A475)</f>
        <v>0</v>
      </c>
    </row>
    <row r="476" spans="1:6" x14ac:dyDescent="0.3">
      <c r="A476" s="9" t="s">
        <v>1493</v>
      </c>
      <c r="B476" s="18" t="str">
        <f>_xlfn.XLOOKUP(A476,CATÁLOGO!$A$2:$A$846,CATÁLOGO!$B$2:$B$846,"FORA DO CATÁLOGO")</f>
        <v>BER008G46</v>
      </c>
      <c r="C476" s="11">
        <v>1</v>
      </c>
      <c r="D476" s="11" t="str">
        <f>_xlfn.XLOOKUP(A476,CATÁLOGO!$A$2:$A$846,CATÁLOGO!$E$2:$E$846,"FORA DO CATÁLOGO")</f>
        <v>Ativo</v>
      </c>
      <c r="E476" s="9"/>
      <c r="F476" s="52">
        <f>SUMIFS('AVARIA PINHEIROS'!$C$2:$C$24,'AVARIA PINHEIROS'!$A$2:$A$24,A476)</f>
        <v>0</v>
      </c>
    </row>
    <row r="477" spans="1:6" x14ac:dyDescent="0.3">
      <c r="A477" s="9" t="s">
        <v>335</v>
      </c>
      <c r="B477" s="18" t="str">
        <f>_xlfn.XLOOKUP(A477,CATÁLOGO!$A$2:$A$846,CATÁLOGO!$B$2:$B$846,"FORA DO CATÁLOGO")</f>
        <v>TOP014YP</v>
      </c>
      <c r="C477" s="11">
        <v>6</v>
      </c>
      <c r="D477" s="11" t="str">
        <f>_xlfn.XLOOKUP(A477,CATÁLOGO!$A$2:$A$846,CATÁLOGO!$E$2:$E$846,"FORA DO CATÁLOGO")</f>
        <v>Ativo</v>
      </c>
      <c r="E477" s="9"/>
      <c r="F477" s="52">
        <f>SUMIFS('AVARIA PINHEIROS'!$C$2:$C$24,'AVARIA PINHEIROS'!$A$2:$A$24,A477)</f>
        <v>0</v>
      </c>
    </row>
    <row r="478" spans="1:6" x14ac:dyDescent="0.3">
      <c r="A478" s="9" t="s">
        <v>336</v>
      </c>
      <c r="B478" s="18" t="str">
        <f>_xlfn.XLOOKUP(A478,CATÁLOGO!$A$2:$A$846,CATÁLOGO!$B$2:$B$846,"FORA DO CATÁLOGO")</f>
        <v>TOP014YM</v>
      </c>
      <c r="C478" s="11">
        <v>1</v>
      </c>
      <c r="D478" s="11" t="str">
        <f>_xlfn.XLOOKUP(A478,CATÁLOGO!$A$2:$A$846,CATÁLOGO!$E$2:$E$846,"FORA DO CATÁLOGO")</f>
        <v>Ativo</v>
      </c>
      <c r="E478" s="9" t="s">
        <v>4</v>
      </c>
      <c r="F478" s="52">
        <f>SUMIFS('AVARIA PINHEIROS'!$C$2:$C$24,'AVARIA PINHEIROS'!$A$2:$A$24,A478)</f>
        <v>0</v>
      </c>
    </row>
    <row r="479" spans="1:6" x14ac:dyDescent="0.3">
      <c r="A479" s="9" t="s">
        <v>337</v>
      </c>
      <c r="B479" s="18" t="str">
        <f>_xlfn.XLOOKUP(A479,CATÁLOGO!$A$2:$A$846,CATÁLOGO!$B$2:$B$846,"FORA DO CATÁLOGO")</f>
        <v>TOP014YG</v>
      </c>
      <c r="C479" s="11">
        <v>4</v>
      </c>
      <c r="D479" s="11" t="str">
        <f>_xlfn.XLOOKUP(A479,CATÁLOGO!$A$2:$A$846,CATÁLOGO!$E$2:$E$846,"FORA DO CATÁLOGO")</f>
        <v>Ativo</v>
      </c>
      <c r="E479" s="9"/>
      <c r="F479" s="52">
        <f>SUMIFS('AVARIA PINHEIROS'!$C$2:$C$24,'AVARIA PINHEIROS'!$A$2:$A$24,A479)</f>
        <v>0</v>
      </c>
    </row>
    <row r="480" spans="1:6" x14ac:dyDescent="0.3">
      <c r="A480" s="9" t="s">
        <v>338</v>
      </c>
      <c r="B480" s="18" t="str">
        <f>_xlfn.XLOOKUP(A480,CATÁLOGO!$A$2:$A$846,CATÁLOGO!$B$2:$B$846,"FORA DO CATÁLOGO")</f>
        <v>CAM017YP</v>
      </c>
      <c r="C480" s="11">
        <v>5</v>
      </c>
      <c r="D480" s="11" t="str">
        <f>_xlfn.XLOOKUP(A480,CATÁLOGO!$A$2:$A$846,CATÁLOGO!$E$2:$E$846,"FORA DO CATÁLOGO")</f>
        <v>Descontinuado</v>
      </c>
      <c r="E480" s="9"/>
      <c r="F480" s="52">
        <f>SUMIFS('AVARIA PINHEIROS'!$C$2:$C$24,'AVARIA PINHEIROS'!$A$2:$A$24,A480)</f>
        <v>0</v>
      </c>
    </row>
    <row r="481" spans="1:6" x14ac:dyDescent="0.3">
      <c r="A481" s="9" t="s">
        <v>339</v>
      </c>
      <c r="B481" s="18" t="str">
        <f>_xlfn.XLOOKUP(A481,CATÁLOGO!$A$2:$A$846,CATÁLOGO!$B$2:$B$846,"FORA DO CATÁLOGO")</f>
        <v>CAM017YM</v>
      </c>
      <c r="C481" s="11">
        <v>4</v>
      </c>
      <c r="D481" s="11" t="str">
        <f>_xlfn.XLOOKUP(A481,CATÁLOGO!$A$2:$A$846,CATÁLOGO!$E$2:$E$846,"FORA DO CATÁLOGO")</f>
        <v>Descontinuado</v>
      </c>
      <c r="E481" s="9"/>
      <c r="F481" s="52">
        <f>SUMIFS('AVARIA PINHEIROS'!$C$2:$C$24,'AVARIA PINHEIROS'!$A$2:$A$24,A481)</f>
        <v>0</v>
      </c>
    </row>
    <row r="482" spans="1:6" x14ac:dyDescent="0.3">
      <c r="A482" s="9" t="s">
        <v>340</v>
      </c>
      <c r="B482" s="18" t="str">
        <f>_xlfn.XLOOKUP(A482,CATÁLOGO!$A$2:$A$846,CATÁLOGO!$B$2:$B$846,"FORA DO CATÁLOGO")</f>
        <v>CAM017YG</v>
      </c>
      <c r="C482" s="11">
        <v>0</v>
      </c>
      <c r="D482" s="11" t="str">
        <f>_xlfn.XLOOKUP(A482,CATÁLOGO!$A$2:$A$846,CATÁLOGO!$E$2:$E$846,"FORA DO CATÁLOGO")</f>
        <v>Descontinuado</v>
      </c>
      <c r="E482" s="9" t="s">
        <v>1349</v>
      </c>
      <c r="F482" s="52">
        <f>SUMIFS('AVARIA PINHEIROS'!$C$2:$C$24,'AVARIA PINHEIROS'!$A$2:$A$24,A482)</f>
        <v>4</v>
      </c>
    </row>
    <row r="483" spans="1:6" x14ac:dyDescent="0.3">
      <c r="A483" s="9" t="s">
        <v>341</v>
      </c>
      <c r="B483" s="18" t="str">
        <f>_xlfn.XLOOKUP(A483,CATÁLOGO!$A$2:$A$846,CATÁLOGO!$B$2:$B$846,"FORA DO CATÁLOGO")</f>
        <v>CAM017YGG</v>
      </c>
      <c r="C483" s="11">
        <v>2</v>
      </c>
      <c r="D483" s="11" t="str">
        <f>_xlfn.XLOOKUP(A483,CATÁLOGO!$A$2:$A$846,CATÁLOGO!$E$2:$E$846,"FORA DO CATÁLOGO")</f>
        <v>Descontinuado</v>
      </c>
      <c r="E483" s="9"/>
      <c r="F483" s="52">
        <f>SUMIFS('AVARIA PINHEIROS'!$C$2:$C$24,'AVARIA PINHEIROS'!$A$2:$A$24,A483)</f>
        <v>0</v>
      </c>
    </row>
    <row r="484" spans="1:6" x14ac:dyDescent="0.3">
      <c r="A484" s="9" t="s">
        <v>342</v>
      </c>
      <c r="B484" s="18" t="str">
        <f>_xlfn.XLOOKUP(A484,CATÁLOGO!$A$2:$A$846,CATÁLOGO!$B$2:$B$846,"FORA DO CATÁLOGO")</f>
        <v>CAM018LP</v>
      </c>
      <c r="C484" s="11">
        <v>6</v>
      </c>
      <c r="D484" s="11" t="str">
        <f>_xlfn.XLOOKUP(A484,CATÁLOGO!$A$2:$A$846,CATÁLOGO!$E$2:$E$846,"FORA DO CATÁLOGO")</f>
        <v>Ativo</v>
      </c>
      <c r="E484" s="9" t="s">
        <v>23</v>
      </c>
      <c r="F484" s="52">
        <f>SUMIFS('AVARIA PINHEIROS'!$C$2:$C$24,'AVARIA PINHEIROS'!$A$2:$A$24,A484)</f>
        <v>0</v>
      </c>
    </row>
    <row r="485" spans="1:6" x14ac:dyDescent="0.3">
      <c r="A485" s="9" t="s">
        <v>343</v>
      </c>
      <c r="B485" s="18" t="str">
        <f>_xlfn.XLOOKUP(A485,CATÁLOGO!$A$2:$A$846,CATÁLOGO!$B$2:$B$846,"FORA DO CATÁLOGO")</f>
        <v>CAM018LM</v>
      </c>
      <c r="C485" s="11">
        <v>3</v>
      </c>
      <c r="D485" s="11" t="str">
        <f>_xlfn.XLOOKUP(A485,CATÁLOGO!$A$2:$A$846,CATÁLOGO!$E$2:$E$846,"FORA DO CATÁLOGO")</f>
        <v>Ativo</v>
      </c>
      <c r="E485" s="9"/>
      <c r="F485" s="52">
        <f>SUMIFS('AVARIA PINHEIROS'!$C$2:$C$24,'AVARIA PINHEIROS'!$A$2:$A$24,A485)</f>
        <v>0</v>
      </c>
    </row>
    <row r="486" spans="1:6" x14ac:dyDescent="0.3">
      <c r="A486" s="9" t="s">
        <v>344</v>
      </c>
      <c r="B486" s="18" t="str">
        <f>_xlfn.XLOOKUP(A486,CATÁLOGO!$A$2:$A$846,CATÁLOGO!$B$2:$B$846,"FORA DO CATÁLOGO")</f>
        <v>CAM018LG</v>
      </c>
      <c r="C486" s="11">
        <v>6</v>
      </c>
      <c r="D486" s="11" t="str">
        <f>_xlfn.XLOOKUP(A486,CATÁLOGO!$A$2:$A$846,CATÁLOGO!$E$2:$E$846,"FORA DO CATÁLOGO")</f>
        <v>Ativo</v>
      </c>
      <c r="E486" s="9"/>
      <c r="F486" s="52">
        <f>SUMIFS('AVARIA PINHEIROS'!$C$2:$C$24,'AVARIA PINHEIROS'!$A$2:$A$24,A486)</f>
        <v>0</v>
      </c>
    </row>
    <row r="487" spans="1:6" x14ac:dyDescent="0.3">
      <c r="A487" s="9" t="s">
        <v>345</v>
      </c>
      <c r="B487" s="18" t="str">
        <f>_xlfn.XLOOKUP(A487,CATÁLOGO!$A$2:$A$846,CATÁLOGO!$B$2:$B$846,"FORA DO CATÁLOGO")</f>
        <v>CAM018LGG</v>
      </c>
      <c r="C487" s="11">
        <v>4</v>
      </c>
      <c r="D487" s="11" t="str">
        <f>_xlfn.XLOOKUP(A487,CATÁLOGO!$A$2:$A$846,CATÁLOGO!$E$2:$E$846,"FORA DO CATÁLOGO")</f>
        <v>Ativo</v>
      </c>
      <c r="E487" s="9"/>
      <c r="F487" s="52">
        <f>SUMIFS('AVARIA PINHEIROS'!$C$2:$C$24,'AVARIA PINHEIROS'!$A$2:$A$24,A487)</f>
        <v>0</v>
      </c>
    </row>
    <row r="488" spans="1:6" x14ac:dyDescent="0.3">
      <c r="A488" s="9" t="s">
        <v>346</v>
      </c>
      <c r="B488" s="18" t="str">
        <f>_xlfn.XLOOKUP(A488,CATÁLOGO!$A$2:$A$846,CATÁLOGO!$B$2:$B$846,"FORA DO CATÁLOGO")</f>
        <v>VES009GP</v>
      </c>
      <c r="C488" s="11">
        <v>4</v>
      </c>
      <c r="D488" s="11" t="str">
        <f>_xlfn.XLOOKUP(A488,CATÁLOGO!$A$2:$A$846,CATÁLOGO!$E$2:$E$846,"FORA DO CATÁLOGO")</f>
        <v>Descontinuado</v>
      </c>
      <c r="E488" s="9" t="s">
        <v>7</v>
      </c>
      <c r="F488" s="52">
        <f>SUMIFS('AVARIA PINHEIROS'!$C$2:$C$24,'AVARIA PINHEIROS'!$A$2:$A$24,A488)</f>
        <v>0</v>
      </c>
    </row>
    <row r="489" spans="1:6" x14ac:dyDescent="0.3">
      <c r="A489" s="9" t="s">
        <v>347</v>
      </c>
      <c r="B489" s="18" t="str">
        <f>_xlfn.XLOOKUP(A489,CATÁLOGO!$A$2:$A$846,CATÁLOGO!$B$2:$B$846,"FORA DO CATÁLOGO")</f>
        <v>VES009GM</v>
      </c>
      <c r="C489" s="11">
        <v>6</v>
      </c>
      <c r="D489" s="11" t="str">
        <f>_xlfn.XLOOKUP(A489,CATÁLOGO!$A$2:$A$846,CATÁLOGO!$E$2:$E$846,"FORA DO CATÁLOGO")</f>
        <v>Descontinuado</v>
      </c>
      <c r="E489" s="9"/>
      <c r="F489" s="52">
        <f>SUMIFS('AVARIA PINHEIROS'!$C$2:$C$24,'AVARIA PINHEIROS'!$A$2:$A$24,A489)</f>
        <v>0</v>
      </c>
    </row>
    <row r="490" spans="1:6" x14ac:dyDescent="0.3">
      <c r="A490" s="9" t="s">
        <v>348</v>
      </c>
      <c r="B490" s="18" t="str">
        <f>_xlfn.XLOOKUP(A490,CATÁLOGO!$A$2:$A$846,CATÁLOGO!$B$2:$B$846,"FORA DO CATÁLOGO")</f>
        <v>VES009GG</v>
      </c>
      <c r="C490" s="11">
        <v>0</v>
      </c>
      <c r="D490" s="11" t="str">
        <f>_xlfn.XLOOKUP(A490,CATÁLOGO!$A$2:$A$846,CATÁLOGO!$E$2:$E$846,"FORA DO CATÁLOGO")</f>
        <v>Descontinuado</v>
      </c>
      <c r="E490" s="9" t="s">
        <v>1350</v>
      </c>
      <c r="F490" s="52">
        <f>SUMIFS('AVARIA PINHEIROS'!$C$2:$C$24,'AVARIA PINHEIROS'!$A$2:$A$24,A490)</f>
        <v>3</v>
      </c>
    </row>
    <row r="491" spans="1:6" x14ac:dyDescent="0.3">
      <c r="A491" s="9" t="s">
        <v>349</v>
      </c>
      <c r="B491" s="18" t="str">
        <f>_xlfn.XLOOKUP(A491,CATÁLOGO!$A$2:$A$846,CATÁLOGO!$B$2:$B$846,"FORA DO CATÁLOGO")</f>
        <v>VES009PP</v>
      </c>
      <c r="C491" s="11">
        <v>3</v>
      </c>
      <c r="D491" s="11" t="str">
        <f>_xlfn.XLOOKUP(A491,CATÁLOGO!$A$2:$A$846,CATÁLOGO!$E$2:$E$846,"FORA DO CATÁLOGO")</f>
        <v>Descontinuado</v>
      </c>
      <c r="E491" s="9"/>
      <c r="F491" s="52">
        <f>SUMIFS('AVARIA PINHEIROS'!$C$2:$C$24,'AVARIA PINHEIROS'!$A$2:$A$24,A491)</f>
        <v>0</v>
      </c>
    </row>
    <row r="492" spans="1:6" x14ac:dyDescent="0.3">
      <c r="A492" s="9" t="s">
        <v>350</v>
      </c>
      <c r="B492" s="18" t="str">
        <f>_xlfn.XLOOKUP(A492,CATÁLOGO!$A$2:$A$846,CATÁLOGO!$B$2:$B$846,"FORA DO CATÁLOGO")</f>
        <v>VES009PM</v>
      </c>
      <c r="C492" s="11">
        <v>4</v>
      </c>
      <c r="D492" s="11" t="str">
        <f>_xlfn.XLOOKUP(A492,CATÁLOGO!$A$2:$A$846,CATÁLOGO!$E$2:$E$846,"FORA DO CATÁLOGO")</f>
        <v>Descontinuado</v>
      </c>
      <c r="E492" s="9"/>
      <c r="F492" s="52">
        <f>SUMIFS('AVARIA PINHEIROS'!$C$2:$C$24,'AVARIA PINHEIROS'!$A$2:$A$24,A492)</f>
        <v>0</v>
      </c>
    </row>
    <row r="493" spans="1:6" x14ac:dyDescent="0.3">
      <c r="A493" s="9" t="s">
        <v>351</v>
      </c>
      <c r="B493" s="18" t="str">
        <f>_xlfn.XLOOKUP(A493,CATÁLOGO!$A$2:$A$846,CATÁLOGO!$B$2:$B$846,"FORA DO CATÁLOGO")</f>
        <v>VES009PG</v>
      </c>
      <c r="C493" s="11">
        <v>3</v>
      </c>
      <c r="D493" s="11" t="str">
        <f>_xlfn.XLOOKUP(A493,CATÁLOGO!$A$2:$A$846,CATÁLOGO!$E$2:$E$846,"FORA DO CATÁLOGO")</f>
        <v>Descontinuado</v>
      </c>
      <c r="E493" s="9" t="s">
        <v>23</v>
      </c>
      <c r="F493" s="52">
        <f>SUMIFS('AVARIA PINHEIROS'!$C$2:$C$24,'AVARIA PINHEIROS'!$A$2:$A$24,A493)</f>
        <v>0</v>
      </c>
    </row>
    <row r="494" spans="1:6" x14ac:dyDescent="0.3">
      <c r="A494" s="9" t="s">
        <v>352</v>
      </c>
      <c r="B494" s="18" t="str">
        <f>_xlfn.XLOOKUP(A494,CATÁLOGO!$A$2:$A$846,CATÁLOGO!$B$2:$B$846,"FORA DO CATÁLOGO")</f>
        <v>VES010CP</v>
      </c>
      <c r="C494" s="11">
        <v>3</v>
      </c>
      <c r="D494" s="11" t="str">
        <f>_xlfn.XLOOKUP(A494,CATÁLOGO!$A$2:$A$846,CATÁLOGO!$E$2:$E$846,"FORA DO CATÁLOGO")</f>
        <v>Ativo</v>
      </c>
      <c r="E494" s="9"/>
      <c r="F494" s="52">
        <f>SUMIFS('AVARIA PINHEIROS'!$C$2:$C$24,'AVARIA PINHEIROS'!$A$2:$A$24,A494)</f>
        <v>0</v>
      </c>
    </row>
    <row r="495" spans="1:6" x14ac:dyDescent="0.3">
      <c r="A495" s="9" t="s">
        <v>353</v>
      </c>
      <c r="B495" s="18" t="str">
        <f>_xlfn.XLOOKUP(A495,CATÁLOGO!$A$2:$A$846,CATÁLOGO!$B$2:$B$846,"FORA DO CATÁLOGO")</f>
        <v>VES010CM</v>
      </c>
      <c r="C495" s="11">
        <v>5</v>
      </c>
      <c r="D495" s="11" t="str">
        <f>_xlfn.XLOOKUP(A495,CATÁLOGO!$A$2:$A$846,CATÁLOGO!$E$2:$E$846,"FORA DO CATÁLOGO")</f>
        <v>Ativo</v>
      </c>
      <c r="E495" s="9"/>
      <c r="F495" s="52">
        <f>SUMIFS('AVARIA PINHEIROS'!$C$2:$C$24,'AVARIA PINHEIROS'!$A$2:$A$24,A495)</f>
        <v>0</v>
      </c>
    </row>
    <row r="496" spans="1:6" x14ac:dyDescent="0.3">
      <c r="A496" s="9" t="s">
        <v>354</v>
      </c>
      <c r="B496" s="18" t="str">
        <f>_xlfn.XLOOKUP(A496,CATÁLOGO!$A$2:$A$846,CATÁLOGO!$B$2:$B$846,"FORA DO CATÁLOGO")</f>
        <v>VES010CG</v>
      </c>
      <c r="C496" s="11">
        <v>4</v>
      </c>
      <c r="D496" s="11" t="str">
        <f>_xlfn.XLOOKUP(A496,CATÁLOGO!$A$2:$A$846,CATÁLOGO!$E$2:$E$846,"FORA DO CATÁLOGO")</f>
        <v>Ativo</v>
      </c>
      <c r="E496" s="9"/>
      <c r="F496" s="52">
        <f>SUMIFS('AVARIA PINHEIROS'!$C$2:$C$24,'AVARIA PINHEIROS'!$A$2:$A$24,A496)</f>
        <v>0</v>
      </c>
    </row>
    <row r="497" spans="1:6" x14ac:dyDescent="0.3">
      <c r="A497" s="9" t="s">
        <v>355</v>
      </c>
      <c r="B497" s="18" t="str">
        <f>_xlfn.XLOOKUP(A497,CATÁLOGO!$A$2:$A$846,CATÁLOGO!$B$2:$B$846,"FORA DO CATÁLOGO")</f>
        <v>VES010CGG</v>
      </c>
      <c r="C497" s="11">
        <v>2</v>
      </c>
      <c r="D497" s="11" t="str">
        <f>_xlfn.XLOOKUP(A497,CATÁLOGO!$A$2:$A$846,CATÁLOGO!$E$2:$E$846,"FORA DO CATÁLOGO")</f>
        <v>Ativo</v>
      </c>
      <c r="E497" s="9"/>
      <c r="F497" s="52">
        <f>SUMIFS('AVARIA PINHEIROS'!$C$2:$C$24,'AVARIA PINHEIROS'!$A$2:$A$24,A497)</f>
        <v>0</v>
      </c>
    </row>
    <row r="498" spans="1:6" x14ac:dyDescent="0.3">
      <c r="A498" s="9" t="s">
        <v>356</v>
      </c>
      <c r="B498" s="18" t="str">
        <f>_xlfn.XLOOKUP(A498,CATÁLOGO!$A$2:$A$846,CATÁLOGO!$B$2:$B$846,"FORA DO CATÁLOGO")</f>
        <v>VES010OP</v>
      </c>
      <c r="C498" s="11">
        <v>2</v>
      </c>
      <c r="D498" s="11" t="str">
        <f>_xlfn.XLOOKUP(A498,CATÁLOGO!$A$2:$A$846,CATÁLOGO!$E$2:$E$846,"FORA DO CATÁLOGO")</f>
        <v>Ativo</v>
      </c>
      <c r="E498" s="9"/>
      <c r="F498" s="52">
        <f>SUMIFS('AVARIA PINHEIROS'!$C$2:$C$24,'AVARIA PINHEIROS'!$A$2:$A$24,A498)</f>
        <v>0</v>
      </c>
    </row>
    <row r="499" spans="1:6" x14ac:dyDescent="0.3">
      <c r="A499" s="9" t="s">
        <v>357</v>
      </c>
      <c r="B499" s="18" t="str">
        <f>_xlfn.XLOOKUP(A499,CATÁLOGO!$A$2:$A$846,CATÁLOGO!$B$2:$B$846,"FORA DO CATÁLOGO")</f>
        <v>VES010OM</v>
      </c>
      <c r="C499" s="11">
        <v>3</v>
      </c>
      <c r="D499" s="11" t="str">
        <f>_xlfn.XLOOKUP(A499,CATÁLOGO!$A$2:$A$846,CATÁLOGO!$E$2:$E$846,"FORA DO CATÁLOGO")</f>
        <v>Ativo</v>
      </c>
      <c r="E499" s="9"/>
      <c r="F499" s="52">
        <f>SUMIFS('AVARIA PINHEIROS'!$C$2:$C$24,'AVARIA PINHEIROS'!$A$2:$A$24,A499)</f>
        <v>0</v>
      </c>
    </row>
    <row r="500" spans="1:6" x14ac:dyDescent="0.3">
      <c r="A500" s="9" t="s">
        <v>358</v>
      </c>
      <c r="B500" s="18" t="str">
        <f>_xlfn.XLOOKUP(A500,CATÁLOGO!$A$2:$A$846,CATÁLOGO!$B$2:$B$846,"FORA DO CATÁLOGO")</f>
        <v>VES010OG</v>
      </c>
      <c r="C500" s="11">
        <v>2</v>
      </c>
      <c r="D500" s="11" t="str">
        <f>_xlfn.XLOOKUP(A500,CATÁLOGO!$A$2:$A$846,CATÁLOGO!$E$2:$E$846,"FORA DO CATÁLOGO")</f>
        <v>Ativo</v>
      </c>
      <c r="E500" s="9"/>
      <c r="F500" s="52">
        <f>SUMIFS('AVARIA PINHEIROS'!$C$2:$C$24,'AVARIA PINHEIROS'!$A$2:$A$24,A500)</f>
        <v>0</v>
      </c>
    </row>
    <row r="501" spans="1:6" x14ac:dyDescent="0.3">
      <c r="A501" s="9" t="s">
        <v>359</v>
      </c>
      <c r="B501" s="18" t="str">
        <f>_xlfn.XLOOKUP(A501,CATÁLOGO!$A$2:$A$846,CATÁLOGO!$B$2:$B$846,"FORA DO CATÁLOGO")</f>
        <v>VES010OGG</v>
      </c>
      <c r="C501" s="11">
        <v>1</v>
      </c>
      <c r="D501" s="11" t="str">
        <f>_xlfn.XLOOKUP(A501,CATÁLOGO!$A$2:$A$846,CATÁLOGO!$E$2:$E$846,"FORA DO CATÁLOGO")</f>
        <v>Ativo</v>
      </c>
      <c r="E501" s="9"/>
      <c r="F501" s="52">
        <f>SUMIFS('AVARIA PINHEIROS'!$C$2:$C$24,'AVARIA PINHEIROS'!$A$2:$A$24,A501)</f>
        <v>0</v>
      </c>
    </row>
    <row r="502" spans="1:6" x14ac:dyDescent="0.3">
      <c r="A502" s="9" t="s">
        <v>360</v>
      </c>
      <c r="B502" s="18" t="str">
        <f>_xlfn.XLOOKUP(A502,CATÁLOGO!$A$2:$A$846,CATÁLOGO!$B$2:$B$846,"FORA DO CATÁLOGO")</f>
        <v>VES010MP</v>
      </c>
      <c r="C502" s="11">
        <v>2</v>
      </c>
      <c r="D502" s="11" t="str">
        <f>_xlfn.XLOOKUP(A502,CATÁLOGO!$A$2:$A$846,CATÁLOGO!$E$2:$E$846,"FORA DO CATÁLOGO")</f>
        <v>Ativo</v>
      </c>
      <c r="E502" s="9" t="s">
        <v>23</v>
      </c>
      <c r="F502" s="52">
        <f>SUMIFS('AVARIA PINHEIROS'!$C$2:$C$24,'AVARIA PINHEIROS'!$A$2:$A$24,A502)</f>
        <v>0</v>
      </c>
    </row>
    <row r="503" spans="1:6" x14ac:dyDescent="0.3">
      <c r="A503" s="9" t="s">
        <v>361</v>
      </c>
      <c r="B503" s="18" t="str">
        <f>_xlfn.XLOOKUP(A503,CATÁLOGO!$A$2:$A$846,CATÁLOGO!$B$2:$B$846,"FORA DO CATÁLOGO")</f>
        <v>VES010MM</v>
      </c>
      <c r="C503" s="11">
        <v>3</v>
      </c>
      <c r="D503" s="11" t="str">
        <f>_xlfn.XLOOKUP(A503,CATÁLOGO!$A$2:$A$846,CATÁLOGO!$E$2:$E$846,"FORA DO CATÁLOGO")</f>
        <v>Ativo</v>
      </c>
      <c r="E503" s="9"/>
      <c r="F503" s="52">
        <f>SUMIFS('AVARIA PINHEIROS'!$C$2:$C$24,'AVARIA PINHEIROS'!$A$2:$A$24,A503)</f>
        <v>0</v>
      </c>
    </row>
    <row r="504" spans="1:6" x14ac:dyDescent="0.3">
      <c r="A504" s="9" t="s">
        <v>362</v>
      </c>
      <c r="B504" s="18" t="str">
        <f>_xlfn.XLOOKUP(A504,CATÁLOGO!$A$2:$A$846,CATÁLOGO!$B$2:$B$846,"FORA DO CATÁLOGO")</f>
        <v>VES010MG</v>
      </c>
      <c r="C504" s="11">
        <v>2</v>
      </c>
      <c r="D504" s="11" t="str">
        <f>_xlfn.XLOOKUP(A504,CATÁLOGO!$A$2:$A$846,CATÁLOGO!$E$2:$E$846,"FORA DO CATÁLOGO")</f>
        <v>Ativo</v>
      </c>
      <c r="E504" s="9"/>
      <c r="F504" s="52">
        <f>SUMIFS('AVARIA PINHEIROS'!$C$2:$C$24,'AVARIA PINHEIROS'!$A$2:$A$24,A504)</f>
        <v>0</v>
      </c>
    </row>
    <row r="505" spans="1:6" x14ac:dyDescent="0.3">
      <c r="A505" s="9" t="s">
        <v>363</v>
      </c>
      <c r="B505" s="18" t="str">
        <f>_xlfn.XLOOKUP(A505,CATÁLOGO!$A$2:$A$846,CATÁLOGO!$B$2:$B$846,"FORA DO CATÁLOGO")</f>
        <v>VES010MGG</v>
      </c>
      <c r="C505" s="11">
        <v>1</v>
      </c>
      <c r="D505" s="11" t="str">
        <f>_xlfn.XLOOKUP(A505,CATÁLOGO!$A$2:$A$846,CATÁLOGO!$E$2:$E$846,"FORA DO CATÁLOGO")</f>
        <v>Ativo</v>
      </c>
      <c r="E505" s="9"/>
      <c r="F505" s="52">
        <f>SUMIFS('AVARIA PINHEIROS'!$C$2:$C$24,'AVARIA PINHEIROS'!$A$2:$A$24,A505)</f>
        <v>0</v>
      </c>
    </row>
    <row r="506" spans="1:6" x14ac:dyDescent="0.3">
      <c r="A506" s="9" t="s">
        <v>1498</v>
      </c>
      <c r="B506" s="18" t="str">
        <f>_xlfn.XLOOKUP(A506,CATÁLOGO!$A$2:$A$846,CATÁLOGO!$B$2:$B$846,"FORA DO CATÁLOGO")</f>
        <v>BER009J40</v>
      </c>
      <c r="C506" s="11">
        <v>6</v>
      </c>
      <c r="D506" s="11" t="str">
        <f>_xlfn.XLOOKUP(A506,CATÁLOGO!$A$2:$A$846,CATÁLOGO!$E$2:$E$846,"FORA DO CATÁLOGO")</f>
        <v>Ativo</v>
      </c>
      <c r="E506" s="9"/>
      <c r="F506" s="52">
        <f>SUMIFS('AVARIA PINHEIROS'!$C$2:$C$24,'AVARIA PINHEIROS'!$A$2:$A$24,A506)</f>
        <v>0</v>
      </c>
    </row>
    <row r="507" spans="1:6" x14ac:dyDescent="0.3">
      <c r="A507" s="9" t="s">
        <v>1495</v>
      </c>
      <c r="B507" s="18" t="str">
        <f>_xlfn.XLOOKUP(A507,CATÁLOGO!$A$2:$A$846,CATÁLOGO!$B$2:$B$846,"FORA DO CATÁLOGO")</f>
        <v>BER009J42</v>
      </c>
      <c r="C507" s="11">
        <v>5</v>
      </c>
      <c r="D507" s="11" t="str">
        <f>_xlfn.XLOOKUP(A507,CATÁLOGO!$A$2:$A$846,CATÁLOGO!$E$2:$E$846,"FORA DO CATÁLOGO")</f>
        <v>Ativo</v>
      </c>
      <c r="E507" s="9"/>
      <c r="F507" s="52">
        <f>SUMIFS('AVARIA PINHEIROS'!$C$2:$C$24,'AVARIA PINHEIROS'!$A$2:$A$24,A507)</f>
        <v>0</v>
      </c>
    </row>
    <row r="508" spans="1:6" x14ac:dyDescent="0.3">
      <c r="A508" s="9" t="s">
        <v>1497</v>
      </c>
      <c r="B508" s="18" t="str">
        <f>_xlfn.XLOOKUP(A508,CATÁLOGO!$A$2:$A$846,CATÁLOGO!$B$2:$B$846,"FORA DO CATÁLOGO")</f>
        <v>BER009J44</v>
      </c>
      <c r="C508" s="11">
        <v>0</v>
      </c>
      <c r="D508" s="11" t="str">
        <f>_xlfn.XLOOKUP(A508,CATÁLOGO!$A$2:$A$846,CATÁLOGO!$E$2:$E$846,"FORA DO CATÁLOGO")</f>
        <v>Ativo</v>
      </c>
      <c r="E508" s="9"/>
      <c r="F508" s="52">
        <f>SUMIFS('AVARIA PINHEIROS'!$C$2:$C$24,'AVARIA PINHEIROS'!$A$2:$A$24,A508)</f>
        <v>0</v>
      </c>
    </row>
    <row r="509" spans="1:6" x14ac:dyDescent="0.3">
      <c r="A509" s="9" t="s">
        <v>1500</v>
      </c>
      <c r="B509" s="18" t="str">
        <f>_xlfn.XLOOKUP(A509,CATÁLOGO!$A$2:$A$846,CATÁLOGO!$B$2:$B$846,"FORA DO CATÁLOGO")</f>
        <v>BER009J46</v>
      </c>
      <c r="C509" s="11">
        <v>1</v>
      </c>
      <c r="D509" s="11" t="str">
        <f>_xlfn.XLOOKUP(A509,CATÁLOGO!$A$2:$A$846,CATÁLOGO!$E$2:$E$846,"FORA DO CATÁLOGO")</f>
        <v>Ativo</v>
      </c>
      <c r="E509" s="9"/>
      <c r="F509" s="52">
        <f>SUMIFS('AVARIA PINHEIROS'!$C$2:$C$24,'AVARIA PINHEIROS'!$A$2:$A$24,A509)</f>
        <v>0</v>
      </c>
    </row>
    <row r="510" spans="1:6" x14ac:dyDescent="0.3">
      <c r="A510" s="9" t="s">
        <v>364</v>
      </c>
      <c r="B510" s="18" t="str">
        <f>_xlfn.XLOOKUP(A510,CATÁLOGO!$A$2:$A$846,CATÁLOGO!$B$2:$B$846,"FORA DO CATÁLOGO")</f>
        <v>TOP015HP</v>
      </c>
      <c r="C510" s="11">
        <v>3</v>
      </c>
      <c r="D510" s="11" t="str">
        <f>_xlfn.XLOOKUP(A510,CATÁLOGO!$A$2:$A$846,CATÁLOGO!$E$2:$E$846,"FORA DO CATÁLOGO")</f>
        <v>Ativo</v>
      </c>
      <c r="E510" s="9"/>
      <c r="F510" s="52">
        <f>SUMIFS('AVARIA PINHEIROS'!$C$2:$C$24,'AVARIA PINHEIROS'!$A$2:$A$24,A510)</f>
        <v>0</v>
      </c>
    </row>
    <row r="511" spans="1:6" x14ac:dyDescent="0.3">
      <c r="A511" s="9" t="s">
        <v>365</v>
      </c>
      <c r="B511" s="18" t="str">
        <f>_xlfn.XLOOKUP(A511,CATÁLOGO!$A$2:$A$846,CATÁLOGO!$B$2:$B$846,"FORA DO CATÁLOGO")</f>
        <v>TOP015HM</v>
      </c>
      <c r="C511" s="11">
        <v>4</v>
      </c>
      <c r="D511" s="11" t="str">
        <f>_xlfn.XLOOKUP(A511,CATÁLOGO!$A$2:$A$846,CATÁLOGO!$E$2:$E$846,"FORA DO CATÁLOGO")</f>
        <v>Ativo</v>
      </c>
      <c r="E511" s="9"/>
      <c r="F511" s="52">
        <f>SUMIFS('AVARIA PINHEIROS'!$C$2:$C$24,'AVARIA PINHEIROS'!$A$2:$A$24,A511)</f>
        <v>0</v>
      </c>
    </row>
    <row r="512" spans="1:6" x14ac:dyDescent="0.3">
      <c r="A512" s="9" t="s">
        <v>366</v>
      </c>
      <c r="B512" s="18" t="str">
        <f>_xlfn.XLOOKUP(A512,CATÁLOGO!$A$2:$A$846,CATÁLOGO!$B$2:$B$846,"FORA DO CATÁLOGO")</f>
        <v>TOP015HG</v>
      </c>
      <c r="C512" s="11">
        <v>4</v>
      </c>
      <c r="D512" s="11" t="str">
        <f>_xlfn.XLOOKUP(A512,CATÁLOGO!$A$2:$A$846,CATÁLOGO!$E$2:$E$846,"FORA DO CATÁLOGO")</f>
        <v>Ativo</v>
      </c>
      <c r="E512" s="9"/>
      <c r="F512" s="52">
        <f>SUMIFS('AVARIA PINHEIROS'!$C$2:$C$24,'AVARIA PINHEIROS'!$A$2:$A$24,A512)</f>
        <v>0</v>
      </c>
    </row>
    <row r="513" spans="1:6" x14ac:dyDescent="0.3">
      <c r="A513" s="9" t="s">
        <v>367</v>
      </c>
      <c r="B513" s="18" t="str">
        <f>_xlfn.XLOOKUP(A513,CATÁLOGO!$A$2:$A$846,CATÁLOGO!$B$2:$B$846,"FORA DO CATÁLOGO")</f>
        <v>TOP015HGG</v>
      </c>
      <c r="C513" s="11">
        <v>2</v>
      </c>
      <c r="D513" s="11" t="str">
        <f>_xlfn.XLOOKUP(A513,CATÁLOGO!$A$2:$A$846,CATÁLOGO!$E$2:$E$846,"FORA DO CATÁLOGO")</f>
        <v>Ativo</v>
      </c>
      <c r="E513" s="9"/>
      <c r="F513" s="52">
        <f>SUMIFS('AVARIA PINHEIROS'!$C$2:$C$24,'AVARIA PINHEIROS'!$A$2:$A$24,A513)</f>
        <v>0</v>
      </c>
    </row>
    <row r="514" spans="1:6" x14ac:dyDescent="0.3">
      <c r="A514" s="9" t="s">
        <v>368</v>
      </c>
      <c r="B514" s="18" t="str">
        <f>_xlfn.XLOOKUP(A514,CATÁLOGO!$A$2:$A$846,CATÁLOGO!$B$2:$B$846,"FORA DO CATÁLOGO")</f>
        <v>CMS012VP</v>
      </c>
      <c r="C514" s="11">
        <v>3</v>
      </c>
      <c r="D514" s="11" t="str">
        <f>_xlfn.XLOOKUP(A514,CATÁLOGO!$A$2:$A$846,CATÁLOGO!$E$2:$E$846,"FORA DO CATÁLOGO")</f>
        <v>Ativo</v>
      </c>
      <c r="E514" s="9"/>
      <c r="F514" s="52">
        <f>SUMIFS('AVARIA PINHEIROS'!$C$2:$C$24,'AVARIA PINHEIROS'!$A$2:$A$24,A514)</f>
        <v>0</v>
      </c>
    </row>
    <row r="515" spans="1:6" x14ac:dyDescent="0.3">
      <c r="A515" s="9" t="s">
        <v>369</v>
      </c>
      <c r="B515" s="18" t="str">
        <f>_xlfn.XLOOKUP(A515,CATÁLOGO!$A$2:$A$846,CATÁLOGO!$B$2:$B$846,"FORA DO CATÁLOGO")</f>
        <v>CMS012VM</v>
      </c>
      <c r="C515" s="11">
        <v>4</v>
      </c>
      <c r="D515" s="11" t="str">
        <f>_xlfn.XLOOKUP(A515,CATÁLOGO!$A$2:$A$846,CATÁLOGO!$E$2:$E$846,"FORA DO CATÁLOGO")</f>
        <v>Ativo</v>
      </c>
      <c r="E515" s="9"/>
      <c r="F515" s="52">
        <f>SUMIFS('AVARIA PINHEIROS'!$C$2:$C$24,'AVARIA PINHEIROS'!$A$2:$A$24,A515)</f>
        <v>0</v>
      </c>
    </row>
    <row r="516" spans="1:6" x14ac:dyDescent="0.3">
      <c r="A516" s="9" t="s">
        <v>370</v>
      </c>
      <c r="B516" s="18" t="str">
        <f>_xlfn.XLOOKUP(A516,CATÁLOGO!$A$2:$A$846,CATÁLOGO!$B$2:$B$846,"FORA DO CATÁLOGO")</f>
        <v>CMS012VG</v>
      </c>
      <c r="C516" s="11">
        <v>3</v>
      </c>
      <c r="D516" s="11" t="str">
        <f>_xlfn.XLOOKUP(A516,CATÁLOGO!$A$2:$A$846,CATÁLOGO!$E$2:$E$846,"FORA DO CATÁLOGO")</f>
        <v>Ativo</v>
      </c>
      <c r="E516" s="9"/>
      <c r="F516" s="52">
        <f>SUMIFS('AVARIA PINHEIROS'!$C$2:$C$24,'AVARIA PINHEIROS'!$A$2:$A$24,A516)</f>
        <v>0</v>
      </c>
    </row>
    <row r="517" spans="1:6" x14ac:dyDescent="0.3">
      <c r="A517" s="9" t="s">
        <v>371</v>
      </c>
      <c r="B517" s="18" t="str">
        <f>_xlfn.XLOOKUP(A517,CATÁLOGO!$A$2:$A$846,CATÁLOGO!$B$2:$B$846,"FORA DO CATÁLOGO")</f>
        <v>CMS012VGG</v>
      </c>
      <c r="C517" s="11">
        <v>2</v>
      </c>
      <c r="D517" s="11" t="str">
        <f>_xlfn.XLOOKUP(A517,CATÁLOGO!$A$2:$A$846,CATÁLOGO!$E$2:$E$846,"FORA DO CATÁLOGO")</f>
        <v>Ativo</v>
      </c>
      <c r="E517" s="9"/>
      <c r="F517" s="52">
        <f>SUMIFS('AVARIA PINHEIROS'!$C$2:$C$24,'AVARIA PINHEIROS'!$A$2:$A$24,A517)</f>
        <v>0</v>
      </c>
    </row>
    <row r="518" spans="1:6" x14ac:dyDescent="0.3">
      <c r="A518" s="9" t="s">
        <v>1789</v>
      </c>
      <c r="B518" s="18" t="str">
        <f>_xlfn.XLOOKUP(A518,CATÁLOGO!$A$2:$A$846,CATÁLOGO!$B$2:$B$846,"FORA DO CATÁLOGO")</f>
        <v>CMS012YPP</v>
      </c>
      <c r="C518" s="11">
        <v>1</v>
      </c>
      <c r="D518" s="11" t="str">
        <f>_xlfn.XLOOKUP(A518,CATÁLOGO!$A$2:$A$846,CATÁLOGO!$E$2:$E$846,"FORA DO CATÁLOGO")</f>
        <v>Ativo</v>
      </c>
      <c r="E518" s="9"/>
      <c r="F518" s="52">
        <f>SUMIFS('AVARIA PINHEIROS'!$C$2:$C$24,'AVARIA PINHEIROS'!$A$2:$A$24,A518)</f>
        <v>0</v>
      </c>
    </row>
    <row r="519" spans="1:6" x14ac:dyDescent="0.3">
      <c r="A519" s="9" t="s">
        <v>372</v>
      </c>
      <c r="B519" s="18" t="str">
        <f>_xlfn.XLOOKUP(A519,CATÁLOGO!$A$2:$A$846,CATÁLOGO!$B$2:$B$846,"FORA DO CATÁLOGO")</f>
        <v>CMS012YP</v>
      </c>
      <c r="C519" s="11">
        <v>2</v>
      </c>
      <c r="D519" s="11" t="str">
        <f>_xlfn.XLOOKUP(A519,CATÁLOGO!$A$2:$A$846,CATÁLOGO!$E$2:$E$846,"FORA DO CATÁLOGO")</f>
        <v>Ativo</v>
      </c>
      <c r="E519" s="9"/>
      <c r="F519" s="52">
        <f>SUMIFS('AVARIA PINHEIROS'!$C$2:$C$24,'AVARIA PINHEIROS'!$A$2:$A$24,A519)</f>
        <v>0</v>
      </c>
    </row>
    <row r="520" spans="1:6" x14ac:dyDescent="0.3">
      <c r="A520" s="9" t="s">
        <v>373</v>
      </c>
      <c r="B520" s="18" t="str">
        <f>_xlfn.XLOOKUP(A520,CATÁLOGO!$A$2:$A$846,CATÁLOGO!$B$2:$B$846,"FORA DO CATÁLOGO")</f>
        <v>CMS012YM</v>
      </c>
      <c r="C520" s="11">
        <v>3</v>
      </c>
      <c r="D520" s="11" t="str">
        <f>_xlfn.XLOOKUP(A520,CATÁLOGO!$A$2:$A$846,CATÁLOGO!$E$2:$E$846,"FORA DO CATÁLOGO")</f>
        <v>Ativo</v>
      </c>
      <c r="E520" s="9"/>
      <c r="F520" s="52">
        <f>SUMIFS('AVARIA PINHEIROS'!$C$2:$C$24,'AVARIA PINHEIROS'!$A$2:$A$24,A520)</f>
        <v>0</v>
      </c>
    </row>
    <row r="521" spans="1:6" x14ac:dyDescent="0.3">
      <c r="A521" s="9" t="s">
        <v>374</v>
      </c>
      <c r="B521" s="18" t="str">
        <f>_xlfn.XLOOKUP(A521,CATÁLOGO!$A$2:$A$846,CATÁLOGO!$B$2:$B$846,"FORA DO CATÁLOGO")</f>
        <v>CMS012YG</v>
      </c>
      <c r="C521" s="11">
        <v>2</v>
      </c>
      <c r="D521" s="11" t="str">
        <f>_xlfn.XLOOKUP(A521,CATÁLOGO!$A$2:$A$846,CATÁLOGO!$E$2:$E$846,"FORA DO CATÁLOGO")</f>
        <v>Ativo</v>
      </c>
      <c r="E521" s="9"/>
      <c r="F521" s="52">
        <f>SUMIFS('AVARIA PINHEIROS'!$C$2:$C$24,'AVARIA PINHEIROS'!$A$2:$A$24,A521)</f>
        <v>0</v>
      </c>
    </row>
    <row r="522" spans="1:6" x14ac:dyDescent="0.3">
      <c r="A522" s="9" t="s">
        <v>375</v>
      </c>
      <c r="B522" s="18" t="str">
        <f>_xlfn.XLOOKUP(A522,CATÁLOGO!$A$2:$A$846,CATÁLOGO!$B$2:$B$846,"FORA DO CATÁLOGO")</f>
        <v>CMS012YGG</v>
      </c>
      <c r="C522" s="11">
        <v>1</v>
      </c>
      <c r="D522" s="11" t="str">
        <f>_xlfn.XLOOKUP(A522,CATÁLOGO!$A$2:$A$846,CATÁLOGO!$E$2:$E$846,"FORA DO CATÁLOGO")</f>
        <v>Ativo</v>
      </c>
      <c r="E522" s="9" t="s">
        <v>4</v>
      </c>
      <c r="F522" s="52">
        <f>SUMIFS('AVARIA PINHEIROS'!$C$2:$C$24,'AVARIA PINHEIROS'!$A$2:$A$24,A522)</f>
        <v>0</v>
      </c>
    </row>
    <row r="523" spans="1:6" x14ac:dyDescent="0.3">
      <c r="A523" s="9" t="s">
        <v>1685</v>
      </c>
      <c r="B523" s="18" t="str">
        <f>_xlfn.XLOOKUP(A523,CATÁLOGO!$A$2:$A$846,CATÁLOGO!$B$2:$B$846,"FORA DO CATÁLOGO")</f>
        <v>CAL024A38</v>
      </c>
      <c r="C523" s="11">
        <v>0</v>
      </c>
      <c r="D523" s="11" t="str">
        <f>_xlfn.XLOOKUP(A523,CATÁLOGO!$A$2:$A$846,CATÁLOGO!$E$2:$E$846,"FORA DO CATÁLOGO")</f>
        <v>Ativo</v>
      </c>
      <c r="E523" s="9" t="s">
        <v>1348</v>
      </c>
      <c r="F523" s="52">
        <f>SUMIFS('AVARIA PINHEIROS'!$C$2:$C$24,'AVARIA PINHEIROS'!$A$2:$A$24,A523)</f>
        <v>5</v>
      </c>
    </row>
    <row r="524" spans="1:6" x14ac:dyDescent="0.3">
      <c r="A524" s="9" t="s">
        <v>1684</v>
      </c>
      <c r="B524" s="18" t="str">
        <f>_xlfn.XLOOKUP(A524,CATÁLOGO!$A$2:$A$846,CATÁLOGO!$B$2:$B$846,"FORA DO CATÁLOGO")</f>
        <v>CAL024A40</v>
      </c>
      <c r="C524" s="11">
        <v>6</v>
      </c>
      <c r="D524" s="11" t="str">
        <f>_xlfn.XLOOKUP(A524,CATÁLOGO!$A$2:$A$846,CATÁLOGO!$E$2:$E$846,"FORA DO CATÁLOGO")</f>
        <v>Ativo</v>
      </c>
      <c r="E524" s="9"/>
      <c r="F524" s="52">
        <f>SUMIFS('AVARIA PINHEIROS'!$C$2:$C$24,'AVARIA PINHEIROS'!$A$2:$A$24,A524)</f>
        <v>0</v>
      </c>
    </row>
    <row r="525" spans="1:6" x14ac:dyDescent="0.3">
      <c r="A525" s="9" t="s">
        <v>1681</v>
      </c>
      <c r="B525" s="18" t="str">
        <f>_xlfn.XLOOKUP(A525,CATÁLOGO!$A$2:$A$846,CATÁLOGO!$B$2:$B$846,"FORA DO CATÁLOGO")</f>
        <v>CAL024A42</v>
      </c>
      <c r="C525" s="11">
        <v>3</v>
      </c>
      <c r="D525" s="11" t="str">
        <f>_xlfn.XLOOKUP(A525,CATÁLOGO!$A$2:$A$846,CATÁLOGO!$E$2:$E$846,"FORA DO CATÁLOGO")</f>
        <v>Ativo</v>
      </c>
      <c r="E525" s="9"/>
      <c r="F525" s="52">
        <f>SUMIFS('AVARIA PINHEIROS'!$C$2:$C$24,'AVARIA PINHEIROS'!$A$2:$A$24,A525)</f>
        <v>0</v>
      </c>
    </row>
    <row r="526" spans="1:6" x14ac:dyDescent="0.3">
      <c r="A526" s="9" t="s">
        <v>1683</v>
      </c>
      <c r="B526" s="18" t="str">
        <f>_xlfn.XLOOKUP(A526,CATÁLOGO!$A$2:$A$846,CATÁLOGO!$B$2:$B$846,"FORA DO CATÁLOGO")</f>
        <v>CAL024A44</v>
      </c>
      <c r="C526" s="11">
        <v>1</v>
      </c>
      <c r="D526" s="11" t="str">
        <f>_xlfn.XLOOKUP(A526,CATÁLOGO!$A$2:$A$846,CATÁLOGO!$E$2:$E$846,"FORA DO CATÁLOGO")</f>
        <v>Ativo</v>
      </c>
      <c r="E526" s="9"/>
      <c r="F526" s="52">
        <f>SUMIFS('AVARIA PINHEIROS'!$C$2:$C$24,'AVARIA PINHEIROS'!$A$2:$A$24,A526)</f>
        <v>0</v>
      </c>
    </row>
    <row r="527" spans="1:6" x14ac:dyDescent="0.3">
      <c r="A527" s="9" t="s">
        <v>376</v>
      </c>
      <c r="B527" s="18" t="str">
        <f>_xlfn.XLOOKUP(A527,CATÁLOGO!$A$2:$A$846,CATÁLOGO!$B$2:$B$846,"FORA DO CATÁLOGO")</f>
        <v>TRI012CP</v>
      </c>
      <c r="C527" s="11">
        <v>2</v>
      </c>
      <c r="D527" s="11" t="str">
        <f>_xlfn.XLOOKUP(A527,CATÁLOGO!$A$2:$A$846,CATÁLOGO!$E$2:$E$846,"FORA DO CATÁLOGO")</f>
        <v>Ativo</v>
      </c>
      <c r="E527" s="9"/>
      <c r="F527" s="52">
        <f>SUMIFS('AVARIA PINHEIROS'!$C$2:$C$24,'AVARIA PINHEIROS'!$A$2:$A$24,A527)</f>
        <v>0</v>
      </c>
    </row>
    <row r="528" spans="1:6" x14ac:dyDescent="0.3">
      <c r="A528" s="9" t="s">
        <v>377</v>
      </c>
      <c r="B528" s="18" t="str">
        <f>_xlfn.XLOOKUP(A528,CATÁLOGO!$A$2:$A$846,CATÁLOGO!$B$2:$B$846,"FORA DO CATÁLOGO")</f>
        <v>TRI012CM</v>
      </c>
      <c r="C528" s="11">
        <v>3</v>
      </c>
      <c r="D528" s="11" t="str">
        <f>_xlfn.XLOOKUP(A528,CATÁLOGO!$A$2:$A$846,CATÁLOGO!$E$2:$E$846,"FORA DO CATÁLOGO")</f>
        <v>Ativo</v>
      </c>
      <c r="E528" s="9"/>
      <c r="F528" s="52">
        <f>SUMIFS('AVARIA PINHEIROS'!$C$2:$C$24,'AVARIA PINHEIROS'!$A$2:$A$24,A528)</f>
        <v>0</v>
      </c>
    </row>
    <row r="529" spans="1:6" x14ac:dyDescent="0.3">
      <c r="A529" s="9" t="s">
        <v>378</v>
      </c>
      <c r="B529" s="18" t="str">
        <f>_xlfn.XLOOKUP(A529,CATÁLOGO!$A$2:$A$846,CATÁLOGO!$B$2:$B$846,"FORA DO CATÁLOGO")</f>
        <v>TRI012CG</v>
      </c>
      <c r="C529" s="11">
        <v>1</v>
      </c>
      <c r="D529" s="11" t="str">
        <f>_xlfn.XLOOKUP(A529,CATÁLOGO!$A$2:$A$846,CATÁLOGO!$E$2:$E$846,"FORA DO CATÁLOGO")</f>
        <v>Ativo</v>
      </c>
      <c r="E529" s="9"/>
      <c r="F529" s="52">
        <f>SUMIFS('AVARIA PINHEIROS'!$C$2:$C$24,'AVARIA PINHEIROS'!$A$2:$A$24,A529)</f>
        <v>0</v>
      </c>
    </row>
    <row r="530" spans="1:6" x14ac:dyDescent="0.3">
      <c r="A530" s="9" t="s">
        <v>379</v>
      </c>
      <c r="B530" s="18" t="str">
        <f>_xlfn.XLOOKUP(A530,CATÁLOGO!$A$2:$A$846,CATÁLOGO!$B$2:$B$846,"FORA DO CATÁLOGO")</f>
        <v>TRI012CGG</v>
      </c>
      <c r="C530" s="11">
        <v>1</v>
      </c>
      <c r="D530" s="11" t="str">
        <f>_xlfn.XLOOKUP(A530,CATÁLOGO!$A$2:$A$846,CATÁLOGO!$E$2:$E$846,"FORA DO CATÁLOGO")</f>
        <v>Ativo</v>
      </c>
      <c r="E530" s="9"/>
      <c r="F530" s="52">
        <f>SUMIFS('AVARIA PINHEIROS'!$C$2:$C$24,'AVARIA PINHEIROS'!$A$2:$A$24,A530)</f>
        <v>0</v>
      </c>
    </row>
    <row r="531" spans="1:6" x14ac:dyDescent="0.3">
      <c r="A531" s="9" t="s">
        <v>380</v>
      </c>
      <c r="B531" s="18" t="str">
        <f>_xlfn.XLOOKUP(A531,CATÁLOGO!$A$2:$A$846,CATÁLOGO!$B$2:$B$846,"FORA DO CATÁLOGO")</f>
        <v>CMS013BP</v>
      </c>
      <c r="C531" s="11">
        <v>3</v>
      </c>
      <c r="D531" s="11" t="str">
        <f>_xlfn.XLOOKUP(A531,CATÁLOGO!$A$2:$A$846,CATÁLOGO!$E$2:$E$846,"FORA DO CATÁLOGO")</f>
        <v>Ativo</v>
      </c>
      <c r="E531" s="9"/>
      <c r="F531" s="52">
        <f>SUMIFS('AVARIA PINHEIROS'!$C$2:$C$24,'AVARIA PINHEIROS'!$A$2:$A$24,A531)</f>
        <v>0</v>
      </c>
    </row>
    <row r="532" spans="1:6" x14ac:dyDescent="0.3">
      <c r="A532" s="9" t="s">
        <v>381</v>
      </c>
      <c r="B532" s="18" t="str">
        <f>_xlfn.XLOOKUP(A532,CATÁLOGO!$A$2:$A$846,CATÁLOGO!$B$2:$B$846,"FORA DO CATÁLOGO")</f>
        <v>CMS013BM</v>
      </c>
      <c r="C532" s="11">
        <v>4</v>
      </c>
      <c r="D532" s="11" t="str">
        <f>_xlfn.XLOOKUP(A532,CATÁLOGO!$A$2:$A$846,CATÁLOGO!$E$2:$E$846,"FORA DO CATÁLOGO")</f>
        <v>Ativo</v>
      </c>
      <c r="E532" s="9"/>
      <c r="F532" s="52">
        <f>SUMIFS('AVARIA PINHEIROS'!$C$2:$C$24,'AVARIA PINHEIROS'!$A$2:$A$24,A532)</f>
        <v>0</v>
      </c>
    </row>
    <row r="533" spans="1:6" x14ac:dyDescent="0.3">
      <c r="A533" s="9" t="s">
        <v>382</v>
      </c>
      <c r="B533" s="18" t="str">
        <f>_xlfn.XLOOKUP(A533,CATÁLOGO!$A$2:$A$846,CATÁLOGO!$B$2:$B$846,"FORA DO CATÁLOGO")</f>
        <v>CMS013BG</v>
      </c>
      <c r="C533" s="11">
        <v>3</v>
      </c>
      <c r="D533" s="11" t="str">
        <f>_xlfn.XLOOKUP(A533,CATÁLOGO!$A$2:$A$846,CATÁLOGO!$E$2:$E$846,"FORA DO CATÁLOGO")</f>
        <v>Ativo</v>
      </c>
      <c r="E533" s="9"/>
      <c r="F533" s="52">
        <f>SUMIFS('AVARIA PINHEIROS'!$C$2:$C$24,'AVARIA PINHEIROS'!$A$2:$A$24,A533)</f>
        <v>0</v>
      </c>
    </row>
    <row r="534" spans="1:6" x14ac:dyDescent="0.3">
      <c r="A534" s="9" t="s">
        <v>1874</v>
      </c>
      <c r="B534" s="18" t="str">
        <f>_xlfn.XLOOKUP(A534,CATÁLOGO!$A$2:$A$846,CATÁLOGO!$B$2:$B$846,"FORA DO CATÁLOGO")</f>
        <v>TOP001YPP</v>
      </c>
      <c r="C534" s="11">
        <v>2</v>
      </c>
      <c r="D534" s="11" t="str">
        <f>_xlfn.XLOOKUP(A534,CATÁLOGO!$A$2:$A$846,CATÁLOGO!$E$2:$E$846,"FORA DO CATÁLOGO")</f>
        <v>Ativo</v>
      </c>
      <c r="E534" s="9"/>
      <c r="F534" s="52">
        <f>SUMIFS('AVARIA PINHEIROS'!$C$2:$C$24,'AVARIA PINHEIROS'!$A$2:$A$24,A534)</f>
        <v>0</v>
      </c>
    </row>
    <row r="535" spans="1:6" x14ac:dyDescent="0.3">
      <c r="A535" s="9" t="s">
        <v>383</v>
      </c>
      <c r="B535" s="18" t="str">
        <f>_xlfn.XLOOKUP(A535,CATÁLOGO!$A$2:$A$846,CATÁLOGO!$B$2:$B$846,"FORA DO CATÁLOGO")</f>
        <v>TOP001YP</v>
      </c>
      <c r="C535" s="11">
        <v>5</v>
      </c>
      <c r="D535" s="11" t="str">
        <f>_xlfn.XLOOKUP(A535,CATÁLOGO!$A$2:$A$846,CATÁLOGO!$E$2:$E$846,"FORA DO CATÁLOGO")</f>
        <v>Ativo</v>
      </c>
      <c r="E535" s="9"/>
      <c r="F535" s="52">
        <f>SUMIFS('AVARIA PINHEIROS'!$C$2:$C$24,'AVARIA PINHEIROS'!$A$2:$A$24,A535)</f>
        <v>0</v>
      </c>
    </row>
    <row r="536" spans="1:6" x14ac:dyDescent="0.3">
      <c r="A536" s="9" t="s">
        <v>384</v>
      </c>
      <c r="B536" s="18" t="str">
        <f>_xlfn.XLOOKUP(A536,CATÁLOGO!$A$2:$A$846,CATÁLOGO!$B$2:$B$846,"FORA DO CATÁLOGO")</f>
        <v>TOP001YM</v>
      </c>
      <c r="C536" s="11">
        <v>5</v>
      </c>
      <c r="D536" s="11" t="str">
        <f>_xlfn.XLOOKUP(A536,CATÁLOGO!$A$2:$A$846,CATÁLOGO!$E$2:$E$846,"FORA DO CATÁLOGO")</f>
        <v>Ativo</v>
      </c>
      <c r="E536" s="9" t="s">
        <v>23</v>
      </c>
      <c r="F536" s="52">
        <f>SUMIFS('AVARIA PINHEIROS'!$C$2:$C$24,'AVARIA PINHEIROS'!$A$2:$A$24,A536)</f>
        <v>0</v>
      </c>
    </row>
    <row r="537" spans="1:6" x14ac:dyDescent="0.3">
      <c r="A537" s="9" t="s">
        <v>385</v>
      </c>
      <c r="B537" s="18" t="str">
        <f>_xlfn.XLOOKUP(A537,CATÁLOGO!$A$2:$A$846,CATÁLOGO!$B$2:$B$846,"FORA DO CATÁLOGO")</f>
        <v>TOP001YG</v>
      </c>
      <c r="C537" s="11">
        <v>0</v>
      </c>
      <c r="D537" s="11" t="str">
        <f>_xlfn.XLOOKUP(A537,CATÁLOGO!$A$2:$A$846,CATÁLOGO!$E$2:$E$846,"FORA DO CATÁLOGO")</f>
        <v>Ativo</v>
      </c>
      <c r="E537" s="9" t="s">
        <v>1348</v>
      </c>
      <c r="F537" s="52">
        <f>SUMIFS('AVARIA PINHEIROS'!$C$2:$C$24,'AVARIA PINHEIROS'!$A$2:$A$24,A537)</f>
        <v>5</v>
      </c>
    </row>
    <row r="538" spans="1:6" x14ac:dyDescent="0.3">
      <c r="A538" s="9" t="s">
        <v>386</v>
      </c>
      <c r="B538" s="18" t="str">
        <f>_xlfn.XLOOKUP(A538,CATÁLOGO!$A$2:$A$846,CATÁLOGO!$B$2:$B$846,"FORA DO CATÁLOGO")</f>
        <v>TOP001YGG</v>
      </c>
      <c r="C538" s="11">
        <v>4</v>
      </c>
      <c r="D538" s="11" t="str">
        <f>_xlfn.XLOOKUP(A538,CATÁLOGO!$A$2:$A$846,CATÁLOGO!$E$2:$E$846,"FORA DO CATÁLOGO")</f>
        <v>Ativo</v>
      </c>
      <c r="E538" s="9"/>
      <c r="F538" s="52">
        <f>SUMIFS('AVARIA PINHEIROS'!$C$2:$C$24,'AVARIA PINHEIROS'!$A$2:$A$24,A538)</f>
        <v>0</v>
      </c>
    </row>
    <row r="539" spans="1:6" x14ac:dyDescent="0.3">
      <c r="A539" s="9" t="s">
        <v>9</v>
      </c>
      <c r="B539" s="18" t="str">
        <f>_xlfn.XLOOKUP(A539,CATÁLOGO!$A$2:$A$846,CATÁLOGO!$B$2:$B$846,"FORA DO CATÁLOGO")</f>
        <v>JAQ002MP</v>
      </c>
      <c r="C539" s="11">
        <v>5</v>
      </c>
      <c r="D539" s="11" t="str">
        <f>_xlfn.XLOOKUP(A539,CATÁLOGO!$A$2:$A$846,CATÁLOGO!$E$2:$E$846,"FORA DO CATÁLOGO")</f>
        <v>Descontinuado</v>
      </c>
      <c r="E539" s="9" t="s">
        <v>1294</v>
      </c>
      <c r="F539" s="52">
        <f>SUMIFS('AVARIA PINHEIROS'!$C$2:$C$24,'AVARIA PINHEIROS'!$A$2:$A$24,A539)</f>
        <v>0</v>
      </c>
    </row>
    <row r="540" spans="1:6" x14ac:dyDescent="0.3">
      <c r="A540" s="9" t="s">
        <v>387</v>
      </c>
      <c r="B540" s="18" t="str">
        <f>_xlfn.XLOOKUP(A540,CATÁLOGO!$A$2:$A$846,CATÁLOGO!$B$2:$B$846,"FORA DO CATÁLOGO")</f>
        <v>JAQ002MM</v>
      </c>
      <c r="C540" s="11">
        <v>4</v>
      </c>
      <c r="D540" s="11" t="str">
        <f>_xlfn.XLOOKUP(A540,CATÁLOGO!$A$2:$A$846,CATÁLOGO!$E$2:$E$846,"FORA DO CATÁLOGO")</f>
        <v>Descontinuado</v>
      </c>
      <c r="E540" s="9"/>
      <c r="F540" s="52">
        <f>SUMIFS('AVARIA PINHEIROS'!$C$2:$C$24,'AVARIA PINHEIROS'!$A$2:$A$24,A540)</f>
        <v>0</v>
      </c>
    </row>
    <row r="541" spans="1:6" x14ac:dyDescent="0.3">
      <c r="A541" s="9" t="s">
        <v>388</v>
      </c>
      <c r="B541" s="18" t="str">
        <f>_xlfn.XLOOKUP(A541,CATÁLOGO!$A$2:$A$846,CATÁLOGO!$B$2:$B$846,"FORA DO CATÁLOGO")</f>
        <v>JAQ002MG</v>
      </c>
      <c r="C541" s="11">
        <v>6</v>
      </c>
      <c r="D541" s="11" t="str">
        <f>_xlfn.XLOOKUP(A541,CATÁLOGO!$A$2:$A$846,CATÁLOGO!$E$2:$E$846,"FORA DO CATÁLOGO")</f>
        <v>Descontinuado</v>
      </c>
      <c r="E541" s="9"/>
      <c r="F541" s="52">
        <f>SUMIFS('AVARIA PINHEIROS'!$C$2:$C$24,'AVARIA PINHEIROS'!$A$2:$A$24,A541)</f>
        <v>0</v>
      </c>
    </row>
    <row r="542" spans="1:6" x14ac:dyDescent="0.3">
      <c r="A542" s="9" t="s">
        <v>10</v>
      </c>
      <c r="B542" s="18" t="str">
        <f>_xlfn.XLOOKUP(A542,CATÁLOGO!$A$2:$A$846,CATÁLOGO!$B$2:$B$846,"FORA DO CATÁLOGO")</f>
        <v>JAQ002MGG</v>
      </c>
      <c r="C542" s="11">
        <v>3</v>
      </c>
      <c r="D542" s="11" t="str">
        <f>_xlfn.XLOOKUP(A542,CATÁLOGO!$A$2:$A$846,CATÁLOGO!$E$2:$E$846,"FORA DO CATÁLOGO")</f>
        <v>Descontinuado</v>
      </c>
      <c r="E542" s="9" t="s">
        <v>1295</v>
      </c>
      <c r="F542" s="52">
        <f>SUMIFS('AVARIA PINHEIROS'!$C$2:$C$24,'AVARIA PINHEIROS'!$A$2:$A$24,A542)</f>
        <v>0</v>
      </c>
    </row>
    <row r="543" spans="1:6" x14ac:dyDescent="0.3">
      <c r="A543" s="9" t="s">
        <v>389</v>
      </c>
      <c r="B543" s="18" t="str">
        <f>_xlfn.XLOOKUP(A543,CATÁLOGO!$A$2:$A$846,CATÁLOGO!$B$2:$B$846,"FORA DO CATÁLOGO")</f>
        <v>CAM019VP</v>
      </c>
      <c r="C543" s="11">
        <v>4</v>
      </c>
      <c r="D543" s="11" t="str">
        <f>_xlfn.XLOOKUP(A543,CATÁLOGO!$A$2:$A$846,CATÁLOGO!$E$2:$E$846,"FORA DO CATÁLOGO")</f>
        <v>Ativo</v>
      </c>
      <c r="E543" s="9"/>
      <c r="F543" s="52">
        <f>SUMIFS('AVARIA PINHEIROS'!$C$2:$C$24,'AVARIA PINHEIROS'!$A$2:$A$24,A543)</f>
        <v>0</v>
      </c>
    </row>
    <row r="544" spans="1:6" x14ac:dyDescent="0.3">
      <c r="A544" s="9" t="s">
        <v>390</v>
      </c>
      <c r="B544" s="18" t="str">
        <f>_xlfn.XLOOKUP(A544,CATÁLOGO!$A$2:$A$846,CATÁLOGO!$B$2:$B$846,"FORA DO CATÁLOGO")</f>
        <v>CAM019VM</v>
      </c>
      <c r="C544" s="11">
        <v>5</v>
      </c>
      <c r="D544" s="11" t="str">
        <f>_xlfn.XLOOKUP(A544,CATÁLOGO!$A$2:$A$846,CATÁLOGO!$E$2:$E$846,"FORA DO CATÁLOGO")</f>
        <v>Ativo</v>
      </c>
      <c r="E544" s="9"/>
      <c r="F544" s="52">
        <f>SUMIFS('AVARIA PINHEIROS'!$C$2:$C$24,'AVARIA PINHEIROS'!$A$2:$A$24,A544)</f>
        <v>0</v>
      </c>
    </row>
    <row r="545" spans="1:6" x14ac:dyDescent="0.3">
      <c r="A545" s="9" t="s">
        <v>391</v>
      </c>
      <c r="B545" s="18" t="str">
        <f>_xlfn.XLOOKUP(A545,CATÁLOGO!$A$2:$A$846,CATÁLOGO!$B$2:$B$846,"FORA DO CATÁLOGO")</f>
        <v>CAM019VG</v>
      </c>
      <c r="C545" s="11">
        <v>4</v>
      </c>
      <c r="D545" s="11" t="str">
        <f>_xlfn.XLOOKUP(A545,CATÁLOGO!$A$2:$A$846,CATÁLOGO!$E$2:$E$846,"FORA DO CATÁLOGO")</f>
        <v>Ativo</v>
      </c>
      <c r="E545" s="9" t="s">
        <v>7</v>
      </c>
      <c r="F545" s="52">
        <f>SUMIFS('AVARIA PINHEIROS'!$C$2:$C$24,'AVARIA PINHEIROS'!$A$2:$A$24,A545)</f>
        <v>0</v>
      </c>
    </row>
    <row r="546" spans="1:6" x14ac:dyDescent="0.3">
      <c r="A546" s="9" t="s">
        <v>392</v>
      </c>
      <c r="B546" s="18" t="str">
        <f>_xlfn.XLOOKUP(A546,CATÁLOGO!$A$2:$A$846,CATÁLOGO!$B$2:$B$846,"FORA DO CATÁLOGO")</f>
        <v>CAM019VGG</v>
      </c>
      <c r="C546" s="11">
        <v>2</v>
      </c>
      <c r="D546" s="11" t="str">
        <f>_xlfn.XLOOKUP(A546,CATÁLOGO!$A$2:$A$846,CATÁLOGO!$E$2:$E$846,"FORA DO CATÁLOGO")</f>
        <v>Ativo</v>
      </c>
      <c r="E546" s="9"/>
      <c r="F546" s="52">
        <f>SUMIFS('AVARIA PINHEIROS'!$C$2:$C$24,'AVARIA PINHEIROS'!$A$2:$A$24,A546)</f>
        <v>0</v>
      </c>
    </row>
    <row r="547" spans="1:6" x14ac:dyDescent="0.3">
      <c r="A547" s="9" t="s">
        <v>1804</v>
      </c>
      <c r="B547" s="18" t="str">
        <f>_xlfn.XLOOKUP(A547,CATÁLOGO!$A$2:$A$846,CATÁLOGO!$B$2:$B$846,"FORA DO CATÁLOGO")</f>
        <v>JAQ007OPP</v>
      </c>
      <c r="C547" s="11">
        <v>1</v>
      </c>
      <c r="D547" s="11" t="str">
        <f>_xlfn.XLOOKUP(A547,CATÁLOGO!$A$2:$A$846,CATÁLOGO!$E$2:$E$846,"FORA DO CATÁLOGO")</f>
        <v>Ativo</v>
      </c>
      <c r="E547" s="9"/>
      <c r="F547" s="52">
        <f>SUMIFS('AVARIA PINHEIROS'!$C$2:$C$24,'AVARIA PINHEIROS'!$A$2:$A$24,A547)</f>
        <v>0</v>
      </c>
    </row>
    <row r="548" spans="1:6" x14ac:dyDescent="0.3">
      <c r="A548" s="9" t="s">
        <v>393</v>
      </c>
      <c r="B548" s="18" t="str">
        <f>_xlfn.XLOOKUP(A548,CATÁLOGO!$A$2:$A$846,CATÁLOGO!$B$2:$B$846,"FORA DO CATÁLOGO")</f>
        <v>JAQ007OP</v>
      </c>
      <c r="C548" s="11">
        <v>3</v>
      </c>
      <c r="D548" s="11" t="str">
        <f>_xlfn.XLOOKUP(A548,CATÁLOGO!$A$2:$A$846,CATÁLOGO!$E$2:$E$846,"FORA DO CATÁLOGO")</f>
        <v>Ativo</v>
      </c>
      <c r="E548" s="9"/>
      <c r="F548" s="52">
        <f>SUMIFS('AVARIA PINHEIROS'!$C$2:$C$24,'AVARIA PINHEIROS'!$A$2:$A$24,A548)</f>
        <v>0</v>
      </c>
    </row>
    <row r="549" spans="1:6" x14ac:dyDescent="0.3">
      <c r="A549" s="9" t="s">
        <v>394</v>
      </c>
      <c r="B549" s="18" t="str">
        <f>_xlfn.XLOOKUP(A549,CATÁLOGO!$A$2:$A$846,CATÁLOGO!$B$2:$B$846,"FORA DO CATÁLOGO")</f>
        <v>JAQ007OM</v>
      </c>
      <c r="C549" s="11">
        <v>5</v>
      </c>
      <c r="D549" s="11" t="str">
        <f>_xlfn.XLOOKUP(A549,CATÁLOGO!$A$2:$A$846,CATÁLOGO!$E$2:$E$846,"FORA DO CATÁLOGO")</f>
        <v>Ativo</v>
      </c>
      <c r="E549" s="9" t="s">
        <v>4</v>
      </c>
      <c r="F549" s="52">
        <f>SUMIFS('AVARIA PINHEIROS'!$C$2:$C$24,'AVARIA PINHEIROS'!$A$2:$A$24,A549)</f>
        <v>0</v>
      </c>
    </row>
    <row r="550" spans="1:6" x14ac:dyDescent="0.3">
      <c r="A550" s="9" t="s">
        <v>395</v>
      </c>
      <c r="B550" s="18" t="str">
        <f>_xlfn.XLOOKUP(A550,CATÁLOGO!$A$2:$A$846,CATÁLOGO!$B$2:$B$846,"FORA DO CATÁLOGO")</f>
        <v>JAQ007OG</v>
      </c>
      <c r="C550" s="11">
        <v>4</v>
      </c>
      <c r="D550" s="11" t="str">
        <f>_xlfn.XLOOKUP(A550,CATÁLOGO!$A$2:$A$846,CATÁLOGO!$E$2:$E$846,"FORA DO CATÁLOGO")</f>
        <v>Ativo</v>
      </c>
      <c r="E550" s="9"/>
      <c r="F550" s="52">
        <f>SUMIFS('AVARIA PINHEIROS'!$C$2:$C$24,'AVARIA PINHEIROS'!$A$2:$A$24,A550)</f>
        <v>0</v>
      </c>
    </row>
    <row r="551" spans="1:6" x14ac:dyDescent="0.3">
      <c r="A551" s="9" t="s">
        <v>396</v>
      </c>
      <c r="B551" s="18" t="str">
        <f>_xlfn.XLOOKUP(A551,CATÁLOGO!$A$2:$A$846,CATÁLOGO!$B$2:$B$846,"FORA DO CATÁLOGO")</f>
        <v>JAQ007OGG</v>
      </c>
      <c r="C551" s="11">
        <v>2</v>
      </c>
      <c r="D551" s="11" t="str">
        <f>_xlfn.XLOOKUP(A551,CATÁLOGO!$A$2:$A$846,CATÁLOGO!$E$2:$E$846,"FORA DO CATÁLOGO")</f>
        <v>Ativo</v>
      </c>
      <c r="E551" s="9"/>
      <c r="F551" s="52">
        <f>SUMIFS('AVARIA PINHEIROS'!$C$2:$C$24,'AVARIA PINHEIROS'!$A$2:$A$24,A551)</f>
        <v>0</v>
      </c>
    </row>
    <row r="552" spans="1:6" x14ac:dyDescent="0.3">
      <c r="A552" s="9" t="s">
        <v>397</v>
      </c>
      <c r="B552" s="18" t="str">
        <f>_xlfn.XLOOKUP(A552,CATÁLOGO!$A$2:$A$846,CATÁLOGO!$B$2:$B$846,"FORA DO CATÁLOGO")</f>
        <v>MOL013MP</v>
      </c>
      <c r="C552" s="11">
        <v>1</v>
      </c>
      <c r="D552" s="11" t="str">
        <f>_xlfn.XLOOKUP(A552,CATÁLOGO!$A$2:$A$846,CATÁLOGO!$E$2:$E$846,"FORA DO CATÁLOGO")</f>
        <v>Ativo</v>
      </c>
      <c r="E552" s="9"/>
      <c r="F552" s="52">
        <f>SUMIFS('AVARIA PINHEIROS'!$C$2:$C$24,'AVARIA PINHEIROS'!$A$2:$A$24,A552)</f>
        <v>0</v>
      </c>
    </row>
    <row r="553" spans="1:6" x14ac:dyDescent="0.3">
      <c r="A553" s="9" t="s">
        <v>398</v>
      </c>
      <c r="B553" s="18" t="str">
        <f>_xlfn.XLOOKUP(A553,CATÁLOGO!$A$2:$A$846,CATÁLOGO!$B$2:$B$846,"FORA DO CATÁLOGO")</f>
        <v>MOL013MM</v>
      </c>
      <c r="C553" s="11">
        <v>5</v>
      </c>
      <c r="D553" s="11" t="str">
        <f>_xlfn.XLOOKUP(A553,CATÁLOGO!$A$2:$A$846,CATÁLOGO!$E$2:$E$846,"FORA DO CATÁLOGO")</f>
        <v>Ativo</v>
      </c>
      <c r="E553" s="9"/>
      <c r="F553" s="52">
        <f>SUMIFS('AVARIA PINHEIROS'!$C$2:$C$24,'AVARIA PINHEIROS'!$A$2:$A$24,A553)</f>
        <v>0</v>
      </c>
    </row>
    <row r="554" spans="1:6" x14ac:dyDescent="0.3">
      <c r="A554" s="9" t="s">
        <v>399</v>
      </c>
      <c r="B554" s="18" t="str">
        <f>_xlfn.XLOOKUP(A554,CATÁLOGO!$A$2:$A$846,CATÁLOGO!$B$2:$B$846,"FORA DO CATÁLOGO")</f>
        <v>MOL013MG</v>
      </c>
      <c r="C554" s="11">
        <v>3</v>
      </c>
      <c r="D554" s="11" t="str">
        <f>_xlfn.XLOOKUP(A554,CATÁLOGO!$A$2:$A$846,CATÁLOGO!$E$2:$E$846,"FORA DO CATÁLOGO")</f>
        <v>Ativo</v>
      </c>
      <c r="E554" s="9"/>
      <c r="F554" s="52">
        <f>SUMIFS('AVARIA PINHEIROS'!$C$2:$C$24,'AVARIA PINHEIROS'!$A$2:$A$24,A554)</f>
        <v>0</v>
      </c>
    </row>
    <row r="555" spans="1:6" x14ac:dyDescent="0.3">
      <c r="A555" s="9" t="s">
        <v>1794</v>
      </c>
      <c r="B555" s="18" t="str">
        <f>_xlfn.XLOOKUP(A555,CATÁLOGO!$A$2:$A$846,CATÁLOGO!$B$2:$B$846,"FORA DO CATÁLOGO")</f>
        <v>CMS014YPP</v>
      </c>
      <c r="C555" s="11">
        <v>1</v>
      </c>
      <c r="D555" s="11" t="str">
        <f>_xlfn.XLOOKUP(A555,CATÁLOGO!$A$2:$A$846,CATÁLOGO!$E$2:$E$846,"FORA DO CATÁLOGO")</f>
        <v>Ativo</v>
      </c>
      <c r="E555" s="9"/>
      <c r="F555" s="52">
        <f>SUMIFS('AVARIA PINHEIROS'!$C$2:$C$24,'AVARIA PINHEIROS'!$A$2:$A$24,A555)</f>
        <v>0</v>
      </c>
    </row>
    <row r="556" spans="1:6" x14ac:dyDescent="0.3">
      <c r="A556" s="9" t="s">
        <v>400</v>
      </c>
      <c r="B556" s="18" t="str">
        <f>_xlfn.XLOOKUP(A556,CATÁLOGO!$A$2:$A$846,CATÁLOGO!$B$2:$B$846,"FORA DO CATÁLOGO")</f>
        <v>CMS014YP</v>
      </c>
      <c r="C556" s="11">
        <v>4</v>
      </c>
      <c r="D556" s="11" t="str">
        <f>_xlfn.XLOOKUP(A556,CATÁLOGO!$A$2:$A$846,CATÁLOGO!$E$2:$E$846,"FORA DO CATÁLOGO")</f>
        <v>Ativo</v>
      </c>
      <c r="E556" s="9" t="s">
        <v>7</v>
      </c>
      <c r="F556" s="52">
        <f>SUMIFS('AVARIA PINHEIROS'!$C$2:$C$24,'AVARIA PINHEIROS'!$A$2:$A$24,A556)</f>
        <v>0</v>
      </c>
    </row>
    <row r="557" spans="1:6" x14ac:dyDescent="0.3">
      <c r="A557" s="9" t="s">
        <v>401</v>
      </c>
      <c r="B557" s="18" t="str">
        <f>_xlfn.XLOOKUP(A557,CATÁLOGO!$A$2:$A$846,CATÁLOGO!$B$2:$B$846,"FORA DO CATÁLOGO")</f>
        <v>CMS014YM</v>
      </c>
      <c r="C557" s="11">
        <v>4</v>
      </c>
      <c r="D557" s="11" t="str">
        <f>_xlfn.XLOOKUP(A557,CATÁLOGO!$A$2:$A$846,CATÁLOGO!$E$2:$E$846,"FORA DO CATÁLOGO")</f>
        <v>Ativo</v>
      </c>
      <c r="E557" s="9" t="s">
        <v>7</v>
      </c>
      <c r="F557" s="52">
        <f>SUMIFS('AVARIA PINHEIROS'!$C$2:$C$24,'AVARIA PINHEIROS'!$A$2:$A$24,A557)</f>
        <v>0</v>
      </c>
    </row>
    <row r="558" spans="1:6" x14ac:dyDescent="0.3">
      <c r="A558" s="9" t="s">
        <v>402</v>
      </c>
      <c r="B558" s="18" t="str">
        <f>_xlfn.XLOOKUP(A558,CATÁLOGO!$A$2:$A$846,CATÁLOGO!$B$2:$B$846,"FORA DO CATÁLOGO")</f>
        <v>CMS014YG</v>
      </c>
      <c r="C558" s="11">
        <v>4</v>
      </c>
      <c r="D558" s="11" t="str">
        <f>_xlfn.XLOOKUP(A558,CATÁLOGO!$A$2:$A$846,CATÁLOGO!$E$2:$E$846,"FORA DO CATÁLOGO")</f>
        <v>Ativo</v>
      </c>
      <c r="E558" s="9"/>
      <c r="F558" s="52">
        <f>SUMIFS('AVARIA PINHEIROS'!$C$2:$C$24,'AVARIA PINHEIROS'!$A$2:$A$24,A558)</f>
        <v>0</v>
      </c>
    </row>
    <row r="559" spans="1:6" x14ac:dyDescent="0.3">
      <c r="A559" s="9" t="s">
        <v>403</v>
      </c>
      <c r="B559" s="18" t="str">
        <f>_xlfn.XLOOKUP(A559,CATÁLOGO!$A$2:$A$846,CATÁLOGO!$B$2:$B$846,"FORA DO CATÁLOGO")</f>
        <v>CMS014YGG</v>
      </c>
      <c r="C559" s="11">
        <v>2</v>
      </c>
      <c r="D559" s="11" t="str">
        <f>_xlfn.XLOOKUP(A559,CATÁLOGO!$A$2:$A$846,CATÁLOGO!$E$2:$E$846,"FORA DO CATÁLOGO")</f>
        <v>Ativo</v>
      </c>
      <c r="E559" s="9"/>
      <c r="F559" s="52">
        <f>SUMIFS('AVARIA PINHEIROS'!$C$2:$C$24,'AVARIA PINHEIROS'!$A$2:$A$24,A559)</f>
        <v>0</v>
      </c>
    </row>
    <row r="560" spans="1:6" x14ac:dyDescent="0.3">
      <c r="A560" s="9" t="s">
        <v>404</v>
      </c>
      <c r="B560" s="18" t="str">
        <f>_xlfn.XLOOKUP(A560,CATÁLOGO!$A$2:$A$846,CATÁLOGO!$B$2:$B$846,"FORA DO CATÁLOGO")</f>
        <v>VES011OP</v>
      </c>
      <c r="C560" s="11">
        <v>3</v>
      </c>
      <c r="D560" s="11" t="str">
        <f>_xlfn.XLOOKUP(A560,CATÁLOGO!$A$2:$A$846,CATÁLOGO!$E$2:$E$846,"FORA DO CATÁLOGO")</f>
        <v>Ativo</v>
      </c>
      <c r="E560" s="9"/>
      <c r="F560" s="52">
        <f>SUMIFS('AVARIA PINHEIROS'!$C$2:$C$24,'AVARIA PINHEIROS'!$A$2:$A$24,A560)</f>
        <v>0</v>
      </c>
    </row>
    <row r="561" spans="1:6" x14ac:dyDescent="0.3">
      <c r="A561" s="9" t="s">
        <v>1265</v>
      </c>
      <c r="B561" s="18" t="str">
        <f>_xlfn.XLOOKUP(A561,CATÁLOGO!$A$2:$A$846,CATÁLOGO!$B$2:$B$846,"FORA DO CATÁLOGO")</f>
        <v>VES011OM</v>
      </c>
      <c r="C561" s="11">
        <v>6</v>
      </c>
      <c r="D561" s="11" t="str">
        <f>_xlfn.XLOOKUP(A561,CATÁLOGO!$A$2:$A$846,CATÁLOGO!$E$2:$E$846,"FORA DO CATÁLOGO")</f>
        <v>Ativo</v>
      </c>
      <c r="E561" s="9" t="s">
        <v>1296</v>
      </c>
      <c r="F561" s="52">
        <f>SUMIFS('AVARIA PINHEIROS'!$C$2:$C$24,'AVARIA PINHEIROS'!$A$2:$A$24,A561)</f>
        <v>0</v>
      </c>
    </row>
    <row r="562" spans="1:6" x14ac:dyDescent="0.3">
      <c r="A562" s="9" t="s">
        <v>405</v>
      </c>
      <c r="B562" s="18" t="str">
        <f>_xlfn.XLOOKUP(A562,CATÁLOGO!$A$2:$A$846,CATÁLOGO!$B$2:$B$846,"FORA DO CATÁLOGO")</f>
        <v>VES011OG</v>
      </c>
      <c r="C562" s="11">
        <v>2</v>
      </c>
      <c r="D562" s="11" t="str">
        <f>_xlfn.XLOOKUP(A562,CATÁLOGO!$A$2:$A$846,CATÁLOGO!$E$2:$E$846,"FORA DO CATÁLOGO")</f>
        <v>Ativo</v>
      </c>
      <c r="E562" s="9"/>
      <c r="F562" s="52">
        <f>SUMIFS('AVARIA PINHEIROS'!$C$2:$C$24,'AVARIA PINHEIROS'!$A$2:$A$24,A562)</f>
        <v>0</v>
      </c>
    </row>
    <row r="563" spans="1:6" x14ac:dyDescent="0.3">
      <c r="A563" s="9" t="s">
        <v>406</v>
      </c>
      <c r="B563" s="18" t="str">
        <f>_xlfn.XLOOKUP(A563,CATÁLOGO!$A$2:$A$846,CATÁLOGO!$B$2:$B$846,"FORA DO CATÁLOGO")</f>
        <v>SAI010CM</v>
      </c>
      <c r="C563" s="11">
        <v>7</v>
      </c>
      <c r="D563" s="11" t="str">
        <f>_xlfn.XLOOKUP(A563,CATÁLOGO!$A$2:$A$846,CATÁLOGO!$E$2:$E$846,"FORA DO CATÁLOGO")</f>
        <v>Descontinuado</v>
      </c>
      <c r="E563" s="9"/>
      <c r="F563" s="52">
        <f>SUMIFS('AVARIA PINHEIROS'!$C$2:$C$24,'AVARIA PINHEIROS'!$A$2:$A$24,A563)</f>
        <v>0</v>
      </c>
    </row>
    <row r="564" spans="1:6" x14ac:dyDescent="0.3">
      <c r="A564" s="9" t="s">
        <v>407</v>
      </c>
      <c r="B564" s="18" t="str">
        <f>_xlfn.XLOOKUP(A564,CATÁLOGO!$A$2:$A$846,CATÁLOGO!$B$2:$B$846,"FORA DO CATÁLOGO")</f>
        <v>SAI010CG</v>
      </c>
      <c r="C564" s="11">
        <v>1</v>
      </c>
      <c r="D564" s="11" t="str">
        <f>_xlfn.XLOOKUP(A564,CATÁLOGO!$A$2:$A$846,CATÁLOGO!$E$2:$E$846,"FORA DO CATÁLOGO")</f>
        <v>Descontinuado</v>
      </c>
      <c r="E564" s="9"/>
      <c r="F564" s="52">
        <f>SUMIFS('AVARIA PINHEIROS'!$C$2:$C$24,'AVARIA PINHEIROS'!$A$2:$A$24,A564)</f>
        <v>0</v>
      </c>
    </row>
    <row r="565" spans="1:6" x14ac:dyDescent="0.3">
      <c r="A565" s="9" t="s">
        <v>408</v>
      </c>
      <c r="B565" s="18" t="str">
        <f>_xlfn.XLOOKUP(A565,CATÁLOGO!$A$2:$A$846,CATÁLOGO!$B$2:$B$846,"FORA DO CATÁLOGO")</f>
        <v>SAI010CGG</v>
      </c>
      <c r="C565" s="11">
        <v>2</v>
      </c>
      <c r="D565" s="11" t="str">
        <f>_xlfn.XLOOKUP(A565,CATÁLOGO!$A$2:$A$846,CATÁLOGO!$E$2:$E$846,"FORA DO CATÁLOGO")</f>
        <v>Descontinuado</v>
      </c>
      <c r="E565" s="9"/>
      <c r="F565" s="52">
        <f>SUMIFS('AVARIA PINHEIROS'!$C$2:$C$24,'AVARIA PINHEIROS'!$A$2:$A$24,A565)</f>
        <v>0</v>
      </c>
    </row>
    <row r="566" spans="1:6" x14ac:dyDescent="0.3">
      <c r="A566" s="9" t="s">
        <v>1288</v>
      </c>
      <c r="B566" s="18" t="str">
        <f>_xlfn.XLOOKUP(A566,CATÁLOGO!$A$2:$A$846,CATÁLOGO!$B$2:$B$846,"FORA DO CATÁLOGO")</f>
        <v>CAM020YP</v>
      </c>
      <c r="C566" s="11">
        <v>0</v>
      </c>
      <c r="D566" s="11" t="str">
        <f>_xlfn.XLOOKUP(A566,CATÁLOGO!$A$2:$A$846,CATÁLOGO!$E$2:$E$846,"FORA DO CATÁLOGO")</f>
        <v>Ativo</v>
      </c>
      <c r="E566" s="9" t="s">
        <v>1353</v>
      </c>
      <c r="F566" s="52">
        <f>SUMIFS('AVARIA PINHEIROS'!$C$2:$C$24,'AVARIA PINHEIROS'!$A$2:$A$24,A566)</f>
        <v>4</v>
      </c>
    </row>
    <row r="567" spans="1:6" x14ac:dyDescent="0.3">
      <c r="A567" s="9" t="s">
        <v>409</v>
      </c>
      <c r="B567" s="18" t="str">
        <f>_xlfn.XLOOKUP(A567,CATÁLOGO!$A$2:$A$846,CATÁLOGO!$B$2:$B$846,"FORA DO CATÁLOGO")</f>
        <v>CAM020YM</v>
      </c>
      <c r="C567" s="11">
        <v>6</v>
      </c>
      <c r="D567" s="11" t="str">
        <f>_xlfn.XLOOKUP(A567,CATÁLOGO!$A$2:$A$846,CATÁLOGO!$E$2:$E$846,"FORA DO CATÁLOGO")</f>
        <v>Ativo</v>
      </c>
      <c r="E567" s="9"/>
      <c r="F567" s="52">
        <f>SUMIFS('AVARIA PINHEIROS'!$C$2:$C$24,'AVARIA PINHEIROS'!$A$2:$A$24,A567)</f>
        <v>0</v>
      </c>
    </row>
    <row r="568" spans="1:6" x14ac:dyDescent="0.3">
      <c r="A568" s="9" t="s">
        <v>410</v>
      </c>
      <c r="B568" s="18" t="str">
        <f>_xlfn.XLOOKUP(A568,CATÁLOGO!$A$2:$A$846,CATÁLOGO!$B$2:$B$846,"FORA DO CATÁLOGO")</f>
        <v>CAM020YG</v>
      </c>
      <c r="C568" s="11">
        <v>0</v>
      </c>
      <c r="D568" s="11" t="str">
        <f>_xlfn.XLOOKUP(A568,CATÁLOGO!$A$2:$A$846,CATÁLOGO!$E$2:$E$846,"FORA DO CATÁLOGO")</f>
        <v>Ativo</v>
      </c>
      <c r="E568" s="9" t="s">
        <v>1348</v>
      </c>
      <c r="F568" s="52">
        <f>SUMIFS('AVARIA PINHEIROS'!$C$2:$C$24,'AVARIA PINHEIROS'!$A$2:$A$24,A568)</f>
        <v>5</v>
      </c>
    </row>
    <row r="569" spans="1:6" x14ac:dyDescent="0.3">
      <c r="A569" s="9" t="s">
        <v>411</v>
      </c>
      <c r="B569" s="18" t="str">
        <f>_xlfn.XLOOKUP(A569,CATÁLOGO!$A$2:$A$846,CATÁLOGO!$B$2:$B$846,"FORA DO CATÁLOGO")</f>
        <v>CAM020YGG</v>
      </c>
      <c r="C569" s="11">
        <v>4</v>
      </c>
      <c r="D569" s="11" t="str">
        <f>_xlfn.XLOOKUP(A569,CATÁLOGO!$A$2:$A$846,CATÁLOGO!$E$2:$E$846,"FORA DO CATÁLOGO")</f>
        <v>Ativo</v>
      </c>
      <c r="E569" s="9"/>
      <c r="F569" s="52">
        <f>SUMIFS('AVARIA PINHEIROS'!$C$2:$C$24,'AVARIA PINHEIROS'!$A$2:$A$24,A569)</f>
        <v>0</v>
      </c>
    </row>
    <row r="570" spans="1:6" x14ac:dyDescent="0.3">
      <c r="A570" s="9" t="s">
        <v>412</v>
      </c>
      <c r="B570" s="18" t="str">
        <f>_xlfn.XLOOKUP(A570,CATÁLOGO!$A$2:$A$846,CATÁLOGO!$B$2:$B$846,"FORA DO CATÁLOGO")</f>
        <v>CAM020LP</v>
      </c>
      <c r="C570" s="11">
        <v>3</v>
      </c>
      <c r="D570" s="11" t="str">
        <f>_xlfn.XLOOKUP(A570,CATÁLOGO!$A$2:$A$846,CATÁLOGO!$E$2:$E$846,"FORA DO CATÁLOGO")</f>
        <v>Ativo</v>
      </c>
      <c r="E570" s="9" t="s">
        <v>4</v>
      </c>
      <c r="F570" s="52">
        <f>SUMIFS('AVARIA PINHEIROS'!$C$2:$C$24,'AVARIA PINHEIROS'!$A$2:$A$24,A570)</f>
        <v>0</v>
      </c>
    </row>
    <row r="571" spans="1:6" x14ac:dyDescent="0.3">
      <c r="A571" s="9" t="s">
        <v>413</v>
      </c>
      <c r="B571" s="18" t="str">
        <f>_xlfn.XLOOKUP(A571,CATÁLOGO!$A$2:$A$846,CATÁLOGO!$B$2:$B$846,"FORA DO CATÁLOGO")</f>
        <v>CAM020LM</v>
      </c>
      <c r="C571" s="11">
        <v>4</v>
      </c>
      <c r="D571" s="11" t="str">
        <f>_xlfn.XLOOKUP(A571,CATÁLOGO!$A$2:$A$846,CATÁLOGO!$E$2:$E$846,"FORA DO CATÁLOGO")</f>
        <v>Ativo</v>
      </c>
      <c r="E571" s="9"/>
      <c r="F571" s="52">
        <f>SUMIFS('AVARIA PINHEIROS'!$C$2:$C$24,'AVARIA PINHEIROS'!$A$2:$A$24,A571)</f>
        <v>0</v>
      </c>
    </row>
    <row r="572" spans="1:6" x14ac:dyDescent="0.3">
      <c r="A572" s="9" t="s">
        <v>414</v>
      </c>
      <c r="B572" s="18" t="str">
        <f>_xlfn.XLOOKUP(A572,CATÁLOGO!$A$2:$A$846,CATÁLOGO!$B$2:$B$846,"FORA DO CATÁLOGO")</f>
        <v>CAM020LG</v>
      </c>
      <c r="C572" s="11">
        <v>3</v>
      </c>
      <c r="D572" s="11" t="str">
        <f>_xlfn.XLOOKUP(A572,CATÁLOGO!$A$2:$A$846,CATÁLOGO!$E$2:$E$846,"FORA DO CATÁLOGO")</f>
        <v>Ativo</v>
      </c>
      <c r="E572" s="9"/>
      <c r="F572" s="52">
        <f>SUMIFS('AVARIA PINHEIROS'!$C$2:$C$24,'AVARIA PINHEIROS'!$A$2:$A$24,A572)</f>
        <v>0</v>
      </c>
    </row>
    <row r="573" spans="1:6" x14ac:dyDescent="0.3">
      <c r="A573" s="9" t="s">
        <v>415</v>
      </c>
      <c r="B573" s="18" t="str">
        <f>_xlfn.XLOOKUP(A573,CATÁLOGO!$A$2:$A$846,CATÁLOGO!$B$2:$B$846,"FORA DO CATÁLOGO")</f>
        <v>CAM020LGG</v>
      </c>
      <c r="C573" s="11">
        <v>2</v>
      </c>
      <c r="D573" s="11" t="str">
        <f>_xlfn.XLOOKUP(A573,CATÁLOGO!$A$2:$A$846,CATÁLOGO!$E$2:$E$846,"FORA DO CATÁLOGO")</f>
        <v>Ativo</v>
      </c>
      <c r="E573" s="9"/>
      <c r="F573" s="52">
        <f>SUMIFS('AVARIA PINHEIROS'!$C$2:$C$24,'AVARIA PINHEIROS'!$A$2:$A$24,A573)</f>
        <v>0</v>
      </c>
    </row>
    <row r="574" spans="1:6" x14ac:dyDescent="0.3">
      <c r="A574" s="9" t="s">
        <v>1507</v>
      </c>
      <c r="B574" s="18" t="str">
        <f>_xlfn.XLOOKUP(A574,CATÁLOGO!$A$2:$A$846,CATÁLOGO!$B$2:$B$846,"FORA DO CATÁLOGO")</f>
        <v>BER010L38</v>
      </c>
      <c r="C574" s="11">
        <v>5</v>
      </c>
      <c r="D574" s="11" t="str">
        <f>_xlfn.XLOOKUP(A574,CATÁLOGO!$A$2:$A$846,CATÁLOGO!$E$2:$E$846,"FORA DO CATÁLOGO")</f>
        <v>Descontinuado</v>
      </c>
      <c r="E574" s="9"/>
      <c r="F574" s="52">
        <f>SUMIFS('AVARIA PINHEIROS'!$C$2:$C$24,'AVARIA PINHEIROS'!$A$2:$A$24,A574)</f>
        <v>0</v>
      </c>
    </row>
    <row r="575" spans="1:6" x14ac:dyDescent="0.3">
      <c r="A575" s="9" t="s">
        <v>1506</v>
      </c>
      <c r="B575" s="18" t="str">
        <f>_xlfn.XLOOKUP(A575,CATÁLOGO!$A$2:$A$846,CATÁLOGO!$B$2:$B$846,"FORA DO CATÁLOGO")</f>
        <v>BER010L40</v>
      </c>
      <c r="C575" s="11">
        <v>3</v>
      </c>
      <c r="D575" s="11" t="str">
        <f>_xlfn.XLOOKUP(A575,CATÁLOGO!$A$2:$A$846,CATÁLOGO!$E$2:$E$846,"FORA DO CATÁLOGO")</f>
        <v>Descontinuado</v>
      </c>
      <c r="E575" s="9"/>
      <c r="F575" s="52">
        <f>SUMIFS('AVARIA PINHEIROS'!$C$2:$C$24,'AVARIA PINHEIROS'!$A$2:$A$24,A575)</f>
        <v>0</v>
      </c>
    </row>
    <row r="576" spans="1:6" x14ac:dyDescent="0.3">
      <c r="A576" s="9" t="s">
        <v>1503</v>
      </c>
      <c r="B576" s="18" t="str">
        <f>_xlfn.XLOOKUP(A576,CATÁLOGO!$A$2:$A$846,CATÁLOGO!$B$2:$B$846,"FORA DO CATÁLOGO")</f>
        <v>BER010L42</v>
      </c>
      <c r="C576" s="11">
        <v>3</v>
      </c>
      <c r="D576" s="11" t="str">
        <f>_xlfn.XLOOKUP(A576,CATÁLOGO!$A$2:$A$846,CATÁLOGO!$E$2:$E$846,"FORA DO CATÁLOGO")</f>
        <v>Descontinuado</v>
      </c>
      <c r="E576" s="9"/>
      <c r="F576" s="52">
        <f>SUMIFS('AVARIA PINHEIROS'!$C$2:$C$24,'AVARIA PINHEIROS'!$A$2:$A$24,A576)</f>
        <v>0</v>
      </c>
    </row>
    <row r="577" spans="1:6" x14ac:dyDescent="0.3">
      <c r="A577" s="9" t="s">
        <v>1505</v>
      </c>
      <c r="B577" s="18" t="str">
        <f>_xlfn.XLOOKUP(A577,CATÁLOGO!$A$2:$A$846,CATÁLOGO!$B$2:$B$846,"FORA DO CATÁLOGO")</f>
        <v>BER010L44</v>
      </c>
      <c r="C577" s="11">
        <v>2</v>
      </c>
      <c r="D577" s="11" t="str">
        <f>_xlfn.XLOOKUP(A577,CATÁLOGO!$A$2:$A$846,CATÁLOGO!$E$2:$E$846,"FORA DO CATÁLOGO")</f>
        <v>Descontinuado</v>
      </c>
      <c r="E577" s="9"/>
      <c r="F577" s="52">
        <f>SUMIFS('AVARIA PINHEIROS'!$C$2:$C$24,'AVARIA PINHEIROS'!$A$2:$A$24,A577)</f>
        <v>0</v>
      </c>
    </row>
    <row r="578" spans="1:6" x14ac:dyDescent="0.3">
      <c r="A578" s="9" t="s">
        <v>416</v>
      </c>
      <c r="B578" s="18" t="str">
        <f>_xlfn.XLOOKUP(A578,CATÁLOGO!$A$2:$A$846,CATÁLOGO!$B$2:$B$846,"FORA DO CATÁLOGO")</f>
        <v>ACE011BU</v>
      </c>
      <c r="C578" s="11">
        <v>0</v>
      </c>
      <c r="D578" s="11" t="str">
        <f>_xlfn.XLOOKUP(A578,CATÁLOGO!$A$2:$A$846,CATÁLOGO!$E$2:$E$846,"FORA DO CATÁLOGO")</f>
        <v>Ativo</v>
      </c>
      <c r="E578" s="9"/>
      <c r="F578" s="52">
        <f>SUMIFS('AVARIA PINHEIROS'!$C$2:$C$24,'AVARIA PINHEIROS'!$A$2:$A$24,A578)</f>
        <v>0</v>
      </c>
    </row>
    <row r="579" spans="1:6" x14ac:dyDescent="0.3">
      <c r="A579" s="9" t="s">
        <v>1691</v>
      </c>
      <c r="B579" s="18" t="str">
        <f>_xlfn.XLOOKUP(A579,CATÁLOGO!$A$2:$A$846,CATÁLOGO!$B$2:$B$846,"FORA DO CATÁLOGO")</f>
        <v>CAL025E36</v>
      </c>
      <c r="C579" s="11">
        <v>2</v>
      </c>
      <c r="D579" s="11" t="str">
        <f>_xlfn.XLOOKUP(A579,CATÁLOGO!$A$2:$A$846,CATÁLOGO!$E$2:$E$846,"FORA DO CATÁLOGO")</f>
        <v>Descontinuado</v>
      </c>
      <c r="E579" s="9"/>
      <c r="F579" s="52">
        <f>SUMIFS('AVARIA PINHEIROS'!$C$2:$C$24,'AVARIA PINHEIROS'!$A$2:$A$24,A579)</f>
        <v>0</v>
      </c>
    </row>
    <row r="580" spans="1:6" x14ac:dyDescent="0.3">
      <c r="A580" s="9" t="s">
        <v>1690</v>
      </c>
      <c r="B580" s="18" t="str">
        <f>_xlfn.XLOOKUP(A580,CATÁLOGO!$A$2:$A$846,CATÁLOGO!$B$2:$B$846,"FORA DO CATÁLOGO")</f>
        <v>CAL025E38</v>
      </c>
      <c r="C580" s="11">
        <v>4</v>
      </c>
      <c r="D580" s="11" t="str">
        <f>_xlfn.XLOOKUP(A580,CATÁLOGO!$A$2:$A$846,CATÁLOGO!$E$2:$E$846,"FORA DO CATÁLOGO")</f>
        <v>Descontinuado</v>
      </c>
      <c r="E580" s="9"/>
      <c r="F580" s="52">
        <f>SUMIFS('AVARIA PINHEIROS'!$C$2:$C$24,'AVARIA PINHEIROS'!$A$2:$A$24,A580)</f>
        <v>0</v>
      </c>
    </row>
    <row r="581" spans="1:6" x14ac:dyDescent="0.3">
      <c r="A581" s="9" t="s">
        <v>1689</v>
      </c>
      <c r="B581" s="18" t="str">
        <f>_xlfn.XLOOKUP(A581,CATÁLOGO!$A$2:$A$846,CATÁLOGO!$B$2:$B$846,"FORA DO CATÁLOGO")</f>
        <v>CAL025E40</v>
      </c>
      <c r="C581" s="11">
        <v>3</v>
      </c>
      <c r="D581" s="11" t="str">
        <f>_xlfn.XLOOKUP(A581,CATÁLOGO!$A$2:$A$846,CATÁLOGO!$E$2:$E$846,"FORA DO CATÁLOGO")</f>
        <v>Descontinuado</v>
      </c>
      <c r="E581" s="9"/>
      <c r="F581" s="52">
        <f>SUMIFS('AVARIA PINHEIROS'!$C$2:$C$24,'AVARIA PINHEIROS'!$A$2:$A$24,A581)</f>
        <v>0</v>
      </c>
    </row>
    <row r="582" spans="1:6" x14ac:dyDescent="0.3">
      <c r="A582" s="9" t="s">
        <v>1686</v>
      </c>
      <c r="B582" s="18" t="str">
        <f>_xlfn.XLOOKUP(A582,CATÁLOGO!$A$2:$A$846,CATÁLOGO!$B$2:$B$846,"FORA DO CATÁLOGO")</f>
        <v>CAL025E42</v>
      </c>
      <c r="C582" s="11">
        <v>3</v>
      </c>
      <c r="D582" s="11" t="str">
        <f>_xlfn.XLOOKUP(A582,CATÁLOGO!$A$2:$A$846,CATÁLOGO!$E$2:$E$846,"FORA DO CATÁLOGO")</f>
        <v>Descontinuado</v>
      </c>
      <c r="E582" s="9"/>
      <c r="F582" s="52">
        <f>SUMIFS('AVARIA PINHEIROS'!$C$2:$C$24,'AVARIA PINHEIROS'!$A$2:$A$24,A582)</f>
        <v>0</v>
      </c>
    </row>
    <row r="583" spans="1:6" x14ac:dyDescent="0.3">
      <c r="A583" s="9" t="s">
        <v>1688</v>
      </c>
      <c r="B583" s="18" t="str">
        <f>_xlfn.XLOOKUP(A583,CATÁLOGO!$A$2:$A$846,CATÁLOGO!$B$2:$B$846,"FORA DO CATÁLOGO")</f>
        <v>CAL025E44</v>
      </c>
      <c r="C583" s="11">
        <v>2</v>
      </c>
      <c r="D583" s="11" t="str">
        <f>_xlfn.XLOOKUP(A583,CATÁLOGO!$A$2:$A$846,CATÁLOGO!$E$2:$E$846,"FORA DO CATÁLOGO")</f>
        <v>Descontinuado</v>
      </c>
      <c r="E583" s="9"/>
      <c r="F583" s="52">
        <f>SUMIFS('AVARIA PINHEIROS'!$C$2:$C$24,'AVARIA PINHEIROS'!$A$2:$A$24,A583)</f>
        <v>0</v>
      </c>
    </row>
    <row r="584" spans="1:6" x14ac:dyDescent="0.3">
      <c r="A584" s="9" t="s">
        <v>417</v>
      </c>
      <c r="B584" s="18" t="str">
        <f>_xlfn.XLOOKUP(A584,CATÁLOGO!$A$2:$A$846,CATÁLOGO!$B$2:$B$846,"FORA DO CATÁLOGO")</f>
        <v>SAI011CP</v>
      </c>
      <c r="C584" s="11">
        <v>3</v>
      </c>
      <c r="D584" s="11" t="str">
        <f>_xlfn.XLOOKUP(A584,CATÁLOGO!$A$2:$A$846,CATÁLOGO!$E$2:$E$846,"FORA DO CATÁLOGO")</f>
        <v>Ativo</v>
      </c>
      <c r="E584" s="9" t="s">
        <v>4</v>
      </c>
      <c r="F584" s="52">
        <f>SUMIFS('AVARIA PINHEIROS'!$C$2:$C$24,'AVARIA PINHEIROS'!$A$2:$A$24,A584)</f>
        <v>0</v>
      </c>
    </row>
    <row r="585" spans="1:6" x14ac:dyDescent="0.3">
      <c r="A585" s="9" t="s">
        <v>418</v>
      </c>
      <c r="B585" s="18" t="str">
        <f>_xlfn.XLOOKUP(A585,CATÁLOGO!$A$2:$A$846,CATÁLOGO!$B$2:$B$846,"FORA DO CATÁLOGO")</f>
        <v>SAI011CM</v>
      </c>
      <c r="C585" s="11">
        <v>4</v>
      </c>
      <c r="D585" s="11" t="str">
        <f>_xlfn.XLOOKUP(A585,CATÁLOGO!$A$2:$A$846,CATÁLOGO!$E$2:$E$846,"FORA DO CATÁLOGO")</f>
        <v>Ativo</v>
      </c>
      <c r="E585" s="9"/>
      <c r="F585" s="52">
        <f>SUMIFS('AVARIA PINHEIROS'!$C$2:$C$24,'AVARIA PINHEIROS'!$A$2:$A$24,A585)</f>
        <v>0</v>
      </c>
    </row>
    <row r="586" spans="1:6" x14ac:dyDescent="0.3">
      <c r="A586" s="9" t="s">
        <v>419</v>
      </c>
      <c r="B586" s="18" t="str">
        <f>_xlfn.XLOOKUP(A586,CATÁLOGO!$A$2:$A$846,CATÁLOGO!$B$2:$B$846,"FORA DO CATÁLOGO")</f>
        <v>SAI011CG</v>
      </c>
      <c r="C586" s="11">
        <v>3</v>
      </c>
      <c r="D586" s="11" t="str">
        <f>_xlfn.XLOOKUP(A586,CATÁLOGO!$A$2:$A$846,CATÁLOGO!$E$2:$E$846,"FORA DO CATÁLOGO")</f>
        <v>Ativo</v>
      </c>
      <c r="E586" s="9"/>
      <c r="F586" s="52">
        <f>SUMIFS('AVARIA PINHEIROS'!$C$2:$C$24,'AVARIA PINHEIROS'!$A$2:$A$24,A586)</f>
        <v>0</v>
      </c>
    </row>
    <row r="587" spans="1:6" x14ac:dyDescent="0.3">
      <c r="A587" s="9" t="s">
        <v>420</v>
      </c>
      <c r="B587" s="18" t="str">
        <f>_xlfn.XLOOKUP(A587,CATÁLOGO!$A$2:$A$846,CATÁLOGO!$B$2:$B$846,"FORA DO CATÁLOGO")</f>
        <v>SAI011CGG</v>
      </c>
      <c r="C587" s="11">
        <v>2</v>
      </c>
      <c r="D587" s="11" t="str">
        <f>_xlfn.XLOOKUP(A587,CATÁLOGO!$A$2:$A$846,CATÁLOGO!$E$2:$E$846,"FORA DO CATÁLOGO")</f>
        <v>Ativo</v>
      </c>
      <c r="E587" s="9"/>
      <c r="F587" s="52">
        <f>SUMIFS('AVARIA PINHEIROS'!$C$2:$C$24,'AVARIA PINHEIROS'!$A$2:$A$24,A587)</f>
        <v>0</v>
      </c>
    </row>
    <row r="588" spans="1:6" x14ac:dyDescent="0.3">
      <c r="A588" s="9" t="s">
        <v>421</v>
      </c>
      <c r="B588" s="18" t="str">
        <f>_xlfn.XLOOKUP(A588,CATÁLOGO!$A$2:$A$846,CATÁLOGO!$B$2:$B$846,"FORA DO CATÁLOGO")</f>
        <v>MOL014VP</v>
      </c>
      <c r="C588" s="11">
        <v>2</v>
      </c>
      <c r="D588" s="11" t="str">
        <f>_xlfn.XLOOKUP(A588,CATÁLOGO!$A$2:$A$846,CATÁLOGO!$E$2:$E$846,"FORA DO CATÁLOGO")</f>
        <v>Ativo</v>
      </c>
      <c r="E588" s="9"/>
      <c r="F588" s="52">
        <f>SUMIFS('AVARIA PINHEIROS'!$C$2:$C$24,'AVARIA PINHEIROS'!$A$2:$A$24,A588)</f>
        <v>0</v>
      </c>
    </row>
    <row r="589" spans="1:6" x14ac:dyDescent="0.3">
      <c r="A589" s="9" t="s">
        <v>422</v>
      </c>
      <c r="B589" s="18" t="str">
        <f>_xlfn.XLOOKUP(A589,CATÁLOGO!$A$2:$A$846,CATÁLOGO!$B$2:$B$846,"FORA DO CATÁLOGO")</f>
        <v>MOL014VM</v>
      </c>
      <c r="C589" s="11">
        <v>4</v>
      </c>
      <c r="D589" s="11" t="str">
        <f>_xlfn.XLOOKUP(A589,CATÁLOGO!$A$2:$A$846,CATÁLOGO!$E$2:$E$846,"FORA DO CATÁLOGO")</f>
        <v>Ativo</v>
      </c>
      <c r="E589" s="9" t="s">
        <v>4</v>
      </c>
      <c r="F589" s="52">
        <f>SUMIFS('AVARIA PINHEIROS'!$C$2:$C$24,'AVARIA PINHEIROS'!$A$2:$A$24,A589)</f>
        <v>0</v>
      </c>
    </row>
    <row r="590" spans="1:6" x14ac:dyDescent="0.3">
      <c r="A590" s="9" t="s">
        <v>423</v>
      </c>
      <c r="B590" s="18" t="str">
        <f>_xlfn.XLOOKUP(A590,CATÁLOGO!$A$2:$A$846,CATÁLOGO!$B$2:$B$846,"FORA DO CATÁLOGO")</f>
        <v>MOL014VG</v>
      </c>
      <c r="C590" s="11">
        <v>3</v>
      </c>
      <c r="D590" s="11" t="str">
        <f>_xlfn.XLOOKUP(A590,CATÁLOGO!$A$2:$A$846,CATÁLOGO!$E$2:$E$846,"FORA DO CATÁLOGO")</f>
        <v>Ativo</v>
      </c>
      <c r="E590" s="9"/>
      <c r="F590" s="52">
        <f>SUMIFS('AVARIA PINHEIROS'!$C$2:$C$24,'AVARIA PINHEIROS'!$A$2:$A$24,A590)</f>
        <v>0</v>
      </c>
    </row>
    <row r="591" spans="1:6" x14ac:dyDescent="0.3">
      <c r="A591" s="9" t="s">
        <v>424</v>
      </c>
      <c r="B591" s="18" t="str">
        <f>_xlfn.XLOOKUP(A591,CATÁLOGO!$A$2:$A$846,CATÁLOGO!$B$2:$B$846,"FORA DO CATÁLOGO")</f>
        <v>MOL014VGG</v>
      </c>
      <c r="C591" s="11">
        <v>1</v>
      </c>
      <c r="D591" s="11" t="str">
        <f>_xlfn.XLOOKUP(A591,CATÁLOGO!$A$2:$A$846,CATÁLOGO!$E$2:$E$846,"FORA DO CATÁLOGO")</f>
        <v>Ativo</v>
      </c>
      <c r="E591" s="9"/>
      <c r="F591" s="52">
        <f>SUMIFS('AVARIA PINHEIROS'!$C$2:$C$24,'AVARIA PINHEIROS'!$A$2:$A$24,A591)</f>
        <v>0</v>
      </c>
    </row>
    <row r="592" spans="1:6" x14ac:dyDescent="0.3">
      <c r="A592" s="9" t="s">
        <v>425</v>
      </c>
      <c r="B592" s="18" t="str">
        <f>_xlfn.XLOOKUP(A592,CATÁLOGO!$A$2:$A$846,CATÁLOGO!$B$2:$B$846,"FORA DO CATÁLOGO")</f>
        <v>MOL014YM</v>
      </c>
      <c r="C592" s="11">
        <v>2</v>
      </c>
      <c r="D592" s="11" t="str">
        <f>_xlfn.XLOOKUP(A592,CATÁLOGO!$A$2:$A$846,CATÁLOGO!$E$2:$E$846,"FORA DO CATÁLOGO")</f>
        <v>Ativo</v>
      </c>
      <c r="E592" s="9"/>
      <c r="F592" s="52">
        <f>SUMIFS('AVARIA PINHEIROS'!$C$2:$C$24,'AVARIA PINHEIROS'!$A$2:$A$24,A592)</f>
        <v>0</v>
      </c>
    </row>
    <row r="593" spans="1:6" x14ac:dyDescent="0.3">
      <c r="A593" s="9" t="s">
        <v>426</v>
      </c>
      <c r="B593" s="18" t="str">
        <f>_xlfn.XLOOKUP(A593,CATÁLOGO!$A$2:$A$846,CATÁLOGO!$B$2:$B$846,"FORA DO CATÁLOGO")</f>
        <v>MOL014YG</v>
      </c>
      <c r="C593" s="11">
        <v>2</v>
      </c>
      <c r="D593" s="11" t="str">
        <f>_xlfn.XLOOKUP(A593,CATÁLOGO!$A$2:$A$846,CATÁLOGO!$E$2:$E$846,"FORA DO CATÁLOGO")</f>
        <v>Ativo</v>
      </c>
      <c r="E593" s="9" t="s">
        <v>4</v>
      </c>
      <c r="F593" s="52">
        <f>SUMIFS('AVARIA PINHEIROS'!$C$2:$C$24,'AVARIA PINHEIROS'!$A$2:$A$24,A593)</f>
        <v>0</v>
      </c>
    </row>
    <row r="594" spans="1:6" x14ac:dyDescent="0.3">
      <c r="A594" s="9" t="s">
        <v>427</v>
      </c>
      <c r="B594" s="18" t="str">
        <f>_xlfn.XLOOKUP(A594,CATÁLOGO!$A$2:$A$846,CATÁLOGO!$B$2:$B$846,"FORA DO CATÁLOGO")</f>
        <v>MOL014YGG</v>
      </c>
      <c r="C594" s="11">
        <v>1</v>
      </c>
      <c r="D594" s="11" t="str">
        <f>_xlfn.XLOOKUP(A594,CATÁLOGO!$A$2:$A$846,CATÁLOGO!$E$2:$E$846,"FORA DO CATÁLOGO")</f>
        <v>Ativo</v>
      </c>
      <c r="E594" s="9"/>
      <c r="F594" s="52">
        <f>SUMIFS('AVARIA PINHEIROS'!$C$2:$C$24,'AVARIA PINHEIROS'!$A$2:$A$24,A594)</f>
        <v>0</v>
      </c>
    </row>
    <row r="595" spans="1:6" x14ac:dyDescent="0.3">
      <c r="A595" s="9" t="s">
        <v>428</v>
      </c>
      <c r="B595" s="18" t="str">
        <f>_xlfn.XLOOKUP(A595,CATÁLOGO!$A$2:$A$846,CATÁLOGO!$B$2:$B$846,"FORA DO CATÁLOGO")</f>
        <v>MOL015AP</v>
      </c>
      <c r="C595" s="11">
        <v>6</v>
      </c>
      <c r="D595" s="11" t="str">
        <f>_xlfn.XLOOKUP(A595,CATÁLOGO!$A$2:$A$846,CATÁLOGO!$E$2:$E$846,"FORA DO CATÁLOGO")</f>
        <v>Ativo</v>
      </c>
      <c r="E595" s="9"/>
      <c r="F595" s="52">
        <f>SUMIFS('AVARIA PINHEIROS'!$C$2:$C$24,'AVARIA PINHEIROS'!$A$2:$A$24,A595)</f>
        <v>0</v>
      </c>
    </row>
    <row r="596" spans="1:6" x14ac:dyDescent="0.3">
      <c r="A596" s="9" t="s">
        <v>429</v>
      </c>
      <c r="B596" s="18" t="str">
        <f>_xlfn.XLOOKUP(A596,CATÁLOGO!$A$2:$A$846,CATÁLOGO!$B$2:$B$846,"FORA DO CATÁLOGO")</f>
        <v>MOL015AM</v>
      </c>
      <c r="C596" s="11">
        <v>6</v>
      </c>
      <c r="D596" s="11" t="str">
        <f>_xlfn.XLOOKUP(A596,CATÁLOGO!$A$2:$A$846,CATÁLOGO!$E$2:$E$846,"FORA DO CATÁLOGO")</f>
        <v>Ativo</v>
      </c>
      <c r="E596" s="9"/>
      <c r="F596" s="52">
        <f>SUMIFS('AVARIA PINHEIROS'!$C$2:$C$24,'AVARIA PINHEIROS'!$A$2:$A$24,A596)</f>
        <v>0</v>
      </c>
    </row>
    <row r="597" spans="1:6" x14ac:dyDescent="0.3">
      <c r="A597" s="9" t="s">
        <v>430</v>
      </c>
      <c r="B597" s="18" t="str">
        <f>_xlfn.XLOOKUP(A597,CATÁLOGO!$A$2:$A$846,CATÁLOGO!$B$2:$B$846,"FORA DO CATÁLOGO")</f>
        <v>MOL015AG</v>
      </c>
      <c r="C597" s="11">
        <v>6</v>
      </c>
      <c r="D597" s="11" t="str">
        <f>_xlfn.XLOOKUP(A597,CATÁLOGO!$A$2:$A$846,CATÁLOGO!$E$2:$E$846,"FORA DO CATÁLOGO")</f>
        <v>Ativo</v>
      </c>
      <c r="E597" s="9"/>
      <c r="F597" s="52">
        <f>SUMIFS('AVARIA PINHEIROS'!$C$2:$C$24,'AVARIA PINHEIROS'!$A$2:$A$24,A597)</f>
        <v>0</v>
      </c>
    </row>
    <row r="598" spans="1:6" x14ac:dyDescent="0.3">
      <c r="A598" s="9" t="s">
        <v>431</v>
      </c>
      <c r="B598" s="18" t="str">
        <f>_xlfn.XLOOKUP(A598,CATÁLOGO!$A$2:$A$846,CATÁLOGO!$B$2:$B$846,"FORA DO CATÁLOGO")</f>
        <v>MOL015AGG</v>
      </c>
      <c r="C598" s="11">
        <v>4</v>
      </c>
      <c r="D598" s="11" t="str">
        <f>_xlfn.XLOOKUP(A598,CATÁLOGO!$A$2:$A$846,CATÁLOGO!$E$2:$E$846,"FORA DO CATÁLOGO")</f>
        <v>Ativo</v>
      </c>
      <c r="E598" s="9"/>
      <c r="F598" s="52">
        <f>SUMIFS('AVARIA PINHEIROS'!$C$2:$C$24,'AVARIA PINHEIROS'!$A$2:$A$24,A598)</f>
        <v>0</v>
      </c>
    </row>
    <row r="599" spans="1:6" x14ac:dyDescent="0.3">
      <c r="A599" s="9" t="s">
        <v>3</v>
      </c>
      <c r="B599" s="18" t="str">
        <f>_xlfn.XLOOKUP(A599,CATÁLOGO!$A$2:$A$846,CATÁLOGO!$B$2:$B$846,"FORA DO CATÁLOGO")</f>
        <v>JAQ001VP</v>
      </c>
      <c r="C599" s="11">
        <v>3</v>
      </c>
      <c r="D599" s="11" t="str">
        <f>_xlfn.XLOOKUP(A599,CATÁLOGO!$A$2:$A$846,CATÁLOGO!$E$2:$E$846,"FORA DO CATÁLOGO")</f>
        <v>Ativo</v>
      </c>
      <c r="E599" s="9" t="s">
        <v>1297</v>
      </c>
      <c r="F599" s="52">
        <f>SUMIFS('AVARIA PINHEIROS'!$C$2:$C$24,'AVARIA PINHEIROS'!$A$2:$A$24,A599)</f>
        <v>0</v>
      </c>
    </row>
    <row r="600" spans="1:6" x14ac:dyDescent="0.3">
      <c r="A600" s="9" t="s">
        <v>5</v>
      </c>
      <c r="B600" s="18" t="str">
        <f>_xlfn.XLOOKUP(A600,CATÁLOGO!$A$2:$A$846,CATÁLOGO!$B$2:$B$846,"FORA DO CATÁLOGO")</f>
        <v>JAQ001VM</v>
      </c>
      <c r="C600" s="11">
        <v>4</v>
      </c>
      <c r="D600" s="11" t="str">
        <f>_xlfn.XLOOKUP(A600,CATÁLOGO!$A$2:$A$846,CATÁLOGO!$E$2:$E$846,"FORA DO CATÁLOGO")</f>
        <v>Ativo</v>
      </c>
      <c r="E600" s="9" t="s">
        <v>1298</v>
      </c>
      <c r="F600" s="52">
        <f>SUMIFS('AVARIA PINHEIROS'!$C$2:$C$24,'AVARIA PINHEIROS'!$A$2:$A$24,A600)</f>
        <v>0</v>
      </c>
    </row>
    <row r="601" spans="1:6" x14ac:dyDescent="0.3">
      <c r="A601" s="9" t="s">
        <v>432</v>
      </c>
      <c r="B601" s="18" t="str">
        <f>_xlfn.XLOOKUP(A601,CATÁLOGO!$A$2:$A$846,CATÁLOGO!$B$2:$B$846,"FORA DO CATÁLOGO")</f>
        <v>JAQ001VG</v>
      </c>
      <c r="C601" s="11">
        <v>2</v>
      </c>
      <c r="D601" s="11" t="str">
        <f>_xlfn.XLOOKUP(A601,CATÁLOGO!$A$2:$A$846,CATÁLOGO!$E$2:$E$846,"FORA DO CATÁLOGO")</f>
        <v>Ativo</v>
      </c>
      <c r="E601" s="9"/>
      <c r="F601" s="52">
        <f>SUMIFS('AVARIA PINHEIROS'!$C$2:$C$24,'AVARIA PINHEIROS'!$A$2:$A$24,A601)</f>
        <v>0</v>
      </c>
    </row>
    <row r="602" spans="1:6" x14ac:dyDescent="0.3">
      <c r="A602" s="9" t="s">
        <v>433</v>
      </c>
      <c r="B602" s="18" t="str">
        <f>_xlfn.XLOOKUP(A602,CATÁLOGO!$A$2:$A$846,CATÁLOGO!$B$2:$B$846,"FORA DO CATÁLOGO")</f>
        <v>JAQ001VGG</v>
      </c>
      <c r="C602" s="11">
        <v>1</v>
      </c>
      <c r="D602" s="11" t="str">
        <f>_xlfn.XLOOKUP(A602,CATÁLOGO!$A$2:$A$846,CATÁLOGO!$E$2:$E$846,"FORA DO CATÁLOGO")</f>
        <v>Ativo</v>
      </c>
      <c r="E602" s="9"/>
      <c r="F602" s="52">
        <f>SUMIFS('AVARIA PINHEIROS'!$C$2:$C$24,'AVARIA PINHEIROS'!$A$2:$A$24,A602)</f>
        <v>0</v>
      </c>
    </row>
    <row r="603" spans="1:6" x14ac:dyDescent="0.3">
      <c r="A603" s="9" t="s">
        <v>434</v>
      </c>
      <c r="B603" s="18" t="str">
        <f>_xlfn.XLOOKUP(A603,CATÁLOGO!$A$2:$A$846,CATÁLOGO!$B$2:$B$846,"FORA DO CATÁLOGO")</f>
        <v>JAQ001BP</v>
      </c>
      <c r="C603" s="11">
        <v>0</v>
      </c>
      <c r="D603" s="11" t="str">
        <f>_xlfn.XLOOKUP(A603,CATÁLOGO!$A$2:$A$846,CATÁLOGO!$E$2:$E$846,"FORA DO CATÁLOGO")</f>
        <v>Ativo</v>
      </c>
      <c r="E603" s="9"/>
      <c r="F603" s="52">
        <f>SUMIFS('AVARIA PINHEIROS'!$C$2:$C$24,'AVARIA PINHEIROS'!$A$2:$A$24,A603)</f>
        <v>0</v>
      </c>
    </row>
    <row r="604" spans="1:6" x14ac:dyDescent="0.3">
      <c r="A604" s="9" t="s">
        <v>435</v>
      </c>
      <c r="B604" s="18" t="str">
        <f>_xlfn.XLOOKUP(A604,CATÁLOGO!$A$2:$A$846,CATÁLOGO!$B$2:$B$846,"FORA DO CATÁLOGO")</f>
        <v>JAQ001BM</v>
      </c>
      <c r="C604" s="11">
        <v>1</v>
      </c>
      <c r="D604" s="11" t="str">
        <f>_xlfn.XLOOKUP(A604,CATÁLOGO!$A$2:$A$846,CATÁLOGO!$E$2:$E$846,"FORA DO CATÁLOGO")</f>
        <v>Ativo</v>
      </c>
      <c r="E604" s="9"/>
      <c r="F604" s="52">
        <f>SUMIFS('AVARIA PINHEIROS'!$C$2:$C$24,'AVARIA PINHEIROS'!$A$2:$A$24,A604)</f>
        <v>0</v>
      </c>
    </row>
    <row r="605" spans="1:6" x14ac:dyDescent="0.3">
      <c r="A605" s="9" t="s">
        <v>436</v>
      </c>
      <c r="B605" s="18" t="str">
        <f>_xlfn.XLOOKUP(A605,CATÁLOGO!$A$2:$A$846,CATÁLOGO!$B$2:$B$846,"FORA DO CATÁLOGO")</f>
        <v>JAQ001BG</v>
      </c>
      <c r="C605" s="11">
        <v>1</v>
      </c>
      <c r="D605" s="11" t="str">
        <f>_xlfn.XLOOKUP(A605,CATÁLOGO!$A$2:$A$846,CATÁLOGO!$E$2:$E$846,"FORA DO CATÁLOGO")</f>
        <v>Ativo</v>
      </c>
      <c r="E605" s="9" t="s">
        <v>4</v>
      </c>
      <c r="F605" s="52">
        <f>SUMIFS('AVARIA PINHEIROS'!$C$2:$C$24,'AVARIA PINHEIROS'!$A$2:$A$24,A605)</f>
        <v>0</v>
      </c>
    </row>
    <row r="606" spans="1:6" x14ac:dyDescent="0.3">
      <c r="A606" s="9" t="s">
        <v>437</v>
      </c>
      <c r="B606" s="18" t="str">
        <f>_xlfn.XLOOKUP(A606,CATÁLOGO!$A$2:$A$846,CATÁLOGO!$B$2:$B$846,"FORA DO CATÁLOGO")</f>
        <v>JAQ001BGG</v>
      </c>
      <c r="C606" s="11">
        <v>1</v>
      </c>
      <c r="D606" s="11" t="str">
        <f>_xlfn.XLOOKUP(A606,CATÁLOGO!$A$2:$A$846,CATÁLOGO!$E$2:$E$846,"FORA DO CATÁLOGO")</f>
        <v>Ativo</v>
      </c>
      <c r="E606" s="9"/>
      <c r="F606" s="52">
        <f>SUMIFS('AVARIA PINHEIROS'!$C$2:$C$24,'AVARIA PINHEIROS'!$A$2:$A$24,A606)</f>
        <v>0</v>
      </c>
    </row>
    <row r="607" spans="1:6" x14ac:dyDescent="0.3">
      <c r="A607" s="9" t="s">
        <v>438</v>
      </c>
      <c r="B607" s="18" t="str">
        <f>_xlfn.XLOOKUP(A607,CATÁLOGO!$A$2:$A$846,CATÁLOGO!$B$2:$B$846,"FORA DO CATÁLOGO")</f>
        <v>MOL002BP</v>
      </c>
      <c r="C607" s="11">
        <v>6</v>
      </c>
      <c r="D607" s="11" t="str">
        <f>_xlfn.XLOOKUP(A607,CATÁLOGO!$A$2:$A$846,CATÁLOGO!$E$2:$E$846,"FORA DO CATÁLOGO")</f>
        <v>Ativo</v>
      </c>
      <c r="E607" s="9"/>
      <c r="F607" s="52">
        <f>SUMIFS('AVARIA PINHEIROS'!$C$2:$C$24,'AVARIA PINHEIROS'!$A$2:$A$24,A607)</f>
        <v>0</v>
      </c>
    </row>
    <row r="608" spans="1:6" x14ac:dyDescent="0.3">
      <c r="A608" s="9" t="s">
        <v>439</v>
      </c>
      <c r="B608" s="18" t="str">
        <f>_xlfn.XLOOKUP(A608,CATÁLOGO!$A$2:$A$846,CATÁLOGO!$B$2:$B$846,"FORA DO CATÁLOGO")</f>
        <v>MOL002BM</v>
      </c>
      <c r="C608" s="11">
        <v>6</v>
      </c>
      <c r="D608" s="11" t="str">
        <f>_xlfn.XLOOKUP(A608,CATÁLOGO!$A$2:$A$846,CATÁLOGO!$E$2:$E$846,"FORA DO CATÁLOGO")</f>
        <v>Ativo</v>
      </c>
      <c r="E608" s="9"/>
      <c r="F608" s="52">
        <f>SUMIFS('AVARIA PINHEIROS'!$C$2:$C$24,'AVARIA PINHEIROS'!$A$2:$A$24,A608)</f>
        <v>0</v>
      </c>
    </row>
    <row r="609" spans="1:6" x14ac:dyDescent="0.3">
      <c r="A609" s="9" t="s">
        <v>6</v>
      </c>
      <c r="B609" s="18" t="str">
        <f>_xlfn.XLOOKUP(A609,CATÁLOGO!$A$2:$A$846,CATÁLOGO!$B$2:$B$846,"FORA DO CATÁLOGO")</f>
        <v>MOL002BG</v>
      </c>
      <c r="C609" s="11">
        <v>8</v>
      </c>
      <c r="D609" s="11" t="str">
        <f>_xlfn.XLOOKUP(A609,CATÁLOGO!$A$2:$A$846,CATÁLOGO!$E$2:$E$846,"FORA DO CATÁLOGO")</f>
        <v>Ativo</v>
      </c>
      <c r="E609" s="9" t="s">
        <v>1299</v>
      </c>
      <c r="F609" s="52">
        <f>SUMIFS('AVARIA PINHEIROS'!$C$2:$C$24,'AVARIA PINHEIROS'!$A$2:$A$24,A609)</f>
        <v>0</v>
      </c>
    </row>
    <row r="610" spans="1:6" x14ac:dyDescent="0.3">
      <c r="A610" s="9" t="s">
        <v>440</v>
      </c>
      <c r="B610" s="18" t="str">
        <f>_xlfn.XLOOKUP(A610,CATÁLOGO!$A$2:$A$846,CATÁLOGO!$B$2:$B$846,"FORA DO CATÁLOGO")</f>
        <v>MOL002BGG</v>
      </c>
      <c r="C610" s="11">
        <v>5</v>
      </c>
      <c r="D610" s="11" t="str">
        <f>_xlfn.XLOOKUP(A610,CATÁLOGO!$A$2:$A$846,CATÁLOGO!$E$2:$E$846,"FORA DO CATÁLOGO")</f>
        <v>Ativo</v>
      </c>
      <c r="E610" s="9"/>
      <c r="F610" s="52">
        <f>SUMIFS('AVARIA PINHEIROS'!$C$2:$C$24,'AVARIA PINHEIROS'!$A$2:$A$24,A610)</f>
        <v>0</v>
      </c>
    </row>
    <row r="611" spans="1:6" x14ac:dyDescent="0.3">
      <c r="A611" s="9" t="s">
        <v>1918</v>
      </c>
      <c r="B611" s="18" t="str">
        <f>_xlfn.XLOOKUP(A611,CATÁLOGO!$A$2:$A$846,CATÁLOGO!$B$2:$B$846,"FORA DO CATÁLOGO")</f>
        <v>TRI013MPP</v>
      </c>
      <c r="C611" s="11">
        <v>1</v>
      </c>
      <c r="D611" s="11" t="str">
        <f>_xlfn.XLOOKUP(A611,CATÁLOGO!$A$2:$A$846,CATÁLOGO!$E$2:$E$846,"FORA DO CATÁLOGO")</f>
        <v>Ativo</v>
      </c>
      <c r="E611" s="9"/>
      <c r="F611" s="52">
        <f>SUMIFS('AVARIA PINHEIROS'!$C$2:$C$24,'AVARIA PINHEIROS'!$A$2:$A$24,A611)</f>
        <v>0</v>
      </c>
    </row>
    <row r="612" spans="1:6" x14ac:dyDescent="0.3">
      <c r="A612" s="9" t="s">
        <v>441</v>
      </c>
      <c r="B612" s="18" t="str">
        <f>_xlfn.XLOOKUP(A612,CATÁLOGO!$A$2:$A$846,CATÁLOGO!$B$2:$B$846,"FORA DO CATÁLOGO")</f>
        <v>TRI013MP</v>
      </c>
      <c r="C612" s="11">
        <v>2</v>
      </c>
      <c r="D612" s="11" t="str">
        <f>_xlfn.XLOOKUP(A612,CATÁLOGO!$A$2:$A$846,CATÁLOGO!$E$2:$E$846,"FORA DO CATÁLOGO")</f>
        <v>Ativo</v>
      </c>
      <c r="E612" s="9"/>
      <c r="F612" s="52">
        <f>SUMIFS('AVARIA PINHEIROS'!$C$2:$C$24,'AVARIA PINHEIROS'!$A$2:$A$24,A612)</f>
        <v>0</v>
      </c>
    </row>
    <row r="613" spans="1:6" x14ac:dyDescent="0.3">
      <c r="A613" s="9" t="s">
        <v>442</v>
      </c>
      <c r="B613" s="18" t="str">
        <f>_xlfn.XLOOKUP(A613,CATÁLOGO!$A$2:$A$846,CATÁLOGO!$B$2:$B$846,"FORA DO CATÁLOGO")</f>
        <v>TRI013MM</v>
      </c>
      <c r="C613" s="11">
        <v>3</v>
      </c>
      <c r="D613" s="11" t="str">
        <f>_xlfn.XLOOKUP(A613,CATÁLOGO!$A$2:$A$846,CATÁLOGO!$E$2:$E$846,"FORA DO CATÁLOGO")</f>
        <v>Ativo</v>
      </c>
      <c r="E613" s="9"/>
      <c r="F613" s="52">
        <f>SUMIFS('AVARIA PINHEIROS'!$C$2:$C$24,'AVARIA PINHEIROS'!$A$2:$A$24,A613)</f>
        <v>0</v>
      </c>
    </row>
    <row r="614" spans="1:6" x14ac:dyDescent="0.3">
      <c r="A614" s="9" t="s">
        <v>443</v>
      </c>
      <c r="B614" s="18" t="str">
        <f>_xlfn.XLOOKUP(A614,CATÁLOGO!$A$2:$A$846,CATÁLOGO!$B$2:$B$846,"FORA DO CATÁLOGO")</f>
        <v>TRI013MG</v>
      </c>
      <c r="C614" s="11">
        <v>2</v>
      </c>
      <c r="D614" s="11" t="str">
        <f>_xlfn.XLOOKUP(A614,CATÁLOGO!$A$2:$A$846,CATÁLOGO!$E$2:$E$846,"FORA DO CATÁLOGO")</f>
        <v>Ativo</v>
      </c>
      <c r="E614" s="9"/>
      <c r="F614" s="52">
        <f>SUMIFS('AVARIA PINHEIROS'!$C$2:$C$24,'AVARIA PINHEIROS'!$A$2:$A$24,A614)</f>
        <v>0</v>
      </c>
    </row>
    <row r="615" spans="1:6" x14ac:dyDescent="0.3">
      <c r="A615" s="9" t="s">
        <v>444</v>
      </c>
      <c r="B615" s="18" t="str">
        <f>_xlfn.XLOOKUP(A615,CATÁLOGO!$A$2:$A$846,CATÁLOGO!$B$2:$B$846,"FORA DO CATÁLOGO")</f>
        <v>TRI013MGG</v>
      </c>
      <c r="C615" s="11">
        <v>1</v>
      </c>
      <c r="D615" s="11" t="str">
        <f>_xlfn.XLOOKUP(A615,CATÁLOGO!$A$2:$A$846,CATÁLOGO!$E$2:$E$846,"FORA DO CATÁLOGO")</f>
        <v>Ativo</v>
      </c>
      <c r="E615" s="9"/>
      <c r="F615" s="52">
        <f>SUMIFS('AVARIA PINHEIROS'!$C$2:$C$24,'AVARIA PINHEIROS'!$A$2:$A$24,A615)</f>
        <v>0</v>
      </c>
    </row>
    <row r="616" spans="1:6" x14ac:dyDescent="0.3">
      <c r="A616" s="9" t="s">
        <v>1512</v>
      </c>
      <c r="B616" s="18" t="str">
        <f>_xlfn.XLOOKUP(A616,CATÁLOGO!$A$2:$A$846,CATÁLOGO!$B$2:$B$846,"FORA DO CATÁLOGO")</f>
        <v>BER011G38</v>
      </c>
      <c r="C616" s="11">
        <v>6</v>
      </c>
      <c r="D616" s="11" t="str">
        <f>_xlfn.XLOOKUP(A616,CATÁLOGO!$A$2:$A$846,CATÁLOGO!$E$2:$E$846,"FORA DO CATÁLOGO")</f>
        <v>Ativo</v>
      </c>
      <c r="E616" s="9"/>
      <c r="F616" s="52">
        <f>SUMIFS('AVARIA PINHEIROS'!$C$2:$C$24,'AVARIA PINHEIROS'!$A$2:$A$24,A616)</f>
        <v>0</v>
      </c>
    </row>
    <row r="617" spans="1:6" x14ac:dyDescent="0.3">
      <c r="A617" s="9" t="s">
        <v>1511</v>
      </c>
      <c r="B617" s="18" t="str">
        <f>_xlfn.XLOOKUP(A617,CATÁLOGO!$A$2:$A$846,CATÁLOGO!$B$2:$B$846,"FORA DO CATÁLOGO")</f>
        <v>BER011G40</v>
      </c>
      <c r="C617" s="11">
        <v>6</v>
      </c>
      <c r="D617" s="11" t="str">
        <f>_xlfn.XLOOKUP(A617,CATÁLOGO!$A$2:$A$846,CATÁLOGO!$E$2:$E$846,"FORA DO CATÁLOGO")</f>
        <v>Ativo</v>
      </c>
      <c r="E617" s="9"/>
      <c r="F617" s="52">
        <f>SUMIFS('AVARIA PINHEIROS'!$C$2:$C$24,'AVARIA PINHEIROS'!$A$2:$A$24,A617)</f>
        <v>0</v>
      </c>
    </row>
    <row r="618" spans="1:6" x14ac:dyDescent="0.3">
      <c r="A618" s="9" t="s">
        <v>1508</v>
      </c>
      <c r="B618" s="18" t="str">
        <f>_xlfn.XLOOKUP(A618,CATÁLOGO!$A$2:$A$846,CATÁLOGO!$B$2:$B$846,"FORA DO CATÁLOGO")</f>
        <v>BER011G42</v>
      </c>
      <c r="C618" s="11">
        <v>6</v>
      </c>
      <c r="D618" s="11" t="str">
        <f>_xlfn.XLOOKUP(A618,CATÁLOGO!$A$2:$A$846,CATÁLOGO!$E$2:$E$846,"FORA DO CATÁLOGO")</f>
        <v>Ativo</v>
      </c>
      <c r="E618" s="9"/>
      <c r="F618" s="52">
        <f>SUMIFS('AVARIA PINHEIROS'!$C$2:$C$24,'AVARIA PINHEIROS'!$A$2:$A$24,A618)</f>
        <v>0</v>
      </c>
    </row>
    <row r="619" spans="1:6" x14ac:dyDescent="0.3">
      <c r="A619" s="9" t="s">
        <v>1510</v>
      </c>
      <c r="B619" s="18" t="str">
        <f>_xlfn.XLOOKUP(A619,CATÁLOGO!$A$2:$A$846,CATÁLOGO!$B$2:$B$846,"FORA DO CATÁLOGO")</f>
        <v>BER011G44</v>
      </c>
      <c r="C619" s="11">
        <v>4</v>
      </c>
      <c r="D619" s="11" t="str">
        <f>_xlfn.XLOOKUP(A619,CATÁLOGO!$A$2:$A$846,CATÁLOGO!$E$2:$E$846,"FORA DO CATÁLOGO")</f>
        <v>Ativo</v>
      </c>
      <c r="E619" s="9"/>
      <c r="F619" s="52">
        <f>SUMIFS('AVARIA PINHEIROS'!$C$2:$C$24,'AVARIA PINHEIROS'!$A$2:$A$24,A619)</f>
        <v>0</v>
      </c>
    </row>
    <row r="620" spans="1:6" x14ac:dyDescent="0.3">
      <c r="A620" s="9" t="s">
        <v>445</v>
      </c>
      <c r="B620" s="18" t="str">
        <f>_xlfn.XLOOKUP(A620,CATÁLOGO!$A$2:$A$846,CATÁLOGO!$B$2:$B$846,"FORA DO CATÁLOGO")</f>
        <v>JAQ009YM</v>
      </c>
      <c r="C620" s="11">
        <v>6</v>
      </c>
      <c r="D620" s="11" t="str">
        <f>_xlfn.XLOOKUP(A620,CATÁLOGO!$A$2:$A$846,CATÁLOGO!$E$2:$E$846,"FORA DO CATÁLOGO")</f>
        <v>Ativo</v>
      </c>
      <c r="E620" s="9"/>
      <c r="F620" s="52">
        <f>SUMIFS('AVARIA PINHEIROS'!$C$2:$C$24,'AVARIA PINHEIROS'!$A$2:$A$24,A620)</f>
        <v>0</v>
      </c>
    </row>
    <row r="621" spans="1:6" x14ac:dyDescent="0.3">
      <c r="A621" s="9" t="s">
        <v>446</v>
      </c>
      <c r="B621" s="18" t="str">
        <f>_xlfn.XLOOKUP(A621,CATÁLOGO!$A$2:$A$846,CATÁLOGO!$B$2:$B$846,"FORA DO CATÁLOGO")</f>
        <v>JAQ009YG</v>
      </c>
      <c r="C621" s="11">
        <v>6</v>
      </c>
      <c r="D621" s="11" t="str">
        <f>_xlfn.XLOOKUP(A621,CATÁLOGO!$A$2:$A$846,CATÁLOGO!$E$2:$E$846,"FORA DO CATÁLOGO")</f>
        <v>Ativo</v>
      </c>
      <c r="E621" s="9"/>
      <c r="F621" s="52">
        <f>SUMIFS('AVARIA PINHEIROS'!$C$2:$C$24,'AVARIA PINHEIROS'!$A$2:$A$24,A621)</f>
        <v>0</v>
      </c>
    </row>
    <row r="622" spans="1:6" x14ac:dyDescent="0.3">
      <c r="A622" s="9" t="s">
        <v>447</v>
      </c>
      <c r="B622" s="18" t="str">
        <f>_xlfn.XLOOKUP(A622,CATÁLOGO!$A$2:$A$846,CATÁLOGO!$B$2:$B$846,"FORA DO CATÁLOGO")</f>
        <v>JAQ009YGG</v>
      </c>
      <c r="C622" s="11">
        <v>3</v>
      </c>
      <c r="D622" s="11" t="str">
        <f>_xlfn.XLOOKUP(A622,CATÁLOGO!$A$2:$A$846,CATÁLOGO!$E$2:$E$846,"FORA DO CATÁLOGO")</f>
        <v>Ativo</v>
      </c>
      <c r="E622" s="9"/>
      <c r="F622" s="52">
        <f>SUMIFS('AVARIA PINHEIROS'!$C$2:$C$24,'AVARIA PINHEIROS'!$A$2:$A$24,A622)</f>
        <v>0</v>
      </c>
    </row>
    <row r="623" spans="1:6" x14ac:dyDescent="0.3">
      <c r="A623" s="9" t="s">
        <v>1808</v>
      </c>
      <c r="B623" s="18" t="str">
        <f>_xlfn.XLOOKUP(A623,CATÁLOGO!$A$2:$A$846,CATÁLOGO!$B$2:$B$846,"FORA DO CATÁLOGO")</f>
        <v>JAQ010HPP</v>
      </c>
      <c r="C623" s="11">
        <v>1</v>
      </c>
      <c r="D623" s="11" t="str">
        <f>_xlfn.XLOOKUP(A623,CATÁLOGO!$A$2:$A$846,CATÁLOGO!$E$2:$E$846,"FORA DO CATÁLOGO")</f>
        <v>Ativo</v>
      </c>
      <c r="E623" s="9"/>
      <c r="F623" s="52">
        <f>SUMIFS('AVARIA PINHEIROS'!$C$2:$C$24,'AVARIA PINHEIROS'!$A$2:$A$24,A623)</f>
        <v>0</v>
      </c>
    </row>
    <row r="624" spans="1:6" x14ac:dyDescent="0.3">
      <c r="A624" s="9" t="s">
        <v>448</v>
      </c>
      <c r="B624" s="18" t="str">
        <f>_xlfn.XLOOKUP(A624,CATÁLOGO!$A$2:$A$846,CATÁLOGO!$B$2:$B$846,"FORA DO CATÁLOGO")</f>
        <v>JAQ010HP</v>
      </c>
      <c r="C624" s="11">
        <v>4</v>
      </c>
      <c r="D624" s="11" t="str">
        <f>_xlfn.XLOOKUP(A624,CATÁLOGO!$A$2:$A$846,CATÁLOGO!$E$2:$E$846,"FORA DO CATÁLOGO")</f>
        <v>Ativo</v>
      </c>
      <c r="E624" s="9"/>
      <c r="F624" s="52">
        <f>SUMIFS('AVARIA PINHEIROS'!$C$2:$C$24,'AVARIA PINHEIROS'!$A$2:$A$24,A624)</f>
        <v>0</v>
      </c>
    </row>
    <row r="625" spans="1:6" x14ac:dyDescent="0.3">
      <c r="A625" s="9" t="s">
        <v>449</v>
      </c>
      <c r="B625" s="18" t="str">
        <f>_xlfn.XLOOKUP(A625,CATÁLOGO!$A$2:$A$846,CATÁLOGO!$B$2:$B$846,"FORA DO CATÁLOGO")</f>
        <v>JAQ010HM</v>
      </c>
      <c r="C625" s="11">
        <v>4</v>
      </c>
      <c r="D625" s="11" t="str">
        <f>_xlfn.XLOOKUP(A625,CATÁLOGO!$A$2:$A$846,CATÁLOGO!$E$2:$E$846,"FORA DO CATÁLOGO")</f>
        <v>Ativo</v>
      </c>
      <c r="E625" s="9"/>
      <c r="F625" s="52">
        <f>SUMIFS('AVARIA PINHEIROS'!$C$2:$C$24,'AVARIA PINHEIROS'!$A$2:$A$24,A625)</f>
        <v>0</v>
      </c>
    </row>
    <row r="626" spans="1:6" x14ac:dyDescent="0.3">
      <c r="A626" s="9" t="s">
        <v>450</v>
      </c>
      <c r="B626" s="18" t="str">
        <f>_xlfn.XLOOKUP(A626,CATÁLOGO!$A$2:$A$846,CATÁLOGO!$B$2:$B$846,"FORA DO CATÁLOGO")</f>
        <v>JAQ010HG</v>
      </c>
      <c r="C626" s="11">
        <v>3</v>
      </c>
      <c r="D626" s="11" t="str">
        <f>_xlfn.XLOOKUP(A626,CATÁLOGO!$A$2:$A$846,CATÁLOGO!$E$2:$E$846,"FORA DO CATÁLOGO")</f>
        <v>Ativo</v>
      </c>
      <c r="E626" s="9"/>
      <c r="F626" s="52">
        <f>SUMIFS('AVARIA PINHEIROS'!$C$2:$C$24,'AVARIA PINHEIROS'!$A$2:$A$24,A626)</f>
        <v>0</v>
      </c>
    </row>
    <row r="627" spans="1:6" x14ac:dyDescent="0.3">
      <c r="A627" s="9" t="s">
        <v>451</v>
      </c>
      <c r="B627" s="18" t="str">
        <f>_xlfn.XLOOKUP(A627,CATÁLOGO!$A$2:$A$846,CATÁLOGO!$B$2:$B$846,"FORA DO CATÁLOGO")</f>
        <v>JAQ010HGG</v>
      </c>
      <c r="C627" s="11">
        <v>2</v>
      </c>
      <c r="D627" s="11" t="str">
        <f>_xlfn.XLOOKUP(A627,CATÁLOGO!$A$2:$A$846,CATÁLOGO!$E$2:$E$846,"FORA DO CATÁLOGO")</f>
        <v>Ativo</v>
      </c>
      <c r="E627" s="9"/>
      <c r="F627" s="52">
        <f>SUMIFS('AVARIA PINHEIROS'!$C$2:$C$24,'AVARIA PINHEIROS'!$A$2:$A$24,A627)</f>
        <v>0</v>
      </c>
    </row>
    <row r="628" spans="1:6" x14ac:dyDescent="0.3">
      <c r="A628" s="9" t="s">
        <v>1807</v>
      </c>
      <c r="B628" s="18" t="str">
        <f>_xlfn.XLOOKUP(A628,CATÁLOGO!$A$2:$A$846,CATÁLOGO!$B$2:$B$846,"FORA DO CATÁLOGO")</f>
        <v>JAQ010VPP</v>
      </c>
      <c r="C628" s="11">
        <v>2</v>
      </c>
      <c r="D628" s="11" t="str">
        <f>_xlfn.XLOOKUP(A628,CATÁLOGO!$A$2:$A$846,CATÁLOGO!$E$2:$E$846,"FORA DO CATÁLOGO")</f>
        <v>Ativo</v>
      </c>
      <c r="E628" s="9"/>
      <c r="F628" s="52">
        <f>SUMIFS('AVARIA PINHEIROS'!$C$2:$C$24,'AVARIA PINHEIROS'!$A$2:$A$24,A628)</f>
        <v>0</v>
      </c>
    </row>
    <row r="629" spans="1:6" x14ac:dyDescent="0.3">
      <c r="A629" s="9" t="s">
        <v>452</v>
      </c>
      <c r="B629" s="18" t="str">
        <f>_xlfn.XLOOKUP(A629,CATÁLOGO!$A$2:$A$846,CATÁLOGO!$B$2:$B$846,"FORA DO CATÁLOGO")</f>
        <v>JAQ010VP</v>
      </c>
      <c r="C629" s="11">
        <v>3</v>
      </c>
      <c r="D629" s="11" t="str">
        <f>_xlfn.XLOOKUP(A629,CATÁLOGO!$A$2:$A$846,CATÁLOGO!$E$2:$E$846,"FORA DO CATÁLOGO")</f>
        <v>Ativo</v>
      </c>
      <c r="E629" s="9"/>
      <c r="F629" s="52">
        <f>SUMIFS('AVARIA PINHEIROS'!$C$2:$C$24,'AVARIA PINHEIROS'!$A$2:$A$24,A629)</f>
        <v>0</v>
      </c>
    </row>
    <row r="630" spans="1:6" x14ac:dyDescent="0.3">
      <c r="A630" s="9" t="s">
        <v>453</v>
      </c>
      <c r="B630" s="18" t="str">
        <f>_xlfn.XLOOKUP(A630,CATÁLOGO!$A$2:$A$846,CATÁLOGO!$B$2:$B$846,"FORA DO CATÁLOGO")</f>
        <v>JAQ010VM</v>
      </c>
      <c r="C630" s="11">
        <v>2</v>
      </c>
      <c r="D630" s="11" t="str">
        <f>_xlfn.XLOOKUP(A630,CATÁLOGO!$A$2:$A$846,CATÁLOGO!$E$2:$E$846,"FORA DO CATÁLOGO")</f>
        <v>Ativo</v>
      </c>
      <c r="E630" s="9"/>
      <c r="F630" s="52">
        <f>SUMIFS('AVARIA PINHEIROS'!$C$2:$C$24,'AVARIA PINHEIROS'!$A$2:$A$24,A630)</f>
        <v>0</v>
      </c>
    </row>
    <row r="631" spans="1:6" x14ac:dyDescent="0.3">
      <c r="A631" s="9" t="s">
        <v>454</v>
      </c>
      <c r="B631" s="18" t="str">
        <f>_xlfn.XLOOKUP(A631,CATÁLOGO!$A$2:$A$846,CATÁLOGO!$B$2:$B$846,"FORA DO CATÁLOGO")</f>
        <v>JAQ010VG</v>
      </c>
      <c r="C631" s="11">
        <v>2</v>
      </c>
      <c r="D631" s="11" t="str">
        <f>_xlfn.XLOOKUP(A631,CATÁLOGO!$A$2:$A$846,CATÁLOGO!$E$2:$E$846,"FORA DO CATÁLOGO")</f>
        <v>Ativo</v>
      </c>
      <c r="E631" s="9"/>
      <c r="F631" s="52">
        <f>SUMIFS('AVARIA PINHEIROS'!$C$2:$C$24,'AVARIA PINHEIROS'!$A$2:$A$24,A631)</f>
        <v>0</v>
      </c>
    </row>
    <row r="632" spans="1:6" x14ac:dyDescent="0.3">
      <c r="A632" s="9" t="s">
        <v>455</v>
      </c>
      <c r="B632" s="18" t="str">
        <f>_xlfn.XLOOKUP(A632,CATÁLOGO!$A$2:$A$846,CATÁLOGO!$B$2:$B$846,"FORA DO CATÁLOGO")</f>
        <v>JAQ010VGG</v>
      </c>
      <c r="C632" s="11">
        <v>1</v>
      </c>
      <c r="D632" s="11" t="str">
        <f>_xlfn.XLOOKUP(A632,CATÁLOGO!$A$2:$A$846,CATÁLOGO!$E$2:$E$846,"FORA DO CATÁLOGO")</f>
        <v>Ativo</v>
      </c>
      <c r="E632" s="9"/>
      <c r="F632" s="52">
        <f>SUMIFS('AVARIA PINHEIROS'!$C$2:$C$24,'AVARIA PINHEIROS'!$A$2:$A$24,A632)</f>
        <v>0</v>
      </c>
    </row>
    <row r="633" spans="1:6" x14ac:dyDescent="0.3">
      <c r="A633" s="9" t="s">
        <v>456</v>
      </c>
      <c r="B633" s="18" t="str">
        <f>_xlfn.XLOOKUP(A633,CATÁLOGO!$A$2:$A$846,CATÁLOGO!$B$2:$B$846,"FORA DO CATÁLOGO")</f>
        <v>TRI001MM</v>
      </c>
      <c r="C633" s="11">
        <v>5</v>
      </c>
      <c r="D633" s="11" t="str">
        <f>_xlfn.XLOOKUP(A633,CATÁLOGO!$A$2:$A$846,CATÁLOGO!$E$2:$E$846,"FORA DO CATÁLOGO")</f>
        <v>Ativo</v>
      </c>
      <c r="E633" s="9"/>
      <c r="F633" s="52">
        <f>SUMIFS('AVARIA PINHEIROS'!$C$2:$C$24,'AVARIA PINHEIROS'!$A$2:$A$24,A633)</f>
        <v>0</v>
      </c>
    </row>
    <row r="634" spans="1:6" x14ac:dyDescent="0.3">
      <c r="A634" s="9" t="s">
        <v>457</v>
      </c>
      <c r="B634" s="18" t="str">
        <f>_xlfn.XLOOKUP(A634,CATÁLOGO!$A$2:$A$846,CATÁLOGO!$B$2:$B$846,"FORA DO CATÁLOGO")</f>
        <v>TRI001MG</v>
      </c>
      <c r="C634" s="11">
        <v>4</v>
      </c>
      <c r="D634" s="11" t="str">
        <f>_xlfn.XLOOKUP(A634,CATÁLOGO!$A$2:$A$846,CATÁLOGO!$E$2:$E$846,"FORA DO CATÁLOGO")</f>
        <v>Ativo</v>
      </c>
      <c r="E634" s="9"/>
      <c r="F634" s="52">
        <f>SUMIFS('AVARIA PINHEIROS'!$C$2:$C$24,'AVARIA PINHEIROS'!$A$2:$A$24,A634)</f>
        <v>0</v>
      </c>
    </row>
    <row r="635" spans="1:6" x14ac:dyDescent="0.3">
      <c r="A635" s="9" t="s">
        <v>458</v>
      </c>
      <c r="B635" s="18" t="str">
        <f>_xlfn.XLOOKUP(A635,CATÁLOGO!$A$2:$A$846,CATÁLOGO!$B$2:$B$846,"FORA DO CATÁLOGO")</f>
        <v>SAI012GP</v>
      </c>
      <c r="C635" s="11">
        <v>7</v>
      </c>
      <c r="D635" s="11" t="str">
        <f>_xlfn.XLOOKUP(A635,CATÁLOGO!$A$2:$A$846,CATÁLOGO!$E$2:$E$846,"FORA DO CATÁLOGO")</f>
        <v>Ativo</v>
      </c>
      <c r="E635" s="9"/>
      <c r="F635" s="52">
        <f>SUMIFS('AVARIA PINHEIROS'!$C$2:$C$24,'AVARIA PINHEIROS'!$A$2:$A$24,A635)</f>
        <v>0</v>
      </c>
    </row>
    <row r="636" spans="1:6" x14ac:dyDescent="0.3">
      <c r="A636" s="9" t="s">
        <v>459</v>
      </c>
      <c r="B636" s="18" t="str">
        <f>_xlfn.XLOOKUP(A636,CATÁLOGO!$A$2:$A$846,CATÁLOGO!$B$2:$B$846,"FORA DO CATÁLOGO")</f>
        <v>SAI012GG</v>
      </c>
      <c r="C636" s="11">
        <v>6</v>
      </c>
      <c r="D636" s="11" t="str">
        <f>_xlfn.XLOOKUP(A636,CATÁLOGO!$A$2:$A$846,CATÁLOGO!$E$2:$E$846,"FORA DO CATÁLOGO")</f>
        <v>Ativo</v>
      </c>
      <c r="E636" s="9"/>
      <c r="F636" s="52">
        <f>SUMIFS('AVARIA PINHEIROS'!$C$2:$C$24,'AVARIA PINHEIROS'!$A$2:$A$24,A636)</f>
        <v>0</v>
      </c>
    </row>
    <row r="637" spans="1:6" x14ac:dyDescent="0.3">
      <c r="A637" s="9" t="s">
        <v>460</v>
      </c>
      <c r="B637" s="18" t="str">
        <f>_xlfn.XLOOKUP(A637,CATÁLOGO!$A$2:$A$846,CATÁLOGO!$B$2:$B$846,"FORA DO CATÁLOGO")</f>
        <v>SAI012GGG</v>
      </c>
      <c r="C637" s="11">
        <v>4</v>
      </c>
      <c r="D637" s="11" t="str">
        <f>_xlfn.XLOOKUP(A637,CATÁLOGO!$A$2:$A$846,CATÁLOGO!$E$2:$E$846,"FORA DO CATÁLOGO")</f>
        <v>Ativo</v>
      </c>
      <c r="E637" s="9"/>
      <c r="F637" s="52">
        <f>SUMIFS('AVARIA PINHEIROS'!$C$2:$C$24,'AVARIA PINHEIROS'!$A$2:$A$24,A637)</f>
        <v>0</v>
      </c>
    </row>
    <row r="638" spans="1:6" x14ac:dyDescent="0.3">
      <c r="A638" s="9" t="s">
        <v>461</v>
      </c>
      <c r="B638" s="18" t="str">
        <f>_xlfn.XLOOKUP(A638,CATÁLOGO!$A$2:$A$846,CATÁLOGO!$B$2:$B$846,"FORA DO CATÁLOGO")</f>
        <v>MOL017LP</v>
      </c>
      <c r="C638" s="11">
        <v>2</v>
      </c>
      <c r="D638" s="11" t="str">
        <f>_xlfn.XLOOKUP(A638,CATÁLOGO!$A$2:$A$846,CATÁLOGO!$E$2:$E$846,"FORA DO CATÁLOGO")</f>
        <v>Ativo</v>
      </c>
      <c r="E638" s="9"/>
      <c r="F638" s="52">
        <f>SUMIFS('AVARIA PINHEIROS'!$C$2:$C$24,'AVARIA PINHEIROS'!$A$2:$A$24,A638)</f>
        <v>0</v>
      </c>
    </row>
    <row r="639" spans="1:6" x14ac:dyDescent="0.3">
      <c r="A639" s="9" t="s">
        <v>462</v>
      </c>
      <c r="B639" s="18" t="str">
        <f>_xlfn.XLOOKUP(A639,CATÁLOGO!$A$2:$A$846,CATÁLOGO!$B$2:$B$846,"FORA DO CATÁLOGO")</f>
        <v>MOL017LM</v>
      </c>
      <c r="C639" s="11">
        <v>3</v>
      </c>
      <c r="D639" s="11" t="str">
        <f>_xlfn.XLOOKUP(A639,CATÁLOGO!$A$2:$A$846,CATÁLOGO!$E$2:$E$846,"FORA DO CATÁLOGO")</f>
        <v>Ativo</v>
      </c>
      <c r="E639" s="9"/>
      <c r="F639" s="52">
        <f>SUMIFS('AVARIA PINHEIROS'!$C$2:$C$24,'AVARIA PINHEIROS'!$A$2:$A$24,A639)</f>
        <v>0</v>
      </c>
    </row>
    <row r="640" spans="1:6" x14ac:dyDescent="0.3">
      <c r="A640" s="9" t="s">
        <v>463</v>
      </c>
      <c r="B640" s="18" t="str">
        <f>_xlfn.XLOOKUP(A640,CATÁLOGO!$A$2:$A$846,CATÁLOGO!$B$2:$B$846,"FORA DO CATÁLOGO")</f>
        <v>MOL017LG</v>
      </c>
      <c r="C640" s="11">
        <v>1</v>
      </c>
      <c r="D640" s="11" t="str">
        <f>_xlfn.XLOOKUP(A640,CATÁLOGO!$A$2:$A$846,CATÁLOGO!$E$2:$E$846,"FORA DO CATÁLOGO")</f>
        <v>Ativo</v>
      </c>
      <c r="E640" s="9"/>
      <c r="F640" s="52">
        <f>SUMIFS('AVARIA PINHEIROS'!$C$2:$C$24,'AVARIA PINHEIROS'!$A$2:$A$24,A640)</f>
        <v>0</v>
      </c>
    </row>
    <row r="641" spans="1:6" x14ac:dyDescent="0.3">
      <c r="A641" s="9" t="s">
        <v>464</v>
      </c>
      <c r="B641" s="18" t="str">
        <f>_xlfn.XLOOKUP(A641,CATÁLOGO!$A$2:$A$846,CATÁLOGO!$B$2:$B$846,"FORA DO CATÁLOGO")</f>
        <v>MOL017LGG</v>
      </c>
      <c r="C641" s="11">
        <v>1</v>
      </c>
      <c r="D641" s="11" t="str">
        <f>_xlfn.XLOOKUP(A641,CATÁLOGO!$A$2:$A$846,CATÁLOGO!$E$2:$E$846,"FORA DO CATÁLOGO")</f>
        <v>Ativo</v>
      </c>
      <c r="E641" s="9"/>
      <c r="F641" s="52">
        <f>SUMIFS('AVARIA PINHEIROS'!$C$2:$C$24,'AVARIA PINHEIROS'!$A$2:$A$24,A641)</f>
        <v>0</v>
      </c>
    </row>
    <row r="642" spans="1:6" x14ac:dyDescent="0.3">
      <c r="A642" s="9" t="s">
        <v>465</v>
      </c>
      <c r="B642" s="18" t="str">
        <f>_xlfn.XLOOKUP(A642,CATÁLOGO!$A$2:$A$846,CATÁLOGO!$B$2:$B$846,"FORA DO CATÁLOGO")</f>
        <v>ACE012AU</v>
      </c>
      <c r="C642" s="11">
        <v>7</v>
      </c>
      <c r="D642" s="11" t="str">
        <f>_xlfn.XLOOKUP(A642,CATÁLOGO!$A$2:$A$846,CATÁLOGO!$E$2:$E$846,"FORA DO CATÁLOGO")</f>
        <v>Ativo</v>
      </c>
      <c r="E642" s="9"/>
      <c r="F642" s="52">
        <f>SUMIFS('AVARIA PINHEIROS'!$C$2:$C$24,'AVARIA PINHEIROS'!$A$2:$A$24,A642)</f>
        <v>0</v>
      </c>
    </row>
    <row r="643" spans="1:6" x14ac:dyDescent="0.3">
      <c r="A643" s="9" t="s">
        <v>466</v>
      </c>
      <c r="B643" s="18" t="str">
        <f>_xlfn.XLOOKUP(A643,CATÁLOGO!$A$2:$A$846,CATÁLOGO!$B$2:$B$846,"FORA DO CATÁLOGO")</f>
        <v>MOL018BP</v>
      </c>
      <c r="C643" s="11">
        <v>2</v>
      </c>
      <c r="D643" s="11" t="str">
        <f>_xlfn.XLOOKUP(A643,CATÁLOGO!$A$2:$A$846,CATÁLOGO!$E$2:$E$846,"FORA DO CATÁLOGO")</f>
        <v>Ativo</v>
      </c>
      <c r="E643" s="9"/>
      <c r="F643" s="52">
        <f>SUMIFS('AVARIA PINHEIROS'!$C$2:$C$24,'AVARIA PINHEIROS'!$A$2:$A$24,A643)</f>
        <v>0</v>
      </c>
    </row>
    <row r="644" spans="1:6" x14ac:dyDescent="0.3">
      <c r="A644" s="9" t="s">
        <v>467</v>
      </c>
      <c r="B644" s="18" t="str">
        <f>_xlfn.XLOOKUP(A644,CATÁLOGO!$A$2:$A$846,CATÁLOGO!$B$2:$B$846,"FORA DO CATÁLOGO")</f>
        <v>MOL018BM</v>
      </c>
      <c r="C644" s="11">
        <v>3</v>
      </c>
      <c r="D644" s="11" t="str">
        <f>_xlfn.XLOOKUP(A644,CATÁLOGO!$A$2:$A$846,CATÁLOGO!$E$2:$E$846,"FORA DO CATÁLOGO")</f>
        <v>Ativo</v>
      </c>
      <c r="E644" s="9"/>
      <c r="F644" s="52">
        <f>SUMIFS('AVARIA PINHEIROS'!$C$2:$C$24,'AVARIA PINHEIROS'!$A$2:$A$24,A644)</f>
        <v>0</v>
      </c>
    </row>
    <row r="645" spans="1:6" x14ac:dyDescent="0.3">
      <c r="A645" s="9" t="s">
        <v>468</v>
      </c>
      <c r="B645" s="18" t="str">
        <f>_xlfn.XLOOKUP(A645,CATÁLOGO!$A$2:$A$846,CATÁLOGO!$B$2:$B$846,"FORA DO CATÁLOGO")</f>
        <v>MOL018BG</v>
      </c>
      <c r="C645" s="11">
        <v>2</v>
      </c>
      <c r="D645" s="11" t="str">
        <f>_xlfn.XLOOKUP(A645,CATÁLOGO!$A$2:$A$846,CATÁLOGO!$E$2:$E$846,"FORA DO CATÁLOGO")</f>
        <v>Ativo</v>
      </c>
      <c r="E645" s="9"/>
      <c r="F645" s="52">
        <f>SUMIFS('AVARIA PINHEIROS'!$C$2:$C$24,'AVARIA PINHEIROS'!$A$2:$A$24,A645)</f>
        <v>0</v>
      </c>
    </row>
    <row r="646" spans="1:6" x14ac:dyDescent="0.3">
      <c r="A646" s="9" t="s">
        <v>469</v>
      </c>
      <c r="B646" s="18" t="str">
        <f>_xlfn.XLOOKUP(A646,CATÁLOGO!$A$2:$A$846,CATÁLOGO!$B$2:$B$846,"FORA DO CATÁLOGO")</f>
        <v>MOL018BGG</v>
      </c>
      <c r="C646" s="11">
        <v>1</v>
      </c>
      <c r="D646" s="11" t="str">
        <f>_xlfn.XLOOKUP(A646,CATÁLOGO!$A$2:$A$846,CATÁLOGO!$E$2:$E$846,"FORA DO CATÁLOGO")</f>
        <v>Ativo</v>
      </c>
      <c r="E646" s="9"/>
      <c r="F646" s="52">
        <f>SUMIFS('AVARIA PINHEIROS'!$C$2:$C$24,'AVARIA PINHEIROS'!$A$2:$A$24,A646)</f>
        <v>0</v>
      </c>
    </row>
    <row r="647" spans="1:6" x14ac:dyDescent="0.3">
      <c r="A647" s="9" t="s">
        <v>470</v>
      </c>
      <c r="B647" s="18" t="str">
        <f>_xlfn.XLOOKUP(A647,CATÁLOGO!$A$2:$A$846,CATÁLOGO!$B$2:$B$846,"FORA DO CATÁLOGO")</f>
        <v>ACE013VU</v>
      </c>
      <c r="C647" s="11">
        <v>6</v>
      </c>
      <c r="D647" s="11" t="str">
        <f>_xlfn.XLOOKUP(A647,CATÁLOGO!$A$2:$A$846,CATÁLOGO!$E$2:$E$846,"FORA DO CATÁLOGO")</f>
        <v>Ativo</v>
      </c>
      <c r="E647" s="9"/>
      <c r="F647" s="52">
        <f>SUMIFS('AVARIA PINHEIROS'!$C$2:$C$24,'AVARIA PINHEIROS'!$A$2:$A$24,A647)</f>
        <v>0</v>
      </c>
    </row>
    <row r="648" spans="1:6" x14ac:dyDescent="0.3">
      <c r="A648" s="9" t="s">
        <v>1698</v>
      </c>
      <c r="B648" s="18" t="str">
        <f>_xlfn.XLOOKUP(A648,CATÁLOGO!$A$2:$A$846,CATÁLOGO!$B$2:$B$846,"FORA DO CATÁLOGO")</f>
        <v>CAL026O36</v>
      </c>
      <c r="C648" s="11">
        <v>2</v>
      </c>
      <c r="D648" s="11" t="str">
        <f>_xlfn.XLOOKUP(A648,CATÁLOGO!$A$2:$A$846,CATÁLOGO!$E$2:$E$846,"FORA DO CATÁLOGO")</f>
        <v>Ativo</v>
      </c>
      <c r="E648" s="9"/>
      <c r="F648" s="52">
        <f>SUMIFS('AVARIA PINHEIROS'!$C$2:$C$24,'AVARIA PINHEIROS'!$A$2:$A$24,A648)</f>
        <v>0</v>
      </c>
    </row>
    <row r="649" spans="1:6" x14ac:dyDescent="0.3">
      <c r="A649" s="9" t="s">
        <v>1697</v>
      </c>
      <c r="B649" s="18" t="str">
        <f>_xlfn.XLOOKUP(A649,CATÁLOGO!$A$2:$A$846,CATÁLOGO!$B$2:$B$846,"FORA DO CATÁLOGO")</f>
        <v>CAL026O38</v>
      </c>
      <c r="C649" s="11">
        <v>3</v>
      </c>
      <c r="D649" s="11" t="str">
        <f>_xlfn.XLOOKUP(A649,CATÁLOGO!$A$2:$A$846,CATÁLOGO!$E$2:$E$846,"FORA DO CATÁLOGO")</f>
        <v>Ativo</v>
      </c>
      <c r="E649" s="9"/>
      <c r="F649" s="52">
        <f>SUMIFS('AVARIA PINHEIROS'!$C$2:$C$24,'AVARIA PINHEIROS'!$A$2:$A$24,A649)</f>
        <v>0</v>
      </c>
    </row>
    <row r="650" spans="1:6" x14ac:dyDescent="0.3">
      <c r="A650" s="9" t="s">
        <v>1696</v>
      </c>
      <c r="B650" s="18" t="str">
        <f>_xlfn.XLOOKUP(A650,CATÁLOGO!$A$2:$A$846,CATÁLOGO!$B$2:$B$846,"FORA DO CATÁLOGO")</f>
        <v>CAL026O40</v>
      </c>
      <c r="C650" s="11">
        <v>4</v>
      </c>
      <c r="D650" s="11" t="str">
        <f>_xlfn.XLOOKUP(A650,CATÁLOGO!$A$2:$A$846,CATÁLOGO!$E$2:$E$846,"FORA DO CATÁLOGO")</f>
        <v>Ativo</v>
      </c>
      <c r="E650" s="9"/>
      <c r="F650" s="52">
        <f>SUMIFS('AVARIA PINHEIROS'!$C$2:$C$24,'AVARIA PINHEIROS'!$A$2:$A$24,A650)</f>
        <v>0</v>
      </c>
    </row>
    <row r="651" spans="1:6" x14ac:dyDescent="0.3">
      <c r="A651" s="9" t="s">
        <v>1693</v>
      </c>
      <c r="B651" s="18" t="str">
        <f>_xlfn.XLOOKUP(A651,CATÁLOGO!$A$2:$A$846,CATÁLOGO!$B$2:$B$846,"FORA DO CATÁLOGO")</f>
        <v>CAL026O42</v>
      </c>
      <c r="C651" s="11">
        <v>4</v>
      </c>
      <c r="D651" s="11" t="str">
        <f>_xlfn.XLOOKUP(A651,CATÁLOGO!$A$2:$A$846,CATÁLOGO!$E$2:$E$846,"FORA DO CATÁLOGO")</f>
        <v>Ativo</v>
      </c>
      <c r="E651" s="9"/>
      <c r="F651" s="52">
        <f>SUMIFS('AVARIA PINHEIROS'!$C$2:$C$24,'AVARIA PINHEIROS'!$A$2:$A$24,A651)</f>
        <v>0</v>
      </c>
    </row>
    <row r="652" spans="1:6" x14ac:dyDescent="0.3">
      <c r="A652" s="9" t="s">
        <v>1695</v>
      </c>
      <c r="B652" s="18" t="str">
        <f>_xlfn.XLOOKUP(A652,CATÁLOGO!$A$2:$A$846,CATÁLOGO!$B$2:$B$846,"FORA DO CATÁLOGO")</f>
        <v>CAL026O44</v>
      </c>
      <c r="C652" s="11">
        <v>2</v>
      </c>
      <c r="D652" s="11" t="str">
        <f>_xlfn.XLOOKUP(A652,CATÁLOGO!$A$2:$A$846,CATÁLOGO!$E$2:$E$846,"FORA DO CATÁLOGO")</f>
        <v>Ativo</v>
      </c>
      <c r="E652" s="9"/>
      <c r="F652" s="52">
        <f>SUMIFS('AVARIA PINHEIROS'!$C$2:$C$24,'AVARIA PINHEIROS'!$A$2:$A$24,A652)</f>
        <v>0</v>
      </c>
    </row>
    <row r="653" spans="1:6" x14ac:dyDescent="0.3">
      <c r="A653" s="9" t="s">
        <v>471</v>
      </c>
      <c r="B653" s="18" t="str">
        <f>_xlfn.XLOOKUP(A653,CATÁLOGO!$A$2:$A$846,CATÁLOGO!$B$2:$B$846,"FORA DO CATÁLOGO")</f>
        <v>CAM021AP</v>
      </c>
      <c r="C653" s="11">
        <v>2</v>
      </c>
      <c r="D653" s="11" t="str">
        <f>_xlfn.XLOOKUP(A653,CATÁLOGO!$A$2:$A$846,CATÁLOGO!$E$2:$E$846,"FORA DO CATÁLOGO")</f>
        <v>Ativo</v>
      </c>
      <c r="E653" s="9"/>
      <c r="F653" s="52">
        <f>SUMIFS('AVARIA PINHEIROS'!$C$2:$C$24,'AVARIA PINHEIROS'!$A$2:$A$24,A653)</f>
        <v>0</v>
      </c>
    </row>
    <row r="654" spans="1:6" x14ac:dyDescent="0.3">
      <c r="A654" s="9" t="s">
        <v>472</v>
      </c>
      <c r="B654" s="18" t="str">
        <f>_xlfn.XLOOKUP(A654,CATÁLOGO!$A$2:$A$846,CATÁLOGO!$B$2:$B$846,"FORA DO CATÁLOGO")</f>
        <v>CAM021AM</v>
      </c>
      <c r="C654" s="11">
        <v>7</v>
      </c>
      <c r="D654" s="11" t="str">
        <f>_xlfn.XLOOKUP(A654,CATÁLOGO!$A$2:$A$846,CATÁLOGO!$E$2:$E$846,"FORA DO CATÁLOGO")</f>
        <v>Ativo</v>
      </c>
      <c r="E654" s="9"/>
      <c r="F654" s="52">
        <f>SUMIFS('AVARIA PINHEIROS'!$C$2:$C$24,'AVARIA PINHEIROS'!$A$2:$A$24,A654)</f>
        <v>0</v>
      </c>
    </row>
    <row r="655" spans="1:6" x14ac:dyDescent="0.3">
      <c r="A655" s="9" t="s">
        <v>473</v>
      </c>
      <c r="B655" s="18" t="str">
        <f>_xlfn.XLOOKUP(A655,CATÁLOGO!$A$2:$A$846,CATÁLOGO!$B$2:$B$846,"FORA DO CATÁLOGO")</f>
        <v>CAM021AG</v>
      </c>
      <c r="C655" s="11">
        <v>5</v>
      </c>
      <c r="D655" s="11" t="str">
        <f>_xlfn.XLOOKUP(A655,CATÁLOGO!$A$2:$A$846,CATÁLOGO!$E$2:$E$846,"FORA DO CATÁLOGO")</f>
        <v>Ativo</v>
      </c>
      <c r="E655" s="9"/>
      <c r="F655" s="52">
        <f>SUMIFS('AVARIA PINHEIROS'!$C$2:$C$24,'AVARIA PINHEIROS'!$A$2:$A$24,A655)</f>
        <v>0</v>
      </c>
    </row>
    <row r="656" spans="1:6" x14ac:dyDescent="0.3">
      <c r="A656" s="9" t="s">
        <v>474</v>
      </c>
      <c r="B656" s="18" t="str">
        <f>_xlfn.XLOOKUP(A656,CATÁLOGO!$A$2:$A$846,CATÁLOGO!$B$2:$B$846,"FORA DO CATÁLOGO")</f>
        <v>CAM021AGG</v>
      </c>
      <c r="C656" s="11">
        <v>2</v>
      </c>
      <c r="D656" s="11" t="str">
        <f>_xlfn.XLOOKUP(A656,CATÁLOGO!$A$2:$A$846,CATÁLOGO!$E$2:$E$846,"FORA DO CATÁLOGO")</f>
        <v>Ativo</v>
      </c>
      <c r="E656" s="9"/>
      <c r="F656" s="52">
        <f>SUMIFS('AVARIA PINHEIROS'!$C$2:$C$24,'AVARIA PINHEIROS'!$A$2:$A$24,A656)</f>
        <v>0</v>
      </c>
    </row>
    <row r="657" spans="1:6" x14ac:dyDescent="0.3">
      <c r="A657" s="9" t="s">
        <v>475</v>
      </c>
      <c r="B657" s="18" t="str">
        <f>_xlfn.XLOOKUP(A657,CATÁLOGO!$A$2:$A$846,CATÁLOGO!$B$2:$B$846,"FORA DO CATÁLOGO")</f>
        <v>CAM022MP</v>
      </c>
      <c r="C657" s="11">
        <v>6</v>
      </c>
      <c r="D657" s="11" t="str">
        <f>_xlfn.XLOOKUP(A657,CATÁLOGO!$A$2:$A$846,CATÁLOGO!$E$2:$E$846,"FORA DO CATÁLOGO")</f>
        <v>Ativo</v>
      </c>
      <c r="E657" s="9"/>
      <c r="F657" s="52">
        <f>SUMIFS('AVARIA PINHEIROS'!$C$2:$C$24,'AVARIA PINHEIROS'!$A$2:$A$24,A657)</f>
        <v>0</v>
      </c>
    </row>
    <row r="658" spans="1:6" x14ac:dyDescent="0.3">
      <c r="A658" s="9" t="s">
        <v>476</v>
      </c>
      <c r="B658" s="18" t="str">
        <f>_xlfn.XLOOKUP(A658,CATÁLOGO!$A$2:$A$846,CATÁLOGO!$B$2:$B$846,"FORA DO CATÁLOGO")</f>
        <v>CAM022MM</v>
      </c>
      <c r="C658" s="11">
        <v>5</v>
      </c>
      <c r="D658" s="11" t="str">
        <f>_xlfn.XLOOKUP(A658,CATÁLOGO!$A$2:$A$846,CATÁLOGO!$E$2:$E$846,"FORA DO CATÁLOGO")</f>
        <v>Ativo</v>
      </c>
      <c r="E658" s="9"/>
      <c r="F658" s="52">
        <f>SUMIFS('AVARIA PINHEIROS'!$C$2:$C$24,'AVARIA PINHEIROS'!$A$2:$A$24,A658)</f>
        <v>0</v>
      </c>
    </row>
    <row r="659" spans="1:6" x14ac:dyDescent="0.3">
      <c r="A659" s="9" t="s">
        <v>477</v>
      </c>
      <c r="B659" s="18" t="str">
        <f>_xlfn.XLOOKUP(A659,CATÁLOGO!$A$2:$A$846,CATÁLOGO!$B$2:$B$846,"FORA DO CATÁLOGO")</f>
        <v>CAM022MG</v>
      </c>
      <c r="C659" s="11">
        <v>6</v>
      </c>
      <c r="D659" s="11" t="str">
        <f>_xlfn.XLOOKUP(A659,CATÁLOGO!$A$2:$A$846,CATÁLOGO!$E$2:$E$846,"FORA DO CATÁLOGO")</f>
        <v>Ativo</v>
      </c>
      <c r="E659" s="9"/>
      <c r="F659" s="52">
        <f>SUMIFS('AVARIA PINHEIROS'!$C$2:$C$24,'AVARIA PINHEIROS'!$A$2:$A$24,A659)</f>
        <v>0</v>
      </c>
    </row>
    <row r="660" spans="1:6" x14ac:dyDescent="0.3">
      <c r="A660" s="9" t="s">
        <v>478</v>
      </c>
      <c r="B660" s="18" t="str">
        <f>_xlfn.XLOOKUP(A660,CATÁLOGO!$A$2:$A$846,CATÁLOGO!$B$2:$B$846,"FORA DO CATÁLOGO")</f>
        <v>CAM022MGG</v>
      </c>
      <c r="C660" s="11">
        <v>3</v>
      </c>
      <c r="D660" s="11" t="str">
        <f>_xlfn.XLOOKUP(A660,CATÁLOGO!$A$2:$A$846,CATÁLOGO!$E$2:$E$846,"FORA DO CATÁLOGO")</f>
        <v>Ativo</v>
      </c>
      <c r="E660" s="9"/>
      <c r="F660" s="52">
        <f>SUMIFS('AVARIA PINHEIROS'!$C$2:$C$24,'AVARIA PINHEIROS'!$A$2:$A$24,A660)</f>
        <v>0</v>
      </c>
    </row>
    <row r="661" spans="1:6" x14ac:dyDescent="0.3">
      <c r="A661" s="9" t="s">
        <v>479</v>
      </c>
      <c r="B661" s="18" t="str">
        <f>_xlfn.XLOOKUP(A661,CATÁLOGO!$A$2:$A$846,CATÁLOGO!$B$2:$B$846,"FORA DO CATÁLOGO")</f>
        <v>CMS015LP</v>
      </c>
      <c r="C661" s="11">
        <v>4</v>
      </c>
      <c r="D661" s="11" t="str">
        <f>_xlfn.XLOOKUP(A661,CATÁLOGO!$A$2:$A$846,CATÁLOGO!$E$2:$E$846,"FORA DO CATÁLOGO")</f>
        <v>Ativo</v>
      </c>
      <c r="E661" s="9"/>
      <c r="F661" s="52">
        <f>SUMIFS('AVARIA PINHEIROS'!$C$2:$C$24,'AVARIA PINHEIROS'!$A$2:$A$24,A661)</f>
        <v>0</v>
      </c>
    </row>
    <row r="662" spans="1:6" x14ac:dyDescent="0.3">
      <c r="A662" s="9" t="s">
        <v>480</v>
      </c>
      <c r="B662" s="18" t="str">
        <f>_xlfn.XLOOKUP(A662,CATÁLOGO!$A$2:$A$846,CATÁLOGO!$B$2:$B$846,"FORA DO CATÁLOGO")</f>
        <v>CMS015LM</v>
      </c>
      <c r="C662" s="11">
        <v>5</v>
      </c>
      <c r="D662" s="11" t="str">
        <f>_xlfn.XLOOKUP(A662,CATÁLOGO!$A$2:$A$846,CATÁLOGO!$E$2:$E$846,"FORA DO CATÁLOGO")</f>
        <v>Ativo</v>
      </c>
      <c r="E662" s="9"/>
      <c r="F662" s="52">
        <f>SUMIFS('AVARIA PINHEIROS'!$C$2:$C$24,'AVARIA PINHEIROS'!$A$2:$A$24,A662)</f>
        <v>0</v>
      </c>
    </row>
    <row r="663" spans="1:6" x14ac:dyDescent="0.3">
      <c r="A663" s="9" t="s">
        <v>481</v>
      </c>
      <c r="B663" s="18" t="str">
        <f>_xlfn.XLOOKUP(A663,CATÁLOGO!$A$2:$A$846,CATÁLOGO!$B$2:$B$846,"FORA DO CATÁLOGO")</f>
        <v>CMS015LG</v>
      </c>
      <c r="C663" s="11">
        <v>2</v>
      </c>
      <c r="D663" s="11" t="str">
        <f>_xlfn.XLOOKUP(A663,CATÁLOGO!$A$2:$A$846,CATÁLOGO!$E$2:$E$846,"FORA DO CATÁLOGO")</f>
        <v>Ativo</v>
      </c>
      <c r="E663" s="9"/>
      <c r="F663" s="52">
        <f>SUMIFS('AVARIA PINHEIROS'!$C$2:$C$24,'AVARIA PINHEIROS'!$A$2:$A$24,A663)</f>
        <v>0</v>
      </c>
    </row>
    <row r="664" spans="1:6" x14ac:dyDescent="0.3">
      <c r="A664" s="9" t="s">
        <v>482</v>
      </c>
      <c r="B664" s="18" t="str">
        <f>_xlfn.XLOOKUP(A664,CATÁLOGO!$A$2:$A$846,CATÁLOGO!$B$2:$B$846,"FORA DO CATÁLOGO")</f>
        <v>CMS015OP</v>
      </c>
      <c r="C664" s="11">
        <v>2</v>
      </c>
      <c r="D664" s="11" t="str">
        <f>_xlfn.XLOOKUP(A664,CATÁLOGO!$A$2:$A$846,CATÁLOGO!$E$2:$E$846,"FORA DO CATÁLOGO")</f>
        <v>Ativo</v>
      </c>
      <c r="E664" s="9"/>
      <c r="F664" s="52">
        <f>SUMIFS('AVARIA PINHEIROS'!$C$2:$C$24,'AVARIA PINHEIROS'!$A$2:$A$24,A664)</f>
        <v>0</v>
      </c>
    </row>
    <row r="665" spans="1:6" x14ac:dyDescent="0.3">
      <c r="A665" s="9" t="s">
        <v>483</v>
      </c>
      <c r="B665" s="18" t="str">
        <f>_xlfn.XLOOKUP(A665,CATÁLOGO!$A$2:$A$846,CATÁLOGO!$B$2:$B$846,"FORA DO CATÁLOGO")</f>
        <v>CMS015OM</v>
      </c>
      <c r="C665" s="11">
        <v>3</v>
      </c>
      <c r="D665" s="11" t="str">
        <f>_xlfn.XLOOKUP(A665,CATÁLOGO!$A$2:$A$846,CATÁLOGO!$E$2:$E$846,"FORA DO CATÁLOGO")</f>
        <v>Ativo</v>
      </c>
      <c r="E665" s="9" t="s">
        <v>23</v>
      </c>
      <c r="F665" s="52">
        <f>SUMIFS('AVARIA PINHEIROS'!$C$2:$C$24,'AVARIA PINHEIROS'!$A$2:$A$24,A665)</f>
        <v>0</v>
      </c>
    </row>
    <row r="666" spans="1:6" x14ac:dyDescent="0.3">
      <c r="A666" s="9" t="s">
        <v>484</v>
      </c>
      <c r="B666" s="18" t="str">
        <f>_xlfn.XLOOKUP(A666,CATÁLOGO!$A$2:$A$846,CATÁLOGO!$B$2:$B$846,"FORA DO CATÁLOGO")</f>
        <v>CMS015OG</v>
      </c>
      <c r="C666" s="11">
        <v>3</v>
      </c>
      <c r="D666" s="11" t="str">
        <f>_xlfn.XLOOKUP(A666,CATÁLOGO!$A$2:$A$846,CATÁLOGO!$E$2:$E$846,"FORA DO CATÁLOGO")</f>
        <v>Ativo</v>
      </c>
      <c r="E666" s="9" t="s">
        <v>23</v>
      </c>
      <c r="F666" s="52">
        <f>SUMIFS('AVARIA PINHEIROS'!$C$2:$C$24,'AVARIA PINHEIROS'!$A$2:$A$24,A666)</f>
        <v>0</v>
      </c>
    </row>
    <row r="667" spans="1:6" x14ac:dyDescent="0.3">
      <c r="A667" s="9" t="s">
        <v>485</v>
      </c>
      <c r="B667" s="18" t="str">
        <f>_xlfn.XLOOKUP(A667,CATÁLOGO!$A$2:$A$846,CATÁLOGO!$B$2:$B$846,"FORA DO CATÁLOGO")</f>
        <v>CAM023YP</v>
      </c>
      <c r="C667" s="11">
        <v>6</v>
      </c>
      <c r="D667" s="11" t="str">
        <f>_xlfn.XLOOKUP(A667,CATÁLOGO!$A$2:$A$846,CATÁLOGO!$E$2:$E$846,"FORA DO CATÁLOGO")</f>
        <v>Ativo</v>
      </c>
      <c r="E667" s="9"/>
      <c r="F667" s="52">
        <f>SUMIFS('AVARIA PINHEIROS'!$C$2:$C$24,'AVARIA PINHEIROS'!$A$2:$A$24,A667)</f>
        <v>0</v>
      </c>
    </row>
    <row r="668" spans="1:6" x14ac:dyDescent="0.3">
      <c r="A668" s="9" t="s">
        <v>486</v>
      </c>
      <c r="B668" s="18" t="str">
        <f>_xlfn.XLOOKUP(A668,CATÁLOGO!$A$2:$A$846,CATÁLOGO!$B$2:$B$846,"FORA DO CATÁLOGO")</f>
        <v>CAM023YM</v>
      </c>
      <c r="C668" s="11">
        <v>6</v>
      </c>
      <c r="D668" s="11" t="str">
        <f>_xlfn.XLOOKUP(A668,CATÁLOGO!$A$2:$A$846,CATÁLOGO!$E$2:$E$846,"FORA DO CATÁLOGO")</f>
        <v>Ativo</v>
      </c>
      <c r="E668" s="9"/>
      <c r="F668" s="52">
        <f>SUMIFS('AVARIA PINHEIROS'!$C$2:$C$24,'AVARIA PINHEIROS'!$A$2:$A$24,A668)</f>
        <v>0</v>
      </c>
    </row>
    <row r="669" spans="1:6" x14ac:dyDescent="0.3">
      <c r="A669" s="9" t="s">
        <v>487</v>
      </c>
      <c r="B669" s="18" t="str">
        <f>_xlfn.XLOOKUP(A669,CATÁLOGO!$A$2:$A$846,CATÁLOGO!$B$2:$B$846,"FORA DO CATÁLOGO")</f>
        <v>CAM023YG</v>
      </c>
      <c r="C669" s="11">
        <v>6</v>
      </c>
      <c r="D669" s="11" t="str">
        <f>_xlfn.XLOOKUP(A669,CATÁLOGO!$A$2:$A$846,CATÁLOGO!$E$2:$E$846,"FORA DO CATÁLOGO")</f>
        <v>Ativo</v>
      </c>
      <c r="E669" s="9"/>
      <c r="F669" s="52">
        <f>SUMIFS('AVARIA PINHEIROS'!$C$2:$C$24,'AVARIA PINHEIROS'!$A$2:$A$24,A669)</f>
        <v>0</v>
      </c>
    </row>
    <row r="670" spans="1:6" x14ac:dyDescent="0.3">
      <c r="A670" s="9" t="s">
        <v>488</v>
      </c>
      <c r="B670" s="18" t="str">
        <f>_xlfn.XLOOKUP(A670,CATÁLOGO!$A$2:$A$846,CATÁLOGO!$B$2:$B$846,"FORA DO CATÁLOGO")</f>
        <v>CAM023YGG</v>
      </c>
      <c r="C670" s="11">
        <v>4</v>
      </c>
      <c r="D670" s="11" t="str">
        <f>_xlfn.XLOOKUP(A670,CATÁLOGO!$A$2:$A$846,CATÁLOGO!$E$2:$E$846,"FORA DO CATÁLOGO")</f>
        <v>Ativo</v>
      </c>
      <c r="E670" s="9"/>
      <c r="F670" s="52">
        <f>SUMIFS('AVARIA PINHEIROS'!$C$2:$C$24,'AVARIA PINHEIROS'!$A$2:$A$24,A670)</f>
        <v>0</v>
      </c>
    </row>
    <row r="671" spans="1:6" x14ac:dyDescent="0.3">
      <c r="A671" s="9" t="s">
        <v>1705</v>
      </c>
      <c r="B671" s="18" t="str">
        <f>_xlfn.XLOOKUP(A671,CATÁLOGO!$A$2:$A$846,CATÁLOGO!$B$2:$B$846,"FORA DO CATÁLOGO")</f>
        <v>CAL027P36</v>
      </c>
      <c r="C671" s="11">
        <v>4</v>
      </c>
      <c r="D671" s="11" t="str">
        <f>_xlfn.XLOOKUP(A671,CATÁLOGO!$A$2:$A$846,CATÁLOGO!$E$2:$E$846,"FORA DO CATÁLOGO")</f>
        <v>Ativo</v>
      </c>
      <c r="E671" s="9" t="s">
        <v>4</v>
      </c>
      <c r="F671" s="52">
        <f>SUMIFS('AVARIA PINHEIROS'!$C$2:$C$24,'AVARIA PINHEIROS'!$A$2:$A$24,A671)</f>
        <v>0</v>
      </c>
    </row>
    <row r="672" spans="1:6" x14ac:dyDescent="0.3">
      <c r="A672" s="9" t="s">
        <v>1704</v>
      </c>
      <c r="B672" s="18" t="str">
        <f>_xlfn.XLOOKUP(A672,CATÁLOGO!$A$2:$A$846,CATÁLOGO!$B$2:$B$846,"FORA DO CATÁLOGO")</f>
        <v>CAL027P38</v>
      </c>
      <c r="C672" s="11">
        <v>6</v>
      </c>
      <c r="D672" s="11" t="str">
        <f>_xlfn.XLOOKUP(A672,CATÁLOGO!$A$2:$A$846,CATÁLOGO!$E$2:$E$846,"FORA DO CATÁLOGO")</f>
        <v>Ativo</v>
      </c>
      <c r="E672" s="9" t="s">
        <v>7</v>
      </c>
      <c r="F672" s="52">
        <f>SUMIFS('AVARIA PINHEIROS'!$C$2:$C$24,'AVARIA PINHEIROS'!$A$2:$A$24,A672)</f>
        <v>0</v>
      </c>
    </row>
    <row r="673" spans="1:6" x14ac:dyDescent="0.3">
      <c r="A673" s="9" t="s">
        <v>1703</v>
      </c>
      <c r="B673" s="18" t="str">
        <f>_xlfn.XLOOKUP(A673,CATÁLOGO!$A$2:$A$846,CATÁLOGO!$B$2:$B$846,"FORA DO CATÁLOGO")</f>
        <v>CAL027P40</v>
      </c>
      <c r="C673" s="11">
        <v>6</v>
      </c>
      <c r="D673" s="11" t="str">
        <f>_xlfn.XLOOKUP(A673,CATÁLOGO!$A$2:$A$846,CATÁLOGO!$E$2:$E$846,"FORA DO CATÁLOGO")</f>
        <v>Ativo</v>
      </c>
      <c r="E673" s="9"/>
      <c r="F673" s="52">
        <f>SUMIFS('AVARIA PINHEIROS'!$C$2:$C$24,'AVARIA PINHEIROS'!$A$2:$A$24,A673)</f>
        <v>0</v>
      </c>
    </row>
    <row r="674" spans="1:6" x14ac:dyDescent="0.3">
      <c r="A674" s="9" t="s">
        <v>1699</v>
      </c>
      <c r="B674" s="18" t="str">
        <f>_xlfn.XLOOKUP(A674,CATÁLOGO!$A$2:$A$846,CATÁLOGO!$B$2:$B$846,"FORA DO CATÁLOGO")</f>
        <v>CAL027P42</v>
      </c>
      <c r="C674" s="11">
        <v>5</v>
      </c>
      <c r="D674" s="11" t="str">
        <f>_xlfn.XLOOKUP(A674,CATÁLOGO!$A$2:$A$846,CATÁLOGO!$E$2:$E$846,"FORA DO CATÁLOGO")</f>
        <v>Ativo</v>
      </c>
      <c r="E674" s="9"/>
      <c r="F674" s="52">
        <f>SUMIFS('AVARIA PINHEIROS'!$C$2:$C$24,'AVARIA PINHEIROS'!$A$2:$A$24,A674)</f>
        <v>0</v>
      </c>
    </row>
    <row r="675" spans="1:6" x14ac:dyDescent="0.3">
      <c r="A675" s="9" t="s">
        <v>1702</v>
      </c>
      <c r="B675" s="18" t="str">
        <f>_xlfn.XLOOKUP(A675,CATÁLOGO!$A$2:$A$846,CATÁLOGO!$B$2:$B$846,"FORA DO CATÁLOGO")</f>
        <v>CAL027P44</v>
      </c>
      <c r="C675" s="11">
        <v>4</v>
      </c>
      <c r="D675" s="11" t="str">
        <f>_xlfn.XLOOKUP(A675,CATÁLOGO!$A$2:$A$846,CATÁLOGO!$E$2:$E$846,"FORA DO CATÁLOGO")</f>
        <v>Ativo</v>
      </c>
      <c r="E675" s="9"/>
      <c r="F675" s="52">
        <f>SUMIFS('AVARIA PINHEIROS'!$C$2:$C$24,'AVARIA PINHEIROS'!$A$2:$A$24,A675)</f>
        <v>0</v>
      </c>
    </row>
    <row r="676" spans="1:6" x14ac:dyDescent="0.3">
      <c r="A676" s="9" t="s">
        <v>489</v>
      </c>
      <c r="B676" s="18" t="str">
        <f>_xlfn.XLOOKUP(A676,CATÁLOGO!$A$2:$A$846,CATÁLOGO!$B$2:$B$846,"FORA DO CATÁLOGO")</f>
        <v>MOL019VP</v>
      </c>
      <c r="C676" s="11">
        <v>2</v>
      </c>
      <c r="D676" s="11" t="str">
        <f>_xlfn.XLOOKUP(A676,CATÁLOGO!$A$2:$A$846,CATÁLOGO!$E$2:$E$846,"FORA DO CATÁLOGO")</f>
        <v>Ativo</v>
      </c>
      <c r="E676" s="9"/>
      <c r="F676" s="52">
        <f>SUMIFS('AVARIA PINHEIROS'!$C$2:$C$24,'AVARIA PINHEIROS'!$A$2:$A$24,A676)</f>
        <v>0</v>
      </c>
    </row>
    <row r="677" spans="1:6" x14ac:dyDescent="0.3">
      <c r="A677" s="9" t="s">
        <v>490</v>
      </c>
      <c r="B677" s="18" t="str">
        <f>_xlfn.XLOOKUP(A677,CATÁLOGO!$A$2:$A$846,CATÁLOGO!$B$2:$B$846,"FORA DO CATÁLOGO")</f>
        <v>MOL019VGG</v>
      </c>
      <c r="C677" s="11">
        <v>0</v>
      </c>
      <c r="D677" s="11" t="str">
        <f>_xlfn.XLOOKUP(A677,CATÁLOGO!$A$2:$A$846,CATÁLOGO!$E$2:$E$846,"FORA DO CATÁLOGO")</f>
        <v>Ativo</v>
      </c>
      <c r="E677" s="9" t="s">
        <v>1347</v>
      </c>
      <c r="F677" s="52">
        <f>SUMIFS('AVARIA PINHEIROS'!$C$2:$C$24,'AVARIA PINHEIROS'!$A$2:$A$24,A677)</f>
        <v>2</v>
      </c>
    </row>
    <row r="678" spans="1:6" x14ac:dyDescent="0.3">
      <c r="A678" s="9" t="s">
        <v>491</v>
      </c>
      <c r="B678" s="18" t="str">
        <f>_xlfn.XLOOKUP(A678,CATÁLOGO!$A$2:$A$846,CATÁLOGO!$B$2:$B$846,"FORA DO CATÁLOGO")</f>
        <v>CAM024LP</v>
      </c>
      <c r="C678" s="11">
        <v>3</v>
      </c>
      <c r="D678" s="11" t="str">
        <f>_xlfn.XLOOKUP(A678,CATÁLOGO!$A$2:$A$846,CATÁLOGO!$E$2:$E$846,"FORA DO CATÁLOGO")</f>
        <v>Ativo</v>
      </c>
      <c r="E678" s="9"/>
      <c r="F678" s="52">
        <f>SUMIFS('AVARIA PINHEIROS'!$C$2:$C$24,'AVARIA PINHEIROS'!$A$2:$A$24,A678)</f>
        <v>0</v>
      </c>
    </row>
    <row r="679" spans="1:6" x14ac:dyDescent="0.3">
      <c r="A679" s="9" t="s">
        <v>492</v>
      </c>
      <c r="B679" s="18" t="str">
        <f>_xlfn.XLOOKUP(A679,CATÁLOGO!$A$2:$A$846,CATÁLOGO!$B$2:$B$846,"FORA DO CATÁLOGO")</f>
        <v>CAM024LM</v>
      </c>
      <c r="C679" s="11">
        <v>4</v>
      </c>
      <c r="D679" s="11" t="str">
        <f>_xlfn.XLOOKUP(A679,CATÁLOGO!$A$2:$A$846,CATÁLOGO!$E$2:$E$846,"FORA DO CATÁLOGO")</f>
        <v>Ativo</v>
      </c>
      <c r="E679" s="9"/>
      <c r="F679" s="52">
        <f>SUMIFS('AVARIA PINHEIROS'!$C$2:$C$24,'AVARIA PINHEIROS'!$A$2:$A$24,A679)</f>
        <v>0</v>
      </c>
    </row>
    <row r="680" spans="1:6" x14ac:dyDescent="0.3">
      <c r="A680" s="9" t="s">
        <v>493</v>
      </c>
      <c r="B680" s="18" t="str">
        <f>_xlfn.XLOOKUP(A680,CATÁLOGO!$A$2:$A$846,CATÁLOGO!$B$2:$B$846,"FORA DO CATÁLOGO")</f>
        <v>CAM024LG</v>
      </c>
      <c r="C680" s="11">
        <v>4</v>
      </c>
      <c r="D680" s="11" t="str">
        <f>_xlfn.XLOOKUP(A680,CATÁLOGO!$A$2:$A$846,CATÁLOGO!$E$2:$E$846,"FORA DO CATÁLOGO")</f>
        <v>Ativo</v>
      </c>
      <c r="E680" s="9"/>
      <c r="F680" s="52">
        <f>SUMIFS('AVARIA PINHEIROS'!$C$2:$C$24,'AVARIA PINHEIROS'!$A$2:$A$24,A680)</f>
        <v>0</v>
      </c>
    </row>
    <row r="681" spans="1:6" x14ac:dyDescent="0.3">
      <c r="A681" s="9" t="s">
        <v>494</v>
      </c>
      <c r="B681" s="18" t="str">
        <f>_xlfn.XLOOKUP(A681,CATÁLOGO!$A$2:$A$846,CATÁLOGO!$B$2:$B$846,"FORA DO CATÁLOGO")</f>
        <v>CAM024LGG</v>
      </c>
      <c r="C681" s="11">
        <v>2</v>
      </c>
      <c r="D681" s="11" t="str">
        <f>_xlfn.XLOOKUP(A681,CATÁLOGO!$A$2:$A$846,CATÁLOGO!$E$2:$E$846,"FORA DO CATÁLOGO")</f>
        <v>Ativo</v>
      </c>
      <c r="E681" s="9" t="s">
        <v>7</v>
      </c>
      <c r="F681" s="52">
        <f>SUMIFS('AVARIA PINHEIROS'!$C$2:$C$24,'AVARIA PINHEIROS'!$A$2:$A$24,A681)</f>
        <v>0</v>
      </c>
    </row>
    <row r="682" spans="1:6" x14ac:dyDescent="0.3">
      <c r="A682" s="9" t="s">
        <v>495</v>
      </c>
      <c r="B682" s="18" t="str">
        <f>_xlfn.XLOOKUP(A682,CATÁLOGO!$A$2:$A$846,CATÁLOGO!$B$2:$B$846,"FORA DO CATÁLOGO")</f>
        <v>CAM024YP</v>
      </c>
      <c r="C682" s="11">
        <v>2</v>
      </c>
      <c r="D682" s="11" t="str">
        <f>_xlfn.XLOOKUP(A682,CATÁLOGO!$A$2:$A$846,CATÁLOGO!$E$2:$E$846,"FORA DO CATÁLOGO")</f>
        <v>Ativo</v>
      </c>
      <c r="E682" s="9"/>
      <c r="F682" s="52">
        <f>SUMIFS('AVARIA PINHEIROS'!$C$2:$C$24,'AVARIA PINHEIROS'!$A$2:$A$24,A682)</f>
        <v>0</v>
      </c>
    </row>
    <row r="683" spans="1:6" x14ac:dyDescent="0.3">
      <c r="A683" s="9" t="s">
        <v>496</v>
      </c>
      <c r="B683" s="18" t="str">
        <f>_xlfn.XLOOKUP(A683,CATÁLOGO!$A$2:$A$846,CATÁLOGO!$B$2:$B$846,"FORA DO CATÁLOGO")</f>
        <v>CAM024YM</v>
      </c>
      <c r="C683" s="11">
        <v>3</v>
      </c>
      <c r="D683" s="11" t="str">
        <f>_xlfn.XLOOKUP(A683,CATÁLOGO!$A$2:$A$846,CATÁLOGO!$E$2:$E$846,"FORA DO CATÁLOGO")</f>
        <v>Ativo</v>
      </c>
      <c r="E683" s="9"/>
      <c r="F683" s="52">
        <f>SUMIFS('AVARIA PINHEIROS'!$C$2:$C$24,'AVARIA PINHEIROS'!$A$2:$A$24,A683)</f>
        <v>0</v>
      </c>
    </row>
    <row r="684" spans="1:6" x14ac:dyDescent="0.3">
      <c r="A684" s="9" t="s">
        <v>497</v>
      </c>
      <c r="B684" s="18" t="str">
        <f>_xlfn.XLOOKUP(A684,CATÁLOGO!$A$2:$A$846,CATÁLOGO!$B$2:$B$846,"FORA DO CATÁLOGO")</f>
        <v>CAM024YG</v>
      </c>
      <c r="C684" s="11">
        <v>2</v>
      </c>
      <c r="D684" s="11" t="str">
        <f>_xlfn.XLOOKUP(A684,CATÁLOGO!$A$2:$A$846,CATÁLOGO!$E$2:$E$846,"FORA DO CATÁLOGO")</f>
        <v>Ativo</v>
      </c>
      <c r="E684" s="9"/>
      <c r="F684" s="52">
        <f>SUMIFS('AVARIA PINHEIROS'!$C$2:$C$24,'AVARIA PINHEIROS'!$A$2:$A$24,A684)</f>
        <v>0</v>
      </c>
    </row>
    <row r="685" spans="1:6" x14ac:dyDescent="0.3">
      <c r="A685" s="9" t="s">
        <v>498</v>
      </c>
      <c r="B685" s="18" t="str">
        <f>_xlfn.XLOOKUP(A685,CATÁLOGO!$A$2:$A$846,CATÁLOGO!$B$2:$B$846,"FORA DO CATÁLOGO")</f>
        <v>CAM024YGG</v>
      </c>
      <c r="C685" s="11">
        <v>1</v>
      </c>
      <c r="D685" s="11" t="str">
        <f>_xlfn.XLOOKUP(A685,CATÁLOGO!$A$2:$A$846,CATÁLOGO!$E$2:$E$846,"FORA DO CATÁLOGO")</f>
        <v>Ativo</v>
      </c>
      <c r="E685" s="9"/>
      <c r="F685" s="52">
        <f>SUMIFS('AVARIA PINHEIROS'!$C$2:$C$24,'AVARIA PINHEIROS'!$A$2:$A$24,A685)</f>
        <v>0</v>
      </c>
    </row>
    <row r="686" spans="1:6" x14ac:dyDescent="0.3">
      <c r="A686" s="9" t="s">
        <v>1856</v>
      </c>
      <c r="B686" s="18" t="str">
        <f>_xlfn.XLOOKUP(A686,CATÁLOGO!$A$2:$A$846,CATÁLOGO!$B$2:$B$846,"FORA DO CATÁLOGO")</f>
        <v>MOL020HPP</v>
      </c>
      <c r="C686" s="11">
        <v>1</v>
      </c>
      <c r="D686" s="11" t="str">
        <f>_xlfn.XLOOKUP(A686,CATÁLOGO!$A$2:$A$846,CATÁLOGO!$E$2:$E$846,"FORA DO CATÁLOGO")</f>
        <v>Ativo</v>
      </c>
      <c r="E686" s="9"/>
      <c r="F686" s="52">
        <f>SUMIFS('AVARIA PINHEIROS'!$C$2:$C$24,'AVARIA PINHEIROS'!$A$2:$A$24,A686)</f>
        <v>0</v>
      </c>
    </row>
    <row r="687" spans="1:6" x14ac:dyDescent="0.3">
      <c r="A687" s="9" t="s">
        <v>499</v>
      </c>
      <c r="B687" s="18" t="str">
        <f>_xlfn.XLOOKUP(A687,CATÁLOGO!$A$2:$A$846,CATÁLOGO!$B$2:$B$846,"FORA DO CATÁLOGO")</f>
        <v>MOL020HP</v>
      </c>
      <c r="C687" s="11">
        <v>2</v>
      </c>
      <c r="D687" s="11" t="str">
        <f>_xlfn.XLOOKUP(A687,CATÁLOGO!$A$2:$A$846,CATÁLOGO!$E$2:$E$846,"FORA DO CATÁLOGO")</f>
        <v>Ativo</v>
      </c>
      <c r="E687" s="9"/>
      <c r="F687" s="52">
        <f>SUMIFS('AVARIA PINHEIROS'!$C$2:$C$24,'AVARIA PINHEIROS'!$A$2:$A$24,A687)</f>
        <v>0</v>
      </c>
    </row>
    <row r="688" spans="1:6" x14ac:dyDescent="0.3">
      <c r="A688" s="9" t="s">
        <v>500</v>
      </c>
      <c r="B688" s="18" t="str">
        <f>_xlfn.XLOOKUP(A688,CATÁLOGO!$A$2:$A$846,CATÁLOGO!$B$2:$B$846,"FORA DO CATÁLOGO")</f>
        <v>MOL020HM</v>
      </c>
      <c r="C688" s="11">
        <v>4</v>
      </c>
      <c r="D688" s="11" t="str">
        <f>_xlfn.XLOOKUP(A688,CATÁLOGO!$A$2:$A$846,CATÁLOGO!$E$2:$E$846,"FORA DO CATÁLOGO")</f>
        <v>Ativo</v>
      </c>
      <c r="E688" s="9"/>
      <c r="F688" s="52">
        <f>SUMIFS('AVARIA PINHEIROS'!$C$2:$C$24,'AVARIA PINHEIROS'!$A$2:$A$24,A688)</f>
        <v>0</v>
      </c>
    </row>
    <row r="689" spans="1:6" x14ac:dyDescent="0.3">
      <c r="A689" s="9" t="s">
        <v>501</v>
      </c>
      <c r="B689" s="18" t="str">
        <f>_xlfn.XLOOKUP(A689,CATÁLOGO!$A$2:$A$846,CATÁLOGO!$B$2:$B$846,"FORA DO CATÁLOGO")</f>
        <v>MOL020HG</v>
      </c>
      <c r="C689" s="11">
        <v>3</v>
      </c>
      <c r="D689" s="11" t="str">
        <f>_xlfn.XLOOKUP(A689,CATÁLOGO!$A$2:$A$846,CATÁLOGO!$E$2:$E$846,"FORA DO CATÁLOGO")</f>
        <v>Ativo</v>
      </c>
      <c r="E689" s="9"/>
      <c r="F689" s="52">
        <f>SUMIFS('AVARIA PINHEIROS'!$C$2:$C$24,'AVARIA PINHEIROS'!$A$2:$A$24,A689)</f>
        <v>0</v>
      </c>
    </row>
    <row r="690" spans="1:6" x14ac:dyDescent="0.3">
      <c r="A690" s="9" t="s">
        <v>502</v>
      </c>
      <c r="B690" s="18" t="str">
        <f>_xlfn.XLOOKUP(A690,CATÁLOGO!$A$2:$A$846,CATÁLOGO!$B$2:$B$846,"FORA DO CATÁLOGO")</f>
        <v>MOL020HGG</v>
      </c>
      <c r="C690" s="11">
        <v>1</v>
      </c>
      <c r="D690" s="11" t="str">
        <f>_xlfn.XLOOKUP(A690,CATÁLOGO!$A$2:$A$846,CATÁLOGO!$E$2:$E$846,"FORA DO CATÁLOGO")</f>
        <v>Ativo</v>
      </c>
      <c r="E690" s="9"/>
      <c r="F690" s="52">
        <f>SUMIFS('AVARIA PINHEIROS'!$C$2:$C$24,'AVARIA PINHEIROS'!$A$2:$A$24,A690)</f>
        <v>0</v>
      </c>
    </row>
    <row r="691" spans="1:6" x14ac:dyDescent="0.3">
      <c r="A691" s="9" t="s">
        <v>503</v>
      </c>
      <c r="B691" s="18" t="str">
        <f>_xlfn.XLOOKUP(A691,CATÁLOGO!$A$2:$A$846,CATÁLOGO!$B$2:$B$846,"FORA DO CATÁLOGO")</f>
        <v>CAM025MP</v>
      </c>
      <c r="C691" s="11">
        <v>6</v>
      </c>
      <c r="D691" s="11" t="str">
        <f>_xlfn.XLOOKUP(A691,CATÁLOGO!$A$2:$A$846,CATÁLOGO!$E$2:$E$846,"FORA DO CATÁLOGO")</f>
        <v>Ativo</v>
      </c>
      <c r="E691" s="9"/>
      <c r="F691" s="52">
        <f>SUMIFS('AVARIA PINHEIROS'!$C$2:$C$24,'AVARIA PINHEIROS'!$A$2:$A$24,A691)</f>
        <v>0</v>
      </c>
    </row>
    <row r="692" spans="1:6" x14ac:dyDescent="0.3">
      <c r="A692" s="9" t="s">
        <v>504</v>
      </c>
      <c r="B692" s="18" t="str">
        <f>_xlfn.XLOOKUP(A692,CATÁLOGO!$A$2:$A$846,CATÁLOGO!$B$2:$B$846,"FORA DO CATÁLOGO")</f>
        <v>CAM025MM</v>
      </c>
      <c r="C692" s="11">
        <v>6</v>
      </c>
      <c r="D692" s="11" t="str">
        <f>_xlfn.XLOOKUP(A692,CATÁLOGO!$A$2:$A$846,CATÁLOGO!$E$2:$E$846,"FORA DO CATÁLOGO")</f>
        <v>Ativo</v>
      </c>
      <c r="E692" s="9" t="s">
        <v>4</v>
      </c>
      <c r="F692" s="52">
        <f>SUMIFS('AVARIA PINHEIROS'!$C$2:$C$24,'AVARIA PINHEIROS'!$A$2:$A$24,A692)</f>
        <v>0</v>
      </c>
    </row>
    <row r="693" spans="1:6" x14ac:dyDescent="0.3">
      <c r="A693" s="9" t="s">
        <v>505</v>
      </c>
      <c r="B693" s="18" t="str">
        <f>_xlfn.XLOOKUP(A693,CATÁLOGO!$A$2:$A$846,CATÁLOGO!$B$2:$B$846,"FORA DO CATÁLOGO")</f>
        <v>CAM025MG</v>
      </c>
      <c r="C693" s="11">
        <v>6</v>
      </c>
      <c r="D693" s="11" t="str">
        <f>_xlfn.XLOOKUP(A693,CATÁLOGO!$A$2:$A$846,CATÁLOGO!$E$2:$E$846,"FORA DO CATÁLOGO")</f>
        <v>Ativo</v>
      </c>
      <c r="E693" s="9"/>
      <c r="F693" s="52">
        <f>SUMIFS('AVARIA PINHEIROS'!$C$2:$C$24,'AVARIA PINHEIROS'!$A$2:$A$24,A693)</f>
        <v>0</v>
      </c>
    </row>
    <row r="694" spans="1:6" x14ac:dyDescent="0.3">
      <c r="A694" s="9" t="s">
        <v>506</v>
      </c>
      <c r="B694" s="18" t="str">
        <f>_xlfn.XLOOKUP(A694,CATÁLOGO!$A$2:$A$846,CATÁLOGO!$B$2:$B$846,"FORA DO CATÁLOGO")</f>
        <v>CAM025MGG</v>
      </c>
      <c r="C694" s="11">
        <v>4</v>
      </c>
      <c r="D694" s="11" t="str">
        <f>_xlfn.XLOOKUP(A694,CATÁLOGO!$A$2:$A$846,CATÁLOGO!$E$2:$E$846,"FORA DO CATÁLOGO")</f>
        <v>Ativo</v>
      </c>
      <c r="E694" s="9"/>
      <c r="F694" s="52">
        <f>SUMIFS('AVARIA PINHEIROS'!$C$2:$C$24,'AVARIA PINHEIROS'!$A$2:$A$24,A694)</f>
        <v>0</v>
      </c>
    </row>
    <row r="695" spans="1:6" x14ac:dyDescent="0.3">
      <c r="A695" s="9" t="s">
        <v>507</v>
      </c>
      <c r="B695" s="18" t="str">
        <f>_xlfn.XLOOKUP(A695,CATÁLOGO!$A$2:$A$846,CATÁLOGO!$B$2:$B$846,"FORA DO CATÁLOGO")</f>
        <v>TRI015VP</v>
      </c>
      <c r="C695" s="11">
        <v>4</v>
      </c>
      <c r="D695" s="11" t="str">
        <f>_xlfn.XLOOKUP(A695,CATÁLOGO!$A$2:$A$846,CATÁLOGO!$E$2:$E$846,"FORA DO CATÁLOGO")</f>
        <v>Ativo</v>
      </c>
      <c r="E695" s="9"/>
      <c r="F695" s="52">
        <f>SUMIFS('AVARIA PINHEIROS'!$C$2:$C$24,'AVARIA PINHEIROS'!$A$2:$A$24,A695)</f>
        <v>0</v>
      </c>
    </row>
    <row r="696" spans="1:6" x14ac:dyDescent="0.3">
      <c r="A696" s="9" t="s">
        <v>508</v>
      </c>
      <c r="B696" s="18" t="str">
        <f>_xlfn.XLOOKUP(A696,CATÁLOGO!$A$2:$A$846,CATÁLOGO!$B$2:$B$846,"FORA DO CATÁLOGO")</f>
        <v>TRI015VM</v>
      </c>
      <c r="C696" s="11">
        <v>6</v>
      </c>
      <c r="D696" s="11" t="str">
        <f>_xlfn.XLOOKUP(A696,CATÁLOGO!$A$2:$A$846,CATÁLOGO!$E$2:$E$846,"FORA DO CATÁLOGO")</f>
        <v>Ativo</v>
      </c>
      <c r="E696" s="9"/>
      <c r="F696" s="52">
        <f>SUMIFS('AVARIA PINHEIROS'!$C$2:$C$24,'AVARIA PINHEIROS'!$A$2:$A$24,A696)</f>
        <v>0</v>
      </c>
    </row>
    <row r="697" spans="1:6" x14ac:dyDescent="0.3">
      <c r="A697" s="9" t="s">
        <v>509</v>
      </c>
      <c r="B697" s="18" t="str">
        <f>_xlfn.XLOOKUP(A697,CATÁLOGO!$A$2:$A$846,CATÁLOGO!$B$2:$B$846,"FORA DO CATÁLOGO")</f>
        <v>TRI015VG</v>
      </c>
      <c r="C697" s="11">
        <v>5</v>
      </c>
      <c r="D697" s="11" t="str">
        <f>_xlfn.XLOOKUP(A697,CATÁLOGO!$A$2:$A$846,CATÁLOGO!$E$2:$E$846,"FORA DO CATÁLOGO")</f>
        <v>Ativo</v>
      </c>
      <c r="E697" s="9"/>
      <c r="F697" s="52">
        <f>SUMIFS('AVARIA PINHEIROS'!$C$2:$C$24,'AVARIA PINHEIROS'!$A$2:$A$24,A697)</f>
        <v>0</v>
      </c>
    </row>
    <row r="698" spans="1:6" x14ac:dyDescent="0.3">
      <c r="A698" s="9" t="s">
        <v>510</v>
      </c>
      <c r="B698" s="18" t="str">
        <f>_xlfn.XLOOKUP(A698,CATÁLOGO!$A$2:$A$846,CATÁLOGO!$B$2:$B$846,"FORA DO CATÁLOGO")</f>
        <v>TRI015VGG</v>
      </c>
      <c r="C698" s="11">
        <v>2</v>
      </c>
      <c r="D698" s="11" t="str">
        <f>_xlfn.XLOOKUP(A698,CATÁLOGO!$A$2:$A$846,CATÁLOGO!$E$2:$E$846,"FORA DO CATÁLOGO")</f>
        <v>Ativo</v>
      </c>
      <c r="E698" s="9" t="s">
        <v>4</v>
      </c>
      <c r="F698" s="52">
        <f>SUMIFS('AVARIA PINHEIROS'!$C$2:$C$24,'AVARIA PINHEIROS'!$A$2:$A$24,A698)</f>
        <v>0</v>
      </c>
    </row>
    <row r="699" spans="1:6" x14ac:dyDescent="0.3">
      <c r="A699" s="9" t="s">
        <v>1711</v>
      </c>
      <c r="B699" s="18" t="str">
        <f>_xlfn.XLOOKUP(A699,CATÁLOGO!$A$2:$A$846,CATÁLOGO!$B$2:$B$846,"FORA DO CATÁLOGO")</f>
        <v>CAL028A36</v>
      </c>
      <c r="C699" s="11">
        <v>1</v>
      </c>
      <c r="D699" s="11" t="str">
        <f>_xlfn.XLOOKUP(A699,CATÁLOGO!$A$2:$A$846,CATÁLOGO!$E$2:$E$846,"FORA DO CATÁLOGO")</f>
        <v>Ativo</v>
      </c>
      <c r="E699" s="9"/>
      <c r="F699" s="52">
        <f>SUMIFS('AVARIA PINHEIROS'!$C$2:$C$24,'AVARIA PINHEIROS'!$A$2:$A$24,A699)</f>
        <v>0</v>
      </c>
    </row>
    <row r="700" spans="1:6" x14ac:dyDescent="0.3">
      <c r="A700" s="9" t="s">
        <v>1710</v>
      </c>
      <c r="B700" s="18" t="str">
        <f>_xlfn.XLOOKUP(A700,CATÁLOGO!$A$2:$A$846,CATÁLOGO!$B$2:$B$846,"FORA DO CATÁLOGO")</f>
        <v>CAL028A38</v>
      </c>
      <c r="C700" s="11">
        <v>2</v>
      </c>
      <c r="D700" s="11" t="str">
        <f>_xlfn.XLOOKUP(A700,CATÁLOGO!$A$2:$A$846,CATÁLOGO!$E$2:$E$846,"FORA DO CATÁLOGO")</f>
        <v>Ativo</v>
      </c>
      <c r="E700" s="9"/>
      <c r="F700" s="52">
        <f>SUMIFS('AVARIA PINHEIROS'!$C$2:$C$24,'AVARIA PINHEIROS'!$A$2:$A$24,A700)</f>
        <v>0</v>
      </c>
    </row>
    <row r="701" spans="1:6" x14ac:dyDescent="0.3">
      <c r="A701" s="9" t="s">
        <v>1709</v>
      </c>
      <c r="B701" s="18" t="str">
        <f>_xlfn.XLOOKUP(A701,CATÁLOGO!$A$2:$A$846,CATÁLOGO!$B$2:$B$846,"FORA DO CATÁLOGO")</f>
        <v>CAL028A40</v>
      </c>
      <c r="C701" s="11">
        <v>2</v>
      </c>
      <c r="D701" s="11" t="str">
        <f>_xlfn.XLOOKUP(A701,CATÁLOGO!$A$2:$A$846,CATÁLOGO!$E$2:$E$846,"FORA DO CATÁLOGO")</f>
        <v>Ativo</v>
      </c>
      <c r="E701" s="9"/>
      <c r="F701" s="52">
        <f>SUMIFS('AVARIA PINHEIROS'!$C$2:$C$24,'AVARIA PINHEIROS'!$A$2:$A$24,A701)</f>
        <v>0</v>
      </c>
    </row>
    <row r="702" spans="1:6" x14ac:dyDescent="0.3">
      <c r="A702" s="9" t="s">
        <v>1706</v>
      </c>
      <c r="B702" s="18" t="str">
        <f>_xlfn.XLOOKUP(A702,CATÁLOGO!$A$2:$A$846,CATÁLOGO!$B$2:$B$846,"FORA DO CATÁLOGO")</f>
        <v>CAL028A42</v>
      </c>
      <c r="C702" s="11">
        <v>2</v>
      </c>
      <c r="D702" s="11" t="str">
        <f>_xlfn.XLOOKUP(A702,CATÁLOGO!$A$2:$A$846,CATÁLOGO!$E$2:$E$846,"FORA DO CATÁLOGO")</f>
        <v>Ativo</v>
      </c>
      <c r="E702" s="9"/>
      <c r="F702" s="52">
        <f>SUMIFS('AVARIA PINHEIROS'!$C$2:$C$24,'AVARIA PINHEIROS'!$A$2:$A$24,A702)</f>
        <v>0</v>
      </c>
    </row>
    <row r="703" spans="1:6" x14ac:dyDescent="0.3">
      <c r="A703" s="9" t="s">
        <v>1708</v>
      </c>
      <c r="B703" s="18" t="str">
        <f>_xlfn.XLOOKUP(A703,CATÁLOGO!$A$2:$A$846,CATÁLOGO!$B$2:$B$846,"FORA DO CATÁLOGO")</f>
        <v>CAL028A44</v>
      </c>
      <c r="C703" s="11">
        <v>1</v>
      </c>
      <c r="D703" s="11" t="str">
        <f>_xlfn.XLOOKUP(A703,CATÁLOGO!$A$2:$A$846,CATÁLOGO!$E$2:$E$846,"FORA DO CATÁLOGO")</f>
        <v>Ativo</v>
      </c>
      <c r="E703" s="9"/>
      <c r="F703" s="52">
        <f>SUMIFS('AVARIA PINHEIROS'!$C$2:$C$24,'AVARIA PINHEIROS'!$A$2:$A$24,A703)</f>
        <v>0</v>
      </c>
    </row>
    <row r="704" spans="1:6" x14ac:dyDescent="0.3">
      <c r="A704" s="9" t="s">
        <v>1813</v>
      </c>
      <c r="B704" s="18" t="str">
        <f>_xlfn.XLOOKUP(A704,CATÁLOGO!$A$2:$A$846,CATÁLOGO!$B$2:$B$846,"FORA DO CATÁLOGO")</f>
        <v>MOL001MPP</v>
      </c>
      <c r="C704" s="11">
        <v>2</v>
      </c>
      <c r="D704" s="11" t="str">
        <f>_xlfn.XLOOKUP(A704,CATÁLOGO!$A$2:$A$846,CATÁLOGO!$E$2:$E$846,"FORA DO CATÁLOGO")</f>
        <v>Ativo</v>
      </c>
      <c r="E704" s="9"/>
      <c r="F704" s="52">
        <f>SUMIFS('AVARIA PINHEIROS'!$C$2:$C$24,'AVARIA PINHEIROS'!$A$2:$A$24,A704)</f>
        <v>0</v>
      </c>
    </row>
    <row r="705" spans="1:6" x14ac:dyDescent="0.3">
      <c r="A705" s="9" t="s">
        <v>511</v>
      </c>
      <c r="B705" s="18" t="str">
        <f>_xlfn.XLOOKUP(A705,CATÁLOGO!$A$2:$A$846,CATÁLOGO!$B$2:$B$846,"FORA DO CATÁLOGO")</f>
        <v>MOL001MP</v>
      </c>
      <c r="C705" s="11">
        <v>4</v>
      </c>
      <c r="D705" s="11" t="str">
        <f>_xlfn.XLOOKUP(A705,CATÁLOGO!$A$2:$A$846,CATÁLOGO!$E$2:$E$846,"FORA DO CATÁLOGO")</f>
        <v>Ativo</v>
      </c>
      <c r="E705" s="9"/>
      <c r="F705" s="52">
        <f>SUMIFS('AVARIA PINHEIROS'!$C$2:$C$24,'AVARIA PINHEIROS'!$A$2:$A$24,A705)</f>
        <v>0</v>
      </c>
    </row>
    <row r="706" spans="1:6" x14ac:dyDescent="0.3">
      <c r="A706" s="9" t="s">
        <v>512</v>
      </c>
      <c r="B706" s="18" t="str">
        <f>_xlfn.XLOOKUP(A706,CATÁLOGO!$A$2:$A$846,CATÁLOGO!$B$2:$B$846,"FORA DO CATÁLOGO")</f>
        <v>MOL001MM</v>
      </c>
      <c r="C706" s="11">
        <v>6</v>
      </c>
      <c r="D706" s="11" t="str">
        <f>_xlfn.XLOOKUP(A706,CATÁLOGO!$A$2:$A$846,CATÁLOGO!$E$2:$E$846,"FORA DO CATÁLOGO")</f>
        <v>Ativo</v>
      </c>
      <c r="E706" s="9"/>
      <c r="F706" s="52">
        <f>SUMIFS('AVARIA PINHEIROS'!$C$2:$C$24,'AVARIA PINHEIROS'!$A$2:$A$24,A706)</f>
        <v>0</v>
      </c>
    </row>
    <row r="707" spans="1:6" x14ac:dyDescent="0.3">
      <c r="A707" s="9" t="s">
        <v>1273</v>
      </c>
      <c r="B707" s="18" t="str">
        <f>_xlfn.XLOOKUP(A707,CATÁLOGO!$A$2:$A$846,CATÁLOGO!$B$2:$B$846,"FORA DO CATÁLOGO")</f>
        <v>MOL001MG</v>
      </c>
      <c r="C707" s="11">
        <v>5</v>
      </c>
      <c r="D707" s="11" t="str">
        <f>_xlfn.XLOOKUP(A707,CATÁLOGO!$A$2:$A$846,CATÁLOGO!$E$2:$E$846,"FORA DO CATÁLOGO")</f>
        <v>Ativo</v>
      </c>
      <c r="E707" s="9" t="s">
        <v>1300</v>
      </c>
      <c r="F707" s="52">
        <f>SUMIFS('AVARIA PINHEIROS'!$C$2:$C$24,'AVARIA PINHEIROS'!$A$2:$A$24,A707)</f>
        <v>0</v>
      </c>
    </row>
    <row r="708" spans="1:6" x14ac:dyDescent="0.3">
      <c r="A708" s="9" t="s">
        <v>513</v>
      </c>
      <c r="B708" s="18" t="str">
        <f>_xlfn.XLOOKUP(A708,CATÁLOGO!$A$2:$A$846,CATÁLOGO!$B$2:$B$846,"FORA DO CATÁLOGO")</f>
        <v>MOL001MGG</v>
      </c>
      <c r="C708" s="11">
        <v>3</v>
      </c>
      <c r="D708" s="11" t="str">
        <f>_xlfn.XLOOKUP(A708,CATÁLOGO!$A$2:$A$846,CATÁLOGO!$E$2:$E$846,"FORA DO CATÁLOGO")</f>
        <v>Ativo</v>
      </c>
      <c r="E708" s="9"/>
      <c r="F708" s="52">
        <f>SUMIFS('AVARIA PINHEIROS'!$C$2:$C$24,'AVARIA PINHEIROS'!$A$2:$A$24,A708)</f>
        <v>0</v>
      </c>
    </row>
    <row r="709" spans="1:6" x14ac:dyDescent="0.3">
      <c r="A709" s="9" t="s">
        <v>1798</v>
      </c>
      <c r="B709" s="18" t="str">
        <f>_xlfn.XLOOKUP(A709,CATÁLOGO!$A$2:$A$846,CATÁLOGO!$B$2:$B$846,"FORA DO CATÁLOGO")</f>
        <v>CMS016HPP</v>
      </c>
      <c r="C709" s="11">
        <v>1</v>
      </c>
      <c r="D709" s="11" t="str">
        <f>_xlfn.XLOOKUP(A709,CATÁLOGO!$A$2:$A$846,CATÁLOGO!$E$2:$E$846,"FORA DO CATÁLOGO")</f>
        <v>Ativo</v>
      </c>
      <c r="E709" s="9"/>
      <c r="F709" s="52">
        <f>SUMIFS('AVARIA PINHEIROS'!$C$2:$C$24,'AVARIA PINHEIROS'!$A$2:$A$24,A709)</f>
        <v>0</v>
      </c>
    </row>
    <row r="710" spans="1:6" x14ac:dyDescent="0.3">
      <c r="A710" s="9" t="s">
        <v>514</v>
      </c>
      <c r="B710" s="18" t="str">
        <f>_xlfn.XLOOKUP(A710,CATÁLOGO!$A$2:$A$846,CATÁLOGO!$B$2:$B$846,"FORA DO CATÁLOGO")</f>
        <v>CMS016HP</v>
      </c>
      <c r="C710" s="11">
        <v>2</v>
      </c>
      <c r="D710" s="11" t="str">
        <f>_xlfn.XLOOKUP(A710,CATÁLOGO!$A$2:$A$846,CATÁLOGO!$E$2:$E$846,"FORA DO CATÁLOGO")</f>
        <v>Ativo</v>
      </c>
      <c r="E710" s="9"/>
      <c r="F710" s="52">
        <f>SUMIFS('AVARIA PINHEIROS'!$C$2:$C$24,'AVARIA PINHEIROS'!$A$2:$A$24,A710)</f>
        <v>0</v>
      </c>
    </row>
    <row r="711" spans="1:6" x14ac:dyDescent="0.3">
      <c r="A711" s="9" t="s">
        <v>515</v>
      </c>
      <c r="B711" s="18" t="str">
        <f>_xlfn.XLOOKUP(A711,CATÁLOGO!$A$2:$A$846,CATÁLOGO!$B$2:$B$846,"FORA DO CATÁLOGO")</f>
        <v>CMS016HM</v>
      </c>
      <c r="C711" s="11">
        <v>2</v>
      </c>
      <c r="D711" s="11" t="str">
        <f>_xlfn.XLOOKUP(A711,CATÁLOGO!$A$2:$A$846,CATÁLOGO!$E$2:$E$846,"FORA DO CATÁLOGO")</f>
        <v>Ativo</v>
      </c>
      <c r="E711" s="9"/>
      <c r="F711" s="52">
        <f>SUMIFS('AVARIA PINHEIROS'!$C$2:$C$24,'AVARIA PINHEIROS'!$A$2:$A$24,A711)</f>
        <v>0</v>
      </c>
    </row>
    <row r="712" spans="1:6" x14ac:dyDescent="0.3">
      <c r="A712" s="9" t="s">
        <v>516</v>
      </c>
      <c r="B712" s="18" t="str">
        <f>_xlfn.XLOOKUP(A712,CATÁLOGO!$A$2:$A$846,CATÁLOGO!$B$2:$B$846,"FORA DO CATÁLOGO")</f>
        <v>CMS016HG</v>
      </c>
      <c r="C712" s="11">
        <v>2</v>
      </c>
      <c r="D712" s="11" t="str">
        <f>_xlfn.XLOOKUP(A712,CATÁLOGO!$A$2:$A$846,CATÁLOGO!$E$2:$E$846,"FORA DO CATÁLOGO")</f>
        <v>Ativo</v>
      </c>
      <c r="E712" s="9"/>
      <c r="F712" s="52">
        <f>SUMIFS('AVARIA PINHEIROS'!$C$2:$C$24,'AVARIA PINHEIROS'!$A$2:$A$24,A712)</f>
        <v>0</v>
      </c>
    </row>
    <row r="713" spans="1:6" x14ac:dyDescent="0.3">
      <c r="A713" s="9" t="s">
        <v>517</v>
      </c>
      <c r="B713" s="18" t="str">
        <f>_xlfn.XLOOKUP(A713,CATÁLOGO!$A$2:$A$846,CATÁLOGO!$B$2:$B$846,"FORA DO CATÁLOGO")</f>
        <v>CMS016HGG</v>
      </c>
      <c r="C713" s="11">
        <v>1</v>
      </c>
      <c r="D713" s="11" t="str">
        <f>_xlfn.XLOOKUP(A713,CATÁLOGO!$A$2:$A$846,CATÁLOGO!$E$2:$E$846,"FORA DO CATÁLOGO")</f>
        <v>Ativo</v>
      </c>
      <c r="E713" s="9"/>
      <c r="F713" s="52">
        <f>SUMIFS('AVARIA PINHEIROS'!$C$2:$C$24,'AVARIA PINHEIROS'!$A$2:$A$24,A713)</f>
        <v>0</v>
      </c>
    </row>
    <row r="714" spans="1:6" x14ac:dyDescent="0.3">
      <c r="A714" s="9" t="s">
        <v>1797</v>
      </c>
      <c r="B714" s="18" t="str">
        <f>_xlfn.XLOOKUP(A714,CATÁLOGO!$A$2:$A$846,CATÁLOGO!$B$2:$B$846,"FORA DO CATÁLOGO")</f>
        <v>CMS016BPP</v>
      </c>
      <c r="C714" s="11">
        <v>1</v>
      </c>
      <c r="D714" s="11" t="str">
        <f>_xlfn.XLOOKUP(A714,CATÁLOGO!$A$2:$A$846,CATÁLOGO!$E$2:$E$846,"FORA DO CATÁLOGO")</f>
        <v>Ativo</v>
      </c>
      <c r="E714" s="9" t="s">
        <v>1301</v>
      </c>
      <c r="F714" s="52">
        <f>SUMIFS('AVARIA PINHEIROS'!$C$2:$C$24,'AVARIA PINHEIROS'!$A$2:$A$24,A714)</f>
        <v>0</v>
      </c>
    </row>
    <row r="715" spans="1:6" x14ac:dyDescent="0.3">
      <c r="A715" s="9" t="s">
        <v>518</v>
      </c>
      <c r="B715" s="18" t="str">
        <f>_xlfn.XLOOKUP(A715,CATÁLOGO!$A$2:$A$846,CATÁLOGO!$B$2:$B$846,"FORA DO CATÁLOGO")</f>
        <v>CMS016BM</v>
      </c>
      <c r="C715" s="11">
        <v>1</v>
      </c>
      <c r="D715" s="11" t="str">
        <f>_xlfn.XLOOKUP(A715,CATÁLOGO!$A$2:$A$846,CATÁLOGO!$E$2:$E$846,"FORA DO CATÁLOGO")</f>
        <v>Ativo</v>
      </c>
      <c r="E715" s="9"/>
      <c r="F715" s="52">
        <f>SUMIFS('AVARIA PINHEIROS'!$C$2:$C$24,'AVARIA PINHEIROS'!$A$2:$A$24,A715)</f>
        <v>0</v>
      </c>
    </row>
    <row r="716" spans="1:6" x14ac:dyDescent="0.3">
      <c r="A716" s="9" t="s">
        <v>519</v>
      </c>
      <c r="B716" s="18" t="str">
        <f>_xlfn.XLOOKUP(A716,CATÁLOGO!$A$2:$A$846,CATÁLOGO!$B$2:$B$846,"FORA DO CATÁLOGO")</f>
        <v>CMS016BG</v>
      </c>
      <c r="C716" s="11">
        <v>1</v>
      </c>
      <c r="D716" s="11" t="str">
        <f>_xlfn.XLOOKUP(A716,CATÁLOGO!$A$2:$A$846,CATÁLOGO!$E$2:$E$846,"FORA DO CATÁLOGO")</f>
        <v>Ativo</v>
      </c>
      <c r="E716" s="9"/>
      <c r="F716" s="52">
        <f>SUMIFS('AVARIA PINHEIROS'!$C$2:$C$24,'AVARIA PINHEIROS'!$A$2:$A$24,A716)</f>
        <v>0</v>
      </c>
    </row>
    <row r="717" spans="1:6" x14ac:dyDescent="0.3">
      <c r="A717" s="9" t="s">
        <v>520</v>
      </c>
      <c r="B717" s="18" t="str">
        <f>_xlfn.XLOOKUP(A717,CATÁLOGO!$A$2:$A$846,CATÁLOGO!$B$2:$B$846,"FORA DO CATÁLOGO")</f>
        <v>CMS016BGG</v>
      </c>
      <c r="C717" s="11">
        <v>1</v>
      </c>
      <c r="D717" s="11" t="str">
        <f>_xlfn.XLOOKUP(A717,CATÁLOGO!$A$2:$A$846,CATÁLOGO!$E$2:$E$846,"FORA DO CATÁLOGO")</f>
        <v>Ativo</v>
      </c>
      <c r="E717" s="9"/>
      <c r="F717" s="52">
        <f>SUMIFS('AVARIA PINHEIROS'!$C$2:$C$24,'AVARIA PINHEIROS'!$A$2:$A$24,A717)</f>
        <v>0</v>
      </c>
    </row>
    <row r="718" spans="1:6" x14ac:dyDescent="0.3">
      <c r="A718" s="9" t="s">
        <v>521</v>
      </c>
      <c r="B718" s="18" t="str">
        <f>_xlfn.XLOOKUP(A718,CATÁLOGO!$A$2:$A$846,CATÁLOGO!$B$2:$B$846,"FORA DO CATÁLOGO")</f>
        <v>MOL022YP</v>
      </c>
      <c r="C718" s="11">
        <v>4</v>
      </c>
      <c r="D718" s="11" t="str">
        <f>_xlfn.XLOOKUP(A718,CATÁLOGO!$A$2:$A$846,CATÁLOGO!$E$2:$E$846,"FORA DO CATÁLOGO")</f>
        <v>Ativo</v>
      </c>
      <c r="E718" s="9" t="s">
        <v>4</v>
      </c>
      <c r="F718" s="52">
        <f>SUMIFS('AVARIA PINHEIROS'!$C$2:$C$24,'AVARIA PINHEIROS'!$A$2:$A$24,A718)</f>
        <v>0</v>
      </c>
    </row>
    <row r="719" spans="1:6" x14ac:dyDescent="0.3">
      <c r="A719" s="9" t="s">
        <v>522</v>
      </c>
      <c r="B719" s="18" t="str">
        <f>_xlfn.XLOOKUP(A719,CATÁLOGO!$A$2:$A$846,CATÁLOGO!$B$2:$B$846,"FORA DO CATÁLOGO")</f>
        <v>MOL022YM</v>
      </c>
      <c r="C719" s="11">
        <v>6</v>
      </c>
      <c r="D719" s="11" t="str">
        <f>_xlfn.XLOOKUP(A719,CATÁLOGO!$A$2:$A$846,CATÁLOGO!$E$2:$E$846,"FORA DO CATÁLOGO")</f>
        <v>Ativo</v>
      </c>
      <c r="E719" s="9"/>
      <c r="F719" s="52">
        <f>SUMIFS('AVARIA PINHEIROS'!$C$2:$C$24,'AVARIA PINHEIROS'!$A$2:$A$24,A719)</f>
        <v>0</v>
      </c>
    </row>
    <row r="720" spans="1:6" x14ac:dyDescent="0.3">
      <c r="A720" s="9" t="s">
        <v>523</v>
      </c>
      <c r="B720" s="18" t="str">
        <f>_xlfn.XLOOKUP(A720,CATÁLOGO!$A$2:$A$846,CATÁLOGO!$B$2:$B$846,"FORA DO CATÁLOGO")</f>
        <v>MOL022YG</v>
      </c>
      <c r="C720" s="11">
        <v>5</v>
      </c>
      <c r="D720" s="11" t="str">
        <f>_xlfn.XLOOKUP(A720,CATÁLOGO!$A$2:$A$846,CATÁLOGO!$E$2:$E$846,"FORA DO CATÁLOGO")</f>
        <v>Ativo</v>
      </c>
      <c r="E720" s="9"/>
      <c r="F720" s="52">
        <f>SUMIFS('AVARIA PINHEIROS'!$C$2:$C$24,'AVARIA PINHEIROS'!$A$2:$A$24,A720)</f>
        <v>0</v>
      </c>
    </row>
    <row r="721" spans="1:6" x14ac:dyDescent="0.3">
      <c r="A721" s="9" t="s">
        <v>524</v>
      </c>
      <c r="B721" s="18" t="str">
        <f>_xlfn.XLOOKUP(A721,CATÁLOGO!$A$2:$A$846,CATÁLOGO!$B$2:$B$846,"FORA DO CATÁLOGO")</f>
        <v>MOL022YGG</v>
      </c>
      <c r="C721" s="11">
        <v>2</v>
      </c>
      <c r="D721" s="11" t="str">
        <f>_xlfn.XLOOKUP(A721,CATÁLOGO!$A$2:$A$846,CATÁLOGO!$E$2:$E$846,"FORA DO CATÁLOGO")</f>
        <v>Ativo</v>
      </c>
      <c r="E721" s="9"/>
      <c r="F721" s="52">
        <f>SUMIFS('AVARIA PINHEIROS'!$C$2:$C$24,'AVARIA PINHEIROS'!$A$2:$A$24,A721)</f>
        <v>0</v>
      </c>
    </row>
    <row r="722" spans="1:6" x14ac:dyDescent="0.3">
      <c r="A722" s="9" t="s">
        <v>525</v>
      </c>
      <c r="B722" s="18" t="str">
        <f>_xlfn.XLOOKUP(A722,CATÁLOGO!$A$2:$A$846,CATÁLOGO!$B$2:$B$846,"FORA DO CATÁLOGO")</f>
        <v>JAQ011VP</v>
      </c>
      <c r="C722" s="11">
        <v>5</v>
      </c>
      <c r="D722" s="11" t="str">
        <f>_xlfn.XLOOKUP(A722,CATÁLOGO!$A$2:$A$846,CATÁLOGO!$E$2:$E$846,"FORA DO CATÁLOGO")</f>
        <v>Ativo</v>
      </c>
      <c r="E722" s="9" t="s">
        <v>7</v>
      </c>
      <c r="F722" s="52">
        <f>SUMIFS('AVARIA PINHEIROS'!$C$2:$C$24,'AVARIA PINHEIROS'!$A$2:$A$24,A722)</f>
        <v>0</v>
      </c>
    </row>
    <row r="723" spans="1:6" x14ac:dyDescent="0.3">
      <c r="A723" s="9" t="s">
        <v>526</v>
      </c>
      <c r="B723" s="18" t="str">
        <f>_xlfn.XLOOKUP(A723,CATÁLOGO!$A$2:$A$846,CATÁLOGO!$B$2:$B$846,"FORA DO CATÁLOGO")</f>
        <v>JAQ011VM</v>
      </c>
      <c r="C723" s="11">
        <v>6</v>
      </c>
      <c r="D723" s="11" t="str">
        <f>_xlfn.XLOOKUP(A723,CATÁLOGO!$A$2:$A$846,CATÁLOGO!$E$2:$E$846,"FORA DO CATÁLOGO")</f>
        <v>Ativo</v>
      </c>
      <c r="E723" s="9"/>
      <c r="F723" s="52">
        <f>SUMIFS('AVARIA PINHEIROS'!$C$2:$C$24,'AVARIA PINHEIROS'!$A$2:$A$24,A723)</f>
        <v>0</v>
      </c>
    </row>
    <row r="724" spans="1:6" x14ac:dyDescent="0.3">
      <c r="A724" s="9" t="s">
        <v>527</v>
      </c>
      <c r="B724" s="18" t="str">
        <f>_xlfn.XLOOKUP(A724,CATÁLOGO!$A$2:$A$846,CATÁLOGO!$B$2:$B$846,"FORA DO CATÁLOGO")</f>
        <v>JAQ011VG</v>
      </c>
      <c r="C724" s="11">
        <v>7</v>
      </c>
      <c r="D724" s="11" t="str">
        <f>_xlfn.XLOOKUP(A724,CATÁLOGO!$A$2:$A$846,CATÁLOGO!$E$2:$E$846,"FORA DO CATÁLOGO")</f>
        <v>Ativo</v>
      </c>
      <c r="E724" s="9"/>
      <c r="F724" s="52">
        <f>SUMIFS('AVARIA PINHEIROS'!$C$2:$C$24,'AVARIA PINHEIROS'!$A$2:$A$24,A724)</f>
        <v>0</v>
      </c>
    </row>
    <row r="725" spans="1:6" x14ac:dyDescent="0.3">
      <c r="A725" s="9" t="s">
        <v>528</v>
      </c>
      <c r="B725" s="18" t="str">
        <f>_xlfn.XLOOKUP(A725,CATÁLOGO!$A$2:$A$846,CATÁLOGO!$B$2:$B$846,"FORA DO CATÁLOGO")</f>
        <v>JAQ011VGG</v>
      </c>
      <c r="C725" s="11">
        <v>3</v>
      </c>
      <c r="D725" s="11" t="str">
        <f>_xlfn.XLOOKUP(A725,CATÁLOGO!$A$2:$A$846,CATÁLOGO!$E$2:$E$846,"FORA DO CATÁLOGO")</f>
        <v>Ativo</v>
      </c>
      <c r="E725" s="9"/>
      <c r="F725" s="52">
        <f>SUMIFS('AVARIA PINHEIROS'!$C$2:$C$24,'AVARIA PINHEIROS'!$A$2:$A$24,A725)</f>
        <v>0</v>
      </c>
    </row>
  </sheetData>
  <conditionalFormatting sqref="D2:D725">
    <cfRule type="containsText" dxfId="21" priority="1" operator="containsText" text="Descontinuado">
      <formula>NOT(ISERROR(SEARCH("Descontinuado",D2)))</formula>
    </cfRule>
    <cfRule type="containsText" dxfId="20" priority="2" operator="containsText" text="Fora do catálogo">
      <formula>NOT(ISERROR(SEARCH("Fora do catálogo",D2)))</formula>
    </cfRule>
    <cfRule type="containsText" dxfId="19" priority="3" operator="containsText" text="FORA DO CATÁLOGO">
      <formula>NOT(ISERROR(SEARCH("FORA DO CATÁLOGO",D2)))</formula>
    </cfRule>
  </conditionalFormatting>
  <conditionalFormatting sqref="F2:F725">
    <cfRule type="cellIs" dxfId="3" priority="4" operator="greaterThan">
      <formula>0</formula>
    </cfRule>
  </conditionalFormatting>
  <conditionalFormatting sqref="I12:I40">
    <cfRule type="dataBar" priority="5">
      <dataBar>
        <cfvo type="num" val="0"/>
        <cfvo type="max"/>
        <color rgb="FFF4B183"/>
      </dataBar>
      <extLst>
        <ext xmlns:x14="http://schemas.microsoft.com/office/spreadsheetml/2009/9/main" uri="{B025F937-C7B1-47D3-B67F-A62EFF666E3E}">
          <x14:id>{FFA86DEB-45DC-401D-A175-CCAE922F63D1}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86DEB-45DC-401D-A175-CCAE922F63D1}">
            <x14:dataBar minLength="0" maxLength="100" gradient="0" direction="leftToRight" negativeBarColorSameAsPositive="1" axisPosition="none">
              <x14:cfvo type="num">
                <xm:f>0</xm:f>
              </x14:cfvo>
              <x14:cfvo type="max"/>
            </x14:dataBar>
          </x14:cfRule>
          <xm:sqref>I12:I40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1"/>
  <sheetViews>
    <sheetView workbookViewId="0">
      <pane ySplit="1" topLeftCell="A709" activePane="bottomLeft" state="frozen"/>
      <selection pane="bottomLeft" activeCell="F3" sqref="F3"/>
    </sheetView>
  </sheetViews>
  <sheetFormatPr defaultRowHeight="14.4" x14ac:dyDescent="0.3"/>
  <cols>
    <col min="1" max="1" width="27.77734375" customWidth="1"/>
    <col min="2" max="2" width="16.6640625" customWidth="1"/>
    <col min="3" max="3" width="11.109375" customWidth="1"/>
    <col min="4" max="4" width="24.109375" customWidth="1"/>
    <col min="5" max="5" width="55.5546875" customWidth="1"/>
    <col min="6" max="6" width="14.77734375" customWidth="1"/>
    <col min="7" max="7" width="3.6640625" customWidth="1"/>
    <col min="8" max="8" width="35.21875" customWidth="1"/>
    <col min="9" max="9" width="27.77734375" customWidth="1"/>
  </cols>
  <sheetData>
    <row r="1" spans="1:9" x14ac:dyDescent="0.3">
      <c r="A1" s="10" t="s">
        <v>0</v>
      </c>
      <c r="B1" s="10" t="s">
        <v>1413</v>
      </c>
      <c r="C1" s="10" t="s">
        <v>1</v>
      </c>
      <c r="D1" s="10" t="s">
        <v>1416</v>
      </c>
      <c r="E1" s="10" t="s">
        <v>2</v>
      </c>
      <c r="F1" s="10" t="s">
        <v>2059</v>
      </c>
      <c r="H1" s="22" t="s">
        <v>2060</v>
      </c>
      <c r="I1" s="22"/>
    </row>
    <row r="2" spans="1:9" x14ac:dyDescent="0.3">
      <c r="A2" s="9" t="s">
        <v>1302</v>
      </c>
      <c r="B2" s="18" t="str">
        <f>_xlfn.XLOOKUP(A2,CATÁLOGO!$A$2:$A$846,CATÁLOGO!$B$2:$B$846,"FORA DO CATÁLOGO")</f>
        <v>MOL002VP</v>
      </c>
      <c r="C2" s="11">
        <v>1</v>
      </c>
      <c r="D2" s="11" t="str">
        <f>_xlfn.XLOOKUP(A2,CATÁLOGO!$A$2:$A$846,CATÁLOGO!$E$2:$E$846,"FORA DO CATÁLOGO")</f>
        <v>Fora do catálogo 2026</v>
      </c>
      <c r="E2" s="9" t="s">
        <v>2004</v>
      </c>
      <c r="F2" s="52">
        <f>SUMIFS('AVARIA ESTIMADA'!$F$18:$F$40,'AVARIA ESTIMADA'!$A$18:$A$40,A2)</f>
        <v>0</v>
      </c>
      <c r="H2" s="54" t="s">
        <v>2050</v>
      </c>
      <c r="I2" s="63" t="s">
        <v>2064</v>
      </c>
    </row>
    <row r="3" spans="1:9" x14ac:dyDescent="0.3">
      <c r="A3" s="9" t="s">
        <v>1956</v>
      </c>
      <c r="B3" s="18" t="str">
        <f>_xlfn.XLOOKUP(A3,CATÁLOGO!$A$2:$A$846,CATÁLOGO!$B$2:$B$846,"FORA DO CATÁLOGO")</f>
        <v>CAL001V36</v>
      </c>
      <c r="C3" s="11">
        <v>1</v>
      </c>
      <c r="D3" s="11" t="str">
        <f>_xlfn.XLOOKUP(A3,CATÁLOGO!$A$2:$A$846,CATÁLOGO!$E$2:$E$846,"FORA DO CATÁLOGO")</f>
        <v>Fora do catálogo 2026</v>
      </c>
      <c r="E3" s="9" t="s">
        <v>2005</v>
      </c>
      <c r="F3" s="52">
        <f>SUMIFS('AVARIA ESTIMADA'!$F$18:$F$40,'AVARIA ESTIMADA'!$A$18:$A$40,A3)</f>
        <v>0</v>
      </c>
      <c r="H3" s="54" t="s">
        <v>2051</v>
      </c>
      <c r="I3" s="55">
        <f>SUM(C2:C731)</f>
        <v>2323</v>
      </c>
    </row>
    <row r="4" spans="1:9" x14ac:dyDescent="0.3">
      <c r="A4" s="9" t="s">
        <v>1957</v>
      </c>
      <c r="B4" s="18" t="str">
        <f>_xlfn.XLOOKUP(A4,CATÁLOGO!$A$2:$A$846,CATÁLOGO!$B$2:$B$846,"FORA DO CATÁLOGO")</f>
        <v>CAL001V38</v>
      </c>
      <c r="C4" s="11">
        <v>1</v>
      </c>
      <c r="D4" s="11" t="str">
        <f>_xlfn.XLOOKUP(A4,CATÁLOGO!$A$2:$A$846,CATÁLOGO!$E$2:$E$846,"FORA DO CATÁLOGO")</f>
        <v>Fora do catálogo 2026</v>
      </c>
      <c r="E4" s="9" t="s">
        <v>1304</v>
      </c>
      <c r="F4" s="52">
        <f>SUMIFS('AVARIA ESTIMADA'!$F$18:$F$40,'AVARIA ESTIMADA'!$A$18:$A$40,A4)</f>
        <v>0</v>
      </c>
      <c r="H4" s="56" t="s">
        <v>2052</v>
      </c>
      <c r="I4" s="57">
        <f>SUM(F2:F731)</f>
        <v>69</v>
      </c>
    </row>
    <row r="5" spans="1:9" x14ac:dyDescent="0.3">
      <c r="A5" s="9" t="s">
        <v>1960</v>
      </c>
      <c r="B5" s="18" t="str">
        <f>_xlfn.XLOOKUP(A5,CATÁLOGO!$A$2:$A$846,CATÁLOGO!$B$2:$B$846,"FORA DO CATÁLOGO")</f>
        <v>CAL001V42</v>
      </c>
      <c r="C5" s="11">
        <v>1</v>
      </c>
      <c r="D5" s="11" t="str">
        <f>_xlfn.XLOOKUP(A5,CATÁLOGO!$A$2:$A$846,CATÁLOGO!$E$2:$E$846,"FORA DO CATÁLOGO")</f>
        <v>Fora do catálogo 2026</v>
      </c>
      <c r="E5" s="9" t="s">
        <v>2005</v>
      </c>
      <c r="F5" s="52">
        <f>SUMIFS('AVARIA ESTIMADA'!$F$18:$F$40,'AVARIA ESTIMADA'!$A$18:$A$40,A5)</f>
        <v>0</v>
      </c>
      <c r="H5" s="58" t="s">
        <v>2053</v>
      </c>
      <c r="I5" s="59">
        <f>I3-I4</f>
        <v>2254</v>
      </c>
    </row>
    <row r="6" spans="1:9" x14ac:dyDescent="0.3">
      <c r="A6" s="9" t="s">
        <v>1961</v>
      </c>
      <c r="B6" s="18" t="str">
        <f>_xlfn.XLOOKUP(A6,CATÁLOGO!$A$2:$A$846,CATÁLOGO!$B$2:$B$846,"FORA DO CATÁLOGO")</f>
        <v>CAL001V44</v>
      </c>
      <c r="C6" s="11">
        <v>1</v>
      </c>
      <c r="D6" s="11" t="str">
        <f>_xlfn.XLOOKUP(A6,CATÁLOGO!$A$2:$A$846,CATÁLOGO!$E$2:$E$846,"FORA DO CATÁLOGO")</f>
        <v>Fora do catálogo 2026</v>
      </c>
      <c r="E6" s="9" t="s">
        <v>2004</v>
      </c>
      <c r="F6" s="52">
        <f>SUMIFS('AVARIA ESTIMADA'!$F$18:$F$40,'AVARIA ESTIMADA'!$A$18:$A$40,A6)</f>
        <v>0</v>
      </c>
      <c r="H6" s="54" t="s">
        <v>2054</v>
      </c>
      <c r="I6" s="60">
        <f>I4/I3</f>
        <v>2.9702970297029702E-2</v>
      </c>
    </row>
    <row r="7" spans="1:9" x14ac:dyDescent="0.3">
      <c r="A7" s="9" t="s">
        <v>1948</v>
      </c>
      <c r="B7" s="18" t="str">
        <f>_xlfn.XLOOKUP(A7,CATÁLOGO!$A$2:$A$846,CATÁLOGO!$B$2:$B$846,"FORA DO CATÁLOGO")</f>
        <v>CAL001H36</v>
      </c>
      <c r="C7" s="11">
        <v>1</v>
      </c>
      <c r="D7" s="11" t="str">
        <f>_xlfn.XLOOKUP(A7,CATÁLOGO!$A$2:$A$846,CATÁLOGO!$E$2:$E$846,"FORA DO CATÁLOGO")</f>
        <v>Fora do catálogo 2026</v>
      </c>
      <c r="E7" s="9" t="s">
        <v>1305</v>
      </c>
      <c r="F7" s="52">
        <f>SUMIFS('AVARIA ESTIMADA'!$F$18:$F$40,'AVARIA ESTIMADA'!$A$18:$A$40,A7)</f>
        <v>0</v>
      </c>
      <c r="H7" s="54" t="s">
        <v>2055</v>
      </c>
      <c r="I7" s="61">
        <f>COUNTIF(F2:F731,"&gt;0")</f>
        <v>20</v>
      </c>
    </row>
    <row r="8" spans="1:9" x14ac:dyDescent="0.3">
      <c r="A8" s="9" t="s">
        <v>1952</v>
      </c>
      <c r="B8" s="18" t="str">
        <f>_xlfn.XLOOKUP(A8,CATÁLOGO!$A$2:$A$846,CATÁLOGO!$B$2:$B$846,"FORA DO CATÁLOGO")</f>
        <v>CAL001H40</v>
      </c>
      <c r="C8" s="11">
        <v>1</v>
      </c>
      <c r="D8" s="11" t="str">
        <f>_xlfn.XLOOKUP(A8,CATÁLOGO!$A$2:$A$846,CATÁLOGO!$E$2:$E$846,"FORA DO CATÁLOGO")</f>
        <v>Fora do catálogo 2026</v>
      </c>
      <c r="E8" s="9" t="s">
        <v>2004</v>
      </c>
      <c r="F8" s="52">
        <f>SUMIFS('AVARIA ESTIMADA'!$F$18:$F$40,'AVARIA ESTIMADA'!$A$18:$A$40,A8)</f>
        <v>0</v>
      </c>
      <c r="H8" s="54" t="s">
        <v>2056</v>
      </c>
      <c r="I8" s="60">
        <f>'AVARIA ESTIMADA'!F14</f>
        <v>2.995785396970042E-2</v>
      </c>
    </row>
    <row r="9" spans="1:9" x14ac:dyDescent="0.3">
      <c r="A9" s="9" t="s">
        <v>1955</v>
      </c>
      <c r="B9" s="18" t="str">
        <f>_xlfn.XLOOKUP(A9,CATÁLOGO!$A$2:$A$846,CATÁLOGO!$B$2:$B$846,"FORA DO CATÁLOGO")</f>
        <v>CAL001H44</v>
      </c>
      <c r="C9" s="11">
        <v>1</v>
      </c>
      <c r="D9" s="11" t="str">
        <f>_xlfn.XLOOKUP(A9,CATÁLOGO!$A$2:$A$846,CATÁLOGO!$E$2:$E$846,"FORA DO CATÁLOGO")</f>
        <v>Fora do catálogo 2026</v>
      </c>
      <c r="E9" s="9" t="s">
        <v>1304</v>
      </c>
      <c r="F9" s="52">
        <f>SUMIFS('AVARIA ESTIMADA'!$F$18:$F$40,'AVARIA ESTIMADA'!$A$18:$A$40,A9)</f>
        <v>0</v>
      </c>
    </row>
    <row r="10" spans="1:9" x14ac:dyDescent="0.3">
      <c r="A10" s="9" t="s">
        <v>1306</v>
      </c>
      <c r="B10" s="18" t="str">
        <f>_xlfn.XLOOKUP(A10,CATÁLOGO!$A$2:$A$846,CATÁLOGO!$B$2:$B$846,"FORA DO CATÁLOGO")</f>
        <v>FORA DO CATÁLOGO</v>
      </c>
      <c r="C10" s="11">
        <v>1</v>
      </c>
      <c r="D10" s="11" t="str">
        <f>_xlfn.XLOOKUP(A10,CATÁLOGO!$A$2:$A$846,CATÁLOGO!$E$2:$E$846,"FORA DO CATÁLOGO")</f>
        <v>FORA DO CATÁLOGO</v>
      </c>
      <c r="E10" s="9" t="s">
        <v>1999</v>
      </c>
      <c r="F10" s="52">
        <f>SUMIFS('AVARIA ESTIMADA'!$F$18:$F$40,'AVARIA ESTIMADA'!$A$18:$A$40,A10)</f>
        <v>0</v>
      </c>
      <c r="H10" s="22" t="s">
        <v>2057</v>
      </c>
      <c r="I10" s="22"/>
    </row>
    <row r="11" spans="1:9" x14ac:dyDescent="0.3">
      <c r="A11" s="9" t="s">
        <v>1307</v>
      </c>
      <c r="B11" s="18" t="str">
        <f>_xlfn.XLOOKUP(A11,CATÁLOGO!$A$2:$A$846,CATÁLOGO!$B$2:$B$846,"FORA DO CATÁLOGO")</f>
        <v>SAI001GM</v>
      </c>
      <c r="C11" s="11">
        <v>1</v>
      </c>
      <c r="D11" s="11" t="str">
        <f>_xlfn.XLOOKUP(A11,CATÁLOGO!$A$2:$A$846,CATÁLOGO!$E$2:$E$846,"FORA DO CATÁLOGO")</f>
        <v>Fora do catálogo 2026</v>
      </c>
      <c r="E11" s="9" t="s">
        <v>2005</v>
      </c>
      <c r="F11" s="52">
        <f>SUMIFS('AVARIA ESTIMADA'!$F$18:$F$40,'AVARIA ESTIMADA'!$A$18:$A$40,A11)</f>
        <v>0</v>
      </c>
      <c r="H11" s="53" t="s">
        <v>0</v>
      </c>
      <c r="I11" s="53" t="s">
        <v>2058</v>
      </c>
    </row>
    <row r="12" spans="1:9" x14ac:dyDescent="0.3">
      <c r="A12" s="9" t="s">
        <v>1308</v>
      </c>
      <c r="B12" s="18" t="str">
        <f>_xlfn.XLOOKUP(A12,CATÁLOGO!$A$2:$A$846,CATÁLOGO!$B$2:$B$846,"FORA DO CATÁLOGO")</f>
        <v>SAI001JP</v>
      </c>
      <c r="C12" s="11">
        <v>1</v>
      </c>
      <c r="D12" s="11" t="str">
        <f>_xlfn.XLOOKUP(A12,CATÁLOGO!$A$2:$A$846,CATÁLOGO!$E$2:$E$846,"FORA DO CATÁLOGO")</f>
        <v>Fora do catálogo 2026</v>
      </c>
      <c r="E12" s="9" t="s">
        <v>2004</v>
      </c>
      <c r="F12" s="52">
        <f>SUMIFS('AVARIA ESTIMADA'!$F$18:$F$40,'AVARIA ESTIMADA'!$A$18:$A$40,A12)</f>
        <v>0</v>
      </c>
      <c r="H12" t="str" cm="1">
        <f t="array" ref="H12:I31">_xlfn._xlws.SORT(_xlfn._xlws.FILTER(_xlfn.HSTACK(A2:A731,F2:F731),F2:F731&gt;0,"sem avaria"),2,-1)</f>
        <v>VLT-CAL-003-PRE-G</v>
      </c>
      <c r="I12" s="27">
        <v>6</v>
      </c>
    </row>
    <row r="13" spans="1:9" x14ac:dyDescent="0.3">
      <c r="A13" s="9" t="s">
        <v>1309</v>
      </c>
      <c r="B13" s="18" t="str">
        <f>_xlfn.XLOOKUP(A13,CATÁLOGO!$A$2:$A$846,CATÁLOGO!$B$2:$B$846,"FORA DO CATÁLOGO")</f>
        <v>SAI001JM</v>
      </c>
      <c r="C13" s="11">
        <v>1</v>
      </c>
      <c r="D13" s="11" t="str">
        <f>_xlfn.XLOOKUP(A13,CATÁLOGO!$A$2:$A$846,CATÁLOGO!$E$2:$E$846,"FORA DO CATÁLOGO")</f>
        <v>Fora do catálogo 2026</v>
      </c>
      <c r="E13" s="9" t="s">
        <v>2004</v>
      </c>
      <c r="F13" s="52">
        <f>SUMIFS('AVARIA ESTIMADA'!$F$18:$F$40,'AVARIA ESTIMADA'!$A$18:$A$40,A13)</f>
        <v>0</v>
      </c>
      <c r="H13" t="str">
        <v>VLT-CAL-023-LIL-M</v>
      </c>
      <c r="I13" s="27">
        <v>6</v>
      </c>
    </row>
    <row r="14" spans="1:9" x14ac:dyDescent="0.3">
      <c r="A14" s="9" t="s">
        <v>1449</v>
      </c>
      <c r="B14" s="18" t="str">
        <f>_xlfn.XLOOKUP(A14,CATÁLOGO!$A$2:$A$846,CATÁLOGO!$B$2:$B$846,"FORA DO CATÁLOGO")</f>
        <v>BER001B38</v>
      </c>
      <c r="C14" s="11">
        <v>6</v>
      </c>
      <c r="D14" s="11" t="str">
        <f>_xlfn.XLOOKUP(A14,CATÁLOGO!$A$2:$A$846,CATÁLOGO!$E$2:$E$846,"FORA DO CATÁLOGO")</f>
        <v>Ativo</v>
      </c>
      <c r="E14" s="9" t="s">
        <v>1304</v>
      </c>
      <c r="F14" s="52">
        <f>SUMIFS('AVARIA ESTIMADA'!$F$18:$F$40,'AVARIA ESTIMADA'!$A$18:$A$40,A14)</f>
        <v>0</v>
      </c>
      <c r="H14" t="str">
        <v>VLT-TOP-006-MRR-G</v>
      </c>
      <c r="I14" s="27">
        <v>5</v>
      </c>
    </row>
    <row r="15" spans="1:9" x14ac:dyDescent="0.3">
      <c r="A15" s="9" t="s">
        <v>1448</v>
      </c>
      <c r="B15" s="18" t="str">
        <f>_xlfn.XLOOKUP(A15,CATÁLOGO!$A$2:$A$846,CATÁLOGO!$B$2:$B$846,"FORA DO CATÁLOGO")</f>
        <v>BER001B40</v>
      </c>
      <c r="C15" s="11">
        <v>9</v>
      </c>
      <c r="D15" s="11" t="str">
        <f>_xlfn.XLOOKUP(A15,CATÁLOGO!$A$2:$A$846,CATÁLOGO!$E$2:$E$846,"FORA DO CATÁLOGO")</f>
        <v>Ativo</v>
      </c>
      <c r="E15" s="9" t="s">
        <v>1305</v>
      </c>
      <c r="F15" s="52">
        <f>SUMIFS('AVARIA ESTIMADA'!$F$18:$F$40,'AVARIA ESTIMADA'!$A$18:$A$40,A15)</f>
        <v>0</v>
      </c>
      <c r="H15" t="str">
        <v>VLT-CAL-011-LIL-P</v>
      </c>
      <c r="I15" s="27">
        <v>5</v>
      </c>
    </row>
    <row r="16" spans="1:9" x14ac:dyDescent="0.3">
      <c r="A16" s="9" t="s">
        <v>1445</v>
      </c>
      <c r="B16" s="18" t="str">
        <f>_xlfn.XLOOKUP(A16,CATÁLOGO!$A$2:$A$846,CATÁLOGO!$B$2:$B$846,"FORA DO CATÁLOGO")</f>
        <v>BER001B42</v>
      </c>
      <c r="C16" s="11">
        <v>6</v>
      </c>
      <c r="D16" s="11" t="str">
        <f>_xlfn.XLOOKUP(A16,CATÁLOGO!$A$2:$A$846,CATÁLOGO!$E$2:$E$846,"FORA DO CATÁLOGO")</f>
        <v>Ativo</v>
      </c>
      <c r="E16" s="9" t="s">
        <v>1305</v>
      </c>
      <c r="F16" s="52">
        <f>SUMIFS('AVARIA ESTIMADA'!$F$18:$F$40,'AVARIA ESTIMADA'!$A$18:$A$40,A16)</f>
        <v>0</v>
      </c>
      <c r="H16" t="str">
        <v>VLT-CAL-024-AZM-P</v>
      </c>
      <c r="I16" s="27">
        <v>5</v>
      </c>
    </row>
    <row r="17" spans="1:9" x14ac:dyDescent="0.3">
      <c r="A17" s="9" t="s">
        <v>1447</v>
      </c>
      <c r="B17" s="18" t="str">
        <f>_xlfn.XLOOKUP(A17,CATÁLOGO!$A$2:$A$846,CATÁLOGO!$B$2:$B$846,"FORA DO CATÁLOGO")</f>
        <v>BER001B44</v>
      </c>
      <c r="C17" s="11">
        <v>3</v>
      </c>
      <c r="D17" s="11" t="str">
        <f>_xlfn.XLOOKUP(A17,CATÁLOGO!$A$2:$A$846,CATÁLOGO!$E$2:$E$846,"FORA DO CATÁLOGO")</f>
        <v>Ativo</v>
      </c>
      <c r="E17" s="9" t="s">
        <v>1304</v>
      </c>
      <c r="F17" s="52">
        <f>SUMIFS('AVARIA ESTIMADA'!$F$18:$F$40,'AVARIA ESTIMADA'!$A$18:$A$40,A17)</f>
        <v>0</v>
      </c>
      <c r="H17" t="str">
        <v>VLT-TOP-001-AMA-G</v>
      </c>
      <c r="I17" s="27">
        <v>5</v>
      </c>
    </row>
    <row r="18" spans="1:9" x14ac:dyDescent="0.3">
      <c r="A18" s="9" t="s">
        <v>1517</v>
      </c>
      <c r="B18" s="18" t="str">
        <f>_xlfn.XLOOKUP(A18,CATÁLOGO!$A$2:$A$846,CATÁLOGO!$B$2:$B$846,"FORA DO CATÁLOGO")</f>
        <v>CAL003P38</v>
      </c>
      <c r="C18" s="11">
        <v>6</v>
      </c>
      <c r="D18" s="11" t="str">
        <f>_xlfn.XLOOKUP(A18,CATÁLOGO!$A$2:$A$846,CATÁLOGO!$E$2:$E$846,"FORA DO CATÁLOGO")</f>
        <v>Ativo</v>
      </c>
      <c r="E18" s="9" t="s">
        <v>1305</v>
      </c>
      <c r="F18" s="52">
        <f>SUMIFS('AVARIA ESTIMADA'!$F$18:$F$40,'AVARIA ESTIMADA'!$A$18:$A$40,A18)</f>
        <v>0</v>
      </c>
      <c r="H18" t="str">
        <v>VLT-VES-006-MRR-G</v>
      </c>
      <c r="I18" s="27">
        <v>4</v>
      </c>
    </row>
    <row r="19" spans="1:9" x14ac:dyDescent="0.3">
      <c r="A19" s="9" t="s">
        <v>1516</v>
      </c>
      <c r="B19" s="18" t="str">
        <f>_xlfn.XLOOKUP(A19,CATÁLOGO!$A$2:$A$846,CATÁLOGO!$B$2:$B$846,"FORA DO CATÁLOGO")</f>
        <v>CAL003P40</v>
      </c>
      <c r="C19" s="11">
        <v>6</v>
      </c>
      <c r="D19" s="11" t="str">
        <f>_xlfn.XLOOKUP(A19,CATÁLOGO!$A$2:$A$846,CATÁLOGO!$E$2:$E$846,"FORA DO CATÁLOGO")</f>
        <v>Ativo</v>
      </c>
      <c r="E19" s="9" t="s">
        <v>1303</v>
      </c>
      <c r="F19" s="52">
        <f>SUMIFS('AVARIA ESTIMADA'!$F$18:$F$40,'AVARIA ESTIMADA'!$A$18:$A$40,A19)</f>
        <v>0</v>
      </c>
      <c r="H19" t="str">
        <v>VLT-BER-007-AZM-G</v>
      </c>
      <c r="I19" s="27">
        <v>4</v>
      </c>
    </row>
    <row r="20" spans="1:9" x14ac:dyDescent="0.3">
      <c r="A20" s="9" t="s">
        <v>1513</v>
      </c>
      <c r="B20" s="18" t="str">
        <f>_xlfn.XLOOKUP(A20,CATÁLOGO!$A$2:$A$846,CATÁLOGO!$B$2:$B$846,"FORA DO CATÁLOGO")</f>
        <v>CAL003P42</v>
      </c>
      <c r="C20" s="11">
        <v>6</v>
      </c>
      <c r="D20" s="11" t="str">
        <f>_xlfn.XLOOKUP(A20,CATÁLOGO!$A$2:$A$846,CATÁLOGO!$E$2:$E$846,"FORA DO CATÁLOGO")</f>
        <v>Ativo</v>
      </c>
      <c r="E20" s="9" t="s">
        <v>1303</v>
      </c>
      <c r="F20" s="52">
        <f>SUMIFS('AVARIA ESTIMADA'!$F$18:$F$40,'AVARIA ESTIMADA'!$A$18:$A$40,A20)</f>
        <v>6</v>
      </c>
      <c r="H20" t="str">
        <v>VLT-CAM-017-AMA-G</v>
      </c>
      <c r="I20" s="27">
        <v>4</v>
      </c>
    </row>
    <row r="21" spans="1:9" x14ac:dyDescent="0.3">
      <c r="A21" s="9" t="s">
        <v>1515</v>
      </c>
      <c r="B21" s="18" t="str">
        <f>_xlfn.XLOOKUP(A21,CATÁLOGO!$A$2:$A$846,CATÁLOGO!$B$2:$B$846,"FORA DO CATÁLOGO")</f>
        <v>CAL003P44</v>
      </c>
      <c r="C21" s="11">
        <v>3</v>
      </c>
      <c r="D21" s="11" t="str">
        <f>_xlfn.XLOOKUP(A21,CATÁLOGO!$A$2:$A$846,CATÁLOGO!$E$2:$E$846,"FORA DO CATÁLOGO")</f>
        <v>Ativo</v>
      </c>
      <c r="E21" s="9" t="s">
        <v>1305</v>
      </c>
      <c r="F21" s="52">
        <f>SUMIFS('AVARIA ESTIMADA'!$F$18:$F$40,'AVARIA ESTIMADA'!$A$18:$A$40,A21)</f>
        <v>0</v>
      </c>
      <c r="H21" t="str">
        <v>VLT-CAM-020-AMA-P</v>
      </c>
      <c r="I21" s="27">
        <v>4</v>
      </c>
    </row>
    <row r="22" spans="1:9" x14ac:dyDescent="0.3">
      <c r="A22" s="9" t="s">
        <v>1532</v>
      </c>
      <c r="B22" s="18" t="str">
        <f>_xlfn.XLOOKUP(A22,CATÁLOGO!$A$2:$A$846,CATÁLOGO!$B$2:$B$846,"FORA DO CATÁLOGO")</f>
        <v>CAL004C36</v>
      </c>
      <c r="C22" s="11">
        <v>1</v>
      </c>
      <c r="D22" s="11" t="str">
        <f>_xlfn.XLOOKUP(A22,CATÁLOGO!$A$2:$A$846,CATÁLOGO!$E$2:$E$846,"FORA DO CATÁLOGO")</f>
        <v>Ativo</v>
      </c>
      <c r="E22" s="9" t="s">
        <v>1305</v>
      </c>
      <c r="F22" s="52">
        <f>SUMIFS('AVARIA ESTIMADA'!$F$18:$F$40,'AVARIA ESTIMADA'!$A$18:$A$40,A22)</f>
        <v>0</v>
      </c>
      <c r="H22" t="str">
        <v>VLT-CAM-020-AMA-G</v>
      </c>
      <c r="I22" s="27">
        <v>4</v>
      </c>
    </row>
    <row r="23" spans="1:9" x14ac:dyDescent="0.3">
      <c r="A23" s="9" t="s">
        <v>1530</v>
      </c>
      <c r="B23" s="18" t="str">
        <f>_xlfn.XLOOKUP(A23,CATÁLOGO!$A$2:$A$846,CATÁLOGO!$B$2:$B$846,"FORA DO CATÁLOGO")</f>
        <v>CAL004C38</v>
      </c>
      <c r="C23" s="11">
        <v>1</v>
      </c>
      <c r="D23" s="11" t="str">
        <f>_xlfn.XLOOKUP(A23,CATÁLOGO!$A$2:$A$846,CATÁLOGO!$E$2:$E$846,"FORA DO CATÁLOGO")</f>
        <v>Ativo</v>
      </c>
      <c r="E23" s="9" t="s">
        <v>1303</v>
      </c>
      <c r="F23" s="52">
        <f>SUMIFS('AVARIA ESTIMADA'!$F$18:$F$40,'AVARIA ESTIMADA'!$A$18:$A$40,A23)</f>
        <v>0</v>
      </c>
      <c r="H23" t="str">
        <v>VLT-VES-009-BEG-G</v>
      </c>
      <c r="I23" s="27">
        <v>3</v>
      </c>
    </row>
    <row r="24" spans="1:9" x14ac:dyDescent="0.3">
      <c r="A24" s="9" t="s">
        <v>1529</v>
      </c>
      <c r="B24" s="18" t="str">
        <f>_xlfn.XLOOKUP(A24,CATÁLOGO!$A$2:$A$846,CATÁLOGO!$B$2:$B$846,"FORA DO CATÁLOGO")</f>
        <v>CAL004C40</v>
      </c>
      <c r="C24" s="11">
        <v>2</v>
      </c>
      <c r="D24" s="11" t="str">
        <f>_xlfn.XLOOKUP(A24,CATÁLOGO!$A$2:$A$846,CATÁLOGO!$E$2:$E$846,"FORA DO CATÁLOGO")</f>
        <v>Ativo</v>
      </c>
      <c r="E24" s="9" t="s">
        <v>1304</v>
      </c>
      <c r="F24" s="52">
        <f>SUMIFS('AVARIA ESTIMADA'!$F$18:$F$40,'AVARIA ESTIMADA'!$A$18:$A$40,A24)</f>
        <v>0</v>
      </c>
      <c r="H24" t="str">
        <v>VLT-CAM-004-PRE-M</v>
      </c>
      <c r="I24" s="27">
        <v>2</v>
      </c>
    </row>
    <row r="25" spans="1:9" x14ac:dyDescent="0.3">
      <c r="A25" s="9" t="s">
        <v>1527</v>
      </c>
      <c r="B25" s="18" t="str">
        <f>_xlfn.XLOOKUP(A25,CATÁLOGO!$A$2:$A$846,CATÁLOGO!$B$2:$B$846,"FORA DO CATÁLOGO")</f>
        <v>CAL004C42</v>
      </c>
      <c r="C25" s="11">
        <v>2</v>
      </c>
      <c r="D25" s="11" t="str">
        <f>_xlfn.XLOOKUP(A25,CATÁLOGO!$A$2:$A$846,CATÁLOGO!$E$2:$E$846,"FORA DO CATÁLOGO")</f>
        <v>Ativo</v>
      </c>
      <c r="E25" s="9" t="s">
        <v>1305</v>
      </c>
      <c r="F25" s="52">
        <f>SUMIFS('AVARIA ESTIMADA'!$F$18:$F$40,'AVARIA ESTIMADA'!$A$18:$A$40,A25)</f>
        <v>0</v>
      </c>
      <c r="H25" t="str">
        <v>VLT-BER-006-LIL-G</v>
      </c>
      <c r="I25" s="27">
        <v>2</v>
      </c>
    </row>
    <row r="26" spans="1:9" x14ac:dyDescent="0.3">
      <c r="A26" s="9" t="s">
        <v>1528</v>
      </c>
      <c r="B26" s="18" t="str">
        <f>_xlfn.XLOOKUP(A26,CATÁLOGO!$A$2:$A$846,CATÁLOGO!$B$2:$B$846,"FORA DO CATÁLOGO")</f>
        <v>CAL004C44</v>
      </c>
      <c r="C26" s="11">
        <v>1</v>
      </c>
      <c r="D26" s="11" t="str">
        <f>_xlfn.XLOOKUP(A26,CATÁLOGO!$A$2:$A$846,CATÁLOGO!$E$2:$E$846,"FORA DO CATÁLOGO")</f>
        <v>Ativo</v>
      </c>
      <c r="E26" s="9" t="s">
        <v>1304</v>
      </c>
      <c r="F26" s="52">
        <f>SUMIFS('AVARIA ESTIMADA'!$F$18:$F$40,'AVARIA ESTIMADA'!$A$18:$A$40,A26)</f>
        <v>0</v>
      </c>
      <c r="H26" t="str">
        <v>VLT-VES-007-OLI-GG</v>
      </c>
      <c r="I26" s="27">
        <v>2</v>
      </c>
    </row>
    <row r="27" spans="1:9" x14ac:dyDescent="0.3">
      <c r="A27" s="9" t="s">
        <v>1531</v>
      </c>
      <c r="B27" s="18" t="str">
        <f>_xlfn.XLOOKUP(A27,CATÁLOGO!$A$2:$A$846,CATÁLOGO!$B$2:$B$846,"FORA DO CATÁLOGO")</f>
        <v>CAL004C46</v>
      </c>
      <c r="C27" s="11">
        <v>1</v>
      </c>
      <c r="D27" s="11" t="str">
        <f>_xlfn.XLOOKUP(A27,CATÁLOGO!$A$2:$A$846,CATÁLOGO!$E$2:$E$846,"FORA DO CATÁLOGO")</f>
        <v>Ativo</v>
      </c>
      <c r="E27" s="9" t="s">
        <v>1305</v>
      </c>
      <c r="F27" s="52">
        <f>SUMIFS('AVARIA ESTIMADA'!$F$18:$F$40,'AVARIA ESTIMADA'!$A$18:$A$40,A27)</f>
        <v>0</v>
      </c>
      <c r="H27" t="str">
        <v>VLT-CAL-016-OLI-P</v>
      </c>
      <c r="I27" s="27">
        <v>2</v>
      </c>
    </row>
    <row r="28" spans="1:9" x14ac:dyDescent="0.3">
      <c r="A28" s="9" t="s">
        <v>1526</v>
      </c>
      <c r="B28" s="18" t="str">
        <f>_xlfn.XLOOKUP(A28,CATÁLOGO!$A$2:$A$846,CATÁLOGO!$B$2:$B$846,"FORA DO CATÁLOGO")</f>
        <v>CAL004G36</v>
      </c>
      <c r="C28" s="11">
        <v>1</v>
      </c>
      <c r="D28" s="11" t="str">
        <f>_xlfn.XLOOKUP(A28,CATÁLOGO!$A$2:$A$846,CATÁLOGO!$E$2:$E$846,"FORA DO CATÁLOGO")</f>
        <v>Ativo</v>
      </c>
      <c r="E28" s="9" t="s">
        <v>1303</v>
      </c>
      <c r="F28" s="52">
        <f>SUMIFS('AVARIA ESTIMADA'!$F$18:$F$40,'AVARIA ESTIMADA'!$A$18:$A$40,A28)</f>
        <v>0</v>
      </c>
      <c r="H28" t="str">
        <v>VLT-CAL-016-OLI-M</v>
      </c>
      <c r="I28" s="27">
        <v>2</v>
      </c>
    </row>
    <row r="29" spans="1:9" x14ac:dyDescent="0.3">
      <c r="A29" s="9" t="s">
        <v>1524</v>
      </c>
      <c r="B29" s="18" t="str">
        <f>_xlfn.XLOOKUP(A29,CATÁLOGO!$A$2:$A$846,CATÁLOGO!$B$2:$B$846,"FORA DO CATÁLOGO")</f>
        <v>CAL004G38</v>
      </c>
      <c r="C29" s="11">
        <v>1</v>
      </c>
      <c r="D29" s="11" t="str">
        <f>_xlfn.XLOOKUP(A29,CATÁLOGO!$A$2:$A$846,CATÁLOGO!$E$2:$E$846,"FORA DO CATÁLOGO")</f>
        <v>Ativo</v>
      </c>
      <c r="E29" s="9" t="s">
        <v>1305</v>
      </c>
      <c r="F29" s="52">
        <f>SUMIFS('AVARIA ESTIMADA'!$F$18:$F$40,'AVARIA ESTIMADA'!$A$18:$A$40,A29)</f>
        <v>0</v>
      </c>
      <c r="H29" t="str">
        <v>VLT-MOL-019-OLI-GG</v>
      </c>
      <c r="I29" s="27">
        <v>2</v>
      </c>
    </row>
    <row r="30" spans="1:9" x14ac:dyDescent="0.3">
      <c r="A30" s="9" t="s">
        <v>1523</v>
      </c>
      <c r="B30" s="18" t="str">
        <f>_xlfn.XLOOKUP(A30,CATÁLOGO!$A$2:$A$846,CATÁLOGO!$B$2:$B$846,"FORA DO CATÁLOGO")</f>
        <v>CAL004G40</v>
      </c>
      <c r="C30" s="11">
        <v>1</v>
      </c>
      <c r="D30" s="11" t="str">
        <f>_xlfn.XLOOKUP(A30,CATÁLOGO!$A$2:$A$846,CATÁLOGO!$E$2:$E$846,"FORA DO CATÁLOGO")</f>
        <v>Ativo</v>
      </c>
      <c r="E30" s="9" t="s">
        <v>1304</v>
      </c>
      <c r="F30" s="52">
        <f>SUMIFS('AVARIA ESTIMADA'!$F$18:$F$40,'AVARIA ESTIMADA'!$A$18:$A$40,A30)</f>
        <v>0</v>
      </c>
      <c r="H30" t="str">
        <v>VLT-MOL-008-VIN-GG</v>
      </c>
      <c r="I30" s="27">
        <v>1</v>
      </c>
    </row>
    <row r="31" spans="1:9" x14ac:dyDescent="0.3">
      <c r="A31" s="9" t="s">
        <v>1525</v>
      </c>
      <c r="B31" s="18" t="str">
        <f>_xlfn.XLOOKUP(A31,CATÁLOGO!$A$2:$A$846,CATÁLOGO!$B$2:$B$846,"FORA DO CATÁLOGO")</f>
        <v>CAL004G46</v>
      </c>
      <c r="C31" s="11">
        <v>1</v>
      </c>
      <c r="D31" s="11" t="str">
        <f>_xlfn.XLOOKUP(A31,CATÁLOGO!$A$2:$A$846,CATÁLOGO!$E$2:$E$846,"FORA DO CATÁLOGO")</f>
        <v>Ativo</v>
      </c>
      <c r="E31" s="9" t="s">
        <v>1303</v>
      </c>
      <c r="F31" s="52">
        <f>SUMIFS('AVARIA ESTIMADA'!$F$18:$F$40,'AVARIA ESTIMADA'!$A$18:$A$40,A31)</f>
        <v>0</v>
      </c>
      <c r="H31" t="str">
        <v>VLT-SAI-009-BRA-P</v>
      </c>
      <c r="I31" s="27">
        <v>1</v>
      </c>
    </row>
    <row r="32" spans="1:9" x14ac:dyDescent="0.3">
      <c r="A32" s="9" t="s">
        <v>1538</v>
      </c>
      <c r="B32" s="18" t="str">
        <f>_xlfn.XLOOKUP(A32,CATÁLOGO!$A$2:$A$846,CATÁLOGO!$B$2:$B$846,"FORA DO CATÁLOGO")</f>
        <v>CAL005P36</v>
      </c>
      <c r="C32" s="11">
        <v>3</v>
      </c>
      <c r="D32" s="11" t="str">
        <f>_xlfn.XLOOKUP(A32,CATÁLOGO!$A$2:$A$846,CATÁLOGO!$E$2:$E$846,"FORA DO CATÁLOGO")</f>
        <v>Ativo</v>
      </c>
      <c r="E32" s="9" t="s">
        <v>1303</v>
      </c>
      <c r="F32" s="52">
        <f>SUMIFS('AVARIA ESTIMADA'!$F$18:$F$40,'AVARIA ESTIMADA'!$A$18:$A$40,A32)</f>
        <v>0</v>
      </c>
      <c r="I32" s="27"/>
    </row>
    <row r="33" spans="1:9" x14ac:dyDescent="0.3">
      <c r="A33" s="9" t="s">
        <v>1537</v>
      </c>
      <c r="B33" s="18" t="str">
        <f>_xlfn.XLOOKUP(A33,CATÁLOGO!$A$2:$A$846,CATÁLOGO!$B$2:$B$846,"FORA DO CATÁLOGO")</f>
        <v>CAL005P38</v>
      </c>
      <c r="C33" s="11">
        <v>6</v>
      </c>
      <c r="D33" s="11" t="str">
        <f>_xlfn.XLOOKUP(A33,CATÁLOGO!$A$2:$A$846,CATÁLOGO!$E$2:$E$846,"FORA DO CATÁLOGO")</f>
        <v>Ativo</v>
      </c>
      <c r="E33" s="9" t="s">
        <v>1305</v>
      </c>
      <c r="F33" s="52">
        <f>SUMIFS('AVARIA ESTIMADA'!$F$18:$F$40,'AVARIA ESTIMADA'!$A$18:$A$40,A33)</f>
        <v>0</v>
      </c>
      <c r="I33" s="27"/>
    </row>
    <row r="34" spans="1:9" x14ac:dyDescent="0.3">
      <c r="A34" s="9" t="s">
        <v>1536</v>
      </c>
      <c r="B34" s="18" t="str">
        <f>_xlfn.XLOOKUP(A34,CATÁLOGO!$A$2:$A$846,CATÁLOGO!$B$2:$B$846,"FORA DO CATÁLOGO")</f>
        <v>CAL005P40</v>
      </c>
      <c r="C34" s="11">
        <v>6</v>
      </c>
      <c r="D34" s="11" t="str">
        <f>_xlfn.XLOOKUP(A34,CATÁLOGO!$A$2:$A$846,CATÁLOGO!$E$2:$E$846,"FORA DO CATÁLOGO")</f>
        <v>Ativo</v>
      </c>
      <c r="E34" s="9" t="s">
        <v>1304</v>
      </c>
      <c r="F34" s="52">
        <f>SUMIFS('AVARIA ESTIMADA'!$F$18:$F$40,'AVARIA ESTIMADA'!$A$18:$A$40,A34)</f>
        <v>0</v>
      </c>
      <c r="I34" s="27"/>
    </row>
    <row r="35" spans="1:9" x14ac:dyDescent="0.3">
      <c r="A35" s="9" t="s">
        <v>1533</v>
      </c>
      <c r="B35" s="18" t="str">
        <f>_xlfn.XLOOKUP(A35,CATÁLOGO!$A$2:$A$846,CATÁLOGO!$B$2:$B$846,"FORA DO CATÁLOGO")</f>
        <v>CAL005P42</v>
      </c>
      <c r="C35" s="11">
        <v>6</v>
      </c>
      <c r="D35" s="11" t="str">
        <f>_xlfn.XLOOKUP(A35,CATÁLOGO!$A$2:$A$846,CATÁLOGO!$E$2:$E$846,"FORA DO CATÁLOGO")</f>
        <v>Ativo</v>
      </c>
      <c r="E35" s="9" t="s">
        <v>1304</v>
      </c>
      <c r="F35" s="52">
        <f>SUMIFS('AVARIA ESTIMADA'!$F$18:$F$40,'AVARIA ESTIMADA'!$A$18:$A$40,A35)</f>
        <v>0</v>
      </c>
      <c r="I35" s="27"/>
    </row>
    <row r="36" spans="1:9" x14ac:dyDescent="0.3">
      <c r="A36" s="9" t="s">
        <v>1535</v>
      </c>
      <c r="B36" s="18" t="str">
        <f>_xlfn.XLOOKUP(A36,CATÁLOGO!$A$2:$A$846,CATÁLOGO!$B$2:$B$846,"FORA DO CATÁLOGO")</f>
        <v>CAL005P44</v>
      </c>
      <c r="C36" s="11">
        <v>3</v>
      </c>
      <c r="D36" s="11" t="str">
        <f>_xlfn.XLOOKUP(A36,CATÁLOGO!$A$2:$A$846,CATÁLOGO!$E$2:$E$846,"FORA DO CATÁLOGO")</f>
        <v>Ativo</v>
      </c>
      <c r="E36" s="9" t="s">
        <v>1304</v>
      </c>
      <c r="F36" s="52">
        <f>SUMIFS('AVARIA ESTIMADA'!$F$18:$F$40,'AVARIA ESTIMADA'!$A$18:$A$40,A36)</f>
        <v>0</v>
      </c>
      <c r="I36" s="27"/>
    </row>
    <row r="37" spans="1:9" x14ac:dyDescent="0.3">
      <c r="A37" s="9" t="s">
        <v>17</v>
      </c>
      <c r="B37" s="18" t="str">
        <f>_xlfn.XLOOKUP(A37,CATÁLOGO!$A$2:$A$846,CATÁLOGO!$B$2:$B$846,"FORA DO CATÁLOGO")</f>
        <v>TOP002AP</v>
      </c>
      <c r="C37" s="11">
        <v>3</v>
      </c>
      <c r="D37" s="11" t="str">
        <f>_xlfn.XLOOKUP(A37,CATÁLOGO!$A$2:$A$846,CATÁLOGO!$E$2:$E$846,"FORA DO CATÁLOGO")</f>
        <v>Ativo</v>
      </c>
      <c r="E37" s="9" t="s">
        <v>1303</v>
      </c>
      <c r="F37" s="52">
        <f>SUMIFS('AVARIA ESTIMADA'!$F$18:$F$40,'AVARIA ESTIMADA'!$A$18:$A$40,A37)</f>
        <v>0</v>
      </c>
      <c r="I37" s="27"/>
    </row>
    <row r="38" spans="1:9" x14ac:dyDescent="0.3">
      <c r="A38" s="9" t="s">
        <v>18</v>
      </c>
      <c r="B38" s="18" t="str">
        <f>_xlfn.XLOOKUP(A38,CATÁLOGO!$A$2:$A$846,CATÁLOGO!$B$2:$B$846,"FORA DO CATÁLOGO")</f>
        <v>TOP002AM</v>
      </c>
      <c r="C38" s="11">
        <v>5</v>
      </c>
      <c r="D38" s="11" t="str">
        <f>_xlfn.XLOOKUP(A38,CATÁLOGO!$A$2:$A$846,CATÁLOGO!$E$2:$E$846,"FORA DO CATÁLOGO")</f>
        <v>Ativo</v>
      </c>
      <c r="E38" s="9" t="s">
        <v>1304</v>
      </c>
      <c r="F38" s="52">
        <f>SUMIFS('AVARIA ESTIMADA'!$F$18:$F$40,'AVARIA ESTIMADA'!$A$18:$A$40,A38)</f>
        <v>0</v>
      </c>
      <c r="I38" s="27"/>
    </row>
    <row r="39" spans="1:9" x14ac:dyDescent="0.3">
      <c r="A39" s="9" t="s">
        <v>19</v>
      </c>
      <c r="B39" s="18" t="str">
        <f>_xlfn.XLOOKUP(A39,CATÁLOGO!$A$2:$A$846,CATÁLOGO!$B$2:$B$846,"FORA DO CATÁLOGO")</f>
        <v>TOP002AG</v>
      </c>
      <c r="C39" s="11">
        <v>4</v>
      </c>
      <c r="D39" s="11" t="str">
        <f>_xlfn.XLOOKUP(A39,CATÁLOGO!$A$2:$A$846,CATÁLOGO!$E$2:$E$846,"FORA DO CATÁLOGO")</f>
        <v>Ativo</v>
      </c>
      <c r="E39" s="9" t="s">
        <v>1305</v>
      </c>
      <c r="F39" s="52">
        <f>SUMIFS('AVARIA ESTIMADA'!$F$18:$F$40,'AVARIA ESTIMADA'!$A$18:$A$40,A39)</f>
        <v>0</v>
      </c>
      <c r="I39" s="27"/>
    </row>
    <row r="40" spans="1:9" x14ac:dyDescent="0.3">
      <c r="A40" s="9" t="s">
        <v>20</v>
      </c>
      <c r="B40" s="18" t="str">
        <f>_xlfn.XLOOKUP(A40,CATÁLOGO!$A$2:$A$846,CATÁLOGO!$B$2:$B$846,"FORA DO CATÁLOGO")</f>
        <v>TOP002AGG</v>
      </c>
      <c r="C40" s="11">
        <v>2</v>
      </c>
      <c r="D40" s="11" t="str">
        <f>_xlfn.XLOOKUP(A40,CATÁLOGO!$A$2:$A$846,CATÁLOGO!$E$2:$E$846,"FORA DO CATÁLOGO")</f>
        <v>Ativo</v>
      </c>
      <c r="E40" s="9" t="s">
        <v>1305</v>
      </c>
      <c r="F40" s="52">
        <f>SUMIFS('AVARIA ESTIMADA'!$F$18:$F$40,'AVARIA ESTIMADA'!$A$18:$A$40,A40)</f>
        <v>0</v>
      </c>
      <c r="I40" s="27"/>
    </row>
    <row r="41" spans="1:9" x14ac:dyDescent="0.3">
      <c r="A41" s="9" t="s">
        <v>1310</v>
      </c>
      <c r="B41" s="18" t="str">
        <f>_xlfn.XLOOKUP(A41,CATÁLOGO!$A$2:$A$846,CATÁLOGO!$B$2:$B$846,"FORA DO CATÁLOGO")</f>
        <v>TOP002PM</v>
      </c>
      <c r="C41" s="11">
        <v>2</v>
      </c>
      <c r="D41" s="11" t="str">
        <f>_xlfn.XLOOKUP(A41,CATÁLOGO!$A$2:$A$846,CATÁLOGO!$E$2:$E$846,"FORA DO CATÁLOGO")</f>
        <v>Descontinuado</v>
      </c>
      <c r="E41" s="9" t="s">
        <v>2006</v>
      </c>
      <c r="F41" s="52">
        <f>SUMIFS('AVARIA ESTIMADA'!$F$18:$F$40,'AVARIA ESTIMADA'!$A$18:$A$40,A41)</f>
        <v>0</v>
      </c>
    </row>
    <row r="42" spans="1:9" x14ac:dyDescent="0.3">
      <c r="A42" s="9" t="s">
        <v>22</v>
      </c>
      <c r="B42" s="18" t="str">
        <f>_xlfn.XLOOKUP(A42,CATÁLOGO!$A$2:$A$846,CATÁLOGO!$B$2:$B$846,"FORA DO CATÁLOGO")</f>
        <v>TOP002PG</v>
      </c>
      <c r="C42" s="11">
        <v>1</v>
      </c>
      <c r="D42" s="11" t="str">
        <f>_xlfn.XLOOKUP(A42,CATÁLOGO!$A$2:$A$846,CATÁLOGO!$E$2:$E$846,"FORA DO CATÁLOGO")</f>
        <v>Descontinuado</v>
      </c>
      <c r="E42" s="9" t="s">
        <v>1305</v>
      </c>
      <c r="F42" s="52">
        <f>SUMIFS('AVARIA ESTIMADA'!$F$18:$F$40,'AVARIA ESTIMADA'!$A$18:$A$40,A42)</f>
        <v>0</v>
      </c>
    </row>
    <row r="43" spans="1:9" x14ac:dyDescent="0.3">
      <c r="A43" s="9" t="s">
        <v>1275</v>
      </c>
      <c r="B43" s="18" t="str">
        <f>_xlfn.XLOOKUP(A43,CATÁLOGO!$A$2:$A$846,CATÁLOGO!$B$2:$B$846,"FORA DO CATÁLOGO")</f>
        <v>TOP002PGG</v>
      </c>
      <c r="C43" s="11">
        <v>1</v>
      </c>
      <c r="D43" s="11" t="str">
        <f>_xlfn.XLOOKUP(A43,CATÁLOGO!$A$2:$A$846,CATÁLOGO!$E$2:$E$846,"FORA DO CATÁLOGO")</f>
        <v>Descontinuado</v>
      </c>
      <c r="E43" s="9" t="s">
        <v>1305</v>
      </c>
      <c r="F43" s="52">
        <f>SUMIFS('AVARIA ESTIMADA'!$F$18:$F$40,'AVARIA ESTIMADA'!$A$18:$A$40,A43)</f>
        <v>0</v>
      </c>
    </row>
    <row r="44" spans="1:9" x14ac:dyDescent="0.3">
      <c r="A44" s="9" t="s">
        <v>1455</v>
      </c>
      <c r="B44" s="18" t="str">
        <f>_xlfn.XLOOKUP(A44,CATÁLOGO!$A$2:$A$846,CATÁLOGO!$B$2:$B$846,"FORA DO CATÁLOGO")</f>
        <v>BER002C36</v>
      </c>
      <c r="C44" s="11">
        <v>1</v>
      </c>
      <c r="D44" s="11" t="str">
        <f>_xlfn.XLOOKUP(A44,CATÁLOGO!$A$2:$A$846,CATÁLOGO!$E$2:$E$846,"FORA DO CATÁLOGO")</f>
        <v>Ativo</v>
      </c>
      <c r="E44" s="9" t="s">
        <v>1304</v>
      </c>
      <c r="F44" s="52">
        <f>SUMIFS('AVARIA ESTIMADA'!$F$18:$F$40,'AVARIA ESTIMADA'!$A$18:$A$40,A44)</f>
        <v>0</v>
      </c>
    </row>
    <row r="45" spans="1:9" x14ac:dyDescent="0.3">
      <c r="A45" s="9" t="s">
        <v>1454</v>
      </c>
      <c r="B45" s="18" t="str">
        <f>_xlfn.XLOOKUP(A45,CATÁLOGO!$A$2:$A$846,CATÁLOGO!$B$2:$B$846,"FORA DO CATÁLOGO")</f>
        <v>BER002C38</v>
      </c>
      <c r="C45" s="11">
        <v>2</v>
      </c>
      <c r="D45" s="11" t="str">
        <f>_xlfn.XLOOKUP(A45,CATÁLOGO!$A$2:$A$846,CATÁLOGO!$E$2:$E$846,"FORA DO CATÁLOGO")</f>
        <v>Ativo</v>
      </c>
      <c r="E45" s="9" t="s">
        <v>1304</v>
      </c>
      <c r="F45" s="52">
        <f>SUMIFS('AVARIA ESTIMADA'!$F$18:$F$40,'AVARIA ESTIMADA'!$A$18:$A$40,A45)</f>
        <v>0</v>
      </c>
    </row>
    <row r="46" spans="1:9" x14ac:dyDescent="0.3">
      <c r="A46" s="9" t="s">
        <v>1453</v>
      </c>
      <c r="B46" s="18" t="str">
        <f>_xlfn.XLOOKUP(A46,CATÁLOGO!$A$2:$A$846,CATÁLOGO!$B$2:$B$846,"FORA DO CATÁLOGO")</f>
        <v>BER002C40</v>
      </c>
      <c r="C46" s="11">
        <v>0</v>
      </c>
      <c r="D46" s="11" t="str">
        <f>_xlfn.XLOOKUP(A46,CATÁLOGO!$A$2:$A$846,CATÁLOGO!$E$2:$E$846,"FORA DO CATÁLOGO")</f>
        <v>Ativo</v>
      </c>
      <c r="E46" s="9" t="s">
        <v>1304</v>
      </c>
      <c r="F46" s="52">
        <f>SUMIFS('AVARIA ESTIMADA'!$F$18:$F$40,'AVARIA ESTIMADA'!$A$18:$A$40,A46)</f>
        <v>0</v>
      </c>
    </row>
    <row r="47" spans="1:9" x14ac:dyDescent="0.3">
      <c r="A47" s="9" t="s">
        <v>1450</v>
      </c>
      <c r="B47" s="18" t="str">
        <f>_xlfn.XLOOKUP(A47,CATÁLOGO!$A$2:$A$846,CATÁLOGO!$B$2:$B$846,"FORA DO CATÁLOGO")</f>
        <v>BER002C42</v>
      </c>
      <c r="C47" s="11">
        <v>2</v>
      </c>
      <c r="D47" s="11" t="str">
        <f>_xlfn.XLOOKUP(A47,CATÁLOGO!$A$2:$A$846,CATÁLOGO!$E$2:$E$846,"FORA DO CATÁLOGO")</f>
        <v>Ativo</v>
      </c>
      <c r="E47" s="9" t="s">
        <v>1303</v>
      </c>
      <c r="F47" s="52">
        <f>SUMIFS('AVARIA ESTIMADA'!$F$18:$F$40,'AVARIA ESTIMADA'!$A$18:$A$40,A47)</f>
        <v>0</v>
      </c>
    </row>
    <row r="48" spans="1:9" x14ac:dyDescent="0.3">
      <c r="A48" s="9" t="s">
        <v>1452</v>
      </c>
      <c r="B48" s="18" t="str">
        <f>_xlfn.XLOOKUP(A48,CATÁLOGO!$A$2:$A$846,CATÁLOGO!$B$2:$B$846,"FORA DO CATÁLOGO")</f>
        <v>BER002C44</v>
      </c>
      <c r="C48" s="11">
        <v>1</v>
      </c>
      <c r="D48" s="11" t="str">
        <f>_xlfn.XLOOKUP(A48,CATÁLOGO!$A$2:$A$846,CATÁLOGO!$E$2:$E$846,"FORA DO CATÁLOGO")</f>
        <v>Ativo</v>
      </c>
      <c r="E48" s="9" t="s">
        <v>1305</v>
      </c>
      <c r="F48" s="52">
        <f>SUMIFS('AVARIA ESTIMADA'!$F$18:$F$40,'AVARIA ESTIMADA'!$A$18:$A$40,A48)</f>
        <v>0</v>
      </c>
    </row>
    <row r="49" spans="1:6" x14ac:dyDescent="0.3">
      <c r="A49" s="9" t="s">
        <v>1462</v>
      </c>
      <c r="B49" s="18" t="str">
        <f>_xlfn.XLOOKUP(A49,CATÁLOGO!$A$2:$A$846,CATÁLOGO!$B$2:$B$846,"FORA DO CATÁLOGO")</f>
        <v>BER003B36</v>
      </c>
      <c r="C49" s="11">
        <v>3</v>
      </c>
      <c r="D49" s="11" t="str">
        <f>_xlfn.XLOOKUP(A49,CATÁLOGO!$A$2:$A$846,CATÁLOGO!$E$2:$E$846,"FORA DO CATÁLOGO")</f>
        <v>Ativo</v>
      </c>
      <c r="E49" s="9" t="s">
        <v>1304</v>
      </c>
      <c r="F49" s="52">
        <f>SUMIFS('AVARIA ESTIMADA'!$F$18:$F$40,'AVARIA ESTIMADA'!$A$18:$A$40,A49)</f>
        <v>0</v>
      </c>
    </row>
    <row r="50" spans="1:6" x14ac:dyDescent="0.3">
      <c r="A50" s="9" t="s">
        <v>1460</v>
      </c>
      <c r="B50" s="18" t="str">
        <f>_xlfn.XLOOKUP(A50,CATÁLOGO!$A$2:$A$846,CATÁLOGO!$B$2:$B$846,"FORA DO CATÁLOGO")</f>
        <v>BER003B38</v>
      </c>
      <c r="C50" s="11">
        <v>6</v>
      </c>
      <c r="D50" s="11" t="str">
        <f>_xlfn.XLOOKUP(A50,CATÁLOGO!$A$2:$A$846,CATÁLOGO!$E$2:$E$846,"FORA DO CATÁLOGO")</f>
        <v>Ativo</v>
      </c>
      <c r="E50" s="9" t="s">
        <v>1305</v>
      </c>
      <c r="F50" s="52">
        <f>SUMIFS('AVARIA ESTIMADA'!$F$18:$F$40,'AVARIA ESTIMADA'!$A$18:$A$40,A50)</f>
        <v>0</v>
      </c>
    </row>
    <row r="51" spans="1:6" x14ac:dyDescent="0.3">
      <c r="A51" s="9" t="s">
        <v>1459</v>
      </c>
      <c r="B51" s="18" t="str">
        <f>_xlfn.XLOOKUP(A51,CATÁLOGO!$A$2:$A$846,CATÁLOGO!$B$2:$B$846,"FORA DO CATÁLOGO")</f>
        <v>BER003B40</v>
      </c>
      <c r="C51" s="11">
        <v>4</v>
      </c>
      <c r="D51" s="11" t="str">
        <f>_xlfn.XLOOKUP(A51,CATÁLOGO!$A$2:$A$846,CATÁLOGO!$E$2:$E$846,"FORA DO CATÁLOGO")</f>
        <v>Ativo</v>
      </c>
      <c r="E51" s="9" t="s">
        <v>1305</v>
      </c>
      <c r="F51" s="52">
        <f>SUMIFS('AVARIA ESTIMADA'!$F$18:$F$40,'AVARIA ESTIMADA'!$A$18:$A$40,A51)</f>
        <v>0</v>
      </c>
    </row>
    <row r="52" spans="1:6" x14ac:dyDescent="0.3">
      <c r="A52" s="9" t="s">
        <v>1456</v>
      </c>
      <c r="B52" s="18" t="str">
        <f>_xlfn.XLOOKUP(A52,CATÁLOGO!$A$2:$A$846,CATÁLOGO!$B$2:$B$846,"FORA DO CATÁLOGO")</f>
        <v>BER003B42</v>
      </c>
      <c r="C52" s="11">
        <v>4</v>
      </c>
      <c r="D52" s="11" t="str">
        <f>_xlfn.XLOOKUP(A52,CATÁLOGO!$A$2:$A$846,CATÁLOGO!$E$2:$E$846,"FORA DO CATÁLOGO")</f>
        <v>Ativo</v>
      </c>
      <c r="E52" s="9" t="s">
        <v>1304</v>
      </c>
      <c r="F52" s="52">
        <f>SUMIFS('AVARIA ESTIMADA'!$F$18:$F$40,'AVARIA ESTIMADA'!$A$18:$A$40,A52)</f>
        <v>0</v>
      </c>
    </row>
    <row r="53" spans="1:6" x14ac:dyDescent="0.3">
      <c r="A53" s="9" t="s">
        <v>1458</v>
      </c>
      <c r="B53" s="18" t="str">
        <f>_xlfn.XLOOKUP(A53,CATÁLOGO!$A$2:$A$846,CATÁLOGO!$B$2:$B$846,"FORA DO CATÁLOGO")</f>
        <v>BER003B44</v>
      </c>
      <c r="C53" s="11">
        <v>2</v>
      </c>
      <c r="D53" s="11" t="str">
        <f>_xlfn.XLOOKUP(A53,CATÁLOGO!$A$2:$A$846,CATÁLOGO!$E$2:$E$846,"FORA DO CATÁLOGO")</f>
        <v>Ativo</v>
      </c>
      <c r="E53" s="9" t="s">
        <v>1305</v>
      </c>
      <c r="F53" s="52">
        <f>SUMIFS('AVARIA ESTIMADA'!$F$18:$F$40,'AVARIA ESTIMADA'!$A$18:$A$40,A53)</f>
        <v>0</v>
      </c>
    </row>
    <row r="54" spans="1:6" x14ac:dyDescent="0.3">
      <c r="A54" s="9" t="s">
        <v>1461</v>
      </c>
      <c r="B54" s="18" t="str">
        <f>_xlfn.XLOOKUP(A54,CATÁLOGO!$A$2:$A$846,CATÁLOGO!$B$2:$B$846,"FORA DO CATÁLOGO")</f>
        <v>BER003B46</v>
      </c>
      <c r="C54" s="11">
        <v>1</v>
      </c>
      <c r="D54" s="11" t="str">
        <f>_xlfn.XLOOKUP(A54,CATÁLOGO!$A$2:$A$846,CATÁLOGO!$E$2:$E$846,"FORA DO CATÁLOGO")</f>
        <v>Ativo</v>
      </c>
      <c r="E54" s="9" t="s">
        <v>1305</v>
      </c>
      <c r="F54" s="52">
        <f>SUMIFS('AVARIA ESTIMADA'!$F$18:$F$40,'AVARIA ESTIMADA'!$A$18:$A$40,A54)</f>
        <v>0</v>
      </c>
    </row>
    <row r="55" spans="1:6" x14ac:dyDescent="0.3">
      <c r="A55" s="9" t="s">
        <v>24</v>
      </c>
      <c r="B55" s="18" t="str">
        <f>_xlfn.XLOOKUP(A55,CATÁLOGO!$A$2:$A$846,CATÁLOGO!$B$2:$B$846,"FORA DO CATÁLOGO")</f>
        <v>ACE003GU</v>
      </c>
      <c r="C55" s="11">
        <v>3</v>
      </c>
      <c r="D55" s="11" t="str">
        <f>_xlfn.XLOOKUP(A55,CATÁLOGO!$A$2:$A$846,CATÁLOGO!$E$2:$E$846,"FORA DO CATÁLOGO")</f>
        <v>Ativo</v>
      </c>
      <c r="E55" s="9" t="s">
        <v>1304</v>
      </c>
      <c r="F55" s="52">
        <f>SUMIFS('AVARIA ESTIMADA'!$F$18:$F$40,'AVARIA ESTIMADA'!$A$18:$A$40,A55)</f>
        <v>0</v>
      </c>
    </row>
    <row r="56" spans="1:6" x14ac:dyDescent="0.3">
      <c r="A56" s="9" t="s">
        <v>25</v>
      </c>
      <c r="B56" s="18" t="str">
        <f>_xlfn.XLOOKUP(A56,CATÁLOGO!$A$2:$A$846,CATÁLOGO!$B$2:$B$846,"FORA DO CATÁLOGO")</f>
        <v>CAM001CP</v>
      </c>
      <c r="C56" s="11">
        <v>5</v>
      </c>
      <c r="D56" s="11" t="str">
        <f>_xlfn.XLOOKUP(A56,CATÁLOGO!$A$2:$A$846,CATÁLOGO!$E$2:$E$846,"FORA DO CATÁLOGO")</f>
        <v>Ativo</v>
      </c>
      <c r="E56" s="9" t="s">
        <v>1305</v>
      </c>
      <c r="F56" s="52">
        <f>SUMIFS('AVARIA ESTIMADA'!$F$18:$F$40,'AVARIA ESTIMADA'!$A$18:$A$40,A56)</f>
        <v>0</v>
      </c>
    </row>
    <row r="57" spans="1:6" x14ac:dyDescent="0.3">
      <c r="A57" s="9" t="s">
        <v>26</v>
      </c>
      <c r="B57" s="18" t="str">
        <f>_xlfn.XLOOKUP(A57,CATÁLOGO!$A$2:$A$846,CATÁLOGO!$B$2:$B$846,"FORA DO CATÁLOGO")</f>
        <v>CAM001CM</v>
      </c>
      <c r="C57" s="11">
        <v>6</v>
      </c>
      <c r="D57" s="11" t="str">
        <f>_xlfn.XLOOKUP(A57,CATÁLOGO!$A$2:$A$846,CATÁLOGO!$E$2:$E$846,"FORA DO CATÁLOGO")</f>
        <v>Ativo</v>
      </c>
      <c r="E57" s="9" t="s">
        <v>1305</v>
      </c>
      <c r="F57" s="52">
        <f>SUMIFS('AVARIA ESTIMADA'!$F$18:$F$40,'AVARIA ESTIMADA'!$A$18:$A$40,A57)</f>
        <v>0</v>
      </c>
    </row>
    <row r="58" spans="1:6" x14ac:dyDescent="0.3">
      <c r="A58" s="9" t="s">
        <v>27</v>
      </c>
      <c r="B58" s="18" t="str">
        <f>_xlfn.XLOOKUP(A58,CATÁLOGO!$A$2:$A$846,CATÁLOGO!$B$2:$B$846,"FORA DO CATÁLOGO")</f>
        <v>CAM001CG</v>
      </c>
      <c r="C58" s="11">
        <v>6</v>
      </c>
      <c r="D58" s="11" t="str">
        <f>_xlfn.XLOOKUP(A58,CATÁLOGO!$A$2:$A$846,CATÁLOGO!$E$2:$E$846,"FORA DO CATÁLOGO")</f>
        <v>Ativo</v>
      </c>
      <c r="E58" s="9" t="s">
        <v>1303</v>
      </c>
      <c r="F58" s="52">
        <f>SUMIFS('AVARIA ESTIMADA'!$F$18:$F$40,'AVARIA ESTIMADA'!$A$18:$A$40,A58)</f>
        <v>0</v>
      </c>
    </row>
    <row r="59" spans="1:6" x14ac:dyDescent="0.3">
      <c r="A59" s="9" t="s">
        <v>1249</v>
      </c>
      <c r="B59" s="18" t="str">
        <f>_xlfn.XLOOKUP(A59,CATÁLOGO!$A$2:$A$846,CATÁLOGO!$B$2:$B$846,"FORA DO CATÁLOGO")</f>
        <v>CAM001CGG</v>
      </c>
      <c r="C59" s="11">
        <v>3</v>
      </c>
      <c r="D59" s="11" t="str">
        <f>_xlfn.XLOOKUP(A59,CATÁLOGO!$A$2:$A$846,CATÁLOGO!$E$2:$E$846,"FORA DO CATÁLOGO")</f>
        <v>Ativo</v>
      </c>
      <c r="E59" s="9" t="s">
        <v>1305</v>
      </c>
      <c r="F59" s="52">
        <f>SUMIFS('AVARIA ESTIMADA'!$F$18:$F$40,'AVARIA ESTIMADA'!$A$18:$A$40,A59)</f>
        <v>0</v>
      </c>
    </row>
    <row r="60" spans="1:6" x14ac:dyDescent="0.3">
      <c r="A60" s="9" t="s">
        <v>28</v>
      </c>
      <c r="B60" s="18" t="str">
        <f>_xlfn.XLOOKUP(A60,CATÁLOGO!$A$2:$A$846,CATÁLOGO!$B$2:$B$846,"FORA DO CATÁLOGO")</f>
        <v>ACE004CU</v>
      </c>
      <c r="C60" s="11">
        <v>6</v>
      </c>
      <c r="D60" s="11" t="str">
        <f>_xlfn.XLOOKUP(A60,CATÁLOGO!$A$2:$A$846,CATÁLOGO!$E$2:$E$846,"FORA DO CATÁLOGO")</f>
        <v>Ativo</v>
      </c>
      <c r="E60" s="9" t="s">
        <v>1305</v>
      </c>
      <c r="F60" s="52">
        <f>SUMIFS('AVARIA ESTIMADA'!$F$18:$F$40,'AVARIA ESTIMADA'!$A$18:$A$40,A60)</f>
        <v>0</v>
      </c>
    </row>
    <row r="61" spans="1:6" x14ac:dyDescent="0.3">
      <c r="A61" s="9" t="s">
        <v>30</v>
      </c>
      <c r="B61" s="18" t="str">
        <f>_xlfn.XLOOKUP(A61,CATÁLOGO!$A$2:$A$846,CATÁLOGO!$B$2:$B$846,"FORA DO CATÁLOGO")</f>
        <v>MOL003AP</v>
      </c>
      <c r="C61" s="11">
        <v>3</v>
      </c>
      <c r="D61" s="11" t="str">
        <f>_xlfn.XLOOKUP(A61,CATÁLOGO!$A$2:$A$846,CATÁLOGO!$E$2:$E$846,"FORA DO CATÁLOGO")</f>
        <v>Ativo</v>
      </c>
      <c r="E61" s="9" t="s">
        <v>1305</v>
      </c>
      <c r="F61" s="52">
        <f>SUMIFS('AVARIA ESTIMADA'!$F$18:$F$40,'AVARIA ESTIMADA'!$A$18:$A$40,A61)</f>
        <v>0</v>
      </c>
    </row>
    <row r="62" spans="1:6" x14ac:dyDescent="0.3">
      <c r="A62" s="9" t="s">
        <v>31</v>
      </c>
      <c r="B62" s="18" t="str">
        <f>_xlfn.XLOOKUP(A62,CATÁLOGO!$A$2:$A$846,CATÁLOGO!$B$2:$B$846,"FORA DO CATÁLOGO")</f>
        <v>MOL003AM</v>
      </c>
      <c r="C62" s="11">
        <v>4</v>
      </c>
      <c r="D62" s="11" t="str">
        <f>_xlfn.XLOOKUP(A62,CATÁLOGO!$A$2:$A$846,CATÁLOGO!$E$2:$E$846,"FORA DO CATÁLOGO")</f>
        <v>Ativo</v>
      </c>
      <c r="E62" s="9" t="s">
        <v>1305</v>
      </c>
      <c r="F62" s="52">
        <f>SUMIFS('AVARIA ESTIMADA'!$F$18:$F$40,'AVARIA ESTIMADA'!$A$18:$A$40,A62)</f>
        <v>0</v>
      </c>
    </row>
    <row r="63" spans="1:6" x14ac:dyDescent="0.3">
      <c r="A63" s="9" t="s">
        <v>32</v>
      </c>
      <c r="B63" s="18" t="str">
        <f>_xlfn.XLOOKUP(A63,CATÁLOGO!$A$2:$A$846,CATÁLOGO!$B$2:$B$846,"FORA DO CATÁLOGO")</f>
        <v>MOL003AG</v>
      </c>
      <c r="C63" s="11">
        <v>3</v>
      </c>
      <c r="D63" s="11" t="str">
        <f>_xlfn.XLOOKUP(A63,CATÁLOGO!$A$2:$A$846,CATÁLOGO!$E$2:$E$846,"FORA DO CATÁLOGO")</f>
        <v>Ativo</v>
      </c>
      <c r="E63" s="9" t="s">
        <v>1305</v>
      </c>
      <c r="F63" s="52">
        <f>SUMIFS('AVARIA ESTIMADA'!$F$18:$F$40,'AVARIA ESTIMADA'!$A$18:$A$40,A63)</f>
        <v>0</v>
      </c>
    </row>
    <row r="64" spans="1:6" x14ac:dyDescent="0.3">
      <c r="A64" s="9" t="s">
        <v>33</v>
      </c>
      <c r="B64" s="18" t="str">
        <f>_xlfn.XLOOKUP(A64,CATÁLOGO!$A$2:$A$846,CATÁLOGO!$B$2:$B$846,"FORA DO CATÁLOGO")</f>
        <v>MOL003AGG</v>
      </c>
      <c r="C64" s="11">
        <v>3</v>
      </c>
      <c r="D64" s="11" t="str">
        <f>_xlfn.XLOOKUP(A64,CATÁLOGO!$A$2:$A$846,CATÁLOGO!$E$2:$E$846,"FORA DO CATÁLOGO")</f>
        <v>Ativo</v>
      </c>
      <c r="E64" s="9" t="s">
        <v>1305</v>
      </c>
      <c r="F64" s="52">
        <f>SUMIFS('AVARIA ESTIMADA'!$F$18:$F$40,'AVARIA ESTIMADA'!$A$18:$A$40,A64)</f>
        <v>0</v>
      </c>
    </row>
    <row r="65" spans="1:6" x14ac:dyDescent="0.3">
      <c r="A65" s="9" t="s">
        <v>34</v>
      </c>
      <c r="B65" s="18" t="str">
        <f>_xlfn.XLOOKUP(A65,CATÁLOGO!$A$2:$A$846,CATÁLOGO!$B$2:$B$846,"FORA DO CATÁLOGO")</f>
        <v>MOL003GM</v>
      </c>
      <c r="C65" s="11">
        <v>1</v>
      </c>
      <c r="D65" s="11" t="str">
        <f>_xlfn.XLOOKUP(A65,CATÁLOGO!$A$2:$A$846,CATÁLOGO!$E$2:$E$846,"FORA DO CATÁLOGO")</f>
        <v>Ativo</v>
      </c>
      <c r="E65" s="9" t="s">
        <v>1305</v>
      </c>
      <c r="F65" s="52">
        <f>SUMIFS('AVARIA ESTIMADA'!$F$18:$F$40,'AVARIA ESTIMADA'!$A$18:$A$40,A65)</f>
        <v>0</v>
      </c>
    </row>
    <row r="66" spans="1:6" x14ac:dyDescent="0.3">
      <c r="A66" s="9" t="s">
        <v>35</v>
      </c>
      <c r="B66" s="18" t="str">
        <f>_xlfn.XLOOKUP(A66,CATÁLOGO!$A$2:$A$846,CATÁLOGO!$B$2:$B$846,"FORA DO CATÁLOGO")</f>
        <v>MOL003GG</v>
      </c>
      <c r="C66" s="11">
        <v>1</v>
      </c>
      <c r="D66" s="11" t="str">
        <f>_xlfn.XLOOKUP(A66,CATÁLOGO!$A$2:$A$846,CATÁLOGO!$E$2:$E$846,"FORA DO CATÁLOGO")</f>
        <v>Ativo</v>
      </c>
      <c r="E66" s="9" t="s">
        <v>1305</v>
      </c>
      <c r="F66" s="52">
        <f>SUMIFS('AVARIA ESTIMADA'!$F$18:$F$40,'AVARIA ESTIMADA'!$A$18:$A$40,A66)</f>
        <v>0</v>
      </c>
    </row>
    <row r="67" spans="1:6" x14ac:dyDescent="0.3">
      <c r="A67" s="9" t="s">
        <v>36</v>
      </c>
      <c r="B67" s="18" t="str">
        <f>_xlfn.XLOOKUP(A67,CATÁLOGO!$A$2:$A$846,CATÁLOGO!$B$2:$B$846,"FORA DO CATÁLOGO")</f>
        <v>MOL003GGG</v>
      </c>
      <c r="C67" s="11">
        <v>1</v>
      </c>
      <c r="D67" s="11" t="str">
        <f>_xlfn.XLOOKUP(A67,CATÁLOGO!$A$2:$A$846,CATÁLOGO!$E$2:$E$846,"FORA DO CATÁLOGO")</f>
        <v>Ativo</v>
      </c>
      <c r="E67" s="9" t="s">
        <v>1305</v>
      </c>
      <c r="F67" s="52">
        <f>SUMIFS('AVARIA ESTIMADA'!$F$18:$F$40,'AVARIA ESTIMADA'!$A$18:$A$40,A67)</f>
        <v>0</v>
      </c>
    </row>
    <row r="68" spans="1:6" x14ac:dyDescent="0.3">
      <c r="A68" s="9" t="s">
        <v>37</v>
      </c>
      <c r="B68" s="18" t="str">
        <f>_xlfn.XLOOKUP(A68,CATÁLOGO!$A$2:$A$846,CATÁLOGO!$B$2:$B$846,"FORA DO CATÁLOGO")</f>
        <v>SAI002BP</v>
      </c>
      <c r="C68" s="11">
        <v>2</v>
      </c>
      <c r="D68" s="11" t="str">
        <f>_xlfn.XLOOKUP(A68,CATÁLOGO!$A$2:$A$846,CATÁLOGO!$E$2:$E$846,"FORA DO CATÁLOGO")</f>
        <v>Ativo</v>
      </c>
      <c r="E68" s="9" t="s">
        <v>1305</v>
      </c>
      <c r="F68" s="52">
        <f>SUMIFS('AVARIA ESTIMADA'!$F$18:$F$40,'AVARIA ESTIMADA'!$A$18:$A$40,A68)</f>
        <v>0</v>
      </c>
    </row>
    <row r="69" spans="1:6" x14ac:dyDescent="0.3">
      <c r="A69" s="9" t="s">
        <v>38</v>
      </c>
      <c r="B69" s="18" t="str">
        <f>_xlfn.XLOOKUP(A69,CATÁLOGO!$A$2:$A$846,CATÁLOGO!$B$2:$B$846,"FORA DO CATÁLOGO")</f>
        <v>SAI002BM</v>
      </c>
      <c r="C69" s="11">
        <v>3</v>
      </c>
      <c r="D69" s="11" t="str">
        <f>_xlfn.XLOOKUP(A69,CATÁLOGO!$A$2:$A$846,CATÁLOGO!$E$2:$E$846,"FORA DO CATÁLOGO")</f>
        <v>Ativo</v>
      </c>
      <c r="E69" s="9" t="s">
        <v>1305</v>
      </c>
      <c r="F69" s="52">
        <f>SUMIFS('AVARIA ESTIMADA'!$F$18:$F$40,'AVARIA ESTIMADA'!$A$18:$A$40,A69)</f>
        <v>0</v>
      </c>
    </row>
    <row r="70" spans="1:6" x14ac:dyDescent="0.3">
      <c r="A70" s="9" t="s">
        <v>39</v>
      </c>
      <c r="B70" s="18" t="str">
        <f>_xlfn.XLOOKUP(A70,CATÁLOGO!$A$2:$A$846,CATÁLOGO!$B$2:$B$846,"FORA DO CATÁLOGO")</f>
        <v>SAI002BG</v>
      </c>
      <c r="C70" s="11">
        <v>2</v>
      </c>
      <c r="D70" s="11" t="str">
        <f>_xlfn.XLOOKUP(A70,CATÁLOGO!$A$2:$A$846,CATÁLOGO!$E$2:$E$846,"FORA DO CATÁLOGO")</f>
        <v>Ativo</v>
      </c>
      <c r="E70" s="9" t="s">
        <v>1305</v>
      </c>
      <c r="F70" s="52">
        <f>SUMIFS('AVARIA ESTIMADA'!$F$18:$F$40,'AVARIA ESTIMADA'!$A$18:$A$40,A70)</f>
        <v>0</v>
      </c>
    </row>
    <row r="71" spans="1:6" x14ac:dyDescent="0.3">
      <c r="A71" s="9" t="s">
        <v>40</v>
      </c>
      <c r="B71" s="18" t="str">
        <f>_xlfn.XLOOKUP(A71,CATÁLOGO!$A$2:$A$846,CATÁLOGO!$B$2:$B$846,"FORA DO CATÁLOGO")</f>
        <v>SAI002BGG</v>
      </c>
      <c r="C71" s="11">
        <v>1</v>
      </c>
      <c r="D71" s="11" t="str">
        <f>_xlfn.XLOOKUP(A71,CATÁLOGO!$A$2:$A$846,CATÁLOGO!$E$2:$E$846,"FORA DO CATÁLOGO")</f>
        <v>Ativo</v>
      </c>
      <c r="E71" s="9" t="s">
        <v>1303</v>
      </c>
      <c r="F71" s="52">
        <f>SUMIFS('AVARIA ESTIMADA'!$F$18:$F$40,'AVARIA ESTIMADA'!$A$18:$A$40,A71)</f>
        <v>0</v>
      </c>
    </row>
    <row r="72" spans="1:6" x14ac:dyDescent="0.3">
      <c r="A72" s="9" t="s">
        <v>41</v>
      </c>
      <c r="B72" s="18" t="str">
        <f>_xlfn.XLOOKUP(A72,CATÁLOGO!$A$2:$A$846,CATÁLOGO!$B$2:$B$846,"FORA DO CATÁLOGO")</f>
        <v>SAI002OP</v>
      </c>
      <c r="C72" s="11">
        <v>1</v>
      </c>
      <c r="D72" s="11" t="str">
        <f>_xlfn.XLOOKUP(A72,CATÁLOGO!$A$2:$A$846,CATÁLOGO!$E$2:$E$846,"FORA DO CATÁLOGO")</f>
        <v>Descontinuado</v>
      </c>
      <c r="E72" s="9" t="s">
        <v>1303</v>
      </c>
      <c r="F72" s="52">
        <f>SUMIFS('AVARIA ESTIMADA'!$F$18:$F$40,'AVARIA ESTIMADA'!$A$18:$A$40,A72)</f>
        <v>0</v>
      </c>
    </row>
    <row r="73" spans="1:6" x14ac:dyDescent="0.3">
      <c r="A73" s="9" t="s">
        <v>1276</v>
      </c>
      <c r="B73" s="18" t="str">
        <f>_xlfn.XLOOKUP(A73,CATÁLOGO!$A$2:$A$846,CATÁLOGO!$B$2:$B$846,"FORA DO CATÁLOGO")</f>
        <v>SAI002OM</v>
      </c>
      <c r="C73" s="11">
        <v>2</v>
      </c>
      <c r="D73" s="11" t="str">
        <f>_xlfn.XLOOKUP(A73,CATÁLOGO!$A$2:$A$846,CATÁLOGO!$E$2:$E$846,"FORA DO CATÁLOGO")</f>
        <v>Descontinuado</v>
      </c>
      <c r="E73" s="9" t="s">
        <v>1303</v>
      </c>
      <c r="F73" s="52">
        <f>SUMIFS('AVARIA ESTIMADA'!$F$18:$F$40,'AVARIA ESTIMADA'!$A$18:$A$40,A73)</f>
        <v>0</v>
      </c>
    </row>
    <row r="74" spans="1:6" x14ac:dyDescent="0.3">
      <c r="A74" s="9" t="s">
        <v>1277</v>
      </c>
      <c r="B74" s="18" t="str">
        <f>_xlfn.XLOOKUP(A74,CATÁLOGO!$A$2:$A$846,CATÁLOGO!$B$2:$B$846,"FORA DO CATÁLOGO")</f>
        <v>SAI002OG</v>
      </c>
      <c r="C74" s="11">
        <v>1</v>
      </c>
      <c r="D74" s="11" t="str">
        <f>_xlfn.XLOOKUP(A74,CATÁLOGO!$A$2:$A$846,CATÁLOGO!$E$2:$E$846,"FORA DO CATÁLOGO")</f>
        <v>Descontinuado</v>
      </c>
      <c r="E74" s="9" t="s">
        <v>1304</v>
      </c>
      <c r="F74" s="52">
        <f>SUMIFS('AVARIA ESTIMADA'!$F$18:$F$40,'AVARIA ESTIMADA'!$A$18:$A$40,A74)</f>
        <v>0</v>
      </c>
    </row>
    <row r="75" spans="1:6" x14ac:dyDescent="0.3">
      <c r="A75" s="9" t="s">
        <v>42</v>
      </c>
      <c r="B75" s="18" t="str">
        <f>_xlfn.XLOOKUP(A75,CATÁLOGO!$A$2:$A$846,CATÁLOGO!$B$2:$B$846,"FORA DO CATÁLOGO")</f>
        <v>SAI002OGG</v>
      </c>
      <c r="C75" s="11">
        <v>1</v>
      </c>
      <c r="D75" s="11" t="str">
        <f>_xlfn.XLOOKUP(A75,CATÁLOGO!$A$2:$A$846,CATÁLOGO!$E$2:$E$846,"FORA DO CATÁLOGO")</f>
        <v>Descontinuado</v>
      </c>
      <c r="E75" s="9" t="s">
        <v>1304</v>
      </c>
      <c r="F75" s="52">
        <f>SUMIFS('AVARIA ESTIMADA'!$F$18:$F$40,'AVARIA ESTIMADA'!$A$18:$A$40,A75)</f>
        <v>0</v>
      </c>
    </row>
    <row r="76" spans="1:6" x14ac:dyDescent="0.3">
      <c r="A76" s="9" t="s">
        <v>1552</v>
      </c>
      <c r="B76" s="18" t="str">
        <f>_xlfn.XLOOKUP(A76,CATÁLOGO!$A$2:$A$846,CATÁLOGO!$B$2:$B$846,"FORA DO CATÁLOGO")</f>
        <v>CAL006J36</v>
      </c>
      <c r="C76" s="11">
        <v>1</v>
      </c>
      <c r="D76" s="11" t="str">
        <f>_xlfn.XLOOKUP(A76,CATÁLOGO!$A$2:$A$846,CATÁLOGO!$E$2:$E$846,"FORA DO CATÁLOGO")</f>
        <v>Ativo</v>
      </c>
      <c r="E76" s="9" t="s">
        <v>1303</v>
      </c>
      <c r="F76" s="52">
        <f>SUMIFS('AVARIA ESTIMADA'!$F$18:$F$40,'AVARIA ESTIMADA'!$A$18:$A$40,A76)</f>
        <v>0</v>
      </c>
    </row>
    <row r="77" spans="1:6" x14ac:dyDescent="0.3">
      <c r="A77" s="9" t="s">
        <v>1551</v>
      </c>
      <c r="B77" s="18" t="str">
        <f>_xlfn.XLOOKUP(A77,CATÁLOGO!$A$2:$A$846,CATÁLOGO!$B$2:$B$846,"FORA DO CATÁLOGO")</f>
        <v>CAL006J38</v>
      </c>
      <c r="C77" s="11">
        <v>2</v>
      </c>
      <c r="D77" s="11" t="str">
        <f>_xlfn.XLOOKUP(A77,CATÁLOGO!$A$2:$A$846,CATÁLOGO!$E$2:$E$846,"FORA DO CATÁLOGO")</f>
        <v>Ativo</v>
      </c>
      <c r="E77" s="9" t="s">
        <v>1305</v>
      </c>
      <c r="F77" s="52">
        <f>SUMIFS('AVARIA ESTIMADA'!$F$18:$F$40,'AVARIA ESTIMADA'!$A$18:$A$40,A77)</f>
        <v>0</v>
      </c>
    </row>
    <row r="78" spans="1:6" x14ac:dyDescent="0.3">
      <c r="A78" s="9" t="s">
        <v>1550</v>
      </c>
      <c r="B78" s="18" t="str">
        <f>_xlfn.XLOOKUP(A78,CATÁLOGO!$A$2:$A$846,CATÁLOGO!$B$2:$B$846,"FORA DO CATÁLOGO")</f>
        <v>CAL006J40</v>
      </c>
      <c r="C78" s="11">
        <v>2</v>
      </c>
      <c r="D78" s="11" t="str">
        <f>_xlfn.XLOOKUP(A78,CATÁLOGO!$A$2:$A$846,CATÁLOGO!$E$2:$E$846,"FORA DO CATÁLOGO")</f>
        <v>Ativo</v>
      </c>
      <c r="E78" s="9" t="s">
        <v>1304</v>
      </c>
      <c r="F78" s="52">
        <f>SUMIFS('AVARIA ESTIMADA'!$F$18:$F$40,'AVARIA ESTIMADA'!$A$18:$A$40,A78)</f>
        <v>0</v>
      </c>
    </row>
    <row r="79" spans="1:6" x14ac:dyDescent="0.3">
      <c r="A79" s="9" t="s">
        <v>1548</v>
      </c>
      <c r="B79" s="18" t="str">
        <f>_xlfn.XLOOKUP(A79,CATÁLOGO!$A$2:$A$846,CATÁLOGO!$B$2:$B$846,"FORA DO CATÁLOGO")</f>
        <v>CAL006J42</v>
      </c>
      <c r="C79" s="11">
        <v>1</v>
      </c>
      <c r="D79" s="11" t="str">
        <f>_xlfn.XLOOKUP(A79,CATÁLOGO!$A$2:$A$846,CATÁLOGO!$E$2:$E$846,"FORA DO CATÁLOGO")</f>
        <v>Ativo</v>
      </c>
      <c r="E79" s="9" t="s">
        <v>1304</v>
      </c>
      <c r="F79" s="52">
        <f>SUMIFS('AVARIA ESTIMADA'!$F$18:$F$40,'AVARIA ESTIMADA'!$A$18:$A$40,A79)</f>
        <v>0</v>
      </c>
    </row>
    <row r="80" spans="1:6" x14ac:dyDescent="0.3">
      <c r="A80" s="9" t="s">
        <v>1549</v>
      </c>
      <c r="B80" s="18" t="str">
        <f>_xlfn.XLOOKUP(A80,CATÁLOGO!$A$2:$A$846,CATÁLOGO!$B$2:$B$846,"FORA DO CATÁLOGO")</f>
        <v>CAL006J44</v>
      </c>
      <c r="C80" s="11">
        <v>1</v>
      </c>
      <c r="D80" s="11" t="str">
        <f>_xlfn.XLOOKUP(A80,CATÁLOGO!$A$2:$A$846,CATÁLOGO!$E$2:$E$846,"FORA DO CATÁLOGO")</f>
        <v>Ativo</v>
      </c>
      <c r="E80" s="9" t="s">
        <v>1305</v>
      </c>
      <c r="F80" s="52">
        <f>SUMIFS('AVARIA ESTIMADA'!$F$18:$F$40,'AVARIA ESTIMADA'!$A$18:$A$40,A80)</f>
        <v>0</v>
      </c>
    </row>
    <row r="81" spans="1:6" x14ac:dyDescent="0.3">
      <c r="A81" s="9" t="s">
        <v>1547</v>
      </c>
      <c r="B81" s="18" t="str">
        <f>_xlfn.XLOOKUP(A81,CATÁLOGO!$A$2:$A$846,CATÁLOGO!$B$2:$B$846,"FORA DO CATÁLOGO")</f>
        <v>CAL006G36</v>
      </c>
      <c r="C81" s="11">
        <v>1</v>
      </c>
      <c r="D81" s="11" t="str">
        <f>_xlfn.XLOOKUP(A81,CATÁLOGO!$A$2:$A$846,CATÁLOGO!$E$2:$E$846,"FORA DO CATÁLOGO")</f>
        <v>Descontinuado</v>
      </c>
      <c r="E81" s="9" t="s">
        <v>1305</v>
      </c>
      <c r="F81" s="52">
        <f>SUMIFS('AVARIA ESTIMADA'!$F$18:$F$40,'AVARIA ESTIMADA'!$A$18:$A$40,A81)</f>
        <v>0</v>
      </c>
    </row>
    <row r="82" spans="1:6" x14ac:dyDescent="0.3">
      <c r="A82" s="9" t="s">
        <v>1546</v>
      </c>
      <c r="B82" s="18" t="str">
        <f>_xlfn.XLOOKUP(A82,CATÁLOGO!$A$2:$A$846,CATÁLOGO!$B$2:$B$846,"FORA DO CATÁLOGO")</f>
        <v>CAL006G38</v>
      </c>
      <c r="C82" s="11">
        <v>1</v>
      </c>
      <c r="D82" s="11" t="str">
        <f>_xlfn.XLOOKUP(A82,CATÁLOGO!$A$2:$A$846,CATÁLOGO!$E$2:$E$846,"FORA DO CATÁLOGO")</f>
        <v>Descontinuado</v>
      </c>
      <c r="E82" s="9" t="s">
        <v>1305</v>
      </c>
      <c r="F82" s="52">
        <f>SUMIFS('AVARIA ESTIMADA'!$F$18:$F$40,'AVARIA ESTIMADA'!$A$18:$A$40,A82)</f>
        <v>0</v>
      </c>
    </row>
    <row r="83" spans="1:6" x14ac:dyDescent="0.3">
      <c r="A83" s="9" t="s">
        <v>1557</v>
      </c>
      <c r="B83" s="18" t="str">
        <f>_xlfn.XLOOKUP(A83,CATÁLOGO!$A$2:$A$846,CATÁLOGO!$B$2:$B$846,"FORA DO CATÁLOGO")</f>
        <v>CAL007A38</v>
      </c>
      <c r="C83" s="11">
        <v>6</v>
      </c>
      <c r="D83" s="11" t="str">
        <f>_xlfn.XLOOKUP(A83,CATÁLOGO!$A$2:$A$846,CATÁLOGO!$E$2:$E$846,"FORA DO CATÁLOGO")</f>
        <v>Ativo</v>
      </c>
      <c r="E83" s="9" t="s">
        <v>1303</v>
      </c>
      <c r="F83" s="52">
        <f>SUMIFS('AVARIA ESTIMADA'!$F$18:$F$40,'AVARIA ESTIMADA'!$A$18:$A$40,A83)</f>
        <v>0</v>
      </c>
    </row>
    <row r="84" spans="1:6" x14ac:dyDescent="0.3">
      <c r="A84" s="9" t="s">
        <v>1556</v>
      </c>
      <c r="B84" s="18" t="str">
        <f>_xlfn.XLOOKUP(A84,CATÁLOGO!$A$2:$A$846,CATÁLOGO!$B$2:$B$846,"FORA DO CATÁLOGO")</f>
        <v>CAL007A40</v>
      </c>
      <c r="C84" s="11">
        <v>6</v>
      </c>
      <c r="D84" s="11" t="str">
        <f>_xlfn.XLOOKUP(A84,CATÁLOGO!$A$2:$A$846,CATÁLOGO!$E$2:$E$846,"FORA DO CATÁLOGO")</f>
        <v>Ativo</v>
      </c>
      <c r="E84" s="9" t="s">
        <v>1305</v>
      </c>
      <c r="F84" s="52">
        <f>SUMIFS('AVARIA ESTIMADA'!$F$18:$F$40,'AVARIA ESTIMADA'!$A$18:$A$40,A84)</f>
        <v>0</v>
      </c>
    </row>
    <row r="85" spans="1:6" x14ac:dyDescent="0.3">
      <c r="A85" s="9" t="s">
        <v>1553</v>
      </c>
      <c r="B85" s="18" t="str">
        <f>_xlfn.XLOOKUP(A85,CATÁLOGO!$A$2:$A$846,CATÁLOGO!$B$2:$B$846,"FORA DO CATÁLOGO")</f>
        <v>CAL007A42</v>
      </c>
      <c r="C85" s="11">
        <v>6</v>
      </c>
      <c r="D85" s="11" t="str">
        <f>_xlfn.XLOOKUP(A85,CATÁLOGO!$A$2:$A$846,CATÁLOGO!$E$2:$E$846,"FORA DO CATÁLOGO")</f>
        <v>Ativo</v>
      </c>
      <c r="E85" s="9" t="s">
        <v>1305</v>
      </c>
      <c r="F85" s="52">
        <f>SUMIFS('AVARIA ESTIMADA'!$F$18:$F$40,'AVARIA ESTIMADA'!$A$18:$A$40,A85)</f>
        <v>0</v>
      </c>
    </row>
    <row r="86" spans="1:6" x14ac:dyDescent="0.3">
      <c r="A86" s="9" t="s">
        <v>1555</v>
      </c>
      <c r="B86" s="18" t="str">
        <f>_xlfn.XLOOKUP(A86,CATÁLOGO!$A$2:$A$846,CATÁLOGO!$B$2:$B$846,"FORA DO CATÁLOGO")</f>
        <v>CAL007A44</v>
      </c>
      <c r="C86" s="11">
        <v>3</v>
      </c>
      <c r="D86" s="11" t="str">
        <f>_xlfn.XLOOKUP(A86,CATÁLOGO!$A$2:$A$846,CATÁLOGO!$E$2:$E$846,"FORA DO CATÁLOGO")</f>
        <v>Ativo</v>
      </c>
      <c r="E86" s="9" t="s">
        <v>1303</v>
      </c>
      <c r="F86" s="52">
        <f>SUMIFS('AVARIA ESTIMADA'!$F$18:$F$40,'AVARIA ESTIMADA'!$A$18:$A$40,A86)</f>
        <v>0</v>
      </c>
    </row>
    <row r="87" spans="1:6" x14ac:dyDescent="0.3">
      <c r="A87" s="9" t="s">
        <v>43</v>
      </c>
      <c r="B87" s="18" t="str">
        <f>_xlfn.XLOOKUP(A87,CATÁLOGO!$A$2:$A$846,CATÁLOGO!$B$2:$B$846,"FORA DO CATÁLOGO")</f>
        <v>TRI004BP</v>
      </c>
      <c r="C87" s="11">
        <v>4</v>
      </c>
      <c r="D87" s="11" t="str">
        <f>_xlfn.XLOOKUP(A87,CATÁLOGO!$A$2:$A$846,CATÁLOGO!$E$2:$E$846,"FORA DO CATÁLOGO")</f>
        <v>Ativo</v>
      </c>
      <c r="E87" s="9" t="s">
        <v>1303</v>
      </c>
      <c r="F87" s="52">
        <f>SUMIFS('AVARIA ESTIMADA'!$F$18:$F$40,'AVARIA ESTIMADA'!$A$18:$A$40,A87)</f>
        <v>0</v>
      </c>
    </row>
    <row r="88" spans="1:6" x14ac:dyDescent="0.3">
      <c r="A88" s="9" t="s">
        <v>44</v>
      </c>
      <c r="B88" s="18" t="str">
        <f>_xlfn.XLOOKUP(A88,CATÁLOGO!$A$2:$A$846,CATÁLOGO!$B$2:$B$846,"FORA DO CATÁLOGO")</f>
        <v>TRI004BM</v>
      </c>
      <c r="C88" s="11">
        <v>6</v>
      </c>
      <c r="D88" s="11" t="str">
        <f>_xlfn.XLOOKUP(A88,CATÁLOGO!$A$2:$A$846,CATÁLOGO!$E$2:$E$846,"FORA DO CATÁLOGO")</f>
        <v>Ativo</v>
      </c>
      <c r="E88" s="9" t="s">
        <v>1304</v>
      </c>
      <c r="F88" s="52">
        <f>SUMIFS('AVARIA ESTIMADA'!$F$18:$F$40,'AVARIA ESTIMADA'!$A$18:$A$40,A88)</f>
        <v>0</v>
      </c>
    </row>
    <row r="89" spans="1:6" x14ac:dyDescent="0.3">
      <c r="A89" s="9" t="s">
        <v>45</v>
      </c>
      <c r="B89" s="18" t="str">
        <f>_xlfn.XLOOKUP(A89,CATÁLOGO!$A$2:$A$846,CATÁLOGO!$B$2:$B$846,"FORA DO CATÁLOGO")</f>
        <v>TRI004BG</v>
      </c>
      <c r="C89" s="11">
        <v>4</v>
      </c>
      <c r="D89" s="11" t="str">
        <f>_xlfn.XLOOKUP(A89,CATÁLOGO!$A$2:$A$846,CATÁLOGO!$E$2:$E$846,"FORA DO CATÁLOGO")</f>
        <v>Ativo</v>
      </c>
      <c r="E89" s="9" t="s">
        <v>1305</v>
      </c>
      <c r="F89" s="52">
        <f>SUMIFS('AVARIA ESTIMADA'!$F$18:$F$40,'AVARIA ESTIMADA'!$A$18:$A$40,A89)</f>
        <v>0</v>
      </c>
    </row>
    <row r="90" spans="1:6" x14ac:dyDescent="0.3">
      <c r="A90" s="9" t="s">
        <v>46</v>
      </c>
      <c r="B90" s="18" t="str">
        <f>_xlfn.XLOOKUP(A90,CATÁLOGO!$A$2:$A$846,CATÁLOGO!$B$2:$B$846,"FORA DO CATÁLOGO")</f>
        <v>TRI004BGG</v>
      </c>
      <c r="C90" s="11">
        <v>2</v>
      </c>
      <c r="D90" s="11" t="str">
        <f>_xlfn.XLOOKUP(A90,CATÁLOGO!$A$2:$A$846,CATÁLOGO!$E$2:$E$846,"FORA DO CATÁLOGO")</f>
        <v>Ativo</v>
      </c>
      <c r="E90" s="9" t="s">
        <v>1305</v>
      </c>
      <c r="F90" s="52">
        <f>SUMIFS('AVARIA ESTIMADA'!$F$18:$F$40,'AVARIA ESTIMADA'!$A$18:$A$40,A90)</f>
        <v>0</v>
      </c>
    </row>
    <row r="91" spans="1:6" x14ac:dyDescent="0.3">
      <c r="A91" s="9" t="s">
        <v>47</v>
      </c>
      <c r="B91" s="18" t="str">
        <f>_xlfn.XLOOKUP(A91,CATÁLOGO!$A$2:$A$846,CATÁLOGO!$B$2:$B$846,"FORA DO CATÁLOGO")</f>
        <v>CMS001GP</v>
      </c>
      <c r="C91" s="11">
        <v>6</v>
      </c>
      <c r="D91" s="11" t="str">
        <f>_xlfn.XLOOKUP(A91,CATÁLOGO!$A$2:$A$846,CATÁLOGO!$E$2:$E$846,"FORA DO CATÁLOGO")</f>
        <v>Ativo</v>
      </c>
      <c r="E91" s="9" t="s">
        <v>1304</v>
      </c>
      <c r="F91" s="52">
        <f>SUMIFS('AVARIA ESTIMADA'!$F$18:$F$40,'AVARIA ESTIMADA'!$A$18:$A$40,A91)</f>
        <v>0</v>
      </c>
    </row>
    <row r="92" spans="1:6" x14ac:dyDescent="0.3">
      <c r="A92" s="9" t="s">
        <v>48</v>
      </c>
      <c r="B92" s="18" t="str">
        <f>_xlfn.XLOOKUP(A92,CATÁLOGO!$A$2:$A$846,CATÁLOGO!$B$2:$B$846,"FORA DO CATÁLOGO")</f>
        <v>CMS001GM</v>
      </c>
      <c r="C92" s="11">
        <v>6</v>
      </c>
      <c r="D92" s="11" t="str">
        <f>_xlfn.XLOOKUP(A92,CATÁLOGO!$A$2:$A$846,CATÁLOGO!$E$2:$E$846,"FORA DO CATÁLOGO")</f>
        <v>Ativo</v>
      </c>
      <c r="E92" s="9" t="s">
        <v>1305</v>
      </c>
      <c r="F92" s="52">
        <f>SUMIFS('AVARIA ESTIMADA'!$F$18:$F$40,'AVARIA ESTIMADA'!$A$18:$A$40,A92)</f>
        <v>0</v>
      </c>
    </row>
    <row r="93" spans="1:6" x14ac:dyDescent="0.3">
      <c r="A93" s="9" t="s">
        <v>49</v>
      </c>
      <c r="B93" s="18" t="str">
        <f>_xlfn.XLOOKUP(A93,CATÁLOGO!$A$2:$A$846,CATÁLOGO!$B$2:$B$846,"FORA DO CATÁLOGO")</f>
        <v>CMS001GG</v>
      </c>
      <c r="C93" s="11">
        <v>6</v>
      </c>
      <c r="D93" s="11" t="str">
        <f>_xlfn.XLOOKUP(A93,CATÁLOGO!$A$2:$A$846,CATÁLOGO!$E$2:$E$846,"FORA DO CATÁLOGO")</f>
        <v>Ativo</v>
      </c>
      <c r="E93" s="9" t="s">
        <v>1303</v>
      </c>
      <c r="F93" s="52">
        <f>SUMIFS('AVARIA ESTIMADA'!$F$18:$F$40,'AVARIA ESTIMADA'!$A$18:$A$40,A93)</f>
        <v>0</v>
      </c>
    </row>
    <row r="94" spans="1:6" x14ac:dyDescent="0.3">
      <c r="A94" s="9" t="s">
        <v>1714</v>
      </c>
      <c r="B94" s="18" t="str">
        <f>_xlfn.XLOOKUP(A94,CATÁLOGO!$A$2:$A$846,CATÁLOGO!$B$2:$B$846,"FORA DO CATÁLOGO")</f>
        <v>CAM002APP</v>
      </c>
      <c r="C94" s="11">
        <v>1</v>
      </c>
      <c r="D94" s="11" t="str">
        <f>_xlfn.XLOOKUP(A94,CATÁLOGO!$A$2:$A$846,CATÁLOGO!$E$2:$E$846,"FORA DO CATÁLOGO")</f>
        <v>Ativo</v>
      </c>
      <c r="E94" s="9" t="s">
        <v>1304</v>
      </c>
      <c r="F94" s="52">
        <f>SUMIFS('AVARIA ESTIMADA'!$F$18:$F$40,'AVARIA ESTIMADA'!$A$18:$A$40,A94)</f>
        <v>0</v>
      </c>
    </row>
    <row r="95" spans="1:6" x14ac:dyDescent="0.3">
      <c r="A95" s="9" t="s">
        <v>51</v>
      </c>
      <c r="B95" s="18" t="str">
        <f>_xlfn.XLOOKUP(A95,CATÁLOGO!$A$2:$A$846,CATÁLOGO!$B$2:$B$846,"FORA DO CATÁLOGO")</f>
        <v>CAM002AP</v>
      </c>
      <c r="C95" s="11">
        <v>3</v>
      </c>
      <c r="D95" s="11" t="str">
        <f>_xlfn.XLOOKUP(A95,CATÁLOGO!$A$2:$A$846,CATÁLOGO!$E$2:$E$846,"FORA DO CATÁLOGO")</f>
        <v>Ativo</v>
      </c>
      <c r="E95" s="9" t="s">
        <v>1304</v>
      </c>
      <c r="F95" s="52">
        <f>SUMIFS('AVARIA ESTIMADA'!$F$18:$F$40,'AVARIA ESTIMADA'!$A$18:$A$40,A95)</f>
        <v>0</v>
      </c>
    </row>
    <row r="96" spans="1:6" x14ac:dyDescent="0.3">
      <c r="A96" s="9" t="s">
        <v>52</v>
      </c>
      <c r="B96" s="18" t="str">
        <f>_xlfn.XLOOKUP(A96,CATÁLOGO!$A$2:$A$846,CATÁLOGO!$B$2:$B$846,"FORA DO CATÁLOGO")</f>
        <v>CAM002AM</v>
      </c>
      <c r="C96" s="11">
        <v>4</v>
      </c>
      <c r="D96" s="11" t="str">
        <f>_xlfn.XLOOKUP(A96,CATÁLOGO!$A$2:$A$846,CATÁLOGO!$E$2:$E$846,"FORA DO CATÁLOGO")</f>
        <v>Ativo</v>
      </c>
      <c r="E96" s="9" t="s">
        <v>1303</v>
      </c>
      <c r="F96" s="52">
        <f>SUMIFS('AVARIA ESTIMADA'!$F$18:$F$40,'AVARIA ESTIMADA'!$A$18:$A$40,A96)</f>
        <v>0</v>
      </c>
    </row>
    <row r="97" spans="1:6" x14ac:dyDescent="0.3">
      <c r="A97" s="9" t="s">
        <v>53</v>
      </c>
      <c r="B97" s="18" t="str">
        <f>_xlfn.XLOOKUP(A97,CATÁLOGO!$A$2:$A$846,CATÁLOGO!$B$2:$B$846,"FORA DO CATÁLOGO")</f>
        <v>CAM002AG</v>
      </c>
      <c r="C97" s="11">
        <v>3</v>
      </c>
      <c r="D97" s="11" t="str">
        <f>_xlfn.XLOOKUP(A97,CATÁLOGO!$A$2:$A$846,CATÁLOGO!$E$2:$E$846,"FORA DO CATÁLOGO")</f>
        <v>Ativo</v>
      </c>
      <c r="E97" s="9" t="s">
        <v>1305</v>
      </c>
      <c r="F97" s="52">
        <f>SUMIFS('AVARIA ESTIMADA'!$F$18:$F$40,'AVARIA ESTIMADA'!$A$18:$A$40,A97)</f>
        <v>0</v>
      </c>
    </row>
    <row r="98" spans="1:6" x14ac:dyDescent="0.3">
      <c r="A98" s="9" t="s">
        <v>54</v>
      </c>
      <c r="B98" s="18" t="str">
        <f>_xlfn.XLOOKUP(A98,CATÁLOGO!$A$2:$A$846,CATÁLOGO!$B$2:$B$846,"FORA DO CATÁLOGO")</f>
        <v>CAM002AGG</v>
      </c>
      <c r="C98" s="11">
        <v>2</v>
      </c>
      <c r="D98" s="11" t="str">
        <f>_xlfn.XLOOKUP(A98,CATÁLOGO!$A$2:$A$846,CATÁLOGO!$E$2:$E$846,"FORA DO CATÁLOGO")</f>
        <v>Ativo</v>
      </c>
      <c r="E98" s="9" t="s">
        <v>1305</v>
      </c>
      <c r="F98" s="52">
        <f>SUMIFS('AVARIA ESTIMADA'!$F$18:$F$40,'AVARIA ESTIMADA'!$A$18:$A$40,A98)</f>
        <v>0</v>
      </c>
    </row>
    <row r="99" spans="1:6" x14ac:dyDescent="0.3">
      <c r="A99" s="9" t="s">
        <v>55</v>
      </c>
      <c r="B99" s="18" t="str">
        <f>_xlfn.XLOOKUP(A99,CATÁLOGO!$A$2:$A$846,CATÁLOGO!$B$2:$B$846,"FORA DO CATÁLOGO")</f>
        <v>CMS002GP</v>
      </c>
      <c r="C99" s="11">
        <v>6</v>
      </c>
      <c r="D99" s="11" t="str">
        <f>_xlfn.XLOOKUP(A99,CATÁLOGO!$A$2:$A$846,CATÁLOGO!$E$2:$E$846,"FORA DO CATÁLOGO")</f>
        <v>Ativo</v>
      </c>
      <c r="E99" s="9" t="s">
        <v>1305</v>
      </c>
      <c r="F99" s="52">
        <f>SUMIFS('AVARIA ESTIMADA'!$F$18:$F$40,'AVARIA ESTIMADA'!$A$18:$A$40,A99)</f>
        <v>0</v>
      </c>
    </row>
    <row r="100" spans="1:6" x14ac:dyDescent="0.3">
      <c r="A100" s="9" t="s">
        <v>56</v>
      </c>
      <c r="B100" s="18" t="str">
        <f>_xlfn.XLOOKUP(A100,CATÁLOGO!$A$2:$A$846,CATÁLOGO!$B$2:$B$846,"FORA DO CATÁLOGO")</f>
        <v>CMS002GM</v>
      </c>
      <c r="C100" s="11">
        <v>6</v>
      </c>
      <c r="D100" s="11" t="str">
        <f>_xlfn.XLOOKUP(A100,CATÁLOGO!$A$2:$A$846,CATÁLOGO!$E$2:$E$846,"FORA DO CATÁLOGO")</f>
        <v>Ativo</v>
      </c>
      <c r="E100" s="9" t="s">
        <v>1303</v>
      </c>
      <c r="F100" s="52">
        <f>SUMIFS('AVARIA ESTIMADA'!$F$18:$F$40,'AVARIA ESTIMADA'!$A$18:$A$40,A100)</f>
        <v>0</v>
      </c>
    </row>
    <row r="101" spans="1:6" x14ac:dyDescent="0.3">
      <c r="A101" s="9" t="s">
        <v>57</v>
      </c>
      <c r="B101" s="18" t="str">
        <f>_xlfn.XLOOKUP(A101,CATÁLOGO!$A$2:$A$846,CATÁLOGO!$B$2:$B$846,"FORA DO CATÁLOGO")</f>
        <v>CMS002GG</v>
      </c>
      <c r="C101" s="11">
        <v>6</v>
      </c>
      <c r="D101" s="11" t="str">
        <f>_xlfn.XLOOKUP(A101,CATÁLOGO!$A$2:$A$846,CATÁLOGO!$E$2:$E$846,"FORA DO CATÁLOGO")</f>
        <v>Ativo</v>
      </c>
      <c r="E101" s="9" t="s">
        <v>1304</v>
      </c>
      <c r="F101" s="52">
        <f>SUMIFS('AVARIA ESTIMADA'!$F$18:$F$40,'AVARIA ESTIMADA'!$A$18:$A$40,A101)</f>
        <v>0</v>
      </c>
    </row>
    <row r="102" spans="1:6" x14ac:dyDescent="0.3">
      <c r="A102" s="9" t="s">
        <v>58</v>
      </c>
      <c r="B102" s="18" t="str">
        <f>_xlfn.XLOOKUP(A102,CATÁLOGO!$A$2:$A$846,CATÁLOGO!$B$2:$B$846,"FORA DO CATÁLOGO")</f>
        <v>CMS002GGG</v>
      </c>
      <c r="C102" s="11">
        <v>4</v>
      </c>
      <c r="D102" s="11" t="str">
        <f>_xlfn.XLOOKUP(A102,CATÁLOGO!$A$2:$A$846,CATÁLOGO!$E$2:$E$846,"FORA DO CATÁLOGO")</f>
        <v>Ativo</v>
      </c>
      <c r="E102" s="9" t="s">
        <v>1305</v>
      </c>
      <c r="F102" s="52">
        <f>SUMIFS('AVARIA ESTIMADA'!$F$18:$F$40,'AVARIA ESTIMADA'!$A$18:$A$40,A102)</f>
        <v>0</v>
      </c>
    </row>
    <row r="103" spans="1:6" x14ac:dyDescent="0.3">
      <c r="A103" s="9" t="s">
        <v>59</v>
      </c>
      <c r="B103" s="18" t="str">
        <f>_xlfn.XLOOKUP(A103,CATÁLOGO!$A$2:$A$846,CATÁLOGO!$B$2:$B$846,"FORA DO CATÁLOGO")</f>
        <v>CAM003CP</v>
      </c>
      <c r="C103" s="11">
        <v>2</v>
      </c>
      <c r="D103" s="11" t="str">
        <f>_xlfn.XLOOKUP(A103,CATÁLOGO!$A$2:$A$846,CATÁLOGO!$E$2:$E$846,"FORA DO CATÁLOGO")</f>
        <v>Ativo</v>
      </c>
      <c r="E103" s="9" t="s">
        <v>1305</v>
      </c>
      <c r="F103" s="52">
        <f>SUMIFS('AVARIA ESTIMADA'!$F$18:$F$40,'AVARIA ESTIMADA'!$A$18:$A$40,A103)</f>
        <v>0</v>
      </c>
    </row>
    <row r="104" spans="1:6" x14ac:dyDescent="0.3">
      <c r="A104" s="9" t="s">
        <v>60</v>
      </c>
      <c r="B104" s="18" t="str">
        <f>_xlfn.XLOOKUP(A104,CATÁLOGO!$A$2:$A$846,CATÁLOGO!$B$2:$B$846,"FORA DO CATÁLOGO")</f>
        <v>CAM003CM</v>
      </c>
      <c r="C104" s="11">
        <v>3</v>
      </c>
      <c r="D104" s="11" t="str">
        <f>_xlfn.XLOOKUP(A104,CATÁLOGO!$A$2:$A$846,CATÁLOGO!$E$2:$E$846,"FORA DO CATÁLOGO")</f>
        <v>Ativo</v>
      </c>
      <c r="E104" s="9" t="s">
        <v>1303</v>
      </c>
      <c r="F104" s="52">
        <f>SUMIFS('AVARIA ESTIMADA'!$F$18:$F$40,'AVARIA ESTIMADA'!$A$18:$A$40,A104)</f>
        <v>0</v>
      </c>
    </row>
    <row r="105" spans="1:6" x14ac:dyDescent="0.3">
      <c r="A105" s="9" t="s">
        <v>61</v>
      </c>
      <c r="B105" s="18" t="str">
        <f>_xlfn.XLOOKUP(A105,CATÁLOGO!$A$2:$A$846,CATÁLOGO!$B$2:$B$846,"FORA DO CATÁLOGO")</f>
        <v>CAM003CG</v>
      </c>
      <c r="C105" s="11">
        <v>2</v>
      </c>
      <c r="D105" s="11" t="str">
        <f>_xlfn.XLOOKUP(A105,CATÁLOGO!$A$2:$A$846,CATÁLOGO!$E$2:$E$846,"FORA DO CATÁLOGO")</f>
        <v>Ativo</v>
      </c>
      <c r="E105" s="9" t="s">
        <v>1303</v>
      </c>
      <c r="F105" s="52">
        <f>SUMIFS('AVARIA ESTIMADA'!$F$18:$F$40,'AVARIA ESTIMADA'!$A$18:$A$40,A105)</f>
        <v>0</v>
      </c>
    </row>
    <row r="106" spans="1:6" x14ac:dyDescent="0.3">
      <c r="A106" s="9" t="s">
        <v>62</v>
      </c>
      <c r="B106" s="18" t="str">
        <f>_xlfn.XLOOKUP(A106,CATÁLOGO!$A$2:$A$846,CATÁLOGO!$B$2:$B$846,"FORA DO CATÁLOGO")</f>
        <v>CAM003CGG</v>
      </c>
      <c r="C106" s="11">
        <v>1</v>
      </c>
      <c r="D106" s="11" t="str">
        <f>_xlfn.XLOOKUP(A106,CATÁLOGO!$A$2:$A$846,CATÁLOGO!$E$2:$E$846,"FORA DO CATÁLOGO")</f>
        <v>Ativo</v>
      </c>
      <c r="E106" s="9" t="s">
        <v>1304</v>
      </c>
      <c r="F106" s="52">
        <f>SUMIFS('AVARIA ESTIMADA'!$F$18:$F$40,'AVARIA ESTIMADA'!$A$18:$A$40,A106)</f>
        <v>0</v>
      </c>
    </row>
    <row r="107" spans="1:6" x14ac:dyDescent="0.3">
      <c r="A107" s="9" t="s">
        <v>63</v>
      </c>
      <c r="B107" s="18" t="str">
        <f>_xlfn.XLOOKUP(A107,CATÁLOGO!$A$2:$A$846,CATÁLOGO!$B$2:$B$846,"FORA DO CATÁLOGO")</f>
        <v>CAM003AP</v>
      </c>
      <c r="C107" s="11">
        <v>1</v>
      </c>
      <c r="D107" s="11" t="str">
        <f>_xlfn.XLOOKUP(A107,CATÁLOGO!$A$2:$A$846,CATÁLOGO!$E$2:$E$846,"FORA DO CATÁLOGO")</f>
        <v>Ativo</v>
      </c>
      <c r="E107" s="9" t="s">
        <v>1305</v>
      </c>
      <c r="F107" s="52">
        <f>SUMIFS('AVARIA ESTIMADA'!$F$18:$F$40,'AVARIA ESTIMADA'!$A$18:$A$40,A107)</f>
        <v>0</v>
      </c>
    </row>
    <row r="108" spans="1:6" x14ac:dyDescent="0.3">
      <c r="A108" s="9" t="s">
        <v>64</v>
      </c>
      <c r="B108" s="18" t="str">
        <f>_xlfn.XLOOKUP(A108,CATÁLOGO!$A$2:$A$846,CATÁLOGO!$B$2:$B$846,"FORA DO CATÁLOGO")</f>
        <v>CAM003AM</v>
      </c>
      <c r="C108" s="11">
        <v>2</v>
      </c>
      <c r="D108" s="11" t="str">
        <f>_xlfn.XLOOKUP(A108,CATÁLOGO!$A$2:$A$846,CATÁLOGO!$E$2:$E$846,"FORA DO CATÁLOGO")</f>
        <v>Ativo</v>
      </c>
      <c r="E108" s="9" t="s">
        <v>1303</v>
      </c>
      <c r="F108" s="52">
        <f>SUMIFS('AVARIA ESTIMADA'!$F$18:$F$40,'AVARIA ESTIMADA'!$A$18:$A$40,A108)</f>
        <v>0</v>
      </c>
    </row>
    <row r="109" spans="1:6" x14ac:dyDescent="0.3">
      <c r="A109" s="9" t="s">
        <v>65</v>
      </c>
      <c r="B109" s="18" t="str">
        <f>_xlfn.XLOOKUP(A109,CATÁLOGO!$A$2:$A$846,CATÁLOGO!$B$2:$B$846,"FORA DO CATÁLOGO")</f>
        <v>CAM003AG</v>
      </c>
      <c r="C109" s="11">
        <v>2</v>
      </c>
      <c r="D109" s="11" t="str">
        <f>_xlfn.XLOOKUP(A109,CATÁLOGO!$A$2:$A$846,CATÁLOGO!$E$2:$E$846,"FORA DO CATÁLOGO")</f>
        <v>Ativo</v>
      </c>
      <c r="E109" s="9" t="s">
        <v>1305</v>
      </c>
      <c r="F109" s="52">
        <f>SUMIFS('AVARIA ESTIMADA'!$F$18:$F$40,'AVARIA ESTIMADA'!$A$18:$A$40,A109)</f>
        <v>0</v>
      </c>
    </row>
    <row r="110" spans="1:6" x14ac:dyDescent="0.3">
      <c r="A110" s="9" t="s">
        <v>66</v>
      </c>
      <c r="B110" s="18" t="str">
        <f>_xlfn.XLOOKUP(A110,CATÁLOGO!$A$2:$A$846,CATÁLOGO!$B$2:$B$846,"FORA DO CATÁLOGO")</f>
        <v>CAM003AGG</v>
      </c>
      <c r="C110" s="11">
        <v>1</v>
      </c>
      <c r="D110" s="11" t="str">
        <f>_xlfn.XLOOKUP(A110,CATÁLOGO!$A$2:$A$846,CATÁLOGO!$E$2:$E$846,"FORA DO CATÁLOGO")</f>
        <v>Ativo</v>
      </c>
      <c r="E110" s="9" t="s">
        <v>1305</v>
      </c>
      <c r="F110" s="52">
        <f>SUMIFS('AVARIA ESTIMADA'!$F$18:$F$40,'AVARIA ESTIMADA'!$A$18:$A$40,A110)</f>
        <v>0</v>
      </c>
    </row>
    <row r="111" spans="1:6" x14ac:dyDescent="0.3">
      <c r="A111" s="9" t="s">
        <v>67</v>
      </c>
      <c r="B111" s="18" t="str">
        <f>_xlfn.XLOOKUP(A111,CATÁLOGO!$A$2:$A$846,CATÁLOGO!$B$2:$B$846,"FORA DO CATÁLOGO")</f>
        <v>MOL004BP</v>
      </c>
      <c r="C111" s="11">
        <v>4</v>
      </c>
      <c r="D111" s="11" t="str">
        <f>_xlfn.XLOOKUP(A111,CATÁLOGO!$A$2:$A$846,CATÁLOGO!$E$2:$E$846,"FORA DO CATÁLOGO")</f>
        <v>Ativo</v>
      </c>
      <c r="E111" s="9" t="s">
        <v>1305</v>
      </c>
      <c r="F111" s="52">
        <f>SUMIFS('AVARIA ESTIMADA'!$F$18:$F$40,'AVARIA ESTIMADA'!$A$18:$A$40,A111)</f>
        <v>0</v>
      </c>
    </row>
    <row r="112" spans="1:6" x14ac:dyDescent="0.3">
      <c r="A112" s="9" t="s">
        <v>68</v>
      </c>
      <c r="B112" s="18" t="str">
        <f>_xlfn.XLOOKUP(A112,CATÁLOGO!$A$2:$A$846,CATÁLOGO!$B$2:$B$846,"FORA DO CATÁLOGO")</f>
        <v>MOL004BM</v>
      </c>
      <c r="C112" s="11">
        <v>7</v>
      </c>
      <c r="D112" s="11" t="str">
        <f>_xlfn.XLOOKUP(A112,CATÁLOGO!$A$2:$A$846,CATÁLOGO!$E$2:$E$846,"FORA DO CATÁLOGO")</f>
        <v>Ativo</v>
      </c>
      <c r="E112" s="9" t="s">
        <v>1305</v>
      </c>
      <c r="F112" s="52">
        <f>SUMIFS('AVARIA ESTIMADA'!$F$18:$F$40,'AVARIA ESTIMADA'!$A$18:$A$40,A112)</f>
        <v>0</v>
      </c>
    </row>
    <row r="113" spans="1:6" x14ac:dyDescent="0.3">
      <c r="A113" s="9" t="s">
        <v>69</v>
      </c>
      <c r="B113" s="18" t="str">
        <f>_xlfn.XLOOKUP(A113,CATÁLOGO!$A$2:$A$846,CATÁLOGO!$B$2:$B$846,"FORA DO CATÁLOGO")</f>
        <v>MOL004BG</v>
      </c>
      <c r="C113" s="11">
        <v>4</v>
      </c>
      <c r="D113" s="11" t="str">
        <f>_xlfn.XLOOKUP(A113,CATÁLOGO!$A$2:$A$846,CATÁLOGO!$E$2:$E$846,"FORA DO CATÁLOGO")</f>
        <v>Ativo</v>
      </c>
      <c r="E113" s="9" t="s">
        <v>1303</v>
      </c>
      <c r="F113" s="52">
        <f>SUMIFS('AVARIA ESTIMADA'!$F$18:$F$40,'AVARIA ESTIMADA'!$A$18:$A$40,A113)</f>
        <v>0</v>
      </c>
    </row>
    <row r="114" spans="1:6" x14ac:dyDescent="0.3">
      <c r="A114" s="9" t="s">
        <v>70</v>
      </c>
      <c r="B114" s="18" t="str">
        <f>_xlfn.XLOOKUP(A114,CATÁLOGO!$A$2:$A$846,CATÁLOGO!$B$2:$B$846,"FORA DO CATÁLOGO")</f>
        <v>MOL004BGG</v>
      </c>
      <c r="C114" s="11">
        <v>2</v>
      </c>
      <c r="D114" s="11" t="str">
        <f>_xlfn.XLOOKUP(A114,CATÁLOGO!$A$2:$A$846,CATÁLOGO!$E$2:$E$846,"FORA DO CATÁLOGO")</f>
        <v>Ativo</v>
      </c>
      <c r="E114" s="9" t="s">
        <v>1303</v>
      </c>
      <c r="F114" s="52">
        <f>SUMIFS('AVARIA ESTIMADA'!$F$18:$F$40,'AVARIA ESTIMADA'!$A$18:$A$40,A114)</f>
        <v>0</v>
      </c>
    </row>
    <row r="115" spans="1:6" x14ac:dyDescent="0.3">
      <c r="A115" s="9" t="s">
        <v>71</v>
      </c>
      <c r="B115" s="18" t="str">
        <f>_xlfn.XLOOKUP(A115,CATÁLOGO!$A$2:$A$846,CATÁLOGO!$B$2:$B$846,"FORA DO CATÁLOGO")</f>
        <v>CAM004BP</v>
      </c>
      <c r="C115" s="11">
        <v>3</v>
      </c>
      <c r="D115" s="11" t="str">
        <f>_xlfn.XLOOKUP(A115,CATÁLOGO!$A$2:$A$846,CATÁLOGO!$E$2:$E$846,"FORA DO CATÁLOGO")</f>
        <v>Ativo</v>
      </c>
      <c r="E115" s="9" t="s">
        <v>1304</v>
      </c>
      <c r="F115" s="52">
        <f>SUMIFS('AVARIA ESTIMADA'!$F$18:$F$40,'AVARIA ESTIMADA'!$A$18:$A$40,A115)</f>
        <v>0</v>
      </c>
    </row>
    <row r="116" spans="1:6" x14ac:dyDescent="0.3">
      <c r="A116" s="9" t="s">
        <v>72</v>
      </c>
      <c r="B116" s="18" t="str">
        <f>_xlfn.XLOOKUP(A116,CATÁLOGO!$A$2:$A$846,CATÁLOGO!$B$2:$B$846,"FORA DO CATÁLOGO")</f>
        <v>CAM004BM</v>
      </c>
      <c r="C116" s="11">
        <v>4</v>
      </c>
      <c r="D116" s="11" t="str">
        <f>_xlfn.XLOOKUP(A116,CATÁLOGO!$A$2:$A$846,CATÁLOGO!$E$2:$E$846,"FORA DO CATÁLOGO")</f>
        <v>Ativo</v>
      </c>
      <c r="E116" s="9" t="s">
        <v>1305</v>
      </c>
      <c r="F116" s="52">
        <f>SUMIFS('AVARIA ESTIMADA'!$F$18:$F$40,'AVARIA ESTIMADA'!$A$18:$A$40,A116)</f>
        <v>0</v>
      </c>
    </row>
    <row r="117" spans="1:6" x14ac:dyDescent="0.3">
      <c r="A117" s="9" t="s">
        <v>73</v>
      </c>
      <c r="B117" s="18" t="str">
        <f>_xlfn.XLOOKUP(A117,CATÁLOGO!$A$2:$A$846,CATÁLOGO!$B$2:$B$846,"FORA DO CATÁLOGO")</f>
        <v>CAM004BG</v>
      </c>
      <c r="C117" s="11">
        <v>3</v>
      </c>
      <c r="D117" s="11" t="str">
        <f>_xlfn.XLOOKUP(A117,CATÁLOGO!$A$2:$A$846,CATÁLOGO!$E$2:$E$846,"FORA DO CATÁLOGO")</f>
        <v>Ativo</v>
      </c>
      <c r="E117" s="9" t="s">
        <v>1305</v>
      </c>
      <c r="F117" s="52">
        <f>SUMIFS('AVARIA ESTIMADA'!$F$18:$F$40,'AVARIA ESTIMADA'!$A$18:$A$40,A117)</f>
        <v>0</v>
      </c>
    </row>
    <row r="118" spans="1:6" x14ac:dyDescent="0.3">
      <c r="A118" s="9" t="s">
        <v>1250</v>
      </c>
      <c r="B118" s="18" t="str">
        <f>_xlfn.XLOOKUP(A118,CATÁLOGO!$A$2:$A$846,CATÁLOGO!$B$2:$B$846,"FORA DO CATÁLOGO")</f>
        <v>CAM004BGG</v>
      </c>
      <c r="C118" s="11">
        <v>2</v>
      </c>
      <c r="D118" s="11" t="str">
        <f>_xlfn.XLOOKUP(A118,CATÁLOGO!$A$2:$A$846,CATÁLOGO!$E$2:$E$846,"FORA DO CATÁLOGO")</f>
        <v>Ativo</v>
      </c>
      <c r="E118" s="9" t="s">
        <v>1305</v>
      </c>
      <c r="F118" s="52">
        <f>SUMIFS('AVARIA ESTIMADA'!$F$18:$F$40,'AVARIA ESTIMADA'!$A$18:$A$40,A118)</f>
        <v>0</v>
      </c>
    </row>
    <row r="119" spans="1:6" x14ac:dyDescent="0.3">
      <c r="A119" s="9" t="s">
        <v>74</v>
      </c>
      <c r="B119" s="18" t="str">
        <f>_xlfn.XLOOKUP(A119,CATÁLOGO!$A$2:$A$846,CATÁLOGO!$B$2:$B$846,"FORA DO CATÁLOGO")</f>
        <v>CAM004CP</v>
      </c>
      <c r="C119" s="11">
        <v>2</v>
      </c>
      <c r="D119" s="11" t="str">
        <f>_xlfn.XLOOKUP(A119,CATÁLOGO!$A$2:$A$846,CATÁLOGO!$E$2:$E$846,"FORA DO CATÁLOGO")</f>
        <v>Ativo</v>
      </c>
      <c r="E119" s="9" t="s">
        <v>1305</v>
      </c>
      <c r="F119" s="52">
        <f>SUMIFS('AVARIA ESTIMADA'!$F$18:$F$40,'AVARIA ESTIMADA'!$A$18:$A$40,A119)</f>
        <v>0</v>
      </c>
    </row>
    <row r="120" spans="1:6" x14ac:dyDescent="0.3">
      <c r="A120" s="9" t="s">
        <v>75</v>
      </c>
      <c r="B120" s="18" t="str">
        <f>_xlfn.XLOOKUP(A120,CATÁLOGO!$A$2:$A$846,CATÁLOGO!$B$2:$B$846,"FORA DO CATÁLOGO")</f>
        <v>CAM004CM</v>
      </c>
      <c r="C120" s="11">
        <v>2</v>
      </c>
      <c r="D120" s="11" t="str">
        <f>_xlfn.XLOOKUP(A120,CATÁLOGO!$A$2:$A$846,CATÁLOGO!$E$2:$E$846,"FORA DO CATÁLOGO")</f>
        <v>Ativo</v>
      </c>
      <c r="E120" s="9" t="s">
        <v>1305</v>
      </c>
      <c r="F120" s="52">
        <f>SUMIFS('AVARIA ESTIMADA'!$F$18:$F$40,'AVARIA ESTIMADA'!$A$18:$A$40,A120)</f>
        <v>0</v>
      </c>
    </row>
    <row r="121" spans="1:6" x14ac:dyDescent="0.3">
      <c r="A121" s="9" t="s">
        <v>76</v>
      </c>
      <c r="B121" s="18" t="str">
        <f>_xlfn.XLOOKUP(A121,CATÁLOGO!$A$2:$A$846,CATÁLOGO!$B$2:$B$846,"FORA DO CATÁLOGO")</f>
        <v>CAM004CG</v>
      </c>
      <c r="C121" s="11">
        <v>2</v>
      </c>
      <c r="D121" s="11" t="str">
        <f>_xlfn.XLOOKUP(A121,CATÁLOGO!$A$2:$A$846,CATÁLOGO!$E$2:$E$846,"FORA DO CATÁLOGO")</f>
        <v>Ativo</v>
      </c>
      <c r="E121" s="9" t="s">
        <v>1304</v>
      </c>
      <c r="F121" s="52">
        <f>SUMIFS('AVARIA ESTIMADA'!$F$18:$F$40,'AVARIA ESTIMADA'!$A$18:$A$40,A121)</f>
        <v>0</v>
      </c>
    </row>
    <row r="122" spans="1:6" x14ac:dyDescent="0.3">
      <c r="A122" s="9" t="s">
        <v>77</v>
      </c>
      <c r="B122" s="18" t="str">
        <f>_xlfn.XLOOKUP(A122,CATÁLOGO!$A$2:$A$846,CATÁLOGO!$B$2:$B$846,"FORA DO CATÁLOGO")</f>
        <v>CAM004CGG</v>
      </c>
      <c r="C122" s="11">
        <v>1</v>
      </c>
      <c r="D122" s="11" t="str">
        <f>_xlfn.XLOOKUP(A122,CATÁLOGO!$A$2:$A$846,CATÁLOGO!$E$2:$E$846,"FORA DO CATÁLOGO")</f>
        <v>Ativo</v>
      </c>
      <c r="E122" s="9" t="s">
        <v>1305</v>
      </c>
      <c r="F122" s="52">
        <f>SUMIFS('AVARIA ESTIMADA'!$F$18:$F$40,'AVARIA ESTIMADA'!$A$18:$A$40,A122)</f>
        <v>0</v>
      </c>
    </row>
    <row r="123" spans="1:6" x14ac:dyDescent="0.3">
      <c r="A123" s="9" t="s">
        <v>78</v>
      </c>
      <c r="B123" s="18" t="str">
        <f>_xlfn.XLOOKUP(A123,CATÁLOGO!$A$2:$A$846,CATÁLOGO!$B$2:$B$846,"FORA DO CATÁLOGO")</f>
        <v>CAM004PP</v>
      </c>
      <c r="C123" s="11">
        <v>2</v>
      </c>
      <c r="D123" s="11" t="str">
        <f>_xlfn.XLOOKUP(A123,CATÁLOGO!$A$2:$A$846,CATÁLOGO!$E$2:$E$846,"FORA DO CATÁLOGO")</f>
        <v>Ativo</v>
      </c>
      <c r="E123" s="9" t="s">
        <v>1304</v>
      </c>
      <c r="F123" s="52">
        <f>SUMIFS('AVARIA ESTIMADA'!$F$18:$F$40,'AVARIA ESTIMADA'!$A$18:$A$40,A123)</f>
        <v>0</v>
      </c>
    </row>
    <row r="124" spans="1:6" x14ac:dyDescent="0.3">
      <c r="A124" s="9" t="s">
        <v>79</v>
      </c>
      <c r="B124" s="18" t="str">
        <f>_xlfn.XLOOKUP(A124,CATÁLOGO!$A$2:$A$846,CATÁLOGO!$B$2:$B$846,"FORA DO CATÁLOGO")</f>
        <v>CAM004PM</v>
      </c>
      <c r="C124" s="11">
        <v>3</v>
      </c>
      <c r="D124" s="11" t="str">
        <f>_xlfn.XLOOKUP(A124,CATÁLOGO!$A$2:$A$846,CATÁLOGO!$E$2:$E$846,"FORA DO CATÁLOGO")</f>
        <v>Ativo</v>
      </c>
      <c r="E124" s="9" t="s">
        <v>1304</v>
      </c>
      <c r="F124" s="52">
        <f>SUMIFS('AVARIA ESTIMADA'!$F$18:$F$40,'AVARIA ESTIMADA'!$A$18:$A$40,A124)</f>
        <v>2</v>
      </c>
    </row>
    <row r="125" spans="1:6" x14ac:dyDescent="0.3">
      <c r="A125" s="9" t="s">
        <v>80</v>
      </c>
      <c r="B125" s="18" t="str">
        <f>_xlfn.XLOOKUP(A125,CATÁLOGO!$A$2:$A$846,CATÁLOGO!$B$2:$B$846,"FORA DO CATÁLOGO")</f>
        <v>CAM004PG</v>
      </c>
      <c r="C125" s="11">
        <v>2</v>
      </c>
      <c r="D125" s="11" t="str">
        <f>_xlfn.XLOOKUP(A125,CATÁLOGO!$A$2:$A$846,CATÁLOGO!$E$2:$E$846,"FORA DO CATÁLOGO")</f>
        <v>Ativo</v>
      </c>
      <c r="E125" s="9" t="s">
        <v>1304</v>
      </c>
      <c r="F125" s="52">
        <f>SUMIFS('AVARIA ESTIMADA'!$F$18:$F$40,'AVARIA ESTIMADA'!$A$18:$A$40,A125)</f>
        <v>0</v>
      </c>
    </row>
    <row r="126" spans="1:6" x14ac:dyDescent="0.3">
      <c r="A126" s="9" t="s">
        <v>81</v>
      </c>
      <c r="B126" s="18" t="str">
        <f>_xlfn.XLOOKUP(A126,CATÁLOGO!$A$2:$A$846,CATÁLOGO!$B$2:$B$846,"FORA DO CATÁLOGO")</f>
        <v>CAM004PGG</v>
      </c>
      <c r="C126" s="11">
        <v>1</v>
      </c>
      <c r="D126" s="11" t="str">
        <f>_xlfn.XLOOKUP(A126,CATÁLOGO!$A$2:$A$846,CATÁLOGO!$E$2:$E$846,"FORA DO CATÁLOGO")</f>
        <v>Ativo</v>
      </c>
      <c r="E126" s="9" t="s">
        <v>1305</v>
      </c>
      <c r="F126" s="52">
        <f>SUMIFS('AVARIA ESTIMADA'!$F$18:$F$40,'AVARIA ESTIMADA'!$A$18:$A$40,A126)</f>
        <v>0</v>
      </c>
    </row>
    <row r="127" spans="1:6" x14ac:dyDescent="0.3">
      <c r="A127" s="9" t="s">
        <v>82</v>
      </c>
      <c r="B127" s="18" t="str">
        <f>_xlfn.XLOOKUP(A127,CATÁLOGO!$A$2:$A$846,CATÁLOGO!$B$2:$B$846,"FORA DO CATÁLOGO")</f>
        <v>TOP003BP</v>
      </c>
      <c r="C127" s="11">
        <v>5</v>
      </c>
      <c r="D127" s="11" t="str">
        <f>_xlfn.XLOOKUP(A127,CATÁLOGO!$A$2:$A$846,CATÁLOGO!$E$2:$E$846,"FORA DO CATÁLOGO")</f>
        <v>Ativo</v>
      </c>
      <c r="E127" s="9" t="s">
        <v>2000</v>
      </c>
      <c r="F127" s="52">
        <f>SUMIFS('AVARIA ESTIMADA'!$F$18:$F$40,'AVARIA ESTIMADA'!$A$18:$A$40,A127)</f>
        <v>0</v>
      </c>
    </row>
    <row r="128" spans="1:6" x14ac:dyDescent="0.3">
      <c r="A128" s="9" t="s">
        <v>83</v>
      </c>
      <c r="B128" s="18" t="str">
        <f>_xlfn.XLOOKUP(A128,CATÁLOGO!$A$2:$A$846,CATÁLOGO!$B$2:$B$846,"FORA DO CATÁLOGO")</f>
        <v>TOP003BM</v>
      </c>
      <c r="C128" s="11">
        <v>5</v>
      </c>
      <c r="D128" s="11" t="str">
        <f>_xlfn.XLOOKUP(A128,CATÁLOGO!$A$2:$A$846,CATÁLOGO!$E$2:$E$846,"FORA DO CATÁLOGO")</f>
        <v>Ativo</v>
      </c>
      <c r="E128" s="9" t="s">
        <v>1305</v>
      </c>
      <c r="F128" s="52">
        <f>SUMIFS('AVARIA ESTIMADA'!$F$18:$F$40,'AVARIA ESTIMADA'!$A$18:$A$40,A128)</f>
        <v>0</v>
      </c>
    </row>
    <row r="129" spans="1:6" x14ac:dyDescent="0.3">
      <c r="A129" s="9" t="s">
        <v>84</v>
      </c>
      <c r="B129" s="18" t="str">
        <f>_xlfn.XLOOKUP(A129,CATÁLOGO!$A$2:$A$846,CATÁLOGO!$B$2:$B$846,"FORA DO CATÁLOGO")</f>
        <v>TOP003BG</v>
      </c>
      <c r="C129" s="11">
        <v>6</v>
      </c>
      <c r="D129" s="11" t="str">
        <f>_xlfn.XLOOKUP(A129,CATÁLOGO!$A$2:$A$846,CATÁLOGO!$E$2:$E$846,"FORA DO CATÁLOGO")</f>
        <v>Ativo</v>
      </c>
      <c r="E129" s="9" t="s">
        <v>1303</v>
      </c>
      <c r="F129" s="52">
        <f>SUMIFS('AVARIA ESTIMADA'!$F$18:$F$40,'AVARIA ESTIMADA'!$A$18:$A$40,A129)</f>
        <v>0</v>
      </c>
    </row>
    <row r="130" spans="1:6" x14ac:dyDescent="0.3">
      <c r="A130" s="9" t="s">
        <v>85</v>
      </c>
      <c r="B130" s="18" t="str">
        <f>_xlfn.XLOOKUP(A130,CATÁLOGO!$A$2:$A$846,CATÁLOGO!$B$2:$B$846,"FORA DO CATÁLOGO")</f>
        <v>TOP003BGG</v>
      </c>
      <c r="C130" s="11">
        <v>3</v>
      </c>
      <c r="D130" s="11" t="str">
        <f>_xlfn.XLOOKUP(A130,CATÁLOGO!$A$2:$A$846,CATÁLOGO!$E$2:$E$846,"FORA DO CATÁLOGO")</f>
        <v>Ativo</v>
      </c>
      <c r="E130" s="9" t="s">
        <v>1303</v>
      </c>
      <c r="F130" s="52">
        <f>SUMIFS('AVARIA ESTIMADA'!$F$18:$F$40,'AVARIA ESTIMADA'!$A$18:$A$40,A130)</f>
        <v>0</v>
      </c>
    </row>
    <row r="131" spans="1:6" x14ac:dyDescent="0.3">
      <c r="A131" s="9" t="s">
        <v>1767</v>
      </c>
      <c r="B131" s="18" t="str">
        <f>_xlfn.XLOOKUP(A131,CATÁLOGO!$A$2:$A$846,CATÁLOGO!$B$2:$B$846,"FORA DO CATÁLOGO")</f>
        <v>CMS003BPP</v>
      </c>
      <c r="C131" s="11">
        <v>1</v>
      </c>
      <c r="D131" s="11" t="str">
        <f>_xlfn.XLOOKUP(A131,CATÁLOGO!$A$2:$A$846,CATÁLOGO!$E$2:$E$846,"FORA DO CATÁLOGO")</f>
        <v>Ativo</v>
      </c>
      <c r="E131" s="9" t="s">
        <v>1304</v>
      </c>
      <c r="F131" s="52">
        <f>SUMIFS('AVARIA ESTIMADA'!$F$18:$F$40,'AVARIA ESTIMADA'!$A$18:$A$40,A131)</f>
        <v>0</v>
      </c>
    </row>
    <row r="132" spans="1:6" x14ac:dyDescent="0.3">
      <c r="A132" s="9" t="s">
        <v>86</v>
      </c>
      <c r="B132" s="18" t="str">
        <f>_xlfn.XLOOKUP(A132,CATÁLOGO!$A$2:$A$846,CATÁLOGO!$B$2:$B$846,"FORA DO CATÁLOGO")</f>
        <v>CMS003BP</v>
      </c>
      <c r="C132" s="11">
        <v>4</v>
      </c>
      <c r="D132" s="11" t="str">
        <f>_xlfn.XLOOKUP(A132,CATÁLOGO!$A$2:$A$846,CATÁLOGO!$E$2:$E$846,"FORA DO CATÁLOGO")</f>
        <v>Ativo</v>
      </c>
      <c r="E132" s="9" t="s">
        <v>1304</v>
      </c>
      <c r="F132" s="52">
        <f>SUMIFS('AVARIA ESTIMADA'!$F$18:$F$40,'AVARIA ESTIMADA'!$A$18:$A$40,A132)</f>
        <v>0</v>
      </c>
    </row>
    <row r="133" spans="1:6" x14ac:dyDescent="0.3">
      <c r="A133" s="9" t="s">
        <v>87</v>
      </c>
      <c r="B133" s="18" t="str">
        <f>_xlfn.XLOOKUP(A133,CATÁLOGO!$A$2:$A$846,CATÁLOGO!$B$2:$B$846,"FORA DO CATÁLOGO")</f>
        <v>CMS003BM</v>
      </c>
      <c r="C133" s="11">
        <v>6</v>
      </c>
      <c r="D133" s="11" t="str">
        <f>_xlfn.XLOOKUP(A133,CATÁLOGO!$A$2:$A$846,CATÁLOGO!$E$2:$E$846,"FORA DO CATÁLOGO")</f>
        <v>Ativo</v>
      </c>
      <c r="E133" s="9" t="s">
        <v>1303</v>
      </c>
      <c r="F133" s="52">
        <f>SUMIFS('AVARIA ESTIMADA'!$F$18:$F$40,'AVARIA ESTIMADA'!$A$18:$A$40,A133)</f>
        <v>0</v>
      </c>
    </row>
    <row r="134" spans="1:6" x14ac:dyDescent="0.3">
      <c r="A134" s="9" t="s">
        <v>88</v>
      </c>
      <c r="B134" s="18" t="str">
        <f>_xlfn.XLOOKUP(A134,CATÁLOGO!$A$2:$A$846,CATÁLOGO!$B$2:$B$846,"FORA DO CATÁLOGO")</f>
        <v>CMS003BG</v>
      </c>
      <c r="C134" s="11">
        <v>5</v>
      </c>
      <c r="D134" s="11" t="str">
        <f>_xlfn.XLOOKUP(A134,CATÁLOGO!$A$2:$A$846,CATÁLOGO!$E$2:$E$846,"FORA DO CATÁLOGO")</f>
        <v>Ativo</v>
      </c>
      <c r="E134" s="9" t="s">
        <v>1303</v>
      </c>
      <c r="F134" s="52">
        <f>SUMIFS('AVARIA ESTIMADA'!$F$18:$F$40,'AVARIA ESTIMADA'!$A$18:$A$40,A134)</f>
        <v>0</v>
      </c>
    </row>
    <row r="135" spans="1:6" x14ac:dyDescent="0.3">
      <c r="A135" s="9" t="s">
        <v>1251</v>
      </c>
      <c r="B135" s="18" t="str">
        <f>_xlfn.XLOOKUP(A135,CATÁLOGO!$A$2:$A$846,CATÁLOGO!$B$2:$B$846,"FORA DO CATÁLOGO")</f>
        <v>CMS003BGG</v>
      </c>
      <c r="C135" s="11">
        <v>3</v>
      </c>
      <c r="D135" s="11" t="str">
        <f>_xlfn.XLOOKUP(A135,CATÁLOGO!$A$2:$A$846,CATÁLOGO!$E$2:$E$846,"FORA DO CATÁLOGO")</f>
        <v>Ativo</v>
      </c>
      <c r="E135" s="9" t="s">
        <v>1304</v>
      </c>
      <c r="F135" s="52">
        <f>SUMIFS('AVARIA ESTIMADA'!$F$18:$F$40,'AVARIA ESTIMADA'!$A$18:$A$40,A135)</f>
        <v>0</v>
      </c>
    </row>
    <row r="136" spans="1:6" x14ac:dyDescent="0.3">
      <c r="A136" s="9" t="s">
        <v>1829</v>
      </c>
      <c r="B136" s="18" t="str">
        <f>_xlfn.XLOOKUP(A136,CATÁLOGO!$A$2:$A$846,CATÁLOGO!$B$2:$B$846,"FORA DO CATÁLOGO")</f>
        <v>MOL005OPP</v>
      </c>
      <c r="C136" s="11">
        <v>2</v>
      </c>
      <c r="D136" s="11" t="str">
        <f>_xlfn.XLOOKUP(A136,CATÁLOGO!$A$2:$A$846,CATÁLOGO!$E$2:$E$846,"FORA DO CATÁLOGO")</f>
        <v>Ativo</v>
      </c>
      <c r="E136" s="9" t="s">
        <v>1303</v>
      </c>
      <c r="F136" s="52">
        <f>SUMIFS('AVARIA ESTIMADA'!$F$18:$F$40,'AVARIA ESTIMADA'!$A$18:$A$40,A136)</f>
        <v>0</v>
      </c>
    </row>
    <row r="137" spans="1:6" x14ac:dyDescent="0.3">
      <c r="A137" s="9" t="s">
        <v>89</v>
      </c>
      <c r="B137" s="18" t="str">
        <f>_xlfn.XLOOKUP(A137,CATÁLOGO!$A$2:$A$846,CATÁLOGO!$B$2:$B$846,"FORA DO CATÁLOGO")</f>
        <v>MOL005OP</v>
      </c>
      <c r="C137" s="11">
        <v>6</v>
      </c>
      <c r="D137" s="11" t="str">
        <f>_xlfn.XLOOKUP(A137,CATÁLOGO!$A$2:$A$846,CATÁLOGO!$E$2:$E$846,"FORA DO CATÁLOGO")</f>
        <v>Ativo</v>
      </c>
      <c r="E137" s="9" t="s">
        <v>1303</v>
      </c>
      <c r="F137" s="52">
        <f>SUMIFS('AVARIA ESTIMADA'!$F$18:$F$40,'AVARIA ESTIMADA'!$A$18:$A$40,A137)</f>
        <v>0</v>
      </c>
    </row>
    <row r="138" spans="1:6" x14ac:dyDescent="0.3">
      <c r="A138" s="9" t="s">
        <v>90</v>
      </c>
      <c r="B138" s="18" t="str">
        <f>_xlfn.XLOOKUP(A138,CATÁLOGO!$A$2:$A$846,CATÁLOGO!$B$2:$B$846,"FORA DO CATÁLOGO")</f>
        <v>MOL005OM</v>
      </c>
      <c r="C138" s="11">
        <v>6</v>
      </c>
      <c r="D138" s="11" t="str">
        <f>_xlfn.XLOOKUP(A138,CATÁLOGO!$A$2:$A$846,CATÁLOGO!$E$2:$E$846,"FORA DO CATÁLOGO")</f>
        <v>Ativo</v>
      </c>
      <c r="E138" s="9" t="s">
        <v>1304</v>
      </c>
      <c r="F138" s="52">
        <f>SUMIFS('AVARIA ESTIMADA'!$F$18:$F$40,'AVARIA ESTIMADA'!$A$18:$A$40,A138)</f>
        <v>0</v>
      </c>
    </row>
    <row r="139" spans="1:6" x14ac:dyDescent="0.3">
      <c r="A139" s="9" t="s">
        <v>91</v>
      </c>
      <c r="B139" s="18" t="str">
        <f>_xlfn.XLOOKUP(A139,CATÁLOGO!$A$2:$A$846,CATÁLOGO!$B$2:$B$846,"FORA DO CATÁLOGO")</f>
        <v>MOL005OG</v>
      </c>
      <c r="C139" s="11">
        <v>5</v>
      </c>
      <c r="D139" s="11" t="str">
        <f>_xlfn.XLOOKUP(A139,CATÁLOGO!$A$2:$A$846,CATÁLOGO!$E$2:$E$846,"FORA DO CATÁLOGO")</f>
        <v>Ativo</v>
      </c>
      <c r="E139" s="9" t="s">
        <v>1304</v>
      </c>
      <c r="F139" s="52">
        <f>SUMIFS('AVARIA ESTIMADA'!$F$18:$F$40,'AVARIA ESTIMADA'!$A$18:$A$40,A139)</f>
        <v>0</v>
      </c>
    </row>
    <row r="140" spans="1:6" x14ac:dyDescent="0.3">
      <c r="A140" s="9" t="s">
        <v>92</v>
      </c>
      <c r="B140" s="18" t="str">
        <f>_xlfn.XLOOKUP(A140,CATÁLOGO!$A$2:$A$846,CATÁLOGO!$B$2:$B$846,"FORA DO CATÁLOGO")</f>
        <v>MOL005OGG</v>
      </c>
      <c r="C140" s="11">
        <v>3</v>
      </c>
      <c r="D140" s="11" t="str">
        <f>_xlfn.XLOOKUP(A140,CATÁLOGO!$A$2:$A$846,CATÁLOGO!$E$2:$E$846,"FORA DO CATÁLOGO")</f>
        <v>Ativo</v>
      </c>
      <c r="E140" s="9" t="s">
        <v>1303</v>
      </c>
      <c r="F140" s="52">
        <f>SUMIFS('AVARIA ESTIMADA'!$F$18:$F$40,'AVARIA ESTIMADA'!$A$18:$A$40,A140)</f>
        <v>0</v>
      </c>
    </row>
    <row r="141" spans="1:6" x14ac:dyDescent="0.3">
      <c r="A141" s="9" t="s">
        <v>93</v>
      </c>
      <c r="B141" s="18" t="str">
        <f>_xlfn.XLOOKUP(A141,CATÁLOGO!$A$2:$A$846,CATÁLOGO!$B$2:$B$846,"FORA DO CATÁLOGO")</f>
        <v>CAM005OP</v>
      </c>
      <c r="C141" s="11">
        <v>5</v>
      </c>
      <c r="D141" s="11" t="str">
        <f>_xlfn.XLOOKUP(A141,CATÁLOGO!$A$2:$A$846,CATÁLOGO!$E$2:$E$846,"FORA DO CATÁLOGO")</f>
        <v>Ativo</v>
      </c>
      <c r="E141" s="9" t="s">
        <v>1304</v>
      </c>
      <c r="F141" s="52">
        <f>SUMIFS('AVARIA ESTIMADA'!$F$18:$F$40,'AVARIA ESTIMADA'!$A$18:$A$40,A141)</f>
        <v>0</v>
      </c>
    </row>
    <row r="142" spans="1:6" x14ac:dyDescent="0.3">
      <c r="A142" s="9" t="s">
        <v>94</v>
      </c>
      <c r="B142" s="18" t="str">
        <f>_xlfn.XLOOKUP(A142,CATÁLOGO!$A$2:$A$846,CATÁLOGO!$B$2:$B$846,"FORA DO CATÁLOGO")</f>
        <v>CAM005OM</v>
      </c>
      <c r="C142" s="11">
        <v>6</v>
      </c>
      <c r="D142" s="11" t="str">
        <f>_xlfn.XLOOKUP(A142,CATÁLOGO!$A$2:$A$846,CATÁLOGO!$E$2:$E$846,"FORA DO CATÁLOGO")</f>
        <v>Ativo</v>
      </c>
      <c r="E142" s="9" t="s">
        <v>1305</v>
      </c>
      <c r="F142" s="52">
        <f>SUMIFS('AVARIA ESTIMADA'!$F$18:$F$40,'AVARIA ESTIMADA'!$A$18:$A$40,A142)</f>
        <v>0</v>
      </c>
    </row>
    <row r="143" spans="1:6" x14ac:dyDescent="0.3">
      <c r="A143" s="9" t="s">
        <v>95</v>
      </c>
      <c r="B143" s="18" t="str">
        <f>_xlfn.XLOOKUP(A143,CATÁLOGO!$A$2:$A$846,CATÁLOGO!$B$2:$B$846,"FORA DO CATÁLOGO")</f>
        <v>CAM005OG</v>
      </c>
      <c r="C143" s="11">
        <v>6</v>
      </c>
      <c r="D143" s="11" t="str">
        <f>_xlfn.XLOOKUP(A143,CATÁLOGO!$A$2:$A$846,CATÁLOGO!$E$2:$E$846,"FORA DO CATÁLOGO")</f>
        <v>Ativo</v>
      </c>
      <c r="E143" s="9" t="s">
        <v>1305</v>
      </c>
      <c r="F143" s="52">
        <f>SUMIFS('AVARIA ESTIMADA'!$F$18:$F$40,'AVARIA ESTIMADA'!$A$18:$A$40,A143)</f>
        <v>0</v>
      </c>
    </row>
    <row r="144" spans="1:6" x14ac:dyDescent="0.3">
      <c r="A144" s="9" t="s">
        <v>96</v>
      </c>
      <c r="B144" s="18" t="str">
        <f>_xlfn.XLOOKUP(A144,CATÁLOGO!$A$2:$A$846,CATÁLOGO!$B$2:$B$846,"FORA DO CATÁLOGO")</f>
        <v>CAM005OGG</v>
      </c>
      <c r="C144" s="11">
        <v>4</v>
      </c>
      <c r="D144" s="11" t="str">
        <f>_xlfn.XLOOKUP(A144,CATÁLOGO!$A$2:$A$846,CATÁLOGO!$E$2:$E$846,"FORA DO CATÁLOGO")</f>
        <v>Ativo</v>
      </c>
      <c r="E144" s="9" t="s">
        <v>1305</v>
      </c>
      <c r="F144" s="52">
        <f>SUMIFS('AVARIA ESTIMADA'!$F$18:$F$40,'AVARIA ESTIMADA'!$A$18:$A$40,A144)</f>
        <v>0</v>
      </c>
    </row>
    <row r="145" spans="1:6" x14ac:dyDescent="0.3">
      <c r="A145" s="9" t="s">
        <v>1566</v>
      </c>
      <c r="B145" s="18" t="str">
        <f>_xlfn.XLOOKUP(A145,CATÁLOGO!$A$2:$A$846,CATÁLOGO!$B$2:$B$846,"FORA DO CATÁLOGO")</f>
        <v>CAL008B38</v>
      </c>
      <c r="C145" s="11">
        <v>5</v>
      </c>
      <c r="D145" s="11" t="str">
        <f>_xlfn.XLOOKUP(A145,CATÁLOGO!$A$2:$A$846,CATÁLOGO!$E$2:$E$846,"FORA DO CATÁLOGO")</f>
        <v>Ativo</v>
      </c>
      <c r="E145" s="9" t="s">
        <v>1303</v>
      </c>
      <c r="F145" s="52">
        <f>SUMIFS('AVARIA ESTIMADA'!$F$18:$F$40,'AVARIA ESTIMADA'!$A$18:$A$40,A145)</f>
        <v>0</v>
      </c>
    </row>
    <row r="146" spans="1:6" x14ac:dyDescent="0.3">
      <c r="A146" s="9" t="s">
        <v>1565</v>
      </c>
      <c r="B146" s="18" t="str">
        <f>_xlfn.XLOOKUP(A146,CATÁLOGO!$A$2:$A$846,CATÁLOGO!$B$2:$B$846,"FORA DO CATÁLOGO")</f>
        <v>CAL008B40</v>
      </c>
      <c r="C146" s="11">
        <v>4</v>
      </c>
      <c r="D146" s="11" t="str">
        <f>_xlfn.XLOOKUP(A146,CATÁLOGO!$A$2:$A$846,CATÁLOGO!$E$2:$E$846,"FORA DO CATÁLOGO")</f>
        <v>Ativo</v>
      </c>
      <c r="E146" s="9" t="s">
        <v>1305</v>
      </c>
      <c r="F146" s="52">
        <f>SUMIFS('AVARIA ESTIMADA'!$F$18:$F$40,'AVARIA ESTIMADA'!$A$18:$A$40,A146)</f>
        <v>0</v>
      </c>
    </row>
    <row r="147" spans="1:6" x14ac:dyDescent="0.3">
      <c r="A147" s="9" t="s">
        <v>1563</v>
      </c>
      <c r="B147" s="18" t="str">
        <f>_xlfn.XLOOKUP(A147,CATÁLOGO!$A$2:$A$846,CATÁLOGO!$B$2:$B$846,"FORA DO CATÁLOGO")</f>
        <v>CAL008B42</v>
      </c>
      <c r="C147" s="11">
        <v>3</v>
      </c>
      <c r="D147" s="11" t="str">
        <f>_xlfn.XLOOKUP(A147,CATÁLOGO!$A$2:$A$846,CATÁLOGO!$E$2:$E$846,"FORA DO CATÁLOGO")</f>
        <v>Ativo</v>
      </c>
      <c r="E147" s="9" t="s">
        <v>1305</v>
      </c>
      <c r="F147" s="52">
        <f>SUMIFS('AVARIA ESTIMADA'!$F$18:$F$40,'AVARIA ESTIMADA'!$A$18:$A$40,A147)</f>
        <v>0</v>
      </c>
    </row>
    <row r="148" spans="1:6" x14ac:dyDescent="0.3">
      <c r="A148" s="9" t="s">
        <v>1564</v>
      </c>
      <c r="B148" s="18" t="str">
        <f>_xlfn.XLOOKUP(A148,CATÁLOGO!$A$2:$A$846,CATÁLOGO!$B$2:$B$846,"FORA DO CATÁLOGO")</f>
        <v>CAL008B44</v>
      </c>
      <c r="C148" s="11">
        <v>2</v>
      </c>
      <c r="D148" s="11" t="str">
        <f>_xlfn.XLOOKUP(A148,CATÁLOGO!$A$2:$A$846,CATÁLOGO!$E$2:$E$846,"FORA DO CATÁLOGO")</f>
        <v>Ativo</v>
      </c>
      <c r="E148" s="9" t="s">
        <v>1305</v>
      </c>
      <c r="F148" s="52">
        <f>SUMIFS('AVARIA ESTIMADA'!$F$18:$F$40,'AVARIA ESTIMADA'!$A$18:$A$40,A148)</f>
        <v>0</v>
      </c>
    </row>
    <row r="149" spans="1:6" x14ac:dyDescent="0.3">
      <c r="A149" s="9" t="s">
        <v>1562</v>
      </c>
      <c r="B149" s="18" t="str">
        <f>_xlfn.XLOOKUP(A149,CATÁLOGO!$A$2:$A$846,CATÁLOGO!$B$2:$B$846,"FORA DO CATÁLOGO")</f>
        <v>CAL008A38</v>
      </c>
      <c r="C149" s="11">
        <v>2</v>
      </c>
      <c r="D149" s="11" t="str">
        <f>_xlfn.XLOOKUP(A149,CATÁLOGO!$A$2:$A$846,CATÁLOGO!$E$2:$E$846,"FORA DO CATÁLOGO")</f>
        <v>Ativo</v>
      </c>
      <c r="E149" s="9" t="s">
        <v>1304</v>
      </c>
      <c r="F149" s="52">
        <f>SUMIFS('AVARIA ESTIMADA'!$F$18:$F$40,'AVARIA ESTIMADA'!$A$18:$A$40,A149)</f>
        <v>0</v>
      </c>
    </row>
    <row r="150" spans="1:6" x14ac:dyDescent="0.3">
      <c r="A150" s="9" t="s">
        <v>1561</v>
      </c>
      <c r="B150" s="18" t="str">
        <f>_xlfn.XLOOKUP(A150,CATÁLOGO!$A$2:$A$846,CATÁLOGO!$B$2:$B$846,"FORA DO CATÁLOGO")</f>
        <v>CAL008A40</v>
      </c>
      <c r="C150" s="11">
        <v>2</v>
      </c>
      <c r="D150" s="11" t="str">
        <f>_xlfn.XLOOKUP(A150,CATÁLOGO!$A$2:$A$846,CATÁLOGO!$E$2:$E$846,"FORA DO CATÁLOGO")</f>
        <v>Ativo</v>
      </c>
      <c r="E150" s="9" t="s">
        <v>1305</v>
      </c>
      <c r="F150" s="52">
        <f>SUMIFS('AVARIA ESTIMADA'!$F$18:$F$40,'AVARIA ESTIMADA'!$A$18:$A$40,A150)</f>
        <v>0</v>
      </c>
    </row>
    <row r="151" spans="1:6" x14ac:dyDescent="0.3">
      <c r="A151" s="9" t="s">
        <v>1558</v>
      </c>
      <c r="B151" s="18" t="str">
        <f>_xlfn.XLOOKUP(A151,CATÁLOGO!$A$2:$A$846,CATÁLOGO!$B$2:$B$846,"FORA DO CATÁLOGO")</f>
        <v>CAL008A42</v>
      </c>
      <c r="C151" s="11">
        <v>2</v>
      </c>
      <c r="D151" s="11" t="str">
        <f>_xlfn.XLOOKUP(A151,CATÁLOGO!$A$2:$A$846,CATÁLOGO!$E$2:$E$846,"FORA DO CATÁLOGO")</f>
        <v>Ativo</v>
      </c>
      <c r="E151" s="9" t="s">
        <v>1304</v>
      </c>
      <c r="F151" s="52">
        <f>SUMIFS('AVARIA ESTIMADA'!$F$18:$F$40,'AVARIA ESTIMADA'!$A$18:$A$40,A151)</f>
        <v>0</v>
      </c>
    </row>
    <row r="152" spans="1:6" x14ac:dyDescent="0.3">
      <c r="A152" s="9" t="s">
        <v>1560</v>
      </c>
      <c r="B152" s="18" t="str">
        <f>_xlfn.XLOOKUP(A152,CATÁLOGO!$A$2:$A$846,CATÁLOGO!$B$2:$B$846,"FORA DO CATÁLOGO")</f>
        <v>CAL008A44</v>
      </c>
      <c r="C152" s="11">
        <v>2</v>
      </c>
      <c r="D152" s="11" t="str">
        <f>_xlfn.XLOOKUP(A152,CATÁLOGO!$A$2:$A$846,CATÁLOGO!$E$2:$E$846,"FORA DO CATÁLOGO")</f>
        <v>Ativo</v>
      </c>
      <c r="E152" s="9" t="s">
        <v>1303</v>
      </c>
      <c r="F152" s="52">
        <f>SUMIFS('AVARIA ESTIMADA'!$F$18:$F$40,'AVARIA ESTIMADA'!$A$18:$A$40,A152)</f>
        <v>0</v>
      </c>
    </row>
    <row r="153" spans="1:6" x14ac:dyDescent="0.3">
      <c r="A153" s="9" t="s">
        <v>1570</v>
      </c>
      <c r="B153" s="18" t="str">
        <f>_xlfn.XLOOKUP(A153,CATÁLOGO!$A$2:$A$846,CATÁLOGO!$B$2:$B$846,"FORA DO CATÁLOGO")</f>
        <v>CAL008O38</v>
      </c>
      <c r="C153" s="11">
        <v>2</v>
      </c>
      <c r="D153" s="11" t="str">
        <f>_xlfn.XLOOKUP(A153,CATÁLOGO!$A$2:$A$846,CATÁLOGO!$E$2:$E$846,"FORA DO CATÁLOGO")</f>
        <v>Ativo</v>
      </c>
      <c r="E153" s="9" t="s">
        <v>1303</v>
      </c>
      <c r="F153" s="52">
        <f>SUMIFS('AVARIA ESTIMADA'!$F$18:$F$40,'AVARIA ESTIMADA'!$A$18:$A$40,A153)</f>
        <v>0</v>
      </c>
    </row>
    <row r="154" spans="1:6" x14ac:dyDescent="0.3">
      <c r="A154" s="9" t="s">
        <v>1569</v>
      </c>
      <c r="B154" s="18" t="str">
        <f>_xlfn.XLOOKUP(A154,CATÁLOGO!$A$2:$A$846,CATÁLOGO!$B$2:$B$846,"FORA DO CATÁLOGO")</f>
        <v>CAL008O40</v>
      </c>
      <c r="C154" s="11">
        <v>2</v>
      </c>
      <c r="D154" s="11" t="str">
        <f>_xlfn.XLOOKUP(A154,CATÁLOGO!$A$2:$A$846,CATÁLOGO!$E$2:$E$846,"FORA DO CATÁLOGO")</f>
        <v>Ativo</v>
      </c>
      <c r="E154" s="9" t="s">
        <v>1305</v>
      </c>
      <c r="F154" s="52">
        <f>SUMIFS('AVARIA ESTIMADA'!$F$18:$F$40,'AVARIA ESTIMADA'!$A$18:$A$40,A154)</f>
        <v>0</v>
      </c>
    </row>
    <row r="155" spans="1:6" x14ac:dyDescent="0.3">
      <c r="A155" s="9" t="s">
        <v>1567</v>
      </c>
      <c r="B155" s="18" t="str">
        <f>_xlfn.XLOOKUP(A155,CATÁLOGO!$A$2:$A$846,CATÁLOGO!$B$2:$B$846,"FORA DO CATÁLOGO")</f>
        <v>CAL008O42</v>
      </c>
      <c r="C155" s="11">
        <v>2</v>
      </c>
      <c r="D155" s="11" t="str">
        <f>_xlfn.XLOOKUP(A155,CATÁLOGO!$A$2:$A$846,CATÁLOGO!$E$2:$E$846,"FORA DO CATÁLOGO")</f>
        <v>Ativo</v>
      </c>
      <c r="E155" s="9" t="s">
        <v>1304</v>
      </c>
      <c r="F155" s="52">
        <f>SUMIFS('AVARIA ESTIMADA'!$F$18:$F$40,'AVARIA ESTIMADA'!$A$18:$A$40,A155)</f>
        <v>0</v>
      </c>
    </row>
    <row r="156" spans="1:6" x14ac:dyDescent="0.3">
      <c r="A156" s="9" t="s">
        <v>1568</v>
      </c>
      <c r="B156" s="18" t="str">
        <f>_xlfn.XLOOKUP(A156,CATÁLOGO!$A$2:$A$846,CATÁLOGO!$B$2:$B$846,"FORA DO CATÁLOGO")</f>
        <v>CAL008O44</v>
      </c>
      <c r="C156" s="11">
        <v>1</v>
      </c>
      <c r="D156" s="11" t="str">
        <f>_xlfn.XLOOKUP(A156,CATÁLOGO!$A$2:$A$846,CATÁLOGO!$E$2:$E$846,"FORA DO CATÁLOGO")</f>
        <v>Ativo</v>
      </c>
      <c r="E156" s="9" t="s">
        <v>1305</v>
      </c>
      <c r="F156" s="52">
        <f>SUMIFS('AVARIA ESTIMADA'!$F$18:$F$40,'AVARIA ESTIMADA'!$A$18:$A$40,A156)</f>
        <v>0</v>
      </c>
    </row>
    <row r="157" spans="1:6" x14ac:dyDescent="0.3">
      <c r="A157" s="9" t="s">
        <v>1576</v>
      </c>
      <c r="B157" s="18" t="str">
        <f>_xlfn.XLOOKUP(A157,CATÁLOGO!$A$2:$A$846,CATÁLOGO!$B$2:$B$846,"FORA DO CATÁLOGO")</f>
        <v>CAL009O36</v>
      </c>
      <c r="C157" s="11">
        <v>4</v>
      </c>
      <c r="D157" s="11" t="str">
        <f>_xlfn.XLOOKUP(A157,CATÁLOGO!$A$2:$A$846,CATÁLOGO!$E$2:$E$846,"FORA DO CATÁLOGO")</f>
        <v>Ativo</v>
      </c>
      <c r="E157" s="9" t="s">
        <v>1304</v>
      </c>
      <c r="F157" s="52">
        <f>SUMIFS('AVARIA ESTIMADA'!$F$18:$F$40,'AVARIA ESTIMADA'!$A$18:$A$40,A157)</f>
        <v>0</v>
      </c>
    </row>
    <row r="158" spans="1:6" x14ac:dyDescent="0.3">
      <c r="A158" s="9" t="s">
        <v>1575</v>
      </c>
      <c r="B158" s="18" t="str">
        <f>_xlfn.XLOOKUP(A158,CATÁLOGO!$A$2:$A$846,CATÁLOGO!$B$2:$B$846,"FORA DO CATÁLOGO")</f>
        <v>CAL009O38</v>
      </c>
      <c r="C158" s="11">
        <v>6</v>
      </c>
      <c r="D158" s="11" t="str">
        <f>_xlfn.XLOOKUP(A158,CATÁLOGO!$A$2:$A$846,CATÁLOGO!$E$2:$E$846,"FORA DO CATÁLOGO")</f>
        <v>Ativo</v>
      </c>
      <c r="E158" s="9" t="s">
        <v>1304</v>
      </c>
      <c r="F158" s="52">
        <f>SUMIFS('AVARIA ESTIMADA'!$F$18:$F$40,'AVARIA ESTIMADA'!$A$18:$A$40,A158)</f>
        <v>0</v>
      </c>
    </row>
    <row r="159" spans="1:6" x14ac:dyDescent="0.3">
      <c r="A159" s="9" t="s">
        <v>1574</v>
      </c>
      <c r="B159" s="18" t="str">
        <f>_xlfn.XLOOKUP(A159,CATÁLOGO!$A$2:$A$846,CATÁLOGO!$B$2:$B$846,"FORA DO CATÁLOGO")</f>
        <v>CAL009O40</v>
      </c>
      <c r="C159" s="11">
        <v>6</v>
      </c>
      <c r="D159" s="11" t="str">
        <f>_xlfn.XLOOKUP(A159,CATÁLOGO!$A$2:$A$846,CATÁLOGO!$E$2:$E$846,"FORA DO CATÁLOGO")</f>
        <v>Ativo</v>
      </c>
      <c r="E159" s="9" t="s">
        <v>1304</v>
      </c>
      <c r="F159" s="52">
        <f>SUMIFS('AVARIA ESTIMADA'!$F$18:$F$40,'AVARIA ESTIMADA'!$A$18:$A$40,A159)</f>
        <v>0</v>
      </c>
    </row>
    <row r="160" spans="1:6" x14ac:dyDescent="0.3">
      <c r="A160" s="9" t="s">
        <v>1571</v>
      </c>
      <c r="B160" s="18" t="str">
        <f>_xlfn.XLOOKUP(A160,CATÁLOGO!$A$2:$A$846,CATÁLOGO!$B$2:$B$846,"FORA DO CATÁLOGO")</f>
        <v>CAL009O42</v>
      </c>
      <c r="C160" s="11">
        <v>5</v>
      </c>
      <c r="D160" s="11" t="str">
        <f>_xlfn.XLOOKUP(A160,CATÁLOGO!$A$2:$A$846,CATÁLOGO!$E$2:$E$846,"FORA DO CATÁLOGO")</f>
        <v>Ativo</v>
      </c>
      <c r="E160" s="9" t="s">
        <v>1305</v>
      </c>
      <c r="F160" s="52">
        <f>SUMIFS('AVARIA ESTIMADA'!$F$18:$F$40,'AVARIA ESTIMADA'!$A$18:$A$40,A160)</f>
        <v>0</v>
      </c>
    </row>
    <row r="161" spans="1:6" x14ac:dyDescent="0.3">
      <c r="A161" s="9" t="s">
        <v>1573</v>
      </c>
      <c r="B161" s="18" t="str">
        <f>_xlfn.XLOOKUP(A161,CATÁLOGO!$A$2:$A$846,CATÁLOGO!$B$2:$B$846,"FORA DO CATÁLOGO")</f>
        <v>CAL009O44</v>
      </c>
      <c r="C161" s="11">
        <v>3</v>
      </c>
      <c r="D161" s="11" t="str">
        <f>_xlfn.XLOOKUP(A161,CATÁLOGO!$A$2:$A$846,CATÁLOGO!$E$2:$E$846,"FORA DO CATÁLOGO")</f>
        <v>Ativo</v>
      </c>
      <c r="E161" s="9" t="s">
        <v>1303</v>
      </c>
      <c r="F161" s="52">
        <f>SUMIFS('AVARIA ESTIMADA'!$F$18:$F$40,'AVARIA ESTIMADA'!$A$18:$A$40,A161)</f>
        <v>0</v>
      </c>
    </row>
    <row r="162" spans="1:6" x14ac:dyDescent="0.3">
      <c r="A162" s="9" t="s">
        <v>1467</v>
      </c>
      <c r="B162" s="18" t="str">
        <f>_xlfn.XLOOKUP(A162,CATÁLOGO!$A$2:$A$846,CATÁLOGO!$B$2:$B$846,"FORA DO CATÁLOGO")</f>
        <v>BER004E38</v>
      </c>
      <c r="C162" s="11">
        <v>6</v>
      </c>
      <c r="D162" s="11" t="str">
        <f>_xlfn.XLOOKUP(A162,CATÁLOGO!$A$2:$A$846,CATÁLOGO!$E$2:$E$846,"FORA DO CATÁLOGO")</f>
        <v>Ativo</v>
      </c>
      <c r="E162" s="9" t="s">
        <v>1304</v>
      </c>
      <c r="F162" s="52">
        <f>SUMIFS('AVARIA ESTIMADA'!$F$18:$F$40,'AVARIA ESTIMADA'!$A$18:$A$40,A162)</f>
        <v>0</v>
      </c>
    </row>
    <row r="163" spans="1:6" x14ac:dyDescent="0.3">
      <c r="A163" s="9" t="s">
        <v>1466</v>
      </c>
      <c r="B163" s="18" t="str">
        <f>_xlfn.XLOOKUP(A163,CATÁLOGO!$A$2:$A$846,CATÁLOGO!$B$2:$B$846,"FORA DO CATÁLOGO")</f>
        <v>BER004E40</v>
      </c>
      <c r="C163" s="11">
        <v>6</v>
      </c>
      <c r="D163" s="11" t="str">
        <f>_xlfn.XLOOKUP(A163,CATÁLOGO!$A$2:$A$846,CATÁLOGO!$E$2:$E$846,"FORA DO CATÁLOGO")</f>
        <v>Ativo</v>
      </c>
      <c r="E163" s="9" t="s">
        <v>1304</v>
      </c>
      <c r="F163" s="52">
        <f>SUMIFS('AVARIA ESTIMADA'!$F$18:$F$40,'AVARIA ESTIMADA'!$A$18:$A$40,A163)</f>
        <v>0</v>
      </c>
    </row>
    <row r="164" spans="1:6" x14ac:dyDescent="0.3">
      <c r="A164" s="9" t="s">
        <v>1463</v>
      </c>
      <c r="B164" s="18" t="str">
        <f>_xlfn.XLOOKUP(A164,CATÁLOGO!$A$2:$A$846,CATÁLOGO!$B$2:$B$846,"FORA DO CATÁLOGO")</f>
        <v>BER004E42</v>
      </c>
      <c r="C164" s="11">
        <v>4</v>
      </c>
      <c r="D164" s="11" t="str">
        <f>_xlfn.XLOOKUP(A164,CATÁLOGO!$A$2:$A$846,CATÁLOGO!$E$2:$E$846,"FORA DO CATÁLOGO")</f>
        <v>Ativo</v>
      </c>
      <c r="E164" s="9" t="s">
        <v>1305</v>
      </c>
      <c r="F164" s="52">
        <f>SUMIFS('AVARIA ESTIMADA'!$F$18:$F$40,'AVARIA ESTIMADA'!$A$18:$A$40,A164)</f>
        <v>0</v>
      </c>
    </row>
    <row r="165" spans="1:6" x14ac:dyDescent="0.3">
      <c r="A165" s="9" t="s">
        <v>1465</v>
      </c>
      <c r="B165" s="18" t="str">
        <f>_xlfn.XLOOKUP(A165,CATÁLOGO!$A$2:$A$846,CATÁLOGO!$B$2:$B$846,"FORA DO CATÁLOGO")</f>
        <v>BER004E44</v>
      </c>
      <c r="C165" s="11">
        <v>3</v>
      </c>
      <c r="D165" s="11" t="str">
        <f>_xlfn.XLOOKUP(A165,CATÁLOGO!$A$2:$A$846,CATÁLOGO!$E$2:$E$846,"FORA DO CATÁLOGO")</f>
        <v>Ativo</v>
      </c>
      <c r="E165" s="9" t="s">
        <v>1303</v>
      </c>
      <c r="F165" s="52">
        <f>SUMIFS('AVARIA ESTIMADA'!$F$18:$F$40,'AVARIA ESTIMADA'!$A$18:$A$40,A165)</f>
        <v>0</v>
      </c>
    </row>
    <row r="166" spans="1:6" x14ac:dyDescent="0.3">
      <c r="A166" s="9" t="s">
        <v>97</v>
      </c>
      <c r="B166" s="18" t="str">
        <f>_xlfn.XLOOKUP(A166,CATÁLOGO!$A$2:$A$846,CATÁLOGO!$B$2:$B$846,"FORA DO CATÁLOGO")</f>
        <v>CMS004AP</v>
      </c>
      <c r="C166" s="11">
        <v>1</v>
      </c>
      <c r="D166" s="11" t="str">
        <f>_xlfn.XLOOKUP(A166,CATÁLOGO!$A$2:$A$846,CATÁLOGO!$E$2:$E$846,"FORA DO CATÁLOGO")</f>
        <v>Descontinuado</v>
      </c>
      <c r="E166" s="9" t="s">
        <v>1305</v>
      </c>
      <c r="F166" s="52">
        <f>SUMIFS('AVARIA ESTIMADA'!$F$18:$F$40,'AVARIA ESTIMADA'!$A$18:$A$40,A166)</f>
        <v>0</v>
      </c>
    </row>
    <row r="167" spans="1:6" x14ac:dyDescent="0.3">
      <c r="A167" s="9" t="s">
        <v>101</v>
      </c>
      <c r="B167" s="18" t="str">
        <f>_xlfn.XLOOKUP(A167,CATÁLOGO!$A$2:$A$846,CATÁLOGO!$B$2:$B$846,"FORA DO CATÁLOGO")</f>
        <v>CMS005BP</v>
      </c>
      <c r="C167" s="11">
        <v>4</v>
      </c>
      <c r="D167" s="11" t="str">
        <f>_xlfn.XLOOKUP(A167,CATÁLOGO!$A$2:$A$846,CATÁLOGO!$E$2:$E$846,"FORA DO CATÁLOGO")</f>
        <v>Descontinuado</v>
      </c>
      <c r="E167" s="9" t="s">
        <v>1304</v>
      </c>
      <c r="F167" s="52">
        <f>SUMIFS('AVARIA ESTIMADA'!$F$18:$F$40,'AVARIA ESTIMADA'!$A$18:$A$40,A167)</f>
        <v>0</v>
      </c>
    </row>
    <row r="168" spans="1:6" x14ac:dyDescent="0.3">
      <c r="A168" s="9" t="s">
        <v>1252</v>
      </c>
      <c r="B168" s="18" t="str">
        <f>_xlfn.XLOOKUP(A168,CATÁLOGO!$A$2:$A$846,CATÁLOGO!$B$2:$B$846,"FORA DO CATÁLOGO")</f>
        <v>CMS005BM</v>
      </c>
      <c r="C168" s="11">
        <v>3</v>
      </c>
      <c r="D168" s="11" t="str">
        <f>_xlfn.XLOOKUP(A168,CATÁLOGO!$A$2:$A$846,CATÁLOGO!$E$2:$E$846,"FORA DO CATÁLOGO")</f>
        <v>Descontinuado</v>
      </c>
      <c r="E168" s="9" t="s">
        <v>1304</v>
      </c>
      <c r="F168" s="52">
        <f>SUMIFS('AVARIA ESTIMADA'!$F$18:$F$40,'AVARIA ESTIMADA'!$A$18:$A$40,A168)</f>
        <v>0</v>
      </c>
    </row>
    <row r="169" spans="1:6" x14ac:dyDescent="0.3">
      <c r="A169" s="9" t="s">
        <v>1253</v>
      </c>
      <c r="B169" s="18" t="str">
        <f>_xlfn.XLOOKUP(A169,CATÁLOGO!$A$2:$A$846,CATÁLOGO!$B$2:$B$846,"FORA DO CATÁLOGO")</f>
        <v>CMS005BG</v>
      </c>
      <c r="C169" s="11">
        <v>4</v>
      </c>
      <c r="D169" s="11" t="str">
        <f>_xlfn.XLOOKUP(A169,CATÁLOGO!$A$2:$A$846,CATÁLOGO!$E$2:$E$846,"FORA DO CATÁLOGO")</f>
        <v>Descontinuado</v>
      </c>
      <c r="E169" s="9" t="s">
        <v>1305</v>
      </c>
      <c r="F169" s="52">
        <f>SUMIFS('AVARIA ESTIMADA'!$F$18:$F$40,'AVARIA ESTIMADA'!$A$18:$A$40,A169)</f>
        <v>0</v>
      </c>
    </row>
    <row r="170" spans="1:6" x14ac:dyDescent="0.3">
      <c r="A170" s="9" t="s">
        <v>102</v>
      </c>
      <c r="B170" s="18" t="str">
        <f>_xlfn.XLOOKUP(A170,CATÁLOGO!$A$2:$A$846,CATÁLOGO!$B$2:$B$846,"FORA DO CATÁLOGO")</f>
        <v>CMS005BGG</v>
      </c>
      <c r="C170" s="11">
        <v>3</v>
      </c>
      <c r="D170" s="11" t="str">
        <f>_xlfn.XLOOKUP(A170,CATÁLOGO!$A$2:$A$846,CATÁLOGO!$E$2:$E$846,"FORA DO CATÁLOGO")</f>
        <v>Descontinuado</v>
      </c>
      <c r="E170" s="9" t="s">
        <v>1304</v>
      </c>
      <c r="F170" s="52">
        <f>SUMIFS('AVARIA ESTIMADA'!$F$18:$F$40,'AVARIA ESTIMADA'!$A$18:$A$40,A170)</f>
        <v>0</v>
      </c>
    </row>
    <row r="171" spans="1:6" x14ac:dyDescent="0.3">
      <c r="A171" s="9" t="s">
        <v>1582</v>
      </c>
      <c r="B171" s="18" t="str">
        <f>_xlfn.XLOOKUP(A171,CATÁLOGO!$A$2:$A$846,CATÁLOGO!$B$2:$B$846,"FORA DO CATÁLOGO")</f>
        <v>CAL010M38</v>
      </c>
      <c r="C171" s="11">
        <v>6</v>
      </c>
      <c r="D171" s="11" t="str">
        <f>_xlfn.XLOOKUP(A171,CATÁLOGO!$A$2:$A$846,CATÁLOGO!$E$2:$E$846,"FORA DO CATÁLOGO")</f>
        <v>Ativo</v>
      </c>
      <c r="E171" s="9" t="s">
        <v>1304</v>
      </c>
      <c r="F171" s="52">
        <f>SUMIFS('AVARIA ESTIMADA'!$F$18:$F$40,'AVARIA ESTIMADA'!$A$18:$A$40,A171)</f>
        <v>0</v>
      </c>
    </row>
    <row r="172" spans="1:6" x14ac:dyDescent="0.3">
      <c r="A172" s="9" t="s">
        <v>1577</v>
      </c>
      <c r="B172" s="18" t="str">
        <f>_xlfn.XLOOKUP(A172,CATÁLOGO!$A$2:$A$846,CATÁLOGO!$B$2:$B$846,"FORA DO CATÁLOGO")</f>
        <v>CAL010M42</v>
      </c>
      <c r="C172" s="11">
        <v>5</v>
      </c>
      <c r="D172" s="11" t="str">
        <f>_xlfn.XLOOKUP(A172,CATÁLOGO!$A$2:$A$846,CATÁLOGO!$E$2:$E$846,"FORA DO CATÁLOGO")</f>
        <v>Ativo</v>
      </c>
      <c r="E172" s="9" t="s">
        <v>1304</v>
      </c>
      <c r="F172" s="52">
        <f>SUMIFS('AVARIA ESTIMADA'!$F$18:$F$40,'AVARIA ESTIMADA'!$A$18:$A$40,A172)</f>
        <v>0</v>
      </c>
    </row>
    <row r="173" spans="1:6" x14ac:dyDescent="0.3">
      <c r="A173" s="9" t="s">
        <v>1579</v>
      </c>
      <c r="B173" s="18" t="str">
        <f>_xlfn.XLOOKUP(A173,CATÁLOGO!$A$2:$A$846,CATÁLOGO!$B$2:$B$846,"FORA DO CATÁLOGO")</f>
        <v>CAL010M44</v>
      </c>
      <c r="C173" s="11">
        <v>3</v>
      </c>
      <c r="D173" s="11" t="str">
        <f>_xlfn.XLOOKUP(A173,CATÁLOGO!$A$2:$A$846,CATÁLOGO!$E$2:$E$846,"FORA DO CATÁLOGO")</f>
        <v>Ativo</v>
      </c>
      <c r="E173" s="9" t="s">
        <v>1304</v>
      </c>
      <c r="F173" s="52">
        <f>SUMIFS('AVARIA ESTIMADA'!$F$18:$F$40,'AVARIA ESTIMADA'!$A$18:$A$40,A173)</f>
        <v>0</v>
      </c>
    </row>
    <row r="174" spans="1:6" x14ac:dyDescent="0.3">
      <c r="A174" s="9" t="s">
        <v>103</v>
      </c>
      <c r="B174" s="18" t="str">
        <f>_xlfn.XLOOKUP(A174,CATÁLOGO!$A$2:$A$846,CATÁLOGO!$B$2:$B$846,"FORA DO CATÁLOGO")</f>
        <v>MOL006YP</v>
      </c>
      <c r="C174" s="11">
        <v>2</v>
      </c>
      <c r="D174" s="11" t="str">
        <f>_xlfn.XLOOKUP(A174,CATÁLOGO!$A$2:$A$846,CATÁLOGO!$E$2:$E$846,"FORA DO CATÁLOGO")</f>
        <v>Descontinuado</v>
      </c>
      <c r="E174" s="9" t="s">
        <v>1305</v>
      </c>
      <c r="F174" s="52">
        <f>SUMIFS('AVARIA ESTIMADA'!$F$18:$F$40,'AVARIA ESTIMADA'!$A$18:$A$40,A174)</f>
        <v>0</v>
      </c>
    </row>
    <row r="175" spans="1:6" x14ac:dyDescent="0.3">
      <c r="A175" s="9" t="s">
        <v>104</v>
      </c>
      <c r="B175" s="18" t="str">
        <f>_xlfn.XLOOKUP(A175,CATÁLOGO!$A$2:$A$846,CATÁLOGO!$B$2:$B$846,"FORA DO CATÁLOGO")</f>
        <v>MOL006YM</v>
      </c>
      <c r="C175" s="11">
        <v>1</v>
      </c>
      <c r="D175" s="11" t="str">
        <f>_xlfn.XLOOKUP(A175,CATÁLOGO!$A$2:$A$846,CATÁLOGO!$E$2:$E$846,"FORA DO CATÁLOGO")</f>
        <v>Descontinuado</v>
      </c>
      <c r="E175" s="9" t="s">
        <v>1304</v>
      </c>
      <c r="F175" s="52">
        <f>SUMIFS('AVARIA ESTIMADA'!$F$18:$F$40,'AVARIA ESTIMADA'!$A$18:$A$40,A175)</f>
        <v>0</v>
      </c>
    </row>
    <row r="176" spans="1:6" x14ac:dyDescent="0.3">
      <c r="A176" s="9" t="s">
        <v>105</v>
      </c>
      <c r="B176" s="18" t="str">
        <f>_xlfn.XLOOKUP(A176,CATÁLOGO!$A$2:$A$846,CATÁLOGO!$B$2:$B$846,"FORA DO CATÁLOGO")</f>
        <v>MOL006YG</v>
      </c>
      <c r="C176" s="11">
        <v>3</v>
      </c>
      <c r="D176" s="11" t="str">
        <f>_xlfn.XLOOKUP(A176,CATÁLOGO!$A$2:$A$846,CATÁLOGO!$E$2:$E$846,"FORA DO CATÁLOGO")</f>
        <v>Descontinuado</v>
      </c>
      <c r="E176" s="9" t="s">
        <v>1303</v>
      </c>
      <c r="F176" s="52">
        <f>SUMIFS('AVARIA ESTIMADA'!$F$18:$F$40,'AVARIA ESTIMADA'!$A$18:$A$40,A176)</f>
        <v>0</v>
      </c>
    </row>
    <row r="177" spans="1:6" x14ac:dyDescent="0.3">
      <c r="A177" s="9" t="s">
        <v>106</v>
      </c>
      <c r="B177" s="18" t="str">
        <f>_xlfn.XLOOKUP(A177,CATÁLOGO!$A$2:$A$846,CATÁLOGO!$B$2:$B$846,"FORA DO CATÁLOGO")</f>
        <v>MOL006YGG</v>
      </c>
      <c r="C177" s="11">
        <v>1</v>
      </c>
      <c r="D177" s="11" t="str">
        <f>_xlfn.XLOOKUP(A177,CATÁLOGO!$A$2:$A$846,CATÁLOGO!$E$2:$E$846,"FORA DO CATÁLOGO")</f>
        <v>Descontinuado</v>
      </c>
      <c r="E177" s="9" t="s">
        <v>1303</v>
      </c>
      <c r="F177" s="52">
        <f>SUMIFS('AVARIA ESTIMADA'!$F$18:$F$40,'AVARIA ESTIMADA'!$A$18:$A$40,A177)</f>
        <v>0</v>
      </c>
    </row>
    <row r="178" spans="1:6" x14ac:dyDescent="0.3">
      <c r="A178" s="9" t="s">
        <v>107</v>
      </c>
      <c r="B178" s="18" t="str">
        <f>_xlfn.XLOOKUP(A178,CATÁLOGO!$A$2:$A$846,CATÁLOGO!$B$2:$B$846,"FORA DO CATÁLOGO")</f>
        <v>VES001AP</v>
      </c>
      <c r="C178" s="11">
        <v>1</v>
      </c>
      <c r="D178" s="11" t="str">
        <f>_xlfn.XLOOKUP(A178,CATÁLOGO!$A$2:$A$846,CATÁLOGO!$E$2:$E$846,"FORA DO CATÁLOGO")</f>
        <v>Descontinuado</v>
      </c>
      <c r="E178" s="9" t="s">
        <v>1304</v>
      </c>
      <c r="F178" s="52">
        <f>SUMIFS('AVARIA ESTIMADA'!$F$18:$F$40,'AVARIA ESTIMADA'!$A$18:$A$40,A178)</f>
        <v>0</v>
      </c>
    </row>
    <row r="179" spans="1:6" x14ac:dyDescent="0.3">
      <c r="A179" s="9" t="s">
        <v>108</v>
      </c>
      <c r="B179" s="18" t="str">
        <f>_xlfn.XLOOKUP(A179,CATÁLOGO!$A$2:$A$846,CATÁLOGO!$B$2:$B$846,"FORA DO CATÁLOGO")</f>
        <v>VES001AM</v>
      </c>
      <c r="C179" s="11">
        <v>0</v>
      </c>
      <c r="D179" s="11" t="str">
        <f>_xlfn.XLOOKUP(A179,CATÁLOGO!$A$2:$A$846,CATÁLOGO!$E$2:$E$846,"FORA DO CATÁLOGO")</f>
        <v>Descontinuado</v>
      </c>
      <c r="E179" s="9" t="s">
        <v>1305</v>
      </c>
      <c r="F179" s="52">
        <f>SUMIFS('AVARIA ESTIMADA'!$F$18:$F$40,'AVARIA ESTIMADA'!$A$18:$A$40,A179)</f>
        <v>0</v>
      </c>
    </row>
    <row r="180" spans="1:6" x14ac:dyDescent="0.3">
      <c r="A180" s="9" t="s">
        <v>109</v>
      </c>
      <c r="B180" s="18" t="str">
        <f>_xlfn.XLOOKUP(A180,CATÁLOGO!$A$2:$A$846,CATÁLOGO!$B$2:$B$846,"FORA DO CATÁLOGO")</f>
        <v>VES001AG</v>
      </c>
      <c r="C180" s="11">
        <v>3</v>
      </c>
      <c r="D180" s="11" t="str">
        <f>_xlfn.XLOOKUP(A180,CATÁLOGO!$A$2:$A$846,CATÁLOGO!$E$2:$E$846,"FORA DO CATÁLOGO")</f>
        <v>Descontinuado</v>
      </c>
      <c r="E180" s="9" t="s">
        <v>1304</v>
      </c>
      <c r="F180" s="52">
        <f>SUMIFS('AVARIA ESTIMADA'!$F$18:$F$40,'AVARIA ESTIMADA'!$A$18:$A$40,A180)</f>
        <v>0</v>
      </c>
    </row>
    <row r="181" spans="1:6" x14ac:dyDescent="0.3">
      <c r="A181" s="9" t="s">
        <v>111</v>
      </c>
      <c r="B181" s="18" t="str">
        <f>_xlfn.XLOOKUP(A181,CATÁLOGO!$A$2:$A$846,CATÁLOGO!$B$2:$B$846,"FORA DO CATÁLOGO")</f>
        <v>SAI003OP</v>
      </c>
      <c r="C181" s="11">
        <v>3</v>
      </c>
      <c r="D181" s="11" t="str">
        <f>_xlfn.XLOOKUP(A181,CATÁLOGO!$A$2:$A$846,CATÁLOGO!$E$2:$E$846,"FORA DO CATÁLOGO")</f>
        <v>Ativo</v>
      </c>
      <c r="E181" s="9" t="s">
        <v>1305</v>
      </c>
      <c r="F181" s="52">
        <f>SUMIFS('AVARIA ESTIMADA'!$F$18:$F$40,'AVARIA ESTIMADA'!$A$18:$A$40,A181)</f>
        <v>0</v>
      </c>
    </row>
    <row r="182" spans="1:6" x14ac:dyDescent="0.3">
      <c r="A182" s="9" t="s">
        <v>112</v>
      </c>
      <c r="B182" s="18" t="str">
        <f>_xlfn.XLOOKUP(A182,CATÁLOGO!$A$2:$A$846,CATÁLOGO!$B$2:$B$846,"FORA DO CATÁLOGO")</f>
        <v>SAI003OM</v>
      </c>
      <c r="C182" s="11">
        <v>5</v>
      </c>
      <c r="D182" s="11" t="str">
        <f>_xlfn.XLOOKUP(A182,CATÁLOGO!$A$2:$A$846,CATÁLOGO!$E$2:$E$846,"FORA DO CATÁLOGO")</f>
        <v>Ativo</v>
      </c>
      <c r="E182" s="9" t="s">
        <v>1303</v>
      </c>
      <c r="F182" s="52">
        <f>SUMIFS('AVARIA ESTIMADA'!$F$18:$F$40,'AVARIA ESTIMADA'!$A$18:$A$40,A182)</f>
        <v>0</v>
      </c>
    </row>
    <row r="183" spans="1:6" x14ac:dyDescent="0.3">
      <c r="A183" s="9" t="s">
        <v>113</v>
      </c>
      <c r="B183" s="18" t="str">
        <f>_xlfn.XLOOKUP(A183,CATÁLOGO!$A$2:$A$846,CATÁLOGO!$B$2:$B$846,"FORA DO CATÁLOGO")</f>
        <v>SAI003OG</v>
      </c>
      <c r="C183" s="11">
        <v>4</v>
      </c>
      <c r="D183" s="11" t="str">
        <f>_xlfn.XLOOKUP(A183,CATÁLOGO!$A$2:$A$846,CATÁLOGO!$E$2:$E$846,"FORA DO CATÁLOGO")</f>
        <v>Ativo</v>
      </c>
      <c r="E183" s="9" t="s">
        <v>1303</v>
      </c>
      <c r="F183" s="52">
        <f>SUMIFS('AVARIA ESTIMADA'!$F$18:$F$40,'AVARIA ESTIMADA'!$A$18:$A$40,A183)</f>
        <v>0</v>
      </c>
    </row>
    <row r="184" spans="1:6" x14ac:dyDescent="0.3">
      <c r="A184" s="9" t="s">
        <v>114</v>
      </c>
      <c r="B184" s="18" t="str">
        <f>_xlfn.XLOOKUP(A184,CATÁLOGO!$A$2:$A$846,CATÁLOGO!$B$2:$B$846,"FORA DO CATÁLOGO")</f>
        <v>SAI003OGG</v>
      </c>
      <c r="C184" s="11">
        <v>2</v>
      </c>
      <c r="D184" s="11" t="str">
        <f>_xlfn.XLOOKUP(A184,CATÁLOGO!$A$2:$A$846,CATÁLOGO!$E$2:$E$846,"FORA DO CATÁLOGO")</f>
        <v>Ativo</v>
      </c>
      <c r="E184" s="9" t="s">
        <v>1311</v>
      </c>
      <c r="F184" s="52">
        <f>SUMIFS('AVARIA ESTIMADA'!$F$18:$F$40,'AVARIA ESTIMADA'!$A$18:$A$40,A184)</f>
        <v>0</v>
      </c>
    </row>
    <row r="185" spans="1:6" x14ac:dyDescent="0.3">
      <c r="A185" s="9" t="s">
        <v>1312</v>
      </c>
      <c r="B185" s="18" t="str">
        <f>_xlfn.XLOOKUP(A185,CATÁLOGO!$A$2:$A$846,CATÁLOGO!$B$2:$B$846,"FORA DO CATÁLOGO")</f>
        <v>CAM006HGG</v>
      </c>
      <c r="C185" s="11">
        <v>1</v>
      </c>
      <c r="D185" s="11" t="str">
        <f>_xlfn.XLOOKUP(A185,CATÁLOGO!$A$2:$A$846,CATÁLOGO!$E$2:$E$846,"FORA DO CATÁLOGO")</f>
        <v>Descontinuado</v>
      </c>
      <c r="E185" s="9" t="s">
        <v>1992</v>
      </c>
      <c r="F185" s="52">
        <f>SUMIFS('AVARIA ESTIMADA'!$F$18:$F$40,'AVARIA ESTIMADA'!$A$18:$A$40,A185)</f>
        <v>0</v>
      </c>
    </row>
    <row r="186" spans="1:6" x14ac:dyDescent="0.3">
      <c r="A186" s="9" t="s">
        <v>115</v>
      </c>
      <c r="B186" s="18" t="str">
        <f>_xlfn.XLOOKUP(A186,CATÁLOGO!$A$2:$A$846,CATÁLOGO!$B$2:$B$846,"FORA DO CATÁLOGO")</f>
        <v>SAI004MP</v>
      </c>
      <c r="C186" s="11">
        <v>6</v>
      </c>
      <c r="D186" s="11" t="str">
        <f>_xlfn.XLOOKUP(A186,CATÁLOGO!$A$2:$A$846,CATÁLOGO!$E$2:$E$846,"FORA DO CATÁLOGO")</f>
        <v>Ativo</v>
      </c>
      <c r="E186" s="9" t="s">
        <v>1305</v>
      </c>
      <c r="F186" s="52">
        <f>SUMIFS('AVARIA ESTIMADA'!$F$18:$F$40,'AVARIA ESTIMADA'!$A$18:$A$40,A186)</f>
        <v>0</v>
      </c>
    </row>
    <row r="187" spans="1:6" x14ac:dyDescent="0.3">
      <c r="A187" s="9" t="s">
        <v>116</v>
      </c>
      <c r="B187" s="18" t="str">
        <f>_xlfn.XLOOKUP(A187,CATÁLOGO!$A$2:$A$846,CATÁLOGO!$B$2:$B$846,"FORA DO CATÁLOGO")</f>
        <v>SAI004MM</v>
      </c>
      <c r="C187" s="11">
        <v>6</v>
      </c>
      <c r="D187" s="11" t="str">
        <f>_xlfn.XLOOKUP(A187,CATÁLOGO!$A$2:$A$846,CATÁLOGO!$E$2:$E$846,"FORA DO CATÁLOGO")</f>
        <v>Ativo</v>
      </c>
      <c r="E187" s="9" t="s">
        <v>1305</v>
      </c>
      <c r="F187" s="52">
        <f>SUMIFS('AVARIA ESTIMADA'!$F$18:$F$40,'AVARIA ESTIMADA'!$A$18:$A$40,A187)</f>
        <v>0</v>
      </c>
    </row>
    <row r="188" spans="1:6" x14ac:dyDescent="0.3">
      <c r="A188" s="9" t="s">
        <v>117</v>
      </c>
      <c r="B188" s="18" t="str">
        <f>_xlfn.XLOOKUP(A188,CATÁLOGO!$A$2:$A$846,CATÁLOGO!$B$2:$B$846,"FORA DO CATÁLOGO")</f>
        <v>SAI004MG</v>
      </c>
      <c r="C188" s="11">
        <v>6</v>
      </c>
      <c r="D188" s="11" t="str">
        <f>_xlfn.XLOOKUP(A188,CATÁLOGO!$A$2:$A$846,CATÁLOGO!$E$2:$E$846,"FORA DO CATÁLOGO")</f>
        <v>Ativo</v>
      </c>
      <c r="E188" s="9" t="s">
        <v>1305</v>
      </c>
      <c r="F188" s="52">
        <f>SUMIFS('AVARIA ESTIMADA'!$F$18:$F$40,'AVARIA ESTIMADA'!$A$18:$A$40,A188)</f>
        <v>0</v>
      </c>
    </row>
    <row r="189" spans="1:6" x14ac:dyDescent="0.3">
      <c r="A189" s="9" t="s">
        <v>118</v>
      </c>
      <c r="B189" s="18" t="str">
        <f>_xlfn.XLOOKUP(A189,CATÁLOGO!$A$2:$A$846,CATÁLOGO!$B$2:$B$846,"FORA DO CATÁLOGO")</f>
        <v>SAI004MGG</v>
      </c>
      <c r="C189" s="11">
        <v>4</v>
      </c>
      <c r="D189" s="11" t="str">
        <f>_xlfn.XLOOKUP(A189,CATÁLOGO!$A$2:$A$846,CATÁLOGO!$E$2:$E$846,"FORA DO CATÁLOGO")</f>
        <v>Ativo</v>
      </c>
      <c r="E189" s="9" t="s">
        <v>1303</v>
      </c>
      <c r="F189" s="52">
        <f>SUMIFS('AVARIA ESTIMADA'!$F$18:$F$40,'AVARIA ESTIMADA'!$A$18:$A$40,A189)</f>
        <v>0</v>
      </c>
    </row>
    <row r="190" spans="1:6" x14ac:dyDescent="0.3">
      <c r="A190" s="9" t="s">
        <v>119</v>
      </c>
      <c r="B190" s="18" t="str">
        <f>_xlfn.XLOOKUP(A190,CATÁLOGO!$A$2:$A$846,CATÁLOGO!$B$2:$B$846,"FORA DO CATÁLOGO")</f>
        <v>SAI005OP</v>
      </c>
      <c r="C190" s="11">
        <v>7</v>
      </c>
      <c r="D190" s="11" t="str">
        <f>_xlfn.XLOOKUP(A190,CATÁLOGO!$A$2:$A$846,CATÁLOGO!$E$2:$E$846,"FORA DO CATÁLOGO")</f>
        <v>Ativo</v>
      </c>
      <c r="E190" s="9" t="s">
        <v>1305</v>
      </c>
      <c r="F190" s="52">
        <f>SUMIFS('AVARIA ESTIMADA'!$F$18:$F$40,'AVARIA ESTIMADA'!$A$18:$A$40,A190)</f>
        <v>0</v>
      </c>
    </row>
    <row r="191" spans="1:6" x14ac:dyDescent="0.3">
      <c r="A191" s="9" t="s">
        <v>120</v>
      </c>
      <c r="B191" s="18" t="str">
        <f>_xlfn.XLOOKUP(A191,CATÁLOGO!$A$2:$A$846,CATÁLOGO!$B$2:$B$846,"FORA DO CATÁLOGO")</f>
        <v>SAI005OM</v>
      </c>
      <c r="C191" s="11">
        <v>6</v>
      </c>
      <c r="D191" s="11" t="str">
        <f>_xlfn.XLOOKUP(A191,CATÁLOGO!$A$2:$A$846,CATÁLOGO!$E$2:$E$846,"FORA DO CATÁLOGO")</f>
        <v>Ativo</v>
      </c>
      <c r="E191" s="9" t="s">
        <v>1304</v>
      </c>
      <c r="F191" s="52">
        <f>SUMIFS('AVARIA ESTIMADA'!$F$18:$F$40,'AVARIA ESTIMADA'!$A$18:$A$40,A191)</f>
        <v>0</v>
      </c>
    </row>
    <row r="192" spans="1:6" x14ac:dyDescent="0.3">
      <c r="A192" s="9" t="s">
        <v>121</v>
      </c>
      <c r="B192" s="18" t="str">
        <f>_xlfn.XLOOKUP(A192,CATÁLOGO!$A$2:$A$846,CATÁLOGO!$B$2:$B$846,"FORA DO CATÁLOGO")</f>
        <v>SAI005OG</v>
      </c>
      <c r="C192" s="11">
        <v>6</v>
      </c>
      <c r="D192" s="11" t="str">
        <f>_xlfn.XLOOKUP(A192,CATÁLOGO!$A$2:$A$846,CATÁLOGO!$E$2:$E$846,"FORA DO CATÁLOGO")</f>
        <v>Ativo</v>
      </c>
      <c r="E192" s="9" t="s">
        <v>1305</v>
      </c>
      <c r="F192" s="52">
        <f>SUMIFS('AVARIA ESTIMADA'!$F$18:$F$40,'AVARIA ESTIMADA'!$A$18:$A$40,A192)</f>
        <v>0</v>
      </c>
    </row>
    <row r="193" spans="1:6" x14ac:dyDescent="0.3">
      <c r="A193" s="9" t="s">
        <v>1313</v>
      </c>
      <c r="B193" s="18" t="str">
        <f>_xlfn.XLOOKUP(A193,CATÁLOGO!$A$2:$A$846,CATÁLOGO!$B$2:$B$846,"FORA DO CATÁLOGO")</f>
        <v>CMS006YM</v>
      </c>
      <c r="C193" s="11">
        <v>2</v>
      </c>
      <c r="D193" s="11" t="str">
        <f>_xlfn.XLOOKUP(A193,CATÁLOGO!$A$2:$A$846,CATÁLOGO!$E$2:$E$846,"FORA DO CATÁLOGO")</f>
        <v>Descontinuado</v>
      </c>
      <c r="E193" s="9" t="s">
        <v>1304</v>
      </c>
      <c r="F193" s="52">
        <f>SUMIFS('AVARIA ESTIMADA'!$F$18:$F$40,'AVARIA ESTIMADA'!$A$18:$A$40,A193)</f>
        <v>0</v>
      </c>
    </row>
    <row r="194" spans="1:6" x14ac:dyDescent="0.3">
      <c r="A194" s="9" t="s">
        <v>1314</v>
      </c>
      <c r="B194" s="18" t="str">
        <f>_xlfn.XLOOKUP(A194,CATÁLOGO!$A$2:$A$846,CATÁLOGO!$B$2:$B$846,"FORA DO CATÁLOGO")</f>
        <v>CAM007CP</v>
      </c>
      <c r="C194" s="11">
        <v>3</v>
      </c>
      <c r="D194" s="11" t="str">
        <f>_xlfn.XLOOKUP(A194,CATÁLOGO!$A$2:$A$846,CATÁLOGO!$E$2:$E$846,"FORA DO CATÁLOGO")</f>
        <v>Descontinuado</v>
      </c>
      <c r="E194" s="9" t="s">
        <v>2006</v>
      </c>
      <c r="F194" s="52">
        <f>SUMIFS('AVARIA ESTIMADA'!$F$18:$F$40,'AVARIA ESTIMADA'!$A$18:$A$40,A194)</f>
        <v>0</v>
      </c>
    </row>
    <row r="195" spans="1:6" x14ac:dyDescent="0.3">
      <c r="A195" s="9" t="s">
        <v>122</v>
      </c>
      <c r="B195" s="18" t="str">
        <f>_xlfn.XLOOKUP(A195,CATÁLOGO!$A$2:$A$846,CATÁLOGO!$B$2:$B$846,"FORA DO CATÁLOGO")</f>
        <v>CAM007CM</v>
      </c>
      <c r="C195" s="11">
        <v>2</v>
      </c>
      <c r="D195" s="11" t="str">
        <f>_xlfn.XLOOKUP(A195,CATÁLOGO!$A$2:$A$846,CATÁLOGO!$E$2:$E$846,"FORA DO CATÁLOGO")</f>
        <v>Descontinuado</v>
      </c>
      <c r="E195" s="9" t="s">
        <v>1303</v>
      </c>
      <c r="F195" s="52">
        <f>SUMIFS('AVARIA ESTIMADA'!$F$18:$F$40,'AVARIA ESTIMADA'!$A$18:$A$40,A195)</f>
        <v>0</v>
      </c>
    </row>
    <row r="196" spans="1:6" x14ac:dyDescent="0.3">
      <c r="A196" s="9" t="s">
        <v>123</v>
      </c>
      <c r="B196" s="18" t="str">
        <f>_xlfn.XLOOKUP(A196,CATÁLOGO!$A$2:$A$846,CATÁLOGO!$B$2:$B$846,"FORA DO CATÁLOGO")</f>
        <v>CAM007CG</v>
      </c>
      <c r="C196" s="11">
        <v>2</v>
      </c>
      <c r="D196" s="11" t="str">
        <f>_xlfn.XLOOKUP(A196,CATÁLOGO!$A$2:$A$846,CATÁLOGO!$E$2:$E$846,"FORA DO CATÁLOGO")</f>
        <v>Descontinuado</v>
      </c>
      <c r="E196" s="9" t="s">
        <v>1304</v>
      </c>
      <c r="F196" s="52">
        <f>SUMIFS('AVARIA ESTIMADA'!$F$18:$F$40,'AVARIA ESTIMADA'!$A$18:$A$40,A196)</f>
        <v>0</v>
      </c>
    </row>
    <row r="197" spans="1:6" x14ac:dyDescent="0.3">
      <c r="A197" s="9" t="s">
        <v>1315</v>
      </c>
      <c r="B197" s="18" t="str">
        <f>_xlfn.XLOOKUP(A197,CATÁLOGO!$A$2:$A$846,CATÁLOGO!$B$2:$B$846,"FORA DO CATÁLOGO")</f>
        <v>CAM007CGG</v>
      </c>
      <c r="C197" s="11">
        <v>2</v>
      </c>
      <c r="D197" s="11" t="str">
        <f>_xlfn.XLOOKUP(A197,CATÁLOGO!$A$2:$A$846,CATÁLOGO!$E$2:$E$846,"FORA DO CATÁLOGO")</f>
        <v>Descontinuado</v>
      </c>
      <c r="E197" s="9" t="s">
        <v>2007</v>
      </c>
      <c r="F197" s="52">
        <f>SUMIFS('AVARIA ESTIMADA'!$F$18:$F$40,'AVARIA ESTIMADA'!$A$18:$A$40,A197)</f>
        <v>0</v>
      </c>
    </row>
    <row r="198" spans="1:6" x14ac:dyDescent="0.3">
      <c r="A198" s="9" t="s">
        <v>1476</v>
      </c>
      <c r="B198" s="18" t="str">
        <f>_xlfn.XLOOKUP(A198,CATÁLOGO!$A$2:$A$846,CATÁLOGO!$B$2:$B$846,"FORA DO CATÁLOGO")</f>
        <v>BER005H36</v>
      </c>
      <c r="C198" s="11">
        <v>1</v>
      </c>
      <c r="D198" s="11" t="str">
        <f>_xlfn.XLOOKUP(A198,CATÁLOGO!$A$2:$A$846,CATÁLOGO!$E$2:$E$846,"FORA DO CATÁLOGO")</f>
        <v>Descontinuado</v>
      </c>
      <c r="E198" s="9" t="s">
        <v>1305</v>
      </c>
      <c r="F198" s="52">
        <f>SUMIFS('AVARIA ESTIMADA'!$F$18:$F$40,'AVARIA ESTIMADA'!$A$18:$A$40,A198)</f>
        <v>0</v>
      </c>
    </row>
    <row r="199" spans="1:6" x14ac:dyDescent="0.3">
      <c r="A199" s="9" t="s">
        <v>1475</v>
      </c>
      <c r="B199" s="18" t="str">
        <f>_xlfn.XLOOKUP(A199,CATÁLOGO!$A$2:$A$846,CATÁLOGO!$B$2:$B$846,"FORA DO CATÁLOGO")</f>
        <v>BER005H38</v>
      </c>
      <c r="C199" s="11">
        <v>3</v>
      </c>
      <c r="D199" s="11" t="str">
        <f>_xlfn.XLOOKUP(A199,CATÁLOGO!$A$2:$A$846,CATÁLOGO!$E$2:$E$846,"FORA DO CATÁLOGO")</f>
        <v>Descontinuado</v>
      </c>
      <c r="E199" s="9" t="s">
        <v>1305</v>
      </c>
      <c r="F199" s="52">
        <f>SUMIFS('AVARIA ESTIMADA'!$F$18:$F$40,'AVARIA ESTIMADA'!$A$18:$A$40,A199)</f>
        <v>0</v>
      </c>
    </row>
    <row r="200" spans="1:6" x14ac:dyDescent="0.3">
      <c r="A200" s="9" t="s">
        <v>1474</v>
      </c>
      <c r="B200" s="18" t="str">
        <f>_xlfn.XLOOKUP(A200,CATÁLOGO!$A$2:$A$846,CATÁLOGO!$B$2:$B$846,"FORA DO CATÁLOGO")</f>
        <v>BER005H40</v>
      </c>
      <c r="C200" s="11">
        <v>3</v>
      </c>
      <c r="D200" s="11" t="str">
        <f>_xlfn.XLOOKUP(A200,CATÁLOGO!$A$2:$A$846,CATÁLOGO!$E$2:$E$846,"FORA DO CATÁLOGO")</f>
        <v>Descontinuado</v>
      </c>
      <c r="E200" s="9" t="s">
        <v>1305</v>
      </c>
      <c r="F200" s="52">
        <f>SUMIFS('AVARIA ESTIMADA'!$F$18:$F$40,'AVARIA ESTIMADA'!$A$18:$A$40,A200)</f>
        <v>0</v>
      </c>
    </row>
    <row r="201" spans="1:6" x14ac:dyDescent="0.3">
      <c r="A201" s="9" t="s">
        <v>1470</v>
      </c>
      <c r="B201" s="18" t="str">
        <f>_xlfn.XLOOKUP(A201,CATÁLOGO!$A$2:$A$846,CATÁLOGO!$B$2:$B$846,"FORA DO CATÁLOGO")</f>
        <v>BER005H42</v>
      </c>
      <c r="C201" s="11">
        <v>1</v>
      </c>
      <c r="D201" s="11" t="str">
        <f>_xlfn.XLOOKUP(A201,CATÁLOGO!$A$2:$A$846,CATÁLOGO!$E$2:$E$846,"FORA DO CATÁLOGO")</f>
        <v>Descontinuado</v>
      </c>
      <c r="E201" s="9" t="s">
        <v>2007</v>
      </c>
      <c r="F201" s="52">
        <f>SUMIFS('AVARIA ESTIMADA'!$F$18:$F$40,'AVARIA ESTIMADA'!$A$18:$A$40,A201)</f>
        <v>0</v>
      </c>
    </row>
    <row r="202" spans="1:6" x14ac:dyDescent="0.3">
      <c r="A202" s="9" t="s">
        <v>124</v>
      </c>
      <c r="B202" s="18" t="str">
        <f>_xlfn.XLOOKUP(A202,CATÁLOGO!$A$2:$A$846,CATÁLOGO!$B$2:$B$846,"FORA DO CATÁLOGO")</f>
        <v>TOP004VP</v>
      </c>
      <c r="C202" s="11">
        <v>4</v>
      </c>
      <c r="D202" s="11" t="str">
        <f>_xlfn.XLOOKUP(A202,CATÁLOGO!$A$2:$A$846,CATÁLOGO!$E$2:$E$846,"FORA DO CATÁLOGO")</f>
        <v>Ativo</v>
      </c>
      <c r="E202" s="9" t="s">
        <v>1304</v>
      </c>
      <c r="F202" s="52">
        <f>SUMIFS('AVARIA ESTIMADA'!$F$18:$F$40,'AVARIA ESTIMADA'!$A$18:$A$40,A202)</f>
        <v>0</v>
      </c>
    </row>
    <row r="203" spans="1:6" x14ac:dyDescent="0.3">
      <c r="A203" s="9" t="s">
        <v>125</v>
      </c>
      <c r="B203" s="18" t="str">
        <f>_xlfn.XLOOKUP(A203,CATÁLOGO!$A$2:$A$846,CATÁLOGO!$B$2:$B$846,"FORA DO CATÁLOGO")</f>
        <v>TOP004VM</v>
      </c>
      <c r="C203" s="11">
        <v>5</v>
      </c>
      <c r="D203" s="11" t="str">
        <f>_xlfn.XLOOKUP(A203,CATÁLOGO!$A$2:$A$846,CATÁLOGO!$E$2:$E$846,"FORA DO CATÁLOGO")</f>
        <v>Ativo</v>
      </c>
      <c r="E203" s="9" t="s">
        <v>1303</v>
      </c>
      <c r="F203" s="52">
        <f>SUMIFS('AVARIA ESTIMADA'!$F$18:$F$40,'AVARIA ESTIMADA'!$A$18:$A$40,A203)</f>
        <v>0</v>
      </c>
    </row>
    <row r="204" spans="1:6" x14ac:dyDescent="0.3">
      <c r="A204" s="9" t="s">
        <v>127</v>
      </c>
      <c r="B204" s="18" t="str">
        <f>_xlfn.XLOOKUP(A204,CATÁLOGO!$A$2:$A$846,CATÁLOGO!$B$2:$B$846,"FORA DO CATÁLOGO")</f>
        <v>TOP004VGG</v>
      </c>
      <c r="C204" s="11">
        <v>2</v>
      </c>
      <c r="D204" s="11" t="str">
        <f>_xlfn.XLOOKUP(A204,CATÁLOGO!$A$2:$A$846,CATÁLOGO!$E$2:$E$846,"FORA DO CATÁLOGO")</f>
        <v>Ativo</v>
      </c>
      <c r="E204" s="9" t="s">
        <v>1303</v>
      </c>
      <c r="F204" s="52">
        <f>SUMIFS('AVARIA ESTIMADA'!$F$18:$F$40,'AVARIA ESTIMADA'!$A$18:$A$40,A204)</f>
        <v>0</v>
      </c>
    </row>
    <row r="205" spans="1:6" x14ac:dyDescent="0.3">
      <c r="A205" s="9" t="s">
        <v>128</v>
      </c>
      <c r="B205" s="18" t="str">
        <f>_xlfn.XLOOKUP(A205,CATÁLOGO!$A$2:$A$846,CATÁLOGO!$B$2:$B$846,"FORA DO CATÁLOGO")</f>
        <v>MOL007CP</v>
      </c>
      <c r="C205" s="11">
        <v>1</v>
      </c>
      <c r="D205" s="11" t="str">
        <f>_xlfn.XLOOKUP(A205,CATÁLOGO!$A$2:$A$846,CATÁLOGO!$E$2:$E$846,"FORA DO CATÁLOGO")</f>
        <v>Descontinuado</v>
      </c>
      <c r="E205" s="9" t="s">
        <v>1303</v>
      </c>
      <c r="F205" s="52">
        <f>SUMIFS('AVARIA ESTIMADA'!$F$18:$F$40,'AVARIA ESTIMADA'!$A$18:$A$40,A205)</f>
        <v>0</v>
      </c>
    </row>
    <row r="206" spans="1:6" x14ac:dyDescent="0.3">
      <c r="A206" s="9" t="s">
        <v>129</v>
      </c>
      <c r="B206" s="18" t="str">
        <f>_xlfn.XLOOKUP(A206,CATÁLOGO!$A$2:$A$846,CATÁLOGO!$B$2:$B$846,"FORA DO CATÁLOGO")</f>
        <v>MOL007CM</v>
      </c>
      <c r="C206" s="11">
        <v>3</v>
      </c>
      <c r="D206" s="11" t="str">
        <f>_xlfn.XLOOKUP(A206,CATÁLOGO!$A$2:$A$846,CATÁLOGO!$E$2:$E$846,"FORA DO CATÁLOGO")</f>
        <v>Descontinuado</v>
      </c>
      <c r="E206" s="9" t="s">
        <v>1303</v>
      </c>
      <c r="F206" s="52">
        <f>SUMIFS('AVARIA ESTIMADA'!$F$18:$F$40,'AVARIA ESTIMADA'!$A$18:$A$40,A206)</f>
        <v>0</v>
      </c>
    </row>
    <row r="207" spans="1:6" x14ac:dyDescent="0.3">
      <c r="A207" s="9" t="s">
        <v>1255</v>
      </c>
      <c r="B207" s="18" t="str">
        <f>_xlfn.XLOOKUP(A207,CATÁLOGO!$A$2:$A$846,CATÁLOGO!$B$2:$B$846,"FORA DO CATÁLOGO")</f>
        <v>MOL007CG</v>
      </c>
      <c r="C207" s="11">
        <v>3</v>
      </c>
      <c r="D207" s="11" t="str">
        <f>_xlfn.XLOOKUP(A207,CATÁLOGO!$A$2:$A$846,CATÁLOGO!$E$2:$E$846,"FORA DO CATÁLOGO")</f>
        <v>Descontinuado</v>
      </c>
      <c r="E207" s="9" t="s">
        <v>1304</v>
      </c>
      <c r="F207" s="52">
        <f>SUMIFS('AVARIA ESTIMADA'!$F$18:$F$40,'AVARIA ESTIMADA'!$A$18:$A$40,A207)</f>
        <v>0</v>
      </c>
    </row>
    <row r="208" spans="1:6" x14ac:dyDescent="0.3">
      <c r="A208" s="9" t="s">
        <v>130</v>
      </c>
      <c r="B208" s="18" t="str">
        <f>_xlfn.XLOOKUP(A208,CATÁLOGO!$A$2:$A$846,CATÁLOGO!$B$2:$B$846,"FORA DO CATÁLOGO")</f>
        <v>MOL007CGG</v>
      </c>
      <c r="C208" s="11">
        <v>1</v>
      </c>
      <c r="D208" s="11" t="str">
        <f>_xlfn.XLOOKUP(A208,CATÁLOGO!$A$2:$A$846,CATÁLOGO!$E$2:$E$846,"FORA DO CATÁLOGO")</f>
        <v>Descontinuado</v>
      </c>
      <c r="E208" s="9" t="s">
        <v>1305</v>
      </c>
      <c r="F208" s="52">
        <f>SUMIFS('AVARIA ESTIMADA'!$F$18:$F$40,'AVARIA ESTIMADA'!$A$18:$A$40,A208)</f>
        <v>0</v>
      </c>
    </row>
    <row r="209" spans="1:6" x14ac:dyDescent="0.3">
      <c r="A209" s="9" t="s">
        <v>1256</v>
      </c>
      <c r="B209" s="18" t="str">
        <f>_xlfn.XLOOKUP(A209,CATÁLOGO!$A$2:$A$846,CATÁLOGO!$B$2:$B$846,"FORA DO CATÁLOGO")</f>
        <v>MOL008HP</v>
      </c>
      <c r="C209" s="11">
        <v>1</v>
      </c>
      <c r="D209" s="11" t="str">
        <f>_xlfn.XLOOKUP(A209,CATÁLOGO!$A$2:$A$846,CATÁLOGO!$E$2:$E$846,"FORA DO CATÁLOGO")</f>
        <v>Descontinuado</v>
      </c>
      <c r="E209" s="9" t="s">
        <v>1305</v>
      </c>
      <c r="F209" s="52">
        <f>SUMIFS('AVARIA ESTIMADA'!$F$18:$F$40,'AVARIA ESTIMADA'!$A$18:$A$40,A209)</f>
        <v>0</v>
      </c>
    </row>
    <row r="210" spans="1:6" x14ac:dyDescent="0.3">
      <c r="A210" s="9" t="s">
        <v>131</v>
      </c>
      <c r="B210" s="18" t="str">
        <f>_xlfn.XLOOKUP(A210,CATÁLOGO!$A$2:$A$846,CATÁLOGO!$B$2:$B$846,"FORA DO CATÁLOGO")</f>
        <v>MOL008HM</v>
      </c>
      <c r="C210" s="11">
        <v>1</v>
      </c>
      <c r="D210" s="11" t="str">
        <f>_xlfn.XLOOKUP(A210,CATÁLOGO!$A$2:$A$846,CATÁLOGO!$E$2:$E$846,"FORA DO CATÁLOGO")</f>
        <v>Descontinuado</v>
      </c>
      <c r="E210" s="9" t="s">
        <v>1305</v>
      </c>
      <c r="F210" s="52">
        <f>SUMIFS('AVARIA ESTIMADA'!$F$18:$F$40,'AVARIA ESTIMADA'!$A$18:$A$40,A210)</f>
        <v>0</v>
      </c>
    </row>
    <row r="211" spans="1:6" x14ac:dyDescent="0.3">
      <c r="A211" s="9" t="s">
        <v>133</v>
      </c>
      <c r="B211" s="18" t="str">
        <f>_xlfn.XLOOKUP(A211,CATÁLOGO!$A$2:$A$846,CATÁLOGO!$B$2:$B$846,"FORA DO CATÁLOGO")</f>
        <v>MOL008HGG</v>
      </c>
      <c r="C211" s="11">
        <v>1</v>
      </c>
      <c r="D211" s="11" t="str">
        <f>_xlfn.XLOOKUP(A211,CATÁLOGO!$A$2:$A$846,CATÁLOGO!$E$2:$E$846,"FORA DO CATÁLOGO")</f>
        <v>Descontinuado</v>
      </c>
      <c r="E211" s="9" t="s">
        <v>1303</v>
      </c>
      <c r="F211" s="52">
        <f>SUMIFS('AVARIA ESTIMADA'!$F$18:$F$40,'AVARIA ESTIMADA'!$A$18:$A$40,A211)</f>
        <v>1</v>
      </c>
    </row>
    <row r="212" spans="1:6" x14ac:dyDescent="0.3">
      <c r="A212" s="9" t="s">
        <v>1278</v>
      </c>
      <c r="B212" s="18" t="str">
        <f>_xlfn.XLOOKUP(A212,CATÁLOGO!$A$2:$A$846,CATÁLOGO!$B$2:$B$846,"FORA DO CATÁLOGO")</f>
        <v>MOL008LP</v>
      </c>
      <c r="C212" s="11">
        <v>1</v>
      </c>
      <c r="D212" s="11" t="str">
        <f>_xlfn.XLOOKUP(A212,CATÁLOGO!$A$2:$A$846,CATÁLOGO!$E$2:$E$846,"FORA DO CATÁLOGO")</f>
        <v>Descontinuado</v>
      </c>
      <c r="E212" s="9" t="s">
        <v>1305</v>
      </c>
      <c r="F212" s="52">
        <f>SUMIFS('AVARIA ESTIMADA'!$F$18:$F$40,'AVARIA ESTIMADA'!$A$18:$A$40,A212)</f>
        <v>0</v>
      </c>
    </row>
    <row r="213" spans="1:6" x14ac:dyDescent="0.3">
      <c r="A213" s="9" t="s">
        <v>134</v>
      </c>
      <c r="B213" s="18" t="str">
        <f>_xlfn.XLOOKUP(A213,CATÁLOGO!$A$2:$A$846,CATÁLOGO!$B$2:$B$846,"FORA DO CATÁLOGO")</f>
        <v>MOL008LM</v>
      </c>
      <c r="C213" s="11">
        <v>1</v>
      </c>
      <c r="D213" s="11" t="str">
        <f>_xlfn.XLOOKUP(A213,CATÁLOGO!$A$2:$A$846,CATÁLOGO!$E$2:$E$846,"FORA DO CATÁLOGO")</f>
        <v>Descontinuado</v>
      </c>
      <c r="E213" s="9" t="s">
        <v>1305</v>
      </c>
      <c r="F213" s="52">
        <f>SUMIFS('AVARIA ESTIMADA'!$F$18:$F$40,'AVARIA ESTIMADA'!$A$18:$A$40,A213)</f>
        <v>0</v>
      </c>
    </row>
    <row r="214" spans="1:6" x14ac:dyDescent="0.3">
      <c r="A214" s="9" t="s">
        <v>136</v>
      </c>
      <c r="B214" s="18" t="str">
        <f>_xlfn.XLOOKUP(A214,CATÁLOGO!$A$2:$A$846,CATÁLOGO!$B$2:$B$846,"FORA DO CATÁLOGO")</f>
        <v>MOL008LGG</v>
      </c>
      <c r="C214" s="11">
        <v>2</v>
      </c>
      <c r="D214" s="11" t="str">
        <f>_xlfn.XLOOKUP(A214,CATÁLOGO!$A$2:$A$846,CATÁLOGO!$E$2:$E$846,"FORA DO CATÁLOGO")</f>
        <v>Descontinuado</v>
      </c>
      <c r="E214" s="9" t="s">
        <v>1305</v>
      </c>
      <c r="F214" s="52">
        <f>SUMIFS('AVARIA ESTIMADA'!$F$18:$F$40,'AVARIA ESTIMADA'!$A$18:$A$40,A214)</f>
        <v>0</v>
      </c>
    </row>
    <row r="215" spans="1:6" x14ac:dyDescent="0.3">
      <c r="A215" s="9" t="s">
        <v>137</v>
      </c>
      <c r="B215" s="18" t="str">
        <f>_xlfn.XLOOKUP(A215,CATÁLOGO!$A$2:$A$846,CATÁLOGO!$B$2:$B$846,"FORA DO CATÁLOGO")</f>
        <v>VES002MP</v>
      </c>
      <c r="C215" s="11">
        <v>6</v>
      </c>
      <c r="D215" s="11" t="str">
        <f>_xlfn.XLOOKUP(A215,CATÁLOGO!$A$2:$A$846,CATÁLOGO!$E$2:$E$846,"FORA DO CATÁLOGO")</f>
        <v>Ativo</v>
      </c>
      <c r="E215" s="9" t="s">
        <v>1303</v>
      </c>
      <c r="F215" s="52">
        <f>SUMIFS('AVARIA ESTIMADA'!$F$18:$F$40,'AVARIA ESTIMADA'!$A$18:$A$40,A215)</f>
        <v>0</v>
      </c>
    </row>
    <row r="216" spans="1:6" x14ac:dyDescent="0.3">
      <c r="A216" s="9" t="s">
        <v>138</v>
      </c>
      <c r="B216" s="18" t="str">
        <f>_xlfn.XLOOKUP(A216,CATÁLOGO!$A$2:$A$846,CATÁLOGO!$B$2:$B$846,"FORA DO CATÁLOGO")</f>
        <v>VES002MM</v>
      </c>
      <c r="C216" s="11">
        <v>6</v>
      </c>
      <c r="D216" s="11" t="str">
        <f>_xlfn.XLOOKUP(A216,CATÁLOGO!$A$2:$A$846,CATÁLOGO!$E$2:$E$846,"FORA DO CATÁLOGO")</f>
        <v>Ativo</v>
      </c>
      <c r="E216" s="9" t="s">
        <v>1305</v>
      </c>
      <c r="F216" s="52">
        <f>SUMIFS('AVARIA ESTIMADA'!$F$18:$F$40,'AVARIA ESTIMADA'!$A$18:$A$40,A216)</f>
        <v>0</v>
      </c>
    </row>
    <row r="217" spans="1:6" x14ac:dyDescent="0.3">
      <c r="A217" s="9" t="s">
        <v>139</v>
      </c>
      <c r="B217" s="18" t="str">
        <f>_xlfn.XLOOKUP(A217,CATÁLOGO!$A$2:$A$846,CATÁLOGO!$B$2:$B$846,"FORA DO CATÁLOGO")</f>
        <v>VES002MG</v>
      </c>
      <c r="C217" s="11">
        <v>6</v>
      </c>
      <c r="D217" s="11" t="str">
        <f>_xlfn.XLOOKUP(A217,CATÁLOGO!$A$2:$A$846,CATÁLOGO!$E$2:$E$846,"FORA DO CATÁLOGO")</f>
        <v>Ativo</v>
      </c>
      <c r="E217" s="9" t="s">
        <v>1305</v>
      </c>
      <c r="F217" s="52">
        <f>SUMIFS('AVARIA ESTIMADA'!$F$18:$F$40,'AVARIA ESTIMADA'!$A$18:$A$40,A217)</f>
        <v>0</v>
      </c>
    </row>
    <row r="218" spans="1:6" x14ac:dyDescent="0.3">
      <c r="A218" s="9" t="s">
        <v>140</v>
      </c>
      <c r="B218" s="18" t="str">
        <f>_xlfn.XLOOKUP(A218,CATÁLOGO!$A$2:$A$846,CATÁLOGO!$B$2:$B$846,"FORA DO CATÁLOGO")</f>
        <v>VES002MGG</v>
      </c>
      <c r="C218" s="11">
        <v>4</v>
      </c>
      <c r="D218" s="11" t="str">
        <f>_xlfn.XLOOKUP(A218,CATÁLOGO!$A$2:$A$846,CATÁLOGO!$E$2:$E$846,"FORA DO CATÁLOGO")</f>
        <v>Ativo</v>
      </c>
      <c r="E218" s="9" t="s">
        <v>1305</v>
      </c>
      <c r="F218" s="52">
        <f>SUMIFS('AVARIA ESTIMADA'!$F$18:$F$40,'AVARIA ESTIMADA'!$A$18:$A$40,A218)</f>
        <v>0</v>
      </c>
    </row>
    <row r="219" spans="1:6" x14ac:dyDescent="0.3">
      <c r="A219" s="9" t="s">
        <v>141</v>
      </c>
      <c r="B219" s="18" t="str">
        <f>_xlfn.XLOOKUP(A219,CATÁLOGO!$A$2:$A$846,CATÁLOGO!$B$2:$B$846,"FORA DO CATÁLOGO")</f>
        <v>TOP005OP</v>
      </c>
      <c r="C219" s="11">
        <v>2</v>
      </c>
      <c r="D219" s="11" t="str">
        <f>_xlfn.XLOOKUP(A219,CATÁLOGO!$A$2:$A$846,CATÁLOGO!$E$2:$E$846,"FORA DO CATÁLOGO")</f>
        <v>Ativo</v>
      </c>
      <c r="E219" s="9" t="s">
        <v>1304</v>
      </c>
      <c r="F219" s="52">
        <f>SUMIFS('AVARIA ESTIMADA'!$F$18:$F$40,'AVARIA ESTIMADA'!$A$18:$A$40,A219)</f>
        <v>0</v>
      </c>
    </row>
    <row r="220" spans="1:6" x14ac:dyDescent="0.3">
      <c r="A220" s="9" t="s">
        <v>142</v>
      </c>
      <c r="B220" s="18" t="str">
        <f>_xlfn.XLOOKUP(A220,CATÁLOGO!$A$2:$A$846,CATÁLOGO!$B$2:$B$846,"FORA DO CATÁLOGO")</f>
        <v>TOP005OM</v>
      </c>
      <c r="C220" s="11">
        <v>3</v>
      </c>
      <c r="D220" s="11" t="str">
        <f>_xlfn.XLOOKUP(A220,CATÁLOGO!$A$2:$A$846,CATÁLOGO!$E$2:$E$846,"FORA DO CATÁLOGO")</f>
        <v>Ativo</v>
      </c>
      <c r="E220" s="9" t="s">
        <v>1305</v>
      </c>
      <c r="F220" s="52">
        <f>SUMIFS('AVARIA ESTIMADA'!$F$18:$F$40,'AVARIA ESTIMADA'!$A$18:$A$40,A220)</f>
        <v>0</v>
      </c>
    </row>
    <row r="221" spans="1:6" x14ac:dyDescent="0.3">
      <c r="A221" s="9" t="s">
        <v>143</v>
      </c>
      <c r="B221" s="18" t="str">
        <f>_xlfn.XLOOKUP(A221,CATÁLOGO!$A$2:$A$846,CATÁLOGO!$B$2:$B$846,"FORA DO CATÁLOGO")</f>
        <v>TOP005OG</v>
      </c>
      <c r="C221" s="11">
        <v>3</v>
      </c>
      <c r="D221" s="11" t="str">
        <f>_xlfn.XLOOKUP(A221,CATÁLOGO!$A$2:$A$846,CATÁLOGO!$E$2:$E$846,"FORA DO CATÁLOGO")</f>
        <v>Ativo</v>
      </c>
      <c r="E221" s="9" t="s">
        <v>1303</v>
      </c>
      <c r="F221" s="52">
        <f>SUMIFS('AVARIA ESTIMADA'!$F$18:$F$40,'AVARIA ESTIMADA'!$A$18:$A$40,A221)</f>
        <v>0</v>
      </c>
    </row>
    <row r="222" spans="1:6" x14ac:dyDescent="0.3">
      <c r="A222" s="9" t="s">
        <v>144</v>
      </c>
      <c r="B222" s="18" t="str">
        <f>_xlfn.XLOOKUP(A222,CATÁLOGO!$A$2:$A$846,CATÁLOGO!$B$2:$B$846,"FORA DO CATÁLOGO")</f>
        <v>TOP005OGG</v>
      </c>
      <c r="C222" s="11">
        <v>1</v>
      </c>
      <c r="D222" s="11" t="str">
        <f>_xlfn.XLOOKUP(A222,CATÁLOGO!$A$2:$A$846,CATÁLOGO!$E$2:$E$846,"FORA DO CATÁLOGO")</f>
        <v>Ativo</v>
      </c>
      <c r="E222" s="9" t="s">
        <v>1303</v>
      </c>
      <c r="F222" s="52">
        <f>SUMIFS('AVARIA ESTIMADA'!$F$18:$F$40,'AVARIA ESTIMADA'!$A$18:$A$40,A222)</f>
        <v>0</v>
      </c>
    </row>
    <row r="223" spans="1:6" x14ac:dyDescent="0.3">
      <c r="A223" s="9" t="s">
        <v>145</v>
      </c>
      <c r="B223" s="18" t="str">
        <f>_xlfn.XLOOKUP(A223,CATÁLOGO!$A$2:$A$846,CATÁLOGO!$B$2:$B$846,"FORA DO CATÁLOGO")</f>
        <v>VES003CP</v>
      </c>
      <c r="C223" s="11">
        <v>3</v>
      </c>
      <c r="D223" s="11" t="str">
        <f>_xlfn.XLOOKUP(A223,CATÁLOGO!$A$2:$A$846,CATÁLOGO!$E$2:$E$846,"FORA DO CATÁLOGO")</f>
        <v>Descontinuado</v>
      </c>
      <c r="E223" s="9" t="s">
        <v>1304</v>
      </c>
      <c r="F223" s="52">
        <f>SUMIFS('AVARIA ESTIMADA'!$F$18:$F$40,'AVARIA ESTIMADA'!$A$18:$A$40,A223)</f>
        <v>0</v>
      </c>
    </row>
    <row r="224" spans="1:6" x14ac:dyDescent="0.3">
      <c r="A224" s="9" t="s">
        <v>1279</v>
      </c>
      <c r="B224" s="18" t="str">
        <f>_xlfn.XLOOKUP(A224,CATÁLOGO!$A$2:$A$846,CATÁLOGO!$B$2:$B$846,"FORA DO CATÁLOGO")</f>
        <v>VES003CM</v>
      </c>
      <c r="C224" s="11">
        <v>0</v>
      </c>
      <c r="D224" s="11" t="str">
        <f>_xlfn.XLOOKUP(A224,CATÁLOGO!$A$2:$A$846,CATÁLOGO!$E$2:$E$846,"FORA DO CATÁLOGO")</f>
        <v>Descontinuado</v>
      </c>
      <c r="E224" s="9" t="s">
        <v>1304</v>
      </c>
      <c r="F224" s="52">
        <f>SUMIFS('AVARIA ESTIMADA'!$F$18:$F$40,'AVARIA ESTIMADA'!$A$18:$A$40,A224)</f>
        <v>0</v>
      </c>
    </row>
    <row r="225" spans="1:6" x14ac:dyDescent="0.3">
      <c r="A225" s="9" t="s">
        <v>146</v>
      </c>
      <c r="B225" s="18" t="str">
        <f>_xlfn.XLOOKUP(A225,CATÁLOGO!$A$2:$A$846,CATÁLOGO!$B$2:$B$846,"FORA DO CATÁLOGO")</f>
        <v>VES003CG</v>
      </c>
      <c r="C225" s="11">
        <v>3</v>
      </c>
      <c r="D225" s="11" t="str">
        <f>_xlfn.XLOOKUP(A225,CATÁLOGO!$A$2:$A$846,CATÁLOGO!$E$2:$E$846,"FORA DO CATÁLOGO")</f>
        <v>Descontinuado</v>
      </c>
      <c r="E225" s="9" t="s">
        <v>1304</v>
      </c>
      <c r="F225" s="52">
        <f>SUMIFS('AVARIA ESTIMADA'!$F$18:$F$40,'AVARIA ESTIMADA'!$A$18:$A$40,A225)</f>
        <v>0</v>
      </c>
    </row>
    <row r="226" spans="1:6" x14ac:dyDescent="0.3">
      <c r="A226" s="9" t="s">
        <v>147</v>
      </c>
      <c r="B226" s="18" t="str">
        <f>_xlfn.XLOOKUP(A226,CATÁLOGO!$A$2:$A$846,CATÁLOGO!$B$2:$B$846,"FORA DO CATÁLOGO")</f>
        <v>VES003CGG</v>
      </c>
      <c r="C226" s="11">
        <v>2</v>
      </c>
      <c r="D226" s="11" t="str">
        <f>_xlfn.XLOOKUP(A226,CATÁLOGO!$A$2:$A$846,CATÁLOGO!$E$2:$E$846,"FORA DO CATÁLOGO")</f>
        <v>Descontinuado</v>
      </c>
      <c r="E226" s="9" t="s">
        <v>1304</v>
      </c>
      <c r="F226" s="52">
        <f>SUMIFS('AVARIA ESTIMADA'!$F$18:$F$40,'AVARIA ESTIMADA'!$A$18:$A$40,A226)</f>
        <v>0</v>
      </c>
    </row>
    <row r="227" spans="1:6" x14ac:dyDescent="0.3">
      <c r="A227" s="9" t="s">
        <v>1280</v>
      </c>
      <c r="B227" s="18" t="str">
        <f>_xlfn.XLOOKUP(A227,CATÁLOGO!$A$2:$A$846,CATÁLOGO!$B$2:$B$846,"FORA DO CATÁLOGO")</f>
        <v>VES003YP</v>
      </c>
      <c r="C227" s="11">
        <v>2</v>
      </c>
      <c r="D227" s="11" t="str">
        <f>_xlfn.XLOOKUP(A227,CATÁLOGO!$A$2:$A$846,CATÁLOGO!$E$2:$E$846,"FORA DO CATÁLOGO")</f>
        <v>Descontinuado</v>
      </c>
      <c r="E227" s="9" t="s">
        <v>1305</v>
      </c>
      <c r="F227" s="52">
        <f>SUMIFS('AVARIA ESTIMADA'!$F$18:$F$40,'AVARIA ESTIMADA'!$A$18:$A$40,A227)</f>
        <v>0</v>
      </c>
    </row>
    <row r="228" spans="1:6" x14ac:dyDescent="0.3">
      <c r="A228" s="9" t="s">
        <v>1929</v>
      </c>
      <c r="B228" s="18" t="str">
        <f>_xlfn.XLOOKUP(A228,CATÁLOGO!$A$2:$A$846,CATÁLOGO!$B$2:$B$846,"FORA DO CATÁLOGO")</f>
        <v>VES004YPP</v>
      </c>
      <c r="C228" s="11">
        <v>1</v>
      </c>
      <c r="D228" s="11" t="str">
        <f>_xlfn.XLOOKUP(A228,CATÁLOGO!$A$2:$A$846,CATÁLOGO!$E$2:$E$846,"FORA DO CATÁLOGO")</f>
        <v>Descontinuado</v>
      </c>
      <c r="E228" s="9" t="s">
        <v>1304</v>
      </c>
      <c r="F228" s="52">
        <f>SUMIFS('AVARIA ESTIMADA'!$F$18:$F$40,'AVARIA ESTIMADA'!$A$18:$A$40,A228)</f>
        <v>0</v>
      </c>
    </row>
    <row r="229" spans="1:6" x14ac:dyDescent="0.3">
      <c r="A229" s="9" t="s">
        <v>149</v>
      </c>
      <c r="B229" s="18" t="str">
        <f>_xlfn.XLOOKUP(A229,CATÁLOGO!$A$2:$A$846,CATÁLOGO!$B$2:$B$846,"FORA DO CATÁLOGO")</f>
        <v>VES004YP</v>
      </c>
      <c r="C229" s="11">
        <v>2</v>
      </c>
      <c r="D229" s="11" t="str">
        <f>_xlfn.XLOOKUP(A229,CATÁLOGO!$A$2:$A$846,CATÁLOGO!$E$2:$E$846,"FORA DO CATÁLOGO")</f>
        <v>Descontinuado</v>
      </c>
      <c r="E229" s="9" t="s">
        <v>1305</v>
      </c>
      <c r="F229" s="52">
        <f>SUMIFS('AVARIA ESTIMADA'!$F$18:$F$40,'AVARIA ESTIMADA'!$A$18:$A$40,A229)</f>
        <v>0</v>
      </c>
    </row>
    <row r="230" spans="1:6" x14ac:dyDescent="0.3">
      <c r="A230" s="9" t="s">
        <v>150</v>
      </c>
      <c r="B230" s="18" t="str">
        <f>_xlfn.XLOOKUP(A230,CATÁLOGO!$A$2:$A$846,CATÁLOGO!$B$2:$B$846,"FORA DO CATÁLOGO")</f>
        <v>VES004YM</v>
      </c>
      <c r="C230" s="11">
        <v>3</v>
      </c>
      <c r="D230" s="11" t="str">
        <f>_xlfn.XLOOKUP(A230,CATÁLOGO!$A$2:$A$846,CATÁLOGO!$E$2:$E$846,"FORA DO CATÁLOGO")</f>
        <v>Descontinuado</v>
      </c>
      <c r="E230" s="9" t="s">
        <v>1305</v>
      </c>
      <c r="F230" s="52">
        <f>SUMIFS('AVARIA ESTIMADA'!$F$18:$F$40,'AVARIA ESTIMADA'!$A$18:$A$40,A230)</f>
        <v>0</v>
      </c>
    </row>
    <row r="231" spans="1:6" x14ac:dyDescent="0.3">
      <c r="A231" s="9" t="s">
        <v>151</v>
      </c>
      <c r="B231" s="18" t="str">
        <f>_xlfn.XLOOKUP(A231,CATÁLOGO!$A$2:$A$846,CATÁLOGO!$B$2:$B$846,"FORA DO CATÁLOGO")</f>
        <v>VES004YGG</v>
      </c>
      <c r="C231" s="11">
        <v>1</v>
      </c>
      <c r="D231" s="11" t="str">
        <f>_xlfn.XLOOKUP(A231,CATÁLOGO!$A$2:$A$846,CATÁLOGO!$E$2:$E$846,"FORA DO CATÁLOGO")</f>
        <v>Descontinuado</v>
      </c>
      <c r="E231" s="9" t="s">
        <v>1304</v>
      </c>
      <c r="F231" s="52">
        <f>SUMIFS('AVARIA ESTIMADA'!$F$18:$F$40,'AVARIA ESTIMADA'!$A$18:$A$40,A231)</f>
        <v>0</v>
      </c>
    </row>
    <row r="232" spans="1:6" x14ac:dyDescent="0.3">
      <c r="A232" s="9" t="s">
        <v>152</v>
      </c>
      <c r="B232" s="18" t="str">
        <f>_xlfn.XLOOKUP(A232,CATÁLOGO!$A$2:$A$846,CATÁLOGO!$B$2:$B$846,"FORA DO CATÁLOGO")</f>
        <v>VES005PP</v>
      </c>
      <c r="C232" s="11">
        <v>3</v>
      </c>
      <c r="D232" s="11" t="str">
        <f>_xlfn.XLOOKUP(A232,CATÁLOGO!$A$2:$A$846,CATÁLOGO!$E$2:$E$846,"FORA DO CATÁLOGO")</f>
        <v>Descontinuado</v>
      </c>
      <c r="E232" s="9" t="s">
        <v>1304</v>
      </c>
      <c r="F232" s="52">
        <f>SUMIFS('AVARIA ESTIMADA'!$F$18:$F$40,'AVARIA ESTIMADA'!$A$18:$A$40,A232)</f>
        <v>0</v>
      </c>
    </row>
    <row r="233" spans="1:6" x14ac:dyDescent="0.3">
      <c r="A233" s="9" t="s">
        <v>153</v>
      </c>
      <c r="B233" s="18" t="str">
        <f>_xlfn.XLOOKUP(A233,CATÁLOGO!$A$2:$A$846,CATÁLOGO!$B$2:$B$846,"FORA DO CATÁLOGO")</f>
        <v>VES005PM</v>
      </c>
      <c r="C233" s="11">
        <v>5</v>
      </c>
      <c r="D233" s="11" t="str">
        <f>_xlfn.XLOOKUP(A233,CATÁLOGO!$A$2:$A$846,CATÁLOGO!$E$2:$E$846,"FORA DO CATÁLOGO")</f>
        <v>Descontinuado</v>
      </c>
      <c r="E233" s="9" t="s">
        <v>1305</v>
      </c>
      <c r="F233" s="52">
        <f>SUMIFS('AVARIA ESTIMADA'!$F$18:$F$40,'AVARIA ESTIMADA'!$A$18:$A$40,A233)</f>
        <v>0</v>
      </c>
    </row>
    <row r="234" spans="1:6" x14ac:dyDescent="0.3">
      <c r="A234" s="9" t="s">
        <v>154</v>
      </c>
      <c r="B234" s="18" t="str">
        <f>_xlfn.XLOOKUP(A234,CATÁLOGO!$A$2:$A$846,CATÁLOGO!$B$2:$B$846,"FORA DO CATÁLOGO")</f>
        <v>VES005PG</v>
      </c>
      <c r="C234" s="11">
        <v>3</v>
      </c>
      <c r="D234" s="11" t="str">
        <f>_xlfn.XLOOKUP(A234,CATÁLOGO!$A$2:$A$846,CATÁLOGO!$E$2:$E$846,"FORA DO CATÁLOGO")</f>
        <v>Descontinuado</v>
      </c>
      <c r="E234" s="9" t="s">
        <v>1305</v>
      </c>
      <c r="F234" s="52">
        <f>SUMIFS('AVARIA ESTIMADA'!$F$18:$F$40,'AVARIA ESTIMADA'!$A$18:$A$40,A234)</f>
        <v>0</v>
      </c>
    </row>
    <row r="235" spans="1:6" x14ac:dyDescent="0.3">
      <c r="A235" s="9" t="s">
        <v>155</v>
      </c>
      <c r="B235" s="18" t="str">
        <f>_xlfn.XLOOKUP(A235,CATÁLOGO!$A$2:$A$846,CATÁLOGO!$B$2:$B$846,"FORA DO CATÁLOGO")</f>
        <v>VES005PGG</v>
      </c>
      <c r="C235" s="11">
        <v>1</v>
      </c>
      <c r="D235" s="11" t="str">
        <f>_xlfn.XLOOKUP(A235,CATÁLOGO!$A$2:$A$846,CATÁLOGO!$E$2:$E$846,"FORA DO CATÁLOGO")</f>
        <v>Descontinuado</v>
      </c>
      <c r="E235" s="9" t="s">
        <v>1304</v>
      </c>
      <c r="F235" s="52">
        <f>SUMIFS('AVARIA ESTIMADA'!$F$18:$F$40,'AVARIA ESTIMADA'!$A$18:$A$40,A235)</f>
        <v>0</v>
      </c>
    </row>
    <row r="236" spans="1:6" x14ac:dyDescent="0.3">
      <c r="A236" s="9" t="s">
        <v>156</v>
      </c>
      <c r="B236" s="18" t="str">
        <f>_xlfn.XLOOKUP(A236,CATÁLOGO!$A$2:$A$846,CATÁLOGO!$B$2:$B$846,"FORA DO CATÁLOGO")</f>
        <v>TOP006MP</v>
      </c>
      <c r="C236" s="11">
        <v>4</v>
      </c>
      <c r="D236" s="11" t="str">
        <f>_xlfn.XLOOKUP(A236,CATÁLOGO!$A$2:$A$846,CATÁLOGO!$E$2:$E$846,"FORA DO CATÁLOGO")</f>
        <v>Ativo</v>
      </c>
      <c r="E236" s="9" t="s">
        <v>1304</v>
      </c>
      <c r="F236" s="52">
        <f>SUMIFS('AVARIA ESTIMADA'!$F$18:$F$40,'AVARIA ESTIMADA'!$A$18:$A$40,A236)</f>
        <v>0</v>
      </c>
    </row>
    <row r="237" spans="1:6" x14ac:dyDescent="0.3">
      <c r="A237" s="9" t="s">
        <v>157</v>
      </c>
      <c r="B237" s="18" t="str">
        <f>_xlfn.XLOOKUP(A237,CATÁLOGO!$A$2:$A$846,CATÁLOGO!$B$2:$B$846,"FORA DO CATÁLOGO")</f>
        <v>TOP006MM</v>
      </c>
      <c r="C237" s="11">
        <v>6</v>
      </c>
      <c r="D237" s="11" t="str">
        <f>_xlfn.XLOOKUP(A237,CATÁLOGO!$A$2:$A$846,CATÁLOGO!$E$2:$E$846,"FORA DO CATÁLOGO")</f>
        <v>Ativo</v>
      </c>
      <c r="E237" s="9" t="s">
        <v>1303</v>
      </c>
      <c r="F237" s="52">
        <f>SUMIFS('AVARIA ESTIMADA'!$F$18:$F$40,'AVARIA ESTIMADA'!$A$18:$A$40,A237)</f>
        <v>0</v>
      </c>
    </row>
    <row r="238" spans="1:6" x14ac:dyDescent="0.3">
      <c r="A238" s="9" t="s">
        <v>158</v>
      </c>
      <c r="B238" s="18" t="str">
        <f>_xlfn.XLOOKUP(A238,CATÁLOGO!$A$2:$A$846,CATÁLOGO!$B$2:$B$846,"FORA DO CATÁLOGO")</f>
        <v>TOP006MG</v>
      </c>
      <c r="C238" s="11">
        <v>6</v>
      </c>
      <c r="D238" s="11" t="str">
        <f>_xlfn.XLOOKUP(A238,CATÁLOGO!$A$2:$A$846,CATÁLOGO!$E$2:$E$846,"FORA DO CATÁLOGO")</f>
        <v>Ativo</v>
      </c>
      <c r="E238" s="9" t="s">
        <v>1305</v>
      </c>
      <c r="F238" s="52">
        <f>SUMIFS('AVARIA ESTIMADA'!$F$18:$F$40,'AVARIA ESTIMADA'!$A$18:$A$40,A238)</f>
        <v>5</v>
      </c>
    </row>
    <row r="239" spans="1:6" x14ac:dyDescent="0.3">
      <c r="A239" s="9" t="s">
        <v>159</v>
      </c>
      <c r="B239" s="18" t="str">
        <f>_xlfn.XLOOKUP(A239,CATÁLOGO!$A$2:$A$846,CATÁLOGO!$B$2:$B$846,"FORA DO CATÁLOGO")</f>
        <v>TOP006MGG</v>
      </c>
      <c r="C239" s="11">
        <v>2</v>
      </c>
      <c r="D239" s="11" t="str">
        <f>_xlfn.XLOOKUP(A239,CATÁLOGO!$A$2:$A$846,CATÁLOGO!$E$2:$E$846,"FORA DO CATÁLOGO")</f>
        <v>Ativo</v>
      </c>
      <c r="E239" s="9" t="s">
        <v>1304</v>
      </c>
      <c r="F239" s="52">
        <f>SUMIFS('AVARIA ESTIMADA'!$F$18:$F$40,'AVARIA ESTIMADA'!$A$18:$A$40,A239)</f>
        <v>0</v>
      </c>
    </row>
    <row r="240" spans="1:6" x14ac:dyDescent="0.3">
      <c r="A240" s="9" t="s">
        <v>162</v>
      </c>
      <c r="B240" s="18" t="str">
        <f>_xlfn.XLOOKUP(A240,CATÁLOGO!$A$2:$A$846,CATÁLOGO!$B$2:$B$846,"FORA DO CATÁLOGO")</f>
        <v>MOL009MP</v>
      </c>
      <c r="C240" s="11">
        <v>2</v>
      </c>
      <c r="D240" s="11" t="str">
        <f>_xlfn.XLOOKUP(A240,CATÁLOGO!$A$2:$A$846,CATÁLOGO!$E$2:$E$846,"FORA DO CATÁLOGO")</f>
        <v>Ativo</v>
      </c>
      <c r="E240" s="9" t="s">
        <v>1305</v>
      </c>
      <c r="F240" s="52">
        <f>SUMIFS('AVARIA ESTIMADA'!$F$18:$F$40,'AVARIA ESTIMADA'!$A$18:$A$40,A240)</f>
        <v>0</v>
      </c>
    </row>
    <row r="241" spans="1:6" x14ac:dyDescent="0.3">
      <c r="A241" s="9" t="s">
        <v>163</v>
      </c>
      <c r="B241" s="18" t="str">
        <f>_xlfn.XLOOKUP(A241,CATÁLOGO!$A$2:$A$846,CATÁLOGO!$B$2:$B$846,"FORA DO CATÁLOGO")</f>
        <v>MOL009MM</v>
      </c>
      <c r="C241" s="11">
        <v>3</v>
      </c>
      <c r="D241" s="11" t="str">
        <f>_xlfn.XLOOKUP(A241,CATÁLOGO!$A$2:$A$846,CATÁLOGO!$E$2:$E$846,"FORA DO CATÁLOGO")</f>
        <v>Ativo</v>
      </c>
      <c r="E241" s="9" t="s">
        <v>1304</v>
      </c>
      <c r="F241" s="52">
        <f>SUMIFS('AVARIA ESTIMADA'!$F$18:$F$40,'AVARIA ESTIMADA'!$A$18:$A$40,A241)</f>
        <v>0</v>
      </c>
    </row>
    <row r="242" spans="1:6" x14ac:dyDescent="0.3">
      <c r="A242" s="9" t="s">
        <v>164</v>
      </c>
      <c r="B242" s="18" t="str">
        <f>_xlfn.XLOOKUP(A242,CATÁLOGO!$A$2:$A$846,CATÁLOGO!$B$2:$B$846,"FORA DO CATÁLOGO")</f>
        <v>MOL009MG</v>
      </c>
      <c r="C242" s="11">
        <v>3</v>
      </c>
      <c r="D242" s="11" t="str">
        <f>_xlfn.XLOOKUP(A242,CATÁLOGO!$A$2:$A$846,CATÁLOGO!$E$2:$E$846,"FORA DO CATÁLOGO")</f>
        <v>Ativo</v>
      </c>
      <c r="E242" s="9" t="s">
        <v>1305</v>
      </c>
      <c r="F242" s="52">
        <f>SUMIFS('AVARIA ESTIMADA'!$F$18:$F$40,'AVARIA ESTIMADA'!$A$18:$A$40,A242)</f>
        <v>0</v>
      </c>
    </row>
    <row r="243" spans="1:6" x14ac:dyDescent="0.3">
      <c r="A243" s="9" t="s">
        <v>165</v>
      </c>
      <c r="B243" s="18" t="str">
        <f>_xlfn.XLOOKUP(A243,CATÁLOGO!$A$2:$A$846,CATÁLOGO!$B$2:$B$846,"FORA DO CATÁLOGO")</f>
        <v>MOL009MGG</v>
      </c>
      <c r="C243" s="11">
        <v>1</v>
      </c>
      <c r="D243" s="11" t="str">
        <f>_xlfn.XLOOKUP(A243,CATÁLOGO!$A$2:$A$846,CATÁLOGO!$E$2:$E$846,"FORA DO CATÁLOGO")</f>
        <v>Ativo</v>
      </c>
      <c r="E243" s="9" t="s">
        <v>1304</v>
      </c>
      <c r="F243" s="52">
        <f>SUMIFS('AVARIA ESTIMADA'!$F$18:$F$40,'AVARIA ESTIMADA'!$A$18:$A$40,A243)</f>
        <v>0</v>
      </c>
    </row>
    <row r="244" spans="1:6" x14ac:dyDescent="0.3">
      <c r="A244" s="9" t="s">
        <v>166</v>
      </c>
      <c r="B244" s="18" t="str">
        <f>_xlfn.XLOOKUP(A244,CATÁLOGO!$A$2:$A$846,CATÁLOGO!$B$2:$B$846,"FORA DO CATÁLOGO")</f>
        <v>TOP008GP</v>
      </c>
      <c r="C244" s="11">
        <v>5</v>
      </c>
      <c r="D244" s="11" t="str">
        <f>_xlfn.XLOOKUP(A244,CATÁLOGO!$A$2:$A$846,CATÁLOGO!$E$2:$E$846,"FORA DO CATÁLOGO")</f>
        <v>Ativo</v>
      </c>
      <c r="E244" s="9" t="s">
        <v>1305</v>
      </c>
      <c r="F244" s="52">
        <f>SUMIFS('AVARIA ESTIMADA'!$F$18:$F$40,'AVARIA ESTIMADA'!$A$18:$A$40,A244)</f>
        <v>0</v>
      </c>
    </row>
    <row r="245" spans="1:6" x14ac:dyDescent="0.3">
      <c r="A245" s="9" t="s">
        <v>167</v>
      </c>
      <c r="B245" s="18" t="str">
        <f>_xlfn.XLOOKUP(A245,CATÁLOGO!$A$2:$A$846,CATÁLOGO!$B$2:$B$846,"FORA DO CATÁLOGO")</f>
        <v>TOP008GM</v>
      </c>
      <c r="C245" s="11">
        <v>6</v>
      </c>
      <c r="D245" s="11" t="str">
        <f>_xlfn.XLOOKUP(A245,CATÁLOGO!$A$2:$A$846,CATÁLOGO!$E$2:$E$846,"FORA DO CATÁLOGO")</f>
        <v>Ativo</v>
      </c>
      <c r="E245" s="9" t="s">
        <v>1304</v>
      </c>
      <c r="F245" s="52">
        <f>SUMIFS('AVARIA ESTIMADA'!$F$18:$F$40,'AVARIA ESTIMADA'!$A$18:$A$40,A245)</f>
        <v>0</v>
      </c>
    </row>
    <row r="246" spans="1:6" x14ac:dyDescent="0.3">
      <c r="A246" s="9" t="s">
        <v>168</v>
      </c>
      <c r="B246" s="18" t="str">
        <f>_xlfn.XLOOKUP(A246,CATÁLOGO!$A$2:$A$846,CATÁLOGO!$B$2:$B$846,"FORA DO CATÁLOGO")</f>
        <v>TOP008GG</v>
      </c>
      <c r="C246" s="11">
        <v>5</v>
      </c>
      <c r="D246" s="11" t="str">
        <f>_xlfn.XLOOKUP(A246,CATÁLOGO!$A$2:$A$846,CATÁLOGO!$E$2:$E$846,"FORA DO CATÁLOGO")</f>
        <v>Ativo</v>
      </c>
      <c r="E246" s="9" t="s">
        <v>1305</v>
      </c>
      <c r="F246" s="52">
        <f>SUMIFS('AVARIA ESTIMADA'!$F$18:$F$40,'AVARIA ESTIMADA'!$A$18:$A$40,A246)</f>
        <v>0</v>
      </c>
    </row>
    <row r="247" spans="1:6" x14ac:dyDescent="0.3">
      <c r="A247" s="9" t="s">
        <v>169</v>
      </c>
      <c r="B247" s="18" t="str">
        <f>_xlfn.XLOOKUP(A247,CATÁLOGO!$A$2:$A$846,CATÁLOGO!$B$2:$B$846,"FORA DO CATÁLOGO")</f>
        <v>CAM009HP</v>
      </c>
      <c r="C247" s="11">
        <v>6</v>
      </c>
      <c r="D247" s="11" t="str">
        <f>_xlfn.XLOOKUP(A247,CATÁLOGO!$A$2:$A$846,CATÁLOGO!$E$2:$E$846,"FORA DO CATÁLOGO")</f>
        <v>Ativo</v>
      </c>
      <c r="E247" s="9" t="s">
        <v>1305</v>
      </c>
      <c r="F247" s="52">
        <f>SUMIFS('AVARIA ESTIMADA'!$F$18:$F$40,'AVARIA ESTIMADA'!$A$18:$A$40,A247)</f>
        <v>0</v>
      </c>
    </row>
    <row r="248" spans="1:6" x14ac:dyDescent="0.3">
      <c r="A248" s="9" t="s">
        <v>170</v>
      </c>
      <c r="B248" s="18" t="str">
        <f>_xlfn.XLOOKUP(A248,CATÁLOGO!$A$2:$A$846,CATÁLOGO!$B$2:$B$846,"FORA DO CATÁLOGO")</f>
        <v>CAM009HM</v>
      </c>
      <c r="C248" s="11">
        <v>6</v>
      </c>
      <c r="D248" s="11" t="str">
        <f>_xlfn.XLOOKUP(A248,CATÁLOGO!$A$2:$A$846,CATÁLOGO!$E$2:$E$846,"FORA DO CATÁLOGO")</f>
        <v>Ativo</v>
      </c>
      <c r="E248" s="9" t="s">
        <v>1304</v>
      </c>
      <c r="F248" s="52">
        <f>SUMIFS('AVARIA ESTIMADA'!$F$18:$F$40,'AVARIA ESTIMADA'!$A$18:$A$40,A248)</f>
        <v>0</v>
      </c>
    </row>
    <row r="249" spans="1:6" x14ac:dyDescent="0.3">
      <c r="A249" s="9" t="s">
        <v>171</v>
      </c>
      <c r="B249" s="18" t="str">
        <f>_xlfn.XLOOKUP(A249,CATÁLOGO!$A$2:$A$846,CATÁLOGO!$B$2:$B$846,"FORA DO CATÁLOGO")</f>
        <v>CAM009HG</v>
      </c>
      <c r="C249" s="11">
        <v>7</v>
      </c>
      <c r="D249" s="11" t="str">
        <f>_xlfn.XLOOKUP(A249,CATÁLOGO!$A$2:$A$846,CATÁLOGO!$E$2:$E$846,"FORA DO CATÁLOGO")</f>
        <v>Ativo</v>
      </c>
      <c r="E249" s="9" t="s">
        <v>1303</v>
      </c>
      <c r="F249" s="52">
        <f>SUMIFS('AVARIA ESTIMADA'!$F$18:$F$40,'AVARIA ESTIMADA'!$A$18:$A$40,A249)</f>
        <v>0</v>
      </c>
    </row>
    <row r="250" spans="1:6" x14ac:dyDescent="0.3">
      <c r="A250" s="9" t="s">
        <v>172</v>
      </c>
      <c r="B250" s="18" t="str">
        <f>_xlfn.XLOOKUP(A250,CATÁLOGO!$A$2:$A$846,CATÁLOGO!$B$2:$B$846,"FORA DO CATÁLOGO")</f>
        <v>CAM009HGG</v>
      </c>
      <c r="C250" s="11">
        <v>4</v>
      </c>
      <c r="D250" s="11" t="str">
        <f>_xlfn.XLOOKUP(A250,CATÁLOGO!$A$2:$A$846,CATÁLOGO!$E$2:$E$846,"FORA DO CATÁLOGO")</f>
        <v>Ativo</v>
      </c>
      <c r="E250" s="9" t="s">
        <v>1303</v>
      </c>
      <c r="F250" s="52">
        <f>SUMIFS('AVARIA ESTIMADA'!$F$18:$F$40,'AVARIA ESTIMADA'!$A$18:$A$40,A250)</f>
        <v>0</v>
      </c>
    </row>
    <row r="251" spans="1:6" x14ac:dyDescent="0.3">
      <c r="A251" s="9" t="s">
        <v>1316</v>
      </c>
      <c r="B251" s="18" t="str">
        <f>_xlfn.XLOOKUP(A251,CATÁLOGO!$A$2:$A$846,CATÁLOGO!$B$2:$B$846,"FORA DO CATÁLOGO")</f>
        <v>ACE007GU</v>
      </c>
      <c r="C251" s="11">
        <v>1</v>
      </c>
      <c r="D251" s="11" t="str">
        <f>_xlfn.XLOOKUP(A251,CATÁLOGO!$A$2:$A$846,CATÁLOGO!$E$2:$E$846,"FORA DO CATÁLOGO")</f>
        <v>Descontinuado</v>
      </c>
      <c r="E251" s="9" t="s">
        <v>1304</v>
      </c>
      <c r="F251" s="52">
        <f>SUMIFS('AVARIA ESTIMADA'!$F$18:$F$40,'AVARIA ESTIMADA'!$A$18:$A$40,A251)</f>
        <v>0</v>
      </c>
    </row>
    <row r="252" spans="1:6" x14ac:dyDescent="0.3">
      <c r="A252" s="9" t="s">
        <v>173</v>
      </c>
      <c r="B252" s="18" t="str">
        <f>_xlfn.XLOOKUP(A252,CATÁLOGO!$A$2:$A$846,CATÁLOGO!$B$2:$B$846,"FORA DO CATÁLOGO")</f>
        <v>TOP009GP</v>
      </c>
      <c r="C252" s="11">
        <v>3</v>
      </c>
      <c r="D252" s="11" t="str">
        <f>_xlfn.XLOOKUP(A252,CATÁLOGO!$A$2:$A$846,CATÁLOGO!$E$2:$E$846,"FORA DO CATÁLOGO")</f>
        <v>Descontinuado</v>
      </c>
      <c r="E252" s="9" t="s">
        <v>1303</v>
      </c>
      <c r="F252" s="52">
        <f>SUMIFS('AVARIA ESTIMADA'!$F$18:$F$40,'AVARIA ESTIMADA'!$A$18:$A$40,A252)</f>
        <v>0</v>
      </c>
    </row>
    <row r="253" spans="1:6" x14ac:dyDescent="0.3">
      <c r="A253" s="9" t="s">
        <v>174</v>
      </c>
      <c r="B253" s="18" t="str">
        <f>_xlfn.XLOOKUP(A253,CATÁLOGO!$A$2:$A$846,CATÁLOGO!$B$2:$B$846,"FORA DO CATÁLOGO")</f>
        <v>TOP009GM</v>
      </c>
      <c r="C253" s="11">
        <v>2</v>
      </c>
      <c r="D253" s="11" t="str">
        <f>_xlfn.XLOOKUP(A253,CATÁLOGO!$A$2:$A$846,CATÁLOGO!$E$2:$E$846,"FORA DO CATÁLOGO")</f>
        <v>Descontinuado</v>
      </c>
      <c r="E253" s="9" t="s">
        <v>1305</v>
      </c>
      <c r="F253" s="52">
        <f>SUMIFS('AVARIA ESTIMADA'!$F$18:$F$40,'AVARIA ESTIMADA'!$A$18:$A$40,A253)</f>
        <v>0</v>
      </c>
    </row>
    <row r="254" spans="1:6" x14ac:dyDescent="0.3">
      <c r="A254" s="9" t="s">
        <v>175</v>
      </c>
      <c r="B254" s="18" t="str">
        <f>_xlfn.XLOOKUP(A254,CATÁLOGO!$A$2:$A$846,CATÁLOGO!$B$2:$B$846,"FORA DO CATÁLOGO")</f>
        <v>TOP009GG</v>
      </c>
      <c r="C254" s="11">
        <v>2</v>
      </c>
      <c r="D254" s="11" t="str">
        <f>_xlfn.XLOOKUP(A254,CATÁLOGO!$A$2:$A$846,CATÁLOGO!$E$2:$E$846,"FORA DO CATÁLOGO")</f>
        <v>Descontinuado</v>
      </c>
      <c r="E254" s="9" t="s">
        <v>1303</v>
      </c>
      <c r="F254" s="52">
        <f>SUMIFS('AVARIA ESTIMADA'!$F$18:$F$40,'AVARIA ESTIMADA'!$A$18:$A$40,A254)</f>
        <v>0</v>
      </c>
    </row>
    <row r="255" spans="1:6" x14ac:dyDescent="0.3">
      <c r="A255" s="9" t="s">
        <v>177</v>
      </c>
      <c r="B255" s="18" t="str">
        <f>_xlfn.XLOOKUP(A255,CATÁLOGO!$A$2:$A$846,CATÁLOGO!$B$2:$B$846,"FORA DO CATÁLOGO")</f>
        <v>TOP010YP</v>
      </c>
      <c r="C255" s="11">
        <v>2</v>
      </c>
      <c r="D255" s="11" t="str">
        <f>_xlfn.XLOOKUP(A255,CATÁLOGO!$A$2:$A$846,CATÁLOGO!$E$2:$E$846,"FORA DO CATÁLOGO")</f>
        <v>Descontinuado</v>
      </c>
      <c r="E255" s="9" t="s">
        <v>1305</v>
      </c>
      <c r="F255" s="52">
        <f>SUMIFS('AVARIA ESTIMADA'!$F$18:$F$40,'AVARIA ESTIMADA'!$A$18:$A$40,A255)</f>
        <v>0</v>
      </c>
    </row>
    <row r="256" spans="1:6" x14ac:dyDescent="0.3">
      <c r="A256" s="9" t="s">
        <v>179</v>
      </c>
      <c r="B256" s="18" t="str">
        <f>_xlfn.XLOOKUP(A256,CATÁLOGO!$A$2:$A$846,CATÁLOGO!$B$2:$B$846,"FORA DO CATÁLOGO")</f>
        <v>TOP010YG</v>
      </c>
      <c r="C256" s="11">
        <v>2</v>
      </c>
      <c r="D256" s="11" t="str">
        <f>_xlfn.XLOOKUP(A256,CATÁLOGO!$A$2:$A$846,CATÁLOGO!$E$2:$E$846,"FORA DO CATÁLOGO")</f>
        <v>Descontinuado</v>
      </c>
      <c r="E256" s="9" t="s">
        <v>1303</v>
      </c>
      <c r="F256" s="52">
        <f>SUMIFS('AVARIA ESTIMADA'!$F$18:$F$40,'AVARIA ESTIMADA'!$A$18:$A$40,A256)</f>
        <v>0</v>
      </c>
    </row>
    <row r="257" spans="1:6" x14ac:dyDescent="0.3">
      <c r="A257" s="9" t="s">
        <v>1258</v>
      </c>
      <c r="B257" s="18" t="str">
        <f>_xlfn.XLOOKUP(A257,CATÁLOGO!$A$2:$A$846,CATÁLOGO!$B$2:$B$846,"FORA DO CATÁLOGO")</f>
        <v>TOP010HP</v>
      </c>
      <c r="C257" s="11">
        <v>1</v>
      </c>
      <c r="D257" s="11" t="str">
        <f>_xlfn.XLOOKUP(A257,CATÁLOGO!$A$2:$A$846,CATÁLOGO!$E$2:$E$846,"FORA DO CATÁLOGO")</f>
        <v>Descontinuado</v>
      </c>
      <c r="E257" s="9" t="s">
        <v>1305</v>
      </c>
      <c r="F257" s="52">
        <f>SUMIFS('AVARIA ESTIMADA'!$F$18:$F$40,'AVARIA ESTIMADA'!$A$18:$A$40,A257)</f>
        <v>0</v>
      </c>
    </row>
    <row r="258" spans="1:6" x14ac:dyDescent="0.3">
      <c r="A258" s="9" t="s">
        <v>180</v>
      </c>
      <c r="B258" s="18" t="str">
        <f>_xlfn.XLOOKUP(A258,CATÁLOGO!$A$2:$A$846,CATÁLOGO!$B$2:$B$846,"FORA DO CATÁLOGO")</f>
        <v>TOP010HM</v>
      </c>
      <c r="C258" s="11">
        <v>2</v>
      </c>
      <c r="D258" s="11" t="str">
        <f>_xlfn.XLOOKUP(A258,CATÁLOGO!$A$2:$A$846,CATÁLOGO!$E$2:$E$846,"FORA DO CATÁLOGO")</f>
        <v>Descontinuado</v>
      </c>
      <c r="E258" s="9" t="s">
        <v>1303</v>
      </c>
      <c r="F258" s="52">
        <f>SUMIFS('AVARIA ESTIMADA'!$F$18:$F$40,'AVARIA ESTIMADA'!$A$18:$A$40,A258)</f>
        <v>0</v>
      </c>
    </row>
    <row r="259" spans="1:6" x14ac:dyDescent="0.3">
      <c r="A259" s="9" t="s">
        <v>181</v>
      </c>
      <c r="B259" s="18" t="str">
        <f>_xlfn.XLOOKUP(A259,CATÁLOGO!$A$2:$A$846,CATÁLOGO!$B$2:$B$846,"FORA DO CATÁLOGO")</f>
        <v>TOP010HG</v>
      </c>
      <c r="C259" s="11">
        <v>2</v>
      </c>
      <c r="D259" s="11" t="str">
        <f>_xlfn.XLOOKUP(A259,CATÁLOGO!$A$2:$A$846,CATÁLOGO!$E$2:$E$846,"FORA DO CATÁLOGO")</f>
        <v>Descontinuado</v>
      </c>
      <c r="E259" s="9" t="s">
        <v>1303</v>
      </c>
      <c r="F259" s="52">
        <f>SUMIFS('AVARIA ESTIMADA'!$F$18:$F$40,'AVARIA ESTIMADA'!$A$18:$A$40,A259)</f>
        <v>0</v>
      </c>
    </row>
    <row r="260" spans="1:6" x14ac:dyDescent="0.3">
      <c r="A260" s="9" t="s">
        <v>182</v>
      </c>
      <c r="B260" s="18" t="str">
        <f>_xlfn.XLOOKUP(A260,CATÁLOGO!$A$2:$A$846,CATÁLOGO!$B$2:$B$846,"FORA DO CATÁLOGO")</f>
        <v>CAM010VP</v>
      </c>
      <c r="C260" s="11">
        <v>1</v>
      </c>
      <c r="D260" s="11" t="str">
        <f>_xlfn.XLOOKUP(A260,CATÁLOGO!$A$2:$A$846,CATÁLOGO!$E$2:$E$846,"FORA DO CATÁLOGO")</f>
        <v>Descontinuado</v>
      </c>
      <c r="E260" s="9" t="s">
        <v>1305</v>
      </c>
      <c r="F260" s="52">
        <f>SUMIFS('AVARIA ESTIMADA'!$F$18:$F$40,'AVARIA ESTIMADA'!$A$18:$A$40,A260)</f>
        <v>0</v>
      </c>
    </row>
    <row r="261" spans="1:6" x14ac:dyDescent="0.3">
      <c r="A261" s="9" t="s">
        <v>183</v>
      </c>
      <c r="B261" s="18" t="str">
        <f>_xlfn.XLOOKUP(A261,CATÁLOGO!$A$2:$A$846,CATÁLOGO!$B$2:$B$846,"FORA DO CATÁLOGO")</f>
        <v>CAM010VM</v>
      </c>
      <c r="C261" s="11">
        <v>1</v>
      </c>
      <c r="D261" s="11" t="str">
        <f>_xlfn.XLOOKUP(A261,CATÁLOGO!$A$2:$A$846,CATÁLOGO!$E$2:$E$846,"FORA DO CATÁLOGO")</f>
        <v>Descontinuado</v>
      </c>
      <c r="E261" s="9" t="s">
        <v>1304</v>
      </c>
      <c r="F261" s="52">
        <f>SUMIFS('AVARIA ESTIMADA'!$F$18:$F$40,'AVARIA ESTIMADA'!$A$18:$A$40,A261)</f>
        <v>0</v>
      </c>
    </row>
    <row r="262" spans="1:6" x14ac:dyDescent="0.3">
      <c r="A262" s="9" t="s">
        <v>184</v>
      </c>
      <c r="B262" s="18" t="str">
        <f>_xlfn.XLOOKUP(A262,CATÁLOGO!$A$2:$A$846,CATÁLOGO!$B$2:$B$846,"FORA DO CATÁLOGO")</f>
        <v>CAM010VG</v>
      </c>
      <c r="C262" s="11">
        <v>1</v>
      </c>
      <c r="D262" s="11" t="str">
        <f>_xlfn.XLOOKUP(A262,CATÁLOGO!$A$2:$A$846,CATÁLOGO!$E$2:$E$846,"FORA DO CATÁLOGO")</f>
        <v>Descontinuado</v>
      </c>
      <c r="E262" s="9" t="s">
        <v>1305</v>
      </c>
      <c r="F262" s="52">
        <f>SUMIFS('AVARIA ESTIMADA'!$F$18:$F$40,'AVARIA ESTIMADA'!$A$18:$A$40,A262)</f>
        <v>0</v>
      </c>
    </row>
    <row r="263" spans="1:6" x14ac:dyDescent="0.3">
      <c r="A263" s="9" t="s">
        <v>185</v>
      </c>
      <c r="B263" s="18" t="str">
        <f>_xlfn.XLOOKUP(A263,CATÁLOGO!$A$2:$A$846,CATÁLOGO!$B$2:$B$846,"FORA DO CATÁLOGO")</f>
        <v>CAM010VGG</v>
      </c>
      <c r="C263" s="11">
        <v>1</v>
      </c>
      <c r="D263" s="11" t="str">
        <f>_xlfn.XLOOKUP(A263,CATÁLOGO!$A$2:$A$846,CATÁLOGO!$E$2:$E$846,"FORA DO CATÁLOGO")</f>
        <v>Descontinuado</v>
      </c>
      <c r="E263" s="9" t="s">
        <v>1305</v>
      </c>
      <c r="F263" s="52">
        <f>SUMIFS('AVARIA ESTIMADA'!$F$18:$F$40,'AVARIA ESTIMADA'!$A$18:$A$40,A263)</f>
        <v>0</v>
      </c>
    </row>
    <row r="264" spans="1:6" x14ac:dyDescent="0.3">
      <c r="A264" s="9" t="s">
        <v>1283</v>
      </c>
      <c r="B264" s="18" t="str">
        <f>_xlfn.XLOOKUP(A264,CATÁLOGO!$A$2:$A$846,CATÁLOGO!$B$2:$B$846,"FORA DO CATÁLOGO")</f>
        <v>CAM010HP</v>
      </c>
      <c r="C264" s="11">
        <v>1</v>
      </c>
      <c r="D264" s="11" t="str">
        <f>_xlfn.XLOOKUP(A264,CATÁLOGO!$A$2:$A$846,CATÁLOGO!$E$2:$E$846,"FORA DO CATÁLOGO")</f>
        <v>Descontinuado</v>
      </c>
      <c r="E264" s="9" t="s">
        <v>1305</v>
      </c>
      <c r="F264" s="52">
        <f>SUMIFS('AVARIA ESTIMADA'!$F$18:$F$40,'AVARIA ESTIMADA'!$A$18:$A$40,A264)</f>
        <v>0</v>
      </c>
    </row>
    <row r="265" spans="1:6" x14ac:dyDescent="0.3">
      <c r="A265" s="9" t="s">
        <v>1259</v>
      </c>
      <c r="B265" s="18" t="str">
        <f>_xlfn.XLOOKUP(A265,CATÁLOGO!$A$2:$A$846,CATÁLOGO!$B$2:$B$846,"FORA DO CATÁLOGO")</f>
        <v>CAM010HM</v>
      </c>
      <c r="C265" s="11">
        <v>1</v>
      </c>
      <c r="D265" s="11" t="str">
        <f>_xlfn.XLOOKUP(A265,CATÁLOGO!$A$2:$A$846,CATÁLOGO!$E$2:$E$846,"FORA DO CATÁLOGO")</f>
        <v>Descontinuado</v>
      </c>
      <c r="E265" s="9" t="s">
        <v>1304</v>
      </c>
      <c r="F265" s="52">
        <f>SUMIFS('AVARIA ESTIMADA'!$F$18:$F$40,'AVARIA ESTIMADA'!$A$18:$A$40,A265)</f>
        <v>0</v>
      </c>
    </row>
    <row r="266" spans="1:6" x14ac:dyDescent="0.3">
      <c r="A266" s="9" t="s">
        <v>186</v>
      </c>
      <c r="B266" s="18" t="str">
        <f>_xlfn.XLOOKUP(A266,CATÁLOGO!$A$2:$A$846,CATÁLOGO!$B$2:$B$846,"FORA DO CATÁLOGO")</f>
        <v>CAM010HG</v>
      </c>
      <c r="C266" s="11">
        <v>1</v>
      </c>
      <c r="D266" s="11" t="str">
        <f>_xlfn.XLOOKUP(A266,CATÁLOGO!$A$2:$A$846,CATÁLOGO!$E$2:$E$846,"FORA DO CATÁLOGO")</f>
        <v>Descontinuado</v>
      </c>
      <c r="E266" s="9" t="s">
        <v>1304</v>
      </c>
      <c r="F266" s="52">
        <f>SUMIFS('AVARIA ESTIMADA'!$F$18:$F$40,'AVARIA ESTIMADA'!$A$18:$A$40,A266)</f>
        <v>0</v>
      </c>
    </row>
    <row r="267" spans="1:6" x14ac:dyDescent="0.3">
      <c r="A267" s="9" t="s">
        <v>187</v>
      </c>
      <c r="B267" s="18" t="str">
        <f>_xlfn.XLOOKUP(A267,CATÁLOGO!$A$2:$A$846,CATÁLOGO!$B$2:$B$846,"FORA DO CATÁLOGO")</f>
        <v>CAM011HP</v>
      </c>
      <c r="C267" s="11">
        <v>1</v>
      </c>
      <c r="D267" s="11" t="str">
        <f>_xlfn.XLOOKUP(A267,CATÁLOGO!$A$2:$A$846,CATÁLOGO!$E$2:$E$846,"FORA DO CATÁLOGO")</f>
        <v>Descontinuado</v>
      </c>
      <c r="E267" s="9" t="s">
        <v>1304</v>
      </c>
      <c r="F267" s="52">
        <f>SUMIFS('AVARIA ESTIMADA'!$F$18:$F$40,'AVARIA ESTIMADA'!$A$18:$A$40,A267)</f>
        <v>0</v>
      </c>
    </row>
    <row r="268" spans="1:6" x14ac:dyDescent="0.3">
      <c r="A268" s="9" t="s">
        <v>189</v>
      </c>
      <c r="B268" s="18" t="str">
        <f>_xlfn.XLOOKUP(A268,CATÁLOGO!$A$2:$A$846,CATÁLOGO!$B$2:$B$846,"FORA DO CATÁLOGO")</f>
        <v>CAM011HG</v>
      </c>
      <c r="C268" s="11">
        <v>2</v>
      </c>
      <c r="D268" s="11" t="str">
        <f>_xlfn.XLOOKUP(A268,CATÁLOGO!$A$2:$A$846,CATÁLOGO!$E$2:$E$846,"FORA DO CATÁLOGO")</f>
        <v>Descontinuado</v>
      </c>
      <c r="E268" s="9" t="s">
        <v>1305</v>
      </c>
      <c r="F268" s="52">
        <f>SUMIFS('AVARIA ESTIMADA'!$F$18:$F$40,'AVARIA ESTIMADA'!$A$18:$A$40,A268)</f>
        <v>0</v>
      </c>
    </row>
    <row r="269" spans="1:6" x14ac:dyDescent="0.3">
      <c r="A269" s="9" t="s">
        <v>1286</v>
      </c>
      <c r="B269" s="18" t="str">
        <f>_xlfn.XLOOKUP(A269,CATÁLOGO!$A$2:$A$846,CATÁLOGO!$B$2:$B$846,"FORA DO CATÁLOGO")</f>
        <v>CMS007LP</v>
      </c>
      <c r="C269" s="11">
        <v>4</v>
      </c>
      <c r="D269" s="11" t="str">
        <f>_xlfn.XLOOKUP(A269,CATÁLOGO!$A$2:$A$846,CATÁLOGO!$E$2:$E$846,"FORA DO CATÁLOGO")</f>
        <v>Descontinuado</v>
      </c>
      <c r="E269" s="9" t="s">
        <v>1304</v>
      </c>
      <c r="F269" s="52">
        <f>SUMIFS('AVARIA ESTIMADA'!$F$18:$F$40,'AVARIA ESTIMADA'!$A$18:$A$40,A269)</f>
        <v>0</v>
      </c>
    </row>
    <row r="270" spans="1:6" x14ac:dyDescent="0.3">
      <c r="A270" s="9" t="s">
        <v>191</v>
      </c>
      <c r="B270" s="18" t="str">
        <f>_xlfn.XLOOKUP(A270,CATÁLOGO!$A$2:$A$846,CATÁLOGO!$B$2:$B$846,"FORA DO CATÁLOGO")</f>
        <v>CMS007LM</v>
      </c>
      <c r="C270" s="11">
        <v>3</v>
      </c>
      <c r="D270" s="11" t="str">
        <f>_xlfn.XLOOKUP(A270,CATÁLOGO!$A$2:$A$846,CATÁLOGO!$E$2:$E$846,"FORA DO CATÁLOGO")</f>
        <v>Descontinuado</v>
      </c>
      <c r="E270" s="9" t="s">
        <v>1303</v>
      </c>
      <c r="F270" s="52">
        <f>SUMIFS('AVARIA ESTIMADA'!$F$18:$F$40,'AVARIA ESTIMADA'!$A$18:$A$40,A270)</f>
        <v>0</v>
      </c>
    </row>
    <row r="271" spans="1:6" x14ac:dyDescent="0.3">
      <c r="A271" s="9" t="s">
        <v>192</v>
      </c>
      <c r="B271" s="18" t="str">
        <f>_xlfn.XLOOKUP(A271,CATÁLOGO!$A$2:$A$846,CATÁLOGO!$B$2:$B$846,"FORA DO CATÁLOGO")</f>
        <v>CMS007LG</v>
      </c>
      <c r="C271" s="11">
        <v>3</v>
      </c>
      <c r="D271" s="11" t="str">
        <f>_xlfn.XLOOKUP(A271,CATÁLOGO!$A$2:$A$846,CATÁLOGO!$E$2:$E$846,"FORA DO CATÁLOGO")</f>
        <v>Descontinuado</v>
      </c>
      <c r="E271" s="9" t="s">
        <v>1304</v>
      </c>
      <c r="F271" s="52">
        <f>SUMIFS('AVARIA ESTIMADA'!$F$18:$F$40,'AVARIA ESTIMADA'!$A$18:$A$40,A271)</f>
        <v>0</v>
      </c>
    </row>
    <row r="272" spans="1:6" x14ac:dyDescent="0.3">
      <c r="A272" s="9" t="s">
        <v>193</v>
      </c>
      <c r="B272" s="18" t="str">
        <f>_xlfn.XLOOKUP(A272,CATÁLOGO!$A$2:$A$846,CATÁLOGO!$B$2:$B$846,"FORA DO CATÁLOGO")</f>
        <v>CMS007LGG</v>
      </c>
      <c r="C272" s="11">
        <v>2</v>
      </c>
      <c r="D272" s="11" t="str">
        <f>_xlfn.XLOOKUP(A272,CATÁLOGO!$A$2:$A$846,CATÁLOGO!$E$2:$E$846,"FORA DO CATÁLOGO")</f>
        <v>Descontinuado</v>
      </c>
      <c r="E272" s="9" t="s">
        <v>1317</v>
      </c>
      <c r="F272" s="52">
        <f>SUMIFS('AVARIA ESTIMADA'!$F$18:$F$40,'AVARIA ESTIMADA'!$A$18:$A$40,A272)</f>
        <v>0</v>
      </c>
    </row>
    <row r="273" spans="1:6" x14ac:dyDescent="0.3">
      <c r="A273" s="9" t="s">
        <v>194</v>
      </c>
      <c r="B273" s="18" t="str">
        <f>_xlfn.XLOOKUP(A273,CATÁLOGO!$A$2:$A$846,CATÁLOGO!$B$2:$B$846,"FORA DO CATÁLOGO")</f>
        <v>CMS007BP</v>
      </c>
      <c r="C273" s="11">
        <v>2</v>
      </c>
      <c r="D273" s="11" t="str">
        <f>_xlfn.XLOOKUP(A273,CATÁLOGO!$A$2:$A$846,CATÁLOGO!$E$2:$E$846,"FORA DO CATÁLOGO")</f>
        <v>Descontinuado</v>
      </c>
      <c r="E273" s="9" t="s">
        <v>1303</v>
      </c>
      <c r="F273" s="52">
        <f>SUMIFS('AVARIA ESTIMADA'!$F$18:$F$40,'AVARIA ESTIMADA'!$A$18:$A$40,A273)</f>
        <v>0</v>
      </c>
    </row>
    <row r="274" spans="1:6" x14ac:dyDescent="0.3">
      <c r="A274" s="9" t="s">
        <v>195</v>
      </c>
      <c r="B274" s="18" t="str">
        <f>_xlfn.XLOOKUP(A274,CATÁLOGO!$A$2:$A$846,CATÁLOGO!$B$2:$B$846,"FORA DO CATÁLOGO")</f>
        <v>CMS007BM</v>
      </c>
      <c r="C274" s="11">
        <v>1</v>
      </c>
      <c r="D274" s="11" t="str">
        <f>_xlfn.XLOOKUP(A274,CATÁLOGO!$A$2:$A$846,CATÁLOGO!$E$2:$E$846,"FORA DO CATÁLOGO")</f>
        <v>Descontinuado</v>
      </c>
      <c r="E274" s="9" t="s">
        <v>1305</v>
      </c>
      <c r="F274" s="52">
        <f>SUMIFS('AVARIA ESTIMADA'!$F$18:$F$40,'AVARIA ESTIMADA'!$A$18:$A$40,A274)</f>
        <v>0</v>
      </c>
    </row>
    <row r="275" spans="1:6" x14ac:dyDescent="0.3">
      <c r="A275" s="9" t="s">
        <v>196</v>
      </c>
      <c r="B275" s="18" t="str">
        <f>_xlfn.XLOOKUP(A275,CATÁLOGO!$A$2:$A$846,CATÁLOGO!$B$2:$B$846,"FORA DO CATÁLOGO")</f>
        <v>CMS007BG</v>
      </c>
      <c r="C275" s="11">
        <v>2</v>
      </c>
      <c r="D275" s="11" t="str">
        <f>_xlfn.XLOOKUP(A275,CATÁLOGO!$A$2:$A$846,CATÁLOGO!$E$2:$E$846,"FORA DO CATÁLOGO")</f>
        <v>Descontinuado</v>
      </c>
      <c r="E275" s="9" t="s">
        <v>1303</v>
      </c>
      <c r="F275" s="52">
        <f>SUMIFS('AVARIA ESTIMADA'!$F$18:$F$40,'AVARIA ESTIMADA'!$A$18:$A$40,A275)</f>
        <v>0</v>
      </c>
    </row>
    <row r="276" spans="1:6" x14ac:dyDescent="0.3">
      <c r="A276" s="9" t="s">
        <v>197</v>
      </c>
      <c r="B276" s="18" t="str">
        <f>_xlfn.XLOOKUP(A276,CATÁLOGO!$A$2:$A$846,CATÁLOGO!$B$2:$B$846,"FORA DO CATÁLOGO")</f>
        <v>CMS007BGG</v>
      </c>
      <c r="C276" s="11">
        <v>1</v>
      </c>
      <c r="D276" s="11" t="str">
        <f>_xlfn.XLOOKUP(A276,CATÁLOGO!$A$2:$A$846,CATÁLOGO!$E$2:$E$846,"FORA DO CATÁLOGO")</f>
        <v>Descontinuado</v>
      </c>
      <c r="E276" s="9" t="s">
        <v>1304</v>
      </c>
      <c r="F276" s="52">
        <f>SUMIFS('AVARIA ESTIMADA'!$F$18:$F$40,'AVARIA ESTIMADA'!$A$18:$A$40,A276)</f>
        <v>0</v>
      </c>
    </row>
    <row r="277" spans="1:6" x14ac:dyDescent="0.3">
      <c r="A277" s="9" t="s">
        <v>198</v>
      </c>
      <c r="B277" s="18" t="str">
        <f>_xlfn.XLOOKUP(A277,CATÁLOGO!$A$2:$A$846,CATÁLOGO!$B$2:$B$846,"FORA DO CATÁLOGO")</f>
        <v>CAM012VP</v>
      </c>
      <c r="C277" s="11">
        <v>6</v>
      </c>
      <c r="D277" s="11" t="str">
        <f>_xlfn.XLOOKUP(A277,CATÁLOGO!$A$2:$A$846,CATÁLOGO!$E$2:$E$846,"FORA DO CATÁLOGO")</f>
        <v>Ativo</v>
      </c>
      <c r="E277" s="9" t="s">
        <v>1305</v>
      </c>
      <c r="F277" s="52">
        <f>SUMIFS('AVARIA ESTIMADA'!$F$18:$F$40,'AVARIA ESTIMADA'!$A$18:$A$40,A277)</f>
        <v>0</v>
      </c>
    </row>
    <row r="278" spans="1:6" x14ac:dyDescent="0.3">
      <c r="A278" s="9" t="s">
        <v>199</v>
      </c>
      <c r="B278" s="18" t="str">
        <f>_xlfn.XLOOKUP(A278,CATÁLOGO!$A$2:$A$846,CATÁLOGO!$B$2:$B$846,"FORA DO CATÁLOGO")</f>
        <v>CAM012VM</v>
      </c>
      <c r="C278" s="11">
        <v>6</v>
      </c>
      <c r="D278" s="11" t="str">
        <f>_xlfn.XLOOKUP(A278,CATÁLOGO!$A$2:$A$846,CATÁLOGO!$E$2:$E$846,"FORA DO CATÁLOGO")</f>
        <v>Ativo</v>
      </c>
      <c r="E278" s="9" t="s">
        <v>1303</v>
      </c>
      <c r="F278" s="52">
        <f>SUMIFS('AVARIA ESTIMADA'!$F$18:$F$40,'AVARIA ESTIMADA'!$A$18:$A$40,A278)</f>
        <v>0</v>
      </c>
    </row>
    <row r="279" spans="1:6" x14ac:dyDescent="0.3">
      <c r="A279" s="9" t="s">
        <v>200</v>
      </c>
      <c r="B279" s="18" t="str">
        <f>_xlfn.XLOOKUP(A279,CATÁLOGO!$A$2:$A$846,CATÁLOGO!$B$2:$B$846,"FORA DO CATÁLOGO")</f>
        <v>CAM012VG</v>
      </c>
      <c r="C279" s="11">
        <v>7</v>
      </c>
      <c r="D279" s="11" t="str">
        <f>_xlfn.XLOOKUP(A279,CATÁLOGO!$A$2:$A$846,CATÁLOGO!$E$2:$E$846,"FORA DO CATÁLOGO")</f>
        <v>Ativo</v>
      </c>
      <c r="E279" s="9" t="s">
        <v>1303</v>
      </c>
      <c r="F279" s="52">
        <f>SUMIFS('AVARIA ESTIMADA'!$F$18:$F$40,'AVARIA ESTIMADA'!$A$18:$A$40,A279)</f>
        <v>0</v>
      </c>
    </row>
    <row r="280" spans="1:6" x14ac:dyDescent="0.3">
      <c r="A280" s="9" t="s">
        <v>201</v>
      </c>
      <c r="B280" s="18" t="str">
        <f>_xlfn.XLOOKUP(A280,CATÁLOGO!$A$2:$A$846,CATÁLOGO!$B$2:$B$846,"FORA DO CATÁLOGO")</f>
        <v>CAM012VGG</v>
      </c>
      <c r="C280" s="11">
        <v>3</v>
      </c>
      <c r="D280" s="11" t="str">
        <f>_xlfn.XLOOKUP(A280,CATÁLOGO!$A$2:$A$846,CATÁLOGO!$E$2:$E$846,"FORA DO CATÁLOGO")</f>
        <v>Ativo</v>
      </c>
      <c r="E280" s="9" t="s">
        <v>1304</v>
      </c>
      <c r="F280" s="52">
        <f>SUMIFS('AVARIA ESTIMADA'!$F$18:$F$40,'AVARIA ESTIMADA'!$A$18:$A$40,A280)</f>
        <v>0</v>
      </c>
    </row>
    <row r="281" spans="1:6" x14ac:dyDescent="0.3">
      <c r="A281" s="9" t="s">
        <v>202</v>
      </c>
      <c r="B281" s="18" t="str">
        <f>_xlfn.XLOOKUP(A281,CATÁLOGO!$A$2:$A$846,CATÁLOGO!$B$2:$B$846,"FORA DO CATÁLOGO")</f>
        <v>MOL010YP</v>
      </c>
      <c r="C281" s="11">
        <v>5</v>
      </c>
      <c r="D281" s="11" t="str">
        <f>_xlfn.XLOOKUP(A281,CATÁLOGO!$A$2:$A$846,CATÁLOGO!$E$2:$E$846,"FORA DO CATÁLOGO")</f>
        <v>Ativo</v>
      </c>
      <c r="E281" s="9" t="s">
        <v>1305</v>
      </c>
      <c r="F281" s="52">
        <f>SUMIFS('AVARIA ESTIMADA'!$F$18:$F$40,'AVARIA ESTIMADA'!$A$18:$A$40,A281)</f>
        <v>0</v>
      </c>
    </row>
    <row r="282" spans="1:6" x14ac:dyDescent="0.3">
      <c r="A282" s="9" t="s">
        <v>203</v>
      </c>
      <c r="B282" s="18" t="str">
        <f>_xlfn.XLOOKUP(A282,CATÁLOGO!$A$2:$A$846,CATÁLOGO!$B$2:$B$846,"FORA DO CATÁLOGO")</f>
        <v>MOL010YM</v>
      </c>
      <c r="C282" s="11">
        <v>6</v>
      </c>
      <c r="D282" s="11" t="str">
        <f>_xlfn.XLOOKUP(A282,CATÁLOGO!$A$2:$A$846,CATÁLOGO!$E$2:$E$846,"FORA DO CATÁLOGO")</f>
        <v>Ativo</v>
      </c>
      <c r="E282" s="9" t="s">
        <v>1305</v>
      </c>
      <c r="F282" s="52">
        <f>SUMIFS('AVARIA ESTIMADA'!$F$18:$F$40,'AVARIA ESTIMADA'!$A$18:$A$40,A282)</f>
        <v>0</v>
      </c>
    </row>
    <row r="283" spans="1:6" x14ac:dyDescent="0.3">
      <c r="A283" s="9" t="s">
        <v>204</v>
      </c>
      <c r="B283" s="18" t="str">
        <f>_xlfn.XLOOKUP(A283,CATÁLOGO!$A$2:$A$846,CATÁLOGO!$B$2:$B$846,"FORA DO CATÁLOGO")</f>
        <v>MOL010YG</v>
      </c>
      <c r="C283" s="11">
        <v>6</v>
      </c>
      <c r="D283" s="11" t="str">
        <f>_xlfn.XLOOKUP(A283,CATÁLOGO!$A$2:$A$846,CATÁLOGO!$E$2:$E$846,"FORA DO CATÁLOGO")</f>
        <v>Ativo</v>
      </c>
      <c r="E283" s="9" t="s">
        <v>1305</v>
      </c>
      <c r="F283" s="52">
        <f>SUMIFS('AVARIA ESTIMADA'!$F$18:$F$40,'AVARIA ESTIMADA'!$A$18:$A$40,A283)</f>
        <v>0</v>
      </c>
    </row>
    <row r="284" spans="1:6" x14ac:dyDescent="0.3">
      <c r="A284" s="9" t="s">
        <v>205</v>
      </c>
      <c r="B284" s="18" t="str">
        <f>_xlfn.XLOOKUP(A284,CATÁLOGO!$A$2:$A$846,CATÁLOGO!$B$2:$B$846,"FORA DO CATÁLOGO")</f>
        <v>JAQ004HP</v>
      </c>
      <c r="C284" s="11">
        <v>5</v>
      </c>
      <c r="D284" s="11" t="str">
        <f>_xlfn.XLOOKUP(A284,CATÁLOGO!$A$2:$A$846,CATÁLOGO!$E$2:$E$846,"FORA DO CATÁLOGO")</f>
        <v>Ativo</v>
      </c>
      <c r="E284" s="9" t="s">
        <v>1305</v>
      </c>
      <c r="F284" s="52">
        <f>SUMIFS('AVARIA ESTIMADA'!$F$18:$F$40,'AVARIA ESTIMADA'!$A$18:$A$40,A284)</f>
        <v>0</v>
      </c>
    </row>
    <row r="285" spans="1:6" x14ac:dyDescent="0.3">
      <c r="A285" s="9" t="s">
        <v>206</v>
      </c>
      <c r="B285" s="18" t="str">
        <f>_xlfn.XLOOKUP(A285,CATÁLOGO!$A$2:$A$846,CATÁLOGO!$B$2:$B$846,"FORA DO CATÁLOGO")</f>
        <v>JAQ004HM</v>
      </c>
      <c r="C285" s="11">
        <v>5</v>
      </c>
      <c r="D285" s="11" t="str">
        <f>_xlfn.XLOOKUP(A285,CATÁLOGO!$A$2:$A$846,CATÁLOGO!$E$2:$E$846,"FORA DO CATÁLOGO")</f>
        <v>Ativo</v>
      </c>
      <c r="E285" s="9" t="s">
        <v>1305</v>
      </c>
      <c r="F285" s="52">
        <f>SUMIFS('AVARIA ESTIMADA'!$F$18:$F$40,'AVARIA ESTIMADA'!$A$18:$A$40,A285)</f>
        <v>0</v>
      </c>
    </row>
    <row r="286" spans="1:6" x14ac:dyDescent="0.3">
      <c r="A286" s="9" t="s">
        <v>207</v>
      </c>
      <c r="B286" s="18" t="str">
        <f>_xlfn.XLOOKUP(A286,CATÁLOGO!$A$2:$A$846,CATÁLOGO!$B$2:$B$846,"FORA DO CATÁLOGO")</f>
        <v>JAQ004HG</v>
      </c>
      <c r="C286" s="11">
        <v>6</v>
      </c>
      <c r="D286" s="11" t="str">
        <f>_xlfn.XLOOKUP(A286,CATÁLOGO!$A$2:$A$846,CATÁLOGO!$E$2:$E$846,"FORA DO CATÁLOGO")</f>
        <v>Ativo</v>
      </c>
      <c r="E286" s="9" t="s">
        <v>1305</v>
      </c>
      <c r="F286" s="52">
        <f>SUMIFS('AVARIA ESTIMADA'!$F$18:$F$40,'AVARIA ESTIMADA'!$A$18:$A$40,A286)</f>
        <v>0</v>
      </c>
    </row>
    <row r="287" spans="1:6" x14ac:dyDescent="0.3">
      <c r="A287" s="9" t="s">
        <v>208</v>
      </c>
      <c r="B287" s="18" t="str">
        <f>_xlfn.XLOOKUP(A287,CATÁLOGO!$A$2:$A$846,CATÁLOGO!$B$2:$B$846,"FORA DO CATÁLOGO")</f>
        <v>JAQ004HGG</v>
      </c>
      <c r="C287" s="11">
        <v>3</v>
      </c>
      <c r="D287" s="11" t="str">
        <f>_xlfn.XLOOKUP(A287,CATÁLOGO!$A$2:$A$846,CATÁLOGO!$E$2:$E$846,"FORA DO CATÁLOGO")</f>
        <v>Ativo</v>
      </c>
      <c r="E287" s="9" t="s">
        <v>1304</v>
      </c>
      <c r="F287" s="52">
        <f>SUMIFS('AVARIA ESTIMADA'!$F$18:$F$40,'AVARIA ESTIMADA'!$A$18:$A$40,A287)</f>
        <v>0</v>
      </c>
    </row>
    <row r="288" spans="1:6" x14ac:dyDescent="0.3">
      <c r="A288" s="9" t="s">
        <v>1588</v>
      </c>
      <c r="B288" s="18" t="str">
        <f>_xlfn.XLOOKUP(A288,CATÁLOGO!$A$2:$A$846,CATÁLOGO!$B$2:$B$846,"FORA DO CATÁLOGO")</f>
        <v>CAL011L36</v>
      </c>
      <c r="C288" s="11">
        <v>3</v>
      </c>
      <c r="D288" s="11" t="str">
        <f>_xlfn.XLOOKUP(A288,CATÁLOGO!$A$2:$A$846,CATÁLOGO!$E$2:$E$846,"FORA DO CATÁLOGO")</f>
        <v>Ativo</v>
      </c>
      <c r="E288" s="9" t="s">
        <v>1303</v>
      </c>
      <c r="F288" s="52">
        <f>SUMIFS('AVARIA ESTIMADA'!$F$18:$F$40,'AVARIA ESTIMADA'!$A$18:$A$40,A288)</f>
        <v>0</v>
      </c>
    </row>
    <row r="289" spans="1:6" x14ac:dyDescent="0.3">
      <c r="A289" s="9" t="s">
        <v>1587</v>
      </c>
      <c r="B289" s="18" t="str">
        <f>_xlfn.XLOOKUP(A289,CATÁLOGO!$A$2:$A$846,CATÁLOGO!$B$2:$B$846,"FORA DO CATÁLOGO")</f>
        <v>CAL011L38</v>
      </c>
      <c r="C289" s="11">
        <v>6</v>
      </c>
      <c r="D289" s="11" t="str">
        <f>_xlfn.XLOOKUP(A289,CATÁLOGO!$A$2:$A$846,CATÁLOGO!$E$2:$E$846,"FORA DO CATÁLOGO")</f>
        <v>Ativo</v>
      </c>
      <c r="E289" s="9" t="s">
        <v>1305</v>
      </c>
      <c r="F289" s="52">
        <f>SUMIFS('AVARIA ESTIMADA'!$F$18:$F$40,'AVARIA ESTIMADA'!$A$18:$A$40,A289)</f>
        <v>5</v>
      </c>
    </row>
    <row r="290" spans="1:6" x14ac:dyDescent="0.3">
      <c r="A290" s="9" t="s">
        <v>1586</v>
      </c>
      <c r="B290" s="18" t="str">
        <f>_xlfn.XLOOKUP(A290,CATÁLOGO!$A$2:$A$846,CATÁLOGO!$B$2:$B$846,"FORA DO CATÁLOGO")</f>
        <v>CAL011L40</v>
      </c>
      <c r="C290" s="11">
        <v>6</v>
      </c>
      <c r="D290" s="11" t="str">
        <f>_xlfn.XLOOKUP(A290,CATÁLOGO!$A$2:$A$846,CATÁLOGO!$E$2:$E$846,"FORA DO CATÁLOGO")</f>
        <v>Ativo</v>
      </c>
      <c r="E290" s="9" t="s">
        <v>1303</v>
      </c>
      <c r="F290" s="52">
        <f>SUMIFS('AVARIA ESTIMADA'!$F$18:$F$40,'AVARIA ESTIMADA'!$A$18:$A$40,A290)</f>
        <v>0</v>
      </c>
    </row>
    <row r="291" spans="1:6" x14ac:dyDescent="0.3">
      <c r="A291" s="9" t="s">
        <v>1583</v>
      </c>
      <c r="B291" s="18" t="str">
        <f>_xlfn.XLOOKUP(A291,CATÁLOGO!$A$2:$A$846,CATÁLOGO!$B$2:$B$846,"FORA DO CATÁLOGO")</f>
        <v>CAL011L42</v>
      </c>
      <c r="C291" s="11">
        <v>5</v>
      </c>
      <c r="D291" s="11" t="str">
        <f>_xlfn.XLOOKUP(A291,CATÁLOGO!$A$2:$A$846,CATÁLOGO!$E$2:$E$846,"FORA DO CATÁLOGO")</f>
        <v>Ativo</v>
      </c>
      <c r="E291" s="9" t="s">
        <v>1305</v>
      </c>
      <c r="F291" s="52">
        <f>SUMIFS('AVARIA ESTIMADA'!$F$18:$F$40,'AVARIA ESTIMADA'!$A$18:$A$40,A291)</f>
        <v>0</v>
      </c>
    </row>
    <row r="292" spans="1:6" x14ac:dyDescent="0.3">
      <c r="A292" s="9" t="s">
        <v>1585</v>
      </c>
      <c r="B292" s="18" t="str">
        <f>_xlfn.XLOOKUP(A292,CATÁLOGO!$A$2:$A$846,CATÁLOGO!$B$2:$B$846,"FORA DO CATÁLOGO")</f>
        <v>CAL011L44</v>
      </c>
      <c r="C292" s="11">
        <v>3</v>
      </c>
      <c r="D292" s="11" t="str">
        <f>_xlfn.XLOOKUP(A292,CATÁLOGO!$A$2:$A$846,CATÁLOGO!$E$2:$E$846,"FORA DO CATÁLOGO")</f>
        <v>Ativo</v>
      </c>
      <c r="E292" s="9" t="s">
        <v>1305</v>
      </c>
      <c r="F292" s="52">
        <f>SUMIFS('AVARIA ESTIMADA'!$F$18:$F$40,'AVARIA ESTIMADA'!$A$18:$A$40,A292)</f>
        <v>0</v>
      </c>
    </row>
    <row r="293" spans="1:6" x14ac:dyDescent="0.3">
      <c r="A293" s="9" t="s">
        <v>209</v>
      </c>
      <c r="B293" s="18" t="str">
        <f>_xlfn.XLOOKUP(A293,CATÁLOGO!$A$2:$A$846,CATÁLOGO!$B$2:$B$846,"FORA DO CATÁLOGO")</f>
        <v>ACE008VU</v>
      </c>
      <c r="C293" s="11">
        <v>6</v>
      </c>
      <c r="D293" s="11" t="str">
        <f>_xlfn.XLOOKUP(A293,CATÁLOGO!$A$2:$A$846,CATÁLOGO!$E$2:$E$846,"FORA DO CATÁLOGO")</f>
        <v>Ativo</v>
      </c>
      <c r="E293" s="9" t="s">
        <v>1305</v>
      </c>
      <c r="F293" s="52">
        <f>SUMIFS('AVARIA ESTIMADA'!$F$18:$F$40,'AVARIA ESTIMADA'!$A$18:$A$40,A293)</f>
        <v>0</v>
      </c>
    </row>
    <row r="294" spans="1:6" x14ac:dyDescent="0.3">
      <c r="A294" s="9" t="s">
        <v>210</v>
      </c>
      <c r="B294" s="18" t="str">
        <f>_xlfn.XLOOKUP(A294,CATÁLOGO!$A$2:$A$846,CATÁLOGO!$B$2:$B$846,"FORA DO CATÁLOGO")</f>
        <v>VES006MP</v>
      </c>
      <c r="C294" s="11">
        <v>4</v>
      </c>
      <c r="D294" s="11" t="str">
        <f>_xlfn.XLOOKUP(A294,CATÁLOGO!$A$2:$A$846,CATÁLOGO!$E$2:$E$846,"FORA DO CATÁLOGO")</f>
        <v>Ativo</v>
      </c>
      <c r="E294" s="9" t="s">
        <v>1305</v>
      </c>
      <c r="F294" s="52">
        <f>SUMIFS('AVARIA ESTIMADA'!$F$18:$F$40,'AVARIA ESTIMADA'!$A$18:$A$40,A294)</f>
        <v>0</v>
      </c>
    </row>
    <row r="295" spans="1:6" x14ac:dyDescent="0.3">
      <c r="A295" s="9" t="s">
        <v>211</v>
      </c>
      <c r="B295" s="18" t="str">
        <f>_xlfn.XLOOKUP(A295,CATÁLOGO!$A$2:$A$846,CATÁLOGO!$B$2:$B$846,"FORA DO CATÁLOGO")</f>
        <v>VES006MM</v>
      </c>
      <c r="C295" s="11">
        <v>6</v>
      </c>
      <c r="D295" s="11" t="str">
        <f>_xlfn.XLOOKUP(A295,CATÁLOGO!$A$2:$A$846,CATÁLOGO!$E$2:$E$846,"FORA DO CATÁLOGO")</f>
        <v>Ativo</v>
      </c>
      <c r="E295" s="9" t="s">
        <v>1303</v>
      </c>
      <c r="F295" s="52">
        <f>SUMIFS('AVARIA ESTIMADA'!$F$18:$F$40,'AVARIA ESTIMADA'!$A$18:$A$40,A295)</f>
        <v>0</v>
      </c>
    </row>
    <row r="296" spans="1:6" x14ac:dyDescent="0.3">
      <c r="A296" s="9" t="s">
        <v>212</v>
      </c>
      <c r="B296" s="18" t="str">
        <f>_xlfn.XLOOKUP(A296,CATÁLOGO!$A$2:$A$846,CATÁLOGO!$B$2:$B$846,"FORA DO CATÁLOGO")</f>
        <v>VES006MG</v>
      </c>
      <c r="C296" s="11">
        <v>4</v>
      </c>
      <c r="D296" s="11" t="str">
        <f>_xlfn.XLOOKUP(A296,CATÁLOGO!$A$2:$A$846,CATÁLOGO!$E$2:$E$846,"FORA DO CATÁLOGO")</f>
        <v>Ativo</v>
      </c>
      <c r="E296" s="9" t="s">
        <v>1305</v>
      </c>
      <c r="F296" s="52">
        <f>SUMIFS('AVARIA ESTIMADA'!$F$18:$F$40,'AVARIA ESTIMADA'!$A$18:$A$40,A296)</f>
        <v>4</v>
      </c>
    </row>
    <row r="297" spans="1:6" x14ac:dyDescent="0.3">
      <c r="A297" s="9" t="s">
        <v>213</v>
      </c>
      <c r="B297" s="18" t="str">
        <f>_xlfn.XLOOKUP(A297,CATÁLOGO!$A$2:$A$846,CATÁLOGO!$B$2:$B$846,"FORA DO CATÁLOGO")</f>
        <v>VES006MGG</v>
      </c>
      <c r="C297" s="11">
        <v>2</v>
      </c>
      <c r="D297" s="11" t="str">
        <f>_xlfn.XLOOKUP(A297,CATÁLOGO!$A$2:$A$846,CATÁLOGO!$E$2:$E$846,"FORA DO CATÁLOGO")</f>
        <v>Ativo</v>
      </c>
      <c r="E297" s="9" t="s">
        <v>1304</v>
      </c>
      <c r="F297" s="52">
        <f>SUMIFS('AVARIA ESTIMADA'!$F$18:$F$40,'AVARIA ESTIMADA'!$A$18:$A$40,A297)</f>
        <v>0</v>
      </c>
    </row>
    <row r="298" spans="1:6" x14ac:dyDescent="0.3">
      <c r="A298" s="9" t="s">
        <v>214</v>
      </c>
      <c r="B298" s="18" t="str">
        <f>_xlfn.XLOOKUP(A298,CATÁLOGO!$A$2:$A$846,CATÁLOGO!$B$2:$B$846,"FORA DO CATÁLOGO")</f>
        <v>VES006HP</v>
      </c>
      <c r="C298" s="11">
        <v>2</v>
      </c>
      <c r="D298" s="11" t="str">
        <f>_xlfn.XLOOKUP(A298,CATÁLOGO!$A$2:$A$846,CATÁLOGO!$E$2:$E$846,"FORA DO CATÁLOGO")</f>
        <v>Ativo</v>
      </c>
      <c r="E298" s="9" t="s">
        <v>1305</v>
      </c>
      <c r="F298" s="52">
        <f>SUMIFS('AVARIA ESTIMADA'!$F$18:$F$40,'AVARIA ESTIMADA'!$A$18:$A$40,A298)</f>
        <v>0</v>
      </c>
    </row>
    <row r="299" spans="1:6" x14ac:dyDescent="0.3">
      <c r="A299" s="9" t="s">
        <v>215</v>
      </c>
      <c r="B299" s="18" t="str">
        <f>_xlfn.XLOOKUP(A299,CATÁLOGO!$A$2:$A$846,CATÁLOGO!$B$2:$B$846,"FORA DO CATÁLOGO")</f>
        <v>VES006HM</v>
      </c>
      <c r="C299" s="11">
        <v>3</v>
      </c>
      <c r="D299" s="11" t="str">
        <f>_xlfn.XLOOKUP(A299,CATÁLOGO!$A$2:$A$846,CATÁLOGO!$E$2:$E$846,"FORA DO CATÁLOGO")</f>
        <v>Ativo</v>
      </c>
      <c r="E299" s="9" t="s">
        <v>1305</v>
      </c>
      <c r="F299" s="52">
        <f>SUMIFS('AVARIA ESTIMADA'!$F$18:$F$40,'AVARIA ESTIMADA'!$A$18:$A$40,A299)</f>
        <v>0</v>
      </c>
    </row>
    <row r="300" spans="1:6" x14ac:dyDescent="0.3">
      <c r="A300" s="9" t="s">
        <v>216</v>
      </c>
      <c r="B300" s="18" t="str">
        <f>_xlfn.XLOOKUP(A300,CATÁLOGO!$A$2:$A$846,CATÁLOGO!$B$2:$B$846,"FORA DO CATÁLOGO")</f>
        <v>VES006HG</v>
      </c>
      <c r="C300" s="11">
        <v>3</v>
      </c>
      <c r="D300" s="11" t="str">
        <f>_xlfn.XLOOKUP(A300,CATÁLOGO!$A$2:$A$846,CATÁLOGO!$E$2:$E$846,"FORA DO CATÁLOGO")</f>
        <v>Ativo</v>
      </c>
      <c r="E300" s="9" t="s">
        <v>1303</v>
      </c>
      <c r="F300" s="52">
        <f>SUMIFS('AVARIA ESTIMADA'!$F$18:$F$40,'AVARIA ESTIMADA'!$A$18:$A$40,A300)</f>
        <v>0</v>
      </c>
    </row>
    <row r="301" spans="1:6" x14ac:dyDescent="0.3">
      <c r="A301" s="9" t="s">
        <v>217</v>
      </c>
      <c r="B301" s="18" t="str">
        <f>_xlfn.XLOOKUP(A301,CATÁLOGO!$A$2:$A$846,CATÁLOGO!$B$2:$B$846,"FORA DO CATÁLOGO")</f>
        <v>VES006HGG</v>
      </c>
      <c r="C301" s="11">
        <v>1</v>
      </c>
      <c r="D301" s="11" t="str">
        <f>_xlfn.XLOOKUP(A301,CATÁLOGO!$A$2:$A$846,CATÁLOGO!$E$2:$E$846,"FORA DO CATÁLOGO")</f>
        <v>Ativo</v>
      </c>
      <c r="E301" s="9" t="s">
        <v>1305</v>
      </c>
      <c r="F301" s="52">
        <f>SUMIFS('AVARIA ESTIMADA'!$F$18:$F$40,'AVARIA ESTIMADA'!$A$18:$A$40,A301)</f>
        <v>0</v>
      </c>
    </row>
    <row r="302" spans="1:6" x14ac:dyDescent="0.3">
      <c r="A302" s="9" t="s">
        <v>218</v>
      </c>
      <c r="B302" s="18" t="str">
        <f>_xlfn.XLOOKUP(A302,CATÁLOGO!$A$2:$A$846,CATÁLOGO!$B$2:$B$846,"FORA DO CATÁLOGO")</f>
        <v>TRI005VP</v>
      </c>
      <c r="C302" s="11">
        <v>6</v>
      </c>
      <c r="D302" s="11" t="str">
        <f>_xlfn.XLOOKUP(A302,CATÁLOGO!$A$2:$A$846,CATÁLOGO!$E$2:$E$846,"FORA DO CATÁLOGO")</f>
        <v>Ativo</v>
      </c>
      <c r="E302" s="9" t="s">
        <v>1304</v>
      </c>
      <c r="F302" s="52">
        <f>SUMIFS('AVARIA ESTIMADA'!$F$18:$F$40,'AVARIA ESTIMADA'!$A$18:$A$40,A302)</f>
        <v>0</v>
      </c>
    </row>
    <row r="303" spans="1:6" x14ac:dyDescent="0.3">
      <c r="A303" s="9" t="s">
        <v>219</v>
      </c>
      <c r="B303" s="18" t="str">
        <f>_xlfn.XLOOKUP(A303,CATÁLOGO!$A$2:$A$846,CATÁLOGO!$B$2:$B$846,"FORA DO CATÁLOGO")</f>
        <v>TRI005VM</v>
      </c>
      <c r="C303" s="11">
        <v>6</v>
      </c>
      <c r="D303" s="11" t="str">
        <f>_xlfn.XLOOKUP(A303,CATÁLOGO!$A$2:$A$846,CATÁLOGO!$E$2:$E$846,"FORA DO CATÁLOGO")</f>
        <v>Ativo</v>
      </c>
      <c r="E303" s="9" t="s">
        <v>1305</v>
      </c>
      <c r="F303" s="52">
        <f>SUMIFS('AVARIA ESTIMADA'!$F$18:$F$40,'AVARIA ESTIMADA'!$A$18:$A$40,A303)</f>
        <v>0</v>
      </c>
    </row>
    <row r="304" spans="1:6" x14ac:dyDescent="0.3">
      <c r="A304" s="9" t="s">
        <v>220</v>
      </c>
      <c r="B304" s="18" t="str">
        <f>_xlfn.XLOOKUP(A304,CATÁLOGO!$A$2:$A$846,CATÁLOGO!$B$2:$B$846,"FORA DO CATÁLOGO")</f>
        <v>TRI005VG</v>
      </c>
      <c r="C304" s="11">
        <v>6</v>
      </c>
      <c r="D304" s="11" t="str">
        <f>_xlfn.XLOOKUP(A304,CATÁLOGO!$A$2:$A$846,CATÁLOGO!$E$2:$E$846,"FORA DO CATÁLOGO")</f>
        <v>Ativo</v>
      </c>
      <c r="E304" s="9" t="s">
        <v>1303</v>
      </c>
      <c r="F304" s="52">
        <f>SUMIFS('AVARIA ESTIMADA'!$F$18:$F$40,'AVARIA ESTIMADA'!$A$18:$A$40,A304)</f>
        <v>0</v>
      </c>
    </row>
    <row r="305" spans="1:6" x14ac:dyDescent="0.3">
      <c r="A305" s="9" t="s">
        <v>221</v>
      </c>
      <c r="B305" s="18" t="str">
        <f>_xlfn.XLOOKUP(A305,CATÁLOGO!$A$2:$A$846,CATÁLOGO!$B$2:$B$846,"FORA DO CATÁLOGO")</f>
        <v>TRI005VGG</v>
      </c>
      <c r="C305" s="11">
        <v>1</v>
      </c>
      <c r="D305" s="11" t="str">
        <f>_xlfn.XLOOKUP(A305,CATÁLOGO!$A$2:$A$846,CATÁLOGO!$E$2:$E$846,"FORA DO CATÁLOGO")</f>
        <v>Ativo</v>
      </c>
      <c r="E305" s="9" t="s">
        <v>1305</v>
      </c>
      <c r="F305" s="52">
        <f>SUMIFS('AVARIA ESTIMADA'!$F$18:$F$40,'AVARIA ESTIMADA'!$A$18:$A$40,A305)</f>
        <v>0</v>
      </c>
    </row>
    <row r="306" spans="1:6" x14ac:dyDescent="0.3">
      <c r="A306" s="9" t="s">
        <v>1742</v>
      </c>
      <c r="B306" s="18" t="str">
        <f>_xlfn.XLOOKUP(A306,CATÁLOGO!$A$2:$A$846,CATÁLOGO!$B$2:$B$846,"FORA DO CATÁLOGO")</f>
        <v>CAM013VPP</v>
      </c>
      <c r="C306" s="11">
        <v>3</v>
      </c>
      <c r="D306" s="11" t="str">
        <f>_xlfn.XLOOKUP(A306,CATÁLOGO!$A$2:$A$846,CATÁLOGO!$E$2:$E$846,"FORA DO CATÁLOGO")</f>
        <v>Ativo</v>
      </c>
      <c r="E306" s="9" t="s">
        <v>1303</v>
      </c>
      <c r="F306" s="52">
        <f>SUMIFS('AVARIA ESTIMADA'!$F$18:$F$40,'AVARIA ESTIMADA'!$A$18:$A$40,A306)</f>
        <v>0</v>
      </c>
    </row>
    <row r="307" spans="1:6" x14ac:dyDescent="0.3">
      <c r="A307" s="9" t="s">
        <v>222</v>
      </c>
      <c r="B307" s="18" t="str">
        <f>_xlfn.XLOOKUP(A307,CATÁLOGO!$A$2:$A$846,CATÁLOGO!$B$2:$B$846,"FORA DO CATÁLOGO")</f>
        <v>CAM013VP</v>
      </c>
      <c r="C307" s="11">
        <v>5</v>
      </c>
      <c r="D307" s="11" t="str">
        <f>_xlfn.XLOOKUP(A307,CATÁLOGO!$A$2:$A$846,CATÁLOGO!$E$2:$E$846,"FORA DO CATÁLOGO")</f>
        <v>Ativo</v>
      </c>
      <c r="E307" s="9" t="s">
        <v>1305</v>
      </c>
      <c r="F307" s="52">
        <f>SUMIFS('AVARIA ESTIMADA'!$F$18:$F$40,'AVARIA ESTIMADA'!$A$18:$A$40,A307)</f>
        <v>0</v>
      </c>
    </row>
    <row r="308" spans="1:6" x14ac:dyDescent="0.3">
      <c r="A308" s="9" t="s">
        <v>223</v>
      </c>
      <c r="B308" s="18" t="str">
        <f>_xlfn.XLOOKUP(A308,CATÁLOGO!$A$2:$A$846,CATÁLOGO!$B$2:$B$846,"FORA DO CATÁLOGO")</f>
        <v>CAM013VM</v>
      </c>
      <c r="C308" s="11">
        <v>6</v>
      </c>
      <c r="D308" s="11" t="str">
        <f>_xlfn.XLOOKUP(A308,CATÁLOGO!$A$2:$A$846,CATÁLOGO!$E$2:$E$846,"FORA DO CATÁLOGO")</f>
        <v>Ativo</v>
      </c>
      <c r="E308" s="9" t="s">
        <v>1303</v>
      </c>
      <c r="F308" s="52">
        <f>SUMIFS('AVARIA ESTIMADA'!$F$18:$F$40,'AVARIA ESTIMADA'!$A$18:$A$40,A308)</f>
        <v>0</v>
      </c>
    </row>
    <row r="309" spans="1:6" x14ac:dyDescent="0.3">
      <c r="A309" s="9" t="s">
        <v>224</v>
      </c>
      <c r="B309" s="18" t="str">
        <f>_xlfn.XLOOKUP(A309,CATÁLOGO!$A$2:$A$846,CATÁLOGO!$B$2:$B$846,"FORA DO CATÁLOGO")</f>
        <v>CAM013VG</v>
      </c>
      <c r="C309" s="11">
        <v>6</v>
      </c>
      <c r="D309" s="11" t="str">
        <f>_xlfn.XLOOKUP(A309,CATÁLOGO!$A$2:$A$846,CATÁLOGO!$E$2:$E$846,"FORA DO CATÁLOGO")</f>
        <v>Ativo</v>
      </c>
      <c r="E309" s="9" t="s">
        <v>1305</v>
      </c>
      <c r="F309" s="52">
        <f>SUMIFS('AVARIA ESTIMADA'!$F$18:$F$40,'AVARIA ESTIMADA'!$A$18:$A$40,A309)</f>
        <v>0</v>
      </c>
    </row>
    <row r="310" spans="1:6" x14ac:dyDescent="0.3">
      <c r="A310" s="9" t="s">
        <v>225</v>
      </c>
      <c r="B310" s="18" t="str">
        <f>_xlfn.XLOOKUP(A310,CATÁLOGO!$A$2:$A$846,CATÁLOGO!$B$2:$B$846,"FORA DO CATÁLOGO")</f>
        <v>CAM013VGG</v>
      </c>
      <c r="C310" s="11">
        <v>3</v>
      </c>
      <c r="D310" s="11" t="str">
        <f>_xlfn.XLOOKUP(A310,CATÁLOGO!$A$2:$A$846,CATÁLOGO!$E$2:$E$846,"FORA DO CATÁLOGO")</f>
        <v>Ativo</v>
      </c>
      <c r="E310" s="9" t="s">
        <v>1304</v>
      </c>
      <c r="F310" s="52">
        <f>SUMIFS('AVARIA ESTIMADA'!$F$18:$F$40,'AVARIA ESTIMADA'!$A$18:$A$40,A310)</f>
        <v>0</v>
      </c>
    </row>
    <row r="311" spans="1:6" x14ac:dyDescent="0.3">
      <c r="A311" s="9" t="s">
        <v>226</v>
      </c>
      <c r="B311" s="18" t="str">
        <f>_xlfn.XLOOKUP(A311,CATÁLOGO!$A$2:$A$846,CATÁLOGO!$B$2:$B$846,"FORA DO CATÁLOGO")</f>
        <v>CAM014LP</v>
      </c>
      <c r="C311" s="11">
        <v>1</v>
      </c>
      <c r="D311" s="11" t="str">
        <f>_xlfn.XLOOKUP(A311,CATÁLOGO!$A$2:$A$846,CATÁLOGO!$E$2:$E$846,"FORA DO CATÁLOGO")</f>
        <v>Descontinuado</v>
      </c>
      <c r="E311" s="9" t="s">
        <v>1305</v>
      </c>
      <c r="F311" s="52">
        <f>SUMIFS('AVARIA ESTIMADA'!$F$18:$F$40,'AVARIA ESTIMADA'!$A$18:$A$40,A311)</f>
        <v>0</v>
      </c>
    </row>
    <row r="312" spans="1:6" x14ac:dyDescent="0.3">
      <c r="A312" s="9" t="s">
        <v>228</v>
      </c>
      <c r="B312" s="18" t="str">
        <f>_xlfn.XLOOKUP(A312,CATÁLOGO!$A$2:$A$846,CATÁLOGO!$B$2:$B$846,"FORA DO CATÁLOGO")</f>
        <v>CAM014LG</v>
      </c>
      <c r="C312" s="11">
        <v>2</v>
      </c>
      <c r="D312" s="11" t="str">
        <f>_xlfn.XLOOKUP(A312,CATÁLOGO!$A$2:$A$846,CATÁLOGO!$E$2:$E$846,"FORA DO CATÁLOGO")</f>
        <v>Descontinuado</v>
      </c>
      <c r="E312" s="9" t="s">
        <v>1305</v>
      </c>
      <c r="F312" s="52">
        <f>SUMIFS('AVARIA ESTIMADA'!$F$18:$F$40,'AVARIA ESTIMADA'!$A$18:$A$40,A312)</f>
        <v>0</v>
      </c>
    </row>
    <row r="313" spans="1:6" x14ac:dyDescent="0.3">
      <c r="A313" s="9" t="s">
        <v>229</v>
      </c>
      <c r="B313" s="18" t="str">
        <f>_xlfn.XLOOKUP(A313,CATÁLOGO!$A$2:$A$846,CATÁLOGO!$B$2:$B$846,"FORA DO CATÁLOGO")</f>
        <v>CAM014CM</v>
      </c>
      <c r="C313" s="11">
        <v>3</v>
      </c>
      <c r="D313" s="11" t="str">
        <f>_xlfn.XLOOKUP(A313,CATÁLOGO!$A$2:$A$846,CATÁLOGO!$E$2:$E$846,"FORA DO CATÁLOGO")</f>
        <v>Descontinuado</v>
      </c>
      <c r="E313" s="9" t="s">
        <v>1304</v>
      </c>
      <c r="F313" s="52">
        <f>SUMIFS('AVARIA ESTIMADA'!$F$18:$F$40,'AVARIA ESTIMADA'!$A$18:$A$40,A313)</f>
        <v>0</v>
      </c>
    </row>
    <row r="314" spans="1:6" x14ac:dyDescent="0.3">
      <c r="A314" s="9" t="s">
        <v>1864</v>
      </c>
      <c r="B314" s="18" t="str">
        <f>_xlfn.XLOOKUP(A314,CATÁLOGO!$A$2:$A$846,CATÁLOGO!$B$2:$B$846,"FORA DO CATÁLOGO")</f>
        <v>SAI006PPP</v>
      </c>
      <c r="C314" s="11">
        <v>1</v>
      </c>
      <c r="D314" s="11" t="str">
        <f>_xlfn.XLOOKUP(A314,CATÁLOGO!$A$2:$A$846,CATÁLOGO!$E$2:$E$846,"FORA DO CATÁLOGO")</f>
        <v>Ativo</v>
      </c>
      <c r="E314" s="9" t="s">
        <v>1305</v>
      </c>
      <c r="F314" s="52">
        <f>SUMIFS('AVARIA ESTIMADA'!$F$18:$F$40,'AVARIA ESTIMADA'!$A$18:$A$40,A314)</f>
        <v>0</v>
      </c>
    </row>
    <row r="315" spans="1:6" x14ac:dyDescent="0.3">
      <c r="A315" s="9" t="s">
        <v>231</v>
      </c>
      <c r="B315" s="18" t="str">
        <f>_xlfn.XLOOKUP(A315,CATÁLOGO!$A$2:$A$846,CATÁLOGO!$B$2:$B$846,"FORA DO CATÁLOGO")</f>
        <v>SAI006PP</v>
      </c>
      <c r="C315" s="11">
        <v>3</v>
      </c>
      <c r="D315" s="11" t="str">
        <f>_xlfn.XLOOKUP(A315,CATÁLOGO!$A$2:$A$846,CATÁLOGO!$E$2:$E$846,"FORA DO CATÁLOGO")</f>
        <v>Ativo</v>
      </c>
      <c r="E315" s="9" t="s">
        <v>1303</v>
      </c>
      <c r="F315" s="52">
        <f>SUMIFS('AVARIA ESTIMADA'!$F$18:$F$40,'AVARIA ESTIMADA'!$A$18:$A$40,A315)</f>
        <v>0</v>
      </c>
    </row>
    <row r="316" spans="1:6" x14ac:dyDescent="0.3">
      <c r="A316" s="9" t="s">
        <v>232</v>
      </c>
      <c r="B316" s="18" t="str">
        <f>_xlfn.XLOOKUP(A316,CATÁLOGO!$A$2:$A$846,CATÁLOGO!$B$2:$B$846,"FORA DO CATÁLOGO")</f>
        <v>SAI006PM</v>
      </c>
      <c r="C316" s="11">
        <v>5</v>
      </c>
      <c r="D316" s="11" t="str">
        <f>_xlfn.XLOOKUP(A316,CATÁLOGO!$A$2:$A$846,CATÁLOGO!$E$2:$E$846,"FORA DO CATÁLOGO")</f>
        <v>Ativo</v>
      </c>
      <c r="E316" s="9" t="s">
        <v>1303</v>
      </c>
      <c r="F316" s="52">
        <f>SUMIFS('AVARIA ESTIMADA'!$F$18:$F$40,'AVARIA ESTIMADA'!$A$18:$A$40,A316)</f>
        <v>0</v>
      </c>
    </row>
    <row r="317" spans="1:6" x14ac:dyDescent="0.3">
      <c r="A317" s="9" t="s">
        <v>233</v>
      </c>
      <c r="B317" s="18" t="str">
        <f>_xlfn.XLOOKUP(A317,CATÁLOGO!$A$2:$A$846,CATÁLOGO!$B$2:$B$846,"FORA DO CATÁLOGO")</f>
        <v>SAI006PG</v>
      </c>
      <c r="C317" s="11">
        <v>4</v>
      </c>
      <c r="D317" s="11" t="str">
        <f>_xlfn.XLOOKUP(A317,CATÁLOGO!$A$2:$A$846,CATÁLOGO!$E$2:$E$846,"FORA DO CATÁLOGO")</f>
        <v>Ativo</v>
      </c>
      <c r="E317" s="9" t="s">
        <v>1303</v>
      </c>
      <c r="F317" s="52">
        <f>SUMIFS('AVARIA ESTIMADA'!$F$18:$F$40,'AVARIA ESTIMADA'!$A$18:$A$40,A317)</f>
        <v>0</v>
      </c>
    </row>
    <row r="318" spans="1:6" x14ac:dyDescent="0.3">
      <c r="A318" s="9" t="s">
        <v>234</v>
      </c>
      <c r="B318" s="18" t="str">
        <f>_xlfn.XLOOKUP(A318,CATÁLOGO!$A$2:$A$846,CATÁLOGO!$B$2:$B$846,"FORA DO CATÁLOGO")</f>
        <v>SAI006PGG</v>
      </c>
      <c r="C318" s="11">
        <v>2</v>
      </c>
      <c r="D318" s="11" t="str">
        <f>_xlfn.XLOOKUP(A318,CATÁLOGO!$A$2:$A$846,CATÁLOGO!$E$2:$E$846,"FORA DO CATÁLOGO")</f>
        <v>Ativo</v>
      </c>
      <c r="E318" s="9" t="s">
        <v>1305</v>
      </c>
      <c r="F318" s="52">
        <f>SUMIFS('AVARIA ESTIMADA'!$F$18:$F$40,'AVARIA ESTIMADA'!$A$18:$A$40,A318)</f>
        <v>0</v>
      </c>
    </row>
    <row r="319" spans="1:6" x14ac:dyDescent="0.3">
      <c r="A319" s="9" t="s">
        <v>235</v>
      </c>
      <c r="B319" s="18" t="str">
        <f>_xlfn.XLOOKUP(A319,CATÁLOGO!$A$2:$A$846,CATÁLOGO!$B$2:$B$846,"FORA DO CATÁLOGO")</f>
        <v>TRI006GP</v>
      </c>
      <c r="C319" s="11">
        <v>2</v>
      </c>
      <c r="D319" s="11" t="str">
        <f>_xlfn.XLOOKUP(A319,CATÁLOGO!$A$2:$A$846,CATÁLOGO!$E$2:$E$846,"FORA DO CATÁLOGO")</f>
        <v>Descontinuado</v>
      </c>
      <c r="E319" s="9" t="s">
        <v>1305</v>
      </c>
      <c r="F319" s="52">
        <f>SUMIFS('AVARIA ESTIMADA'!$F$18:$F$40,'AVARIA ESTIMADA'!$A$18:$A$40,A319)</f>
        <v>0</v>
      </c>
    </row>
    <row r="320" spans="1:6" x14ac:dyDescent="0.3">
      <c r="A320" s="9" t="s">
        <v>236</v>
      </c>
      <c r="B320" s="18" t="str">
        <f>_xlfn.XLOOKUP(A320,CATÁLOGO!$A$2:$A$846,CATÁLOGO!$B$2:$B$846,"FORA DO CATÁLOGO")</f>
        <v>TRI006GM</v>
      </c>
      <c r="C320" s="11">
        <v>3</v>
      </c>
      <c r="D320" s="11" t="str">
        <f>_xlfn.XLOOKUP(A320,CATÁLOGO!$A$2:$A$846,CATÁLOGO!$E$2:$E$846,"FORA DO CATÁLOGO")</f>
        <v>Descontinuado</v>
      </c>
      <c r="E320" s="9" t="s">
        <v>1304</v>
      </c>
      <c r="F320" s="52">
        <f>SUMIFS('AVARIA ESTIMADA'!$F$18:$F$40,'AVARIA ESTIMADA'!$A$18:$A$40,A320)</f>
        <v>0</v>
      </c>
    </row>
    <row r="321" spans="1:6" x14ac:dyDescent="0.3">
      <c r="A321" s="9" t="s">
        <v>237</v>
      </c>
      <c r="B321" s="18" t="str">
        <f>_xlfn.XLOOKUP(A321,CATÁLOGO!$A$2:$A$846,CATÁLOGO!$B$2:$B$846,"FORA DO CATÁLOGO")</f>
        <v>TRI006GG</v>
      </c>
      <c r="C321" s="11">
        <v>2</v>
      </c>
      <c r="D321" s="11" t="str">
        <f>_xlfn.XLOOKUP(A321,CATÁLOGO!$A$2:$A$846,CATÁLOGO!$E$2:$E$846,"FORA DO CATÁLOGO")</f>
        <v>Descontinuado</v>
      </c>
      <c r="E321" s="9" t="s">
        <v>1303</v>
      </c>
      <c r="F321" s="52">
        <f>SUMIFS('AVARIA ESTIMADA'!$F$18:$F$40,'AVARIA ESTIMADA'!$A$18:$A$40,A321)</f>
        <v>0</v>
      </c>
    </row>
    <row r="322" spans="1:6" x14ac:dyDescent="0.3">
      <c r="A322" s="9" t="s">
        <v>238</v>
      </c>
      <c r="B322" s="18" t="str">
        <f>_xlfn.XLOOKUP(A322,CATÁLOGO!$A$2:$A$846,CATÁLOGO!$B$2:$B$846,"FORA DO CATÁLOGO")</f>
        <v>TRI006GGG</v>
      </c>
      <c r="C322" s="11">
        <v>1</v>
      </c>
      <c r="D322" s="11" t="str">
        <f>_xlfn.XLOOKUP(A322,CATÁLOGO!$A$2:$A$846,CATÁLOGO!$E$2:$E$846,"FORA DO CATÁLOGO")</f>
        <v>Descontinuado</v>
      </c>
      <c r="E322" s="9" t="s">
        <v>1304</v>
      </c>
      <c r="F322" s="52">
        <f>SUMIFS('AVARIA ESTIMADA'!$F$18:$F$40,'AVARIA ESTIMADA'!$A$18:$A$40,A322)</f>
        <v>0</v>
      </c>
    </row>
    <row r="323" spans="1:6" x14ac:dyDescent="0.3">
      <c r="A323" s="9" t="s">
        <v>1592</v>
      </c>
      <c r="B323" s="18" t="str">
        <f>_xlfn.XLOOKUP(A323,CATÁLOGO!$A$2:$A$846,CATÁLOGO!$B$2:$B$846,"FORA DO CATÁLOGO")</f>
        <v>CAL012P40</v>
      </c>
      <c r="C323" s="11">
        <v>6</v>
      </c>
      <c r="D323" s="11" t="str">
        <f>_xlfn.XLOOKUP(A323,CATÁLOGO!$A$2:$A$846,CATÁLOGO!$E$2:$E$846,"FORA DO CATÁLOGO")</f>
        <v>Ativo</v>
      </c>
      <c r="E323" s="9" t="s">
        <v>1305</v>
      </c>
      <c r="F323" s="52">
        <f>SUMIFS('AVARIA ESTIMADA'!$F$18:$F$40,'AVARIA ESTIMADA'!$A$18:$A$40,A323)</f>
        <v>0</v>
      </c>
    </row>
    <row r="324" spans="1:6" x14ac:dyDescent="0.3">
      <c r="A324" s="9" t="s">
        <v>1589</v>
      </c>
      <c r="B324" s="18" t="str">
        <f>_xlfn.XLOOKUP(A324,CATÁLOGO!$A$2:$A$846,CATÁLOGO!$B$2:$B$846,"FORA DO CATÁLOGO")</f>
        <v>CAL012P42</v>
      </c>
      <c r="C324" s="11">
        <v>6</v>
      </c>
      <c r="D324" s="11" t="str">
        <f>_xlfn.XLOOKUP(A324,CATÁLOGO!$A$2:$A$846,CATÁLOGO!$E$2:$E$846,"FORA DO CATÁLOGO")</f>
        <v>Ativo</v>
      </c>
      <c r="E324" s="9" t="s">
        <v>1304</v>
      </c>
      <c r="F324" s="52">
        <f>SUMIFS('AVARIA ESTIMADA'!$F$18:$F$40,'AVARIA ESTIMADA'!$A$18:$A$40,A324)</f>
        <v>0</v>
      </c>
    </row>
    <row r="325" spans="1:6" x14ac:dyDescent="0.3">
      <c r="A325" s="9" t="s">
        <v>1591</v>
      </c>
      <c r="B325" s="18" t="str">
        <f>_xlfn.XLOOKUP(A325,CATÁLOGO!$A$2:$A$846,CATÁLOGO!$B$2:$B$846,"FORA DO CATÁLOGO")</f>
        <v>CAL012P44</v>
      </c>
      <c r="C325" s="11">
        <v>4</v>
      </c>
      <c r="D325" s="11" t="str">
        <f>_xlfn.XLOOKUP(A325,CATÁLOGO!$A$2:$A$846,CATÁLOGO!$E$2:$E$846,"FORA DO CATÁLOGO")</f>
        <v>Ativo</v>
      </c>
      <c r="E325" s="9" t="s">
        <v>1305</v>
      </c>
      <c r="F325" s="52">
        <f>SUMIFS('AVARIA ESTIMADA'!$F$18:$F$40,'AVARIA ESTIMADA'!$A$18:$A$40,A325)</f>
        <v>0</v>
      </c>
    </row>
    <row r="326" spans="1:6" x14ac:dyDescent="0.3">
      <c r="A326" s="9" t="s">
        <v>1910</v>
      </c>
      <c r="B326" s="18" t="str">
        <f>_xlfn.XLOOKUP(A326,CATÁLOGO!$A$2:$A$846,CATÁLOGO!$B$2:$B$846,"FORA DO CATÁLOGO")</f>
        <v>TRI007LPP</v>
      </c>
      <c r="C326" s="11">
        <v>2</v>
      </c>
      <c r="D326" s="11" t="str">
        <f>_xlfn.XLOOKUP(A326,CATÁLOGO!$A$2:$A$846,CATÁLOGO!$E$2:$E$846,"FORA DO CATÁLOGO")</f>
        <v>Ativo</v>
      </c>
      <c r="E326" s="9" t="s">
        <v>1305</v>
      </c>
      <c r="F326" s="52">
        <f>SUMIFS('AVARIA ESTIMADA'!$F$18:$F$40,'AVARIA ESTIMADA'!$A$18:$A$40,A326)</f>
        <v>0</v>
      </c>
    </row>
    <row r="327" spans="1:6" x14ac:dyDescent="0.3">
      <c r="A327" s="9" t="s">
        <v>239</v>
      </c>
      <c r="B327" s="18" t="str">
        <f>_xlfn.XLOOKUP(A327,CATÁLOGO!$A$2:$A$846,CATÁLOGO!$B$2:$B$846,"FORA DO CATÁLOGO")</f>
        <v>TRI007LP</v>
      </c>
      <c r="C327" s="11">
        <v>5</v>
      </c>
      <c r="D327" s="11" t="str">
        <f>_xlfn.XLOOKUP(A327,CATÁLOGO!$A$2:$A$846,CATÁLOGO!$E$2:$E$846,"FORA DO CATÁLOGO")</f>
        <v>Ativo</v>
      </c>
      <c r="E327" s="9" t="s">
        <v>1305</v>
      </c>
      <c r="F327" s="52">
        <f>SUMIFS('AVARIA ESTIMADA'!$F$18:$F$40,'AVARIA ESTIMADA'!$A$18:$A$40,A327)</f>
        <v>0</v>
      </c>
    </row>
    <row r="328" spans="1:6" x14ac:dyDescent="0.3">
      <c r="A328" s="9" t="s">
        <v>240</v>
      </c>
      <c r="B328" s="18" t="str">
        <f>_xlfn.XLOOKUP(A328,CATÁLOGO!$A$2:$A$846,CATÁLOGO!$B$2:$B$846,"FORA DO CATÁLOGO")</f>
        <v>TRI007LM</v>
      </c>
      <c r="C328" s="11">
        <v>8</v>
      </c>
      <c r="D328" s="11" t="str">
        <f>_xlfn.XLOOKUP(A328,CATÁLOGO!$A$2:$A$846,CATÁLOGO!$E$2:$E$846,"FORA DO CATÁLOGO")</f>
        <v>Ativo</v>
      </c>
      <c r="E328" s="9" t="s">
        <v>1303</v>
      </c>
      <c r="F328" s="52">
        <f>SUMIFS('AVARIA ESTIMADA'!$F$18:$F$40,'AVARIA ESTIMADA'!$A$18:$A$40,A328)</f>
        <v>0</v>
      </c>
    </row>
    <row r="329" spans="1:6" x14ac:dyDescent="0.3">
      <c r="A329" s="9" t="s">
        <v>241</v>
      </c>
      <c r="B329" s="18" t="str">
        <f>_xlfn.XLOOKUP(A329,CATÁLOGO!$A$2:$A$846,CATÁLOGO!$B$2:$B$846,"FORA DO CATÁLOGO")</f>
        <v>TRI007LG</v>
      </c>
      <c r="C329" s="11">
        <v>6</v>
      </c>
      <c r="D329" s="11" t="str">
        <f>_xlfn.XLOOKUP(A329,CATÁLOGO!$A$2:$A$846,CATÁLOGO!$E$2:$E$846,"FORA DO CATÁLOGO")</f>
        <v>Ativo</v>
      </c>
      <c r="E329" s="9" t="s">
        <v>1304</v>
      </c>
      <c r="F329" s="52">
        <f>SUMIFS('AVARIA ESTIMADA'!$F$18:$F$40,'AVARIA ESTIMADA'!$A$18:$A$40,A329)</f>
        <v>0</v>
      </c>
    </row>
    <row r="330" spans="1:6" x14ac:dyDescent="0.3">
      <c r="A330" s="9" t="s">
        <v>242</v>
      </c>
      <c r="B330" s="18" t="str">
        <f>_xlfn.XLOOKUP(A330,CATÁLOGO!$A$2:$A$846,CATÁLOGO!$B$2:$B$846,"FORA DO CATÁLOGO")</f>
        <v>TRI007LGG</v>
      </c>
      <c r="C330" s="11">
        <v>3</v>
      </c>
      <c r="D330" s="11" t="str">
        <f>_xlfn.XLOOKUP(A330,CATÁLOGO!$A$2:$A$846,CATÁLOGO!$E$2:$E$846,"FORA DO CATÁLOGO")</f>
        <v>Ativo</v>
      </c>
      <c r="E330" s="9" t="s">
        <v>1305</v>
      </c>
      <c r="F330" s="52">
        <f>SUMIFS('AVARIA ESTIMADA'!$F$18:$F$40,'AVARIA ESTIMADA'!$A$18:$A$40,A330)</f>
        <v>0</v>
      </c>
    </row>
    <row r="331" spans="1:6" x14ac:dyDescent="0.3">
      <c r="A331" s="9" t="s">
        <v>1482</v>
      </c>
      <c r="B331" s="18" t="str">
        <f>_xlfn.XLOOKUP(A331,CATÁLOGO!$A$2:$A$846,CATÁLOGO!$B$2:$B$846,"FORA DO CATÁLOGO")</f>
        <v>BER006L36</v>
      </c>
      <c r="C331" s="11">
        <v>0</v>
      </c>
      <c r="D331" s="11" t="str">
        <f>_xlfn.XLOOKUP(A331,CATÁLOGO!$A$2:$A$846,CATÁLOGO!$E$2:$E$846,"FORA DO CATÁLOGO")</f>
        <v>Ativo</v>
      </c>
      <c r="E331" s="9" t="s">
        <v>1303</v>
      </c>
      <c r="F331" s="52">
        <f>SUMIFS('AVARIA ESTIMADA'!$F$18:$F$40,'AVARIA ESTIMADA'!$A$18:$A$40,A331)</f>
        <v>0</v>
      </c>
    </row>
    <row r="332" spans="1:6" x14ac:dyDescent="0.3">
      <c r="A332" s="9" t="s">
        <v>1481</v>
      </c>
      <c r="B332" s="18" t="str">
        <f>_xlfn.XLOOKUP(A332,CATÁLOGO!$A$2:$A$846,CATÁLOGO!$B$2:$B$846,"FORA DO CATÁLOGO")</f>
        <v>BER006L38</v>
      </c>
      <c r="C332" s="11">
        <v>2</v>
      </c>
      <c r="D332" s="11" t="str">
        <f>_xlfn.XLOOKUP(A332,CATÁLOGO!$A$2:$A$846,CATÁLOGO!$E$2:$E$846,"FORA DO CATÁLOGO")</f>
        <v>Ativo</v>
      </c>
      <c r="E332" s="9" t="s">
        <v>1304</v>
      </c>
      <c r="F332" s="52">
        <f>SUMIFS('AVARIA ESTIMADA'!$F$18:$F$40,'AVARIA ESTIMADA'!$A$18:$A$40,A332)</f>
        <v>0</v>
      </c>
    </row>
    <row r="333" spans="1:6" x14ac:dyDescent="0.3">
      <c r="A333" s="9" t="s">
        <v>1480</v>
      </c>
      <c r="B333" s="18" t="str">
        <f>_xlfn.XLOOKUP(A333,CATÁLOGO!$A$2:$A$846,CATÁLOGO!$B$2:$B$846,"FORA DO CATÁLOGO")</f>
        <v>BER006L40</v>
      </c>
      <c r="C333" s="11">
        <v>3</v>
      </c>
      <c r="D333" s="11" t="str">
        <f>_xlfn.XLOOKUP(A333,CATÁLOGO!$A$2:$A$846,CATÁLOGO!$E$2:$E$846,"FORA DO CATÁLOGO")</f>
        <v>Ativo</v>
      </c>
      <c r="E333" s="9" t="s">
        <v>1303</v>
      </c>
      <c r="F333" s="52">
        <f>SUMIFS('AVARIA ESTIMADA'!$F$18:$F$40,'AVARIA ESTIMADA'!$A$18:$A$40,A333)</f>
        <v>0</v>
      </c>
    </row>
    <row r="334" spans="1:6" x14ac:dyDescent="0.3">
      <c r="A334" s="9" t="s">
        <v>1477</v>
      </c>
      <c r="B334" s="18" t="str">
        <f>_xlfn.XLOOKUP(A334,CATÁLOGO!$A$2:$A$846,CATÁLOGO!$B$2:$B$846,"FORA DO CATÁLOGO")</f>
        <v>BER006L42</v>
      </c>
      <c r="C334" s="11">
        <v>2</v>
      </c>
      <c r="D334" s="11" t="str">
        <f>_xlfn.XLOOKUP(A334,CATÁLOGO!$A$2:$A$846,CATÁLOGO!$E$2:$E$846,"FORA DO CATÁLOGO")</f>
        <v>Ativo</v>
      </c>
      <c r="E334" s="9" t="s">
        <v>1305</v>
      </c>
      <c r="F334" s="52">
        <f>SUMIFS('AVARIA ESTIMADA'!$F$18:$F$40,'AVARIA ESTIMADA'!$A$18:$A$40,A334)</f>
        <v>2</v>
      </c>
    </row>
    <row r="335" spans="1:6" x14ac:dyDescent="0.3">
      <c r="A335" s="9" t="s">
        <v>1479</v>
      </c>
      <c r="B335" s="18" t="str">
        <f>_xlfn.XLOOKUP(A335,CATÁLOGO!$A$2:$A$846,CATÁLOGO!$B$2:$B$846,"FORA DO CATÁLOGO")</f>
        <v>BER006L44</v>
      </c>
      <c r="C335" s="11">
        <v>1</v>
      </c>
      <c r="D335" s="11" t="str">
        <f>_xlfn.XLOOKUP(A335,CATÁLOGO!$A$2:$A$846,CATÁLOGO!$E$2:$E$846,"FORA DO CATÁLOGO")</f>
        <v>Ativo</v>
      </c>
      <c r="E335" s="9" t="s">
        <v>1305</v>
      </c>
      <c r="F335" s="52">
        <f>SUMIFS('AVARIA ESTIMADA'!$F$18:$F$40,'AVARIA ESTIMADA'!$A$18:$A$40,A335)</f>
        <v>0</v>
      </c>
    </row>
    <row r="336" spans="1:6" x14ac:dyDescent="0.3">
      <c r="A336" s="9" t="s">
        <v>1599</v>
      </c>
      <c r="B336" s="18" t="str">
        <f>_xlfn.XLOOKUP(A336,CATÁLOGO!$A$2:$A$846,CATÁLOGO!$B$2:$B$846,"FORA DO CATÁLOGO")</f>
        <v>CAL013M36</v>
      </c>
      <c r="C336" s="11">
        <v>1</v>
      </c>
      <c r="D336" s="11" t="str">
        <f>_xlfn.XLOOKUP(A336,CATÁLOGO!$A$2:$A$846,CATÁLOGO!$E$2:$E$846,"FORA DO CATÁLOGO")</f>
        <v>Descontinuado</v>
      </c>
      <c r="E336" s="9" t="s">
        <v>1305</v>
      </c>
      <c r="F336" s="52">
        <f>SUMIFS('AVARIA ESTIMADA'!$F$18:$F$40,'AVARIA ESTIMADA'!$A$18:$A$40,A336)</f>
        <v>0</v>
      </c>
    </row>
    <row r="337" spans="1:6" x14ac:dyDescent="0.3">
      <c r="A337" s="9" t="s">
        <v>1598</v>
      </c>
      <c r="B337" s="18" t="str">
        <f>_xlfn.XLOOKUP(A337,CATÁLOGO!$A$2:$A$846,CATÁLOGO!$B$2:$B$846,"FORA DO CATÁLOGO")</f>
        <v>CAL013M38</v>
      </c>
      <c r="C337" s="11">
        <v>4</v>
      </c>
      <c r="D337" s="11" t="str">
        <f>_xlfn.XLOOKUP(A337,CATÁLOGO!$A$2:$A$846,CATÁLOGO!$E$2:$E$846,"FORA DO CATÁLOGO")</f>
        <v>Descontinuado</v>
      </c>
      <c r="E337" s="9" t="s">
        <v>1304</v>
      </c>
      <c r="F337" s="52">
        <f>SUMIFS('AVARIA ESTIMADA'!$F$18:$F$40,'AVARIA ESTIMADA'!$A$18:$A$40,A337)</f>
        <v>0</v>
      </c>
    </row>
    <row r="338" spans="1:6" x14ac:dyDescent="0.3">
      <c r="A338" s="9" t="s">
        <v>1597</v>
      </c>
      <c r="B338" s="18" t="str">
        <f>_xlfn.XLOOKUP(A338,CATÁLOGO!$A$2:$A$846,CATÁLOGO!$B$2:$B$846,"FORA DO CATÁLOGO")</f>
        <v>CAL013M40</v>
      </c>
      <c r="C338" s="11">
        <v>3</v>
      </c>
      <c r="D338" s="11" t="str">
        <f>_xlfn.XLOOKUP(A338,CATÁLOGO!$A$2:$A$846,CATÁLOGO!$E$2:$E$846,"FORA DO CATÁLOGO")</f>
        <v>Descontinuado</v>
      </c>
      <c r="E338" s="9" t="s">
        <v>1303</v>
      </c>
      <c r="F338" s="52">
        <f>SUMIFS('AVARIA ESTIMADA'!$F$18:$F$40,'AVARIA ESTIMADA'!$A$18:$A$40,A338)</f>
        <v>0</v>
      </c>
    </row>
    <row r="339" spans="1:6" x14ac:dyDescent="0.3">
      <c r="A339" s="9" t="s">
        <v>1594</v>
      </c>
      <c r="B339" s="18" t="str">
        <f>_xlfn.XLOOKUP(A339,CATÁLOGO!$A$2:$A$846,CATÁLOGO!$B$2:$B$846,"FORA DO CATÁLOGO")</f>
        <v>CAL013M42</v>
      </c>
      <c r="C339" s="11">
        <v>2</v>
      </c>
      <c r="D339" s="11" t="str">
        <f>_xlfn.XLOOKUP(A339,CATÁLOGO!$A$2:$A$846,CATÁLOGO!$E$2:$E$846,"FORA DO CATÁLOGO")</f>
        <v>Descontinuado</v>
      </c>
      <c r="E339" s="9" t="s">
        <v>1305</v>
      </c>
      <c r="F339" s="52">
        <f>SUMIFS('AVARIA ESTIMADA'!$F$18:$F$40,'AVARIA ESTIMADA'!$A$18:$A$40,A339)</f>
        <v>0</v>
      </c>
    </row>
    <row r="340" spans="1:6" x14ac:dyDescent="0.3">
      <c r="A340" s="9" t="s">
        <v>1596</v>
      </c>
      <c r="B340" s="18" t="str">
        <f>_xlfn.XLOOKUP(A340,CATÁLOGO!$A$2:$A$846,CATÁLOGO!$B$2:$B$846,"FORA DO CATÁLOGO")</f>
        <v>CAL013M44</v>
      </c>
      <c r="C340" s="11">
        <v>2</v>
      </c>
      <c r="D340" s="11" t="str">
        <f>_xlfn.XLOOKUP(A340,CATÁLOGO!$A$2:$A$846,CATÁLOGO!$E$2:$E$846,"FORA DO CATÁLOGO")</f>
        <v>Descontinuado</v>
      </c>
      <c r="E340" s="9" t="s">
        <v>1303</v>
      </c>
      <c r="F340" s="52">
        <f>SUMIFS('AVARIA ESTIMADA'!$F$18:$F$40,'AVARIA ESTIMADA'!$A$18:$A$40,A340)</f>
        <v>0</v>
      </c>
    </row>
    <row r="341" spans="1:6" x14ac:dyDescent="0.3">
      <c r="A341" s="9" t="s">
        <v>243</v>
      </c>
      <c r="B341" s="18" t="str">
        <f>_xlfn.XLOOKUP(A341,CATÁLOGO!$A$2:$A$846,CATÁLOGO!$B$2:$B$846,"FORA DO CATÁLOGO")</f>
        <v>VES007VP</v>
      </c>
      <c r="C341" s="11">
        <v>4</v>
      </c>
      <c r="D341" s="11" t="str">
        <f>_xlfn.XLOOKUP(A341,CATÁLOGO!$A$2:$A$846,CATÁLOGO!$E$2:$E$846,"FORA DO CATÁLOGO")</f>
        <v>Ativo</v>
      </c>
      <c r="E341" s="9" t="s">
        <v>1303</v>
      </c>
      <c r="F341" s="52">
        <f>SUMIFS('AVARIA ESTIMADA'!$F$18:$F$40,'AVARIA ESTIMADA'!$A$18:$A$40,A341)</f>
        <v>0</v>
      </c>
    </row>
    <row r="342" spans="1:6" x14ac:dyDescent="0.3">
      <c r="A342" s="9" t="s">
        <v>244</v>
      </c>
      <c r="B342" s="18" t="str">
        <f>_xlfn.XLOOKUP(A342,CATÁLOGO!$A$2:$A$846,CATÁLOGO!$B$2:$B$846,"FORA DO CATÁLOGO")</f>
        <v>VES007VM</v>
      </c>
      <c r="C342" s="11">
        <v>6</v>
      </c>
      <c r="D342" s="11" t="str">
        <f>_xlfn.XLOOKUP(A342,CATÁLOGO!$A$2:$A$846,CATÁLOGO!$E$2:$E$846,"FORA DO CATÁLOGO")</f>
        <v>Ativo</v>
      </c>
      <c r="E342" s="9" t="s">
        <v>1305</v>
      </c>
      <c r="F342" s="52">
        <f>SUMIFS('AVARIA ESTIMADA'!$F$18:$F$40,'AVARIA ESTIMADA'!$A$18:$A$40,A342)</f>
        <v>0</v>
      </c>
    </row>
    <row r="343" spans="1:6" x14ac:dyDescent="0.3">
      <c r="A343" s="9" t="s">
        <v>245</v>
      </c>
      <c r="B343" s="18" t="str">
        <f>_xlfn.XLOOKUP(A343,CATÁLOGO!$A$2:$A$846,CATÁLOGO!$B$2:$B$846,"FORA DO CATÁLOGO")</f>
        <v>VES007VG</v>
      </c>
      <c r="C343" s="11">
        <v>4</v>
      </c>
      <c r="D343" s="11" t="str">
        <f>_xlfn.XLOOKUP(A343,CATÁLOGO!$A$2:$A$846,CATÁLOGO!$E$2:$E$846,"FORA DO CATÁLOGO")</f>
        <v>Ativo</v>
      </c>
      <c r="E343" s="9" t="s">
        <v>1305</v>
      </c>
      <c r="F343" s="52">
        <f>SUMIFS('AVARIA ESTIMADA'!$F$18:$F$40,'AVARIA ESTIMADA'!$A$18:$A$40,A343)</f>
        <v>0</v>
      </c>
    </row>
    <row r="344" spans="1:6" x14ac:dyDescent="0.3">
      <c r="A344" s="9" t="s">
        <v>246</v>
      </c>
      <c r="B344" s="18" t="str">
        <f>_xlfn.XLOOKUP(A344,CATÁLOGO!$A$2:$A$846,CATÁLOGO!$B$2:$B$846,"FORA DO CATÁLOGO")</f>
        <v>VES007VGG</v>
      </c>
      <c r="C344" s="11">
        <v>2</v>
      </c>
      <c r="D344" s="11" t="str">
        <f>_xlfn.XLOOKUP(A344,CATÁLOGO!$A$2:$A$846,CATÁLOGO!$E$2:$E$846,"FORA DO CATÁLOGO")</f>
        <v>Ativo</v>
      </c>
      <c r="E344" s="9" t="s">
        <v>1305</v>
      </c>
      <c r="F344" s="52">
        <f>SUMIFS('AVARIA ESTIMADA'!$F$18:$F$40,'AVARIA ESTIMADA'!$A$18:$A$40,A344)</f>
        <v>2</v>
      </c>
    </row>
    <row r="345" spans="1:6" x14ac:dyDescent="0.3">
      <c r="A345" s="9" t="s">
        <v>247</v>
      </c>
      <c r="B345" s="18" t="str">
        <f>_xlfn.XLOOKUP(A345,CATÁLOGO!$A$2:$A$846,CATÁLOGO!$B$2:$B$846,"FORA DO CATÁLOGO")</f>
        <v>TRI008LP</v>
      </c>
      <c r="C345" s="11">
        <v>6</v>
      </c>
      <c r="D345" s="11" t="str">
        <f>_xlfn.XLOOKUP(A345,CATÁLOGO!$A$2:$A$846,CATÁLOGO!$E$2:$E$846,"FORA DO CATÁLOGO")</f>
        <v>Ativo</v>
      </c>
      <c r="E345" s="9" t="s">
        <v>1305</v>
      </c>
      <c r="F345" s="52">
        <f>SUMIFS('AVARIA ESTIMADA'!$F$18:$F$40,'AVARIA ESTIMADA'!$A$18:$A$40,A345)</f>
        <v>0</v>
      </c>
    </row>
    <row r="346" spans="1:6" x14ac:dyDescent="0.3">
      <c r="A346" s="9" t="s">
        <v>248</v>
      </c>
      <c r="B346" s="18" t="str">
        <f>_xlfn.XLOOKUP(A346,CATÁLOGO!$A$2:$A$846,CATÁLOGO!$B$2:$B$846,"FORA DO CATÁLOGO")</f>
        <v>TRI008LM</v>
      </c>
      <c r="C346" s="11">
        <v>6</v>
      </c>
      <c r="D346" s="11" t="str">
        <f>_xlfn.XLOOKUP(A346,CATÁLOGO!$A$2:$A$846,CATÁLOGO!$E$2:$E$846,"FORA DO CATÁLOGO")</f>
        <v>Ativo</v>
      </c>
      <c r="E346" s="9" t="s">
        <v>1304</v>
      </c>
      <c r="F346" s="52">
        <f>SUMIFS('AVARIA ESTIMADA'!$F$18:$F$40,'AVARIA ESTIMADA'!$A$18:$A$40,A346)</f>
        <v>0</v>
      </c>
    </row>
    <row r="347" spans="1:6" x14ac:dyDescent="0.3">
      <c r="A347" s="9" t="s">
        <v>249</v>
      </c>
      <c r="B347" s="18" t="str">
        <f>_xlfn.XLOOKUP(A347,CATÁLOGO!$A$2:$A$846,CATÁLOGO!$B$2:$B$846,"FORA DO CATÁLOGO")</f>
        <v>TRI008LG</v>
      </c>
      <c r="C347" s="11">
        <v>7</v>
      </c>
      <c r="D347" s="11" t="str">
        <f>_xlfn.XLOOKUP(A347,CATÁLOGO!$A$2:$A$846,CATÁLOGO!$E$2:$E$846,"FORA DO CATÁLOGO")</f>
        <v>Ativo</v>
      </c>
      <c r="E347" s="9" t="s">
        <v>1305</v>
      </c>
      <c r="F347" s="52">
        <f>SUMIFS('AVARIA ESTIMADA'!$F$18:$F$40,'AVARIA ESTIMADA'!$A$18:$A$40,A347)</f>
        <v>0</v>
      </c>
    </row>
    <row r="348" spans="1:6" x14ac:dyDescent="0.3">
      <c r="A348" s="9" t="s">
        <v>250</v>
      </c>
      <c r="B348" s="18" t="str">
        <f>_xlfn.XLOOKUP(A348,CATÁLOGO!$A$2:$A$846,CATÁLOGO!$B$2:$B$846,"FORA DO CATÁLOGO")</f>
        <v>ACE009VU</v>
      </c>
      <c r="C348" s="11">
        <v>6</v>
      </c>
      <c r="D348" s="11" t="str">
        <f>_xlfn.XLOOKUP(A348,CATÁLOGO!$A$2:$A$846,CATÁLOGO!$E$2:$E$846,"FORA DO CATÁLOGO")</f>
        <v>Descontinuado</v>
      </c>
      <c r="E348" s="9" t="s">
        <v>1305</v>
      </c>
      <c r="F348" s="52">
        <f>SUMIFS('AVARIA ESTIMADA'!$F$18:$F$40,'AVARIA ESTIMADA'!$A$18:$A$40,A348)</f>
        <v>0</v>
      </c>
    </row>
    <row r="349" spans="1:6" x14ac:dyDescent="0.3">
      <c r="A349" s="9" t="s">
        <v>251</v>
      </c>
      <c r="B349" s="18" t="str">
        <f>_xlfn.XLOOKUP(A349,CATÁLOGO!$A$2:$A$846,CATÁLOGO!$B$2:$B$846,"FORA DO CATÁLOGO")</f>
        <v>ACE009BU</v>
      </c>
      <c r="C349" s="11">
        <v>3</v>
      </c>
      <c r="D349" s="11" t="str">
        <f>_xlfn.XLOOKUP(A349,CATÁLOGO!$A$2:$A$846,CATÁLOGO!$E$2:$E$846,"FORA DO CATÁLOGO")</f>
        <v>Descontinuado</v>
      </c>
      <c r="E349" s="9" t="s">
        <v>1305</v>
      </c>
      <c r="F349" s="52">
        <f>SUMIFS('AVARIA ESTIMADA'!$F$18:$F$40,'AVARIA ESTIMADA'!$A$18:$A$40,A349)</f>
        <v>0</v>
      </c>
    </row>
    <row r="350" spans="1:6" x14ac:dyDescent="0.3">
      <c r="A350" s="9" t="s">
        <v>1607</v>
      </c>
      <c r="B350" s="18" t="str">
        <f>_xlfn.XLOOKUP(A350,CATÁLOGO!$A$2:$A$846,CATÁLOGO!$B$2:$B$846,"FORA DO CATÁLOGO")</f>
        <v>CAL014A36</v>
      </c>
      <c r="C350" s="11">
        <v>3</v>
      </c>
      <c r="D350" s="11" t="str">
        <f>_xlfn.XLOOKUP(A350,CATÁLOGO!$A$2:$A$846,CATÁLOGO!$E$2:$E$846,"FORA DO CATÁLOGO")</f>
        <v>Descontinuado</v>
      </c>
      <c r="E350" s="9" t="s">
        <v>1303</v>
      </c>
      <c r="F350" s="52">
        <f>SUMIFS('AVARIA ESTIMADA'!$F$18:$F$40,'AVARIA ESTIMADA'!$A$18:$A$40,A350)</f>
        <v>0</v>
      </c>
    </row>
    <row r="351" spans="1:6" x14ac:dyDescent="0.3">
      <c r="A351" s="9" t="s">
        <v>1604</v>
      </c>
      <c r="B351" s="18" t="str">
        <f>_xlfn.XLOOKUP(A351,CATÁLOGO!$A$2:$A$846,CATÁLOGO!$B$2:$B$846,"FORA DO CATÁLOGO")</f>
        <v>CAL014A38</v>
      </c>
      <c r="C351" s="11">
        <v>4</v>
      </c>
      <c r="D351" s="11" t="str">
        <f>_xlfn.XLOOKUP(A351,CATÁLOGO!$A$2:$A$846,CATÁLOGO!$E$2:$E$846,"FORA DO CATÁLOGO")</f>
        <v>Descontinuado</v>
      </c>
      <c r="E351" s="9" t="s">
        <v>1305</v>
      </c>
      <c r="F351" s="52">
        <f>SUMIFS('AVARIA ESTIMADA'!$F$18:$F$40,'AVARIA ESTIMADA'!$A$18:$A$40,A351)</f>
        <v>0</v>
      </c>
    </row>
    <row r="352" spans="1:6" x14ac:dyDescent="0.3">
      <c r="A352" s="9" t="s">
        <v>1603</v>
      </c>
      <c r="B352" s="18" t="str">
        <f>_xlfn.XLOOKUP(A352,CATÁLOGO!$A$2:$A$846,CATÁLOGO!$B$2:$B$846,"FORA DO CATÁLOGO")</f>
        <v>CAL014A40</v>
      </c>
      <c r="C352" s="11">
        <v>3</v>
      </c>
      <c r="D352" s="11" t="str">
        <f>_xlfn.XLOOKUP(A352,CATÁLOGO!$A$2:$A$846,CATÁLOGO!$E$2:$E$846,"FORA DO CATÁLOGO")</f>
        <v>Descontinuado</v>
      </c>
      <c r="E352" s="9" t="s">
        <v>1305</v>
      </c>
      <c r="F352" s="52">
        <f>SUMIFS('AVARIA ESTIMADA'!$F$18:$F$40,'AVARIA ESTIMADA'!$A$18:$A$40,A352)</f>
        <v>0</v>
      </c>
    </row>
    <row r="353" spans="1:6" x14ac:dyDescent="0.3">
      <c r="A353" s="9" t="s">
        <v>1600</v>
      </c>
      <c r="B353" s="18" t="str">
        <f>_xlfn.XLOOKUP(A353,CATÁLOGO!$A$2:$A$846,CATÁLOGO!$B$2:$B$846,"FORA DO CATÁLOGO")</f>
        <v>CAL014A42</v>
      </c>
      <c r="C353" s="11">
        <v>2</v>
      </c>
      <c r="D353" s="11" t="str">
        <f>_xlfn.XLOOKUP(A353,CATÁLOGO!$A$2:$A$846,CATÁLOGO!$E$2:$E$846,"FORA DO CATÁLOGO")</f>
        <v>Descontinuado</v>
      </c>
      <c r="E353" s="9" t="s">
        <v>1303</v>
      </c>
      <c r="F353" s="52">
        <f>SUMIFS('AVARIA ESTIMADA'!$F$18:$F$40,'AVARIA ESTIMADA'!$A$18:$A$40,A353)</f>
        <v>0</v>
      </c>
    </row>
    <row r="354" spans="1:6" x14ac:dyDescent="0.3">
      <c r="A354" s="9" t="s">
        <v>1602</v>
      </c>
      <c r="B354" s="18" t="str">
        <f>_xlfn.XLOOKUP(A354,CATÁLOGO!$A$2:$A$846,CATÁLOGO!$B$2:$B$846,"FORA DO CATÁLOGO")</f>
        <v>CAL014A44</v>
      </c>
      <c r="C354" s="11">
        <v>2</v>
      </c>
      <c r="D354" s="11" t="str">
        <f>_xlfn.XLOOKUP(A354,CATÁLOGO!$A$2:$A$846,CATÁLOGO!$E$2:$E$846,"FORA DO CATÁLOGO")</f>
        <v>Descontinuado</v>
      </c>
      <c r="E354" s="9" t="s">
        <v>1303</v>
      </c>
      <c r="F354" s="52">
        <f>SUMIFS('AVARIA ESTIMADA'!$F$18:$F$40,'AVARIA ESTIMADA'!$A$18:$A$40,A354)</f>
        <v>0</v>
      </c>
    </row>
    <row r="355" spans="1:6" x14ac:dyDescent="0.3">
      <c r="A355" s="9" t="s">
        <v>252</v>
      </c>
      <c r="B355" s="18" t="str">
        <f>_xlfn.XLOOKUP(A355,CATÁLOGO!$A$2:$A$846,CATÁLOGO!$B$2:$B$846,"FORA DO CATÁLOGO")</f>
        <v>CAM015CP</v>
      </c>
      <c r="C355" s="11">
        <v>3</v>
      </c>
      <c r="D355" s="11" t="str">
        <f>_xlfn.XLOOKUP(A355,CATÁLOGO!$A$2:$A$846,CATÁLOGO!$E$2:$E$846,"FORA DO CATÁLOGO")</f>
        <v>Descontinuado</v>
      </c>
      <c r="E355" s="9" t="s">
        <v>1303</v>
      </c>
      <c r="F355" s="52">
        <f>SUMIFS('AVARIA ESTIMADA'!$F$18:$F$40,'AVARIA ESTIMADA'!$A$18:$A$40,A355)</f>
        <v>0</v>
      </c>
    </row>
    <row r="356" spans="1:6" x14ac:dyDescent="0.3">
      <c r="A356" s="9" t="s">
        <v>253</v>
      </c>
      <c r="B356" s="18" t="str">
        <f>_xlfn.XLOOKUP(A356,CATÁLOGO!$A$2:$A$846,CATÁLOGO!$B$2:$B$846,"FORA DO CATÁLOGO")</f>
        <v>CAM015CM</v>
      </c>
      <c r="C356" s="11">
        <v>3</v>
      </c>
      <c r="D356" s="11" t="str">
        <f>_xlfn.XLOOKUP(A356,CATÁLOGO!$A$2:$A$846,CATÁLOGO!$E$2:$E$846,"FORA DO CATÁLOGO")</f>
        <v>Descontinuado</v>
      </c>
      <c r="E356" s="9" t="s">
        <v>1305</v>
      </c>
      <c r="F356" s="52">
        <f>SUMIFS('AVARIA ESTIMADA'!$F$18:$F$40,'AVARIA ESTIMADA'!$A$18:$A$40,A356)</f>
        <v>0</v>
      </c>
    </row>
    <row r="357" spans="1:6" x14ac:dyDescent="0.3">
      <c r="A357" s="9" t="s">
        <v>1287</v>
      </c>
      <c r="B357" s="18" t="str">
        <f>_xlfn.XLOOKUP(A357,CATÁLOGO!$A$2:$A$846,CATÁLOGO!$B$2:$B$846,"FORA DO CATÁLOGO")</f>
        <v>CAM015CG</v>
      </c>
      <c r="C357" s="11">
        <v>2</v>
      </c>
      <c r="D357" s="11" t="str">
        <f>_xlfn.XLOOKUP(A357,CATÁLOGO!$A$2:$A$846,CATÁLOGO!$E$2:$E$846,"FORA DO CATÁLOGO")</f>
        <v>Descontinuado</v>
      </c>
      <c r="E357" s="9" t="s">
        <v>1305</v>
      </c>
      <c r="F357" s="52">
        <f>SUMIFS('AVARIA ESTIMADA'!$F$18:$F$40,'AVARIA ESTIMADA'!$A$18:$A$40,A357)</f>
        <v>0</v>
      </c>
    </row>
    <row r="358" spans="1:6" x14ac:dyDescent="0.3">
      <c r="A358" s="9" t="s">
        <v>254</v>
      </c>
      <c r="B358" s="18" t="str">
        <f>_xlfn.XLOOKUP(A358,CATÁLOGO!$A$2:$A$846,CATÁLOGO!$B$2:$B$846,"FORA DO CATÁLOGO")</f>
        <v>SAI007HP</v>
      </c>
      <c r="C358" s="11">
        <v>3</v>
      </c>
      <c r="D358" s="11" t="str">
        <f>_xlfn.XLOOKUP(A358,CATÁLOGO!$A$2:$A$846,CATÁLOGO!$E$2:$E$846,"FORA DO CATÁLOGO")</f>
        <v>Descontinuado</v>
      </c>
      <c r="E358" s="9" t="s">
        <v>1303</v>
      </c>
      <c r="F358" s="52">
        <f>SUMIFS('AVARIA ESTIMADA'!$F$18:$F$40,'AVARIA ESTIMADA'!$A$18:$A$40,A358)</f>
        <v>0</v>
      </c>
    </row>
    <row r="359" spans="1:6" x14ac:dyDescent="0.3">
      <c r="A359" s="9" t="s">
        <v>1262</v>
      </c>
      <c r="B359" s="18" t="str">
        <f>_xlfn.XLOOKUP(A359,CATÁLOGO!$A$2:$A$846,CATÁLOGO!$B$2:$B$846,"FORA DO CATÁLOGO")</f>
        <v>SAI007HM</v>
      </c>
      <c r="C359" s="11">
        <v>4</v>
      </c>
      <c r="D359" s="11" t="str">
        <f>_xlfn.XLOOKUP(A359,CATÁLOGO!$A$2:$A$846,CATÁLOGO!$E$2:$E$846,"FORA DO CATÁLOGO")</f>
        <v>Descontinuado</v>
      </c>
      <c r="E359" s="9" t="s">
        <v>1305</v>
      </c>
      <c r="F359" s="52">
        <f>SUMIFS('AVARIA ESTIMADA'!$F$18:$F$40,'AVARIA ESTIMADA'!$A$18:$A$40,A359)</f>
        <v>0</v>
      </c>
    </row>
    <row r="360" spans="1:6" x14ac:dyDescent="0.3">
      <c r="A360" s="9" t="s">
        <v>255</v>
      </c>
      <c r="B360" s="18" t="str">
        <f>_xlfn.XLOOKUP(A360,CATÁLOGO!$A$2:$A$846,CATÁLOGO!$B$2:$B$846,"FORA DO CATÁLOGO")</f>
        <v>SAI007HG</v>
      </c>
      <c r="C360" s="11">
        <v>4</v>
      </c>
      <c r="D360" s="11" t="str">
        <f>_xlfn.XLOOKUP(A360,CATÁLOGO!$A$2:$A$846,CATÁLOGO!$E$2:$E$846,"FORA DO CATÁLOGO")</f>
        <v>Descontinuado</v>
      </c>
      <c r="E360" s="9" t="s">
        <v>1304</v>
      </c>
      <c r="F360" s="52">
        <f>SUMIFS('AVARIA ESTIMADA'!$F$18:$F$40,'AVARIA ESTIMADA'!$A$18:$A$40,A360)</f>
        <v>0</v>
      </c>
    </row>
    <row r="361" spans="1:6" x14ac:dyDescent="0.3">
      <c r="A361" s="9" t="s">
        <v>257</v>
      </c>
      <c r="B361" s="18" t="str">
        <f>_xlfn.XLOOKUP(A361,CATÁLOGO!$A$2:$A$846,CATÁLOGO!$B$2:$B$846,"FORA DO CATÁLOGO")</f>
        <v>TRI009YP</v>
      </c>
      <c r="C361" s="11">
        <v>2</v>
      </c>
      <c r="D361" s="11" t="str">
        <f>_xlfn.XLOOKUP(A361,CATÁLOGO!$A$2:$A$846,CATÁLOGO!$E$2:$E$846,"FORA DO CATÁLOGO")</f>
        <v>Ativo</v>
      </c>
      <c r="E361" s="9" t="s">
        <v>1305</v>
      </c>
      <c r="F361" s="52">
        <f>SUMIFS('AVARIA ESTIMADA'!$F$18:$F$40,'AVARIA ESTIMADA'!$A$18:$A$40,A361)</f>
        <v>0</v>
      </c>
    </row>
    <row r="362" spans="1:6" x14ac:dyDescent="0.3">
      <c r="A362" s="9" t="s">
        <v>258</v>
      </c>
      <c r="B362" s="18" t="str">
        <f>_xlfn.XLOOKUP(A362,CATÁLOGO!$A$2:$A$846,CATÁLOGO!$B$2:$B$846,"FORA DO CATÁLOGO")</f>
        <v>TRI009YM</v>
      </c>
      <c r="C362" s="11">
        <v>3</v>
      </c>
      <c r="D362" s="11" t="str">
        <f>_xlfn.XLOOKUP(A362,CATÁLOGO!$A$2:$A$846,CATÁLOGO!$E$2:$E$846,"FORA DO CATÁLOGO")</f>
        <v>Ativo</v>
      </c>
      <c r="E362" s="9" t="s">
        <v>1303</v>
      </c>
      <c r="F362" s="52">
        <f>SUMIFS('AVARIA ESTIMADA'!$F$18:$F$40,'AVARIA ESTIMADA'!$A$18:$A$40,A362)</f>
        <v>0</v>
      </c>
    </row>
    <row r="363" spans="1:6" x14ac:dyDescent="0.3">
      <c r="A363" s="9" t="s">
        <v>259</v>
      </c>
      <c r="B363" s="18" t="str">
        <f>_xlfn.XLOOKUP(A363,CATÁLOGO!$A$2:$A$846,CATÁLOGO!$B$2:$B$846,"FORA DO CATÁLOGO")</f>
        <v>TRI009YG</v>
      </c>
      <c r="C363" s="11">
        <v>2</v>
      </c>
      <c r="D363" s="11" t="str">
        <f>_xlfn.XLOOKUP(A363,CATÁLOGO!$A$2:$A$846,CATÁLOGO!$E$2:$E$846,"FORA DO CATÁLOGO")</f>
        <v>Ativo</v>
      </c>
      <c r="E363" s="9" t="s">
        <v>1303</v>
      </c>
      <c r="F363" s="52">
        <f>SUMIFS('AVARIA ESTIMADA'!$F$18:$F$40,'AVARIA ESTIMADA'!$A$18:$A$40,A363)</f>
        <v>0</v>
      </c>
    </row>
    <row r="364" spans="1:6" x14ac:dyDescent="0.3">
      <c r="A364" s="9" t="s">
        <v>260</v>
      </c>
      <c r="B364" s="18" t="str">
        <f>_xlfn.XLOOKUP(A364,CATÁLOGO!$A$2:$A$846,CATÁLOGO!$B$2:$B$846,"FORA DO CATÁLOGO")</f>
        <v>TRI009YGG</v>
      </c>
      <c r="C364" s="11">
        <v>1</v>
      </c>
      <c r="D364" s="11" t="str">
        <f>_xlfn.XLOOKUP(A364,CATÁLOGO!$A$2:$A$846,CATÁLOGO!$E$2:$E$846,"FORA DO CATÁLOGO")</f>
        <v>Ativo</v>
      </c>
      <c r="E364" s="9" t="s">
        <v>1304</v>
      </c>
      <c r="F364" s="52">
        <f>SUMIFS('AVARIA ESTIMADA'!$F$18:$F$40,'AVARIA ESTIMADA'!$A$18:$A$40,A364)</f>
        <v>0</v>
      </c>
    </row>
    <row r="365" spans="1:6" x14ac:dyDescent="0.3">
      <c r="A365" s="9" t="s">
        <v>1845</v>
      </c>
      <c r="B365" s="18" t="str">
        <f>_xlfn.XLOOKUP(A365,CATÁLOGO!$A$2:$A$846,CATÁLOGO!$B$2:$B$846,"FORA DO CATÁLOGO")</f>
        <v>MOL012OPP</v>
      </c>
      <c r="C365" s="11">
        <v>1</v>
      </c>
      <c r="D365" s="11" t="str">
        <f>_xlfn.XLOOKUP(A365,CATÁLOGO!$A$2:$A$846,CATÁLOGO!$E$2:$E$846,"FORA DO CATÁLOGO")</f>
        <v>Ativo</v>
      </c>
      <c r="E365" s="9" t="s">
        <v>1304</v>
      </c>
      <c r="F365" s="52">
        <f>SUMIFS('AVARIA ESTIMADA'!$F$18:$F$40,'AVARIA ESTIMADA'!$A$18:$A$40,A365)</f>
        <v>0</v>
      </c>
    </row>
    <row r="366" spans="1:6" x14ac:dyDescent="0.3">
      <c r="A366" s="9" t="s">
        <v>261</v>
      </c>
      <c r="B366" s="18" t="str">
        <f>_xlfn.XLOOKUP(A366,CATÁLOGO!$A$2:$A$846,CATÁLOGO!$B$2:$B$846,"FORA DO CATÁLOGO")</f>
        <v>MOL012OP</v>
      </c>
      <c r="C366" s="11">
        <v>6</v>
      </c>
      <c r="D366" s="11" t="str">
        <f>_xlfn.XLOOKUP(A366,CATÁLOGO!$A$2:$A$846,CATÁLOGO!$E$2:$E$846,"FORA DO CATÁLOGO")</f>
        <v>Ativo</v>
      </c>
      <c r="E366" s="9" t="s">
        <v>1303</v>
      </c>
      <c r="F366" s="52">
        <f>SUMIFS('AVARIA ESTIMADA'!$F$18:$F$40,'AVARIA ESTIMADA'!$A$18:$A$40,A366)</f>
        <v>0</v>
      </c>
    </row>
    <row r="367" spans="1:6" x14ac:dyDescent="0.3">
      <c r="A367" s="9" t="s">
        <v>262</v>
      </c>
      <c r="B367" s="18" t="str">
        <f>_xlfn.XLOOKUP(A367,CATÁLOGO!$A$2:$A$846,CATÁLOGO!$B$2:$B$846,"FORA DO CATÁLOGO")</f>
        <v>MOL012OM</v>
      </c>
      <c r="C367" s="11">
        <v>5</v>
      </c>
      <c r="D367" s="11" t="str">
        <f>_xlfn.XLOOKUP(A367,CATÁLOGO!$A$2:$A$846,CATÁLOGO!$E$2:$E$846,"FORA DO CATÁLOGO")</f>
        <v>Ativo</v>
      </c>
      <c r="E367" s="9" t="s">
        <v>1305</v>
      </c>
      <c r="F367" s="52">
        <f>SUMIFS('AVARIA ESTIMADA'!$F$18:$F$40,'AVARIA ESTIMADA'!$A$18:$A$40,A367)</f>
        <v>0</v>
      </c>
    </row>
    <row r="368" spans="1:6" x14ac:dyDescent="0.3">
      <c r="A368" s="9" t="s">
        <v>263</v>
      </c>
      <c r="B368" s="18" t="str">
        <f>_xlfn.XLOOKUP(A368,CATÁLOGO!$A$2:$A$846,CATÁLOGO!$B$2:$B$846,"FORA DO CATÁLOGO")</f>
        <v>MOL012OG</v>
      </c>
      <c r="C368" s="11">
        <v>6</v>
      </c>
      <c r="D368" s="11" t="str">
        <f>_xlfn.XLOOKUP(A368,CATÁLOGO!$A$2:$A$846,CATÁLOGO!$E$2:$E$846,"FORA DO CATÁLOGO")</f>
        <v>Ativo</v>
      </c>
      <c r="E368" s="9" t="s">
        <v>1305</v>
      </c>
      <c r="F368" s="52">
        <f>SUMIFS('AVARIA ESTIMADA'!$F$18:$F$40,'AVARIA ESTIMADA'!$A$18:$A$40,A368)</f>
        <v>0</v>
      </c>
    </row>
    <row r="369" spans="1:6" x14ac:dyDescent="0.3">
      <c r="A369" s="9" t="s">
        <v>264</v>
      </c>
      <c r="B369" s="18" t="str">
        <f>_xlfn.XLOOKUP(A369,CATÁLOGO!$A$2:$A$846,CATÁLOGO!$B$2:$B$846,"FORA DO CATÁLOGO")</f>
        <v>MOL012OGG</v>
      </c>
      <c r="C369" s="11">
        <v>3</v>
      </c>
      <c r="D369" s="11" t="str">
        <f>_xlfn.XLOOKUP(A369,CATÁLOGO!$A$2:$A$846,CATÁLOGO!$E$2:$E$846,"FORA DO CATÁLOGO")</f>
        <v>Ativo</v>
      </c>
      <c r="E369" s="9" t="s">
        <v>1305</v>
      </c>
      <c r="F369" s="52">
        <f>SUMIFS('AVARIA ESTIMADA'!$F$18:$F$40,'AVARIA ESTIMADA'!$A$18:$A$40,A369)</f>
        <v>0</v>
      </c>
    </row>
    <row r="370" spans="1:6" x14ac:dyDescent="0.3">
      <c r="A370" s="9" t="s">
        <v>1613</v>
      </c>
      <c r="B370" s="18" t="str">
        <f>_xlfn.XLOOKUP(A370,CATÁLOGO!$A$2:$A$846,CATÁLOGO!$B$2:$B$846,"FORA DO CATÁLOGO")</f>
        <v>CAL015G36</v>
      </c>
      <c r="C370" s="11">
        <v>2</v>
      </c>
      <c r="D370" s="11" t="str">
        <f>_xlfn.XLOOKUP(A370,CATÁLOGO!$A$2:$A$846,CATÁLOGO!$E$2:$E$846,"FORA DO CATÁLOGO")</f>
        <v>Descontinuado</v>
      </c>
      <c r="E370" s="9" t="s">
        <v>1303</v>
      </c>
      <c r="F370" s="52">
        <f>SUMIFS('AVARIA ESTIMADA'!$F$18:$F$40,'AVARIA ESTIMADA'!$A$18:$A$40,A370)</f>
        <v>0</v>
      </c>
    </row>
    <row r="371" spans="1:6" x14ac:dyDescent="0.3">
      <c r="A371" s="9" t="s">
        <v>1612</v>
      </c>
      <c r="B371" s="18" t="str">
        <f>_xlfn.XLOOKUP(A371,CATÁLOGO!$A$2:$A$846,CATÁLOGO!$B$2:$B$846,"FORA DO CATÁLOGO")</f>
        <v>CAL015G38</v>
      </c>
      <c r="C371" s="11">
        <v>3</v>
      </c>
      <c r="D371" s="11" t="str">
        <f>_xlfn.XLOOKUP(A371,CATÁLOGO!$A$2:$A$846,CATÁLOGO!$E$2:$E$846,"FORA DO CATÁLOGO")</f>
        <v>Descontinuado</v>
      </c>
      <c r="E371" s="9" t="s">
        <v>1305</v>
      </c>
      <c r="F371" s="52">
        <f>SUMIFS('AVARIA ESTIMADA'!$F$18:$F$40,'AVARIA ESTIMADA'!$A$18:$A$40,A371)</f>
        <v>0</v>
      </c>
    </row>
    <row r="372" spans="1:6" x14ac:dyDescent="0.3">
      <c r="A372" s="9" t="s">
        <v>1611</v>
      </c>
      <c r="B372" s="18" t="str">
        <f>_xlfn.XLOOKUP(A372,CATÁLOGO!$A$2:$A$846,CATÁLOGO!$B$2:$B$846,"FORA DO CATÁLOGO")</f>
        <v>CAL015G40</v>
      </c>
      <c r="C372" s="11">
        <v>5</v>
      </c>
      <c r="D372" s="11" t="str">
        <f>_xlfn.XLOOKUP(A372,CATÁLOGO!$A$2:$A$846,CATÁLOGO!$E$2:$E$846,"FORA DO CATÁLOGO")</f>
        <v>Descontinuado</v>
      </c>
      <c r="E372" s="9" t="s">
        <v>1304</v>
      </c>
      <c r="F372" s="52">
        <f>SUMIFS('AVARIA ESTIMADA'!$F$18:$F$40,'AVARIA ESTIMADA'!$A$18:$A$40,A372)</f>
        <v>0</v>
      </c>
    </row>
    <row r="373" spans="1:6" x14ac:dyDescent="0.3">
      <c r="A373" s="9" t="s">
        <v>1608</v>
      </c>
      <c r="B373" s="18" t="str">
        <f>_xlfn.XLOOKUP(A373,CATÁLOGO!$A$2:$A$846,CATÁLOGO!$B$2:$B$846,"FORA DO CATÁLOGO")</f>
        <v>CAL015G42</v>
      </c>
      <c r="C373" s="11">
        <v>2</v>
      </c>
      <c r="D373" s="11" t="str">
        <f>_xlfn.XLOOKUP(A373,CATÁLOGO!$A$2:$A$846,CATÁLOGO!$E$2:$E$846,"FORA DO CATÁLOGO")</f>
        <v>Descontinuado</v>
      </c>
      <c r="E373" s="9" t="s">
        <v>1304</v>
      </c>
      <c r="F373" s="52">
        <f>SUMIFS('AVARIA ESTIMADA'!$F$18:$F$40,'AVARIA ESTIMADA'!$A$18:$A$40,A373)</f>
        <v>0</v>
      </c>
    </row>
    <row r="374" spans="1:6" x14ac:dyDescent="0.3">
      <c r="A374" s="9" t="s">
        <v>1610</v>
      </c>
      <c r="B374" s="18" t="str">
        <f>_xlfn.XLOOKUP(A374,CATÁLOGO!$A$2:$A$846,CATÁLOGO!$B$2:$B$846,"FORA DO CATÁLOGO")</f>
        <v>CAL015G44</v>
      </c>
      <c r="C374" s="11">
        <v>2</v>
      </c>
      <c r="D374" s="11" t="str">
        <f>_xlfn.XLOOKUP(A374,CATÁLOGO!$A$2:$A$846,CATÁLOGO!$E$2:$E$846,"FORA DO CATÁLOGO")</f>
        <v>Descontinuado</v>
      </c>
      <c r="E374" s="9" t="s">
        <v>1305</v>
      </c>
      <c r="F374" s="52">
        <f>SUMIFS('AVARIA ESTIMADA'!$F$18:$F$40,'AVARIA ESTIMADA'!$A$18:$A$40,A374)</f>
        <v>0</v>
      </c>
    </row>
    <row r="375" spans="1:6" x14ac:dyDescent="0.3">
      <c r="A375" s="9" t="s">
        <v>1619</v>
      </c>
      <c r="B375" s="18" t="str">
        <f>_xlfn.XLOOKUP(A375,CATÁLOGO!$A$2:$A$846,CATÁLOGO!$B$2:$B$846,"FORA DO CATÁLOGO")</f>
        <v>CAL016V36</v>
      </c>
      <c r="C375" s="11">
        <v>2</v>
      </c>
      <c r="D375" s="11" t="str">
        <f>_xlfn.XLOOKUP(A375,CATÁLOGO!$A$2:$A$846,CATÁLOGO!$E$2:$E$846,"FORA DO CATÁLOGO")</f>
        <v>Descontinuado</v>
      </c>
      <c r="E375" s="9" t="s">
        <v>1305</v>
      </c>
      <c r="F375" s="52">
        <f>SUMIFS('AVARIA ESTIMADA'!$F$18:$F$40,'AVARIA ESTIMADA'!$A$18:$A$40,A375)</f>
        <v>0</v>
      </c>
    </row>
    <row r="376" spans="1:6" x14ac:dyDescent="0.3">
      <c r="A376" s="9" t="s">
        <v>1618</v>
      </c>
      <c r="B376" s="18" t="str">
        <f>_xlfn.XLOOKUP(A376,CATÁLOGO!$A$2:$A$846,CATÁLOGO!$B$2:$B$846,"FORA DO CATÁLOGO")</f>
        <v>CAL016V38</v>
      </c>
      <c r="C376" s="11">
        <v>2</v>
      </c>
      <c r="D376" s="11" t="str">
        <f>_xlfn.XLOOKUP(A376,CATÁLOGO!$A$2:$A$846,CATÁLOGO!$E$2:$E$846,"FORA DO CATÁLOGO")</f>
        <v>Descontinuado</v>
      </c>
      <c r="E376" s="9" t="s">
        <v>1304</v>
      </c>
      <c r="F376" s="52">
        <f>SUMIFS('AVARIA ESTIMADA'!$F$18:$F$40,'AVARIA ESTIMADA'!$A$18:$A$40,A376)</f>
        <v>2</v>
      </c>
    </row>
    <row r="377" spans="1:6" x14ac:dyDescent="0.3">
      <c r="A377" s="9" t="s">
        <v>1617</v>
      </c>
      <c r="B377" s="18" t="str">
        <f>_xlfn.XLOOKUP(A377,CATÁLOGO!$A$2:$A$846,CATÁLOGO!$B$2:$B$846,"FORA DO CATÁLOGO")</f>
        <v>CAL016V40</v>
      </c>
      <c r="C377" s="11">
        <v>2</v>
      </c>
      <c r="D377" s="11" t="str">
        <f>_xlfn.XLOOKUP(A377,CATÁLOGO!$A$2:$A$846,CATÁLOGO!$E$2:$E$846,"FORA DO CATÁLOGO")</f>
        <v>Descontinuado</v>
      </c>
      <c r="E377" s="9" t="s">
        <v>1304</v>
      </c>
      <c r="F377" s="52">
        <f>SUMIFS('AVARIA ESTIMADA'!$F$18:$F$40,'AVARIA ESTIMADA'!$A$18:$A$40,A377)</f>
        <v>2</v>
      </c>
    </row>
    <row r="378" spans="1:6" x14ac:dyDescent="0.3">
      <c r="A378" s="9" t="s">
        <v>1614</v>
      </c>
      <c r="B378" s="18" t="str">
        <f>_xlfn.XLOOKUP(A378,CATÁLOGO!$A$2:$A$846,CATÁLOGO!$B$2:$B$846,"FORA DO CATÁLOGO")</f>
        <v>CAL016V42</v>
      </c>
      <c r="C378" s="11">
        <v>2</v>
      </c>
      <c r="D378" s="11" t="str">
        <f>_xlfn.XLOOKUP(A378,CATÁLOGO!$A$2:$A$846,CATÁLOGO!$E$2:$E$846,"FORA DO CATÁLOGO")</f>
        <v>Descontinuado</v>
      </c>
      <c r="E378" s="9" t="s">
        <v>1303</v>
      </c>
      <c r="F378" s="52">
        <f>SUMIFS('AVARIA ESTIMADA'!$F$18:$F$40,'AVARIA ESTIMADA'!$A$18:$A$40,A378)</f>
        <v>0</v>
      </c>
    </row>
    <row r="379" spans="1:6" x14ac:dyDescent="0.3">
      <c r="A379" s="9" t="s">
        <v>1616</v>
      </c>
      <c r="B379" s="18" t="str">
        <f>_xlfn.XLOOKUP(A379,CATÁLOGO!$A$2:$A$846,CATÁLOGO!$B$2:$B$846,"FORA DO CATÁLOGO")</f>
        <v>CAL016V44</v>
      </c>
      <c r="C379" s="11">
        <v>2</v>
      </c>
      <c r="D379" s="11" t="str">
        <f>_xlfn.XLOOKUP(A379,CATÁLOGO!$A$2:$A$846,CATÁLOGO!$E$2:$E$846,"FORA DO CATÁLOGO")</f>
        <v>Descontinuado</v>
      </c>
      <c r="E379" s="9" t="s">
        <v>1305</v>
      </c>
      <c r="F379" s="52">
        <f>SUMIFS('AVARIA ESTIMADA'!$F$18:$F$40,'AVARIA ESTIMADA'!$A$18:$A$40,A379)</f>
        <v>0</v>
      </c>
    </row>
    <row r="380" spans="1:6" x14ac:dyDescent="0.3">
      <c r="A380" s="9" t="s">
        <v>1625</v>
      </c>
      <c r="B380" s="18" t="str">
        <f>_xlfn.XLOOKUP(A380,CATÁLOGO!$A$2:$A$846,CATÁLOGO!$B$2:$B$846,"FORA DO CATÁLOGO")</f>
        <v>CAL017H38</v>
      </c>
      <c r="C380" s="11">
        <v>3</v>
      </c>
      <c r="D380" s="11" t="str">
        <f>_xlfn.XLOOKUP(A380,CATÁLOGO!$A$2:$A$846,CATÁLOGO!$E$2:$E$846,"FORA DO CATÁLOGO")</f>
        <v>Descontinuado</v>
      </c>
      <c r="E380" s="9" t="s">
        <v>1305</v>
      </c>
      <c r="F380" s="52">
        <f>SUMIFS('AVARIA ESTIMADA'!$F$18:$F$40,'AVARIA ESTIMADA'!$A$18:$A$40,A380)</f>
        <v>0</v>
      </c>
    </row>
    <row r="381" spans="1:6" x14ac:dyDescent="0.3">
      <c r="A381" s="9" t="s">
        <v>1624</v>
      </c>
      <c r="B381" s="18" t="str">
        <f>_xlfn.XLOOKUP(A381,CATÁLOGO!$A$2:$A$846,CATÁLOGO!$B$2:$B$846,"FORA DO CATÁLOGO")</f>
        <v>CAL017H40</v>
      </c>
      <c r="C381" s="11">
        <v>3</v>
      </c>
      <c r="D381" s="11" t="str">
        <f>_xlfn.XLOOKUP(A381,CATÁLOGO!$A$2:$A$846,CATÁLOGO!$E$2:$E$846,"FORA DO CATÁLOGO")</f>
        <v>Descontinuado</v>
      </c>
      <c r="E381" s="9" t="s">
        <v>1305</v>
      </c>
      <c r="F381" s="52">
        <f>SUMIFS('AVARIA ESTIMADA'!$F$18:$F$40,'AVARIA ESTIMADA'!$A$18:$A$40,A381)</f>
        <v>0</v>
      </c>
    </row>
    <row r="382" spans="1:6" x14ac:dyDescent="0.3">
      <c r="A382" s="9" t="s">
        <v>1620</v>
      </c>
      <c r="B382" s="18" t="str">
        <f>_xlfn.XLOOKUP(A382,CATÁLOGO!$A$2:$A$846,CATÁLOGO!$B$2:$B$846,"FORA DO CATÁLOGO")</f>
        <v>CAL017H42</v>
      </c>
      <c r="C382" s="11">
        <v>2</v>
      </c>
      <c r="D382" s="11" t="str">
        <f>_xlfn.XLOOKUP(A382,CATÁLOGO!$A$2:$A$846,CATÁLOGO!$E$2:$E$846,"FORA DO CATÁLOGO")</f>
        <v>Descontinuado</v>
      </c>
      <c r="E382" s="9" t="s">
        <v>1304</v>
      </c>
      <c r="F382" s="52">
        <f>SUMIFS('AVARIA ESTIMADA'!$F$18:$F$40,'AVARIA ESTIMADA'!$A$18:$A$40,A382)</f>
        <v>0</v>
      </c>
    </row>
    <row r="383" spans="1:6" x14ac:dyDescent="0.3">
      <c r="A383" s="9" t="s">
        <v>1622</v>
      </c>
      <c r="B383" s="18" t="str">
        <f>_xlfn.XLOOKUP(A383,CATÁLOGO!$A$2:$A$846,CATÁLOGO!$B$2:$B$846,"FORA DO CATÁLOGO")</f>
        <v>CAL017H44</v>
      </c>
      <c r="C383" s="11">
        <v>1</v>
      </c>
      <c r="D383" s="11" t="str">
        <f>_xlfn.XLOOKUP(A383,CATÁLOGO!$A$2:$A$846,CATÁLOGO!$E$2:$E$846,"FORA DO CATÁLOGO")</f>
        <v>Descontinuado</v>
      </c>
      <c r="E383" s="9" t="s">
        <v>1329</v>
      </c>
      <c r="F383" s="52">
        <f>SUMIFS('AVARIA ESTIMADA'!$F$18:$F$40,'AVARIA ESTIMADA'!$A$18:$A$40,A383)</f>
        <v>0</v>
      </c>
    </row>
    <row r="384" spans="1:6" x14ac:dyDescent="0.3">
      <c r="A384" s="9" t="s">
        <v>266</v>
      </c>
      <c r="B384" s="18" t="str">
        <f>_xlfn.XLOOKUP(A384,CATÁLOGO!$A$2:$A$846,CATÁLOGO!$B$2:$B$846,"FORA DO CATÁLOGO")</f>
        <v>TRI010VM</v>
      </c>
      <c r="C384" s="11">
        <v>2</v>
      </c>
      <c r="D384" s="11" t="str">
        <f>_xlfn.XLOOKUP(A384,CATÁLOGO!$A$2:$A$846,CATÁLOGO!$E$2:$E$846,"FORA DO CATÁLOGO")</f>
        <v>Descontinuado</v>
      </c>
      <c r="E384" s="9" t="s">
        <v>1305</v>
      </c>
      <c r="F384" s="52">
        <f>SUMIFS('AVARIA ESTIMADA'!$F$18:$F$40,'AVARIA ESTIMADA'!$A$18:$A$40,A384)</f>
        <v>0</v>
      </c>
    </row>
    <row r="385" spans="1:6" x14ac:dyDescent="0.3">
      <c r="A385" s="9" t="s">
        <v>267</v>
      </c>
      <c r="B385" s="18" t="str">
        <f>_xlfn.XLOOKUP(A385,CATÁLOGO!$A$2:$A$846,CATÁLOGO!$B$2:$B$846,"FORA DO CATÁLOGO")</f>
        <v>TRI010VG</v>
      </c>
      <c r="C385" s="11">
        <v>1</v>
      </c>
      <c r="D385" s="11" t="str">
        <f>_xlfn.XLOOKUP(A385,CATÁLOGO!$A$2:$A$846,CATÁLOGO!$E$2:$E$846,"FORA DO CATÁLOGO")</f>
        <v>Descontinuado</v>
      </c>
      <c r="E385" s="9" t="s">
        <v>1305</v>
      </c>
      <c r="F385" s="52">
        <f>SUMIFS('AVARIA ESTIMADA'!$F$18:$F$40,'AVARIA ESTIMADA'!$A$18:$A$40,A385)</f>
        <v>0</v>
      </c>
    </row>
    <row r="386" spans="1:6" x14ac:dyDescent="0.3">
      <c r="A386" s="9" t="s">
        <v>268</v>
      </c>
      <c r="B386" s="18" t="str">
        <f>_xlfn.XLOOKUP(A386,CATÁLOGO!$A$2:$A$846,CATÁLOGO!$B$2:$B$846,"FORA DO CATÁLOGO")</f>
        <v>TRI011GP</v>
      </c>
      <c r="C386" s="11">
        <v>5</v>
      </c>
      <c r="D386" s="11" t="str">
        <f>_xlfn.XLOOKUP(A386,CATÁLOGO!$A$2:$A$846,CATÁLOGO!$E$2:$E$846,"FORA DO CATÁLOGO")</f>
        <v>Ativo</v>
      </c>
      <c r="E386" s="9" t="s">
        <v>1305</v>
      </c>
      <c r="F386" s="52">
        <f>SUMIFS('AVARIA ESTIMADA'!$F$18:$F$40,'AVARIA ESTIMADA'!$A$18:$A$40,A386)</f>
        <v>0</v>
      </c>
    </row>
    <row r="387" spans="1:6" x14ac:dyDescent="0.3">
      <c r="A387" s="9" t="s">
        <v>269</v>
      </c>
      <c r="B387" s="18" t="str">
        <f>_xlfn.XLOOKUP(A387,CATÁLOGO!$A$2:$A$846,CATÁLOGO!$B$2:$B$846,"FORA DO CATÁLOGO")</f>
        <v>TRI011GM</v>
      </c>
      <c r="C387" s="11">
        <v>6</v>
      </c>
      <c r="D387" s="11" t="str">
        <f>_xlfn.XLOOKUP(A387,CATÁLOGO!$A$2:$A$846,CATÁLOGO!$E$2:$E$846,"FORA DO CATÁLOGO")</f>
        <v>Ativo</v>
      </c>
      <c r="E387" s="9" t="s">
        <v>1305</v>
      </c>
      <c r="F387" s="52">
        <f>SUMIFS('AVARIA ESTIMADA'!$F$18:$F$40,'AVARIA ESTIMADA'!$A$18:$A$40,A387)</f>
        <v>0</v>
      </c>
    </row>
    <row r="388" spans="1:6" x14ac:dyDescent="0.3">
      <c r="A388" s="9" t="s">
        <v>270</v>
      </c>
      <c r="B388" s="18" t="str">
        <f>_xlfn.XLOOKUP(A388,CATÁLOGO!$A$2:$A$846,CATÁLOGO!$B$2:$B$846,"FORA DO CATÁLOGO")</f>
        <v>TRI011GG</v>
      </c>
      <c r="C388" s="11">
        <v>6</v>
      </c>
      <c r="D388" s="11" t="str">
        <f>_xlfn.XLOOKUP(A388,CATÁLOGO!$A$2:$A$846,CATÁLOGO!$E$2:$E$846,"FORA DO CATÁLOGO")</f>
        <v>Ativo</v>
      </c>
      <c r="E388" s="9" t="s">
        <v>1303</v>
      </c>
      <c r="F388" s="52">
        <f>SUMIFS('AVARIA ESTIMADA'!$F$18:$F$40,'AVARIA ESTIMADA'!$A$18:$A$40,A388)</f>
        <v>0</v>
      </c>
    </row>
    <row r="389" spans="1:6" x14ac:dyDescent="0.3">
      <c r="A389" s="9" t="s">
        <v>1631</v>
      </c>
      <c r="B389" s="18" t="str">
        <f>_xlfn.XLOOKUP(A389,CATÁLOGO!$A$2:$A$846,CATÁLOGO!$B$2:$B$846,"FORA DO CATÁLOGO")</f>
        <v>CAL018G36</v>
      </c>
      <c r="C389" s="11">
        <v>3</v>
      </c>
      <c r="D389" s="11" t="str">
        <f>_xlfn.XLOOKUP(A389,CATÁLOGO!$A$2:$A$846,CATÁLOGO!$E$2:$E$846,"FORA DO CATÁLOGO")</f>
        <v>Ativo</v>
      </c>
      <c r="E389" s="9" t="s">
        <v>1303</v>
      </c>
      <c r="F389" s="52">
        <f>SUMIFS('AVARIA ESTIMADA'!$F$18:$F$40,'AVARIA ESTIMADA'!$A$18:$A$40,A389)</f>
        <v>0</v>
      </c>
    </row>
    <row r="390" spans="1:6" x14ac:dyDescent="0.3">
      <c r="A390" s="9" t="s">
        <v>1630</v>
      </c>
      <c r="B390" s="18" t="str">
        <f>_xlfn.XLOOKUP(A390,CATÁLOGO!$A$2:$A$846,CATÁLOGO!$B$2:$B$846,"FORA DO CATÁLOGO")</f>
        <v>CAL018G38</v>
      </c>
      <c r="C390" s="11">
        <v>6</v>
      </c>
      <c r="D390" s="11" t="str">
        <f>_xlfn.XLOOKUP(A390,CATÁLOGO!$A$2:$A$846,CATÁLOGO!$E$2:$E$846,"FORA DO CATÁLOGO")</f>
        <v>Ativo</v>
      </c>
      <c r="E390" s="9" t="s">
        <v>1305</v>
      </c>
      <c r="F390" s="52">
        <f>SUMIFS('AVARIA ESTIMADA'!$F$18:$F$40,'AVARIA ESTIMADA'!$A$18:$A$40,A390)</f>
        <v>0</v>
      </c>
    </row>
    <row r="391" spans="1:6" x14ac:dyDescent="0.3">
      <c r="A391" s="9" t="s">
        <v>1629</v>
      </c>
      <c r="B391" s="18" t="str">
        <f>_xlfn.XLOOKUP(A391,CATÁLOGO!$A$2:$A$846,CATÁLOGO!$B$2:$B$846,"FORA DO CATÁLOGO")</f>
        <v>CAL018G40</v>
      </c>
      <c r="C391" s="11">
        <v>6</v>
      </c>
      <c r="D391" s="11" t="str">
        <f>_xlfn.XLOOKUP(A391,CATÁLOGO!$A$2:$A$846,CATÁLOGO!$E$2:$E$846,"FORA DO CATÁLOGO")</f>
        <v>Ativo</v>
      </c>
      <c r="E391" s="9" t="s">
        <v>1304</v>
      </c>
      <c r="F391" s="52">
        <f>SUMIFS('AVARIA ESTIMADA'!$F$18:$F$40,'AVARIA ESTIMADA'!$A$18:$A$40,A391)</f>
        <v>0</v>
      </c>
    </row>
    <row r="392" spans="1:6" x14ac:dyDescent="0.3">
      <c r="A392" s="9" t="s">
        <v>1626</v>
      </c>
      <c r="B392" s="18" t="str">
        <f>_xlfn.XLOOKUP(A392,CATÁLOGO!$A$2:$A$846,CATÁLOGO!$B$2:$B$846,"FORA DO CATÁLOGO")</f>
        <v>CAL018G42</v>
      </c>
      <c r="C392" s="11">
        <v>5</v>
      </c>
      <c r="D392" s="11" t="str">
        <f>_xlfn.XLOOKUP(A392,CATÁLOGO!$A$2:$A$846,CATÁLOGO!$E$2:$E$846,"FORA DO CATÁLOGO")</f>
        <v>Ativo</v>
      </c>
      <c r="E392" s="9" t="s">
        <v>1305</v>
      </c>
      <c r="F392" s="52">
        <f>SUMIFS('AVARIA ESTIMADA'!$F$18:$F$40,'AVARIA ESTIMADA'!$A$18:$A$40,A392)</f>
        <v>0</v>
      </c>
    </row>
    <row r="393" spans="1:6" x14ac:dyDescent="0.3">
      <c r="A393" s="9" t="s">
        <v>1628</v>
      </c>
      <c r="B393" s="18" t="str">
        <f>_xlfn.XLOOKUP(A393,CATÁLOGO!$A$2:$A$846,CATÁLOGO!$B$2:$B$846,"FORA DO CATÁLOGO")</f>
        <v>CAL018G44</v>
      </c>
      <c r="C393" s="11">
        <v>3</v>
      </c>
      <c r="D393" s="11" t="str">
        <f>_xlfn.XLOOKUP(A393,CATÁLOGO!$A$2:$A$846,CATÁLOGO!$E$2:$E$846,"FORA DO CATÁLOGO")</f>
        <v>Ativo</v>
      </c>
      <c r="E393" s="9" t="s">
        <v>1305</v>
      </c>
      <c r="F393" s="52">
        <f>SUMIFS('AVARIA ESTIMADA'!$F$18:$F$40,'AVARIA ESTIMADA'!$A$18:$A$40,A393)</f>
        <v>0</v>
      </c>
    </row>
    <row r="394" spans="1:6" x14ac:dyDescent="0.3">
      <c r="A394" s="9" t="s">
        <v>271</v>
      </c>
      <c r="B394" s="18" t="str">
        <f>_xlfn.XLOOKUP(A394,CATÁLOGO!$A$2:$A$846,CATÁLOGO!$B$2:$B$846,"FORA DO CATÁLOGO")</f>
        <v>TOP011CP</v>
      </c>
      <c r="C394" s="11">
        <v>3</v>
      </c>
      <c r="D394" s="11" t="str">
        <f>_xlfn.XLOOKUP(A394,CATÁLOGO!$A$2:$A$846,CATÁLOGO!$E$2:$E$846,"FORA DO CATÁLOGO")</f>
        <v>Descontinuado</v>
      </c>
      <c r="E394" s="9" t="s">
        <v>1304</v>
      </c>
      <c r="F394" s="52">
        <f>SUMIFS('AVARIA ESTIMADA'!$F$18:$F$40,'AVARIA ESTIMADA'!$A$18:$A$40,A394)</f>
        <v>0</v>
      </c>
    </row>
    <row r="395" spans="1:6" x14ac:dyDescent="0.3">
      <c r="A395" s="9" t="s">
        <v>272</v>
      </c>
      <c r="B395" s="18" t="str">
        <f>_xlfn.XLOOKUP(A395,CATÁLOGO!$A$2:$A$846,CATÁLOGO!$B$2:$B$846,"FORA DO CATÁLOGO")</f>
        <v>TOP011CM</v>
      </c>
      <c r="C395" s="11">
        <v>4</v>
      </c>
      <c r="D395" s="11" t="str">
        <f>_xlfn.XLOOKUP(A395,CATÁLOGO!$A$2:$A$846,CATÁLOGO!$E$2:$E$846,"FORA DO CATÁLOGO")</f>
        <v>Descontinuado</v>
      </c>
      <c r="E395" s="9" t="s">
        <v>1303</v>
      </c>
      <c r="F395" s="52">
        <f>SUMIFS('AVARIA ESTIMADA'!$F$18:$F$40,'AVARIA ESTIMADA'!$A$18:$A$40,A395)</f>
        <v>0</v>
      </c>
    </row>
    <row r="396" spans="1:6" x14ac:dyDescent="0.3">
      <c r="A396" s="9" t="s">
        <v>273</v>
      </c>
      <c r="B396" s="18" t="str">
        <f>_xlfn.XLOOKUP(A396,CATÁLOGO!$A$2:$A$846,CATÁLOGO!$B$2:$B$846,"FORA DO CATÁLOGO")</f>
        <v>TOP011CG</v>
      </c>
      <c r="C396" s="11">
        <v>3</v>
      </c>
      <c r="D396" s="11" t="str">
        <f>_xlfn.XLOOKUP(A396,CATÁLOGO!$A$2:$A$846,CATÁLOGO!$E$2:$E$846,"FORA DO CATÁLOGO")</f>
        <v>Descontinuado</v>
      </c>
      <c r="E396" s="9" t="s">
        <v>1305</v>
      </c>
      <c r="F396" s="52">
        <f>SUMIFS('AVARIA ESTIMADA'!$F$18:$F$40,'AVARIA ESTIMADA'!$A$18:$A$40,A396)</f>
        <v>0</v>
      </c>
    </row>
    <row r="397" spans="1:6" x14ac:dyDescent="0.3">
      <c r="A397" s="9" t="s">
        <v>274</v>
      </c>
      <c r="B397" s="18" t="str">
        <f>_xlfn.XLOOKUP(A397,CATÁLOGO!$A$2:$A$846,CATÁLOGO!$B$2:$B$846,"FORA DO CATÁLOGO")</f>
        <v>TOP011CGG</v>
      </c>
      <c r="C397" s="11">
        <v>2</v>
      </c>
      <c r="D397" s="11" t="str">
        <f>_xlfn.XLOOKUP(A397,CATÁLOGO!$A$2:$A$846,CATÁLOGO!$E$2:$E$846,"FORA DO CATÁLOGO")</f>
        <v>Descontinuado</v>
      </c>
      <c r="E397" s="9" t="s">
        <v>1305</v>
      </c>
      <c r="F397" s="52">
        <f>SUMIFS('AVARIA ESTIMADA'!$F$18:$F$40,'AVARIA ESTIMADA'!$A$18:$A$40,A397)</f>
        <v>0</v>
      </c>
    </row>
    <row r="398" spans="1:6" x14ac:dyDescent="0.3">
      <c r="A398" s="9" t="s">
        <v>275</v>
      </c>
      <c r="B398" s="18" t="str">
        <f>_xlfn.XLOOKUP(A398,CATÁLOGO!$A$2:$A$846,CATÁLOGO!$B$2:$B$846,"FORA DO CATÁLOGO")</f>
        <v>JAQ005YP</v>
      </c>
      <c r="C398" s="11">
        <v>6</v>
      </c>
      <c r="D398" s="11" t="str">
        <f>_xlfn.XLOOKUP(A398,CATÁLOGO!$A$2:$A$846,CATÁLOGO!$E$2:$E$846,"FORA DO CATÁLOGO")</f>
        <v>Ativo</v>
      </c>
      <c r="E398" s="9" t="s">
        <v>1304</v>
      </c>
      <c r="F398" s="52">
        <f>SUMIFS('AVARIA ESTIMADA'!$F$18:$F$40,'AVARIA ESTIMADA'!$A$18:$A$40,A398)</f>
        <v>0</v>
      </c>
    </row>
    <row r="399" spans="1:6" x14ac:dyDescent="0.3">
      <c r="A399" s="9" t="s">
        <v>276</v>
      </c>
      <c r="B399" s="18" t="str">
        <f>_xlfn.XLOOKUP(A399,CATÁLOGO!$A$2:$A$846,CATÁLOGO!$B$2:$B$846,"FORA DO CATÁLOGO")</f>
        <v>JAQ005YM</v>
      </c>
      <c r="C399" s="11">
        <v>6</v>
      </c>
      <c r="D399" s="11" t="str">
        <f>_xlfn.XLOOKUP(A399,CATÁLOGO!$A$2:$A$846,CATÁLOGO!$E$2:$E$846,"FORA DO CATÁLOGO")</f>
        <v>Ativo</v>
      </c>
      <c r="E399" s="9" t="s">
        <v>1305</v>
      </c>
      <c r="F399" s="52">
        <f>SUMIFS('AVARIA ESTIMADA'!$F$18:$F$40,'AVARIA ESTIMADA'!$A$18:$A$40,A399)</f>
        <v>0</v>
      </c>
    </row>
    <row r="400" spans="1:6" x14ac:dyDescent="0.3">
      <c r="A400" s="9" t="s">
        <v>277</v>
      </c>
      <c r="B400" s="18" t="str">
        <f>_xlfn.XLOOKUP(A400,CATÁLOGO!$A$2:$A$846,CATÁLOGO!$B$2:$B$846,"FORA DO CATÁLOGO")</f>
        <v>JAQ005YG</v>
      </c>
      <c r="C400" s="11">
        <v>6</v>
      </c>
      <c r="D400" s="11" t="str">
        <f>_xlfn.XLOOKUP(A400,CATÁLOGO!$A$2:$A$846,CATÁLOGO!$E$2:$E$846,"FORA DO CATÁLOGO")</f>
        <v>Ativo</v>
      </c>
      <c r="E400" s="9" t="s">
        <v>1304</v>
      </c>
      <c r="F400" s="52">
        <f>SUMIFS('AVARIA ESTIMADA'!$F$18:$F$40,'AVARIA ESTIMADA'!$A$18:$A$40,A400)</f>
        <v>0</v>
      </c>
    </row>
    <row r="401" spans="1:6" x14ac:dyDescent="0.3">
      <c r="A401" s="9" t="s">
        <v>278</v>
      </c>
      <c r="B401" s="18" t="str">
        <f>_xlfn.XLOOKUP(A401,CATÁLOGO!$A$2:$A$846,CATÁLOGO!$B$2:$B$846,"FORA DO CATÁLOGO")</f>
        <v>JAQ005YGG</v>
      </c>
      <c r="C401" s="11">
        <v>3</v>
      </c>
      <c r="D401" s="11" t="str">
        <f>_xlfn.XLOOKUP(A401,CATÁLOGO!$A$2:$A$846,CATÁLOGO!$E$2:$E$846,"FORA DO CATÁLOGO")</f>
        <v>Ativo</v>
      </c>
      <c r="E401" s="9" t="s">
        <v>1304</v>
      </c>
      <c r="F401" s="52">
        <f>SUMIFS('AVARIA ESTIMADA'!$F$18:$F$40,'AVARIA ESTIMADA'!$A$18:$A$40,A401)</f>
        <v>0</v>
      </c>
    </row>
    <row r="402" spans="1:6" x14ac:dyDescent="0.3">
      <c r="A402" s="9" t="s">
        <v>1639</v>
      </c>
      <c r="B402" s="18" t="str">
        <f>_xlfn.XLOOKUP(A402,CATÁLOGO!$A$2:$A$846,CATÁLOGO!$B$2:$B$846,"FORA DO CATÁLOGO")</f>
        <v>CAL019B38</v>
      </c>
      <c r="C402" s="11">
        <v>3</v>
      </c>
      <c r="D402" s="11" t="str">
        <f>_xlfn.XLOOKUP(A402,CATÁLOGO!$A$2:$A$846,CATÁLOGO!$E$2:$E$846,"FORA DO CATÁLOGO")</f>
        <v>Descontinuado</v>
      </c>
      <c r="E402" s="9" t="s">
        <v>1305</v>
      </c>
      <c r="F402" s="52">
        <f>SUMIFS('AVARIA ESTIMADA'!$F$18:$F$40,'AVARIA ESTIMADA'!$A$18:$A$40,A402)</f>
        <v>0</v>
      </c>
    </row>
    <row r="403" spans="1:6" x14ac:dyDescent="0.3">
      <c r="A403" s="9" t="s">
        <v>1646</v>
      </c>
      <c r="B403" s="18" t="str">
        <f>_xlfn.XLOOKUP(A403,CATÁLOGO!$A$2:$A$846,CATÁLOGO!$B$2:$B$846,"FORA DO CATÁLOGO")</f>
        <v>CAL020Y36</v>
      </c>
      <c r="C403" s="11">
        <v>2</v>
      </c>
      <c r="D403" s="11" t="str">
        <f>_xlfn.XLOOKUP(A403,CATÁLOGO!$A$2:$A$846,CATÁLOGO!$E$2:$E$846,"FORA DO CATÁLOGO")</f>
        <v>Ativo</v>
      </c>
      <c r="E403" s="9" t="s">
        <v>1303</v>
      </c>
      <c r="F403" s="52">
        <f>SUMIFS('AVARIA ESTIMADA'!$F$18:$F$40,'AVARIA ESTIMADA'!$A$18:$A$40,A403)</f>
        <v>0</v>
      </c>
    </row>
    <row r="404" spans="1:6" x14ac:dyDescent="0.3">
      <c r="A404" s="9" t="s">
        <v>1645</v>
      </c>
      <c r="B404" s="18" t="str">
        <f>_xlfn.XLOOKUP(A404,CATÁLOGO!$A$2:$A$846,CATÁLOGO!$B$2:$B$846,"FORA DO CATÁLOGO")</f>
        <v>CAL020Y38</v>
      </c>
      <c r="C404" s="11">
        <v>5</v>
      </c>
      <c r="D404" s="11" t="str">
        <f>_xlfn.XLOOKUP(A404,CATÁLOGO!$A$2:$A$846,CATÁLOGO!$E$2:$E$846,"FORA DO CATÁLOGO")</f>
        <v>Ativo</v>
      </c>
      <c r="E404" s="9" t="s">
        <v>1305</v>
      </c>
      <c r="F404" s="52">
        <f>SUMIFS('AVARIA ESTIMADA'!$F$18:$F$40,'AVARIA ESTIMADA'!$A$18:$A$40,A404)</f>
        <v>0</v>
      </c>
    </row>
    <row r="405" spans="1:6" x14ac:dyDescent="0.3">
      <c r="A405" s="9" t="s">
        <v>1640</v>
      </c>
      <c r="B405" s="18" t="str">
        <f>_xlfn.XLOOKUP(A405,CATÁLOGO!$A$2:$A$846,CATÁLOGO!$B$2:$B$846,"FORA DO CATÁLOGO")</f>
        <v>CAL020Y42</v>
      </c>
      <c r="C405" s="11">
        <v>4</v>
      </c>
      <c r="D405" s="11" t="str">
        <f>_xlfn.XLOOKUP(A405,CATÁLOGO!$A$2:$A$846,CATÁLOGO!$E$2:$E$846,"FORA DO CATÁLOGO")</f>
        <v>Ativo</v>
      </c>
      <c r="E405" s="9" t="s">
        <v>1303</v>
      </c>
      <c r="F405" s="52">
        <f>SUMIFS('AVARIA ESTIMADA'!$F$18:$F$40,'AVARIA ESTIMADA'!$A$18:$A$40,A405)</f>
        <v>0</v>
      </c>
    </row>
    <row r="406" spans="1:6" x14ac:dyDescent="0.3">
      <c r="A406" s="9" t="s">
        <v>1642</v>
      </c>
      <c r="B406" s="18" t="str">
        <f>_xlfn.XLOOKUP(A406,CATÁLOGO!$A$2:$A$846,CATÁLOGO!$B$2:$B$846,"FORA DO CATÁLOGO")</f>
        <v>CAL020Y44</v>
      </c>
      <c r="C406" s="11">
        <v>2</v>
      </c>
      <c r="D406" s="11" t="str">
        <f>_xlfn.XLOOKUP(A406,CATÁLOGO!$A$2:$A$846,CATÁLOGO!$E$2:$E$846,"FORA DO CATÁLOGO")</f>
        <v>Ativo</v>
      </c>
      <c r="E406" s="9" t="s">
        <v>1304</v>
      </c>
      <c r="F406" s="52">
        <f>SUMIFS('AVARIA ESTIMADA'!$F$18:$F$40,'AVARIA ESTIMADA'!$A$18:$A$40,A406)</f>
        <v>0</v>
      </c>
    </row>
    <row r="407" spans="1:6" x14ac:dyDescent="0.3">
      <c r="A407" s="9" t="s">
        <v>279</v>
      </c>
      <c r="B407" s="18" t="str">
        <f>_xlfn.XLOOKUP(A407,CATÁLOGO!$A$2:$A$846,CATÁLOGO!$B$2:$B$846,"FORA DO CATÁLOGO")</f>
        <v>CAM016GP</v>
      </c>
      <c r="C407" s="11">
        <v>6</v>
      </c>
      <c r="D407" s="11" t="str">
        <f>_xlfn.XLOOKUP(A407,CATÁLOGO!$A$2:$A$846,CATÁLOGO!$E$2:$E$846,"FORA DO CATÁLOGO")</f>
        <v>Ativo</v>
      </c>
      <c r="E407" s="9" t="s">
        <v>1304</v>
      </c>
      <c r="F407" s="52">
        <f>SUMIFS('AVARIA ESTIMADA'!$F$18:$F$40,'AVARIA ESTIMADA'!$A$18:$A$40,A407)</f>
        <v>0</v>
      </c>
    </row>
    <row r="408" spans="1:6" x14ac:dyDescent="0.3">
      <c r="A408" s="9" t="s">
        <v>281</v>
      </c>
      <c r="B408" s="18" t="str">
        <f>_xlfn.XLOOKUP(A408,CATÁLOGO!$A$2:$A$846,CATÁLOGO!$B$2:$B$846,"FORA DO CATÁLOGO")</f>
        <v>CAM016GG</v>
      </c>
      <c r="C408" s="11">
        <v>5</v>
      </c>
      <c r="D408" s="11" t="str">
        <f>_xlfn.XLOOKUP(A408,CATÁLOGO!$A$2:$A$846,CATÁLOGO!$E$2:$E$846,"FORA DO CATÁLOGO")</f>
        <v>Ativo</v>
      </c>
      <c r="E408" s="9" t="s">
        <v>1304</v>
      </c>
      <c r="F408" s="52">
        <f>SUMIFS('AVARIA ESTIMADA'!$F$18:$F$40,'AVARIA ESTIMADA'!$A$18:$A$40,A408)</f>
        <v>0</v>
      </c>
    </row>
    <row r="409" spans="1:6" x14ac:dyDescent="0.3">
      <c r="A409" s="9" t="s">
        <v>282</v>
      </c>
      <c r="B409" s="18" t="str">
        <f>_xlfn.XLOOKUP(A409,CATÁLOGO!$A$2:$A$846,CATÁLOGO!$B$2:$B$846,"FORA DO CATÁLOGO")</f>
        <v>CMS008VP</v>
      </c>
      <c r="C409" s="11">
        <v>3</v>
      </c>
      <c r="D409" s="11" t="str">
        <f>_xlfn.XLOOKUP(A409,CATÁLOGO!$A$2:$A$846,CATÁLOGO!$E$2:$E$846,"FORA DO CATÁLOGO")</f>
        <v>Ativo</v>
      </c>
      <c r="E409" s="9" t="s">
        <v>1303</v>
      </c>
      <c r="F409" s="52">
        <f>SUMIFS('AVARIA ESTIMADA'!$F$18:$F$40,'AVARIA ESTIMADA'!$A$18:$A$40,A409)</f>
        <v>0</v>
      </c>
    </row>
    <row r="410" spans="1:6" x14ac:dyDescent="0.3">
      <c r="A410" s="9" t="s">
        <v>283</v>
      </c>
      <c r="B410" s="18" t="str">
        <f>_xlfn.XLOOKUP(A410,CATÁLOGO!$A$2:$A$846,CATÁLOGO!$B$2:$B$846,"FORA DO CATÁLOGO")</f>
        <v>CMS008VM</v>
      </c>
      <c r="C410" s="11">
        <v>2</v>
      </c>
      <c r="D410" s="11" t="str">
        <f>_xlfn.XLOOKUP(A410,CATÁLOGO!$A$2:$A$846,CATÁLOGO!$E$2:$E$846,"FORA DO CATÁLOGO")</f>
        <v>Ativo</v>
      </c>
      <c r="E410" s="9" t="s">
        <v>1305</v>
      </c>
      <c r="F410" s="52">
        <f>SUMIFS('AVARIA ESTIMADA'!$F$18:$F$40,'AVARIA ESTIMADA'!$A$18:$A$40,A410)</f>
        <v>0</v>
      </c>
    </row>
    <row r="411" spans="1:6" x14ac:dyDescent="0.3">
      <c r="A411" s="9" t="s">
        <v>284</v>
      </c>
      <c r="B411" s="18" t="str">
        <f>_xlfn.XLOOKUP(A411,CATÁLOGO!$A$2:$A$846,CATÁLOGO!$B$2:$B$846,"FORA DO CATÁLOGO")</f>
        <v>CMS008VG</v>
      </c>
      <c r="C411" s="11">
        <v>6</v>
      </c>
      <c r="D411" s="11" t="str">
        <f>_xlfn.XLOOKUP(A411,CATÁLOGO!$A$2:$A$846,CATÁLOGO!$E$2:$E$846,"FORA DO CATÁLOGO")</f>
        <v>Ativo</v>
      </c>
      <c r="E411" s="9" t="s">
        <v>1305</v>
      </c>
      <c r="F411" s="52">
        <f>SUMIFS('AVARIA ESTIMADA'!$F$18:$F$40,'AVARIA ESTIMADA'!$A$18:$A$40,A411)</f>
        <v>0</v>
      </c>
    </row>
    <row r="412" spans="1:6" x14ac:dyDescent="0.3">
      <c r="A412" s="9" t="s">
        <v>285</v>
      </c>
      <c r="B412" s="18" t="str">
        <f>_xlfn.XLOOKUP(A412,CATÁLOGO!$A$2:$A$846,CATÁLOGO!$B$2:$B$846,"FORA DO CATÁLOGO")</f>
        <v>CMS008VGG</v>
      </c>
      <c r="C412" s="11">
        <v>0</v>
      </c>
      <c r="D412" s="11" t="str">
        <f>_xlfn.XLOOKUP(A412,CATÁLOGO!$A$2:$A$846,CATÁLOGO!$E$2:$E$846,"FORA DO CATÁLOGO")</f>
        <v>Ativo</v>
      </c>
      <c r="E412" s="9" t="s">
        <v>1305</v>
      </c>
      <c r="F412" s="52">
        <f>SUMIFS('AVARIA ESTIMADA'!$F$18:$F$40,'AVARIA ESTIMADA'!$A$18:$A$40,A412)</f>
        <v>0</v>
      </c>
    </row>
    <row r="413" spans="1:6" x14ac:dyDescent="0.3">
      <c r="A413" s="9" t="s">
        <v>286</v>
      </c>
      <c r="B413" s="18" t="str">
        <f>_xlfn.XLOOKUP(A413,CATÁLOGO!$A$2:$A$846,CATÁLOGO!$B$2:$B$846,"FORA DO CATÁLOGO")</f>
        <v>ACE010GU</v>
      </c>
      <c r="C413" s="11">
        <v>5</v>
      </c>
      <c r="D413" s="11" t="str">
        <f>_xlfn.XLOOKUP(A413,CATÁLOGO!$A$2:$A$846,CATÁLOGO!$E$2:$E$846,"FORA DO CATÁLOGO")</f>
        <v>Ativo</v>
      </c>
      <c r="E413" s="9" t="s">
        <v>1305</v>
      </c>
      <c r="F413" s="52">
        <f>SUMIFS('AVARIA ESTIMADA'!$F$18:$F$40,'AVARIA ESTIMADA'!$A$18:$A$40,A413)</f>
        <v>0</v>
      </c>
    </row>
    <row r="414" spans="1:6" x14ac:dyDescent="0.3">
      <c r="A414" s="9" t="s">
        <v>287</v>
      </c>
      <c r="B414" s="18" t="str">
        <f>_xlfn.XLOOKUP(A414,CATÁLOGO!$A$2:$A$846,CATÁLOGO!$B$2:$B$846,"FORA DO CATÁLOGO")</f>
        <v>ACE010LU</v>
      </c>
      <c r="C414" s="11">
        <v>3</v>
      </c>
      <c r="D414" s="11" t="str">
        <f>_xlfn.XLOOKUP(A414,CATÁLOGO!$A$2:$A$846,CATÁLOGO!$E$2:$E$846,"FORA DO CATÁLOGO")</f>
        <v>Ativo</v>
      </c>
      <c r="E414" s="9" t="s">
        <v>1305</v>
      </c>
      <c r="F414" s="52">
        <f>SUMIFS('AVARIA ESTIMADA'!$F$18:$F$40,'AVARIA ESTIMADA'!$A$18:$A$40,A414)</f>
        <v>0</v>
      </c>
    </row>
    <row r="415" spans="1:6" x14ac:dyDescent="0.3">
      <c r="A415" s="9" t="s">
        <v>288</v>
      </c>
      <c r="B415" s="18" t="str">
        <f>_xlfn.XLOOKUP(A415,CATÁLOGO!$A$2:$A$846,CATÁLOGO!$B$2:$B$846,"FORA DO CATÁLOGO")</f>
        <v>ACE010YU</v>
      </c>
      <c r="C415" s="11">
        <v>3</v>
      </c>
      <c r="D415" s="11" t="str">
        <f>_xlfn.XLOOKUP(A415,CATÁLOGO!$A$2:$A$846,CATÁLOGO!$E$2:$E$846,"FORA DO CATÁLOGO")</f>
        <v>Ativo</v>
      </c>
      <c r="E415" s="9" t="s">
        <v>1303</v>
      </c>
      <c r="F415" s="52">
        <f>SUMIFS('AVARIA ESTIMADA'!$F$18:$F$40,'AVARIA ESTIMADA'!$A$18:$A$40,A415)</f>
        <v>0</v>
      </c>
    </row>
    <row r="416" spans="1:6" x14ac:dyDescent="0.3">
      <c r="A416" s="9" t="s">
        <v>289</v>
      </c>
      <c r="B416" s="18" t="str">
        <f>_xlfn.XLOOKUP(A416,CATÁLOGO!$A$2:$A$846,CATÁLOGO!$B$2:$B$846,"FORA DO CATÁLOGO")</f>
        <v>TOP012VP</v>
      </c>
      <c r="C416" s="11">
        <v>3</v>
      </c>
      <c r="D416" s="11" t="str">
        <f>_xlfn.XLOOKUP(A416,CATÁLOGO!$A$2:$A$846,CATÁLOGO!$E$2:$E$846,"FORA DO CATÁLOGO")</f>
        <v>Ativo</v>
      </c>
      <c r="E416" s="9" t="s">
        <v>1303</v>
      </c>
      <c r="F416" s="52">
        <f>SUMIFS('AVARIA ESTIMADA'!$F$18:$F$40,'AVARIA ESTIMADA'!$A$18:$A$40,A416)</f>
        <v>0</v>
      </c>
    </row>
    <row r="417" spans="1:6" x14ac:dyDescent="0.3">
      <c r="A417" s="9" t="s">
        <v>1263</v>
      </c>
      <c r="B417" s="18" t="str">
        <f>_xlfn.XLOOKUP(A417,CATÁLOGO!$A$2:$A$846,CATÁLOGO!$B$2:$B$846,"FORA DO CATÁLOGO")</f>
        <v>TOP012VM</v>
      </c>
      <c r="C417" s="11">
        <v>5</v>
      </c>
      <c r="D417" s="11" t="str">
        <f>_xlfn.XLOOKUP(A417,CATÁLOGO!$A$2:$A$846,CATÁLOGO!$E$2:$E$846,"FORA DO CATÁLOGO")</f>
        <v>Ativo</v>
      </c>
      <c r="E417" s="9" t="s">
        <v>1305</v>
      </c>
      <c r="F417" s="52">
        <f>SUMIFS('AVARIA ESTIMADA'!$F$18:$F$40,'AVARIA ESTIMADA'!$A$18:$A$40,A417)</f>
        <v>0</v>
      </c>
    </row>
    <row r="418" spans="1:6" x14ac:dyDescent="0.3">
      <c r="A418" s="9" t="s">
        <v>290</v>
      </c>
      <c r="B418" s="18" t="str">
        <f>_xlfn.XLOOKUP(A418,CATÁLOGO!$A$2:$A$846,CATÁLOGO!$B$2:$B$846,"FORA DO CATÁLOGO")</f>
        <v>TOP012VG</v>
      </c>
      <c r="C418" s="11">
        <v>4</v>
      </c>
      <c r="D418" s="11" t="str">
        <f>_xlfn.XLOOKUP(A418,CATÁLOGO!$A$2:$A$846,CATÁLOGO!$E$2:$E$846,"FORA DO CATÁLOGO")</f>
        <v>Ativo</v>
      </c>
      <c r="E418" s="9" t="s">
        <v>1305</v>
      </c>
      <c r="F418" s="52">
        <f>SUMIFS('AVARIA ESTIMADA'!$F$18:$F$40,'AVARIA ESTIMADA'!$A$18:$A$40,A418)</f>
        <v>0</v>
      </c>
    </row>
    <row r="419" spans="1:6" x14ac:dyDescent="0.3">
      <c r="A419" s="9" t="s">
        <v>291</v>
      </c>
      <c r="B419" s="18" t="str">
        <f>_xlfn.XLOOKUP(A419,CATÁLOGO!$A$2:$A$846,CATÁLOGO!$B$2:$B$846,"FORA DO CATÁLOGO")</f>
        <v>TOP012VGG</v>
      </c>
      <c r="C419" s="11">
        <v>2</v>
      </c>
      <c r="D419" s="11" t="str">
        <f>_xlfn.XLOOKUP(A419,CATÁLOGO!$A$2:$A$846,CATÁLOGO!$E$2:$E$846,"FORA DO CATÁLOGO")</f>
        <v>Ativo</v>
      </c>
      <c r="E419" s="9" t="s">
        <v>1305</v>
      </c>
      <c r="F419" s="52">
        <f>SUMIFS('AVARIA ESTIMADA'!$F$18:$F$40,'AVARIA ESTIMADA'!$A$18:$A$40,A419)</f>
        <v>0</v>
      </c>
    </row>
    <row r="420" spans="1:6" x14ac:dyDescent="0.3">
      <c r="A420" s="9" t="s">
        <v>292</v>
      </c>
      <c r="B420" s="18" t="str">
        <f>_xlfn.XLOOKUP(A420,CATÁLOGO!$A$2:$A$846,CATÁLOGO!$B$2:$B$846,"FORA DO CATÁLOGO")</f>
        <v>TOP012PP</v>
      </c>
      <c r="C420" s="11">
        <v>3</v>
      </c>
      <c r="D420" s="11" t="str">
        <f>_xlfn.XLOOKUP(A420,CATÁLOGO!$A$2:$A$846,CATÁLOGO!$E$2:$E$846,"FORA DO CATÁLOGO")</f>
        <v>Ativo</v>
      </c>
      <c r="E420" s="9" t="s">
        <v>1305</v>
      </c>
      <c r="F420" s="52">
        <f>SUMIFS('AVARIA ESTIMADA'!$F$18:$F$40,'AVARIA ESTIMADA'!$A$18:$A$40,A420)</f>
        <v>0</v>
      </c>
    </row>
    <row r="421" spans="1:6" x14ac:dyDescent="0.3">
      <c r="A421" s="9" t="s">
        <v>294</v>
      </c>
      <c r="B421" s="18" t="str">
        <f>_xlfn.XLOOKUP(A421,CATÁLOGO!$A$2:$A$846,CATÁLOGO!$B$2:$B$846,"FORA DO CATÁLOGO")</f>
        <v>TOP012PG</v>
      </c>
      <c r="C421" s="11">
        <v>3</v>
      </c>
      <c r="D421" s="11" t="str">
        <f>_xlfn.XLOOKUP(A421,CATÁLOGO!$A$2:$A$846,CATÁLOGO!$E$2:$E$846,"FORA DO CATÁLOGO")</f>
        <v>Ativo</v>
      </c>
      <c r="E421" s="9" t="s">
        <v>1304</v>
      </c>
      <c r="F421" s="52">
        <f>SUMIFS('AVARIA ESTIMADA'!$F$18:$F$40,'AVARIA ESTIMADA'!$A$18:$A$40,A421)</f>
        <v>0</v>
      </c>
    </row>
    <row r="422" spans="1:6" x14ac:dyDescent="0.3">
      <c r="A422" s="9" t="s">
        <v>295</v>
      </c>
      <c r="B422" s="18" t="str">
        <f>_xlfn.XLOOKUP(A422,CATÁLOGO!$A$2:$A$846,CATÁLOGO!$B$2:$B$846,"FORA DO CATÁLOGO")</f>
        <v>TOP012PGG</v>
      </c>
      <c r="C422" s="11">
        <v>2</v>
      </c>
      <c r="D422" s="11" t="str">
        <f>_xlfn.XLOOKUP(A422,CATÁLOGO!$A$2:$A$846,CATÁLOGO!$E$2:$E$846,"FORA DO CATÁLOGO")</f>
        <v>Ativo</v>
      </c>
      <c r="E422" s="9" t="s">
        <v>2001</v>
      </c>
      <c r="F422" s="52">
        <f>SUMIFS('AVARIA ESTIMADA'!$F$18:$F$40,'AVARIA ESTIMADA'!$A$18:$A$40,A422)</f>
        <v>0</v>
      </c>
    </row>
    <row r="423" spans="1:6" x14ac:dyDescent="0.3">
      <c r="A423" s="9" t="s">
        <v>296</v>
      </c>
      <c r="B423" s="18" t="str">
        <f>_xlfn.XLOOKUP(A423,CATÁLOGO!$A$2:$A$846,CATÁLOGO!$B$2:$B$846,"FORA DO CATÁLOGO")</f>
        <v>SAI008HP</v>
      </c>
      <c r="C423" s="11">
        <v>4</v>
      </c>
      <c r="D423" s="11" t="str">
        <f>_xlfn.XLOOKUP(A423,CATÁLOGO!$A$2:$A$846,CATÁLOGO!$E$2:$E$846,"FORA DO CATÁLOGO")</f>
        <v>Ativo</v>
      </c>
      <c r="E423" s="9" t="s">
        <v>1305</v>
      </c>
      <c r="F423" s="52">
        <f>SUMIFS('AVARIA ESTIMADA'!$F$18:$F$40,'AVARIA ESTIMADA'!$A$18:$A$40,A423)</f>
        <v>0</v>
      </c>
    </row>
    <row r="424" spans="1:6" x14ac:dyDescent="0.3">
      <c r="A424" s="9" t="s">
        <v>297</v>
      </c>
      <c r="B424" s="18" t="str">
        <f>_xlfn.XLOOKUP(A424,CATÁLOGO!$A$2:$A$846,CATÁLOGO!$B$2:$B$846,"FORA DO CATÁLOGO")</f>
        <v>SAI008HM</v>
      </c>
      <c r="C424" s="11">
        <v>5</v>
      </c>
      <c r="D424" s="11" t="str">
        <f>_xlfn.XLOOKUP(A424,CATÁLOGO!$A$2:$A$846,CATÁLOGO!$E$2:$E$846,"FORA DO CATÁLOGO")</f>
        <v>Ativo</v>
      </c>
      <c r="E424" s="9" t="s">
        <v>1305</v>
      </c>
      <c r="F424" s="52">
        <f>SUMIFS('AVARIA ESTIMADA'!$F$18:$F$40,'AVARIA ESTIMADA'!$A$18:$A$40,A424)</f>
        <v>0</v>
      </c>
    </row>
    <row r="425" spans="1:6" x14ac:dyDescent="0.3">
      <c r="A425" s="9" t="s">
        <v>298</v>
      </c>
      <c r="B425" s="18" t="str">
        <f>_xlfn.XLOOKUP(A425,CATÁLOGO!$A$2:$A$846,CATÁLOGO!$B$2:$B$846,"FORA DO CATÁLOGO")</f>
        <v>SAI008HG</v>
      </c>
      <c r="C425" s="11">
        <v>5</v>
      </c>
      <c r="D425" s="11" t="str">
        <f>_xlfn.XLOOKUP(A425,CATÁLOGO!$A$2:$A$846,CATÁLOGO!$E$2:$E$846,"FORA DO CATÁLOGO")</f>
        <v>Ativo</v>
      </c>
      <c r="E425" s="9" t="s">
        <v>1304</v>
      </c>
      <c r="F425" s="52">
        <f>SUMIFS('AVARIA ESTIMADA'!$F$18:$F$40,'AVARIA ESTIMADA'!$A$18:$A$40,A425)</f>
        <v>0</v>
      </c>
    </row>
    <row r="426" spans="1:6" x14ac:dyDescent="0.3">
      <c r="A426" s="9" t="s">
        <v>299</v>
      </c>
      <c r="B426" s="18" t="str">
        <f>_xlfn.XLOOKUP(A426,CATÁLOGO!$A$2:$A$846,CATÁLOGO!$B$2:$B$846,"FORA DO CATÁLOGO")</f>
        <v>SAI008HGG</v>
      </c>
      <c r="C426" s="11">
        <v>2</v>
      </c>
      <c r="D426" s="11" t="str">
        <f>_xlfn.XLOOKUP(A426,CATÁLOGO!$A$2:$A$846,CATÁLOGO!$E$2:$E$846,"FORA DO CATÁLOGO")</f>
        <v>Ativo</v>
      </c>
      <c r="E426" s="9" t="s">
        <v>1305</v>
      </c>
      <c r="F426" s="52">
        <f>SUMIFS('AVARIA ESTIMADA'!$F$18:$F$40,'AVARIA ESTIMADA'!$A$18:$A$40,A426)</f>
        <v>0</v>
      </c>
    </row>
    <row r="427" spans="1:6" x14ac:dyDescent="0.3">
      <c r="A427" s="9" t="s">
        <v>1653</v>
      </c>
      <c r="B427" s="18" t="str">
        <f>_xlfn.XLOOKUP(A427,CATÁLOGO!$A$2:$A$846,CATÁLOGO!$B$2:$B$846,"FORA DO CATÁLOGO")</f>
        <v>CAL021P36</v>
      </c>
      <c r="C427" s="11">
        <v>2</v>
      </c>
      <c r="D427" s="11" t="str">
        <f>_xlfn.XLOOKUP(A427,CATÁLOGO!$A$2:$A$846,CATÁLOGO!$E$2:$E$846,"FORA DO CATÁLOGO")</f>
        <v>Ativo</v>
      </c>
      <c r="E427" s="9" t="s">
        <v>1305</v>
      </c>
      <c r="F427" s="52">
        <f>SUMIFS('AVARIA ESTIMADA'!$F$18:$F$40,'AVARIA ESTIMADA'!$A$18:$A$40,A427)</f>
        <v>0</v>
      </c>
    </row>
    <row r="428" spans="1:6" x14ac:dyDescent="0.3">
      <c r="A428" s="9" t="s">
        <v>1593</v>
      </c>
      <c r="B428" s="18" t="str">
        <f>_xlfn.XLOOKUP(A428,CATÁLOGO!$A$2:$A$846,CATÁLOGO!$B$2:$B$846,"FORA DO CATÁLOGO")</f>
        <v>CAL012P38</v>
      </c>
      <c r="C428" s="11">
        <v>10</v>
      </c>
      <c r="D428" s="11" t="str">
        <f>_xlfn.XLOOKUP(A428,CATÁLOGO!$A$2:$A$846,CATÁLOGO!$E$2:$E$846,"FORA DO CATÁLOGO")</f>
        <v>Ativo</v>
      </c>
      <c r="E428" s="9" t="s">
        <v>1330</v>
      </c>
      <c r="F428" s="52">
        <f>SUMIFS('AVARIA ESTIMADA'!$F$18:$F$40,'AVARIA ESTIMADA'!$A$18:$A$40,A428)</f>
        <v>0</v>
      </c>
    </row>
    <row r="429" spans="1:6" x14ac:dyDescent="0.3">
      <c r="A429" s="9" t="s">
        <v>1650</v>
      </c>
      <c r="B429" s="18" t="str">
        <f>_xlfn.XLOOKUP(A429,CATÁLOGO!$A$2:$A$846,CATÁLOGO!$B$2:$B$846,"FORA DO CATÁLOGO")</f>
        <v>CAL021P40</v>
      </c>
      <c r="C429" s="11">
        <v>7</v>
      </c>
      <c r="D429" s="11" t="str">
        <f>_xlfn.XLOOKUP(A429,CATÁLOGO!$A$2:$A$846,CATÁLOGO!$E$2:$E$846,"FORA DO CATÁLOGO")</f>
        <v>Ativo</v>
      </c>
      <c r="E429" s="9" t="s">
        <v>1303</v>
      </c>
      <c r="F429" s="52">
        <f>SUMIFS('AVARIA ESTIMADA'!$F$18:$F$40,'AVARIA ESTIMADA'!$A$18:$A$40,A429)</f>
        <v>0</v>
      </c>
    </row>
    <row r="430" spans="1:6" x14ac:dyDescent="0.3">
      <c r="A430" s="9" t="s">
        <v>1647</v>
      </c>
      <c r="B430" s="18" t="str">
        <f>_xlfn.XLOOKUP(A430,CATÁLOGO!$A$2:$A$846,CATÁLOGO!$B$2:$B$846,"FORA DO CATÁLOGO")</f>
        <v>CAL021P42</v>
      </c>
      <c r="C430" s="11">
        <v>4</v>
      </c>
      <c r="D430" s="11" t="str">
        <f>_xlfn.XLOOKUP(A430,CATÁLOGO!$A$2:$A$846,CATÁLOGO!$E$2:$E$846,"FORA DO CATÁLOGO")</f>
        <v>Ativo</v>
      </c>
      <c r="E430" s="9" t="s">
        <v>1305</v>
      </c>
      <c r="F430" s="52">
        <f>SUMIFS('AVARIA ESTIMADA'!$F$18:$F$40,'AVARIA ESTIMADA'!$A$18:$A$40,A430)</f>
        <v>0</v>
      </c>
    </row>
    <row r="431" spans="1:6" x14ac:dyDescent="0.3">
      <c r="A431" s="9" t="s">
        <v>1649</v>
      </c>
      <c r="B431" s="18" t="str">
        <f>_xlfn.XLOOKUP(A431,CATÁLOGO!$A$2:$A$846,CATÁLOGO!$B$2:$B$846,"FORA DO CATÁLOGO")</f>
        <v>CAL021P44</v>
      </c>
      <c r="C431" s="11">
        <v>3</v>
      </c>
      <c r="D431" s="11" t="str">
        <f>_xlfn.XLOOKUP(A431,CATÁLOGO!$A$2:$A$846,CATÁLOGO!$E$2:$E$846,"FORA DO CATÁLOGO")</f>
        <v>Ativo</v>
      </c>
      <c r="E431" s="9" t="s">
        <v>1304</v>
      </c>
      <c r="F431" s="52">
        <f>SUMIFS('AVARIA ESTIMADA'!$F$18:$F$40,'AVARIA ESTIMADA'!$A$18:$A$40,A431)</f>
        <v>0</v>
      </c>
    </row>
    <row r="432" spans="1:6" x14ac:dyDescent="0.3">
      <c r="A432" s="9" t="s">
        <v>1785</v>
      </c>
      <c r="B432" s="18" t="str">
        <f>_xlfn.XLOOKUP(A432,CATÁLOGO!$A$2:$A$846,CATÁLOGO!$B$2:$B$846,"FORA DO CATÁLOGO")</f>
        <v>CMS009LPP</v>
      </c>
      <c r="C432" s="11">
        <v>2</v>
      </c>
      <c r="D432" s="11" t="str">
        <f>_xlfn.XLOOKUP(A432,CATÁLOGO!$A$2:$A$846,CATÁLOGO!$E$2:$E$846,"FORA DO CATÁLOGO")</f>
        <v>Ativo</v>
      </c>
      <c r="E432" s="9" t="s">
        <v>1303</v>
      </c>
      <c r="F432" s="52">
        <f>SUMIFS('AVARIA ESTIMADA'!$F$18:$F$40,'AVARIA ESTIMADA'!$A$18:$A$40,A432)</f>
        <v>0</v>
      </c>
    </row>
    <row r="433" spans="1:6" x14ac:dyDescent="0.3">
      <c r="A433" s="9" t="s">
        <v>300</v>
      </c>
      <c r="B433" s="18" t="str">
        <f>_xlfn.XLOOKUP(A433,CATÁLOGO!$A$2:$A$846,CATÁLOGO!$B$2:$B$846,"FORA DO CATÁLOGO")</f>
        <v>CMS009LP</v>
      </c>
      <c r="C433" s="11">
        <v>6</v>
      </c>
      <c r="D433" s="11" t="str">
        <f>_xlfn.XLOOKUP(A433,CATÁLOGO!$A$2:$A$846,CATÁLOGO!$E$2:$E$846,"FORA DO CATÁLOGO")</f>
        <v>Ativo</v>
      </c>
      <c r="E433" s="9" t="s">
        <v>1303</v>
      </c>
      <c r="F433" s="52">
        <f>SUMIFS('AVARIA ESTIMADA'!$F$18:$F$40,'AVARIA ESTIMADA'!$A$18:$A$40,A433)</f>
        <v>0</v>
      </c>
    </row>
    <row r="434" spans="1:6" x14ac:dyDescent="0.3">
      <c r="A434" s="9" t="s">
        <v>301</v>
      </c>
      <c r="B434" s="18" t="str">
        <f>_xlfn.XLOOKUP(A434,CATÁLOGO!$A$2:$A$846,CATÁLOGO!$B$2:$B$846,"FORA DO CATÁLOGO")</f>
        <v>CMS009LM</v>
      </c>
      <c r="C434" s="11">
        <v>6</v>
      </c>
      <c r="D434" s="11" t="str">
        <f>_xlfn.XLOOKUP(A434,CATÁLOGO!$A$2:$A$846,CATÁLOGO!$E$2:$E$846,"FORA DO CATÁLOGO")</f>
        <v>Ativo</v>
      </c>
      <c r="E434" s="9" t="s">
        <v>1305</v>
      </c>
      <c r="F434" s="52">
        <f>SUMIFS('AVARIA ESTIMADA'!$F$18:$F$40,'AVARIA ESTIMADA'!$A$18:$A$40,A434)</f>
        <v>0</v>
      </c>
    </row>
    <row r="435" spans="1:6" x14ac:dyDescent="0.3">
      <c r="A435" s="9" t="s">
        <v>302</v>
      </c>
      <c r="B435" s="18" t="str">
        <f>_xlfn.XLOOKUP(A435,CATÁLOGO!$A$2:$A$846,CATÁLOGO!$B$2:$B$846,"FORA DO CATÁLOGO")</f>
        <v>CMS009LG</v>
      </c>
      <c r="C435" s="11">
        <v>7</v>
      </c>
      <c r="D435" s="11" t="str">
        <f>_xlfn.XLOOKUP(A435,CATÁLOGO!$A$2:$A$846,CATÁLOGO!$E$2:$E$846,"FORA DO CATÁLOGO")</f>
        <v>Ativo</v>
      </c>
      <c r="E435" s="9" t="s">
        <v>1305</v>
      </c>
      <c r="F435" s="52">
        <f>SUMIFS('AVARIA ESTIMADA'!$F$18:$F$40,'AVARIA ESTIMADA'!$A$18:$A$40,A435)</f>
        <v>0</v>
      </c>
    </row>
    <row r="436" spans="1:6" x14ac:dyDescent="0.3">
      <c r="A436" s="9" t="s">
        <v>303</v>
      </c>
      <c r="B436" s="18" t="str">
        <f>_xlfn.XLOOKUP(A436,CATÁLOGO!$A$2:$A$846,CATÁLOGO!$B$2:$B$846,"FORA DO CATÁLOGO")</f>
        <v>CMS009LGG</v>
      </c>
      <c r="C436" s="11">
        <v>2</v>
      </c>
      <c r="D436" s="11" t="str">
        <f>_xlfn.XLOOKUP(A436,CATÁLOGO!$A$2:$A$846,CATÁLOGO!$E$2:$E$846,"FORA DO CATÁLOGO")</f>
        <v>Ativo</v>
      </c>
      <c r="E436" s="9" t="s">
        <v>1305</v>
      </c>
      <c r="F436" s="52">
        <f>SUMIFS('AVARIA ESTIMADA'!$F$18:$F$40,'AVARIA ESTIMADA'!$A$18:$A$40,A436)</f>
        <v>0</v>
      </c>
    </row>
    <row r="437" spans="1:6" x14ac:dyDescent="0.3">
      <c r="A437" s="9" t="s">
        <v>304</v>
      </c>
      <c r="B437" s="18" t="str">
        <f>_xlfn.XLOOKUP(A437,CATÁLOGO!$A$2:$A$846,CATÁLOGO!$B$2:$B$846,"FORA DO CATÁLOGO")</f>
        <v>VES008AP</v>
      </c>
      <c r="C437" s="11">
        <v>3</v>
      </c>
      <c r="D437" s="11" t="str">
        <f>_xlfn.XLOOKUP(A437,CATÁLOGO!$A$2:$A$846,CATÁLOGO!$E$2:$E$846,"FORA DO CATÁLOGO")</f>
        <v>Ativo</v>
      </c>
      <c r="E437" s="9" t="s">
        <v>1304</v>
      </c>
      <c r="F437" s="52">
        <f>SUMIFS('AVARIA ESTIMADA'!$F$18:$F$40,'AVARIA ESTIMADA'!$A$18:$A$40,A437)</f>
        <v>0</v>
      </c>
    </row>
    <row r="438" spans="1:6" x14ac:dyDescent="0.3">
      <c r="A438" s="9" t="s">
        <v>305</v>
      </c>
      <c r="B438" s="18" t="str">
        <f>_xlfn.XLOOKUP(A438,CATÁLOGO!$A$2:$A$846,CATÁLOGO!$B$2:$B$846,"FORA DO CATÁLOGO")</f>
        <v>VES008AM</v>
      </c>
      <c r="C438" s="11">
        <v>5</v>
      </c>
      <c r="D438" s="11" t="str">
        <f>_xlfn.XLOOKUP(A438,CATÁLOGO!$A$2:$A$846,CATÁLOGO!$E$2:$E$846,"FORA DO CATÁLOGO")</f>
        <v>Ativo</v>
      </c>
      <c r="E438" s="9" t="s">
        <v>1303</v>
      </c>
      <c r="F438" s="52">
        <f>SUMIFS('AVARIA ESTIMADA'!$F$18:$F$40,'AVARIA ESTIMADA'!$A$18:$A$40,A438)</f>
        <v>0</v>
      </c>
    </row>
    <row r="439" spans="1:6" x14ac:dyDescent="0.3">
      <c r="A439" s="9" t="s">
        <v>306</v>
      </c>
      <c r="B439" s="18" t="str">
        <f>_xlfn.XLOOKUP(A439,CATÁLOGO!$A$2:$A$846,CATÁLOGO!$B$2:$B$846,"FORA DO CATÁLOGO")</f>
        <v>VES008AG</v>
      </c>
      <c r="C439" s="11">
        <v>4</v>
      </c>
      <c r="D439" s="11" t="str">
        <f>_xlfn.XLOOKUP(A439,CATÁLOGO!$A$2:$A$846,CATÁLOGO!$E$2:$E$846,"FORA DO CATÁLOGO")</f>
        <v>Ativo</v>
      </c>
      <c r="E439" s="9" t="s">
        <v>1303</v>
      </c>
      <c r="F439" s="52">
        <f>SUMIFS('AVARIA ESTIMADA'!$F$18:$F$40,'AVARIA ESTIMADA'!$A$18:$A$40,A439)</f>
        <v>0</v>
      </c>
    </row>
    <row r="440" spans="1:6" x14ac:dyDescent="0.3">
      <c r="A440" s="9" t="s">
        <v>307</v>
      </c>
      <c r="B440" s="18" t="str">
        <f>_xlfn.XLOOKUP(A440,CATÁLOGO!$A$2:$A$846,CATÁLOGO!$B$2:$B$846,"FORA DO CATÁLOGO")</f>
        <v>VES008AGG</v>
      </c>
      <c r="C440" s="11">
        <v>2</v>
      </c>
      <c r="D440" s="11" t="str">
        <f>_xlfn.XLOOKUP(A440,CATÁLOGO!$A$2:$A$846,CATÁLOGO!$E$2:$E$846,"FORA DO CATÁLOGO")</f>
        <v>Ativo</v>
      </c>
      <c r="E440" s="9" t="s">
        <v>1304</v>
      </c>
      <c r="F440" s="52">
        <f>SUMIFS('AVARIA ESTIMADA'!$F$18:$F$40,'AVARIA ESTIMADA'!$A$18:$A$40,A440)</f>
        <v>0</v>
      </c>
    </row>
    <row r="441" spans="1:6" x14ac:dyDescent="0.3">
      <c r="A441" s="9" t="s">
        <v>308</v>
      </c>
      <c r="B441" s="18" t="str">
        <f>_xlfn.XLOOKUP(A441,CATÁLOGO!$A$2:$A$846,CATÁLOGO!$B$2:$B$846,"FORA DO CATÁLOGO")</f>
        <v>VES008OP</v>
      </c>
      <c r="C441" s="11">
        <v>2</v>
      </c>
      <c r="D441" s="11" t="str">
        <f>_xlfn.XLOOKUP(A441,CATÁLOGO!$A$2:$A$846,CATÁLOGO!$E$2:$E$846,"FORA DO CATÁLOGO")</f>
        <v>Ativo</v>
      </c>
      <c r="E441" s="9" t="s">
        <v>1304</v>
      </c>
      <c r="F441" s="52">
        <f>SUMIFS('AVARIA ESTIMADA'!$F$18:$F$40,'AVARIA ESTIMADA'!$A$18:$A$40,A441)</f>
        <v>0</v>
      </c>
    </row>
    <row r="442" spans="1:6" x14ac:dyDescent="0.3">
      <c r="A442" s="9" t="s">
        <v>309</v>
      </c>
      <c r="B442" s="18" t="str">
        <f>_xlfn.XLOOKUP(A442,CATÁLOGO!$A$2:$A$846,CATÁLOGO!$B$2:$B$846,"FORA DO CATÁLOGO")</f>
        <v>VES008OM</v>
      </c>
      <c r="C442" s="11">
        <v>3</v>
      </c>
      <c r="D442" s="11" t="str">
        <f>_xlfn.XLOOKUP(A442,CATÁLOGO!$A$2:$A$846,CATÁLOGO!$E$2:$E$846,"FORA DO CATÁLOGO")</f>
        <v>Ativo</v>
      </c>
      <c r="E442" s="9" t="s">
        <v>1305</v>
      </c>
      <c r="F442" s="52">
        <f>SUMIFS('AVARIA ESTIMADA'!$F$18:$F$40,'AVARIA ESTIMADA'!$A$18:$A$40,A442)</f>
        <v>0</v>
      </c>
    </row>
    <row r="443" spans="1:6" x14ac:dyDescent="0.3">
      <c r="A443" s="9" t="s">
        <v>310</v>
      </c>
      <c r="B443" s="18" t="str">
        <f>_xlfn.XLOOKUP(A443,CATÁLOGO!$A$2:$A$846,CATÁLOGO!$B$2:$B$846,"FORA DO CATÁLOGO")</f>
        <v>VES008OG</v>
      </c>
      <c r="C443" s="11">
        <v>2</v>
      </c>
      <c r="D443" s="11" t="str">
        <f>_xlfn.XLOOKUP(A443,CATÁLOGO!$A$2:$A$846,CATÁLOGO!$E$2:$E$846,"FORA DO CATÁLOGO")</f>
        <v>Ativo</v>
      </c>
      <c r="E443" s="9" t="s">
        <v>1303</v>
      </c>
      <c r="F443" s="52">
        <f>SUMIFS('AVARIA ESTIMADA'!$F$18:$F$40,'AVARIA ESTIMADA'!$A$18:$A$40,A443)</f>
        <v>0</v>
      </c>
    </row>
    <row r="444" spans="1:6" x14ac:dyDescent="0.3">
      <c r="A444" s="9" t="s">
        <v>311</v>
      </c>
      <c r="B444" s="18" t="str">
        <f>_xlfn.XLOOKUP(A444,CATÁLOGO!$A$2:$A$846,CATÁLOGO!$B$2:$B$846,"FORA DO CATÁLOGO")</f>
        <v>VES008OGG</v>
      </c>
      <c r="C444" s="11">
        <v>1</v>
      </c>
      <c r="D444" s="11" t="str">
        <f>_xlfn.XLOOKUP(A444,CATÁLOGO!$A$2:$A$846,CATÁLOGO!$E$2:$E$846,"FORA DO CATÁLOGO")</f>
        <v>Ativo</v>
      </c>
      <c r="E444" s="9" t="s">
        <v>1304</v>
      </c>
      <c r="F444" s="52">
        <f>SUMIFS('AVARIA ESTIMADA'!$F$18:$F$40,'AVARIA ESTIMADA'!$A$18:$A$40,A444)</f>
        <v>0</v>
      </c>
    </row>
    <row r="445" spans="1:6" x14ac:dyDescent="0.3">
      <c r="A445" s="9" t="s">
        <v>1680</v>
      </c>
      <c r="B445" s="18" t="str">
        <f>_xlfn.XLOOKUP(A445,CATÁLOGO!$A$2:$A$846,CATÁLOGO!$B$2:$B$846,"FORA DO CATÁLOGO")</f>
        <v>CAL023L36</v>
      </c>
      <c r="C445" s="11">
        <v>3</v>
      </c>
      <c r="D445" s="11" t="str">
        <f>_xlfn.XLOOKUP(A445,CATÁLOGO!$A$2:$A$846,CATÁLOGO!$E$2:$E$846,"FORA DO CATÁLOGO")</f>
        <v>Ativo</v>
      </c>
      <c r="E445" s="9" t="s">
        <v>1304</v>
      </c>
      <c r="F445" s="52">
        <f>SUMIFS('AVARIA ESTIMADA'!$F$18:$F$40,'AVARIA ESTIMADA'!$A$18:$A$40,A445)</f>
        <v>0</v>
      </c>
    </row>
    <row r="446" spans="1:6" x14ac:dyDescent="0.3">
      <c r="A446" s="9" t="s">
        <v>1679</v>
      </c>
      <c r="B446" s="18" t="str">
        <f>_xlfn.XLOOKUP(A446,CATÁLOGO!$A$2:$A$846,CATÁLOGO!$B$2:$B$846,"FORA DO CATÁLOGO")</f>
        <v>CAL023L38</v>
      </c>
      <c r="C446" s="11">
        <v>7</v>
      </c>
      <c r="D446" s="11" t="str">
        <f>_xlfn.XLOOKUP(A446,CATÁLOGO!$A$2:$A$846,CATÁLOGO!$E$2:$E$846,"FORA DO CATÁLOGO")</f>
        <v>Ativo</v>
      </c>
      <c r="E446" s="9" t="s">
        <v>1305</v>
      </c>
      <c r="F446" s="52">
        <f>SUMIFS('AVARIA ESTIMADA'!$F$18:$F$40,'AVARIA ESTIMADA'!$A$18:$A$40,A446)</f>
        <v>0</v>
      </c>
    </row>
    <row r="447" spans="1:6" x14ac:dyDescent="0.3">
      <c r="A447" s="9" t="s">
        <v>1678</v>
      </c>
      <c r="B447" s="18" t="str">
        <f>_xlfn.XLOOKUP(A447,CATÁLOGO!$A$2:$A$846,CATÁLOGO!$B$2:$B$846,"FORA DO CATÁLOGO")</f>
        <v>CAL023L40</v>
      </c>
      <c r="C447" s="11">
        <v>6</v>
      </c>
      <c r="D447" s="11" t="str">
        <f>_xlfn.XLOOKUP(A447,CATÁLOGO!$A$2:$A$846,CATÁLOGO!$E$2:$E$846,"FORA DO CATÁLOGO")</f>
        <v>Ativo</v>
      </c>
      <c r="E447" s="9" t="s">
        <v>1304</v>
      </c>
      <c r="F447" s="52">
        <f>SUMIFS('AVARIA ESTIMADA'!$F$18:$F$40,'AVARIA ESTIMADA'!$A$18:$A$40,A447)</f>
        <v>6</v>
      </c>
    </row>
    <row r="448" spans="1:6" x14ac:dyDescent="0.3">
      <c r="A448" s="9" t="s">
        <v>1675</v>
      </c>
      <c r="B448" s="18" t="str">
        <f>_xlfn.XLOOKUP(A448,CATÁLOGO!$A$2:$A$846,CATÁLOGO!$B$2:$B$846,"FORA DO CATÁLOGO")</f>
        <v>CAL023L42</v>
      </c>
      <c r="C448" s="11">
        <v>5</v>
      </c>
      <c r="D448" s="11" t="str">
        <f>_xlfn.XLOOKUP(A448,CATÁLOGO!$A$2:$A$846,CATÁLOGO!$E$2:$E$846,"FORA DO CATÁLOGO")</f>
        <v>Ativo</v>
      </c>
      <c r="E448" s="9" t="s">
        <v>1305</v>
      </c>
      <c r="F448" s="52">
        <f>SUMIFS('AVARIA ESTIMADA'!$F$18:$F$40,'AVARIA ESTIMADA'!$A$18:$A$40,A448)</f>
        <v>0</v>
      </c>
    </row>
    <row r="449" spans="1:6" x14ac:dyDescent="0.3">
      <c r="A449" s="9" t="s">
        <v>1677</v>
      </c>
      <c r="B449" s="18" t="str">
        <f>_xlfn.XLOOKUP(A449,CATÁLOGO!$A$2:$A$846,CATÁLOGO!$B$2:$B$846,"FORA DO CATÁLOGO")</f>
        <v>CAL023L44</v>
      </c>
      <c r="C449" s="11">
        <v>3</v>
      </c>
      <c r="D449" s="11" t="str">
        <f>_xlfn.XLOOKUP(A449,CATÁLOGO!$A$2:$A$846,CATÁLOGO!$E$2:$E$846,"FORA DO CATÁLOGO")</f>
        <v>Ativo</v>
      </c>
      <c r="E449" s="9" t="s">
        <v>1305</v>
      </c>
      <c r="F449" s="52">
        <f>SUMIFS('AVARIA ESTIMADA'!$F$18:$F$40,'AVARIA ESTIMADA'!$A$18:$A$40,A449)</f>
        <v>0</v>
      </c>
    </row>
    <row r="450" spans="1:6" x14ac:dyDescent="0.3">
      <c r="A450" s="9" t="s">
        <v>1487</v>
      </c>
      <c r="B450" s="18" t="str">
        <f>_xlfn.XLOOKUP(A450,CATÁLOGO!$A$2:$A$846,CATÁLOGO!$B$2:$B$846,"FORA DO CATÁLOGO")</f>
        <v>BER007A38</v>
      </c>
      <c r="C450" s="11">
        <v>6</v>
      </c>
      <c r="D450" s="11" t="str">
        <f>_xlfn.XLOOKUP(A450,CATÁLOGO!$A$2:$A$846,CATÁLOGO!$E$2:$E$846,"FORA DO CATÁLOGO")</f>
        <v>Ativo</v>
      </c>
      <c r="E450" s="9" t="s">
        <v>1304</v>
      </c>
      <c r="F450" s="52">
        <f>SUMIFS('AVARIA ESTIMADA'!$F$18:$F$40,'AVARIA ESTIMADA'!$A$18:$A$40,A450)</f>
        <v>0</v>
      </c>
    </row>
    <row r="451" spans="1:6" x14ac:dyDescent="0.3">
      <c r="A451" s="9" t="s">
        <v>1486</v>
      </c>
      <c r="B451" s="18" t="str">
        <f>_xlfn.XLOOKUP(A451,CATÁLOGO!$A$2:$A$846,CATÁLOGO!$B$2:$B$846,"FORA DO CATÁLOGO")</f>
        <v>BER007A40</v>
      </c>
      <c r="C451" s="11">
        <v>2</v>
      </c>
      <c r="D451" s="11" t="str">
        <f>_xlfn.XLOOKUP(A451,CATÁLOGO!$A$2:$A$846,CATÁLOGO!$E$2:$E$846,"FORA DO CATÁLOGO")</f>
        <v>Ativo</v>
      </c>
      <c r="E451" s="9" t="s">
        <v>1303</v>
      </c>
      <c r="F451" s="52">
        <f>SUMIFS('AVARIA ESTIMADA'!$F$18:$F$40,'AVARIA ESTIMADA'!$A$18:$A$40,A451)</f>
        <v>0</v>
      </c>
    </row>
    <row r="452" spans="1:6" x14ac:dyDescent="0.3">
      <c r="A452" s="9" t="s">
        <v>1483</v>
      </c>
      <c r="B452" s="18" t="str">
        <f>_xlfn.XLOOKUP(A452,CATÁLOGO!$A$2:$A$846,CATÁLOGO!$B$2:$B$846,"FORA DO CATÁLOGO")</f>
        <v>BER007A42</v>
      </c>
      <c r="C452" s="11">
        <v>5</v>
      </c>
      <c r="D452" s="11" t="str">
        <f>_xlfn.XLOOKUP(A452,CATÁLOGO!$A$2:$A$846,CATÁLOGO!$E$2:$E$846,"FORA DO CATÁLOGO")</f>
        <v>Ativo</v>
      </c>
      <c r="E452" s="9" t="s">
        <v>1304</v>
      </c>
      <c r="F452" s="52">
        <f>SUMIFS('AVARIA ESTIMADA'!$F$18:$F$40,'AVARIA ESTIMADA'!$A$18:$A$40,A452)</f>
        <v>4</v>
      </c>
    </row>
    <row r="453" spans="1:6" x14ac:dyDescent="0.3">
      <c r="A453" s="9" t="s">
        <v>1485</v>
      </c>
      <c r="B453" s="18" t="str">
        <f>_xlfn.XLOOKUP(A453,CATÁLOGO!$A$2:$A$846,CATÁLOGO!$B$2:$B$846,"FORA DO CATÁLOGO")</f>
        <v>BER007A44</v>
      </c>
      <c r="C453" s="11">
        <v>1</v>
      </c>
      <c r="D453" s="11" t="str">
        <f>_xlfn.XLOOKUP(A453,CATÁLOGO!$A$2:$A$846,CATÁLOGO!$E$2:$E$846,"FORA DO CATÁLOGO")</f>
        <v>Ativo</v>
      </c>
      <c r="E453" s="9" t="s">
        <v>1304</v>
      </c>
      <c r="F453" s="52">
        <f>SUMIFS('AVARIA ESTIMADA'!$F$18:$F$40,'AVARIA ESTIMADA'!$A$18:$A$40,A453)</f>
        <v>0</v>
      </c>
    </row>
    <row r="454" spans="1:6" x14ac:dyDescent="0.3">
      <c r="A454" s="9" t="s">
        <v>312</v>
      </c>
      <c r="B454" s="18" t="str">
        <f>_xlfn.XLOOKUP(A454,CATÁLOGO!$A$2:$A$846,CATÁLOGO!$B$2:$B$846,"FORA DO CATÁLOGO")</f>
        <v>CMS010MP</v>
      </c>
      <c r="C454" s="11">
        <v>4</v>
      </c>
      <c r="D454" s="11" t="str">
        <f>_xlfn.XLOOKUP(A454,CATÁLOGO!$A$2:$A$846,CATÁLOGO!$E$2:$E$846,"FORA DO CATÁLOGO")</f>
        <v>Ativo</v>
      </c>
      <c r="E454" s="9" t="s">
        <v>1304</v>
      </c>
      <c r="F454" s="52">
        <f>SUMIFS('AVARIA ESTIMADA'!$F$18:$F$40,'AVARIA ESTIMADA'!$A$18:$A$40,A454)</f>
        <v>0</v>
      </c>
    </row>
    <row r="455" spans="1:6" x14ac:dyDescent="0.3">
      <c r="A455" s="9" t="s">
        <v>313</v>
      </c>
      <c r="B455" s="18" t="str">
        <f>_xlfn.XLOOKUP(A455,CATÁLOGO!$A$2:$A$846,CATÁLOGO!$B$2:$B$846,"FORA DO CATÁLOGO")</f>
        <v>CMS010MM</v>
      </c>
      <c r="C455" s="11">
        <v>3</v>
      </c>
      <c r="D455" s="11" t="str">
        <f>_xlfn.XLOOKUP(A455,CATÁLOGO!$A$2:$A$846,CATÁLOGO!$E$2:$E$846,"FORA DO CATÁLOGO")</f>
        <v>Ativo</v>
      </c>
      <c r="E455" s="9" t="s">
        <v>1305</v>
      </c>
      <c r="F455" s="52">
        <f>SUMIFS('AVARIA ESTIMADA'!$F$18:$F$40,'AVARIA ESTIMADA'!$A$18:$A$40,A455)</f>
        <v>0</v>
      </c>
    </row>
    <row r="456" spans="1:6" x14ac:dyDescent="0.3">
      <c r="A456" s="9" t="s">
        <v>314</v>
      </c>
      <c r="B456" s="18" t="str">
        <f>_xlfn.XLOOKUP(A456,CATÁLOGO!$A$2:$A$846,CATÁLOGO!$B$2:$B$846,"FORA DO CATÁLOGO")</f>
        <v>CMS010MG</v>
      </c>
      <c r="C456" s="11">
        <v>3</v>
      </c>
      <c r="D456" s="11" t="str">
        <f>_xlfn.XLOOKUP(A456,CATÁLOGO!$A$2:$A$846,CATÁLOGO!$E$2:$E$846,"FORA DO CATÁLOGO")</f>
        <v>Ativo</v>
      </c>
      <c r="E456" s="9" t="s">
        <v>1305</v>
      </c>
      <c r="F456" s="52">
        <f>SUMIFS('AVARIA ESTIMADA'!$F$18:$F$40,'AVARIA ESTIMADA'!$A$18:$A$40,A456)</f>
        <v>0</v>
      </c>
    </row>
    <row r="457" spans="1:6" x14ac:dyDescent="0.3">
      <c r="A457" s="9" t="s">
        <v>1264</v>
      </c>
      <c r="B457" s="18" t="str">
        <f>_xlfn.XLOOKUP(A457,CATÁLOGO!$A$2:$A$846,CATÁLOGO!$B$2:$B$846,"FORA DO CATÁLOGO")</f>
        <v>CMS010MGG</v>
      </c>
      <c r="C457" s="11">
        <v>7</v>
      </c>
      <c r="D457" s="11" t="str">
        <f>_xlfn.XLOOKUP(A457,CATÁLOGO!$A$2:$A$846,CATÁLOGO!$E$2:$E$846,"FORA DO CATÁLOGO")</f>
        <v>Ativo</v>
      </c>
      <c r="E457" s="9" t="s">
        <v>1331</v>
      </c>
      <c r="F457" s="52">
        <f>SUMIFS('AVARIA ESTIMADA'!$F$18:$F$40,'AVARIA ESTIMADA'!$A$18:$A$40,A457)</f>
        <v>0</v>
      </c>
    </row>
    <row r="458" spans="1:6" x14ac:dyDescent="0.3">
      <c r="A458" s="9" t="s">
        <v>315</v>
      </c>
      <c r="B458" s="18" t="str">
        <f>_xlfn.XLOOKUP(A458,CATÁLOGO!$A$2:$A$846,CATÁLOGO!$B$2:$B$846,"FORA DO CATÁLOGO")</f>
        <v>CMS011EP</v>
      </c>
      <c r="C458" s="11">
        <v>2</v>
      </c>
      <c r="D458" s="11" t="str">
        <f>_xlfn.XLOOKUP(A458,CATÁLOGO!$A$2:$A$846,CATÁLOGO!$E$2:$E$846,"FORA DO CATÁLOGO")</f>
        <v>Ativo</v>
      </c>
      <c r="E458" s="9" t="s">
        <v>1305</v>
      </c>
      <c r="F458" s="52">
        <f>SUMIFS('AVARIA ESTIMADA'!$F$18:$F$40,'AVARIA ESTIMADA'!$A$18:$A$40,A458)</f>
        <v>0</v>
      </c>
    </row>
    <row r="459" spans="1:6" x14ac:dyDescent="0.3">
      <c r="A459" s="9" t="s">
        <v>316</v>
      </c>
      <c r="B459" s="18" t="str">
        <f>_xlfn.XLOOKUP(A459,CATÁLOGO!$A$2:$A$846,CATÁLOGO!$B$2:$B$846,"FORA DO CATÁLOGO")</f>
        <v>CMS011EM</v>
      </c>
      <c r="C459" s="11">
        <v>4</v>
      </c>
      <c r="D459" s="11" t="str">
        <f>_xlfn.XLOOKUP(A459,CATÁLOGO!$A$2:$A$846,CATÁLOGO!$E$2:$E$846,"FORA DO CATÁLOGO")</f>
        <v>Ativo</v>
      </c>
      <c r="E459" s="9" t="s">
        <v>1305</v>
      </c>
      <c r="F459" s="52">
        <f>SUMIFS('AVARIA ESTIMADA'!$F$18:$F$40,'AVARIA ESTIMADA'!$A$18:$A$40,A459)</f>
        <v>0</v>
      </c>
    </row>
    <row r="460" spans="1:6" x14ac:dyDescent="0.3">
      <c r="A460" s="9" t="s">
        <v>317</v>
      </c>
      <c r="B460" s="18" t="str">
        <f>_xlfn.XLOOKUP(A460,CATÁLOGO!$A$2:$A$846,CATÁLOGO!$B$2:$B$846,"FORA DO CATÁLOGO")</f>
        <v>CMS011EG</v>
      </c>
      <c r="C460" s="11">
        <v>2</v>
      </c>
      <c r="D460" s="11" t="str">
        <f>_xlfn.XLOOKUP(A460,CATÁLOGO!$A$2:$A$846,CATÁLOGO!$E$2:$E$846,"FORA DO CATÁLOGO")</f>
        <v>Ativo</v>
      </c>
      <c r="E460" s="9" t="s">
        <v>1303</v>
      </c>
      <c r="F460" s="52">
        <f>SUMIFS('AVARIA ESTIMADA'!$F$18:$F$40,'AVARIA ESTIMADA'!$A$18:$A$40,A460)</f>
        <v>0</v>
      </c>
    </row>
    <row r="461" spans="1:6" x14ac:dyDescent="0.3">
      <c r="A461" s="9" t="s">
        <v>318</v>
      </c>
      <c r="B461" s="18" t="str">
        <f>_xlfn.XLOOKUP(A461,CATÁLOGO!$A$2:$A$846,CATÁLOGO!$B$2:$B$846,"FORA DO CATÁLOGO")</f>
        <v>CMS011EGG</v>
      </c>
      <c r="C461" s="11">
        <v>1</v>
      </c>
      <c r="D461" s="11" t="str">
        <f>_xlfn.XLOOKUP(A461,CATÁLOGO!$A$2:$A$846,CATÁLOGO!$E$2:$E$846,"FORA DO CATÁLOGO")</f>
        <v>Ativo</v>
      </c>
      <c r="E461" s="9" t="s">
        <v>1305</v>
      </c>
      <c r="F461" s="52">
        <f>SUMIFS('AVARIA ESTIMADA'!$F$18:$F$40,'AVARIA ESTIMADA'!$A$18:$A$40,A461)</f>
        <v>0</v>
      </c>
    </row>
    <row r="462" spans="1:6" x14ac:dyDescent="0.3">
      <c r="A462" s="9" t="s">
        <v>319</v>
      </c>
      <c r="B462" s="18" t="str">
        <f>_xlfn.XLOOKUP(A462,CATÁLOGO!$A$2:$A$846,CATÁLOGO!$B$2:$B$846,"FORA DO CATÁLOGO")</f>
        <v>CMS011JP</v>
      </c>
      <c r="C462" s="11">
        <v>1</v>
      </c>
      <c r="D462" s="11" t="str">
        <f>_xlfn.XLOOKUP(A462,CATÁLOGO!$A$2:$A$846,CATÁLOGO!$E$2:$E$846,"FORA DO CATÁLOGO")</f>
        <v>Ativo</v>
      </c>
      <c r="E462" s="9" t="s">
        <v>1303</v>
      </c>
      <c r="F462" s="52">
        <f>SUMIFS('AVARIA ESTIMADA'!$F$18:$F$40,'AVARIA ESTIMADA'!$A$18:$A$40,A462)</f>
        <v>0</v>
      </c>
    </row>
    <row r="463" spans="1:6" x14ac:dyDescent="0.3">
      <c r="A463" s="9" t="s">
        <v>320</v>
      </c>
      <c r="B463" s="18" t="str">
        <f>_xlfn.XLOOKUP(A463,CATÁLOGO!$A$2:$A$846,CATÁLOGO!$B$2:$B$846,"FORA DO CATÁLOGO")</f>
        <v>CMS011JM</v>
      </c>
      <c r="C463" s="11">
        <v>2</v>
      </c>
      <c r="D463" s="11" t="str">
        <f>_xlfn.XLOOKUP(A463,CATÁLOGO!$A$2:$A$846,CATÁLOGO!$E$2:$E$846,"FORA DO CATÁLOGO")</f>
        <v>Ativo</v>
      </c>
      <c r="E463" s="9" t="s">
        <v>1305</v>
      </c>
      <c r="F463" s="52">
        <f>SUMIFS('AVARIA ESTIMADA'!$F$18:$F$40,'AVARIA ESTIMADA'!$A$18:$A$40,A463)</f>
        <v>0</v>
      </c>
    </row>
    <row r="464" spans="1:6" x14ac:dyDescent="0.3">
      <c r="A464" s="9" t="s">
        <v>321</v>
      </c>
      <c r="B464" s="18" t="str">
        <f>_xlfn.XLOOKUP(A464,CATÁLOGO!$A$2:$A$846,CATÁLOGO!$B$2:$B$846,"FORA DO CATÁLOGO")</f>
        <v>CMS011JG</v>
      </c>
      <c r="C464" s="11">
        <v>1</v>
      </c>
      <c r="D464" s="11" t="str">
        <f>_xlfn.XLOOKUP(A464,CATÁLOGO!$A$2:$A$846,CATÁLOGO!$E$2:$E$846,"FORA DO CATÁLOGO")</f>
        <v>Ativo</v>
      </c>
      <c r="E464" s="9" t="s">
        <v>1305</v>
      </c>
      <c r="F464" s="52">
        <f>SUMIFS('AVARIA ESTIMADA'!$F$18:$F$40,'AVARIA ESTIMADA'!$A$18:$A$40,A464)</f>
        <v>0</v>
      </c>
    </row>
    <row r="465" spans="1:6" x14ac:dyDescent="0.3">
      <c r="A465" s="9" t="s">
        <v>322</v>
      </c>
      <c r="B465" s="18" t="str">
        <f>_xlfn.XLOOKUP(A465,CATÁLOGO!$A$2:$A$846,CATÁLOGO!$B$2:$B$846,"FORA DO CATÁLOGO")</f>
        <v>CMS011JGG</v>
      </c>
      <c r="C465" s="11">
        <v>1</v>
      </c>
      <c r="D465" s="11" t="str">
        <f>_xlfn.XLOOKUP(A465,CATÁLOGO!$A$2:$A$846,CATÁLOGO!$E$2:$E$846,"FORA DO CATÁLOGO")</f>
        <v>Ativo</v>
      </c>
      <c r="E465" s="9" t="s">
        <v>1305</v>
      </c>
      <c r="F465" s="52">
        <f>SUMIFS('AVARIA ESTIMADA'!$F$18:$F$40,'AVARIA ESTIMADA'!$A$18:$A$40,A465)</f>
        <v>0</v>
      </c>
    </row>
    <row r="466" spans="1:6" x14ac:dyDescent="0.3">
      <c r="A466" s="9" t="s">
        <v>323</v>
      </c>
      <c r="B466" s="18" t="str">
        <f>_xlfn.XLOOKUP(A466,CATÁLOGO!$A$2:$A$846,CATÁLOGO!$B$2:$B$846,"FORA DO CATÁLOGO")</f>
        <v>SAI009BP</v>
      </c>
      <c r="C466" s="11">
        <v>1</v>
      </c>
      <c r="D466" s="11" t="str">
        <f>_xlfn.XLOOKUP(A466,CATÁLOGO!$A$2:$A$846,CATÁLOGO!$E$2:$E$846,"FORA DO CATÁLOGO")</f>
        <v>Ativo</v>
      </c>
      <c r="E466" s="9" t="s">
        <v>1304</v>
      </c>
      <c r="F466" s="52">
        <f>SUMIFS('AVARIA ESTIMADA'!$F$18:$F$40,'AVARIA ESTIMADA'!$A$18:$A$40,A466)</f>
        <v>1</v>
      </c>
    </row>
    <row r="467" spans="1:6" x14ac:dyDescent="0.3">
      <c r="A467" s="9" t="s">
        <v>324</v>
      </c>
      <c r="B467" s="18" t="str">
        <f>_xlfn.XLOOKUP(A467,CATÁLOGO!$A$2:$A$846,CATÁLOGO!$B$2:$B$846,"FORA DO CATÁLOGO")</f>
        <v>SAI009BM</v>
      </c>
      <c r="C467" s="11">
        <v>3</v>
      </c>
      <c r="D467" s="11" t="str">
        <f>_xlfn.XLOOKUP(A467,CATÁLOGO!$A$2:$A$846,CATÁLOGO!$E$2:$E$846,"FORA DO CATÁLOGO")</f>
        <v>Ativo</v>
      </c>
      <c r="E467" s="9" t="s">
        <v>1303</v>
      </c>
      <c r="F467" s="52">
        <f>SUMIFS('AVARIA ESTIMADA'!$F$18:$F$40,'AVARIA ESTIMADA'!$A$18:$A$40,A467)</f>
        <v>0</v>
      </c>
    </row>
    <row r="468" spans="1:6" x14ac:dyDescent="0.3">
      <c r="A468" s="9" t="s">
        <v>325</v>
      </c>
      <c r="B468" s="18" t="str">
        <f>_xlfn.XLOOKUP(A468,CATÁLOGO!$A$2:$A$846,CATÁLOGO!$B$2:$B$846,"FORA DO CATÁLOGO")</f>
        <v>SAI009BG</v>
      </c>
      <c r="C468" s="11">
        <v>3</v>
      </c>
      <c r="D468" s="11" t="str">
        <f>_xlfn.XLOOKUP(A468,CATÁLOGO!$A$2:$A$846,CATÁLOGO!$E$2:$E$846,"FORA DO CATÁLOGO")</f>
        <v>Ativo</v>
      </c>
      <c r="E468" s="9" t="s">
        <v>1305</v>
      </c>
      <c r="F468" s="52">
        <f>SUMIFS('AVARIA ESTIMADA'!$F$18:$F$40,'AVARIA ESTIMADA'!$A$18:$A$40,A468)</f>
        <v>0</v>
      </c>
    </row>
    <row r="469" spans="1:6" x14ac:dyDescent="0.3">
      <c r="A469" s="9" t="s">
        <v>326</v>
      </c>
      <c r="B469" s="18" t="str">
        <f>_xlfn.XLOOKUP(A469,CATÁLOGO!$A$2:$A$846,CATÁLOGO!$B$2:$B$846,"FORA DO CATÁLOGO")</f>
        <v>SAI009BGG</v>
      </c>
      <c r="C469" s="11">
        <v>1</v>
      </c>
      <c r="D469" s="11" t="str">
        <f>_xlfn.XLOOKUP(A469,CATÁLOGO!$A$2:$A$846,CATÁLOGO!$E$2:$E$846,"FORA DO CATÁLOGO")</f>
        <v>Ativo</v>
      </c>
      <c r="E469" s="9" t="s">
        <v>1305</v>
      </c>
      <c r="F469" s="52">
        <f>SUMIFS('AVARIA ESTIMADA'!$F$18:$F$40,'AVARIA ESTIMADA'!$A$18:$A$40,A469)</f>
        <v>0</v>
      </c>
    </row>
    <row r="470" spans="1:6" x14ac:dyDescent="0.3">
      <c r="A470" s="9" t="s">
        <v>327</v>
      </c>
      <c r="B470" s="18" t="str">
        <f>_xlfn.XLOOKUP(A470,CATÁLOGO!$A$2:$A$846,CATÁLOGO!$B$2:$B$846,"FORA DO CATÁLOGO")</f>
        <v>SAI009GP</v>
      </c>
      <c r="C470" s="11">
        <v>1</v>
      </c>
      <c r="D470" s="11" t="str">
        <f>_xlfn.XLOOKUP(A470,CATÁLOGO!$A$2:$A$846,CATÁLOGO!$E$2:$E$846,"FORA DO CATÁLOGO")</f>
        <v>Ativo</v>
      </c>
      <c r="E470" s="9" t="s">
        <v>1303</v>
      </c>
      <c r="F470" s="52">
        <f>SUMIFS('AVARIA ESTIMADA'!$F$18:$F$40,'AVARIA ESTIMADA'!$A$18:$A$40,A470)</f>
        <v>0</v>
      </c>
    </row>
    <row r="471" spans="1:6" x14ac:dyDescent="0.3">
      <c r="A471" s="9" t="s">
        <v>328</v>
      </c>
      <c r="B471" s="18" t="str">
        <f>_xlfn.XLOOKUP(A471,CATÁLOGO!$A$2:$A$846,CATÁLOGO!$B$2:$B$846,"FORA DO CATÁLOGO")</f>
        <v>SAI009GM</v>
      </c>
      <c r="C471" s="11">
        <v>1</v>
      </c>
      <c r="D471" s="11" t="str">
        <f>_xlfn.XLOOKUP(A471,CATÁLOGO!$A$2:$A$846,CATÁLOGO!$E$2:$E$846,"FORA DO CATÁLOGO")</f>
        <v>Ativo</v>
      </c>
      <c r="E471" s="9" t="s">
        <v>1304</v>
      </c>
      <c r="F471" s="52">
        <f>SUMIFS('AVARIA ESTIMADA'!$F$18:$F$40,'AVARIA ESTIMADA'!$A$18:$A$40,A471)</f>
        <v>0</v>
      </c>
    </row>
    <row r="472" spans="1:6" x14ac:dyDescent="0.3">
      <c r="A472" s="9" t="s">
        <v>329</v>
      </c>
      <c r="B472" s="18" t="str">
        <f>_xlfn.XLOOKUP(A472,CATÁLOGO!$A$2:$A$846,CATÁLOGO!$B$2:$B$846,"FORA DO CATÁLOGO")</f>
        <v>SAI009GG</v>
      </c>
      <c r="C472" s="11">
        <v>1</v>
      </c>
      <c r="D472" s="11" t="str">
        <f>_xlfn.XLOOKUP(A472,CATÁLOGO!$A$2:$A$846,CATÁLOGO!$E$2:$E$846,"FORA DO CATÁLOGO")</f>
        <v>Ativo</v>
      </c>
      <c r="E472" s="9" t="s">
        <v>1303</v>
      </c>
      <c r="F472" s="52">
        <f>SUMIFS('AVARIA ESTIMADA'!$F$18:$F$40,'AVARIA ESTIMADA'!$A$18:$A$40,A472)</f>
        <v>0</v>
      </c>
    </row>
    <row r="473" spans="1:6" x14ac:dyDescent="0.3">
      <c r="A473" s="9" t="s">
        <v>330</v>
      </c>
      <c r="B473" s="18" t="str">
        <f>_xlfn.XLOOKUP(A473,CATÁLOGO!$A$2:$A$846,CATÁLOGO!$B$2:$B$846,"FORA DO CATÁLOGO")</f>
        <v>SAI009GGG</v>
      </c>
      <c r="C473" s="11">
        <v>1</v>
      </c>
      <c r="D473" s="11" t="str">
        <f>_xlfn.XLOOKUP(A473,CATÁLOGO!$A$2:$A$846,CATÁLOGO!$E$2:$E$846,"FORA DO CATÁLOGO")</f>
        <v>Ativo</v>
      </c>
      <c r="E473" s="9" t="s">
        <v>1303</v>
      </c>
      <c r="F473" s="52">
        <f>SUMIFS('AVARIA ESTIMADA'!$F$18:$F$40,'AVARIA ESTIMADA'!$A$18:$A$40,A473)</f>
        <v>0</v>
      </c>
    </row>
    <row r="474" spans="1:6" x14ac:dyDescent="0.3">
      <c r="A474" s="9" t="s">
        <v>332</v>
      </c>
      <c r="B474" s="18" t="str">
        <f>_xlfn.XLOOKUP(A474,CATÁLOGO!$A$2:$A$846,CATÁLOGO!$B$2:$B$846,"FORA DO CATÁLOGO")</f>
        <v>TOP013VM</v>
      </c>
      <c r="C474" s="11">
        <v>2</v>
      </c>
      <c r="D474" s="11" t="str">
        <f>_xlfn.XLOOKUP(A474,CATÁLOGO!$A$2:$A$846,CATÁLOGO!$E$2:$E$846,"FORA DO CATÁLOGO")</f>
        <v>Ativo</v>
      </c>
      <c r="E474" s="9" t="s">
        <v>1304</v>
      </c>
      <c r="F474" s="52">
        <f>SUMIFS('AVARIA ESTIMADA'!$F$18:$F$40,'AVARIA ESTIMADA'!$A$18:$A$40,A474)</f>
        <v>0</v>
      </c>
    </row>
    <row r="475" spans="1:6" x14ac:dyDescent="0.3">
      <c r="A475" s="9" t="s">
        <v>333</v>
      </c>
      <c r="B475" s="18" t="str">
        <f>_xlfn.XLOOKUP(A475,CATÁLOGO!$A$2:$A$846,CATÁLOGO!$B$2:$B$846,"FORA DO CATÁLOGO")</f>
        <v>TOP013VG</v>
      </c>
      <c r="C475" s="11">
        <v>3</v>
      </c>
      <c r="D475" s="11" t="str">
        <f>_xlfn.XLOOKUP(A475,CATÁLOGO!$A$2:$A$846,CATÁLOGO!$E$2:$E$846,"FORA DO CATÁLOGO")</f>
        <v>Ativo</v>
      </c>
      <c r="E475" s="9" t="s">
        <v>1305</v>
      </c>
      <c r="F475" s="52">
        <f>SUMIFS('AVARIA ESTIMADA'!$F$18:$F$40,'AVARIA ESTIMADA'!$A$18:$A$40,A475)</f>
        <v>0</v>
      </c>
    </row>
    <row r="476" spans="1:6" x14ac:dyDescent="0.3">
      <c r="A476" s="9" t="s">
        <v>334</v>
      </c>
      <c r="B476" s="18" t="str">
        <f>_xlfn.XLOOKUP(A476,CATÁLOGO!$A$2:$A$846,CATÁLOGO!$B$2:$B$846,"FORA DO CATÁLOGO")</f>
        <v>TOP013VGG</v>
      </c>
      <c r="C476" s="11">
        <v>2</v>
      </c>
      <c r="D476" s="11" t="str">
        <f>_xlfn.XLOOKUP(A476,CATÁLOGO!$A$2:$A$846,CATÁLOGO!$E$2:$E$846,"FORA DO CATÁLOGO")</f>
        <v>Ativo</v>
      </c>
      <c r="E476" s="9" t="s">
        <v>1305</v>
      </c>
      <c r="F476" s="52">
        <f>SUMIFS('AVARIA ESTIMADA'!$F$18:$F$40,'AVARIA ESTIMADA'!$A$18:$A$40,A476)</f>
        <v>0</v>
      </c>
    </row>
    <row r="477" spans="1:6" x14ac:dyDescent="0.3">
      <c r="A477" s="9" t="s">
        <v>1494</v>
      </c>
      <c r="B477" s="18" t="str">
        <f>_xlfn.XLOOKUP(A477,CATÁLOGO!$A$2:$A$846,CATÁLOGO!$B$2:$B$846,"FORA DO CATÁLOGO")</f>
        <v>BER008G36</v>
      </c>
      <c r="C477" s="11">
        <v>2</v>
      </c>
      <c r="D477" s="11" t="str">
        <f>_xlfn.XLOOKUP(A477,CATÁLOGO!$A$2:$A$846,CATÁLOGO!$E$2:$E$846,"FORA DO CATÁLOGO")</f>
        <v>Ativo</v>
      </c>
      <c r="E477" s="9" t="s">
        <v>1305</v>
      </c>
      <c r="F477" s="52">
        <f>SUMIFS('AVARIA ESTIMADA'!$F$18:$F$40,'AVARIA ESTIMADA'!$A$18:$A$40,A477)</f>
        <v>0</v>
      </c>
    </row>
    <row r="478" spans="1:6" x14ac:dyDescent="0.3">
      <c r="A478" s="9" t="s">
        <v>1492</v>
      </c>
      <c r="B478" s="18" t="str">
        <f>_xlfn.XLOOKUP(A478,CATÁLOGO!$A$2:$A$846,CATÁLOGO!$B$2:$B$846,"FORA DO CATÁLOGO")</f>
        <v>BER008G38</v>
      </c>
      <c r="C478" s="11">
        <v>3</v>
      </c>
      <c r="D478" s="11" t="str">
        <f>_xlfn.XLOOKUP(A478,CATÁLOGO!$A$2:$A$846,CATÁLOGO!$E$2:$E$846,"FORA DO CATÁLOGO")</f>
        <v>Ativo</v>
      </c>
      <c r="E478" s="9" t="s">
        <v>1305</v>
      </c>
      <c r="F478" s="52">
        <f>SUMIFS('AVARIA ESTIMADA'!$F$18:$F$40,'AVARIA ESTIMADA'!$A$18:$A$40,A478)</f>
        <v>0</v>
      </c>
    </row>
    <row r="479" spans="1:6" x14ac:dyDescent="0.3">
      <c r="A479" s="9" t="s">
        <v>1491</v>
      </c>
      <c r="B479" s="18" t="str">
        <f>_xlfn.XLOOKUP(A479,CATÁLOGO!$A$2:$A$846,CATÁLOGO!$B$2:$B$846,"FORA DO CATÁLOGO")</f>
        <v>BER008G40</v>
      </c>
      <c r="C479" s="11">
        <v>4</v>
      </c>
      <c r="D479" s="11" t="str">
        <f>_xlfn.XLOOKUP(A479,CATÁLOGO!$A$2:$A$846,CATÁLOGO!$E$2:$E$846,"FORA DO CATÁLOGO")</f>
        <v>Ativo</v>
      </c>
      <c r="E479" s="9" t="s">
        <v>1305</v>
      </c>
      <c r="F479" s="52">
        <f>SUMIFS('AVARIA ESTIMADA'!$F$18:$F$40,'AVARIA ESTIMADA'!$A$18:$A$40,A479)</f>
        <v>0</v>
      </c>
    </row>
    <row r="480" spans="1:6" x14ac:dyDescent="0.3">
      <c r="A480" s="9" t="s">
        <v>1488</v>
      </c>
      <c r="B480" s="18" t="str">
        <f>_xlfn.XLOOKUP(A480,CATÁLOGO!$A$2:$A$846,CATÁLOGO!$B$2:$B$846,"FORA DO CATÁLOGO")</f>
        <v>BER008G42</v>
      </c>
      <c r="C480" s="11">
        <v>3</v>
      </c>
      <c r="D480" s="11" t="str">
        <f>_xlfn.XLOOKUP(A480,CATÁLOGO!$A$2:$A$846,CATÁLOGO!$E$2:$E$846,"FORA DO CATÁLOGO")</f>
        <v>Ativo</v>
      </c>
      <c r="E480" s="9" t="s">
        <v>1304</v>
      </c>
      <c r="F480" s="52">
        <f>SUMIFS('AVARIA ESTIMADA'!$F$18:$F$40,'AVARIA ESTIMADA'!$A$18:$A$40,A480)</f>
        <v>0</v>
      </c>
    </row>
    <row r="481" spans="1:6" x14ac:dyDescent="0.3">
      <c r="A481" s="9" t="s">
        <v>1490</v>
      </c>
      <c r="B481" s="18" t="str">
        <f>_xlfn.XLOOKUP(A481,CATÁLOGO!$A$2:$A$846,CATÁLOGO!$B$2:$B$846,"FORA DO CATÁLOGO")</f>
        <v>BER008G44</v>
      </c>
      <c r="C481" s="11">
        <v>2</v>
      </c>
      <c r="D481" s="11" t="str">
        <f>_xlfn.XLOOKUP(A481,CATÁLOGO!$A$2:$A$846,CATÁLOGO!$E$2:$E$846,"FORA DO CATÁLOGO")</f>
        <v>Ativo</v>
      </c>
      <c r="E481" s="9" t="s">
        <v>1303</v>
      </c>
      <c r="F481" s="52">
        <f>SUMIFS('AVARIA ESTIMADA'!$F$18:$F$40,'AVARIA ESTIMADA'!$A$18:$A$40,A481)</f>
        <v>0</v>
      </c>
    </row>
    <row r="482" spans="1:6" x14ac:dyDescent="0.3">
      <c r="A482" s="9" t="s">
        <v>1493</v>
      </c>
      <c r="B482" s="18" t="str">
        <f>_xlfn.XLOOKUP(A482,CATÁLOGO!$A$2:$A$846,CATÁLOGO!$B$2:$B$846,"FORA DO CATÁLOGO")</f>
        <v>BER008G46</v>
      </c>
      <c r="C482" s="11">
        <v>1</v>
      </c>
      <c r="D482" s="11" t="str">
        <f>_xlfn.XLOOKUP(A482,CATÁLOGO!$A$2:$A$846,CATÁLOGO!$E$2:$E$846,"FORA DO CATÁLOGO")</f>
        <v>Ativo</v>
      </c>
      <c r="E482" s="9" t="s">
        <v>1304</v>
      </c>
      <c r="F482" s="52">
        <f>SUMIFS('AVARIA ESTIMADA'!$F$18:$F$40,'AVARIA ESTIMADA'!$A$18:$A$40,A482)</f>
        <v>0</v>
      </c>
    </row>
    <row r="483" spans="1:6" x14ac:dyDescent="0.3">
      <c r="A483" s="9" t="s">
        <v>335</v>
      </c>
      <c r="B483" s="18" t="str">
        <f>_xlfn.XLOOKUP(A483,CATÁLOGO!$A$2:$A$846,CATÁLOGO!$B$2:$B$846,"FORA DO CATÁLOGO")</f>
        <v>TOP014YP</v>
      </c>
      <c r="C483" s="11">
        <v>2</v>
      </c>
      <c r="D483" s="11" t="str">
        <f>_xlfn.XLOOKUP(A483,CATÁLOGO!$A$2:$A$846,CATÁLOGO!$E$2:$E$846,"FORA DO CATÁLOGO")</f>
        <v>Ativo</v>
      </c>
      <c r="E483" s="9" t="s">
        <v>1304</v>
      </c>
      <c r="F483" s="52">
        <f>SUMIFS('AVARIA ESTIMADA'!$F$18:$F$40,'AVARIA ESTIMADA'!$A$18:$A$40,A483)</f>
        <v>0</v>
      </c>
    </row>
    <row r="484" spans="1:6" x14ac:dyDescent="0.3">
      <c r="A484" s="9" t="s">
        <v>336</v>
      </c>
      <c r="B484" s="18" t="str">
        <f>_xlfn.XLOOKUP(A484,CATÁLOGO!$A$2:$A$846,CATÁLOGO!$B$2:$B$846,"FORA DO CATÁLOGO")</f>
        <v>TOP014YM</v>
      </c>
      <c r="C484" s="11">
        <v>4</v>
      </c>
      <c r="D484" s="11" t="str">
        <f>_xlfn.XLOOKUP(A484,CATÁLOGO!$A$2:$A$846,CATÁLOGO!$E$2:$E$846,"FORA DO CATÁLOGO")</f>
        <v>Ativo</v>
      </c>
      <c r="E484" s="9" t="s">
        <v>1304</v>
      </c>
      <c r="F484" s="52">
        <f>SUMIFS('AVARIA ESTIMADA'!$F$18:$F$40,'AVARIA ESTIMADA'!$A$18:$A$40,A484)</f>
        <v>0</v>
      </c>
    </row>
    <row r="485" spans="1:6" x14ac:dyDescent="0.3">
      <c r="A485" s="9" t="s">
        <v>337</v>
      </c>
      <c r="B485" s="18" t="str">
        <f>_xlfn.XLOOKUP(A485,CATÁLOGO!$A$2:$A$846,CATÁLOGO!$B$2:$B$846,"FORA DO CATÁLOGO")</f>
        <v>TOP014YG</v>
      </c>
      <c r="C485" s="11">
        <v>4</v>
      </c>
      <c r="D485" s="11" t="str">
        <f>_xlfn.XLOOKUP(A485,CATÁLOGO!$A$2:$A$846,CATÁLOGO!$E$2:$E$846,"FORA DO CATÁLOGO")</f>
        <v>Ativo</v>
      </c>
      <c r="E485" s="9" t="s">
        <v>1305</v>
      </c>
      <c r="F485" s="52">
        <f>SUMIFS('AVARIA ESTIMADA'!$F$18:$F$40,'AVARIA ESTIMADA'!$A$18:$A$40,A485)</f>
        <v>0</v>
      </c>
    </row>
    <row r="486" spans="1:6" x14ac:dyDescent="0.3">
      <c r="A486" s="9" t="s">
        <v>338</v>
      </c>
      <c r="B486" s="18" t="str">
        <f>_xlfn.XLOOKUP(A486,CATÁLOGO!$A$2:$A$846,CATÁLOGO!$B$2:$B$846,"FORA DO CATÁLOGO")</f>
        <v>CAM017YP</v>
      </c>
      <c r="C486" s="11">
        <v>4</v>
      </c>
      <c r="D486" s="11" t="str">
        <f>_xlfn.XLOOKUP(A486,CATÁLOGO!$A$2:$A$846,CATÁLOGO!$E$2:$E$846,"FORA DO CATÁLOGO")</f>
        <v>Descontinuado</v>
      </c>
      <c r="E486" s="9" t="s">
        <v>1304</v>
      </c>
      <c r="F486" s="52">
        <f>SUMIFS('AVARIA ESTIMADA'!$F$18:$F$40,'AVARIA ESTIMADA'!$A$18:$A$40,A486)</f>
        <v>0</v>
      </c>
    </row>
    <row r="487" spans="1:6" x14ac:dyDescent="0.3">
      <c r="A487" s="9" t="s">
        <v>339</v>
      </c>
      <c r="B487" s="18" t="str">
        <f>_xlfn.XLOOKUP(A487,CATÁLOGO!$A$2:$A$846,CATÁLOGO!$B$2:$B$846,"FORA DO CATÁLOGO")</f>
        <v>CAM017YM</v>
      </c>
      <c r="C487" s="11">
        <v>6</v>
      </c>
      <c r="D487" s="11" t="str">
        <f>_xlfn.XLOOKUP(A487,CATÁLOGO!$A$2:$A$846,CATÁLOGO!$E$2:$E$846,"FORA DO CATÁLOGO")</f>
        <v>Descontinuado</v>
      </c>
      <c r="E487" s="9" t="s">
        <v>1305</v>
      </c>
      <c r="F487" s="52">
        <f>SUMIFS('AVARIA ESTIMADA'!$F$18:$F$40,'AVARIA ESTIMADA'!$A$18:$A$40,A487)</f>
        <v>0</v>
      </c>
    </row>
    <row r="488" spans="1:6" x14ac:dyDescent="0.3">
      <c r="A488" s="9" t="s">
        <v>340</v>
      </c>
      <c r="B488" s="18" t="str">
        <f>_xlfn.XLOOKUP(A488,CATÁLOGO!$A$2:$A$846,CATÁLOGO!$B$2:$B$846,"FORA DO CATÁLOGO")</f>
        <v>CAM017YG</v>
      </c>
      <c r="C488" s="11">
        <v>5</v>
      </c>
      <c r="D488" s="11" t="str">
        <f>_xlfn.XLOOKUP(A488,CATÁLOGO!$A$2:$A$846,CATÁLOGO!$E$2:$E$846,"FORA DO CATÁLOGO")</f>
        <v>Descontinuado</v>
      </c>
      <c r="E488" s="9" t="s">
        <v>1305</v>
      </c>
      <c r="F488" s="52">
        <f>SUMIFS('AVARIA ESTIMADA'!$F$18:$F$40,'AVARIA ESTIMADA'!$A$18:$A$40,A488)</f>
        <v>4</v>
      </c>
    </row>
    <row r="489" spans="1:6" x14ac:dyDescent="0.3">
      <c r="A489" s="9" t="s">
        <v>342</v>
      </c>
      <c r="B489" s="18" t="str">
        <f>_xlfn.XLOOKUP(A489,CATÁLOGO!$A$2:$A$846,CATÁLOGO!$B$2:$B$846,"FORA DO CATÁLOGO")</f>
        <v>CAM018LP</v>
      </c>
      <c r="C489" s="11">
        <v>6</v>
      </c>
      <c r="D489" s="11" t="str">
        <f>_xlfn.XLOOKUP(A489,CATÁLOGO!$A$2:$A$846,CATÁLOGO!$E$2:$E$846,"FORA DO CATÁLOGO")</f>
        <v>Ativo</v>
      </c>
      <c r="E489" s="9" t="s">
        <v>1303</v>
      </c>
      <c r="F489" s="52">
        <f>SUMIFS('AVARIA ESTIMADA'!$F$18:$F$40,'AVARIA ESTIMADA'!$A$18:$A$40,A489)</f>
        <v>0</v>
      </c>
    </row>
    <row r="490" spans="1:6" x14ac:dyDescent="0.3">
      <c r="A490" s="9" t="s">
        <v>343</v>
      </c>
      <c r="B490" s="18" t="str">
        <f>_xlfn.XLOOKUP(A490,CATÁLOGO!$A$2:$A$846,CATÁLOGO!$B$2:$B$846,"FORA DO CATÁLOGO")</f>
        <v>CAM018LM</v>
      </c>
      <c r="C490" s="11">
        <v>3</v>
      </c>
      <c r="D490" s="11" t="str">
        <f>_xlfn.XLOOKUP(A490,CATÁLOGO!$A$2:$A$846,CATÁLOGO!$E$2:$E$846,"FORA DO CATÁLOGO")</f>
        <v>Ativo</v>
      </c>
      <c r="E490" s="9" t="s">
        <v>1304</v>
      </c>
      <c r="F490" s="52">
        <f>SUMIFS('AVARIA ESTIMADA'!$F$18:$F$40,'AVARIA ESTIMADA'!$A$18:$A$40,A490)</f>
        <v>0</v>
      </c>
    </row>
    <row r="491" spans="1:6" x14ac:dyDescent="0.3">
      <c r="A491" s="9" t="s">
        <v>344</v>
      </c>
      <c r="B491" s="18" t="str">
        <f>_xlfn.XLOOKUP(A491,CATÁLOGO!$A$2:$A$846,CATÁLOGO!$B$2:$B$846,"FORA DO CATÁLOGO")</f>
        <v>CAM018LG</v>
      </c>
      <c r="C491" s="11">
        <v>6</v>
      </c>
      <c r="D491" s="11" t="str">
        <f>_xlfn.XLOOKUP(A491,CATÁLOGO!$A$2:$A$846,CATÁLOGO!$E$2:$E$846,"FORA DO CATÁLOGO")</f>
        <v>Ativo</v>
      </c>
      <c r="E491" s="9" t="s">
        <v>1305</v>
      </c>
      <c r="F491" s="52">
        <f>SUMIFS('AVARIA ESTIMADA'!$F$18:$F$40,'AVARIA ESTIMADA'!$A$18:$A$40,A491)</f>
        <v>0</v>
      </c>
    </row>
    <row r="492" spans="1:6" x14ac:dyDescent="0.3">
      <c r="A492" s="9" t="s">
        <v>345</v>
      </c>
      <c r="B492" s="18" t="str">
        <f>_xlfn.XLOOKUP(A492,CATÁLOGO!$A$2:$A$846,CATÁLOGO!$B$2:$B$846,"FORA DO CATÁLOGO")</f>
        <v>CAM018LGG</v>
      </c>
      <c r="C492" s="11">
        <v>4</v>
      </c>
      <c r="D492" s="11" t="str">
        <f>_xlfn.XLOOKUP(A492,CATÁLOGO!$A$2:$A$846,CATÁLOGO!$E$2:$E$846,"FORA DO CATÁLOGO")</f>
        <v>Ativo</v>
      </c>
      <c r="E492" s="9" t="s">
        <v>1303</v>
      </c>
      <c r="F492" s="52">
        <f>SUMIFS('AVARIA ESTIMADA'!$F$18:$F$40,'AVARIA ESTIMADA'!$A$18:$A$40,A492)</f>
        <v>0</v>
      </c>
    </row>
    <row r="493" spans="1:6" x14ac:dyDescent="0.3">
      <c r="A493" s="9" t="s">
        <v>346</v>
      </c>
      <c r="B493" s="18" t="str">
        <f>_xlfn.XLOOKUP(A493,CATÁLOGO!$A$2:$A$846,CATÁLOGO!$B$2:$B$846,"FORA DO CATÁLOGO")</f>
        <v>VES009GP</v>
      </c>
      <c r="C493" s="11">
        <v>3</v>
      </c>
      <c r="D493" s="11" t="str">
        <f>_xlfn.XLOOKUP(A493,CATÁLOGO!$A$2:$A$846,CATÁLOGO!$E$2:$E$846,"FORA DO CATÁLOGO")</f>
        <v>Descontinuado</v>
      </c>
      <c r="E493" s="9" t="s">
        <v>1305</v>
      </c>
      <c r="F493" s="52">
        <f>SUMIFS('AVARIA ESTIMADA'!$F$18:$F$40,'AVARIA ESTIMADA'!$A$18:$A$40,A493)</f>
        <v>0</v>
      </c>
    </row>
    <row r="494" spans="1:6" x14ac:dyDescent="0.3">
      <c r="A494" s="9" t="s">
        <v>347</v>
      </c>
      <c r="B494" s="18" t="str">
        <f>_xlfn.XLOOKUP(A494,CATÁLOGO!$A$2:$A$846,CATÁLOGO!$B$2:$B$846,"FORA DO CATÁLOGO")</f>
        <v>VES009GM</v>
      </c>
      <c r="C494" s="11">
        <v>6</v>
      </c>
      <c r="D494" s="11" t="str">
        <f>_xlfn.XLOOKUP(A494,CATÁLOGO!$A$2:$A$846,CATÁLOGO!$E$2:$E$846,"FORA DO CATÁLOGO")</f>
        <v>Descontinuado</v>
      </c>
      <c r="E494" s="9" t="s">
        <v>1303</v>
      </c>
      <c r="F494" s="52">
        <f>SUMIFS('AVARIA ESTIMADA'!$F$18:$F$40,'AVARIA ESTIMADA'!$A$18:$A$40,A494)</f>
        <v>0</v>
      </c>
    </row>
    <row r="495" spans="1:6" x14ac:dyDescent="0.3">
      <c r="A495" s="9" t="s">
        <v>348</v>
      </c>
      <c r="B495" s="18" t="str">
        <f>_xlfn.XLOOKUP(A495,CATÁLOGO!$A$2:$A$846,CATÁLOGO!$B$2:$B$846,"FORA DO CATÁLOGO")</f>
        <v>VES009GG</v>
      </c>
      <c r="C495" s="11">
        <v>3</v>
      </c>
      <c r="D495" s="11" t="str">
        <f>_xlfn.XLOOKUP(A495,CATÁLOGO!$A$2:$A$846,CATÁLOGO!$E$2:$E$846,"FORA DO CATÁLOGO")</f>
        <v>Descontinuado</v>
      </c>
      <c r="E495" s="9" t="s">
        <v>1303</v>
      </c>
      <c r="F495" s="52">
        <f>SUMIFS('AVARIA ESTIMADA'!$F$18:$F$40,'AVARIA ESTIMADA'!$A$18:$A$40,A495)</f>
        <v>3</v>
      </c>
    </row>
    <row r="496" spans="1:6" x14ac:dyDescent="0.3">
      <c r="A496" s="9" t="s">
        <v>349</v>
      </c>
      <c r="B496" s="18" t="str">
        <f>_xlfn.XLOOKUP(A496,CATÁLOGO!$A$2:$A$846,CATÁLOGO!$B$2:$B$846,"FORA DO CATÁLOGO")</f>
        <v>VES009PP</v>
      </c>
      <c r="C496" s="11">
        <v>3</v>
      </c>
      <c r="D496" s="11" t="str">
        <f>_xlfn.XLOOKUP(A496,CATÁLOGO!$A$2:$A$846,CATÁLOGO!$E$2:$E$846,"FORA DO CATÁLOGO")</f>
        <v>Descontinuado</v>
      </c>
      <c r="E496" s="9" t="s">
        <v>1303</v>
      </c>
      <c r="F496" s="52">
        <f>SUMIFS('AVARIA ESTIMADA'!$F$18:$F$40,'AVARIA ESTIMADA'!$A$18:$A$40,A496)</f>
        <v>0</v>
      </c>
    </row>
    <row r="497" spans="1:6" x14ac:dyDescent="0.3">
      <c r="A497" s="9" t="s">
        <v>350</v>
      </c>
      <c r="B497" s="18" t="str">
        <f>_xlfn.XLOOKUP(A497,CATÁLOGO!$A$2:$A$846,CATÁLOGO!$B$2:$B$846,"FORA DO CATÁLOGO")</f>
        <v>VES009PM</v>
      </c>
      <c r="C497" s="11">
        <v>4</v>
      </c>
      <c r="D497" s="11" t="str">
        <f>_xlfn.XLOOKUP(A497,CATÁLOGO!$A$2:$A$846,CATÁLOGO!$E$2:$E$846,"FORA DO CATÁLOGO")</f>
        <v>Descontinuado</v>
      </c>
      <c r="E497" s="9" t="s">
        <v>1303</v>
      </c>
      <c r="F497" s="52">
        <f>SUMIFS('AVARIA ESTIMADA'!$F$18:$F$40,'AVARIA ESTIMADA'!$A$18:$A$40,A497)</f>
        <v>0</v>
      </c>
    </row>
    <row r="498" spans="1:6" x14ac:dyDescent="0.3">
      <c r="A498" s="9" t="s">
        <v>351</v>
      </c>
      <c r="B498" s="18" t="str">
        <f>_xlfn.XLOOKUP(A498,CATÁLOGO!$A$2:$A$846,CATÁLOGO!$B$2:$B$846,"FORA DO CATÁLOGO")</f>
        <v>VES009PG</v>
      </c>
      <c r="C498" s="11">
        <v>3</v>
      </c>
      <c r="D498" s="11" t="str">
        <f>_xlfn.XLOOKUP(A498,CATÁLOGO!$A$2:$A$846,CATÁLOGO!$E$2:$E$846,"FORA DO CATÁLOGO")</f>
        <v>Descontinuado</v>
      </c>
      <c r="E498" s="9" t="s">
        <v>1305</v>
      </c>
      <c r="F498" s="52">
        <f>SUMIFS('AVARIA ESTIMADA'!$F$18:$F$40,'AVARIA ESTIMADA'!$A$18:$A$40,A498)</f>
        <v>0</v>
      </c>
    </row>
    <row r="499" spans="1:6" x14ac:dyDescent="0.3">
      <c r="A499" s="9" t="s">
        <v>352</v>
      </c>
      <c r="B499" s="18" t="str">
        <f>_xlfn.XLOOKUP(A499,CATÁLOGO!$A$2:$A$846,CATÁLOGO!$B$2:$B$846,"FORA DO CATÁLOGO")</f>
        <v>VES010CP</v>
      </c>
      <c r="C499" s="11">
        <v>3</v>
      </c>
      <c r="D499" s="11" t="str">
        <f>_xlfn.XLOOKUP(A499,CATÁLOGO!$A$2:$A$846,CATÁLOGO!$E$2:$E$846,"FORA DO CATÁLOGO")</f>
        <v>Ativo</v>
      </c>
      <c r="E499" s="9" t="s">
        <v>1305</v>
      </c>
      <c r="F499" s="52">
        <f>SUMIFS('AVARIA ESTIMADA'!$F$18:$F$40,'AVARIA ESTIMADA'!$A$18:$A$40,A499)</f>
        <v>0</v>
      </c>
    </row>
    <row r="500" spans="1:6" x14ac:dyDescent="0.3">
      <c r="A500" s="9" t="s">
        <v>354</v>
      </c>
      <c r="B500" s="18" t="str">
        <f>_xlfn.XLOOKUP(A500,CATÁLOGO!$A$2:$A$846,CATÁLOGO!$B$2:$B$846,"FORA DO CATÁLOGO")</f>
        <v>VES010CG</v>
      </c>
      <c r="C500" s="11">
        <v>3</v>
      </c>
      <c r="D500" s="11" t="str">
        <f>_xlfn.XLOOKUP(A500,CATÁLOGO!$A$2:$A$846,CATÁLOGO!$E$2:$E$846,"FORA DO CATÁLOGO")</f>
        <v>Ativo</v>
      </c>
      <c r="E500" s="9" t="s">
        <v>1304</v>
      </c>
      <c r="F500" s="52">
        <f>SUMIFS('AVARIA ESTIMADA'!$F$18:$F$40,'AVARIA ESTIMADA'!$A$18:$A$40,A500)</f>
        <v>0</v>
      </c>
    </row>
    <row r="501" spans="1:6" x14ac:dyDescent="0.3">
      <c r="A501" s="9" t="s">
        <v>355</v>
      </c>
      <c r="B501" s="18" t="str">
        <f>_xlfn.XLOOKUP(A501,CATÁLOGO!$A$2:$A$846,CATÁLOGO!$B$2:$B$846,"FORA DO CATÁLOGO")</f>
        <v>VES010CGG</v>
      </c>
      <c r="C501" s="11">
        <v>2</v>
      </c>
      <c r="D501" s="11" t="str">
        <f>_xlfn.XLOOKUP(A501,CATÁLOGO!$A$2:$A$846,CATÁLOGO!$E$2:$E$846,"FORA DO CATÁLOGO")</f>
        <v>Ativo</v>
      </c>
      <c r="E501" s="9" t="s">
        <v>1304</v>
      </c>
      <c r="F501" s="52">
        <f>SUMIFS('AVARIA ESTIMADA'!$F$18:$F$40,'AVARIA ESTIMADA'!$A$18:$A$40,A501)</f>
        <v>0</v>
      </c>
    </row>
    <row r="502" spans="1:6" x14ac:dyDescent="0.3">
      <c r="A502" s="9" t="s">
        <v>356</v>
      </c>
      <c r="B502" s="18" t="str">
        <f>_xlfn.XLOOKUP(A502,CATÁLOGO!$A$2:$A$846,CATÁLOGO!$B$2:$B$846,"FORA DO CATÁLOGO")</f>
        <v>VES010OP</v>
      </c>
      <c r="C502" s="11">
        <v>2</v>
      </c>
      <c r="D502" s="11" t="str">
        <f>_xlfn.XLOOKUP(A502,CATÁLOGO!$A$2:$A$846,CATÁLOGO!$E$2:$E$846,"FORA DO CATÁLOGO")</f>
        <v>Ativo</v>
      </c>
      <c r="E502" s="9" t="s">
        <v>1304</v>
      </c>
      <c r="F502" s="52">
        <f>SUMIFS('AVARIA ESTIMADA'!$F$18:$F$40,'AVARIA ESTIMADA'!$A$18:$A$40,A502)</f>
        <v>0</v>
      </c>
    </row>
    <row r="503" spans="1:6" x14ac:dyDescent="0.3">
      <c r="A503" s="9" t="s">
        <v>358</v>
      </c>
      <c r="B503" s="18" t="str">
        <f>_xlfn.XLOOKUP(A503,CATÁLOGO!$A$2:$A$846,CATÁLOGO!$B$2:$B$846,"FORA DO CATÁLOGO")</f>
        <v>VES010OG</v>
      </c>
      <c r="C503" s="11">
        <v>2</v>
      </c>
      <c r="D503" s="11" t="str">
        <f>_xlfn.XLOOKUP(A503,CATÁLOGO!$A$2:$A$846,CATÁLOGO!$E$2:$E$846,"FORA DO CATÁLOGO")</f>
        <v>Ativo</v>
      </c>
      <c r="E503" s="9" t="s">
        <v>1304</v>
      </c>
      <c r="F503" s="52">
        <f>SUMIFS('AVARIA ESTIMADA'!$F$18:$F$40,'AVARIA ESTIMADA'!$A$18:$A$40,A503)</f>
        <v>0</v>
      </c>
    </row>
    <row r="504" spans="1:6" x14ac:dyDescent="0.3">
      <c r="A504" s="9" t="s">
        <v>360</v>
      </c>
      <c r="B504" s="18" t="str">
        <f>_xlfn.XLOOKUP(A504,CATÁLOGO!$A$2:$A$846,CATÁLOGO!$B$2:$B$846,"FORA DO CATÁLOGO")</f>
        <v>VES010MP</v>
      </c>
      <c r="C504" s="11">
        <v>2</v>
      </c>
      <c r="D504" s="11" t="str">
        <f>_xlfn.XLOOKUP(A504,CATÁLOGO!$A$2:$A$846,CATÁLOGO!$E$2:$E$846,"FORA DO CATÁLOGO")</f>
        <v>Ativo</v>
      </c>
      <c r="E504" s="9" t="s">
        <v>1305</v>
      </c>
      <c r="F504" s="52">
        <f>SUMIFS('AVARIA ESTIMADA'!$F$18:$F$40,'AVARIA ESTIMADA'!$A$18:$A$40,A504)</f>
        <v>0</v>
      </c>
    </row>
    <row r="505" spans="1:6" x14ac:dyDescent="0.3">
      <c r="A505" s="9" t="s">
        <v>361</v>
      </c>
      <c r="B505" s="18" t="str">
        <f>_xlfn.XLOOKUP(A505,CATÁLOGO!$A$2:$A$846,CATÁLOGO!$B$2:$B$846,"FORA DO CATÁLOGO")</f>
        <v>VES010MM</v>
      </c>
      <c r="C505" s="11">
        <v>2</v>
      </c>
      <c r="D505" s="11" t="str">
        <f>_xlfn.XLOOKUP(A505,CATÁLOGO!$A$2:$A$846,CATÁLOGO!$E$2:$E$846,"FORA DO CATÁLOGO")</f>
        <v>Ativo</v>
      </c>
      <c r="E505" s="9" t="s">
        <v>1305</v>
      </c>
      <c r="F505" s="52">
        <f>SUMIFS('AVARIA ESTIMADA'!$F$18:$F$40,'AVARIA ESTIMADA'!$A$18:$A$40,A505)</f>
        <v>0</v>
      </c>
    </row>
    <row r="506" spans="1:6" x14ac:dyDescent="0.3">
      <c r="A506" s="9" t="s">
        <v>362</v>
      </c>
      <c r="B506" s="18" t="str">
        <f>_xlfn.XLOOKUP(A506,CATÁLOGO!$A$2:$A$846,CATÁLOGO!$B$2:$B$846,"FORA DO CATÁLOGO")</f>
        <v>VES010MG</v>
      </c>
      <c r="C506" s="11">
        <v>2</v>
      </c>
      <c r="D506" s="11" t="str">
        <f>_xlfn.XLOOKUP(A506,CATÁLOGO!$A$2:$A$846,CATÁLOGO!$E$2:$E$846,"FORA DO CATÁLOGO")</f>
        <v>Ativo</v>
      </c>
      <c r="E506" s="9" t="s">
        <v>1305</v>
      </c>
      <c r="F506" s="52">
        <f>SUMIFS('AVARIA ESTIMADA'!$F$18:$F$40,'AVARIA ESTIMADA'!$A$18:$A$40,A506)</f>
        <v>0</v>
      </c>
    </row>
    <row r="507" spans="1:6" x14ac:dyDescent="0.3">
      <c r="A507" s="9" t="s">
        <v>363</v>
      </c>
      <c r="B507" s="18" t="str">
        <f>_xlfn.XLOOKUP(A507,CATÁLOGO!$A$2:$A$846,CATÁLOGO!$B$2:$B$846,"FORA DO CATÁLOGO")</f>
        <v>VES010MGG</v>
      </c>
      <c r="C507" s="11">
        <v>1</v>
      </c>
      <c r="D507" s="11" t="str">
        <f>_xlfn.XLOOKUP(A507,CATÁLOGO!$A$2:$A$846,CATÁLOGO!$E$2:$E$846,"FORA DO CATÁLOGO")</f>
        <v>Ativo</v>
      </c>
      <c r="E507" s="9" t="s">
        <v>1305</v>
      </c>
      <c r="F507" s="52">
        <f>SUMIFS('AVARIA ESTIMADA'!$F$18:$F$40,'AVARIA ESTIMADA'!$A$18:$A$40,A507)</f>
        <v>0</v>
      </c>
    </row>
    <row r="508" spans="1:6" x14ac:dyDescent="0.3">
      <c r="A508" s="9" t="s">
        <v>1499</v>
      </c>
      <c r="B508" s="18" t="str">
        <f>_xlfn.XLOOKUP(A508,CATÁLOGO!$A$2:$A$846,CATÁLOGO!$B$2:$B$846,"FORA DO CATÁLOGO")</f>
        <v>BER009J38</v>
      </c>
      <c r="C508" s="11">
        <v>3</v>
      </c>
      <c r="D508" s="11" t="str">
        <f>_xlfn.XLOOKUP(A508,CATÁLOGO!$A$2:$A$846,CATÁLOGO!$E$2:$E$846,"FORA DO CATÁLOGO")</f>
        <v>Ativo</v>
      </c>
      <c r="E508" s="9" t="s">
        <v>1305</v>
      </c>
      <c r="F508" s="52">
        <f>SUMIFS('AVARIA ESTIMADA'!$F$18:$F$40,'AVARIA ESTIMADA'!$A$18:$A$40,A508)</f>
        <v>0</v>
      </c>
    </row>
    <row r="509" spans="1:6" x14ac:dyDescent="0.3">
      <c r="A509" s="9" t="s">
        <v>1498</v>
      </c>
      <c r="B509" s="18" t="str">
        <f>_xlfn.XLOOKUP(A509,CATÁLOGO!$A$2:$A$846,CATÁLOGO!$B$2:$B$846,"FORA DO CATÁLOGO")</f>
        <v>BER009J40</v>
      </c>
      <c r="C509" s="11">
        <v>6</v>
      </c>
      <c r="D509" s="11" t="str">
        <f>_xlfn.XLOOKUP(A509,CATÁLOGO!$A$2:$A$846,CATÁLOGO!$E$2:$E$846,"FORA DO CATÁLOGO")</f>
        <v>Ativo</v>
      </c>
      <c r="E509" s="9" t="s">
        <v>1304</v>
      </c>
      <c r="F509" s="52">
        <f>SUMIFS('AVARIA ESTIMADA'!$F$18:$F$40,'AVARIA ESTIMADA'!$A$18:$A$40,A509)</f>
        <v>0</v>
      </c>
    </row>
    <row r="510" spans="1:6" x14ac:dyDescent="0.3">
      <c r="A510" s="9" t="s">
        <v>1495</v>
      </c>
      <c r="B510" s="18" t="str">
        <f>_xlfn.XLOOKUP(A510,CATÁLOGO!$A$2:$A$846,CATÁLOGO!$B$2:$B$846,"FORA DO CATÁLOGO")</f>
        <v>BER009J42</v>
      </c>
      <c r="C510" s="11">
        <v>3</v>
      </c>
      <c r="D510" s="11" t="str">
        <f>_xlfn.XLOOKUP(A510,CATÁLOGO!$A$2:$A$846,CATÁLOGO!$E$2:$E$846,"FORA DO CATÁLOGO")</f>
        <v>Ativo</v>
      </c>
      <c r="E510" s="9" t="s">
        <v>1303</v>
      </c>
      <c r="F510" s="52">
        <f>SUMIFS('AVARIA ESTIMADA'!$F$18:$F$40,'AVARIA ESTIMADA'!$A$18:$A$40,A510)</f>
        <v>0</v>
      </c>
    </row>
    <row r="511" spans="1:6" x14ac:dyDescent="0.3">
      <c r="A511" s="9" t="s">
        <v>1497</v>
      </c>
      <c r="B511" s="18" t="str">
        <f>_xlfn.XLOOKUP(A511,CATÁLOGO!$A$2:$A$846,CATÁLOGO!$B$2:$B$846,"FORA DO CATÁLOGO")</f>
        <v>BER009J44</v>
      </c>
      <c r="C511" s="11">
        <v>2</v>
      </c>
      <c r="D511" s="11" t="str">
        <f>_xlfn.XLOOKUP(A511,CATÁLOGO!$A$2:$A$846,CATÁLOGO!$E$2:$E$846,"FORA DO CATÁLOGO")</f>
        <v>Ativo</v>
      </c>
      <c r="E511" s="9" t="s">
        <v>1304</v>
      </c>
      <c r="F511" s="52">
        <f>SUMIFS('AVARIA ESTIMADA'!$F$18:$F$40,'AVARIA ESTIMADA'!$A$18:$A$40,A511)</f>
        <v>0</v>
      </c>
    </row>
    <row r="512" spans="1:6" x14ac:dyDescent="0.3">
      <c r="A512" s="9" t="s">
        <v>1500</v>
      </c>
      <c r="B512" s="18" t="str">
        <f>_xlfn.XLOOKUP(A512,CATÁLOGO!$A$2:$A$846,CATÁLOGO!$B$2:$B$846,"FORA DO CATÁLOGO")</f>
        <v>BER009J46</v>
      </c>
      <c r="C512" s="11">
        <v>1</v>
      </c>
      <c r="D512" s="11" t="str">
        <f>_xlfn.XLOOKUP(A512,CATÁLOGO!$A$2:$A$846,CATÁLOGO!$E$2:$E$846,"FORA DO CATÁLOGO")</f>
        <v>Ativo</v>
      </c>
      <c r="E512" s="9" t="s">
        <v>1305</v>
      </c>
      <c r="F512" s="52">
        <f>SUMIFS('AVARIA ESTIMADA'!$F$18:$F$40,'AVARIA ESTIMADA'!$A$18:$A$40,A512)</f>
        <v>0</v>
      </c>
    </row>
    <row r="513" spans="1:6" x14ac:dyDescent="0.3">
      <c r="A513" s="9" t="s">
        <v>364</v>
      </c>
      <c r="B513" s="18" t="str">
        <f>_xlfn.XLOOKUP(A513,CATÁLOGO!$A$2:$A$846,CATÁLOGO!$B$2:$B$846,"FORA DO CATÁLOGO")</f>
        <v>TOP015HP</v>
      </c>
      <c r="C513" s="11">
        <v>2</v>
      </c>
      <c r="D513" s="11" t="str">
        <f>_xlfn.XLOOKUP(A513,CATÁLOGO!$A$2:$A$846,CATÁLOGO!$E$2:$E$846,"FORA DO CATÁLOGO")</f>
        <v>Ativo</v>
      </c>
      <c r="E513" s="9" t="s">
        <v>1305</v>
      </c>
      <c r="F513" s="52">
        <f>SUMIFS('AVARIA ESTIMADA'!$F$18:$F$40,'AVARIA ESTIMADA'!$A$18:$A$40,A513)</f>
        <v>0</v>
      </c>
    </row>
    <row r="514" spans="1:6" x14ac:dyDescent="0.3">
      <c r="A514" s="9" t="s">
        <v>365</v>
      </c>
      <c r="B514" s="18" t="str">
        <f>_xlfn.XLOOKUP(A514,CATÁLOGO!$A$2:$A$846,CATÁLOGO!$B$2:$B$846,"FORA DO CATÁLOGO")</f>
        <v>TOP015HM</v>
      </c>
      <c r="C514" s="11">
        <v>4</v>
      </c>
      <c r="D514" s="11" t="str">
        <f>_xlfn.XLOOKUP(A514,CATÁLOGO!$A$2:$A$846,CATÁLOGO!$E$2:$E$846,"FORA DO CATÁLOGO")</f>
        <v>Ativo</v>
      </c>
      <c r="E514" s="9" t="s">
        <v>1305</v>
      </c>
      <c r="F514" s="52">
        <f>SUMIFS('AVARIA ESTIMADA'!$F$18:$F$40,'AVARIA ESTIMADA'!$A$18:$A$40,A514)</f>
        <v>0</v>
      </c>
    </row>
    <row r="515" spans="1:6" x14ac:dyDescent="0.3">
      <c r="A515" s="9" t="s">
        <v>366</v>
      </c>
      <c r="B515" s="18" t="str">
        <f>_xlfn.XLOOKUP(A515,CATÁLOGO!$A$2:$A$846,CATÁLOGO!$B$2:$B$846,"FORA DO CATÁLOGO")</f>
        <v>TOP015HG</v>
      </c>
      <c r="C515" s="11">
        <v>4</v>
      </c>
      <c r="D515" s="11" t="str">
        <f>_xlfn.XLOOKUP(A515,CATÁLOGO!$A$2:$A$846,CATÁLOGO!$E$2:$E$846,"FORA DO CATÁLOGO")</f>
        <v>Ativo</v>
      </c>
      <c r="E515" s="9" t="s">
        <v>1304</v>
      </c>
      <c r="F515" s="52">
        <f>SUMIFS('AVARIA ESTIMADA'!$F$18:$F$40,'AVARIA ESTIMADA'!$A$18:$A$40,A515)</f>
        <v>0</v>
      </c>
    </row>
    <row r="516" spans="1:6" x14ac:dyDescent="0.3">
      <c r="A516" s="9" t="s">
        <v>367</v>
      </c>
      <c r="B516" s="18" t="str">
        <f>_xlfn.XLOOKUP(A516,CATÁLOGO!$A$2:$A$846,CATÁLOGO!$B$2:$B$846,"FORA DO CATÁLOGO")</f>
        <v>TOP015HGG</v>
      </c>
      <c r="C516" s="11">
        <v>1</v>
      </c>
      <c r="D516" s="11" t="str">
        <f>_xlfn.XLOOKUP(A516,CATÁLOGO!$A$2:$A$846,CATÁLOGO!$E$2:$E$846,"FORA DO CATÁLOGO")</f>
        <v>Ativo</v>
      </c>
      <c r="E516" s="9" t="s">
        <v>1305</v>
      </c>
      <c r="F516" s="52">
        <f>SUMIFS('AVARIA ESTIMADA'!$F$18:$F$40,'AVARIA ESTIMADA'!$A$18:$A$40,A516)</f>
        <v>0</v>
      </c>
    </row>
    <row r="517" spans="1:6" x14ac:dyDescent="0.3">
      <c r="A517" s="9" t="s">
        <v>1790</v>
      </c>
      <c r="B517" s="18" t="str">
        <f>_xlfn.XLOOKUP(A517,CATÁLOGO!$A$2:$A$846,CATÁLOGO!$B$2:$B$846,"FORA DO CATÁLOGO")</f>
        <v>CMS012VPP</v>
      </c>
      <c r="C517" s="11">
        <v>1</v>
      </c>
      <c r="D517" s="11" t="str">
        <f>_xlfn.XLOOKUP(A517,CATÁLOGO!$A$2:$A$846,CATÁLOGO!$E$2:$E$846,"FORA DO CATÁLOGO")</f>
        <v>Ativo</v>
      </c>
      <c r="E517" s="9" t="s">
        <v>1304</v>
      </c>
      <c r="F517" s="52">
        <f>SUMIFS('AVARIA ESTIMADA'!$F$18:$F$40,'AVARIA ESTIMADA'!$A$18:$A$40,A517)</f>
        <v>0</v>
      </c>
    </row>
    <row r="518" spans="1:6" x14ac:dyDescent="0.3">
      <c r="A518" s="9" t="s">
        <v>368</v>
      </c>
      <c r="B518" s="18" t="str">
        <f>_xlfn.XLOOKUP(A518,CATÁLOGO!$A$2:$A$846,CATÁLOGO!$B$2:$B$846,"FORA DO CATÁLOGO")</f>
        <v>CMS012VP</v>
      </c>
      <c r="C518" s="11">
        <v>3</v>
      </c>
      <c r="D518" s="11" t="str">
        <f>_xlfn.XLOOKUP(A518,CATÁLOGO!$A$2:$A$846,CATÁLOGO!$E$2:$E$846,"FORA DO CATÁLOGO")</f>
        <v>Ativo</v>
      </c>
      <c r="E518" s="9" t="s">
        <v>1303</v>
      </c>
      <c r="F518" s="52">
        <f>SUMIFS('AVARIA ESTIMADA'!$F$18:$F$40,'AVARIA ESTIMADA'!$A$18:$A$40,A518)</f>
        <v>0</v>
      </c>
    </row>
    <row r="519" spans="1:6" x14ac:dyDescent="0.3">
      <c r="A519" s="9" t="s">
        <v>369</v>
      </c>
      <c r="B519" s="18" t="str">
        <f>_xlfn.XLOOKUP(A519,CATÁLOGO!$A$2:$A$846,CATÁLOGO!$B$2:$B$846,"FORA DO CATÁLOGO")</f>
        <v>CMS012VM</v>
      </c>
      <c r="C519" s="11">
        <v>4</v>
      </c>
      <c r="D519" s="11" t="str">
        <f>_xlfn.XLOOKUP(A519,CATÁLOGO!$A$2:$A$846,CATÁLOGO!$E$2:$E$846,"FORA DO CATÁLOGO")</f>
        <v>Ativo</v>
      </c>
      <c r="E519" s="9" t="s">
        <v>1303</v>
      </c>
      <c r="F519" s="52">
        <f>SUMIFS('AVARIA ESTIMADA'!$F$18:$F$40,'AVARIA ESTIMADA'!$A$18:$A$40,A519)</f>
        <v>0</v>
      </c>
    </row>
    <row r="520" spans="1:6" x14ac:dyDescent="0.3">
      <c r="A520" s="9" t="s">
        <v>370</v>
      </c>
      <c r="B520" s="18" t="str">
        <f>_xlfn.XLOOKUP(A520,CATÁLOGO!$A$2:$A$846,CATÁLOGO!$B$2:$B$846,"FORA DO CATÁLOGO")</f>
        <v>CMS012VG</v>
      </c>
      <c r="C520" s="11">
        <v>3</v>
      </c>
      <c r="D520" s="11" t="str">
        <f>_xlfn.XLOOKUP(A520,CATÁLOGO!$A$2:$A$846,CATÁLOGO!$E$2:$E$846,"FORA DO CATÁLOGO")</f>
        <v>Ativo</v>
      </c>
      <c r="E520" s="9" t="s">
        <v>1305</v>
      </c>
      <c r="F520" s="52">
        <f>SUMIFS('AVARIA ESTIMADA'!$F$18:$F$40,'AVARIA ESTIMADA'!$A$18:$A$40,A520)</f>
        <v>0</v>
      </c>
    </row>
    <row r="521" spans="1:6" x14ac:dyDescent="0.3">
      <c r="A521" s="9" t="s">
        <v>371</v>
      </c>
      <c r="B521" s="18" t="str">
        <f>_xlfn.XLOOKUP(A521,CATÁLOGO!$A$2:$A$846,CATÁLOGO!$B$2:$B$846,"FORA DO CATÁLOGO")</f>
        <v>CMS012VGG</v>
      </c>
      <c r="C521" s="11">
        <v>2</v>
      </c>
      <c r="D521" s="11" t="str">
        <f>_xlfn.XLOOKUP(A521,CATÁLOGO!$A$2:$A$846,CATÁLOGO!$E$2:$E$846,"FORA DO CATÁLOGO")</f>
        <v>Ativo</v>
      </c>
      <c r="E521" s="9" t="s">
        <v>1304</v>
      </c>
      <c r="F521" s="52">
        <f>SUMIFS('AVARIA ESTIMADA'!$F$18:$F$40,'AVARIA ESTIMADA'!$A$18:$A$40,A521)</f>
        <v>0</v>
      </c>
    </row>
    <row r="522" spans="1:6" x14ac:dyDescent="0.3">
      <c r="A522" s="9" t="s">
        <v>1789</v>
      </c>
      <c r="B522" s="18" t="str">
        <f>_xlfn.XLOOKUP(A522,CATÁLOGO!$A$2:$A$846,CATÁLOGO!$B$2:$B$846,"FORA DO CATÁLOGO")</f>
        <v>CMS012YPP</v>
      </c>
      <c r="C522" s="11">
        <v>1</v>
      </c>
      <c r="D522" s="11" t="str">
        <f>_xlfn.XLOOKUP(A522,CATÁLOGO!$A$2:$A$846,CATÁLOGO!$E$2:$E$846,"FORA DO CATÁLOGO")</f>
        <v>Ativo</v>
      </c>
      <c r="E522" s="9" t="s">
        <v>1303</v>
      </c>
      <c r="F522" s="52">
        <f>SUMIFS('AVARIA ESTIMADA'!$F$18:$F$40,'AVARIA ESTIMADA'!$A$18:$A$40,A522)</f>
        <v>0</v>
      </c>
    </row>
    <row r="523" spans="1:6" x14ac:dyDescent="0.3">
      <c r="A523" s="9" t="s">
        <v>372</v>
      </c>
      <c r="B523" s="18" t="str">
        <f>_xlfn.XLOOKUP(A523,CATÁLOGO!$A$2:$A$846,CATÁLOGO!$B$2:$B$846,"FORA DO CATÁLOGO")</f>
        <v>CMS012YP</v>
      </c>
      <c r="C523" s="11">
        <v>2</v>
      </c>
      <c r="D523" s="11" t="str">
        <f>_xlfn.XLOOKUP(A523,CATÁLOGO!$A$2:$A$846,CATÁLOGO!$E$2:$E$846,"FORA DO CATÁLOGO")</f>
        <v>Ativo</v>
      </c>
      <c r="E523" s="9" t="s">
        <v>1304</v>
      </c>
      <c r="F523" s="52">
        <f>SUMIFS('AVARIA ESTIMADA'!$F$18:$F$40,'AVARIA ESTIMADA'!$A$18:$A$40,A523)</f>
        <v>0</v>
      </c>
    </row>
    <row r="524" spans="1:6" x14ac:dyDescent="0.3">
      <c r="A524" s="9" t="s">
        <v>373</v>
      </c>
      <c r="B524" s="18" t="str">
        <f>_xlfn.XLOOKUP(A524,CATÁLOGO!$A$2:$A$846,CATÁLOGO!$B$2:$B$846,"FORA DO CATÁLOGO")</f>
        <v>CMS012YM</v>
      </c>
      <c r="C524" s="11">
        <v>2</v>
      </c>
      <c r="D524" s="11" t="str">
        <f>_xlfn.XLOOKUP(A524,CATÁLOGO!$A$2:$A$846,CATÁLOGO!$E$2:$E$846,"FORA DO CATÁLOGO")</f>
        <v>Ativo</v>
      </c>
      <c r="E524" s="9" t="s">
        <v>1305</v>
      </c>
      <c r="F524" s="52">
        <f>SUMIFS('AVARIA ESTIMADA'!$F$18:$F$40,'AVARIA ESTIMADA'!$A$18:$A$40,A524)</f>
        <v>0</v>
      </c>
    </row>
    <row r="525" spans="1:6" x14ac:dyDescent="0.3">
      <c r="A525" s="9" t="s">
        <v>374</v>
      </c>
      <c r="B525" s="18" t="str">
        <f>_xlfn.XLOOKUP(A525,CATÁLOGO!$A$2:$A$846,CATÁLOGO!$B$2:$B$846,"FORA DO CATÁLOGO")</f>
        <v>CMS012YG</v>
      </c>
      <c r="C525" s="11">
        <v>2</v>
      </c>
      <c r="D525" s="11" t="str">
        <f>_xlfn.XLOOKUP(A525,CATÁLOGO!$A$2:$A$846,CATÁLOGO!$E$2:$E$846,"FORA DO CATÁLOGO")</f>
        <v>Ativo</v>
      </c>
      <c r="E525" s="9" t="s">
        <v>1305</v>
      </c>
      <c r="F525" s="52">
        <f>SUMIFS('AVARIA ESTIMADA'!$F$18:$F$40,'AVARIA ESTIMADA'!$A$18:$A$40,A525)</f>
        <v>0</v>
      </c>
    </row>
    <row r="526" spans="1:6" x14ac:dyDescent="0.3">
      <c r="A526" s="9" t="s">
        <v>375</v>
      </c>
      <c r="B526" s="18" t="str">
        <f>_xlfn.XLOOKUP(A526,CATÁLOGO!$A$2:$A$846,CATÁLOGO!$B$2:$B$846,"FORA DO CATÁLOGO")</f>
        <v>CMS012YGG</v>
      </c>
      <c r="C526" s="11">
        <v>1</v>
      </c>
      <c r="D526" s="11" t="str">
        <f>_xlfn.XLOOKUP(A526,CATÁLOGO!$A$2:$A$846,CATÁLOGO!$E$2:$E$846,"FORA DO CATÁLOGO")</f>
        <v>Ativo</v>
      </c>
      <c r="E526" s="9" t="s">
        <v>1303</v>
      </c>
      <c r="F526" s="52">
        <f>SUMIFS('AVARIA ESTIMADA'!$F$18:$F$40,'AVARIA ESTIMADA'!$A$18:$A$40,A526)</f>
        <v>0</v>
      </c>
    </row>
    <row r="527" spans="1:6" x14ac:dyDescent="0.3">
      <c r="A527" s="9" t="s">
        <v>1685</v>
      </c>
      <c r="B527" s="18" t="str">
        <f>_xlfn.XLOOKUP(A527,CATÁLOGO!$A$2:$A$846,CATÁLOGO!$B$2:$B$846,"FORA DO CATÁLOGO")</f>
        <v>CAL024A38</v>
      </c>
      <c r="C527" s="11">
        <v>6</v>
      </c>
      <c r="D527" s="11" t="str">
        <f>_xlfn.XLOOKUP(A527,CATÁLOGO!$A$2:$A$846,CATÁLOGO!$E$2:$E$846,"FORA DO CATÁLOGO")</f>
        <v>Ativo</v>
      </c>
      <c r="E527" s="9" t="s">
        <v>1305</v>
      </c>
      <c r="F527" s="52">
        <f>SUMIFS('AVARIA ESTIMADA'!$F$18:$F$40,'AVARIA ESTIMADA'!$A$18:$A$40,A527)</f>
        <v>5</v>
      </c>
    </row>
    <row r="528" spans="1:6" x14ac:dyDescent="0.3">
      <c r="A528" s="9" t="s">
        <v>1684</v>
      </c>
      <c r="B528" s="18" t="str">
        <f>_xlfn.XLOOKUP(A528,CATÁLOGO!$A$2:$A$846,CATÁLOGO!$B$2:$B$846,"FORA DO CATÁLOGO")</f>
        <v>CAL024A40</v>
      </c>
      <c r="C528" s="11">
        <v>6</v>
      </c>
      <c r="D528" s="11" t="str">
        <f>_xlfn.XLOOKUP(A528,CATÁLOGO!$A$2:$A$846,CATÁLOGO!$E$2:$E$846,"FORA DO CATÁLOGO")</f>
        <v>Ativo</v>
      </c>
      <c r="E528" s="9" t="s">
        <v>1303</v>
      </c>
      <c r="F528" s="52">
        <f>SUMIFS('AVARIA ESTIMADA'!$F$18:$F$40,'AVARIA ESTIMADA'!$A$18:$A$40,A528)</f>
        <v>0</v>
      </c>
    </row>
    <row r="529" spans="1:6" x14ac:dyDescent="0.3">
      <c r="A529" s="9" t="s">
        <v>1681</v>
      </c>
      <c r="B529" s="18" t="str">
        <f>_xlfn.XLOOKUP(A529,CATÁLOGO!$A$2:$A$846,CATÁLOGO!$B$2:$B$846,"FORA DO CATÁLOGO")</f>
        <v>CAL024A42</v>
      </c>
      <c r="C529" s="11">
        <v>6</v>
      </c>
      <c r="D529" s="11" t="str">
        <f>_xlfn.XLOOKUP(A529,CATÁLOGO!$A$2:$A$846,CATÁLOGO!$E$2:$E$846,"FORA DO CATÁLOGO")</f>
        <v>Ativo</v>
      </c>
      <c r="E529" s="9" t="s">
        <v>1304</v>
      </c>
      <c r="F529" s="52">
        <f>SUMIFS('AVARIA ESTIMADA'!$F$18:$F$40,'AVARIA ESTIMADA'!$A$18:$A$40,A529)</f>
        <v>0</v>
      </c>
    </row>
    <row r="530" spans="1:6" x14ac:dyDescent="0.3">
      <c r="A530" s="9" t="s">
        <v>1683</v>
      </c>
      <c r="B530" s="18" t="str">
        <f>_xlfn.XLOOKUP(A530,CATÁLOGO!$A$2:$A$846,CATÁLOGO!$B$2:$B$846,"FORA DO CATÁLOGO")</f>
        <v>CAL024A44</v>
      </c>
      <c r="C530" s="11">
        <v>4</v>
      </c>
      <c r="D530" s="11" t="str">
        <f>_xlfn.XLOOKUP(A530,CATÁLOGO!$A$2:$A$846,CATÁLOGO!$E$2:$E$846,"FORA DO CATÁLOGO")</f>
        <v>Ativo</v>
      </c>
      <c r="E530" s="9" t="s">
        <v>1305</v>
      </c>
      <c r="F530" s="52">
        <f>SUMIFS('AVARIA ESTIMADA'!$F$18:$F$40,'AVARIA ESTIMADA'!$A$18:$A$40,A530)</f>
        <v>0</v>
      </c>
    </row>
    <row r="531" spans="1:6" x14ac:dyDescent="0.3">
      <c r="A531" s="9" t="s">
        <v>376</v>
      </c>
      <c r="B531" s="18" t="str">
        <f>_xlfn.XLOOKUP(A531,CATÁLOGO!$A$2:$A$846,CATÁLOGO!$B$2:$B$846,"FORA DO CATÁLOGO")</f>
        <v>TRI012CP</v>
      </c>
      <c r="C531" s="11">
        <v>2</v>
      </c>
      <c r="D531" s="11" t="str">
        <f>_xlfn.XLOOKUP(A531,CATÁLOGO!$A$2:$A$846,CATÁLOGO!$E$2:$E$846,"FORA DO CATÁLOGO")</f>
        <v>Ativo</v>
      </c>
      <c r="E531" s="9" t="s">
        <v>1303</v>
      </c>
      <c r="F531" s="52">
        <f>SUMIFS('AVARIA ESTIMADA'!$F$18:$F$40,'AVARIA ESTIMADA'!$A$18:$A$40,A531)</f>
        <v>0</v>
      </c>
    </row>
    <row r="532" spans="1:6" x14ac:dyDescent="0.3">
      <c r="A532" s="9" t="s">
        <v>377</v>
      </c>
      <c r="B532" s="18" t="str">
        <f>_xlfn.XLOOKUP(A532,CATÁLOGO!$A$2:$A$846,CATÁLOGO!$B$2:$B$846,"FORA DO CATÁLOGO")</f>
        <v>TRI012CM</v>
      </c>
      <c r="C532" s="11">
        <v>2</v>
      </c>
      <c r="D532" s="11" t="str">
        <f>_xlfn.XLOOKUP(A532,CATÁLOGO!$A$2:$A$846,CATÁLOGO!$E$2:$E$846,"FORA DO CATÁLOGO")</f>
        <v>Ativo</v>
      </c>
      <c r="E532" s="9" t="s">
        <v>1305</v>
      </c>
      <c r="F532" s="52">
        <f>SUMIFS('AVARIA ESTIMADA'!$F$18:$F$40,'AVARIA ESTIMADA'!$A$18:$A$40,A532)</f>
        <v>0</v>
      </c>
    </row>
    <row r="533" spans="1:6" x14ac:dyDescent="0.3">
      <c r="A533" s="9" t="s">
        <v>378</v>
      </c>
      <c r="B533" s="18" t="str">
        <f>_xlfn.XLOOKUP(A533,CATÁLOGO!$A$2:$A$846,CATÁLOGO!$B$2:$B$846,"FORA DO CATÁLOGO")</f>
        <v>TRI012CG</v>
      </c>
      <c r="C533" s="11">
        <v>2</v>
      </c>
      <c r="D533" s="11" t="str">
        <f>_xlfn.XLOOKUP(A533,CATÁLOGO!$A$2:$A$846,CATÁLOGO!$E$2:$E$846,"FORA DO CATÁLOGO")</f>
        <v>Ativo</v>
      </c>
      <c r="E533" s="9" t="s">
        <v>1305</v>
      </c>
      <c r="F533" s="52">
        <f>SUMIFS('AVARIA ESTIMADA'!$F$18:$F$40,'AVARIA ESTIMADA'!$A$18:$A$40,A533)</f>
        <v>0</v>
      </c>
    </row>
    <row r="534" spans="1:6" x14ac:dyDescent="0.3">
      <c r="A534" s="9" t="s">
        <v>379</v>
      </c>
      <c r="B534" s="18" t="str">
        <f>_xlfn.XLOOKUP(A534,CATÁLOGO!$A$2:$A$846,CATÁLOGO!$B$2:$B$846,"FORA DO CATÁLOGO")</f>
        <v>TRI012CGG</v>
      </c>
      <c r="C534" s="11">
        <v>1</v>
      </c>
      <c r="D534" s="11" t="str">
        <f>_xlfn.XLOOKUP(A534,CATÁLOGO!$A$2:$A$846,CATÁLOGO!$E$2:$E$846,"FORA DO CATÁLOGO")</f>
        <v>Ativo</v>
      </c>
      <c r="E534" s="9" t="s">
        <v>1305</v>
      </c>
      <c r="F534" s="52">
        <f>SUMIFS('AVARIA ESTIMADA'!$F$18:$F$40,'AVARIA ESTIMADA'!$A$18:$A$40,A534)</f>
        <v>0</v>
      </c>
    </row>
    <row r="535" spans="1:6" x14ac:dyDescent="0.3">
      <c r="A535" s="9" t="s">
        <v>380</v>
      </c>
      <c r="B535" s="18" t="str">
        <f>_xlfn.XLOOKUP(A535,CATÁLOGO!$A$2:$A$846,CATÁLOGO!$B$2:$B$846,"FORA DO CATÁLOGO")</f>
        <v>CMS013BP</v>
      </c>
      <c r="C535" s="11">
        <v>2</v>
      </c>
      <c r="D535" s="11" t="str">
        <f>_xlfn.XLOOKUP(A535,CATÁLOGO!$A$2:$A$846,CATÁLOGO!$E$2:$E$846,"FORA DO CATÁLOGO")</f>
        <v>Ativo</v>
      </c>
      <c r="E535" s="9" t="s">
        <v>1304</v>
      </c>
      <c r="F535" s="52">
        <f>SUMIFS('AVARIA ESTIMADA'!$F$18:$F$40,'AVARIA ESTIMADA'!$A$18:$A$40,A535)</f>
        <v>0</v>
      </c>
    </row>
    <row r="536" spans="1:6" x14ac:dyDescent="0.3">
      <c r="A536" s="9" t="s">
        <v>381</v>
      </c>
      <c r="B536" s="18" t="str">
        <f>_xlfn.XLOOKUP(A536,CATÁLOGO!$A$2:$A$846,CATÁLOGO!$B$2:$B$846,"FORA DO CATÁLOGO")</f>
        <v>CMS013BM</v>
      </c>
      <c r="C536" s="11">
        <v>3</v>
      </c>
      <c r="D536" s="11" t="str">
        <f>_xlfn.XLOOKUP(A536,CATÁLOGO!$A$2:$A$846,CATÁLOGO!$E$2:$E$846,"FORA DO CATÁLOGO")</f>
        <v>Ativo</v>
      </c>
      <c r="E536" s="9" t="s">
        <v>1305</v>
      </c>
      <c r="F536" s="52">
        <f>SUMIFS('AVARIA ESTIMADA'!$F$18:$F$40,'AVARIA ESTIMADA'!$A$18:$A$40,A536)</f>
        <v>0</v>
      </c>
    </row>
    <row r="537" spans="1:6" x14ac:dyDescent="0.3">
      <c r="A537" s="9" t="s">
        <v>382</v>
      </c>
      <c r="B537" s="18" t="str">
        <f>_xlfn.XLOOKUP(A537,CATÁLOGO!$A$2:$A$846,CATÁLOGO!$B$2:$B$846,"FORA DO CATÁLOGO")</f>
        <v>CMS013BG</v>
      </c>
      <c r="C537" s="11">
        <v>3</v>
      </c>
      <c r="D537" s="11" t="str">
        <f>_xlfn.XLOOKUP(A537,CATÁLOGO!$A$2:$A$846,CATÁLOGO!$E$2:$E$846,"FORA DO CATÁLOGO")</f>
        <v>Ativo</v>
      </c>
      <c r="E537" s="9" t="s">
        <v>1305</v>
      </c>
      <c r="F537" s="52">
        <f>SUMIFS('AVARIA ESTIMADA'!$F$18:$F$40,'AVARIA ESTIMADA'!$A$18:$A$40,A537)</f>
        <v>0</v>
      </c>
    </row>
    <row r="538" spans="1:6" x14ac:dyDescent="0.3">
      <c r="A538" s="9" t="s">
        <v>1874</v>
      </c>
      <c r="B538" s="18" t="str">
        <f>_xlfn.XLOOKUP(A538,CATÁLOGO!$A$2:$A$846,CATÁLOGO!$B$2:$B$846,"FORA DO CATÁLOGO")</f>
        <v>TOP001YPP</v>
      </c>
      <c r="C538" s="11">
        <v>2</v>
      </c>
      <c r="D538" s="11" t="str">
        <f>_xlfn.XLOOKUP(A538,CATÁLOGO!$A$2:$A$846,CATÁLOGO!$E$2:$E$846,"FORA DO CATÁLOGO")</f>
        <v>Ativo</v>
      </c>
      <c r="E538" s="9" t="s">
        <v>1305</v>
      </c>
      <c r="F538" s="52">
        <f>SUMIFS('AVARIA ESTIMADA'!$F$18:$F$40,'AVARIA ESTIMADA'!$A$18:$A$40,A538)</f>
        <v>0</v>
      </c>
    </row>
    <row r="539" spans="1:6" x14ac:dyDescent="0.3">
      <c r="A539" s="9" t="s">
        <v>383</v>
      </c>
      <c r="B539" s="18" t="str">
        <f>_xlfn.XLOOKUP(A539,CATÁLOGO!$A$2:$A$846,CATÁLOGO!$B$2:$B$846,"FORA DO CATÁLOGO")</f>
        <v>TOP001YP</v>
      </c>
      <c r="C539" s="11">
        <v>6</v>
      </c>
      <c r="D539" s="11" t="str">
        <f>_xlfn.XLOOKUP(A539,CATÁLOGO!$A$2:$A$846,CATÁLOGO!$E$2:$E$846,"FORA DO CATÁLOGO")</f>
        <v>Ativo</v>
      </c>
      <c r="E539" s="9" t="s">
        <v>1304</v>
      </c>
      <c r="F539" s="52">
        <f>SUMIFS('AVARIA ESTIMADA'!$F$18:$F$40,'AVARIA ESTIMADA'!$A$18:$A$40,A539)</f>
        <v>0</v>
      </c>
    </row>
    <row r="540" spans="1:6" x14ac:dyDescent="0.3">
      <c r="A540" s="9" t="s">
        <v>384</v>
      </c>
      <c r="B540" s="18" t="str">
        <f>_xlfn.XLOOKUP(A540,CATÁLOGO!$A$2:$A$846,CATÁLOGO!$B$2:$B$846,"FORA DO CATÁLOGO")</f>
        <v>TOP001YM</v>
      </c>
      <c r="C540" s="11">
        <v>6</v>
      </c>
      <c r="D540" s="11" t="str">
        <f>_xlfn.XLOOKUP(A540,CATÁLOGO!$A$2:$A$846,CATÁLOGO!$E$2:$E$846,"FORA DO CATÁLOGO")</f>
        <v>Ativo</v>
      </c>
      <c r="E540" s="9" t="s">
        <v>1305</v>
      </c>
      <c r="F540" s="52">
        <f>SUMIFS('AVARIA ESTIMADA'!$F$18:$F$40,'AVARIA ESTIMADA'!$A$18:$A$40,A540)</f>
        <v>0</v>
      </c>
    </row>
    <row r="541" spans="1:6" x14ac:dyDescent="0.3">
      <c r="A541" s="9" t="s">
        <v>385</v>
      </c>
      <c r="B541" s="18" t="str">
        <f>_xlfn.XLOOKUP(A541,CATÁLOGO!$A$2:$A$846,CATÁLOGO!$B$2:$B$846,"FORA DO CATÁLOGO")</f>
        <v>TOP001YG</v>
      </c>
      <c r="C541" s="11">
        <v>6</v>
      </c>
      <c r="D541" s="11" t="str">
        <f>_xlfn.XLOOKUP(A541,CATÁLOGO!$A$2:$A$846,CATÁLOGO!$E$2:$E$846,"FORA DO CATÁLOGO")</f>
        <v>Ativo</v>
      </c>
      <c r="E541" s="9" t="s">
        <v>1303</v>
      </c>
      <c r="F541" s="52">
        <f>SUMIFS('AVARIA ESTIMADA'!$F$18:$F$40,'AVARIA ESTIMADA'!$A$18:$A$40,A541)</f>
        <v>5</v>
      </c>
    </row>
    <row r="542" spans="1:6" x14ac:dyDescent="0.3">
      <c r="A542" s="9" t="s">
        <v>386</v>
      </c>
      <c r="B542" s="18" t="str">
        <f>_xlfn.XLOOKUP(A542,CATÁLOGO!$A$2:$A$846,CATÁLOGO!$B$2:$B$846,"FORA DO CATÁLOGO")</f>
        <v>TOP001YGG</v>
      </c>
      <c r="C542" s="11">
        <v>1</v>
      </c>
      <c r="D542" s="11" t="str">
        <f>_xlfn.XLOOKUP(A542,CATÁLOGO!$A$2:$A$846,CATÁLOGO!$E$2:$E$846,"FORA DO CATÁLOGO")</f>
        <v>Ativo</v>
      </c>
      <c r="E542" s="9" t="s">
        <v>1305</v>
      </c>
      <c r="F542" s="52">
        <f>SUMIFS('AVARIA ESTIMADA'!$F$18:$F$40,'AVARIA ESTIMADA'!$A$18:$A$40,A542)</f>
        <v>0</v>
      </c>
    </row>
    <row r="543" spans="1:6" x14ac:dyDescent="0.3">
      <c r="A543" s="9" t="s">
        <v>9</v>
      </c>
      <c r="B543" s="18" t="str">
        <f>_xlfn.XLOOKUP(A543,CATÁLOGO!$A$2:$A$846,CATÁLOGO!$B$2:$B$846,"FORA DO CATÁLOGO")</f>
        <v>JAQ002MP</v>
      </c>
      <c r="C543" s="11">
        <v>4</v>
      </c>
      <c r="D543" s="11" t="str">
        <f>_xlfn.XLOOKUP(A543,CATÁLOGO!$A$2:$A$846,CATÁLOGO!$E$2:$E$846,"FORA DO CATÁLOGO")</f>
        <v>Descontinuado</v>
      </c>
      <c r="E543" s="9" t="s">
        <v>1303</v>
      </c>
      <c r="F543" s="52">
        <f>SUMIFS('AVARIA ESTIMADA'!$F$18:$F$40,'AVARIA ESTIMADA'!$A$18:$A$40,A543)</f>
        <v>0</v>
      </c>
    </row>
    <row r="544" spans="1:6" x14ac:dyDescent="0.3">
      <c r="A544" s="9" t="s">
        <v>387</v>
      </c>
      <c r="B544" s="18" t="str">
        <f>_xlfn.XLOOKUP(A544,CATÁLOGO!$A$2:$A$846,CATÁLOGO!$B$2:$B$846,"FORA DO CATÁLOGO")</f>
        <v>JAQ002MM</v>
      </c>
      <c r="C544" s="11">
        <v>5</v>
      </c>
      <c r="D544" s="11" t="str">
        <f>_xlfn.XLOOKUP(A544,CATÁLOGO!$A$2:$A$846,CATÁLOGO!$E$2:$E$846,"FORA DO CATÁLOGO")</f>
        <v>Descontinuado</v>
      </c>
      <c r="E544" s="9" t="s">
        <v>1303</v>
      </c>
      <c r="F544" s="52">
        <f>SUMIFS('AVARIA ESTIMADA'!$F$18:$F$40,'AVARIA ESTIMADA'!$A$18:$A$40,A544)</f>
        <v>0</v>
      </c>
    </row>
    <row r="545" spans="1:6" x14ac:dyDescent="0.3">
      <c r="A545" s="9" t="s">
        <v>388</v>
      </c>
      <c r="B545" s="18" t="str">
        <f>_xlfn.XLOOKUP(A545,CATÁLOGO!$A$2:$A$846,CATÁLOGO!$B$2:$B$846,"FORA DO CATÁLOGO")</f>
        <v>JAQ002MG</v>
      </c>
      <c r="C545" s="11">
        <v>4</v>
      </c>
      <c r="D545" s="11" t="str">
        <f>_xlfn.XLOOKUP(A545,CATÁLOGO!$A$2:$A$846,CATÁLOGO!$E$2:$E$846,"FORA DO CATÁLOGO")</f>
        <v>Descontinuado</v>
      </c>
      <c r="E545" s="9" t="s">
        <v>1303</v>
      </c>
      <c r="F545" s="52">
        <f>SUMIFS('AVARIA ESTIMADA'!$F$18:$F$40,'AVARIA ESTIMADA'!$A$18:$A$40,A545)</f>
        <v>0</v>
      </c>
    </row>
    <row r="546" spans="1:6" x14ac:dyDescent="0.3">
      <c r="A546" s="9" t="s">
        <v>10</v>
      </c>
      <c r="B546" s="18" t="str">
        <f>_xlfn.XLOOKUP(A546,CATÁLOGO!$A$2:$A$846,CATÁLOGO!$B$2:$B$846,"FORA DO CATÁLOGO")</f>
        <v>JAQ002MGG</v>
      </c>
      <c r="C546" s="11">
        <v>4</v>
      </c>
      <c r="D546" s="11" t="str">
        <f>_xlfn.XLOOKUP(A546,CATÁLOGO!$A$2:$A$846,CATÁLOGO!$E$2:$E$846,"FORA DO CATÁLOGO")</f>
        <v>Descontinuado</v>
      </c>
      <c r="E546" s="9" t="s">
        <v>1305</v>
      </c>
      <c r="F546" s="52">
        <f>SUMIFS('AVARIA ESTIMADA'!$F$18:$F$40,'AVARIA ESTIMADA'!$A$18:$A$40,A546)</f>
        <v>0</v>
      </c>
    </row>
    <row r="547" spans="1:6" x14ac:dyDescent="0.3">
      <c r="A547" s="9" t="s">
        <v>389</v>
      </c>
      <c r="B547" s="18" t="str">
        <f>_xlfn.XLOOKUP(A547,CATÁLOGO!$A$2:$A$846,CATÁLOGO!$B$2:$B$846,"FORA DO CATÁLOGO")</f>
        <v>CAM019VP</v>
      </c>
      <c r="C547" s="11">
        <v>3</v>
      </c>
      <c r="D547" s="11" t="str">
        <f>_xlfn.XLOOKUP(A547,CATÁLOGO!$A$2:$A$846,CATÁLOGO!$E$2:$E$846,"FORA DO CATÁLOGO")</f>
        <v>Ativo</v>
      </c>
      <c r="E547" s="9" t="s">
        <v>1305</v>
      </c>
      <c r="F547" s="52">
        <f>SUMIFS('AVARIA ESTIMADA'!$F$18:$F$40,'AVARIA ESTIMADA'!$A$18:$A$40,A547)</f>
        <v>0</v>
      </c>
    </row>
    <row r="548" spans="1:6" x14ac:dyDescent="0.3">
      <c r="A548" s="9" t="s">
        <v>390</v>
      </c>
      <c r="B548" s="18" t="str">
        <f>_xlfn.XLOOKUP(A548,CATÁLOGO!$A$2:$A$846,CATÁLOGO!$B$2:$B$846,"FORA DO CATÁLOGO")</f>
        <v>CAM019VM</v>
      </c>
      <c r="C548" s="11">
        <v>5</v>
      </c>
      <c r="D548" s="11" t="str">
        <f>_xlfn.XLOOKUP(A548,CATÁLOGO!$A$2:$A$846,CATÁLOGO!$E$2:$E$846,"FORA DO CATÁLOGO")</f>
        <v>Ativo</v>
      </c>
      <c r="E548" s="9" t="s">
        <v>1303</v>
      </c>
      <c r="F548" s="52">
        <f>SUMIFS('AVARIA ESTIMADA'!$F$18:$F$40,'AVARIA ESTIMADA'!$A$18:$A$40,A548)</f>
        <v>0</v>
      </c>
    </row>
    <row r="549" spans="1:6" x14ac:dyDescent="0.3">
      <c r="A549" s="9" t="s">
        <v>391</v>
      </c>
      <c r="B549" s="18" t="str">
        <f>_xlfn.XLOOKUP(A549,CATÁLOGO!$A$2:$A$846,CATÁLOGO!$B$2:$B$846,"FORA DO CATÁLOGO")</f>
        <v>CAM019VG</v>
      </c>
      <c r="C549" s="11">
        <v>4</v>
      </c>
      <c r="D549" s="11" t="str">
        <f>_xlfn.XLOOKUP(A549,CATÁLOGO!$A$2:$A$846,CATÁLOGO!$E$2:$E$846,"FORA DO CATÁLOGO")</f>
        <v>Ativo</v>
      </c>
      <c r="E549" s="9" t="s">
        <v>1332</v>
      </c>
      <c r="F549" s="52">
        <f>SUMIFS('AVARIA ESTIMADA'!$F$18:$F$40,'AVARIA ESTIMADA'!$A$18:$A$40,A549)</f>
        <v>0</v>
      </c>
    </row>
    <row r="550" spans="1:6" x14ac:dyDescent="0.3">
      <c r="A550" s="9" t="s">
        <v>392</v>
      </c>
      <c r="B550" s="18" t="str">
        <f>_xlfn.XLOOKUP(A550,CATÁLOGO!$A$2:$A$846,CATÁLOGO!$B$2:$B$846,"FORA DO CATÁLOGO")</f>
        <v>CAM019VGG</v>
      </c>
      <c r="C550" s="11">
        <v>2</v>
      </c>
      <c r="D550" s="11" t="str">
        <f>_xlfn.XLOOKUP(A550,CATÁLOGO!$A$2:$A$846,CATÁLOGO!$E$2:$E$846,"FORA DO CATÁLOGO")</f>
        <v>Ativo</v>
      </c>
      <c r="E550" s="9" t="s">
        <v>1305</v>
      </c>
      <c r="F550" s="52">
        <f>SUMIFS('AVARIA ESTIMADA'!$F$18:$F$40,'AVARIA ESTIMADA'!$A$18:$A$40,A550)</f>
        <v>0</v>
      </c>
    </row>
    <row r="551" spans="1:6" x14ac:dyDescent="0.3">
      <c r="A551" s="9" t="s">
        <v>1804</v>
      </c>
      <c r="B551" s="18" t="str">
        <f>_xlfn.XLOOKUP(A551,CATÁLOGO!$A$2:$A$846,CATÁLOGO!$B$2:$B$846,"FORA DO CATÁLOGO")</f>
        <v>JAQ007OPP</v>
      </c>
      <c r="C551" s="11">
        <v>1</v>
      </c>
      <c r="D551" s="11" t="str">
        <f>_xlfn.XLOOKUP(A551,CATÁLOGO!$A$2:$A$846,CATÁLOGO!$E$2:$E$846,"FORA DO CATÁLOGO")</f>
        <v>Ativo</v>
      </c>
      <c r="E551" s="9" t="s">
        <v>1303</v>
      </c>
      <c r="F551" s="52">
        <f>SUMIFS('AVARIA ESTIMADA'!$F$18:$F$40,'AVARIA ESTIMADA'!$A$18:$A$40,A551)</f>
        <v>0</v>
      </c>
    </row>
    <row r="552" spans="1:6" x14ac:dyDescent="0.3">
      <c r="A552" s="9" t="s">
        <v>393</v>
      </c>
      <c r="B552" s="18" t="str">
        <f>_xlfn.XLOOKUP(A552,CATÁLOGO!$A$2:$A$846,CATÁLOGO!$B$2:$B$846,"FORA DO CATÁLOGO")</f>
        <v>JAQ007OP</v>
      </c>
      <c r="C552" s="11">
        <v>3</v>
      </c>
      <c r="D552" s="11" t="str">
        <f>_xlfn.XLOOKUP(A552,CATÁLOGO!$A$2:$A$846,CATÁLOGO!$E$2:$E$846,"FORA DO CATÁLOGO")</f>
        <v>Ativo</v>
      </c>
      <c r="E552" s="9" t="s">
        <v>1305</v>
      </c>
      <c r="F552" s="52">
        <f>SUMIFS('AVARIA ESTIMADA'!$F$18:$F$40,'AVARIA ESTIMADA'!$A$18:$A$40,A552)</f>
        <v>0</v>
      </c>
    </row>
    <row r="553" spans="1:6" x14ac:dyDescent="0.3">
      <c r="A553" s="9" t="s">
        <v>394</v>
      </c>
      <c r="B553" s="18" t="str">
        <f>_xlfn.XLOOKUP(A553,CATÁLOGO!$A$2:$A$846,CATÁLOGO!$B$2:$B$846,"FORA DO CATÁLOGO")</f>
        <v>JAQ007OM</v>
      </c>
      <c r="C553" s="11">
        <v>4</v>
      </c>
      <c r="D553" s="11" t="str">
        <f>_xlfn.XLOOKUP(A553,CATÁLOGO!$A$2:$A$846,CATÁLOGO!$E$2:$E$846,"FORA DO CATÁLOGO")</f>
        <v>Ativo</v>
      </c>
      <c r="E553" s="9" t="s">
        <v>1303</v>
      </c>
      <c r="F553" s="52">
        <f>SUMIFS('AVARIA ESTIMADA'!$F$18:$F$40,'AVARIA ESTIMADA'!$A$18:$A$40,A553)</f>
        <v>0</v>
      </c>
    </row>
    <row r="554" spans="1:6" x14ac:dyDescent="0.3">
      <c r="A554" s="9" t="s">
        <v>395</v>
      </c>
      <c r="B554" s="18" t="str">
        <f>_xlfn.XLOOKUP(A554,CATÁLOGO!$A$2:$A$846,CATÁLOGO!$B$2:$B$846,"FORA DO CATÁLOGO")</f>
        <v>JAQ007OG</v>
      </c>
      <c r="C554" s="11">
        <v>3</v>
      </c>
      <c r="D554" s="11" t="str">
        <f>_xlfn.XLOOKUP(A554,CATÁLOGO!$A$2:$A$846,CATÁLOGO!$E$2:$E$846,"FORA DO CATÁLOGO")</f>
        <v>Ativo</v>
      </c>
      <c r="E554" s="9" t="s">
        <v>1305</v>
      </c>
      <c r="F554" s="52">
        <f>SUMIFS('AVARIA ESTIMADA'!$F$18:$F$40,'AVARIA ESTIMADA'!$A$18:$A$40,A554)</f>
        <v>0</v>
      </c>
    </row>
    <row r="555" spans="1:6" x14ac:dyDescent="0.3">
      <c r="A555" s="9" t="s">
        <v>396</v>
      </c>
      <c r="B555" s="18" t="str">
        <f>_xlfn.XLOOKUP(A555,CATÁLOGO!$A$2:$A$846,CATÁLOGO!$B$2:$B$846,"FORA DO CATÁLOGO")</f>
        <v>JAQ007OGG</v>
      </c>
      <c r="C555" s="11">
        <v>2</v>
      </c>
      <c r="D555" s="11" t="str">
        <f>_xlfn.XLOOKUP(A555,CATÁLOGO!$A$2:$A$846,CATÁLOGO!$E$2:$E$846,"FORA DO CATÁLOGO")</f>
        <v>Ativo</v>
      </c>
      <c r="E555" s="9" t="s">
        <v>1303</v>
      </c>
      <c r="F555" s="52">
        <f>SUMIFS('AVARIA ESTIMADA'!$F$18:$F$40,'AVARIA ESTIMADA'!$A$18:$A$40,A555)</f>
        <v>0</v>
      </c>
    </row>
    <row r="556" spans="1:6" x14ac:dyDescent="0.3">
      <c r="A556" s="9" t="s">
        <v>397</v>
      </c>
      <c r="B556" s="18" t="str">
        <f>_xlfn.XLOOKUP(A556,CATÁLOGO!$A$2:$A$846,CATÁLOGO!$B$2:$B$846,"FORA DO CATÁLOGO")</f>
        <v>MOL013MP</v>
      </c>
      <c r="C556" s="11">
        <v>1</v>
      </c>
      <c r="D556" s="11" t="str">
        <f>_xlfn.XLOOKUP(A556,CATÁLOGO!$A$2:$A$846,CATÁLOGO!$E$2:$E$846,"FORA DO CATÁLOGO")</f>
        <v>Ativo</v>
      </c>
      <c r="E556" s="9" t="s">
        <v>1305</v>
      </c>
      <c r="F556" s="52">
        <f>SUMIFS('AVARIA ESTIMADA'!$F$18:$F$40,'AVARIA ESTIMADA'!$A$18:$A$40,A556)</f>
        <v>0</v>
      </c>
    </row>
    <row r="557" spans="1:6" x14ac:dyDescent="0.3">
      <c r="A557" s="9" t="s">
        <v>398</v>
      </c>
      <c r="B557" s="18" t="str">
        <f>_xlfn.XLOOKUP(A557,CATÁLOGO!$A$2:$A$846,CATÁLOGO!$B$2:$B$846,"FORA DO CATÁLOGO")</f>
        <v>MOL013MM</v>
      </c>
      <c r="C557" s="11">
        <v>5</v>
      </c>
      <c r="D557" s="11" t="str">
        <f>_xlfn.XLOOKUP(A557,CATÁLOGO!$A$2:$A$846,CATÁLOGO!$E$2:$E$846,"FORA DO CATÁLOGO")</f>
        <v>Ativo</v>
      </c>
      <c r="E557" s="9" t="s">
        <v>1305</v>
      </c>
      <c r="F557" s="52">
        <f>SUMIFS('AVARIA ESTIMADA'!$F$18:$F$40,'AVARIA ESTIMADA'!$A$18:$A$40,A557)</f>
        <v>0</v>
      </c>
    </row>
    <row r="558" spans="1:6" x14ac:dyDescent="0.3">
      <c r="A558" s="9" t="s">
        <v>399</v>
      </c>
      <c r="B558" s="18" t="str">
        <f>_xlfn.XLOOKUP(A558,CATÁLOGO!$A$2:$A$846,CATÁLOGO!$B$2:$B$846,"FORA DO CATÁLOGO")</f>
        <v>MOL013MG</v>
      </c>
      <c r="C558" s="11">
        <v>6</v>
      </c>
      <c r="D558" s="11" t="str">
        <f>_xlfn.XLOOKUP(A558,CATÁLOGO!$A$2:$A$846,CATÁLOGO!$E$2:$E$846,"FORA DO CATÁLOGO")</f>
        <v>Ativo</v>
      </c>
      <c r="E558" s="9" t="s">
        <v>1305</v>
      </c>
      <c r="F558" s="52">
        <f>SUMIFS('AVARIA ESTIMADA'!$F$18:$F$40,'AVARIA ESTIMADA'!$A$18:$A$40,A558)</f>
        <v>0</v>
      </c>
    </row>
    <row r="559" spans="1:6" x14ac:dyDescent="0.3">
      <c r="A559" s="9" t="s">
        <v>1318</v>
      </c>
      <c r="B559" s="18" t="str">
        <f>_xlfn.XLOOKUP(A559,CATÁLOGO!$A$2:$A$846,CATÁLOGO!$B$2:$B$846,"FORA DO CATÁLOGO")</f>
        <v>MOL013MGG</v>
      </c>
      <c r="C559" s="11">
        <v>4</v>
      </c>
      <c r="D559" s="11" t="str">
        <f>_xlfn.XLOOKUP(A559,CATÁLOGO!$A$2:$A$846,CATÁLOGO!$E$2:$E$846,"FORA DO CATÁLOGO")</f>
        <v>Ativo</v>
      </c>
      <c r="E559" s="9" t="s">
        <v>1305</v>
      </c>
      <c r="F559" s="52">
        <f>SUMIFS('AVARIA ESTIMADA'!$F$18:$F$40,'AVARIA ESTIMADA'!$A$18:$A$40,A559)</f>
        <v>0</v>
      </c>
    </row>
    <row r="560" spans="1:6" x14ac:dyDescent="0.3">
      <c r="A560" s="9" t="s">
        <v>1794</v>
      </c>
      <c r="B560" s="18" t="str">
        <f>_xlfn.XLOOKUP(A560,CATÁLOGO!$A$2:$A$846,CATÁLOGO!$B$2:$B$846,"FORA DO CATÁLOGO")</f>
        <v>CMS014YPP</v>
      </c>
      <c r="C560" s="11">
        <v>1</v>
      </c>
      <c r="D560" s="11" t="str">
        <f>_xlfn.XLOOKUP(A560,CATÁLOGO!$A$2:$A$846,CATÁLOGO!$E$2:$E$846,"FORA DO CATÁLOGO")</f>
        <v>Ativo</v>
      </c>
      <c r="E560" s="9" t="s">
        <v>1305</v>
      </c>
      <c r="F560" s="52">
        <f>SUMIFS('AVARIA ESTIMADA'!$F$18:$F$40,'AVARIA ESTIMADA'!$A$18:$A$40,A560)</f>
        <v>0</v>
      </c>
    </row>
    <row r="561" spans="1:6" x14ac:dyDescent="0.3">
      <c r="A561" s="9" t="s">
        <v>400</v>
      </c>
      <c r="B561" s="18" t="str">
        <f>_xlfn.XLOOKUP(A561,CATÁLOGO!$A$2:$A$846,CATÁLOGO!$B$2:$B$846,"FORA DO CATÁLOGO")</f>
        <v>CMS014YP</v>
      </c>
      <c r="C561" s="11">
        <v>3</v>
      </c>
      <c r="D561" s="11" t="str">
        <f>_xlfn.XLOOKUP(A561,CATÁLOGO!$A$2:$A$846,CATÁLOGO!$E$2:$E$846,"FORA DO CATÁLOGO")</f>
        <v>Ativo</v>
      </c>
      <c r="E561" s="9" t="s">
        <v>1303</v>
      </c>
      <c r="F561" s="52">
        <f>SUMIFS('AVARIA ESTIMADA'!$F$18:$F$40,'AVARIA ESTIMADA'!$A$18:$A$40,A561)</f>
        <v>0</v>
      </c>
    </row>
    <row r="562" spans="1:6" x14ac:dyDescent="0.3">
      <c r="A562" s="9" t="s">
        <v>401</v>
      </c>
      <c r="B562" s="18" t="str">
        <f>_xlfn.XLOOKUP(A562,CATÁLOGO!$A$2:$A$846,CATÁLOGO!$B$2:$B$846,"FORA DO CATÁLOGO")</f>
        <v>CMS014YM</v>
      </c>
      <c r="C562" s="11">
        <v>5</v>
      </c>
      <c r="D562" s="11" t="str">
        <f>_xlfn.XLOOKUP(A562,CATÁLOGO!$A$2:$A$846,CATÁLOGO!$E$2:$E$846,"FORA DO CATÁLOGO")</f>
        <v>Ativo</v>
      </c>
      <c r="E562" s="9" t="s">
        <v>1304</v>
      </c>
      <c r="F562" s="52">
        <f>SUMIFS('AVARIA ESTIMADA'!$F$18:$F$40,'AVARIA ESTIMADA'!$A$18:$A$40,A562)</f>
        <v>0</v>
      </c>
    </row>
    <row r="563" spans="1:6" x14ac:dyDescent="0.3">
      <c r="A563" s="9" t="s">
        <v>402</v>
      </c>
      <c r="B563" s="18" t="str">
        <f>_xlfn.XLOOKUP(A563,CATÁLOGO!$A$2:$A$846,CATÁLOGO!$B$2:$B$846,"FORA DO CATÁLOGO")</f>
        <v>CMS014YG</v>
      </c>
      <c r="C563" s="11">
        <v>4</v>
      </c>
      <c r="D563" s="11" t="str">
        <f>_xlfn.XLOOKUP(A563,CATÁLOGO!$A$2:$A$846,CATÁLOGO!$E$2:$E$846,"FORA DO CATÁLOGO")</f>
        <v>Ativo</v>
      </c>
      <c r="E563" s="9" t="s">
        <v>1303</v>
      </c>
      <c r="F563" s="52">
        <f>SUMIFS('AVARIA ESTIMADA'!$F$18:$F$40,'AVARIA ESTIMADA'!$A$18:$A$40,A563)</f>
        <v>0</v>
      </c>
    </row>
    <row r="564" spans="1:6" x14ac:dyDescent="0.3">
      <c r="A564" s="9" t="s">
        <v>404</v>
      </c>
      <c r="B564" s="18" t="str">
        <f>_xlfn.XLOOKUP(A564,CATÁLOGO!$A$2:$A$846,CATÁLOGO!$B$2:$B$846,"FORA DO CATÁLOGO")</f>
        <v>VES011OP</v>
      </c>
      <c r="C564" s="11">
        <v>3</v>
      </c>
      <c r="D564" s="11" t="str">
        <f>_xlfn.XLOOKUP(A564,CATÁLOGO!$A$2:$A$846,CATÁLOGO!$E$2:$E$846,"FORA DO CATÁLOGO")</f>
        <v>Ativo</v>
      </c>
      <c r="E564" s="9" t="s">
        <v>1305</v>
      </c>
      <c r="F564" s="52">
        <f>SUMIFS('AVARIA ESTIMADA'!$F$18:$F$40,'AVARIA ESTIMADA'!$A$18:$A$40,A564)</f>
        <v>0</v>
      </c>
    </row>
    <row r="565" spans="1:6" x14ac:dyDescent="0.3">
      <c r="A565" s="9" t="s">
        <v>1265</v>
      </c>
      <c r="B565" s="18" t="str">
        <f>_xlfn.XLOOKUP(A565,CATÁLOGO!$A$2:$A$846,CATÁLOGO!$B$2:$B$846,"FORA DO CATÁLOGO")</f>
        <v>VES011OM</v>
      </c>
      <c r="C565" s="11">
        <v>5</v>
      </c>
      <c r="D565" s="11" t="str">
        <f>_xlfn.XLOOKUP(A565,CATÁLOGO!$A$2:$A$846,CATÁLOGO!$E$2:$E$846,"FORA DO CATÁLOGO")</f>
        <v>Ativo</v>
      </c>
      <c r="E565" s="9" t="s">
        <v>1304</v>
      </c>
      <c r="F565" s="52">
        <f>SUMIFS('AVARIA ESTIMADA'!$F$18:$F$40,'AVARIA ESTIMADA'!$A$18:$A$40,A565)</f>
        <v>0</v>
      </c>
    </row>
    <row r="566" spans="1:6" x14ac:dyDescent="0.3">
      <c r="A566" s="9" t="s">
        <v>405</v>
      </c>
      <c r="B566" s="18" t="str">
        <f>_xlfn.XLOOKUP(A566,CATÁLOGO!$A$2:$A$846,CATÁLOGO!$B$2:$B$846,"FORA DO CATÁLOGO")</f>
        <v>VES011OG</v>
      </c>
      <c r="C566" s="11">
        <v>4</v>
      </c>
      <c r="D566" s="11" t="str">
        <f>_xlfn.XLOOKUP(A566,CATÁLOGO!$A$2:$A$846,CATÁLOGO!$E$2:$E$846,"FORA DO CATÁLOGO")</f>
        <v>Ativo</v>
      </c>
      <c r="E566" s="9" t="s">
        <v>1305</v>
      </c>
      <c r="F566" s="52">
        <f>SUMIFS('AVARIA ESTIMADA'!$F$18:$F$40,'AVARIA ESTIMADA'!$A$18:$A$40,A566)</f>
        <v>0</v>
      </c>
    </row>
    <row r="567" spans="1:6" x14ac:dyDescent="0.3">
      <c r="A567" s="9" t="s">
        <v>1266</v>
      </c>
      <c r="B567" s="18" t="str">
        <f>_xlfn.XLOOKUP(A567,CATÁLOGO!$A$2:$A$846,CATÁLOGO!$B$2:$B$846,"FORA DO CATÁLOGO")</f>
        <v>SAI010CP</v>
      </c>
      <c r="C567" s="11">
        <v>4</v>
      </c>
      <c r="D567" s="11" t="str">
        <f>_xlfn.XLOOKUP(A567,CATÁLOGO!$A$2:$A$846,CATÁLOGO!$E$2:$E$846,"FORA DO CATÁLOGO")</f>
        <v>Descontinuado</v>
      </c>
      <c r="E567" s="9" t="s">
        <v>1305</v>
      </c>
      <c r="F567" s="52">
        <f>SUMIFS('AVARIA ESTIMADA'!$F$18:$F$40,'AVARIA ESTIMADA'!$A$18:$A$40,A567)</f>
        <v>0</v>
      </c>
    </row>
    <row r="568" spans="1:6" x14ac:dyDescent="0.3">
      <c r="A568" s="9" t="s">
        <v>406</v>
      </c>
      <c r="B568" s="18" t="str">
        <f>_xlfn.XLOOKUP(A568,CATÁLOGO!$A$2:$A$846,CATÁLOGO!$B$2:$B$846,"FORA DO CATÁLOGO")</f>
        <v>SAI010CM</v>
      </c>
      <c r="C568" s="11">
        <v>2</v>
      </c>
      <c r="D568" s="11" t="str">
        <f>_xlfn.XLOOKUP(A568,CATÁLOGO!$A$2:$A$846,CATÁLOGO!$E$2:$E$846,"FORA DO CATÁLOGO")</f>
        <v>Descontinuado</v>
      </c>
      <c r="E568" s="9" t="s">
        <v>1304</v>
      </c>
      <c r="F568" s="52">
        <f>SUMIFS('AVARIA ESTIMADA'!$F$18:$F$40,'AVARIA ESTIMADA'!$A$18:$A$40,A568)</f>
        <v>0</v>
      </c>
    </row>
    <row r="569" spans="1:6" x14ac:dyDescent="0.3">
      <c r="A569" s="9" t="s">
        <v>407</v>
      </c>
      <c r="B569" s="18" t="str">
        <f>_xlfn.XLOOKUP(A569,CATÁLOGO!$A$2:$A$846,CATÁLOGO!$B$2:$B$846,"FORA DO CATÁLOGO")</f>
        <v>SAI010CG</v>
      </c>
      <c r="C569" s="11">
        <v>2</v>
      </c>
      <c r="D569" s="11" t="str">
        <f>_xlfn.XLOOKUP(A569,CATÁLOGO!$A$2:$A$846,CATÁLOGO!$E$2:$E$846,"FORA DO CATÁLOGO")</f>
        <v>Descontinuado</v>
      </c>
      <c r="E569" s="9" t="s">
        <v>1305</v>
      </c>
      <c r="F569" s="52">
        <f>SUMIFS('AVARIA ESTIMADA'!$F$18:$F$40,'AVARIA ESTIMADA'!$A$18:$A$40,A569)</f>
        <v>0</v>
      </c>
    </row>
    <row r="570" spans="1:6" x14ac:dyDescent="0.3">
      <c r="A570" s="9" t="s">
        <v>408</v>
      </c>
      <c r="B570" s="18" t="str">
        <f>_xlfn.XLOOKUP(A570,CATÁLOGO!$A$2:$A$846,CATÁLOGO!$B$2:$B$846,"FORA DO CATÁLOGO")</f>
        <v>SAI010CGG</v>
      </c>
      <c r="C570" s="11">
        <v>2</v>
      </c>
      <c r="D570" s="11" t="str">
        <f>_xlfn.XLOOKUP(A570,CATÁLOGO!$A$2:$A$846,CATÁLOGO!$E$2:$E$846,"FORA DO CATÁLOGO")</f>
        <v>Descontinuado</v>
      </c>
      <c r="E570" s="9" t="s">
        <v>1304</v>
      </c>
      <c r="F570" s="52">
        <f>SUMIFS('AVARIA ESTIMADA'!$F$18:$F$40,'AVARIA ESTIMADA'!$A$18:$A$40,A570)</f>
        <v>0</v>
      </c>
    </row>
    <row r="571" spans="1:6" x14ac:dyDescent="0.3">
      <c r="A571" s="9" t="s">
        <v>1288</v>
      </c>
      <c r="B571" s="18" t="str">
        <f>_xlfn.XLOOKUP(A571,CATÁLOGO!$A$2:$A$846,CATÁLOGO!$B$2:$B$846,"FORA DO CATÁLOGO")</f>
        <v>CAM020YP</v>
      </c>
      <c r="C571" s="11">
        <v>4</v>
      </c>
      <c r="D571" s="11" t="str">
        <f>_xlfn.XLOOKUP(A571,CATÁLOGO!$A$2:$A$846,CATÁLOGO!$E$2:$E$846,"FORA DO CATÁLOGO")</f>
        <v>Ativo</v>
      </c>
      <c r="E571" s="9" t="s">
        <v>1305</v>
      </c>
      <c r="F571" s="52">
        <f>SUMIFS('AVARIA ESTIMADA'!$F$18:$F$40,'AVARIA ESTIMADA'!$A$18:$A$40,A571)</f>
        <v>4</v>
      </c>
    </row>
    <row r="572" spans="1:6" x14ac:dyDescent="0.3">
      <c r="A572" s="9" t="s">
        <v>409</v>
      </c>
      <c r="B572" s="18" t="str">
        <f>_xlfn.XLOOKUP(A572,CATÁLOGO!$A$2:$A$846,CATÁLOGO!$B$2:$B$846,"FORA DO CATÁLOGO")</f>
        <v>CAM020YM</v>
      </c>
      <c r="C572" s="11">
        <v>6</v>
      </c>
      <c r="D572" s="11" t="str">
        <f>_xlfn.XLOOKUP(A572,CATÁLOGO!$A$2:$A$846,CATÁLOGO!$E$2:$E$846,"FORA DO CATÁLOGO")</f>
        <v>Ativo</v>
      </c>
      <c r="E572" s="9" t="s">
        <v>1304</v>
      </c>
      <c r="F572" s="52">
        <f>SUMIFS('AVARIA ESTIMADA'!$F$18:$F$40,'AVARIA ESTIMADA'!$A$18:$A$40,A572)</f>
        <v>0</v>
      </c>
    </row>
    <row r="573" spans="1:6" x14ac:dyDescent="0.3">
      <c r="A573" s="9" t="s">
        <v>410</v>
      </c>
      <c r="B573" s="18" t="str">
        <f>_xlfn.XLOOKUP(A573,CATÁLOGO!$A$2:$A$846,CATÁLOGO!$B$2:$B$846,"FORA DO CATÁLOGO")</f>
        <v>CAM020YG</v>
      </c>
      <c r="C573" s="11">
        <v>4</v>
      </c>
      <c r="D573" s="11" t="str">
        <f>_xlfn.XLOOKUP(A573,CATÁLOGO!$A$2:$A$846,CATÁLOGO!$E$2:$E$846,"FORA DO CATÁLOGO")</f>
        <v>Ativo</v>
      </c>
      <c r="E573" s="9" t="s">
        <v>1305</v>
      </c>
      <c r="F573" s="52">
        <f>SUMIFS('AVARIA ESTIMADA'!$F$18:$F$40,'AVARIA ESTIMADA'!$A$18:$A$40,A573)</f>
        <v>4</v>
      </c>
    </row>
    <row r="574" spans="1:6" x14ac:dyDescent="0.3">
      <c r="A574" s="9" t="s">
        <v>411</v>
      </c>
      <c r="B574" s="18" t="str">
        <f>_xlfn.XLOOKUP(A574,CATÁLOGO!$A$2:$A$846,CATÁLOGO!$B$2:$B$846,"FORA DO CATÁLOGO")</f>
        <v>CAM020YGG</v>
      </c>
      <c r="C574" s="11">
        <v>2</v>
      </c>
      <c r="D574" s="11" t="str">
        <f>_xlfn.XLOOKUP(A574,CATÁLOGO!$A$2:$A$846,CATÁLOGO!$E$2:$E$846,"FORA DO CATÁLOGO")</f>
        <v>Ativo</v>
      </c>
      <c r="E574" s="9" t="s">
        <v>2002</v>
      </c>
      <c r="F574" s="52">
        <f>SUMIFS('AVARIA ESTIMADA'!$F$18:$F$40,'AVARIA ESTIMADA'!$A$18:$A$40,A574)</f>
        <v>0</v>
      </c>
    </row>
    <row r="575" spans="1:6" x14ac:dyDescent="0.3">
      <c r="A575" s="9" t="s">
        <v>412</v>
      </c>
      <c r="B575" s="18" t="str">
        <f>_xlfn.XLOOKUP(A575,CATÁLOGO!$A$2:$A$846,CATÁLOGO!$B$2:$B$846,"FORA DO CATÁLOGO")</f>
        <v>CAM020LP</v>
      </c>
      <c r="C575" s="11">
        <v>2</v>
      </c>
      <c r="D575" s="11" t="str">
        <f>_xlfn.XLOOKUP(A575,CATÁLOGO!$A$2:$A$846,CATÁLOGO!$E$2:$E$846,"FORA DO CATÁLOGO")</f>
        <v>Ativo</v>
      </c>
      <c r="E575" s="9" t="s">
        <v>1305</v>
      </c>
      <c r="F575" s="52">
        <f>SUMIFS('AVARIA ESTIMADA'!$F$18:$F$40,'AVARIA ESTIMADA'!$A$18:$A$40,A575)</f>
        <v>0</v>
      </c>
    </row>
    <row r="576" spans="1:6" x14ac:dyDescent="0.3">
      <c r="A576" s="9" t="s">
        <v>413</v>
      </c>
      <c r="B576" s="18" t="str">
        <f>_xlfn.XLOOKUP(A576,CATÁLOGO!$A$2:$A$846,CATÁLOGO!$B$2:$B$846,"FORA DO CATÁLOGO")</f>
        <v>CAM020LM</v>
      </c>
      <c r="C576" s="11">
        <v>3</v>
      </c>
      <c r="D576" s="11" t="str">
        <f>_xlfn.XLOOKUP(A576,CATÁLOGO!$A$2:$A$846,CATÁLOGO!$E$2:$E$846,"FORA DO CATÁLOGO")</f>
        <v>Ativo</v>
      </c>
      <c r="E576" s="9" t="s">
        <v>1305</v>
      </c>
      <c r="F576" s="52">
        <f>SUMIFS('AVARIA ESTIMADA'!$F$18:$F$40,'AVARIA ESTIMADA'!$A$18:$A$40,A576)</f>
        <v>0</v>
      </c>
    </row>
    <row r="577" spans="1:6" x14ac:dyDescent="0.3">
      <c r="A577" s="9" t="s">
        <v>414</v>
      </c>
      <c r="B577" s="18" t="str">
        <f>_xlfn.XLOOKUP(A577,CATÁLOGO!$A$2:$A$846,CATÁLOGO!$B$2:$B$846,"FORA DO CATÁLOGO")</f>
        <v>CAM020LG</v>
      </c>
      <c r="C577" s="11">
        <v>3</v>
      </c>
      <c r="D577" s="11" t="str">
        <f>_xlfn.XLOOKUP(A577,CATÁLOGO!$A$2:$A$846,CATÁLOGO!$E$2:$E$846,"FORA DO CATÁLOGO")</f>
        <v>Ativo</v>
      </c>
      <c r="E577" s="9" t="s">
        <v>1305</v>
      </c>
      <c r="F577" s="52">
        <f>SUMIFS('AVARIA ESTIMADA'!$F$18:$F$40,'AVARIA ESTIMADA'!$A$18:$A$40,A577)</f>
        <v>0</v>
      </c>
    </row>
    <row r="578" spans="1:6" x14ac:dyDescent="0.3">
      <c r="A578" s="9" t="s">
        <v>415</v>
      </c>
      <c r="B578" s="18" t="str">
        <f>_xlfn.XLOOKUP(A578,CATÁLOGO!$A$2:$A$846,CATÁLOGO!$B$2:$B$846,"FORA DO CATÁLOGO")</f>
        <v>CAM020LGG</v>
      </c>
      <c r="C578" s="11">
        <v>3</v>
      </c>
      <c r="D578" s="11" t="str">
        <f>_xlfn.XLOOKUP(A578,CATÁLOGO!$A$2:$A$846,CATÁLOGO!$E$2:$E$846,"FORA DO CATÁLOGO")</f>
        <v>Ativo</v>
      </c>
      <c r="E578" s="9" t="s">
        <v>1304</v>
      </c>
      <c r="F578" s="52">
        <f>SUMIFS('AVARIA ESTIMADA'!$F$18:$F$40,'AVARIA ESTIMADA'!$A$18:$A$40,A578)</f>
        <v>0</v>
      </c>
    </row>
    <row r="579" spans="1:6" x14ac:dyDescent="0.3">
      <c r="A579" s="9" t="s">
        <v>1507</v>
      </c>
      <c r="B579" s="18" t="str">
        <f>_xlfn.XLOOKUP(A579,CATÁLOGO!$A$2:$A$846,CATÁLOGO!$B$2:$B$846,"FORA DO CATÁLOGO")</f>
        <v>BER010L38</v>
      </c>
      <c r="C579" s="11">
        <v>4</v>
      </c>
      <c r="D579" s="11" t="str">
        <f>_xlfn.XLOOKUP(A579,CATÁLOGO!$A$2:$A$846,CATÁLOGO!$E$2:$E$846,"FORA DO CATÁLOGO")</f>
        <v>Descontinuado</v>
      </c>
      <c r="E579" s="9" t="s">
        <v>1303</v>
      </c>
      <c r="F579" s="52">
        <f>SUMIFS('AVARIA ESTIMADA'!$F$18:$F$40,'AVARIA ESTIMADA'!$A$18:$A$40,A579)</f>
        <v>0</v>
      </c>
    </row>
    <row r="580" spans="1:6" x14ac:dyDescent="0.3">
      <c r="A580" s="9" t="s">
        <v>1506</v>
      </c>
      <c r="B580" s="18" t="str">
        <f>_xlfn.XLOOKUP(A580,CATÁLOGO!$A$2:$A$846,CATÁLOGO!$B$2:$B$846,"FORA DO CATÁLOGO")</f>
        <v>BER010L40</v>
      </c>
      <c r="C580" s="11">
        <v>4</v>
      </c>
      <c r="D580" s="11" t="str">
        <f>_xlfn.XLOOKUP(A580,CATÁLOGO!$A$2:$A$846,CATÁLOGO!$E$2:$E$846,"FORA DO CATÁLOGO")</f>
        <v>Descontinuado</v>
      </c>
      <c r="E580" s="9" t="s">
        <v>1305</v>
      </c>
      <c r="F580" s="52">
        <f>SUMIFS('AVARIA ESTIMADA'!$F$18:$F$40,'AVARIA ESTIMADA'!$A$18:$A$40,A580)</f>
        <v>0</v>
      </c>
    </row>
    <row r="581" spans="1:6" x14ac:dyDescent="0.3">
      <c r="A581" s="9" t="s">
        <v>1503</v>
      </c>
      <c r="B581" s="18" t="str">
        <f>_xlfn.XLOOKUP(A581,CATÁLOGO!$A$2:$A$846,CATÁLOGO!$B$2:$B$846,"FORA DO CATÁLOGO")</f>
        <v>BER010L42</v>
      </c>
      <c r="C581" s="11">
        <v>3</v>
      </c>
      <c r="D581" s="11" t="str">
        <f>_xlfn.XLOOKUP(A581,CATÁLOGO!$A$2:$A$846,CATÁLOGO!$E$2:$E$846,"FORA DO CATÁLOGO")</f>
        <v>Descontinuado</v>
      </c>
      <c r="E581" s="9" t="s">
        <v>1305</v>
      </c>
      <c r="F581" s="52">
        <f>SUMIFS('AVARIA ESTIMADA'!$F$18:$F$40,'AVARIA ESTIMADA'!$A$18:$A$40,A581)</f>
        <v>0</v>
      </c>
    </row>
    <row r="582" spans="1:6" x14ac:dyDescent="0.3">
      <c r="A582" s="9" t="s">
        <v>1505</v>
      </c>
      <c r="B582" s="18" t="str">
        <f>_xlfn.XLOOKUP(A582,CATÁLOGO!$A$2:$A$846,CATÁLOGO!$B$2:$B$846,"FORA DO CATÁLOGO")</f>
        <v>BER010L44</v>
      </c>
      <c r="C582" s="11">
        <v>2</v>
      </c>
      <c r="D582" s="11" t="str">
        <f>_xlfn.XLOOKUP(A582,CATÁLOGO!$A$2:$A$846,CATÁLOGO!$E$2:$E$846,"FORA DO CATÁLOGO")</f>
        <v>Descontinuado</v>
      </c>
      <c r="E582" s="9" t="s">
        <v>1303</v>
      </c>
      <c r="F582" s="52">
        <f>SUMIFS('AVARIA ESTIMADA'!$F$18:$F$40,'AVARIA ESTIMADA'!$A$18:$A$40,A582)</f>
        <v>0</v>
      </c>
    </row>
    <row r="583" spans="1:6" x14ac:dyDescent="0.3">
      <c r="A583" s="9" t="s">
        <v>1691</v>
      </c>
      <c r="B583" s="18" t="str">
        <f>_xlfn.XLOOKUP(A583,CATÁLOGO!$A$2:$A$846,CATÁLOGO!$B$2:$B$846,"FORA DO CATÁLOGO")</f>
        <v>CAL025E36</v>
      </c>
      <c r="C583" s="11">
        <v>3</v>
      </c>
      <c r="D583" s="11" t="str">
        <f>_xlfn.XLOOKUP(A583,CATÁLOGO!$A$2:$A$846,CATÁLOGO!$E$2:$E$846,"FORA DO CATÁLOGO")</f>
        <v>Descontinuado</v>
      </c>
      <c r="E583" s="9" t="s">
        <v>1319</v>
      </c>
      <c r="F583" s="52">
        <f>SUMIFS('AVARIA ESTIMADA'!$F$18:$F$40,'AVARIA ESTIMADA'!$A$18:$A$40,A583)</f>
        <v>0</v>
      </c>
    </row>
    <row r="584" spans="1:6" x14ac:dyDescent="0.3">
      <c r="A584" s="9" t="s">
        <v>1690</v>
      </c>
      <c r="B584" s="18" t="str">
        <f>_xlfn.XLOOKUP(A584,CATÁLOGO!$A$2:$A$846,CATÁLOGO!$B$2:$B$846,"FORA DO CATÁLOGO")</f>
        <v>CAL025E38</v>
      </c>
      <c r="C584" s="11">
        <v>3</v>
      </c>
      <c r="D584" s="11" t="str">
        <f>_xlfn.XLOOKUP(A584,CATÁLOGO!$A$2:$A$846,CATÁLOGO!$E$2:$E$846,"FORA DO CATÁLOGO")</f>
        <v>Descontinuado</v>
      </c>
      <c r="E584" s="9" t="s">
        <v>1303</v>
      </c>
      <c r="F584" s="52">
        <f>SUMIFS('AVARIA ESTIMADA'!$F$18:$F$40,'AVARIA ESTIMADA'!$A$18:$A$40,A584)</f>
        <v>0</v>
      </c>
    </row>
    <row r="585" spans="1:6" x14ac:dyDescent="0.3">
      <c r="A585" s="9" t="s">
        <v>1689</v>
      </c>
      <c r="B585" s="18" t="str">
        <f>_xlfn.XLOOKUP(A585,CATÁLOGO!$A$2:$A$846,CATÁLOGO!$B$2:$B$846,"FORA DO CATÁLOGO")</f>
        <v>CAL025E40</v>
      </c>
      <c r="C585" s="11">
        <v>5</v>
      </c>
      <c r="D585" s="11" t="str">
        <f>_xlfn.XLOOKUP(A585,CATÁLOGO!$A$2:$A$846,CATÁLOGO!$E$2:$E$846,"FORA DO CATÁLOGO")</f>
        <v>Descontinuado</v>
      </c>
      <c r="E585" s="9" t="s">
        <v>1305</v>
      </c>
      <c r="F585" s="52">
        <f>SUMIFS('AVARIA ESTIMADA'!$F$18:$F$40,'AVARIA ESTIMADA'!$A$18:$A$40,A585)</f>
        <v>0</v>
      </c>
    </row>
    <row r="586" spans="1:6" x14ac:dyDescent="0.3">
      <c r="A586" s="9" t="s">
        <v>1686</v>
      </c>
      <c r="B586" s="18" t="str">
        <f>_xlfn.XLOOKUP(A586,CATÁLOGO!$A$2:$A$846,CATÁLOGO!$B$2:$B$846,"FORA DO CATÁLOGO")</f>
        <v>CAL025E42</v>
      </c>
      <c r="C586" s="11">
        <v>3</v>
      </c>
      <c r="D586" s="11" t="str">
        <f>_xlfn.XLOOKUP(A586,CATÁLOGO!$A$2:$A$846,CATÁLOGO!$E$2:$E$846,"FORA DO CATÁLOGO")</f>
        <v>Descontinuado</v>
      </c>
      <c r="E586" s="9" t="s">
        <v>1304</v>
      </c>
      <c r="F586" s="52">
        <f>SUMIFS('AVARIA ESTIMADA'!$F$18:$F$40,'AVARIA ESTIMADA'!$A$18:$A$40,A586)</f>
        <v>0</v>
      </c>
    </row>
    <row r="587" spans="1:6" x14ac:dyDescent="0.3">
      <c r="A587" s="9" t="s">
        <v>1688</v>
      </c>
      <c r="B587" s="18" t="str">
        <f>_xlfn.XLOOKUP(A587,CATÁLOGO!$A$2:$A$846,CATÁLOGO!$B$2:$B$846,"FORA DO CATÁLOGO")</f>
        <v>CAL025E44</v>
      </c>
      <c r="C587" s="11">
        <v>1</v>
      </c>
      <c r="D587" s="11" t="str">
        <f>_xlfn.XLOOKUP(A587,CATÁLOGO!$A$2:$A$846,CATÁLOGO!$E$2:$E$846,"FORA DO CATÁLOGO")</f>
        <v>Descontinuado</v>
      </c>
      <c r="E587" s="9" t="s">
        <v>1303</v>
      </c>
      <c r="F587" s="52">
        <f>SUMIFS('AVARIA ESTIMADA'!$F$18:$F$40,'AVARIA ESTIMADA'!$A$18:$A$40,A587)</f>
        <v>0</v>
      </c>
    </row>
    <row r="588" spans="1:6" x14ac:dyDescent="0.3">
      <c r="A588" s="9" t="s">
        <v>417</v>
      </c>
      <c r="B588" s="18" t="str">
        <f>_xlfn.XLOOKUP(A588,CATÁLOGO!$A$2:$A$846,CATÁLOGO!$B$2:$B$846,"FORA DO CATÁLOGO")</f>
        <v>SAI011CP</v>
      </c>
      <c r="C588" s="11">
        <v>2</v>
      </c>
      <c r="D588" s="11" t="str">
        <f>_xlfn.XLOOKUP(A588,CATÁLOGO!$A$2:$A$846,CATÁLOGO!$E$2:$E$846,"FORA DO CATÁLOGO")</f>
        <v>Ativo</v>
      </c>
      <c r="E588" s="9" t="s">
        <v>1305</v>
      </c>
      <c r="F588" s="52">
        <f>SUMIFS('AVARIA ESTIMADA'!$F$18:$F$40,'AVARIA ESTIMADA'!$A$18:$A$40,A588)</f>
        <v>0</v>
      </c>
    </row>
    <row r="589" spans="1:6" x14ac:dyDescent="0.3">
      <c r="A589" s="9" t="s">
        <v>418</v>
      </c>
      <c r="B589" s="18" t="str">
        <f>_xlfn.XLOOKUP(A589,CATÁLOGO!$A$2:$A$846,CATÁLOGO!$B$2:$B$846,"FORA DO CATÁLOGO")</f>
        <v>SAI011CM</v>
      </c>
      <c r="C589" s="11">
        <v>3</v>
      </c>
      <c r="D589" s="11" t="str">
        <f>_xlfn.XLOOKUP(A589,CATÁLOGO!$A$2:$A$846,CATÁLOGO!$E$2:$E$846,"FORA DO CATÁLOGO")</f>
        <v>Ativo</v>
      </c>
      <c r="E589" s="9" t="s">
        <v>1305</v>
      </c>
      <c r="F589" s="52">
        <f>SUMIFS('AVARIA ESTIMADA'!$F$18:$F$40,'AVARIA ESTIMADA'!$A$18:$A$40,A589)</f>
        <v>0</v>
      </c>
    </row>
    <row r="590" spans="1:6" x14ac:dyDescent="0.3">
      <c r="A590" s="9" t="s">
        <v>419</v>
      </c>
      <c r="B590" s="18" t="str">
        <f>_xlfn.XLOOKUP(A590,CATÁLOGO!$A$2:$A$846,CATÁLOGO!$B$2:$B$846,"FORA DO CATÁLOGO")</f>
        <v>SAI011CG</v>
      </c>
      <c r="C590" s="11">
        <v>3</v>
      </c>
      <c r="D590" s="11" t="str">
        <f>_xlfn.XLOOKUP(A590,CATÁLOGO!$A$2:$A$846,CATÁLOGO!$E$2:$E$846,"FORA DO CATÁLOGO")</f>
        <v>Ativo</v>
      </c>
      <c r="E590" s="9" t="s">
        <v>1304</v>
      </c>
      <c r="F590" s="52">
        <f>SUMIFS('AVARIA ESTIMADA'!$F$18:$F$40,'AVARIA ESTIMADA'!$A$18:$A$40,A590)</f>
        <v>0</v>
      </c>
    </row>
    <row r="591" spans="1:6" x14ac:dyDescent="0.3">
      <c r="A591" s="9" t="s">
        <v>420</v>
      </c>
      <c r="B591" s="18" t="str">
        <f>_xlfn.XLOOKUP(A591,CATÁLOGO!$A$2:$A$846,CATÁLOGO!$B$2:$B$846,"FORA DO CATÁLOGO")</f>
        <v>SAI011CGG</v>
      </c>
      <c r="C591" s="11">
        <v>1</v>
      </c>
      <c r="D591" s="11" t="str">
        <f>_xlfn.XLOOKUP(A591,CATÁLOGO!$A$2:$A$846,CATÁLOGO!$E$2:$E$846,"FORA DO CATÁLOGO")</f>
        <v>Ativo</v>
      </c>
      <c r="E591" s="9" t="s">
        <v>1305</v>
      </c>
      <c r="F591" s="52">
        <f>SUMIFS('AVARIA ESTIMADA'!$F$18:$F$40,'AVARIA ESTIMADA'!$A$18:$A$40,A591)</f>
        <v>0</v>
      </c>
    </row>
    <row r="592" spans="1:6" x14ac:dyDescent="0.3">
      <c r="A592" s="9" t="s">
        <v>421</v>
      </c>
      <c r="B592" s="18" t="str">
        <f>_xlfn.XLOOKUP(A592,CATÁLOGO!$A$2:$A$846,CATÁLOGO!$B$2:$B$846,"FORA DO CATÁLOGO")</f>
        <v>MOL014VP</v>
      </c>
      <c r="C592" s="11">
        <v>2</v>
      </c>
      <c r="D592" s="11" t="str">
        <f>_xlfn.XLOOKUP(A592,CATÁLOGO!$A$2:$A$846,CATÁLOGO!$E$2:$E$846,"FORA DO CATÁLOGO")</f>
        <v>Ativo</v>
      </c>
      <c r="E592" s="9" t="s">
        <v>1305</v>
      </c>
      <c r="F592" s="52">
        <f>SUMIFS('AVARIA ESTIMADA'!$F$18:$F$40,'AVARIA ESTIMADA'!$A$18:$A$40,A592)</f>
        <v>0</v>
      </c>
    </row>
    <row r="593" spans="1:6" x14ac:dyDescent="0.3">
      <c r="A593" s="9" t="s">
        <v>422</v>
      </c>
      <c r="B593" s="18" t="str">
        <f>_xlfn.XLOOKUP(A593,CATÁLOGO!$A$2:$A$846,CATÁLOGO!$B$2:$B$846,"FORA DO CATÁLOGO")</f>
        <v>MOL014VM</v>
      </c>
      <c r="C593" s="11">
        <v>3</v>
      </c>
      <c r="D593" s="11" t="str">
        <f>_xlfn.XLOOKUP(A593,CATÁLOGO!$A$2:$A$846,CATÁLOGO!$E$2:$E$846,"FORA DO CATÁLOGO")</f>
        <v>Ativo</v>
      </c>
      <c r="E593" s="9" t="s">
        <v>1304</v>
      </c>
      <c r="F593" s="52">
        <f>SUMIFS('AVARIA ESTIMADA'!$F$18:$F$40,'AVARIA ESTIMADA'!$A$18:$A$40,A593)</f>
        <v>0</v>
      </c>
    </row>
    <row r="594" spans="1:6" x14ac:dyDescent="0.3">
      <c r="A594" s="9" t="s">
        <v>423</v>
      </c>
      <c r="B594" s="18" t="str">
        <f>_xlfn.XLOOKUP(A594,CATÁLOGO!$A$2:$A$846,CATÁLOGO!$B$2:$B$846,"FORA DO CATÁLOGO")</f>
        <v>MOL014VG</v>
      </c>
      <c r="C594" s="11">
        <v>2</v>
      </c>
      <c r="D594" s="11" t="str">
        <f>_xlfn.XLOOKUP(A594,CATÁLOGO!$A$2:$A$846,CATÁLOGO!$E$2:$E$846,"FORA DO CATÁLOGO")</f>
        <v>Ativo</v>
      </c>
      <c r="E594" s="9" t="s">
        <v>1304</v>
      </c>
      <c r="F594" s="52">
        <f>SUMIFS('AVARIA ESTIMADA'!$F$18:$F$40,'AVARIA ESTIMADA'!$A$18:$A$40,A594)</f>
        <v>0</v>
      </c>
    </row>
    <row r="595" spans="1:6" x14ac:dyDescent="0.3">
      <c r="A595" s="9" t="s">
        <v>424</v>
      </c>
      <c r="B595" s="18" t="str">
        <f>_xlfn.XLOOKUP(A595,CATÁLOGO!$A$2:$A$846,CATÁLOGO!$B$2:$B$846,"FORA DO CATÁLOGO")</f>
        <v>MOL014VGG</v>
      </c>
      <c r="C595" s="11">
        <v>1</v>
      </c>
      <c r="D595" s="11" t="str">
        <f>_xlfn.XLOOKUP(A595,CATÁLOGO!$A$2:$A$846,CATÁLOGO!$E$2:$E$846,"FORA DO CATÁLOGO")</f>
        <v>Ativo</v>
      </c>
      <c r="E595" s="9" t="s">
        <v>1305</v>
      </c>
      <c r="F595" s="52">
        <f>SUMIFS('AVARIA ESTIMADA'!$F$18:$F$40,'AVARIA ESTIMADA'!$A$18:$A$40,A595)</f>
        <v>0</v>
      </c>
    </row>
    <row r="596" spans="1:6" x14ac:dyDescent="0.3">
      <c r="A596" s="9" t="s">
        <v>1267</v>
      </c>
      <c r="B596" s="18" t="str">
        <f>_xlfn.XLOOKUP(A596,CATÁLOGO!$A$2:$A$846,CATÁLOGO!$B$2:$B$846,"FORA DO CATÁLOGO")</f>
        <v>MOL014YP</v>
      </c>
      <c r="C596" s="11">
        <v>1</v>
      </c>
      <c r="D596" s="11" t="str">
        <f>_xlfn.XLOOKUP(A596,CATÁLOGO!$A$2:$A$846,CATÁLOGO!$E$2:$E$846,"FORA DO CATÁLOGO")</f>
        <v>Ativo</v>
      </c>
      <c r="E596" s="9" t="s">
        <v>1305</v>
      </c>
      <c r="F596" s="52">
        <f>SUMIFS('AVARIA ESTIMADA'!$F$18:$F$40,'AVARIA ESTIMADA'!$A$18:$A$40,A596)</f>
        <v>0</v>
      </c>
    </row>
    <row r="597" spans="1:6" x14ac:dyDescent="0.3">
      <c r="A597" s="9" t="s">
        <v>425</v>
      </c>
      <c r="B597" s="18" t="str">
        <f>_xlfn.XLOOKUP(A597,CATÁLOGO!$A$2:$A$846,CATÁLOGO!$B$2:$B$846,"FORA DO CATÁLOGO")</f>
        <v>MOL014YM</v>
      </c>
      <c r="C597" s="11">
        <v>2</v>
      </c>
      <c r="D597" s="11" t="str">
        <f>_xlfn.XLOOKUP(A597,CATÁLOGO!$A$2:$A$846,CATÁLOGO!$E$2:$E$846,"FORA DO CATÁLOGO")</f>
        <v>Ativo</v>
      </c>
      <c r="E597" s="9" t="s">
        <v>1320</v>
      </c>
      <c r="F597" s="52">
        <f>SUMIFS('AVARIA ESTIMADA'!$F$18:$F$40,'AVARIA ESTIMADA'!$A$18:$A$40,A597)</f>
        <v>0</v>
      </c>
    </row>
    <row r="598" spans="1:6" x14ac:dyDescent="0.3">
      <c r="A598" s="9" t="s">
        <v>426</v>
      </c>
      <c r="B598" s="18" t="str">
        <f>_xlfn.XLOOKUP(A598,CATÁLOGO!$A$2:$A$846,CATÁLOGO!$B$2:$B$846,"FORA DO CATÁLOGO")</f>
        <v>MOL014YG</v>
      </c>
      <c r="C598" s="11">
        <v>1</v>
      </c>
      <c r="D598" s="11" t="str">
        <f>_xlfn.XLOOKUP(A598,CATÁLOGO!$A$2:$A$846,CATÁLOGO!$E$2:$E$846,"FORA DO CATÁLOGO")</f>
        <v>Ativo</v>
      </c>
      <c r="E598" s="9" t="s">
        <v>1304</v>
      </c>
      <c r="F598" s="52">
        <f>SUMIFS('AVARIA ESTIMADA'!$F$18:$F$40,'AVARIA ESTIMADA'!$A$18:$A$40,A598)</f>
        <v>0</v>
      </c>
    </row>
    <row r="599" spans="1:6" x14ac:dyDescent="0.3">
      <c r="A599" s="9" t="s">
        <v>427</v>
      </c>
      <c r="B599" s="18" t="str">
        <f>_xlfn.XLOOKUP(A599,CATÁLOGO!$A$2:$A$846,CATÁLOGO!$B$2:$B$846,"FORA DO CATÁLOGO")</f>
        <v>MOL014YGG</v>
      </c>
      <c r="C599" s="11">
        <v>1</v>
      </c>
      <c r="D599" s="11" t="str">
        <f>_xlfn.XLOOKUP(A599,CATÁLOGO!$A$2:$A$846,CATÁLOGO!$E$2:$E$846,"FORA DO CATÁLOGO")</f>
        <v>Ativo</v>
      </c>
      <c r="E599" s="9" t="s">
        <v>1303</v>
      </c>
      <c r="F599" s="52">
        <f>SUMIFS('AVARIA ESTIMADA'!$F$18:$F$40,'AVARIA ESTIMADA'!$A$18:$A$40,A599)</f>
        <v>0</v>
      </c>
    </row>
    <row r="600" spans="1:6" x14ac:dyDescent="0.3">
      <c r="A600" s="9" t="s">
        <v>428</v>
      </c>
      <c r="B600" s="18" t="str">
        <f>_xlfn.XLOOKUP(A600,CATÁLOGO!$A$2:$A$846,CATÁLOGO!$B$2:$B$846,"FORA DO CATÁLOGO")</f>
        <v>MOL015AP</v>
      </c>
      <c r="C600" s="11">
        <v>6</v>
      </c>
      <c r="D600" s="11" t="str">
        <f>_xlfn.XLOOKUP(A600,CATÁLOGO!$A$2:$A$846,CATÁLOGO!$E$2:$E$846,"FORA DO CATÁLOGO")</f>
        <v>Ativo</v>
      </c>
      <c r="E600" s="9" t="s">
        <v>1305</v>
      </c>
      <c r="F600" s="52">
        <f>SUMIFS('AVARIA ESTIMADA'!$F$18:$F$40,'AVARIA ESTIMADA'!$A$18:$A$40,A600)</f>
        <v>0</v>
      </c>
    </row>
    <row r="601" spans="1:6" x14ac:dyDescent="0.3">
      <c r="A601" s="9" t="s">
        <v>429</v>
      </c>
      <c r="B601" s="18" t="str">
        <f>_xlfn.XLOOKUP(A601,CATÁLOGO!$A$2:$A$846,CATÁLOGO!$B$2:$B$846,"FORA DO CATÁLOGO")</f>
        <v>MOL015AM</v>
      </c>
      <c r="C601" s="11">
        <v>6</v>
      </c>
      <c r="D601" s="11" t="str">
        <f>_xlfn.XLOOKUP(A601,CATÁLOGO!$A$2:$A$846,CATÁLOGO!$E$2:$E$846,"FORA DO CATÁLOGO")</f>
        <v>Ativo</v>
      </c>
      <c r="E601" s="9" t="s">
        <v>1303</v>
      </c>
      <c r="F601" s="52">
        <f>SUMIFS('AVARIA ESTIMADA'!$F$18:$F$40,'AVARIA ESTIMADA'!$A$18:$A$40,A601)</f>
        <v>0</v>
      </c>
    </row>
    <row r="602" spans="1:6" x14ac:dyDescent="0.3">
      <c r="A602" s="9" t="s">
        <v>430</v>
      </c>
      <c r="B602" s="18" t="str">
        <f>_xlfn.XLOOKUP(A602,CATÁLOGO!$A$2:$A$846,CATÁLOGO!$B$2:$B$846,"FORA DO CATÁLOGO")</f>
        <v>MOL015AG</v>
      </c>
      <c r="C602" s="11">
        <v>6</v>
      </c>
      <c r="D602" s="11" t="str">
        <f>_xlfn.XLOOKUP(A602,CATÁLOGO!$A$2:$A$846,CATÁLOGO!$E$2:$E$846,"FORA DO CATÁLOGO")</f>
        <v>Ativo</v>
      </c>
      <c r="E602" s="9" t="s">
        <v>1303</v>
      </c>
      <c r="F602" s="52">
        <f>SUMIFS('AVARIA ESTIMADA'!$F$18:$F$40,'AVARIA ESTIMADA'!$A$18:$A$40,A602)</f>
        <v>0</v>
      </c>
    </row>
    <row r="603" spans="1:6" x14ac:dyDescent="0.3">
      <c r="A603" s="9" t="s">
        <v>431</v>
      </c>
      <c r="B603" s="18" t="str">
        <f>_xlfn.XLOOKUP(A603,CATÁLOGO!$A$2:$A$846,CATÁLOGO!$B$2:$B$846,"FORA DO CATÁLOGO")</f>
        <v>MOL015AGG</v>
      </c>
      <c r="C603" s="11">
        <v>5</v>
      </c>
      <c r="D603" s="11" t="str">
        <f>_xlfn.XLOOKUP(A603,CATÁLOGO!$A$2:$A$846,CATÁLOGO!$E$2:$E$846,"FORA DO CATÁLOGO")</f>
        <v>Ativo</v>
      </c>
      <c r="E603" s="9" t="s">
        <v>1304</v>
      </c>
      <c r="F603" s="52">
        <f>SUMIFS('AVARIA ESTIMADA'!$F$18:$F$40,'AVARIA ESTIMADA'!$A$18:$A$40,A603)</f>
        <v>0</v>
      </c>
    </row>
    <row r="604" spans="1:6" x14ac:dyDescent="0.3">
      <c r="A604" s="9" t="s">
        <v>3</v>
      </c>
      <c r="B604" s="18" t="str">
        <f>_xlfn.XLOOKUP(A604,CATÁLOGO!$A$2:$A$846,CATÁLOGO!$B$2:$B$846,"FORA DO CATÁLOGO")</f>
        <v>JAQ001VP</v>
      </c>
      <c r="C604" s="11">
        <v>1</v>
      </c>
      <c r="D604" s="11" t="str">
        <f>_xlfn.XLOOKUP(A604,CATÁLOGO!$A$2:$A$846,CATÁLOGO!$E$2:$E$846,"FORA DO CATÁLOGO")</f>
        <v>Ativo</v>
      </c>
      <c r="E604" s="9" t="s">
        <v>1304</v>
      </c>
      <c r="F604" s="52">
        <f>SUMIFS('AVARIA ESTIMADA'!$F$18:$F$40,'AVARIA ESTIMADA'!$A$18:$A$40,A604)</f>
        <v>0</v>
      </c>
    </row>
    <row r="605" spans="1:6" x14ac:dyDescent="0.3">
      <c r="A605" s="9" t="s">
        <v>5</v>
      </c>
      <c r="B605" s="18" t="str">
        <f>_xlfn.XLOOKUP(A605,CATÁLOGO!$A$2:$A$846,CATÁLOGO!$B$2:$B$846,"FORA DO CATÁLOGO")</f>
        <v>JAQ001VM</v>
      </c>
      <c r="C605" s="11">
        <v>2</v>
      </c>
      <c r="D605" s="11" t="str">
        <f>_xlfn.XLOOKUP(A605,CATÁLOGO!$A$2:$A$846,CATÁLOGO!$E$2:$E$846,"FORA DO CATÁLOGO")</f>
        <v>Ativo</v>
      </c>
      <c r="E605" s="9" t="s">
        <v>1305</v>
      </c>
      <c r="F605" s="52">
        <f>SUMIFS('AVARIA ESTIMADA'!$F$18:$F$40,'AVARIA ESTIMADA'!$A$18:$A$40,A605)</f>
        <v>0</v>
      </c>
    </row>
    <row r="606" spans="1:6" x14ac:dyDescent="0.3">
      <c r="A606" s="9" t="s">
        <v>432</v>
      </c>
      <c r="B606" s="18" t="str">
        <f>_xlfn.XLOOKUP(A606,CATÁLOGO!$A$2:$A$846,CATÁLOGO!$B$2:$B$846,"FORA DO CATÁLOGO")</f>
        <v>JAQ001VG</v>
      </c>
      <c r="C606" s="11">
        <v>2</v>
      </c>
      <c r="D606" s="11" t="str">
        <f>_xlfn.XLOOKUP(A606,CATÁLOGO!$A$2:$A$846,CATÁLOGO!$E$2:$E$846,"FORA DO CATÁLOGO")</f>
        <v>Ativo</v>
      </c>
      <c r="E606" s="9" t="s">
        <v>1305</v>
      </c>
      <c r="F606" s="52">
        <f>SUMIFS('AVARIA ESTIMADA'!$F$18:$F$40,'AVARIA ESTIMADA'!$A$18:$A$40,A606)</f>
        <v>0</v>
      </c>
    </row>
    <row r="607" spans="1:6" x14ac:dyDescent="0.3">
      <c r="A607" s="9" t="s">
        <v>433</v>
      </c>
      <c r="B607" s="18" t="str">
        <f>_xlfn.XLOOKUP(A607,CATÁLOGO!$A$2:$A$846,CATÁLOGO!$B$2:$B$846,"FORA DO CATÁLOGO")</f>
        <v>JAQ001VGG</v>
      </c>
      <c r="C607" s="11">
        <v>1</v>
      </c>
      <c r="D607" s="11" t="str">
        <f>_xlfn.XLOOKUP(A607,CATÁLOGO!$A$2:$A$846,CATÁLOGO!$E$2:$E$846,"FORA DO CATÁLOGO")</f>
        <v>Ativo</v>
      </c>
      <c r="E607" s="9" t="s">
        <v>1305</v>
      </c>
      <c r="F607" s="52">
        <f>SUMIFS('AVARIA ESTIMADA'!$F$18:$F$40,'AVARIA ESTIMADA'!$A$18:$A$40,A607)</f>
        <v>0</v>
      </c>
    </row>
    <row r="608" spans="1:6" x14ac:dyDescent="0.3">
      <c r="A608" s="9" t="s">
        <v>434</v>
      </c>
      <c r="B608" s="18" t="str">
        <f>_xlfn.XLOOKUP(A608,CATÁLOGO!$A$2:$A$846,CATÁLOGO!$B$2:$B$846,"FORA DO CATÁLOGO")</f>
        <v>JAQ001BP</v>
      </c>
      <c r="C608" s="11">
        <v>1</v>
      </c>
      <c r="D608" s="11" t="str">
        <f>_xlfn.XLOOKUP(A608,CATÁLOGO!$A$2:$A$846,CATÁLOGO!$E$2:$E$846,"FORA DO CATÁLOGO")</f>
        <v>Ativo</v>
      </c>
      <c r="E608" s="9" t="s">
        <v>1304</v>
      </c>
      <c r="F608" s="52">
        <f>SUMIFS('AVARIA ESTIMADA'!$F$18:$F$40,'AVARIA ESTIMADA'!$A$18:$A$40,A608)</f>
        <v>0</v>
      </c>
    </row>
    <row r="609" spans="1:6" x14ac:dyDescent="0.3">
      <c r="A609" s="9" t="s">
        <v>435</v>
      </c>
      <c r="B609" s="18" t="str">
        <f>_xlfn.XLOOKUP(A609,CATÁLOGO!$A$2:$A$846,CATÁLOGO!$B$2:$B$846,"FORA DO CATÁLOGO")</f>
        <v>JAQ001BM</v>
      </c>
      <c r="C609" s="11">
        <v>1</v>
      </c>
      <c r="D609" s="11" t="str">
        <f>_xlfn.XLOOKUP(A609,CATÁLOGO!$A$2:$A$846,CATÁLOGO!$E$2:$E$846,"FORA DO CATÁLOGO")</f>
        <v>Ativo</v>
      </c>
      <c r="E609" s="9" t="s">
        <v>1304</v>
      </c>
      <c r="F609" s="52">
        <f>SUMIFS('AVARIA ESTIMADA'!$F$18:$F$40,'AVARIA ESTIMADA'!$A$18:$A$40,A609)</f>
        <v>0</v>
      </c>
    </row>
    <row r="610" spans="1:6" x14ac:dyDescent="0.3">
      <c r="A610" s="9" t="s">
        <v>436</v>
      </c>
      <c r="B610" s="18" t="str">
        <f>_xlfn.XLOOKUP(A610,CATÁLOGO!$A$2:$A$846,CATÁLOGO!$B$2:$B$846,"FORA DO CATÁLOGO")</f>
        <v>JAQ001BG</v>
      </c>
      <c r="C610" s="11">
        <v>1</v>
      </c>
      <c r="D610" s="11" t="str">
        <f>_xlfn.XLOOKUP(A610,CATÁLOGO!$A$2:$A$846,CATÁLOGO!$E$2:$E$846,"FORA DO CATÁLOGO")</f>
        <v>Ativo</v>
      </c>
      <c r="E610" s="9" t="s">
        <v>1303</v>
      </c>
      <c r="F610" s="52">
        <f>SUMIFS('AVARIA ESTIMADA'!$F$18:$F$40,'AVARIA ESTIMADA'!$A$18:$A$40,A610)</f>
        <v>0</v>
      </c>
    </row>
    <row r="611" spans="1:6" x14ac:dyDescent="0.3">
      <c r="A611" s="9" t="s">
        <v>437</v>
      </c>
      <c r="B611" s="18" t="str">
        <f>_xlfn.XLOOKUP(A611,CATÁLOGO!$A$2:$A$846,CATÁLOGO!$B$2:$B$846,"FORA DO CATÁLOGO")</f>
        <v>JAQ001BGG</v>
      </c>
      <c r="C611" s="11">
        <v>1</v>
      </c>
      <c r="D611" s="11" t="str">
        <f>_xlfn.XLOOKUP(A611,CATÁLOGO!$A$2:$A$846,CATÁLOGO!$E$2:$E$846,"FORA DO CATÁLOGO")</f>
        <v>Ativo</v>
      </c>
      <c r="E611" s="9" t="s">
        <v>1304</v>
      </c>
      <c r="F611" s="52">
        <f>SUMIFS('AVARIA ESTIMADA'!$F$18:$F$40,'AVARIA ESTIMADA'!$A$18:$A$40,A611)</f>
        <v>0</v>
      </c>
    </row>
    <row r="612" spans="1:6" x14ac:dyDescent="0.3">
      <c r="A612" s="9" t="s">
        <v>438</v>
      </c>
      <c r="B612" s="18" t="str">
        <f>_xlfn.XLOOKUP(A612,CATÁLOGO!$A$2:$A$846,CATÁLOGO!$B$2:$B$846,"FORA DO CATÁLOGO")</f>
        <v>MOL002BP</v>
      </c>
      <c r="C612" s="11">
        <v>6</v>
      </c>
      <c r="D612" s="11" t="str">
        <f>_xlfn.XLOOKUP(A612,CATÁLOGO!$A$2:$A$846,CATÁLOGO!$E$2:$E$846,"FORA DO CATÁLOGO")</f>
        <v>Ativo</v>
      </c>
      <c r="E612" s="9" t="s">
        <v>1305</v>
      </c>
      <c r="F612" s="52">
        <f>SUMIFS('AVARIA ESTIMADA'!$F$18:$F$40,'AVARIA ESTIMADA'!$A$18:$A$40,A612)</f>
        <v>0</v>
      </c>
    </row>
    <row r="613" spans="1:6" x14ac:dyDescent="0.3">
      <c r="A613" s="9" t="s">
        <v>439</v>
      </c>
      <c r="B613" s="18" t="str">
        <f>_xlfn.XLOOKUP(A613,CATÁLOGO!$A$2:$A$846,CATÁLOGO!$B$2:$B$846,"FORA DO CATÁLOGO")</f>
        <v>MOL002BM</v>
      </c>
      <c r="C613" s="11">
        <v>6</v>
      </c>
      <c r="D613" s="11" t="str">
        <f>_xlfn.XLOOKUP(A613,CATÁLOGO!$A$2:$A$846,CATÁLOGO!$E$2:$E$846,"FORA DO CATÁLOGO")</f>
        <v>Ativo</v>
      </c>
      <c r="E613" s="9" t="s">
        <v>1305</v>
      </c>
      <c r="F613" s="52">
        <f>SUMIFS('AVARIA ESTIMADA'!$F$18:$F$40,'AVARIA ESTIMADA'!$A$18:$A$40,A613)</f>
        <v>0</v>
      </c>
    </row>
    <row r="614" spans="1:6" x14ac:dyDescent="0.3">
      <c r="A614" s="9" t="s">
        <v>6</v>
      </c>
      <c r="B614" s="18" t="str">
        <f>_xlfn.XLOOKUP(A614,CATÁLOGO!$A$2:$A$846,CATÁLOGO!$B$2:$B$846,"FORA DO CATÁLOGO")</f>
        <v>MOL002BG</v>
      </c>
      <c r="C614" s="11">
        <v>6</v>
      </c>
      <c r="D614" s="11" t="str">
        <f>_xlfn.XLOOKUP(A614,CATÁLOGO!$A$2:$A$846,CATÁLOGO!$E$2:$E$846,"FORA DO CATÁLOGO")</f>
        <v>Ativo</v>
      </c>
      <c r="E614" s="9" t="s">
        <v>1305</v>
      </c>
      <c r="F614" s="52">
        <f>SUMIFS('AVARIA ESTIMADA'!$F$18:$F$40,'AVARIA ESTIMADA'!$A$18:$A$40,A614)</f>
        <v>0</v>
      </c>
    </row>
    <row r="615" spans="1:6" x14ac:dyDescent="0.3">
      <c r="A615" s="9" t="s">
        <v>440</v>
      </c>
      <c r="B615" s="18" t="str">
        <f>_xlfn.XLOOKUP(A615,CATÁLOGO!$A$2:$A$846,CATÁLOGO!$B$2:$B$846,"FORA DO CATÁLOGO")</f>
        <v>MOL002BGG</v>
      </c>
      <c r="C615" s="11">
        <v>3</v>
      </c>
      <c r="D615" s="11" t="str">
        <f>_xlfn.XLOOKUP(A615,CATÁLOGO!$A$2:$A$846,CATÁLOGO!$E$2:$E$846,"FORA DO CATÁLOGO")</f>
        <v>Ativo</v>
      </c>
      <c r="E615" s="9" t="s">
        <v>1305</v>
      </c>
      <c r="F615" s="52">
        <f>SUMIFS('AVARIA ESTIMADA'!$F$18:$F$40,'AVARIA ESTIMADA'!$A$18:$A$40,A615)</f>
        <v>0</v>
      </c>
    </row>
    <row r="616" spans="1:6" x14ac:dyDescent="0.3">
      <c r="A616" s="9" t="s">
        <v>1918</v>
      </c>
      <c r="B616" s="18" t="str">
        <f>_xlfn.XLOOKUP(A616,CATÁLOGO!$A$2:$A$846,CATÁLOGO!$B$2:$B$846,"FORA DO CATÁLOGO")</f>
        <v>TRI013MPP</v>
      </c>
      <c r="C616" s="11">
        <v>1</v>
      </c>
      <c r="D616" s="11" t="str">
        <f>_xlfn.XLOOKUP(A616,CATÁLOGO!$A$2:$A$846,CATÁLOGO!$E$2:$E$846,"FORA DO CATÁLOGO")</f>
        <v>Ativo</v>
      </c>
      <c r="E616" s="9" t="s">
        <v>1305</v>
      </c>
      <c r="F616" s="52">
        <f>SUMIFS('AVARIA ESTIMADA'!$F$18:$F$40,'AVARIA ESTIMADA'!$A$18:$A$40,A616)</f>
        <v>0</v>
      </c>
    </row>
    <row r="617" spans="1:6" x14ac:dyDescent="0.3">
      <c r="A617" s="9" t="s">
        <v>441</v>
      </c>
      <c r="B617" s="18" t="str">
        <f>_xlfn.XLOOKUP(A617,CATÁLOGO!$A$2:$A$846,CATÁLOGO!$B$2:$B$846,"FORA DO CATÁLOGO")</f>
        <v>TRI013MP</v>
      </c>
      <c r="C617" s="11">
        <v>2</v>
      </c>
      <c r="D617" s="11" t="str">
        <f>_xlfn.XLOOKUP(A617,CATÁLOGO!$A$2:$A$846,CATÁLOGO!$E$2:$E$846,"FORA DO CATÁLOGO")</f>
        <v>Ativo</v>
      </c>
      <c r="E617" s="9" t="s">
        <v>1303</v>
      </c>
      <c r="F617" s="52">
        <f>SUMIFS('AVARIA ESTIMADA'!$F$18:$F$40,'AVARIA ESTIMADA'!$A$18:$A$40,A617)</f>
        <v>0</v>
      </c>
    </row>
    <row r="618" spans="1:6" x14ac:dyDescent="0.3">
      <c r="A618" s="9" t="s">
        <v>442</v>
      </c>
      <c r="B618" s="18" t="str">
        <f>_xlfn.XLOOKUP(A618,CATÁLOGO!$A$2:$A$846,CATÁLOGO!$B$2:$B$846,"FORA DO CATÁLOGO")</f>
        <v>TRI013MM</v>
      </c>
      <c r="C618" s="11">
        <v>3</v>
      </c>
      <c r="D618" s="11" t="str">
        <f>_xlfn.XLOOKUP(A618,CATÁLOGO!$A$2:$A$846,CATÁLOGO!$E$2:$E$846,"FORA DO CATÁLOGO")</f>
        <v>Ativo</v>
      </c>
      <c r="E618" s="9" t="s">
        <v>1304</v>
      </c>
      <c r="F618" s="52">
        <f>SUMIFS('AVARIA ESTIMADA'!$F$18:$F$40,'AVARIA ESTIMADA'!$A$18:$A$40,A618)</f>
        <v>0</v>
      </c>
    </row>
    <row r="619" spans="1:6" x14ac:dyDescent="0.3">
      <c r="A619" s="9" t="s">
        <v>443</v>
      </c>
      <c r="B619" s="18" t="str">
        <f>_xlfn.XLOOKUP(A619,CATÁLOGO!$A$2:$A$846,CATÁLOGO!$B$2:$B$846,"FORA DO CATÁLOGO")</f>
        <v>TRI013MG</v>
      </c>
      <c r="C619" s="11">
        <v>2</v>
      </c>
      <c r="D619" s="11" t="str">
        <f>_xlfn.XLOOKUP(A619,CATÁLOGO!$A$2:$A$846,CATÁLOGO!$E$2:$E$846,"FORA DO CATÁLOGO")</f>
        <v>Ativo</v>
      </c>
      <c r="E619" s="9" t="s">
        <v>1303</v>
      </c>
      <c r="F619" s="52">
        <f>SUMIFS('AVARIA ESTIMADA'!$F$18:$F$40,'AVARIA ESTIMADA'!$A$18:$A$40,A619)</f>
        <v>0</v>
      </c>
    </row>
    <row r="620" spans="1:6" x14ac:dyDescent="0.3">
      <c r="A620" s="9" t="s">
        <v>444</v>
      </c>
      <c r="B620" s="18" t="str">
        <f>_xlfn.XLOOKUP(A620,CATÁLOGO!$A$2:$A$846,CATÁLOGO!$B$2:$B$846,"FORA DO CATÁLOGO")</f>
        <v>TRI013MGG</v>
      </c>
      <c r="C620" s="11">
        <v>1</v>
      </c>
      <c r="D620" s="11" t="str">
        <f>_xlfn.XLOOKUP(A620,CATÁLOGO!$A$2:$A$846,CATÁLOGO!$E$2:$E$846,"FORA DO CATÁLOGO")</f>
        <v>Ativo</v>
      </c>
      <c r="E620" s="9" t="s">
        <v>1305</v>
      </c>
      <c r="F620" s="52">
        <f>SUMIFS('AVARIA ESTIMADA'!$F$18:$F$40,'AVARIA ESTIMADA'!$A$18:$A$40,A620)</f>
        <v>0</v>
      </c>
    </row>
    <row r="621" spans="1:6" x14ac:dyDescent="0.3">
      <c r="A621" s="9" t="s">
        <v>1512</v>
      </c>
      <c r="B621" s="18" t="str">
        <f>_xlfn.XLOOKUP(A621,CATÁLOGO!$A$2:$A$846,CATÁLOGO!$B$2:$B$846,"FORA DO CATÁLOGO")</f>
        <v>BER011G38</v>
      </c>
      <c r="C621" s="11">
        <v>6</v>
      </c>
      <c r="D621" s="11" t="str">
        <f>_xlfn.XLOOKUP(A621,CATÁLOGO!$A$2:$A$846,CATÁLOGO!$E$2:$E$846,"FORA DO CATÁLOGO")</f>
        <v>Ativo</v>
      </c>
      <c r="E621" s="9" t="s">
        <v>1305</v>
      </c>
      <c r="F621" s="52">
        <f>SUMIFS('AVARIA ESTIMADA'!$F$18:$F$40,'AVARIA ESTIMADA'!$A$18:$A$40,A621)</f>
        <v>0</v>
      </c>
    </row>
    <row r="622" spans="1:6" x14ac:dyDescent="0.3">
      <c r="A622" s="9" t="s">
        <v>1511</v>
      </c>
      <c r="B622" s="18" t="str">
        <f>_xlfn.XLOOKUP(A622,CATÁLOGO!$A$2:$A$846,CATÁLOGO!$B$2:$B$846,"FORA DO CATÁLOGO")</f>
        <v>BER011G40</v>
      </c>
      <c r="C622" s="11">
        <v>6</v>
      </c>
      <c r="D622" s="11" t="str">
        <f>_xlfn.XLOOKUP(A622,CATÁLOGO!$A$2:$A$846,CATÁLOGO!$E$2:$E$846,"FORA DO CATÁLOGO")</f>
        <v>Ativo</v>
      </c>
      <c r="E622" s="9" t="s">
        <v>1305</v>
      </c>
      <c r="F622" s="52">
        <f>SUMIFS('AVARIA ESTIMADA'!$F$18:$F$40,'AVARIA ESTIMADA'!$A$18:$A$40,A622)</f>
        <v>0</v>
      </c>
    </row>
    <row r="623" spans="1:6" x14ac:dyDescent="0.3">
      <c r="A623" s="9" t="s">
        <v>1508</v>
      </c>
      <c r="B623" s="18" t="str">
        <f>_xlfn.XLOOKUP(A623,CATÁLOGO!$A$2:$A$846,CATÁLOGO!$B$2:$B$846,"FORA DO CATÁLOGO")</f>
        <v>BER011G42</v>
      </c>
      <c r="C623" s="11">
        <v>6</v>
      </c>
      <c r="D623" s="11" t="str">
        <f>_xlfn.XLOOKUP(A623,CATÁLOGO!$A$2:$A$846,CATÁLOGO!$E$2:$E$846,"FORA DO CATÁLOGO")</f>
        <v>Ativo</v>
      </c>
      <c r="E623" s="9" t="s">
        <v>1303</v>
      </c>
      <c r="F623" s="52">
        <f>SUMIFS('AVARIA ESTIMADA'!$F$18:$F$40,'AVARIA ESTIMADA'!$A$18:$A$40,A623)</f>
        <v>0</v>
      </c>
    </row>
    <row r="624" spans="1:6" x14ac:dyDescent="0.3">
      <c r="A624" s="9" t="s">
        <v>1510</v>
      </c>
      <c r="B624" s="18" t="str">
        <f>_xlfn.XLOOKUP(A624,CATÁLOGO!$A$2:$A$846,CATÁLOGO!$B$2:$B$846,"FORA DO CATÁLOGO")</f>
        <v>BER011G44</v>
      </c>
      <c r="C624" s="11">
        <v>4</v>
      </c>
      <c r="D624" s="11" t="str">
        <f>_xlfn.XLOOKUP(A624,CATÁLOGO!$A$2:$A$846,CATÁLOGO!$E$2:$E$846,"FORA DO CATÁLOGO")</f>
        <v>Ativo</v>
      </c>
      <c r="E624" s="9" t="s">
        <v>1305</v>
      </c>
      <c r="F624" s="52">
        <f>SUMIFS('AVARIA ESTIMADA'!$F$18:$F$40,'AVARIA ESTIMADA'!$A$18:$A$40,A624)</f>
        <v>0</v>
      </c>
    </row>
    <row r="625" spans="1:6" x14ac:dyDescent="0.3">
      <c r="A625" s="9" t="s">
        <v>1268</v>
      </c>
      <c r="B625" s="18" t="str">
        <f>_xlfn.XLOOKUP(A625,CATÁLOGO!$A$2:$A$846,CATÁLOGO!$B$2:$B$846,"FORA DO CATÁLOGO")</f>
        <v>JAQ009YP</v>
      </c>
      <c r="C625" s="11">
        <v>5</v>
      </c>
      <c r="D625" s="11" t="str">
        <f>_xlfn.XLOOKUP(A625,CATÁLOGO!$A$2:$A$846,CATÁLOGO!$E$2:$E$846,"FORA DO CATÁLOGO")</f>
        <v>Ativo</v>
      </c>
      <c r="E625" s="9" t="s">
        <v>1305</v>
      </c>
      <c r="F625" s="52">
        <f>SUMIFS('AVARIA ESTIMADA'!$F$18:$F$40,'AVARIA ESTIMADA'!$A$18:$A$40,A625)</f>
        <v>0</v>
      </c>
    </row>
    <row r="626" spans="1:6" x14ac:dyDescent="0.3">
      <c r="A626" s="9" t="s">
        <v>445</v>
      </c>
      <c r="B626" s="18" t="str">
        <f>_xlfn.XLOOKUP(A626,CATÁLOGO!$A$2:$A$846,CATÁLOGO!$B$2:$B$846,"FORA DO CATÁLOGO")</f>
        <v>JAQ009YM</v>
      </c>
      <c r="C626" s="11">
        <v>6</v>
      </c>
      <c r="D626" s="11" t="str">
        <f>_xlfn.XLOOKUP(A626,CATÁLOGO!$A$2:$A$846,CATÁLOGO!$E$2:$E$846,"FORA DO CATÁLOGO")</f>
        <v>Ativo</v>
      </c>
      <c r="E626" s="9" t="s">
        <v>1304</v>
      </c>
      <c r="F626" s="52">
        <f>SUMIFS('AVARIA ESTIMADA'!$F$18:$F$40,'AVARIA ESTIMADA'!$A$18:$A$40,A626)</f>
        <v>0</v>
      </c>
    </row>
    <row r="627" spans="1:6" x14ac:dyDescent="0.3">
      <c r="A627" s="9" t="s">
        <v>446</v>
      </c>
      <c r="B627" s="18" t="str">
        <f>_xlfn.XLOOKUP(A627,CATÁLOGO!$A$2:$A$846,CATÁLOGO!$B$2:$B$846,"FORA DO CATÁLOGO")</f>
        <v>JAQ009YG</v>
      </c>
      <c r="C627" s="11">
        <v>6</v>
      </c>
      <c r="D627" s="11" t="str">
        <f>_xlfn.XLOOKUP(A627,CATÁLOGO!$A$2:$A$846,CATÁLOGO!$E$2:$E$846,"FORA DO CATÁLOGO")</f>
        <v>Ativo</v>
      </c>
      <c r="E627" s="9" t="s">
        <v>1305</v>
      </c>
      <c r="F627" s="52">
        <f>SUMIFS('AVARIA ESTIMADA'!$F$18:$F$40,'AVARIA ESTIMADA'!$A$18:$A$40,A627)</f>
        <v>0</v>
      </c>
    </row>
    <row r="628" spans="1:6" x14ac:dyDescent="0.3">
      <c r="A628" s="9" t="s">
        <v>447</v>
      </c>
      <c r="B628" s="18" t="str">
        <f>_xlfn.XLOOKUP(A628,CATÁLOGO!$A$2:$A$846,CATÁLOGO!$B$2:$B$846,"FORA DO CATÁLOGO")</f>
        <v>JAQ009YGG</v>
      </c>
      <c r="C628" s="11">
        <v>3</v>
      </c>
      <c r="D628" s="11" t="str">
        <f>_xlfn.XLOOKUP(A628,CATÁLOGO!$A$2:$A$846,CATÁLOGO!$E$2:$E$846,"FORA DO CATÁLOGO")</f>
        <v>Ativo</v>
      </c>
      <c r="E628" s="9" t="s">
        <v>1305</v>
      </c>
      <c r="F628" s="52">
        <f>SUMIFS('AVARIA ESTIMADA'!$F$18:$F$40,'AVARIA ESTIMADA'!$A$18:$A$40,A628)</f>
        <v>0</v>
      </c>
    </row>
    <row r="629" spans="1:6" x14ac:dyDescent="0.3">
      <c r="A629" s="9" t="s">
        <v>1808</v>
      </c>
      <c r="B629" s="18" t="str">
        <f>_xlfn.XLOOKUP(A629,CATÁLOGO!$A$2:$A$846,CATÁLOGO!$B$2:$B$846,"FORA DO CATÁLOGO")</f>
        <v>JAQ010HPP</v>
      </c>
      <c r="C629" s="11">
        <v>1</v>
      </c>
      <c r="D629" s="11" t="str">
        <f>_xlfn.XLOOKUP(A629,CATÁLOGO!$A$2:$A$846,CATÁLOGO!$E$2:$E$846,"FORA DO CATÁLOGO")</f>
        <v>Ativo</v>
      </c>
      <c r="E629" s="9" t="s">
        <v>1304</v>
      </c>
      <c r="F629" s="52">
        <f>SUMIFS('AVARIA ESTIMADA'!$F$18:$F$40,'AVARIA ESTIMADA'!$A$18:$A$40,A629)</f>
        <v>0</v>
      </c>
    </row>
    <row r="630" spans="1:6" x14ac:dyDescent="0.3">
      <c r="A630" s="9" t="s">
        <v>448</v>
      </c>
      <c r="B630" s="18" t="str">
        <f>_xlfn.XLOOKUP(A630,CATÁLOGO!$A$2:$A$846,CATÁLOGO!$B$2:$B$846,"FORA DO CATÁLOGO")</f>
        <v>JAQ010HP</v>
      </c>
      <c r="C630" s="11">
        <v>2</v>
      </c>
      <c r="D630" s="11" t="str">
        <f>_xlfn.XLOOKUP(A630,CATÁLOGO!$A$2:$A$846,CATÁLOGO!$E$2:$E$846,"FORA DO CATÁLOGO")</f>
        <v>Ativo</v>
      </c>
      <c r="E630" s="9" t="s">
        <v>1304</v>
      </c>
      <c r="F630" s="52">
        <f>SUMIFS('AVARIA ESTIMADA'!$F$18:$F$40,'AVARIA ESTIMADA'!$A$18:$A$40,A630)</f>
        <v>0</v>
      </c>
    </row>
    <row r="631" spans="1:6" x14ac:dyDescent="0.3">
      <c r="A631" s="9" t="s">
        <v>449</v>
      </c>
      <c r="B631" s="18" t="str">
        <f>_xlfn.XLOOKUP(A631,CATÁLOGO!$A$2:$A$846,CATÁLOGO!$B$2:$B$846,"FORA DO CATÁLOGO")</f>
        <v>JAQ010HM</v>
      </c>
      <c r="C631" s="11">
        <v>4</v>
      </c>
      <c r="D631" s="11" t="str">
        <f>_xlfn.XLOOKUP(A631,CATÁLOGO!$A$2:$A$846,CATÁLOGO!$E$2:$E$846,"FORA DO CATÁLOGO")</f>
        <v>Ativo</v>
      </c>
      <c r="E631" s="9" t="s">
        <v>1305</v>
      </c>
      <c r="F631" s="52">
        <f>SUMIFS('AVARIA ESTIMADA'!$F$18:$F$40,'AVARIA ESTIMADA'!$A$18:$A$40,A631)</f>
        <v>0</v>
      </c>
    </row>
    <row r="632" spans="1:6" x14ac:dyDescent="0.3">
      <c r="A632" s="9" t="s">
        <v>450</v>
      </c>
      <c r="B632" s="18" t="str">
        <f>_xlfn.XLOOKUP(A632,CATÁLOGO!$A$2:$A$846,CATÁLOGO!$B$2:$B$846,"FORA DO CATÁLOGO")</f>
        <v>JAQ010HG</v>
      </c>
      <c r="C632" s="11">
        <v>3</v>
      </c>
      <c r="D632" s="11" t="str">
        <f>_xlfn.XLOOKUP(A632,CATÁLOGO!$A$2:$A$846,CATÁLOGO!$E$2:$E$846,"FORA DO CATÁLOGO")</f>
        <v>Ativo</v>
      </c>
      <c r="E632" s="9" t="s">
        <v>1303</v>
      </c>
      <c r="F632" s="52">
        <f>SUMIFS('AVARIA ESTIMADA'!$F$18:$F$40,'AVARIA ESTIMADA'!$A$18:$A$40,A632)</f>
        <v>0</v>
      </c>
    </row>
    <row r="633" spans="1:6" x14ac:dyDescent="0.3">
      <c r="A633" s="9" t="s">
        <v>451</v>
      </c>
      <c r="B633" s="18" t="str">
        <f>_xlfn.XLOOKUP(A633,CATÁLOGO!$A$2:$A$846,CATÁLOGO!$B$2:$B$846,"FORA DO CATÁLOGO")</f>
        <v>JAQ010HGG</v>
      </c>
      <c r="C633" s="11">
        <v>1</v>
      </c>
      <c r="D633" s="11" t="str">
        <f>_xlfn.XLOOKUP(A633,CATÁLOGO!$A$2:$A$846,CATÁLOGO!$E$2:$E$846,"FORA DO CATÁLOGO")</f>
        <v>Ativo</v>
      </c>
      <c r="E633" s="9" t="s">
        <v>1303</v>
      </c>
      <c r="F633" s="52">
        <f>SUMIFS('AVARIA ESTIMADA'!$F$18:$F$40,'AVARIA ESTIMADA'!$A$18:$A$40,A633)</f>
        <v>0</v>
      </c>
    </row>
    <row r="634" spans="1:6" x14ac:dyDescent="0.3">
      <c r="A634" s="9" t="s">
        <v>1807</v>
      </c>
      <c r="B634" s="18" t="str">
        <f>_xlfn.XLOOKUP(A634,CATÁLOGO!$A$2:$A$846,CATÁLOGO!$B$2:$B$846,"FORA DO CATÁLOGO")</f>
        <v>JAQ010VPP</v>
      </c>
      <c r="C634" s="11">
        <v>1</v>
      </c>
      <c r="D634" s="11" t="str">
        <f>_xlfn.XLOOKUP(A634,CATÁLOGO!$A$2:$A$846,CATÁLOGO!$E$2:$E$846,"FORA DO CATÁLOGO")</f>
        <v>Ativo</v>
      </c>
      <c r="E634" s="9" t="s">
        <v>1305</v>
      </c>
      <c r="F634" s="52">
        <f>SUMIFS('AVARIA ESTIMADA'!$F$18:$F$40,'AVARIA ESTIMADA'!$A$18:$A$40,A634)</f>
        <v>0</v>
      </c>
    </row>
    <row r="635" spans="1:6" x14ac:dyDescent="0.3">
      <c r="A635" s="9" t="s">
        <v>452</v>
      </c>
      <c r="B635" s="18" t="str">
        <f>_xlfn.XLOOKUP(A635,CATÁLOGO!$A$2:$A$846,CATÁLOGO!$B$2:$B$846,"FORA DO CATÁLOGO")</f>
        <v>JAQ010VP</v>
      </c>
      <c r="C635" s="11">
        <v>1</v>
      </c>
      <c r="D635" s="11" t="str">
        <f>_xlfn.XLOOKUP(A635,CATÁLOGO!$A$2:$A$846,CATÁLOGO!$E$2:$E$846,"FORA DO CATÁLOGO")</f>
        <v>Ativo</v>
      </c>
      <c r="E635" s="9" t="s">
        <v>1305</v>
      </c>
      <c r="F635" s="52">
        <f>SUMIFS('AVARIA ESTIMADA'!$F$18:$F$40,'AVARIA ESTIMADA'!$A$18:$A$40,A635)</f>
        <v>0</v>
      </c>
    </row>
    <row r="636" spans="1:6" x14ac:dyDescent="0.3">
      <c r="A636" s="9" t="s">
        <v>453</v>
      </c>
      <c r="B636" s="18" t="str">
        <f>_xlfn.XLOOKUP(A636,CATÁLOGO!$A$2:$A$846,CATÁLOGO!$B$2:$B$846,"FORA DO CATÁLOGO")</f>
        <v>JAQ010VM</v>
      </c>
      <c r="C636" s="11">
        <v>2</v>
      </c>
      <c r="D636" s="11" t="str">
        <f>_xlfn.XLOOKUP(A636,CATÁLOGO!$A$2:$A$846,CATÁLOGO!$E$2:$E$846,"FORA DO CATÁLOGO")</f>
        <v>Ativo</v>
      </c>
      <c r="E636" s="9" t="s">
        <v>1304</v>
      </c>
      <c r="F636" s="52">
        <f>SUMIFS('AVARIA ESTIMADA'!$F$18:$F$40,'AVARIA ESTIMADA'!$A$18:$A$40,A636)</f>
        <v>0</v>
      </c>
    </row>
    <row r="637" spans="1:6" x14ac:dyDescent="0.3">
      <c r="A637" s="9" t="s">
        <v>454</v>
      </c>
      <c r="B637" s="18" t="str">
        <f>_xlfn.XLOOKUP(A637,CATÁLOGO!$A$2:$A$846,CATÁLOGO!$B$2:$B$846,"FORA DO CATÁLOGO")</f>
        <v>JAQ010VG</v>
      </c>
      <c r="C637" s="11">
        <v>2</v>
      </c>
      <c r="D637" s="11" t="str">
        <f>_xlfn.XLOOKUP(A637,CATÁLOGO!$A$2:$A$846,CATÁLOGO!$E$2:$E$846,"FORA DO CATÁLOGO")</f>
        <v>Ativo</v>
      </c>
      <c r="E637" s="9" t="s">
        <v>1304</v>
      </c>
      <c r="F637" s="52">
        <f>SUMIFS('AVARIA ESTIMADA'!$F$18:$F$40,'AVARIA ESTIMADA'!$A$18:$A$40,A637)</f>
        <v>0</v>
      </c>
    </row>
    <row r="638" spans="1:6" x14ac:dyDescent="0.3">
      <c r="A638" s="9" t="s">
        <v>455</v>
      </c>
      <c r="B638" s="18" t="str">
        <f>_xlfn.XLOOKUP(A638,CATÁLOGO!$A$2:$A$846,CATÁLOGO!$B$2:$B$846,"FORA DO CATÁLOGO")</f>
        <v>JAQ010VGG</v>
      </c>
      <c r="C638" s="11">
        <v>1</v>
      </c>
      <c r="D638" s="11" t="str">
        <f>_xlfn.XLOOKUP(A638,CATÁLOGO!$A$2:$A$846,CATÁLOGO!$E$2:$E$846,"FORA DO CATÁLOGO")</f>
        <v>Ativo</v>
      </c>
      <c r="E638" s="9" t="s">
        <v>1303</v>
      </c>
      <c r="F638" s="52">
        <f>SUMIFS('AVARIA ESTIMADA'!$F$18:$F$40,'AVARIA ESTIMADA'!$A$18:$A$40,A638)</f>
        <v>0</v>
      </c>
    </row>
    <row r="639" spans="1:6" x14ac:dyDescent="0.3">
      <c r="A639" s="9" t="s">
        <v>1289</v>
      </c>
      <c r="B639" s="18" t="str">
        <f>_xlfn.XLOOKUP(A639,CATÁLOGO!$A$2:$A$846,CATÁLOGO!$B$2:$B$846,"FORA DO CATÁLOGO")</f>
        <v>TRI001MP</v>
      </c>
      <c r="C639" s="11">
        <v>3</v>
      </c>
      <c r="D639" s="11" t="str">
        <f>_xlfn.XLOOKUP(A639,CATÁLOGO!$A$2:$A$846,CATÁLOGO!$E$2:$E$846,"FORA DO CATÁLOGO")</f>
        <v>Ativo</v>
      </c>
      <c r="E639" s="9" t="s">
        <v>1304</v>
      </c>
      <c r="F639" s="52">
        <f>SUMIFS('AVARIA ESTIMADA'!$F$18:$F$40,'AVARIA ESTIMADA'!$A$18:$A$40,A639)</f>
        <v>0</v>
      </c>
    </row>
    <row r="640" spans="1:6" x14ac:dyDescent="0.3">
      <c r="A640" s="9" t="s">
        <v>456</v>
      </c>
      <c r="B640" s="18" t="str">
        <f>_xlfn.XLOOKUP(A640,CATÁLOGO!$A$2:$A$846,CATÁLOGO!$B$2:$B$846,"FORA DO CATÁLOGO")</f>
        <v>TRI001MM</v>
      </c>
      <c r="C640" s="11">
        <v>5</v>
      </c>
      <c r="D640" s="11" t="str">
        <f>_xlfn.XLOOKUP(A640,CATÁLOGO!$A$2:$A$846,CATÁLOGO!$E$2:$E$846,"FORA DO CATÁLOGO")</f>
        <v>Ativo</v>
      </c>
      <c r="E640" s="9" t="s">
        <v>1304</v>
      </c>
      <c r="F640" s="52">
        <f>SUMIFS('AVARIA ESTIMADA'!$F$18:$F$40,'AVARIA ESTIMADA'!$A$18:$A$40,A640)</f>
        <v>0</v>
      </c>
    </row>
    <row r="641" spans="1:6" x14ac:dyDescent="0.3">
      <c r="A641" s="9" t="s">
        <v>457</v>
      </c>
      <c r="B641" s="18" t="str">
        <f>_xlfn.XLOOKUP(A641,CATÁLOGO!$A$2:$A$846,CATÁLOGO!$B$2:$B$846,"FORA DO CATÁLOGO")</f>
        <v>TRI001MG</v>
      </c>
      <c r="C641" s="11">
        <v>4</v>
      </c>
      <c r="D641" s="11" t="str">
        <f>_xlfn.XLOOKUP(A641,CATÁLOGO!$A$2:$A$846,CATÁLOGO!$E$2:$E$846,"FORA DO CATÁLOGO")</f>
        <v>Ativo</v>
      </c>
      <c r="E641" s="9" t="s">
        <v>1305</v>
      </c>
      <c r="F641" s="52">
        <f>SUMIFS('AVARIA ESTIMADA'!$F$18:$F$40,'AVARIA ESTIMADA'!$A$18:$A$40,A641)</f>
        <v>0</v>
      </c>
    </row>
    <row r="642" spans="1:6" x14ac:dyDescent="0.3">
      <c r="A642" s="9" t="s">
        <v>1269</v>
      </c>
      <c r="B642" s="18" t="str">
        <f>_xlfn.XLOOKUP(A642,CATÁLOGO!$A$2:$A$846,CATÁLOGO!$B$2:$B$846,"FORA DO CATÁLOGO")</f>
        <v>TRI001MGG</v>
      </c>
      <c r="C642" s="11">
        <v>2</v>
      </c>
      <c r="D642" s="11" t="str">
        <f>_xlfn.XLOOKUP(A642,CATÁLOGO!$A$2:$A$846,CATÁLOGO!$E$2:$E$846,"FORA DO CATÁLOGO")</f>
        <v>Ativo</v>
      </c>
      <c r="E642" s="9" t="s">
        <v>1305</v>
      </c>
      <c r="F642" s="52">
        <f>SUMIFS('AVARIA ESTIMADA'!$F$18:$F$40,'AVARIA ESTIMADA'!$A$18:$A$40,A642)</f>
        <v>0</v>
      </c>
    </row>
    <row r="643" spans="1:6" x14ac:dyDescent="0.3">
      <c r="A643" s="9" t="s">
        <v>458</v>
      </c>
      <c r="B643" s="18" t="str">
        <f>_xlfn.XLOOKUP(A643,CATÁLOGO!$A$2:$A$846,CATÁLOGO!$B$2:$B$846,"FORA DO CATÁLOGO")</f>
        <v>SAI012GP</v>
      </c>
      <c r="C643" s="11">
        <v>6</v>
      </c>
      <c r="D643" s="11" t="str">
        <f>_xlfn.XLOOKUP(A643,CATÁLOGO!$A$2:$A$846,CATÁLOGO!$E$2:$E$846,"FORA DO CATÁLOGO")</f>
        <v>Ativo</v>
      </c>
      <c r="E643" s="9" t="s">
        <v>1305</v>
      </c>
      <c r="F643" s="52">
        <f>SUMIFS('AVARIA ESTIMADA'!$F$18:$F$40,'AVARIA ESTIMADA'!$A$18:$A$40,A643)</f>
        <v>0</v>
      </c>
    </row>
    <row r="644" spans="1:6" x14ac:dyDescent="0.3">
      <c r="A644" s="9" t="s">
        <v>1270</v>
      </c>
      <c r="B644" s="18" t="str">
        <f>_xlfn.XLOOKUP(A644,CATÁLOGO!$A$2:$A$846,CATÁLOGO!$B$2:$B$846,"FORA DO CATÁLOGO")</f>
        <v>SAI012GM</v>
      </c>
      <c r="C644" s="11">
        <v>6</v>
      </c>
      <c r="D644" s="11" t="str">
        <f>_xlfn.XLOOKUP(A644,CATÁLOGO!$A$2:$A$846,CATÁLOGO!$E$2:$E$846,"FORA DO CATÁLOGO")</f>
        <v>Ativo</v>
      </c>
      <c r="E644" s="9" t="s">
        <v>1305</v>
      </c>
      <c r="F644" s="52">
        <f>SUMIFS('AVARIA ESTIMADA'!$F$18:$F$40,'AVARIA ESTIMADA'!$A$18:$A$40,A644)</f>
        <v>0</v>
      </c>
    </row>
    <row r="645" spans="1:6" x14ac:dyDescent="0.3">
      <c r="A645" s="9" t="s">
        <v>460</v>
      </c>
      <c r="B645" s="18" t="str">
        <f>_xlfn.XLOOKUP(A645,CATÁLOGO!$A$2:$A$846,CATÁLOGO!$B$2:$B$846,"FORA DO CATÁLOGO")</f>
        <v>SAI012GGG</v>
      </c>
      <c r="C645" s="11">
        <v>5</v>
      </c>
      <c r="D645" s="11" t="str">
        <f>_xlfn.XLOOKUP(A645,CATÁLOGO!$A$2:$A$846,CATÁLOGO!$E$2:$E$846,"FORA DO CATÁLOGO")</f>
        <v>Ativo</v>
      </c>
      <c r="E645" s="9" t="s">
        <v>1304</v>
      </c>
      <c r="F645" s="52">
        <f>SUMIFS('AVARIA ESTIMADA'!$F$18:$F$40,'AVARIA ESTIMADA'!$A$18:$A$40,A645)</f>
        <v>0</v>
      </c>
    </row>
    <row r="646" spans="1:6" x14ac:dyDescent="0.3">
      <c r="A646" s="9" t="s">
        <v>461</v>
      </c>
      <c r="B646" s="18" t="str">
        <f>_xlfn.XLOOKUP(A646,CATÁLOGO!$A$2:$A$846,CATÁLOGO!$B$2:$B$846,"FORA DO CATÁLOGO")</f>
        <v>MOL017LP</v>
      </c>
      <c r="C646" s="11">
        <v>2</v>
      </c>
      <c r="D646" s="11" t="str">
        <f>_xlfn.XLOOKUP(A646,CATÁLOGO!$A$2:$A$846,CATÁLOGO!$E$2:$E$846,"FORA DO CATÁLOGO")</f>
        <v>Ativo</v>
      </c>
      <c r="E646" s="9" t="s">
        <v>2003</v>
      </c>
      <c r="F646" s="52">
        <f>SUMIFS('AVARIA ESTIMADA'!$F$18:$F$40,'AVARIA ESTIMADA'!$A$18:$A$40,A646)</f>
        <v>0</v>
      </c>
    </row>
    <row r="647" spans="1:6" x14ac:dyDescent="0.3">
      <c r="A647" s="9" t="s">
        <v>462</v>
      </c>
      <c r="B647" s="18" t="str">
        <f>_xlfn.XLOOKUP(A647,CATÁLOGO!$A$2:$A$846,CATÁLOGO!$B$2:$B$846,"FORA DO CATÁLOGO")</f>
        <v>MOL017LM</v>
      </c>
      <c r="C647" s="11">
        <v>3</v>
      </c>
      <c r="D647" s="11" t="str">
        <f>_xlfn.XLOOKUP(A647,CATÁLOGO!$A$2:$A$846,CATÁLOGO!$E$2:$E$846,"FORA DO CATÁLOGO")</f>
        <v>Ativo</v>
      </c>
      <c r="E647" s="9" t="s">
        <v>1305</v>
      </c>
      <c r="F647" s="52">
        <f>SUMIFS('AVARIA ESTIMADA'!$F$18:$F$40,'AVARIA ESTIMADA'!$A$18:$A$40,A647)</f>
        <v>0</v>
      </c>
    </row>
    <row r="648" spans="1:6" x14ac:dyDescent="0.3">
      <c r="A648" s="9" t="s">
        <v>463</v>
      </c>
      <c r="B648" s="18" t="str">
        <f>_xlfn.XLOOKUP(A648,CATÁLOGO!$A$2:$A$846,CATÁLOGO!$B$2:$B$846,"FORA DO CATÁLOGO")</f>
        <v>MOL017LG</v>
      </c>
      <c r="C648" s="11">
        <v>2</v>
      </c>
      <c r="D648" s="11" t="str">
        <f>_xlfn.XLOOKUP(A648,CATÁLOGO!$A$2:$A$846,CATÁLOGO!$E$2:$E$846,"FORA DO CATÁLOGO")</f>
        <v>Ativo</v>
      </c>
      <c r="E648" s="9" t="s">
        <v>1304</v>
      </c>
      <c r="F648" s="52">
        <f>SUMIFS('AVARIA ESTIMADA'!$F$18:$F$40,'AVARIA ESTIMADA'!$A$18:$A$40,A648)</f>
        <v>0</v>
      </c>
    </row>
    <row r="649" spans="1:6" x14ac:dyDescent="0.3">
      <c r="A649" s="9" t="s">
        <v>464</v>
      </c>
      <c r="B649" s="18" t="str">
        <f>_xlfn.XLOOKUP(A649,CATÁLOGO!$A$2:$A$846,CATÁLOGO!$B$2:$B$846,"FORA DO CATÁLOGO")</f>
        <v>MOL017LGG</v>
      </c>
      <c r="C649" s="11">
        <v>1</v>
      </c>
      <c r="D649" s="11" t="str">
        <f>_xlfn.XLOOKUP(A649,CATÁLOGO!$A$2:$A$846,CATÁLOGO!$E$2:$E$846,"FORA DO CATÁLOGO")</f>
        <v>Ativo</v>
      </c>
      <c r="E649" s="9" t="s">
        <v>1305</v>
      </c>
      <c r="F649" s="52">
        <f>SUMIFS('AVARIA ESTIMADA'!$F$18:$F$40,'AVARIA ESTIMADA'!$A$18:$A$40,A649)</f>
        <v>0</v>
      </c>
    </row>
    <row r="650" spans="1:6" x14ac:dyDescent="0.3">
      <c r="A650" s="9" t="s">
        <v>465</v>
      </c>
      <c r="B650" s="18" t="str">
        <f>_xlfn.XLOOKUP(A650,CATÁLOGO!$A$2:$A$846,CATÁLOGO!$B$2:$B$846,"FORA DO CATÁLOGO")</f>
        <v>ACE012AU</v>
      </c>
      <c r="C650" s="11">
        <v>6</v>
      </c>
      <c r="D650" s="11" t="str">
        <f>_xlfn.XLOOKUP(A650,CATÁLOGO!$A$2:$A$846,CATÁLOGO!$E$2:$E$846,"FORA DO CATÁLOGO")</f>
        <v>Ativo</v>
      </c>
      <c r="E650" s="9" t="s">
        <v>1303</v>
      </c>
      <c r="F650" s="52">
        <f>SUMIFS('AVARIA ESTIMADA'!$F$18:$F$40,'AVARIA ESTIMADA'!$A$18:$A$40,A650)</f>
        <v>0</v>
      </c>
    </row>
    <row r="651" spans="1:6" x14ac:dyDescent="0.3">
      <c r="A651" s="9" t="s">
        <v>466</v>
      </c>
      <c r="B651" s="18" t="str">
        <f>_xlfn.XLOOKUP(A651,CATÁLOGO!$A$2:$A$846,CATÁLOGO!$B$2:$B$846,"FORA DO CATÁLOGO")</f>
        <v>MOL018BP</v>
      </c>
      <c r="C651" s="11">
        <v>1</v>
      </c>
      <c r="D651" s="11" t="str">
        <f>_xlfn.XLOOKUP(A651,CATÁLOGO!$A$2:$A$846,CATÁLOGO!$E$2:$E$846,"FORA DO CATÁLOGO")</f>
        <v>Ativo</v>
      </c>
      <c r="E651" s="9" t="s">
        <v>1303</v>
      </c>
      <c r="F651" s="52">
        <f>SUMIFS('AVARIA ESTIMADA'!$F$18:$F$40,'AVARIA ESTIMADA'!$A$18:$A$40,A651)</f>
        <v>0</v>
      </c>
    </row>
    <row r="652" spans="1:6" x14ac:dyDescent="0.3">
      <c r="A652" s="9" t="s">
        <v>467</v>
      </c>
      <c r="B652" s="18" t="str">
        <f>_xlfn.XLOOKUP(A652,CATÁLOGO!$A$2:$A$846,CATÁLOGO!$B$2:$B$846,"FORA DO CATÁLOGO")</f>
        <v>MOL018BM</v>
      </c>
      <c r="C652" s="11">
        <v>3</v>
      </c>
      <c r="D652" s="11" t="str">
        <f>_xlfn.XLOOKUP(A652,CATÁLOGO!$A$2:$A$846,CATÁLOGO!$E$2:$E$846,"FORA DO CATÁLOGO")</f>
        <v>Ativo</v>
      </c>
      <c r="E652" s="9" t="s">
        <v>1303</v>
      </c>
      <c r="F652" s="52">
        <f>SUMIFS('AVARIA ESTIMADA'!$F$18:$F$40,'AVARIA ESTIMADA'!$A$18:$A$40,A652)</f>
        <v>0</v>
      </c>
    </row>
    <row r="653" spans="1:6" x14ac:dyDescent="0.3">
      <c r="A653" s="9" t="s">
        <v>468</v>
      </c>
      <c r="B653" s="18" t="str">
        <f>_xlfn.XLOOKUP(A653,CATÁLOGO!$A$2:$A$846,CATÁLOGO!$B$2:$B$846,"FORA DO CATÁLOGO")</f>
        <v>MOL018BG</v>
      </c>
      <c r="C653" s="11">
        <v>2</v>
      </c>
      <c r="D653" s="11" t="str">
        <f>_xlfn.XLOOKUP(A653,CATÁLOGO!$A$2:$A$846,CATÁLOGO!$E$2:$E$846,"FORA DO CATÁLOGO")</f>
        <v>Ativo</v>
      </c>
      <c r="E653" s="9" t="s">
        <v>1304</v>
      </c>
      <c r="F653" s="52">
        <f>SUMIFS('AVARIA ESTIMADA'!$F$18:$F$40,'AVARIA ESTIMADA'!$A$18:$A$40,A653)</f>
        <v>0</v>
      </c>
    </row>
    <row r="654" spans="1:6" x14ac:dyDescent="0.3">
      <c r="A654" s="9" t="s">
        <v>469</v>
      </c>
      <c r="B654" s="18" t="str">
        <f>_xlfn.XLOOKUP(A654,CATÁLOGO!$A$2:$A$846,CATÁLOGO!$B$2:$B$846,"FORA DO CATÁLOGO")</f>
        <v>MOL018BGG</v>
      </c>
      <c r="C654" s="11">
        <v>1</v>
      </c>
      <c r="D654" s="11" t="str">
        <f>_xlfn.XLOOKUP(A654,CATÁLOGO!$A$2:$A$846,CATÁLOGO!$E$2:$E$846,"FORA DO CATÁLOGO")</f>
        <v>Ativo</v>
      </c>
      <c r="E654" s="9" t="s">
        <v>1303</v>
      </c>
      <c r="F654" s="52">
        <f>SUMIFS('AVARIA ESTIMADA'!$F$18:$F$40,'AVARIA ESTIMADA'!$A$18:$A$40,A654)</f>
        <v>0</v>
      </c>
    </row>
    <row r="655" spans="1:6" x14ac:dyDescent="0.3">
      <c r="A655" s="9" t="s">
        <v>470</v>
      </c>
      <c r="B655" s="18" t="str">
        <f>_xlfn.XLOOKUP(A655,CATÁLOGO!$A$2:$A$846,CATÁLOGO!$B$2:$B$846,"FORA DO CATÁLOGO")</f>
        <v>ACE013VU</v>
      </c>
      <c r="C655" s="11">
        <v>5</v>
      </c>
      <c r="D655" s="11" t="str">
        <f>_xlfn.XLOOKUP(A655,CATÁLOGO!$A$2:$A$846,CATÁLOGO!$E$2:$E$846,"FORA DO CATÁLOGO")</f>
        <v>Ativo</v>
      </c>
      <c r="E655" s="9" t="s">
        <v>1305</v>
      </c>
      <c r="F655" s="52">
        <f>SUMIFS('AVARIA ESTIMADA'!$F$18:$F$40,'AVARIA ESTIMADA'!$A$18:$A$40,A655)</f>
        <v>0</v>
      </c>
    </row>
    <row r="656" spans="1:6" x14ac:dyDescent="0.3">
      <c r="A656" s="9" t="s">
        <v>1698</v>
      </c>
      <c r="B656" s="18" t="str">
        <f>_xlfn.XLOOKUP(A656,CATÁLOGO!$A$2:$A$846,CATÁLOGO!$B$2:$B$846,"FORA DO CATÁLOGO")</f>
        <v>CAL026O36</v>
      </c>
      <c r="C656" s="11">
        <v>1</v>
      </c>
      <c r="D656" s="11" t="str">
        <f>_xlfn.XLOOKUP(A656,CATÁLOGO!$A$2:$A$846,CATÁLOGO!$E$2:$E$846,"FORA DO CATÁLOGO")</f>
        <v>Ativo</v>
      </c>
      <c r="E656" s="9" t="s">
        <v>1305</v>
      </c>
      <c r="F656" s="52">
        <f>SUMIFS('AVARIA ESTIMADA'!$F$18:$F$40,'AVARIA ESTIMADA'!$A$18:$A$40,A656)</f>
        <v>0</v>
      </c>
    </row>
    <row r="657" spans="1:6" x14ac:dyDescent="0.3">
      <c r="A657" s="9" t="s">
        <v>1697</v>
      </c>
      <c r="B657" s="18" t="str">
        <f>_xlfn.XLOOKUP(A657,CATÁLOGO!$A$2:$A$846,CATÁLOGO!$B$2:$B$846,"FORA DO CATÁLOGO")</f>
        <v>CAL026O38</v>
      </c>
      <c r="C657" s="11">
        <v>3</v>
      </c>
      <c r="D657" s="11" t="str">
        <f>_xlfn.XLOOKUP(A657,CATÁLOGO!$A$2:$A$846,CATÁLOGO!$E$2:$E$846,"FORA DO CATÁLOGO")</f>
        <v>Ativo</v>
      </c>
      <c r="E657" s="9" t="s">
        <v>1303</v>
      </c>
      <c r="F657" s="52">
        <f>SUMIFS('AVARIA ESTIMADA'!$F$18:$F$40,'AVARIA ESTIMADA'!$A$18:$A$40,A657)</f>
        <v>0</v>
      </c>
    </row>
    <row r="658" spans="1:6" x14ac:dyDescent="0.3">
      <c r="A658" s="9" t="s">
        <v>1696</v>
      </c>
      <c r="B658" s="18" t="str">
        <f>_xlfn.XLOOKUP(A658,CATÁLOGO!$A$2:$A$846,CATÁLOGO!$B$2:$B$846,"FORA DO CATÁLOGO")</f>
        <v>CAL026O40</v>
      </c>
      <c r="C658" s="11">
        <v>3</v>
      </c>
      <c r="D658" s="11" t="str">
        <f>_xlfn.XLOOKUP(A658,CATÁLOGO!$A$2:$A$846,CATÁLOGO!$E$2:$E$846,"FORA DO CATÁLOGO")</f>
        <v>Ativo</v>
      </c>
      <c r="E658" s="9" t="s">
        <v>1305</v>
      </c>
      <c r="F658" s="52">
        <f>SUMIFS('AVARIA ESTIMADA'!$F$18:$F$40,'AVARIA ESTIMADA'!$A$18:$A$40,A658)</f>
        <v>0</v>
      </c>
    </row>
    <row r="659" spans="1:6" x14ac:dyDescent="0.3">
      <c r="A659" s="9" t="s">
        <v>1693</v>
      </c>
      <c r="B659" s="18" t="str">
        <f>_xlfn.XLOOKUP(A659,CATÁLOGO!$A$2:$A$846,CATÁLOGO!$B$2:$B$846,"FORA DO CATÁLOGO")</f>
        <v>CAL026O42</v>
      </c>
      <c r="C659" s="11">
        <v>2</v>
      </c>
      <c r="D659" s="11" t="str">
        <f>_xlfn.XLOOKUP(A659,CATÁLOGO!$A$2:$A$846,CATÁLOGO!$E$2:$E$846,"FORA DO CATÁLOGO")</f>
        <v>Ativo</v>
      </c>
      <c r="E659" s="9" t="s">
        <v>1305</v>
      </c>
      <c r="F659" s="52">
        <f>SUMIFS('AVARIA ESTIMADA'!$F$18:$F$40,'AVARIA ESTIMADA'!$A$18:$A$40,A659)</f>
        <v>0</v>
      </c>
    </row>
    <row r="660" spans="1:6" x14ac:dyDescent="0.3">
      <c r="A660" s="9" t="s">
        <v>1695</v>
      </c>
      <c r="B660" s="18" t="str">
        <f>_xlfn.XLOOKUP(A660,CATÁLOGO!$A$2:$A$846,CATÁLOGO!$B$2:$B$846,"FORA DO CATÁLOGO")</f>
        <v>CAL026O44</v>
      </c>
      <c r="C660" s="11">
        <v>1</v>
      </c>
      <c r="D660" s="11" t="str">
        <f>_xlfn.XLOOKUP(A660,CATÁLOGO!$A$2:$A$846,CATÁLOGO!$E$2:$E$846,"FORA DO CATÁLOGO")</f>
        <v>Ativo</v>
      </c>
      <c r="E660" s="9" t="s">
        <v>1305</v>
      </c>
      <c r="F660" s="52">
        <f>SUMIFS('AVARIA ESTIMADA'!$F$18:$F$40,'AVARIA ESTIMADA'!$A$18:$A$40,A660)</f>
        <v>0</v>
      </c>
    </row>
    <row r="661" spans="1:6" x14ac:dyDescent="0.3">
      <c r="A661" s="9" t="s">
        <v>471</v>
      </c>
      <c r="B661" s="18" t="str">
        <f>_xlfn.XLOOKUP(A661,CATÁLOGO!$A$2:$A$846,CATÁLOGO!$B$2:$B$846,"FORA DO CATÁLOGO")</f>
        <v>CAM021AP</v>
      </c>
      <c r="C661" s="11">
        <v>7</v>
      </c>
      <c r="D661" s="11" t="str">
        <f>_xlfn.XLOOKUP(A661,CATÁLOGO!$A$2:$A$846,CATÁLOGO!$E$2:$E$846,"FORA DO CATÁLOGO")</f>
        <v>Ativo</v>
      </c>
      <c r="E661" s="9" t="s">
        <v>1305</v>
      </c>
      <c r="F661" s="52">
        <f>SUMIFS('AVARIA ESTIMADA'!$F$18:$F$40,'AVARIA ESTIMADA'!$A$18:$A$40,A661)</f>
        <v>0</v>
      </c>
    </row>
    <row r="662" spans="1:6" x14ac:dyDescent="0.3">
      <c r="A662" s="9" t="s">
        <v>472</v>
      </c>
      <c r="B662" s="18" t="str">
        <f>_xlfn.XLOOKUP(A662,CATÁLOGO!$A$2:$A$846,CATÁLOGO!$B$2:$B$846,"FORA DO CATÁLOGO")</f>
        <v>CAM021AM</v>
      </c>
      <c r="C662" s="11">
        <v>6</v>
      </c>
      <c r="D662" s="11" t="str">
        <f>_xlfn.XLOOKUP(A662,CATÁLOGO!$A$2:$A$846,CATÁLOGO!$E$2:$E$846,"FORA DO CATÁLOGO")</f>
        <v>Ativo</v>
      </c>
      <c r="E662" s="9" t="s">
        <v>1305</v>
      </c>
      <c r="F662" s="52">
        <f>SUMIFS('AVARIA ESTIMADA'!$F$18:$F$40,'AVARIA ESTIMADA'!$A$18:$A$40,A662)</f>
        <v>0</v>
      </c>
    </row>
    <row r="663" spans="1:6" x14ac:dyDescent="0.3">
      <c r="A663" s="9" t="s">
        <v>474</v>
      </c>
      <c r="B663" s="18" t="str">
        <f>_xlfn.XLOOKUP(A663,CATÁLOGO!$A$2:$A$846,CATÁLOGO!$B$2:$B$846,"FORA DO CATÁLOGO")</f>
        <v>CAM021AGG</v>
      </c>
      <c r="C663" s="11">
        <v>2</v>
      </c>
      <c r="D663" s="11" t="str">
        <f>_xlfn.XLOOKUP(A663,CATÁLOGO!$A$2:$A$846,CATÁLOGO!$E$2:$E$846,"FORA DO CATÁLOGO")</f>
        <v>Ativo</v>
      </c>
      <c r="E663" s="9" t="s">
        <v>1305</v>
      </c>
      <c r="F663" s="52">
        <f>SUMIFS('AVARIA ESTIMADA'!$F$18:$F$40,'AVARIA ESTIMADA'!$A$18:$A$40,A663)</f>
        <v>0</v>
      </c>
    </row>
    <row r="664" spans="1:6" x14ac:dyDescent="0.3">
      <c r="A664" s="9" t="s">
        <v>475</v>
      </c>
      <c r="B664" s="18" t="str">
        <f>_xlfn.XLOOKUP(A664,CATÁLOGO!$A$2:$A$846,CATÁLOGO!$B$2:$B$846,"FORA DO CATÁLOGO")</f>
        <v>CAM022MP</v>
      </c>
      <c r="C664" s="11">
        <v>5</v>
      </c>
      <c r="D664" s="11" t="str">
        <f>_xlfn.XLOOKUP(A664,CATÁLOGO!$A$2:$A$846,CATÁLOGO!$E$2:$E$846,"FORA DO CATÁLOGO")</f>
        <v>Ativo</v>
      </c>
      <c r="E664" s="9" t="s">
        <v>1303</v>
      </c>
      <c r="F664" s="52">
        <f>SUMIFS('AVARIA ESTIMADA'!$F$18:$F$40,'AVARIA ESTIMADA'!$A$18:$A$40,A664)</f>
        <v>0</v>
      </c>
    </row>
    <row r="665" spans="1:6" x14ac:dyDescent="0.3">
      <c r="A665" s="9" t="s">
        <v>476</v>
      </c>
      <c r="B665" s="18" t="str">
        <f>_xlfn.XLOOKUP(A665,CATÁLOGO!$A$2:$A$846,CATÁLOGO!$B$2:$B$846,"FORA DO CATÁLOGO")</f>
        <v>CAM022MM</v>
      </c>
      <c r="C665" s="11">
        <v>6</v>
      </c>
      <c r="D665" s="11" t="str">
        <f>_xlfn.XLOOKUP(A665,CATÁLOGO!$A$2:$A$846,CATÁLOGO!$E$2:$E$846,"FORA DO CATÁLOGO")</f>
        <v>Ativo</v>
      </c>
      <c r="E665" s="9" t="s">
        <v>1305</v>
      </c>
      <c r="F665" s="52">
        <f>SUMIFS('AVARIA ESTIMADA'!$F$18:$F$40,'AVARIA ESTIMADA'!$A$18:$A$40,A665)</f>
        <v>0</v>
      </c>
    </row>
    <row r="666" spans="1:6" x14ac:dyDescent="0.3">
      <c r="A666" s="9" t="s">
        <v>477</v>
      </c>
      <c r="B666" s="18" t="str">
        <f>_xlfn.XLOOKUP(A666,CATÁLOGO!$A$2:$A$846,CATÁLOGO!$B$2:$B$846,"FORA DO CATÁLOGO")</f>
        <v>CAM022MG</v>
      </c>
      <c r="C666" s="11">
        <v>6</v>
      </c>
      <c r="D666" s="11" t="str">
        <f>_xlfn.XLOOKUP(A666,CATÁLOGO!$A$2:$A$846,CATÁLOGO!$E$2:$E$846,"FORA DO CATÁLOGO")</f>
        <v>Ativo</v>
      </c>
      <c r="E666" s="9" t="s">
        <v>1303</v>
      </c>
      <c r="F666" s="52">
        <f>SUMIFS('AVARIA ESTIMADA'!$F$18:$F$40,'AVARIA ESTIMADA'!$A$18:$A$40,A666)</f>
        <v>0</v>
      </c>
    </row>
    <row r="667" spans="1:6" x14ac:dyDescent="0.3">
      <c r="A667" s="9" t="s">
        <v>478</v>
      </c>
      <c r="B667" s="18" t="str">
        <f>_xlfn.XLOOKUP(A667,CATÁLOGO!$A$2:$A$846,CATÁLOGO!$B$2:$B$846,"FORA DO CATÁLOGO")</f>
        <v>CAM022MGG</v>
      </c>
      <c r="C667" s="11">
        <v>3</v>
      </c>
      <c r="D667" s="11" t="str">
        <f>_xlfn.XLOOKUP(A667,CATÁLOGO!$A$2:$A$846,CATÁLOGO!$E$2:$E$846,"FORA DO CATÁLOGO")</f>
        <v>Ativo</v>
      </c>
      <c r="E667" s="9" t="s">
        <v>1305</v>
      </c>
      <c r="F667" s="52">
        <f>SUMIFS('AVARIA ESTIMADA'!$F$18:$F$40,'AVARIA ESTIMADA'!$A$18:$A$40,A667)</f>
        <v>0</v>
      </c>
    </row>
    <row r="668" spans="1:6" x14ac:dyDescent="0.3">
      <c r="A668" s="9" t="s">
        <v>479</v>
      </c>
      <c r="B668" s="18" t="str">
        <f>_xlfn.XLOOKUP(A668,CATÁLOGO!$A$2:$A$846,CATÁLOGO!$B$2:$B$846,"FORA DO CATÁLOGO")</f>
        <v>CMS015LP</v>
      </c>
      <c r="C668" s="11">
        <v>3</v>
      </c>
      <c r="D668" s="11" t="str">
        <f>_xlfn.XLOOKUP(A668,CATÁLOGO!$A$2:$A$846,CATÁLOGO!$E$2:$E$846,"FORA DO CATÁLOGO")</f>
        <v>Ativo</v>
      </c>
      <c r="E668" s="9" t="s">
        <v>1304</v>
      </c>
      <c r="F668" s="52">
        <f>SUMIFS('AVARIA ESTIMADA'!$F$18:$F$40,'AVARIA ESTIMADA'!$A$18:$A$40,A668)</f>
        <v>0</v>
      </c>
    </row>
    <row r="669" spans="1:6" x14ac:dyDescent="0.3">
      <c r="A669" s="9" t="s">
        <v>480</v>
      </c>
      <c r="B669" s="18" t="str">
        <f>_xlfn.XLOOKUP(A669,CATÁLOGO!$A$2:$A$846,CATÁLOGO!$B$2:$B$846,"FORA DO CATÁLOGO")</f>
        <v>CMS015LM</v>
      </c>
      <c r="C669" s="11">
        <v>5</v>
      </c>
      <c r="D669" s="11" t="str">
        <f>_xlfn.XLOOKUP(A669,CATÁLOGO!$A$2:$A$846,CATÁLOGO!$E$2:$E$846,"FORA DO CATÁLOGO")</f>
        <v>Ativo</v>
      </c>
      <c r="E669" s="9" t="s">
        <v>1304</v>
      </c>
      <c r="F669" s="52">
        <f>SUMIFS('AVARIA ESTIMADA'!$F$18:$F$40,'AVARIA ESTIMADA'!$A$18:$A$40,A669)</f>
        <v>0</v>
      </c>
    </row>
    <row r="670" spans="1:6" x14ac:dyDescent="0.3">
      <c r="A670" s="9" t="s">
        <v>481</v>
      </c>
      <c r="B670" s="18" t="str">
        <f>_xlfn.XLOOKUP(A670,CATÁLOGO!$A$2:$A$846,CATÁLOGO!$B$2:$B$846,"FORA DO CATÁLOGO")</f>
        <v>CMS015LG</v>
      </c>
      <c r="C670" s="11">
        <v>4</v>
      </c>
      <c r="D670" s="11" t="str">
        <f>_xlfn.XLOOKUP(A670,CATÁLOGO!$A$2:$A$846,CATÁLOGO!$E$2:$E$846,"FORA DO CATÁLOGO")</f>
        <v>Ativo</v>
      </c>
      <c r="E670" s="9" t="s">
        <v>1305</v>
      </c>
      <c r="F670" s="52">
        <f>SUMIFS('AVARIA ESTIMADA'!$F$18:$F$40,'AVARIA ESTIMADA'!$A$18:$A$40,A670)</f>
        <v>0</v>
      </c>
    </row>
    <row r="671" spans="1:6" x14ac:dyDescent="0.3">
      <c r="A671" s="9" t="s">
        <v>482</v>
      </c>
      <c r="B671" s="18" t="str">
        <f>_xlfn.XLOOKUP(A671,CATÁLOGO!$A$2:$A$846,CATÁLOGO!$B$2:$B$846,"FORA DO CATÁLOGO")</f>
        <v>CMS015OP</v>
      </c>
      <c r="C671" s="11">
        <v>2</v>
      </c>
      <c r="D671" s="11" t="str">
        <f>_xlfn.XLOOKUP(A671,CATÁLOGO!$A$2:$A$846,CATÁLOGO!$E$2:$E$846,"FORA DO CATÁLOGO")</f>
        <v>Ativo</v>
      </c>
      <c r="E671" s="9" t="s">
        <v>1305</v>
      </c>
      <c r="F671" s="52">
        <f>SUMIFS('AVARIA ESTIMADA'!$F$18:$F$40,'AVARIA ESTIMADA'!$A$18:$A$40,A671)</f>
        <v>0</v>
      </c>
    </row>
    <row r="672" spans="1:6" x14ac:dyDescent="0.3">
      <c r="A672" s="9" t="s">
        <v>483</v>
      </c>
      <c r="B672" s="18" t="str">
        <f>_xlfn.XLOOKUP(A672,CATÁLOGO!$A$2:$A$846,CATÁLOGO!$B$2:$B$846,"FORA DO CATÁLOGO")</f>
        <v>CMS015OM</v>
      </c>
      <c r="C672" s="11">
        <v>3</v>
      </c>
      <c r="D672" s="11" t="str">
        <f>_xlfn.XLOOKUP(A672,CATÁLOGO!$A$2:$A$846,CATÁLOGO!$E$2:$E$846,"FORA DO CATÁLOGO")</f>
        <v>Ativo</v>
      </c>
      <c r="E672" s="9" t="s">
        <v>1305</v>
      </c>
      <c r="F672" s="52">
        <f>SUMIFS('AVARIA ESTIMADA'!$F$18:$F$40,'AVARIA ESTIMADA'!$A$18:$A$40,A672)</f>
        <v>0</v>
      </c>
    </row>
    <row r="673" spans="1:6" x14ac:dyDescent="0.3">
      <c r="A673" s="9" t="s">
        <v>484</v>
      </c>
      <c r="B673" s="18" t="str">
        <f>_xlfn.XLOOKUP(A673,CATÁLOGO!$A$2:$A$846,CATÁLOGO!$B$2:$B$846,"FORA DO CATÁLOGO")</f>
        <v>CMS015OG</v>
      </c>
      <c r="C673" s="11">
        <v>2</v>
      </c>
      <c r="D673" s="11" t="str">
        <f>_xlfn.XLOOKUP(A673,CATÁLOGO!$A$2:$A$846,CATÁLOGO!$E$2:$E$846,"FORA DO CATÁLOGO")</f>
        <v>Ativo</v>
      </c>
      <c r="E673" s="9" t="s">
        <v>1303</v>
      </c>
      <c r="F673" s="52">
        <f>SUMIFS('AVARIA ESTIMADA'!$F$18:$F$40,'AVARIA ESTIMADA'!$A$18:$A$40,A673)</f>
        <v>0</v>
      </c>
    </row>
    <row r="674" spans="1:6" x14ac:dyDescent="0.3">
      <c r="A674" s="9" t="s">
        <v>485</v>
      </c>
      <c r="B674" s="18" t="str">
        <f>_xlfn.XLOOKUP(A674,CATÁLOGO!$A$2:$A$846,CATÁLOGO!$B$2:$B$846,"FORA DO CATÁLOGO")</f>
        <v>CAM023YP</v>
      </c>
      <c r="C674" s="11">
        <v>6</v>
      </c>
      <c r="D674" s="11" t="str">
        <f>_xlfn.XLOOKUP(A674,CATÁLOGO!$A$2:$A$846,CATÁLOGO!$E$2:$E$846,"FORA DO CATÁLOGO")</f>
        <v>Ativo</v>
      </c>
      <c r="E674" s="9" t="s">
        <v>1305</v>
      </c>
      <c r="F674" s="52">
        <f>SUMIFS('AVARIA ESTIMADA'!$F$18:$F$40,'AVARIA ESTIMADA'!$A$18:$A$40,A674)</f>
        <v>0</v>
      </c>
    </row>
    <row r="675" spans="1:6" x14ac:dyDescent="0.3">
      <c r="A675" s="9" t="s">
        <v>486</v>
      </c>
      <c r="B675" s="18" t="str">
        <f>_xlfn.XLOOKUP(A675,CATÁLOGO!$A$2:$A$846,CATÁLOGO!$B$2:$B$846,"FORA DO CATÁLOGO")</f>
        <v>CAM023YM</v>
      </c>
      <c r="C675" s="11">
        <v>6</v>
      </c>
      <c r="D675" s="11" t="str">
        <f>_xlfn.XLOOKUP(A675,CATÁLOGO!$A$2:$A$846,CATÁLOGO!$E$2:$E$846,"FORA DO CATÁLOGO")</f>
        <v>Ativo</v>
      </c>
      <c r="E675" s="9" t="s">
        <v>1303</v>
      </c>
      <c r="F675" s="52">
        <f>SUMIFS('AVARIA ESTIMADA'!$F$18:$F$40,'AVARIA ESTIMADA'!$A$18:$A$40,A675)</f>
        <v>0</v>
      </c>
    </row>
    <row r="676" spans="1:6" x14ac:dyDescent="0.3">
      <c r="A676" s="9" t="s">
        <v>487</v>
      </c>
      <c r="B676" s="18" t="str">
        <f>_xlfn.XLOOKUP(A676,CATÁLOGO!$A$2:$A$846,CATÁLOGO!$B$2:$B$846,"FORA DO CATÁLOGO")</f>
        <v>CAM023YG</v>
      </c>
      <c r="C676" s="11">
        <v>6</v>
      </c>
      <c r="D676" s="11" t="str">
        <f>_xlfn.XLOOKUP(A676,CATÁLOGO!$A$2:$A$846,CATÁLOGO!$E$2:$E$846,"FORA DO CATÁLOGO")</f>
        <v>Ativo</v>
      </c>
      <c r="E676" s="9" t="s">
        <v>1304</v>
      </c>
      <c r="F676" s="52">
        <f>SUMIFS('AVARIA ESTIMADA'!$F$18:$F$40,'AVARIA ESTIMADA'!$A$18:$A$40,A676)</f>
        <v>0</v>
      </c>
    </row>
    <row r="677" spans="1:6" x14ac:dyDescent="0.3">
      <c r="A677" s="9" t="s">
        <v>488</v>
      </c>
      <c r="B677" s="18" t="str">
        <f>_xlfn.XLOOKUP(A677,CATÁLOGO!$A$2:$A$846,CATÁLOGO!$B$2:$B$846,"FORA DO CATÁLOGO")</f>
        <v>CAM023YGG</v>
      </c>
      <c r="C677" s="11">
        <v>3</v>
      </c>
      <c r="D677" s="11" t="str">
        <f>_xlfn.XLOOKUP(A677,CATÁLOGO!$A$2:$A$846,CATÁLOGO!$E$2:$E$846,"FORA DO CATÁLOGO")</f>
        <v>Ativo</v>
      </c>
      <c r="E677" s="9" t="s">
        <v>1305</v>
      </c>
      <c r="F677" s="52">
        <f>SUMIFS('AVARIA ESTIMADA'!$F$18:$F$40,'AVARIA ESTIMADA'!$A$18:$A$40,A677)</f>
        <v>0</v>
      </c>
    </row>
    <row r="678" spans="1:6" x14ac:dyDescent="0.3">
      <c r="A678" s="9" t="s">
        <v>1705</v>
      </c>
      <c r="B678" s="18" t="str">
        <f>_xlfn.XLOOKUP(A678,CATÁLOGO!$A$2:$A$846,CATÁLOGO!$B$2:$B$846,"FORA DO CATÁLOGO")</f>
        <v>CAL027P36</v>
      </c>
      <c r="C678" s="11">
        <v>4</v>
      </c>
      <c r="D678" s="11" t="str">
        <f>_xlfn.XLOOKUP(A678,CATÁLOGO!$A$2:$A$846,CATÁLOGO!$E$2:$E$846,"FORA DO CATÁLOGO")</f>
        <v>Ativo</v>
      </c>
      <c r="E678" s="9" t="s">
        <v>1304</v>
      </c>
      <c r="F678" s="52">
        <f>SUMIFS('AVARIA ESTIMADA'!$F$18:$F$40,'AVARIA ESTIMADA'!$A$18:$A$40,A678)</f>
        <v>0</v>
      </c>
    </row>
    <row r="679" spans="1:6" x14ac:dyDescent="0.3">
      <c r="A679" s="9" t="s">
        <v>1704</v>
      </c>
      <c r="B679" s="18" t="str">
        <f>_xlfn.XLOOKUP(A679,CATÁLOGO!$A$2:$A$846,CATÁLOGO!$B$2:$B$846,"FORA DO CATÁLOGO")</f>
        <v>CAL027P38</v>
      </c>
      <c r="C679" s="11">
        <v>6</v>
      </c>
      <c r="D679" s="11" t="str">
        <f>_xlfn.XLOOKUP(A679,CATÁLOGO!$A$2:$A$846,CATÁLOGO!$E$2:$E$846,"FORA DO CATÁLOGO")</f>
        <v>Ativo</v>
      </c>
      <c r="E679" s="9" t="s">
        <v>1303</v>
      </c>
      <c r="F679" s="52">
        <f>SUMIFS('AVARIA ESTIMADA'!$F$18:$F$40,'AVARIA ESTIMADA'!$A$18:$A$40,A679)</f>
        <v>0</v>
      </c>
    </row>
    <row r="680" spans="1:6" x14ac:dyDescent="0.3">
      <c r="A680" s="9" t="s">
        <v>1703</v>
      </c>
      <c r="B680" s="18" t="str">
        <f>_xlfn.XLOOKUP(A680,CATÁLOGO!$A$2:$A$846,CATÁLOGO!$B$2:$B$846,"FORA DO CATÁLOGO")</f>
        <v>CAL027P40</v>
      </c>
      <c r="C680" s="11">
        <v>6</v>
      </c>
      <c r="D680" s="11" t="str">
        <f>_xlfn.XLOOKUP(A680,CATÁLOGO!$A$2:$A$846,CATÁLOGO!$E$2:$E$846,"FORA DO CATÁLOGO")</f>
        <v>Ativo</v>
      </c>
      <c r="E680" s="9" t="s">
        <v>1305</v>
      </c>
      <c r="F680" s="52">
        <f>SUMIFS('AVARIA ESTIMADA'!$F$18:$F$40,'AVARIA ESTIMADA'!$A$18:$A$40,A680)</f>
        <v>0</v>
      </c>
    </row>
    <row r="681" spans="1:6" x14ac:dyDescent="0.3">
      <c r="A681" s="9" t="s">
        <v>1702</v>
      </c>
      <c r="B681" s="18" t="str">
        <f>_xlfn.XLOOKUP(A681,CATÁLOGO!$A$2:$A$846,CATÁLOGO!$B$2:$B$846,"FORA DO CATÁLOGO")</f>
        <v>CAL027P44</v>
      </c>
      <c r="C681" s="11">
        <v>3</v>
      </c>
      <c r="D681" s="11" t="str">
        <f>_xlfn.XLOOKUP(A681,CATÁLOGO!$A$2:$A$846,CATÁLOGO!$E$2:$E$846,"FORA DO CATÁLOGO")</f>
        <v>Ativo</v>
      </c>
      <c r="E681" s="9" t="s">
        <v>1305</v>
      </c>
      <c r="F681" s="52">
        <f>SUMIFS('AVARIA ESTIMADA'!$F$18:$F$40,'AVARIA ESTIMADA'!$A$18:$A$40,A681)</f>
        <v>0</v>
      </c>
    </row>
    <row r="682" spans="1:6" x14ac:dyDescent="0.3">
      <c r="A682" s="9" t="s">
        <v>489</v>
      </c>
      <c r="B682" s="18" t="str">
        <f>_xlfn.XLOOKUP(A682,CATÁLOGO!$A$2:$A$846,CATÁLOGO!$B$2:$B$846,"FORA DO CATÁLOGO")</f>
        <v>MOL019VP</v>
      </c>
      <c r="C682" s="11">
        <v>3</v>
      </c>
      <c r="D682" s="11" t="str">
        <f>_xlfn.XLOOKUP(A682,CATÁLOGO!$A$2:$A$846,CATÁLOGO!$E$2:$E$846,"FORA DO CATÁLOGO")</f>
        <v>Ativo</v>
      </c>
      <c r="E682" s="9" t="s">
        <v>1303</v>
      </c>
      <c r="F682" s="52">
        <f>SUMIFS('AVARIA ESTIMADA'!$F$18:$F$40,'AVARIA ESTIMADA'!$A$18:$A$40,A682)</f>
        <v>0</v>
      </c>
    </row>
    <row r="683" spans="1:6" x14ac:dyDescent="0.3">
      <c r="A683" s="9" t="s">
        <v>1271</v>
      </c>
      <c r="B683" s="18" t="str">
        <f>_xlfn.XLOOKUP(A683,CATÁLOGO!$A$2:$A$846,CATÁLOGO!$B$2:$B$846,"FORA DO CATÁLOGO")</f>
        <v>MOL019VM</v>
      </c>
      <c r="C683" s="11">
        <v>4</v>
      </c>
      <c r="D683" s="11" t="str">
        <f>_xlfn.XLOOKUP(A683,CATÁLOGO!$A$2:$A$846,CATÁLOGO!$E$2:$E$846,"FORA DO CATÁLOGO")</f>
        <v>Ativo</v>
      </c>
      <c r="E683" s="9" t="s">
        <v>1305</v>
      </c>
      <c r="F683" s="52">
        <f>SUMIFS('AVARIA ESTIMADA'!$F$18:$F$40,'AVARIA ESTIMADA'!$A$18:$A$40,A683)</f>
        <v>0</v>
      </c>
    </row>
    <row r="684" spans="1:6" x14ac:dyDescent="0.3">
      <c r="A684" s="9" t="s">
        <v>1272</v>
      </c>
      <c r="B684" s="18" t="str">
        <f>_xlfn.XLOOKUP(A684,CATÁLOGO!$A$2:$A$846,CATÁLOGO!$B$2:$B$846,"FORA DO CATÁLOGO")</f>
        <v>MOL019VG</v>
      </c>
      <c r="C684" s="11">
        <v>3</v>
      </c>
      <c r="D684" s="11" t="str">
        <f>_xlfn.XLOOKUP(A684,CATÁLOGO!$A$2:$A$846,CATÁLOGO!$E$2:$E$846,"FORA DO CATÁLOGO")</f>
        <v>Ativo</v>
      </c>
      <c r="E684" s="9" t="s">
        <v>1305</v>
      </c>
      <c r="F684" s="52">
        <f>SUMIFS('AVARIA ESTIMADA'!$F$18:$F$40,'AVARIA ESTIMADA'!$A$18:$A$40,A684)</f>
        <v>0</v>
      </c>
    </row>
    <row r="685" spans="1:6" x14ac:dyDescent="0.3">
      <c r="A685" s="9" t="s">
        <v>490</v>
      </c>
      <c r="B685" s="18" t="str">
        <f>_xlfn.XLOOKUP(A685,CATÁLOGO!$A$2:$A$846,CATÁLOGO!$B$2:$B$846,"FORA DO CATÁLOGO")</f>
        <v>MOL019VGG</v>
      </c>
      <c r="C685" s="11">
        <v>2</v>
      </c>
      <c r="D685" s="11" t="str">
        <f>_xlfn.XLOOKUP(A685,CATÁLOGO!$A$2:$A$846,CATÁLOGO!$E$2:$E$846,"FORA DO CATÁLOGO")</f>
        <v>Ativo</v>
      </c>
      <c r="E685" s="9" t="s">
        <v>1305</v>
      </c>
      <c r="F685" s="52">
        <f>SUMIFS('AVARIA ESTIMADA'!$F$18:$F$40,'AVARIA ESTIMADA'!$A$18:$A$40,A685)</f>
        <v>2</v>
      </c>
    </row>
    <row r="686" spans="1:6" x14ac:dyDescent="0.3">
      <c r="A686" s="9" t="s">
        <v>491</v>
      </c>
      <c r="B686" s="18" t="str">
        <f>_xlfn.XLOOKUP(A686,CATÁLOGO!$A$2:$A$846,CATÁLOGO!$B$2:$B$846,"FORA DO CATÁLOGO")</f>
        <v>CAM024LP</v>
      </c>
      <c r="C686" s="11">
        <v>2</v>
      </c>
      <c r="D686" s="11" t="str">
        <f>_xlfn.XLOOKUP(A686,CATÁLOGO!$A$2:$A$846,CATÁLOGO!$E$2:$E$846,"FORA DO CATÁLOGO")</f>
        <v>Ativo</v>
      </c>
      <c r="E686" s="9" t="s">
        <v>1303</v>
      </c>
      <c r="F686" s="52">
        <f>SUMIFS('AVARIA ESTIMADA'!$F$18:$F$40,'AVARIA ESTIMADA'!$A$18:$A$40,A686)</f>
        <v>0</v>
      </c>
    </row>
    <row r="687" spans="1:6" x14ac:dyDescent="0.3">
      <c r="A687" s="9" t="s">
        <v>492</v>
      </c>
      <c r="B687" s="18" t="str">
        <f>_xlfn.XLOOKUP(A687,CATÁLOGO!$A$2:$A$846,CATÁLOGO!$B$2:$B$846,"FORA DO CATÁLOGO")</f>
        <v>CAM024LM</v>
      </c>
      <c r="C687" s="11">
        <v>4</v>
      </c>
      <c r="D687" s="11" t="str">
        <f>_xlfn.XLOOKUP(A687,CATÁLOGO!$A$2:$A$846,CATÁLOGO!$E$2:$E$846,"FORA DO CATÁLOGO")</f>
        <v>Ativo</v>
      </c>
      <c r="E687" s="9" t="s">
        <v>1305</v>
      </c>
      <c r="F687" s="52">
        <f>SUMIFS('AVARIA ESTIMADA'!$F$18:$F$40,'AVARIA ESTIMADA'!$A$18:$A$40,A687)</f>
        <v>0</v>
      </c>
    </row>
    <row r="688" spans="1:6" x14ac:dyDescent="0.3">
      <c r="A688" s="9" t="s">
        <v>493</v>
      </c>
      <c r="B688" s="18" t="str">
        <f>_xlfn.XLOOKUP(A688,CATÁLOGO!$A$2:$A$846,CATÁLOGO!$B$2:$B$846,"FORA DO CATÁLOGO")</f>
        <v>CAM024LG</v>
      </c>
      <c r="C688" s="11">
        <v>3</v>
      </c>
      <c r="D688" s="11" t="str">
        <f>_xlfn.XLOOKUP(A688,CATÁLOGO!$A$2:$A$846,CATÁLOGO!$E$2:$E$846,"FORA DO CATÁLOGO")</f>
        <v>Ativo</v>
      </c>
      <c r="E688" s="9" t="s">
        <v>1303</v>
      </c>
      <c r="F688" s="52">
        <f>SUMIFS('AVARIA ESTIMADA'!$F$18:$F$40,'AVARIA ESTIMADA'!$A$18:$A$40,A688)</f>
        <v>0</v>
      </c>
    </row>
    <row r="689" spans="1:6" x14ac:dyDescent="0.3">
      <c r="A689" s="9" t="s">
        <v>494</v>
      </c>
      <c r="B689" s="18" t="str">
        <f>_xlfn.XLOOKUP(A689,CATÁLOGO!$A$2:$A$846,CATÁLOGO!$B$2:$B$846,"FORA DO CATÁLOGO")</f>
        <v>CAM024LGG</v>
      </c>
      <c r="C689" s="11">
        <v>2</v>
      </c>
      <c r="D689" s="11" t="str">
        <f>_xlfn.XLOOKUP(A689,CATÁLOGO!$A$2:$A$846,CATÁLOGO!$E$2:$E$846,"FORA DO CATÁLOGO")</f>
        <v>Ativo</v>
      </c>
      <c r="E689" s="9" t="s">
        <v>1303</v>
      </c>
      <c r="F689" s="52">
        <f>SUMIFS('AVARIA ESTIMADA'!$F$18:$F$40,'AVARIA ESTIMADA'!$A$18:$A$40,A689)</f>
        <v>0</v>
      </c>
    </row>
    <row r="690" spans="1:6" x14ac:dyDescent="0.3">
      <c r="A690" s="9" t="s">
        <v>495</v>
      </c>
      <c r="B690" s="18" t="str">
        <f>_xlfn.XLOOKUP(A690,CATÁLOGO!$A$2:$A$846,CATÁLOGO!$B$2:$B$846,"FORA DO CATÁLOGO")</f>
        <v>CAM024YP</v>
      </c>
      <c r="C690" s="11">
        <v>2</v>
      </c>
      <c r="D690" s="11" t="str">
        <f>_xlfn.XLOOKUP(A690,CATÁLOGO!$A$2:$A$846,CATÁLOGO!$E$2:$E$846,"FORA DO CATÁLOGO")</f>
        <v>Ativo</v>
      </c>
      <c r="E690" s="9" t="s">
        <v>1304</v>
      </c>
      <c r="F690" s="52">
        <f>SUMIFS('AVARIA ESTIMADA'!$F$18:$F$40,'AVARIA ESTIMADA'!$A$18:$A$40,A690)</f>
        <v>0</v>
      </c>
    </row>
    <row r="691" spans="1:6" x14ac:dyDescent="0.3">
      <c r="A691" s="9" t="s">
        <v>496</v>
      </c>
      <c r="B691" s="18" t="str">
        <f>_xlfn.XLOOKUP(A691,CATÁLOGO!$A$2:$A$846,CATÁLOGO!$B$2:$B$846,"FORA DO CATÁLOGO")</f>
        <v>CAM024YM</v>
      </c>
      <c r="C691" s="11">
        <v>2</v>
      </c>
      <c r="D691" s="11" t="str">
        <f>_xlfn.XLOOKUP(A691,CATÁLOGO!$A$2:$A$846,CATÁLOGO!$E$2:$E$846,"FORA DO CATÁLOGO")</f>
        <v>Ativo</v>
      </c>
      <c r="E691" s="9" t="s">
        <v>1305</v>
      </c>
      <c r="F691" s="52">
        <f>SUMIFS('AVARIA ESTIMADA'!$F$18:$F$40,'AVARIA ESTIMADA'!$A$18:$A$40,A691)</f>
        <v>0</v>
      </c>
    </row>
    <row r="692" spans="1:6" x14ac:dyDescent="0.3">
      <c r="A692" s="9" t="s">
        <v>497</v>
      </c>
      <c r="B692" s="18" t="str">
        <f>_xlfn.XLOOKUP(A692,CATÁLOGO!$A$2:$A$846,CATÁLOGO!$B$2:$B$846,"FORA DO CATÁLOGO")</f>
        <v>CAM024YG</v>
      </c>
      <c r="C692" s="11">
        <v>2</v>
      </c>
      <c r="D692" s="11" t="str">
        <f>_xlfn.XLOOKUP(A692,CATÁLOGO!$A$2:$A$846,CATÁLOGO!$E$2:$E$846,"FORA DO CATÁLOGO")</f>
        <v>Ativo</v>
      </c>
      <c r="E692" s="9" t="s">
        <v>1304</v>
      </c>
      <c r="F692" s="52">
        <f>SUMIFS('AVARIA ESTIMADA'!$F$18:$F$40,'AVARIA ESTIMADA'!$A$18:$A$40,A692)</f>
        <v>0</v>
      </c>
    </row>
    <row r="693" spans="1:6" x14ac:dyDescent="0.3">
      <c r="A693" s="9" t="s">
        <v>498</v>
      </c>
      <c r="B693" s="18" t="str">
        <f>_xlfn.XLOOKUP(A693,CATÁLOGO!$A$2:$A$846,CATÁLOGO!$B$2:$B$846,"FORA DO CATÁLOGO")</f>
        <v>CAM024YGG</v>
      </c>
      <c r="C693" s="11">
        <v>1</v>
      </c>
      <c r="D693" s="11" t="str">
        <f>_xlfn.XLOOKUP(A693,CATÁLOGO!$A$2:$A$846,CATÁLOGO!$E$2:$E$846,"FORA DO CATÁLOGO")</f>
        <v>Ativo</v>
      </c>
      <c r="E693" s="9" t="s">
        <v>1305</v>
      </c>
      <c r="F693" s="52">
        <f>SUMIFS('AVARIA ESTIMADA'!$F$18:$F$40,'AVARIA ESTIMADA'!$A$18:$A$40,A693)</f>
        <v>0</v>
      </c>
    </row>
    <row r="694" spans="1:6" x14ac:dyDescent="0.3">
      <c r="A694" s="9" t="s">
        <v>1856</v>
      </c>
      <c r="B694" s="18" t="str">
        <f>_xlfn.XLOOKUP(A694,CATÁLOGO!$A$2:$A$846,CATÁLOGO!$B$2:$B$846,"FORA DO CATÁLOGO")</f>
        <v>MOL020HPP</v>
      </c>
      <c r="C694" s="11">
        <v>1</v>
      </c>
      <c r="D694" s="11" t="str">
        <f>_xlfn.XLOOKUP(A694,CATÁLOGO!$A$2:$A$846,CATÁLOGO!$E$2:$E$846,"FORA DO CATÁLOGO")</f>
        <v>Ativo</v>
      </c>
      <c r="E694" s="9" t="s">
        <v>1305</v>
      </c>
      <c r="F694" s="52">
        <f>SUMIFS('AVARIA ESTIMADA'!$F$18:$F$40,'AVARIA ESTIMADA'!$A$18:$A$40,A694)</f>
        <v>0</v>
      </c>
    </row>
    <row r="695" spans="1:6" x14ac:dyDescent="0.3">
      <c r="A695" s="9" t="s">
        <v>499</v>
      </c>
      <c r="B695" s="18" t="str">
        <f>_xlfn.XLOOKUP(A695,CATÁLOGO!$A$2:$A$846,CATÁLOGO!$B$2:$B$846,"FORA DO CATÁLOGO")</f>
        <v>MOL020HP</v>
      </c>
      <c r="C695" s="11">
        <v>2</v>
      </c>
      <c r="D695" s="11" t="str">
        <f>_xlfn.XLOOKUP(A695,CATÁLOGO!$A$2:$A$846,CATÁLOGO!$E$2:$E$846,"FORA DO CATÁLOGO")</f>
        <v>Ativo</v>
      </c>
      <c r="E695" s="9" t="s">
        <v>1304</v>
      </c>
      <c r="F695" s="52">
        <f>SUMIFS('AVARIA ESTIMADA'!$F$18:$F$40,'AVARIA ESTIMADA'!$A$18:$A$40,A695)</f>
        <v>0</v>
      </c>
    </row>
    <row r="696" spans="1:6" x14ac:dyDescent="0.3">
      <c r="A696" s="9" t="s">
        <v>500</v>
      </c>
      <c r="B696" s="18" t="str">
        <f>_xlfn.XLOOKUP(A696,CATÁLOGO!$A$2:$A$846,CATÁLOGO!$B$2:$B$846,"FORA DO CATÁLOGO")</f>
        <v>MOL020HM</v>
      </c>
      <c r="C696" s="11">
        <v>3</v>
      </c>
      <c r="D696" s="11" t="str">
        <f>_xlfn.XLOOKUP(A696,CATÁLOGO!$A$2:$A$846,CATÁLOGO!$E$2:$E$846,"FORA DO CATÁLOGO")</f>
        <v>Ativo</v>
      </c>
      <c r="E696" s="9" t="s">
        <v>1321</v>
      </c>
      <c r="F696" s="52">
        <f>SUMIFS('AVARIA ESTIMADA'!$F$18:$F$40,'AVARIA ESTIMADA'!$A$18:$A$40,A696)</f>
        <v>0</v>
      </c>
    </row>
    <row r="697" spans="1:6" x14ac:dyDescent="0.3">
      <c r="A697" s="9" t="s">
        <v>501</v>
      </c>
      <c r="B697" s="18" t="str">
        <f>_xlfn.XLOOKUP(A697,CATÁLOGO!$A$2:$A$846,CATÁLOGO!$B$2:$B$846,"FORA DO CATÁLOGO")</f>
        <v>MOL020HG</v>
      </c>
      <c r="C697" s="11">
        <v>2</v>
      </c>
      <c r="D697" s="11" t="str">
        <f>_xlfn.XLOOKUP(A697,CATÁLOGO!$A$2:$A$846,CATÁLOGO!$E$2:$E$846,"FORA DO CATÁLOGO")</f>
        <v>Ativo</v>
      </c>
      <c r="E697" s="9" t="s">
        <v>1305</v>
      </c>
      <c r="F697" s="52">
        <f>SUMIFS('AVARIA ESTIMADA'!$F$18:$F$40,'AVARIA ESTIMADA'!$A$18:$A$40,A697)</f>
        <v>0</v>
      </c>
    </row>
    <row r="698" spans="1:6" x14ac:dyDescent="0.3">
      <c r="A698" s="9" t="s">
        <v>502</v>
      </c>
      <c r="B698" s="18" t="str">
        <f>_xlfn.XLOOKUP(A698,CATÁLOGO!$A$2:$A$846,CATÁLOGO!$B$2:$B$846,"FORA DO CATÁLOGO")</f>
        <v>MOL020HGG</v>
      </c>
      <c r="C698" s="11">
        <v>1</v>
      </c>
      <c r="D698" s="11" t="str">
        <f>_xlfn.XLOOKUP(A698,CATÁLOGO!$A$2:$A$846,CATÁLOGO!$E$2:$E$846,"FORA DO CATÁLOGO")</f>
        <v>Ativo</v>
      </c>
      <c r="E698" s="9" t="s">
        <v>1303</v>
      </c>
      <c r="F698" s="52">
        <f>SUMIFS('AVARIA ESTIMADA'!$F$18:$F$40,'AVARIA ESTIMADA'!$A$18:$A$40,A698)</f>
        <v>0</v>
      </c>
    </row>
    <row r="699" spans="1:6" x14ac:dyDescent="0.3">
      <c r="A699" s="9" t="s">
        <v>503</v>
      </c>
      <c r="B699" s="18" t="str">
        <f>_xlfn.XLOOKUP(A699,CATÁLOGO!$A$2:$A$846,CATÁLOGO!$B$2:$B$846,"FORA DO CATÁLOGO")</f>
        <v>CAM025MP</v>
      </c>
      <c r="C699" s="11">
        <v>6</v>
      </c>
      <c r="D699" s="11" t="str">
        <f>_xlfn.XLOOKUP(A699,CATÁLOGO!$A$2:$A$846,CATÁLOGO!$E$2:$E$846,"FORA DO CATÁLOGO")</f>
        <v>Ativo</v>
      </c>
      <c r="E699" s="9" t="s">
        <v>1303</v>
      </c>
      <c r="F699" s="52">
        <f>SUMIFS('AVARIA ESTIMADA'!$F$18:$F$40,'AVARIA ESTIMADA'!$A$18:$A$40,A699)</f>
        <v>0</v>
      </c>
    </row>
    <row r="700" spans="1:6" x14ac:dyDescent="0.3">
      <c r="A700" s="9" t="s">
        <v>504</v>
      </c>
      <c r="B700" s="18" t="str">
        <f>_xlfn.XLOOKUP(A700,CATÁLOGO!$A$2:$A$846,CATÁLOGO!$B$2:$B$846,"FORA DO CATÁLOGO")</f>
        <v>CAM025MM</v>
      </c>
      <c r="C700" s="11">
        <v>6</v>
      </c>
      <c r="D700" s="11" t="str">
        <f>_xlfn.XLOOKUP(A700,CATÁLOGO!$A$2:$A$846,CATÁLOGO!$E$2:$E$846,"FORA DO CATÁLOGO")</f>
        <v>Ativo</v>
      </c>
      <c r="E700" s="9" t="s">
        <v>1305</v>
      </c>
      <c r="F700" s="52">
        <f>SUMIFS('AVARIA ESTIMADA'!$F$18:$F$40,'AVARIA ESTIMADA'!$A$18:$A$40,A700)</f>
        <v>0</v>
      </c>
    </row>
    <row r="701" spans="1:6" x14ac:dyDescent="0.3">
      <c r="A701" s="9" t="s">
        <v>505</v>
      </c>
      <c r="B701" s="18" t="str">
        <f>_xlfn.XLOOKUP(A701,CATÁLOGO!$A$2:$A$846,CATÁLOGO!$B$2:$B$846,"FORA DO CATÁLOGO")</f>
        <v>CAM025MG</v>
      </c>
      <c r="C701" s="11">
        <v>6</v>
      </c>
      <c r="D701" s="11" t="str">
        <f>_xlfn.XLOOKUP(A701,CATÁLOGO!$A$2:$A$846,CATÁLOGO!$E$2:$E$846,"FORA DO CATÁLOGO")</f>
        <v>Ativo</v>
      </c>
      <c r="E701" s="9" t="s">
        <v>1305</v>
      </c>
      <c r="F701" s="52">
        <f>SUMIFS('AVARIA ESTIMADA'!$F$18:$F$40,'AVARIA ESTIMADA'!$A$18:$A$40,A701)</f>
        <v>0</v>
      </c>
    </row>
    <row r="702" spans="1:6" x14ac:dyDescent="0.3">
      <c r="A702" s="9" t="s">
        <v>506</v>
      </c>
      <c r="B702" s="18" t="str">
        <f>_xlfn.XLOOKUP(A702,CATÁLOGO!$A$2:$A$846,CATÁLOGO!$B$2:$B$846,"FORA DO CATÁLOGO")</f>
        <v>CAM025MGG</v>
      </c>
      <c r="C702" s="11">
        <v>3</v>
      </c>
      <c r="D702" s="11" t="str">
        <f>_xlfn.XLOOKUP(A702,CATÁLOGO!$A$2:$A$846,CATÁLOGO!$E$2:$E$846,"FORA DO CATÁLOGO")</f>
        <v>Ativo</v>
      </c>
      <c r="E702" s="9" t="s">
        <v>1304</v>
      </c>
      <c r="F702" s="52">
        <f>SUMIFS('AVARIA ESTIMADA'!$F$18:$F$40,'AVARIA ESTIMADA'!$A$18:$A$40,A702)</f>
        <v>0</v>
      </c>
    </row>
    <row r="703" spans="1:6" x14ac:dyDescent="0.3">
      <c r="A703" s="9" t="s">
        <v>507</v>
      </c>
      <c r="B703" s="18" t="str">
        <f>_xlfn.XLOOKUP(A703,CATÁLOGO!$A$2:$A$846,CATÁLOGO!$B$2:$B$846,"FORA DO CATÁLOGO")</f>
        <v>TRI015VP</v>
      </c>
      <c r="C703" s="11">
        <v>5</v>
      </c>
      <c r="D703" s="11" t="str">
        <f>_xlfn.XLOOKUP(A703,CATÁLOGO!$A$2:$A$846,CATÁLOGO!$E$2:$E$846,"FORA DO CATÁLOGO")</f>
        <v>Ativo</v>
      </c>
      <c r="E703" s="9" t="s">
        <v>1303</v>
      </c>
      <c r="F703" s="52">
        <f>SUMIFS('AVARIA ESTIMADA'!$F$18:$F$40,'AVARIA ESTIMADA'!$A$18:$A$40,A703)</f>
        <v>0</v>
      </c>
    </row>
    <row r="704" spans="1:6" x14ac:dyDescent="0.3">
      <c r="A704" s="9" t="s">
        <v>508</v>
      </c>
      <c r="B704" s="18" t="str">
        <f>_xlfn.XLOOKUP(A704,CATÁLOGO!$A$2:$A$846,CATÁLOGO!$B$2:$B$846,"FORA DO CATÁLOGO")</f>
        <v>TRI015VM</v>
      </c>
      <c r="C704" s="11">
        <v>5</v>
      </c>
      <c r="D704" s="11" t="str">
        <f>_xlfn.XLOOKUP(A704,CATÁLOGO!$A$2:$A$846,CATÁLOGO!$E$2:$E$846,"FORA DO CATÁLOGO")</f>
        <v>Ativo</v>
      </c>
      <c r="E704" s="9" t="s">
        <v>1303</v>
      </c>
      <c r="F704" s="52">
        <f>SUMIFS('AVARIA ESTIMADA'!$F$18:$F$40,'AVARIA ESTIMADA'!$A$18:$A$40,A704)</f>
        <v>0</v>
      </c>
    </row>
    <row r="705" spans="1:6" x14ac:dyDescent="0.3">
      <c r="A705" s="9" t="s">
        <v>509</v>
      </c>
      <c r="B705" s="18" t="str">
        <f>_xlfn.XLOOKUP(A705,CATÁLOGO!$A$2:$A$846,CATÁLOGO!$B$2:$B$846,"FORA DO CATÁLOGO")</f>
        <v>TRI015VG</v>
      </c>
      <c r="C705" s="11">
        <v>4</v>
      </c>
      <c r="D705" s="11" t="str">
        <f>_xlfn.XLOOKUP(A705,CATÁLOGO!$A$2:$A$846,CATÁLOGO!$E$2:$E$846,"FORA DO CATÁLOGO")</f>
        <v>Ativo</v>
      </c>
      <c r="E705" s="9" t="s">
        <v>1305</v>
      </c>
      <c r="F705" s="52">
        <f>SUMIFS('AVARIA ESTIMADA'!$F$18:$F$40,'AVARIA ESTIMADA'!$A$18:$A$40,A705)</f>
        <v>0</v>
      </c>
    </row>
    <row r="706" spans="1:6" x14ac:dyDescent="0.3">
      <c r="A706" s="9" t="s">
        <v>510</v>
      </c>
      <c r="B706" s="18" t="str">
        <f>_xlfn.XLOOKUP(A706,CATÁLOGO!$A$2:$A$846,CATÁLOGO!$B$2:$B$846,"FORA DO CATÁLOGO")</f>
        <v>TRI015VGG</v>
      </c>
      <c r="C706" s="11">
        <v>2</v>
      </c>
      <c r="D706" s="11" t="str">
        <f>_xlfn.XLOOKUP(A706,CATÁLOGO!$A$2:$A$846,CATÁLOGO!$E$2:$E$846,"FORA DO CATÁLOGO")</f>
        <v>Ativo</v>
      </c>
      <c r="E706" s="9" t="s">
        <v>1305</v>
      </c>
      <c r="F706" s="52">
        <f>SUMIFS('AVARIA ESTIMADA'!$F$18:$F$40,'AVARIA ESTIMADA'!$A$18:$A$40,A706)</f>
        <v>0</v>
      </c>
    </row>
    <row r="707" spans="1:6" x14ac:dyDescent="0.3">
      <c r="A707" s="9" t="s">
        <v>1711</v>
      </c>
      <c r="B707" s="18" t="str">
        <f>_xlfn.XLOOKUP(A707,CATÁLOGO!$A$2:$A$846,CATÁLOGO!$B$2:$B$846,"FORA DO CATÁLOGO")</f>
        <v>CAL028A36</v>
      </c>
      <c r="C707" s="11">
        <v>1</v>
      </c>
      <c r="D707" s="11" t="str">
        <f>_xlfn.XLOOKUP(A707,CATÁLOGO!$A$2:$A$846,CATÁLOGO!$E$2:$E$846,"FORA DO CATÁLOGO")</f>
        <v>Ativo</v>
      </c>
      <c r="E707" s="9" t="s">
        <v>1305</v>
      </c>
      <c r="F707" s="52">
        <f>SUMIFS('AVARIA ESTIMADA'!$F$18:$F$40,'AVARIA ESTIMADA'!$A$18:$A$40,A707)</f>
        <v>0</v>
      </c>
    </row>
    <row r="708" spans="1:6" x14ac:dyDescent="0.3">
      <c r="A708" s="9" t="s">
        <v>1710</v>
      </c>
      <c r="B708" s="18" t="str">
        <f>_xlfn.XLOOKUP(A708,CATÁLOGO!$A$2:$A$846,CATÁLOGO!$B$2:$B$846,"FORA DO CATÁLOGO")</f>
        <v>CAL028A38</v>
      </c>
      <c r="C708" s="11">
        <v>2</v>
      </c>
      <c r="D708" s="11" t="str">
        <f>_xlfn.XLOOKUP(A708,CATÁLOGO!$A$2:$A$846,CATÁLOGO!$E$2:$E$846,"FORA DO CATÁLOGO")</f>
        <v>Ativo</v>
      </c>
      <c r="E708" s="9" t="s">
        <v>1305</v>
      </c>
      <c r="F708" s="52">
        <f>SUMIFS('AVARIA ESTIMADA'!$F$18:$F$40,'AVARIA ESTIMADA'!$A$18:$A$40,A708)</f>
        <v>0</v>
      </c>
    </row>
    <row r="709" spans="1:6" x14ac:dyDescent="0.3">
      <c r="A709" s="9" t="s">
        <v>1709</v>
      </c>
      <c r="B709" s="18" t="str">
        <f>_xlfn.XLOOKUP(A709,CATÁLOGO!$A$2:$A$846,CATÁLOGO!$B$2:$B$846,"FORA DO CATÁLOGO")</f>
        <v>CAL028A40</v>
      </c>
      <c r="C709" s="11">
        <v>2</v>
      </c>
      <c r="D709" s="11" t="str">
        <f>_xlfn.XLOOKUP(A709,CATÁLOGO!$A$2:$A$846,CATÁLOGO!$E$2:$E$846,"FORA DO CATÁLOGO")</f>
        <v>Ativo</v>
      </c>
      <c r="E709" s="9" t="s">
        <v>1304</v>
      </c>
      <c r="F709" s="52">
        <f>SUMIFS('AVARIA ESTIMADA'!$F$18:$F$40,'AVARIA ESTIMADA'!$A$18:$A$40,A709)</f>
        <v>0</v>
      </c>
    </row>
    <row r="710" spans="1:6" x14ac:dyDescent="0.3">
      <c r="A710" s="9" t="s">
        <v>1706</v>
      </c>
      <c r="B710" s="18" t="str">
        <f>_xlfn.XLOOKUP(A710,CATÁLOGO!$A$2:$A$846,CATÁLOGO!$B$2:$B$846,"FORA DO CATÁLOGO")</f>
        <v>CAL028A42</v>
      </c>
      <c r="C710" s="11">
        <v>2</v>
      </c>
      <c r="D710" s="11" t="str">
        <f>_xlfn.XLOOKUP(A710,CATÁLOGO!$A$2:$A$846,CATÁLOGO!$E$2:$E$846,"FORA DO CATÁLOGO")</f>
        <v>Ativo</v>
      </c>
      <c r="E710" s="9" t="s">
        <v>1305</v>
      </c>
      <c r="F710" s="52">
        <f>SUMIFS('AVARIA ESTIMADA'!$F$18:$F$40,'AVARIA ESTIMADA'!$A$18:$A$40,A710)</f>
        <v>0</v>
      </c>
    </row>
    <row r="711" spans="1:6" x14ac:dyDescent="0.3">
      <c r="A711" s="9" t="s">
        <v>1708</v>
      </c>
      <c r="B711" s="18" t="str">
        <f>_xlfn.XLOOKUP(A711,CATÁLOGO!$A$2:$A$846,CATÁLOGO!$B$2:$B$846,"FORA DO CATÁLOGO")</f>
        <v>CAL028A44</v>
      </c>
      <c r="C711" s="11">
        <v>1</v>
      </c>
      <c r="D711" s="11" t="str">
        <f>_xlfn.XLOOKUP(A711,CATÁLOGO!$A$2:$A$846,CATÁLOGO!$E$2:$E$846,"FORA DO CATÁLOGO")</f>
        <v>Ativo</v>
      </c>
      <c r="E711" s="9" t="s">
        <v>1305</v>
      </c>
      <c r="F711" s="52">
        <f>SUMIFS('AVARIA ESTIMADA'!$F$18:$F$40,'AVARIA ESTIMADA'!$A$18:$A$40,A711)</f>
        <v>0</v>
      </c>
    </row>
    <row r="712" spans="1:6" x14ac:dyDescent="0.3">
      <c r="A712" s="9" t="s">
        <v>511</v>
      </c>
      <c r="B712" s="18" t="str">
        <f>_xlfn.XLOOKUP(A712,CATÁLOGO!$A$2:$A$846,CATÁLOGO!$B$2:$B$846,"FORA DO CATÁLOGO")</f>
        <v>MOL001MP</v>
      </c>
      <c r="C712" s="11">
        <v>4</v>
      </c>
      <c r="D712" s="11" t="str">
        <f>_xlfn.XLOOKUP(A712,CATÁLOGO!$A$2:$A$846,CATÁLOGO!$E$2:$E$846,"FORA DO CATÁLOGO")</f>
        <v>Ativo</v>
      </c>
      <c r="E712" s="9" t="s">
        <v>1305</v>
      </c>
      <c r="F712" s="52">
        <f>SUMIFS('AVARIA ESTIMADA'!$F$18:$F$40,'AVARIA ESTIMADA'!$A$18:$A$40,A712)</f>
        <v>0</v>
      </c>
    </row>
    <row r="713" spans="1:6" x14ac:dyDescent="0.3">
      <c r="A713" s="9" t="s">
        <v>1273</v>
      </c>
      <c r="B713" s="18" t="str">
        <f>_xlfn.XLOOKUP(A713,CATÁLOGO!$A$2:$A$846,CATÁLOGO!$B$2:$B$846,"FORA DO CATÁLOGO")</f>
        <v>MOL001MG</v>
      </c>
      <c r="C713" s="11">
        <v>4</v>
      </c>
      <c r="D713" s="11" t="str">
        <f>_xlfn.XLOOKUP(A713,CATÁLOGO!$A$2:$A$846,CATÁLOGO!$E$2:$E$846,"FORA DO CATÁLOGO")</f>
        <v>Ativo</v>
      </c>
      <c r="E713" s="9" t="s">
        <v>1305</v>
      </c>
      <c r="F713" s="52">
        <f>SUMIFS('AVARIA ESTIMADA'!$F$18:$F$40,'AVARIA ESTIMADA'!$A$18:$A$40,A713)</f>
        <v>0</v>
      </c>
    </row>
    <row r="714" spans="1:6" x14ac:dyDescent="0.3">
      <c r="A714" s="9" t="s">
        <v>1798</v>
      </c>
      <c r="B714" s="18" t="str">
        <f>_xlfn.XLOOKUP(A714,CATÁLOGO!$A$2:$A$846,CATÁLOGO!$B$2:$B$846,"FORA DO CATÁLOGO")</f>
        <v>CMS016HPP</v>
      </c>
      <c r="C714" s="11">
        <v>1</v>
      </c>
      <c r="D714" s="11" t="str">
        <f>_xlfn.XLOOKUP(A714,CATÁLOGO!$A$2:$A$846,CATÁLOGO!$E$2:$E$846,"FORA DO CATÁLOGO")</f>
        <v>Ativo</v>
      </c>
      <c r="E714" s="9" t="s">
        <v>1303</v>
      </c>
      <c r="F714" s="52">
        <f>SUMIFS('AVARIA ESTIMADA'!$F$18:$F$40,'AVARIA ESTIMADA'!$A$18:$A$40,A714)</f>
        <v>0</v>
      </c>
    </row>
    <row r="715" spans="1:6" x14ac:dyDescent="0.3">
      <c r="A715" s="9" t="s">
        <v>514</v>
      </c>
      <c r="B715" s="18" t="str">
        <f>_xlfn.XLOOKUP(A715,CATÁLOGO!$A$2:$A$846,CATÁLOGO!$B$2:$B$846,"FORA DO CATÁLOGO")</f>
        <v>CMS016HP</v>
      </c>
      <c r="C715" s="11">
        <v>1</v>
      </c>
      <c r="D715" s="11" t="str">
        <f>_xlfn.XLOOKUP(A715,CATÁLOGO!$A$2:$A$846,CATÁLOGO!$E$2:$E$846,"FORA DO CATÁLOGO")</f>
        <v>Ativo</v>
      </c>
      <c r="E715" s="9" t="s">
        <v>1305</v>
      </c>
      <c r="F715" s="52">
        <f>SUMIFS('AVARIA ESTIMADA'!$F$18:$F$40,'AVARIA ESTIMADA'!$A$18:$A$40,A715)</f>
        <v>0</v>
      </c>
    </row>
    <row r="716" spans="1:6" x14ac:dyDescent="0.3">
      <c r="A716" s="9" t="s">
        <v>515</v>
      </c>
      <c r="B716" s="18" t="str">
        <f>_xlfn.XLOOKUP(A716,CATÁLOGO!$A$2:$A$846,CATÁLOGO!$B$2:$B$846,"FORA DO CATÁLOGO")</f>
        <v>CMS016HM</v>
      </c>
      <c r="C716" s="11">
        <v>2</v>
      </c>
      <c r="D716" s="11" t="str">
        <f>_xlfn.XLOOKUP(A716,CATÁLOGO!$A$2:$A$846,CATÁLOGO!$E$2:$E$846,"FORA DO CATÁLOGO")</f>
        <v>Ativo</v>
      </c>
      <c r="E716" s="9" t="s">
        <v>1303</v>
      </c>
      <c r="F716" s="52">
        <f>SUMIFS('AVARIA ESTIMADA'!$F$18:$F$40,'AVARIA ESTIMADA'!$A$18:$A$40,A716)</f>
        <v>0</v>
      </c>
    </row>
    <row r="717" spans="1:6" x14ac:dyDescent="0.3">
      <c r="A717" s="9" t="s">
        <v>516</v>
      </c>
      <c r="B717" s="18" t="str">
        <f>_xlfn.XLOOKUP(A717,CATÁLOGO!$A$2:$A$846,CATÁLOGO!$B$2:$B$846,"FORA DO CATÁLOGO")</f>
        <v>CMS016HG</v>
      </c>
      <c r="C717" s="11">
        <v>2</v>
      </c>
      <c r="D717" s="11" t="str">
        <f>_xlfn.XLOOKUP(A717,CATÁLOGO!$A$2:$A$846,CATÁLOGO!$E$2:$E$846,"FORA DO CATÁLOGO")</f>
        <v>Ativo</v>
      </c>
      <c r="E717" s="9" t="s">
        <v>1305</v>
      </c>
      <c r="F717" s="52">
        <f>SUMIFS('AVARIA ESTIMADA'!$F$18:$F$40,'AVARIA ESTIMADA'!$A$18:$A$40,A717)</f>
        <v>0</v>
      </c>
    </row>
    <row r="718" spans="1:6" x14ac:dyDescent="0.3">
      <c r="A718" s="9" t="s">
        <v>517</v>
      </c>
      <c r="B718" s="18" t="str">
        <f>_xlfn.XLOOKUP(A718,CATÁLOGO!$A$2:$A$846,CATÁLOGO!$B$2:$B$846,"FORA DO CATÁLOGO")</f>
        <v>CMS016HGG</v>
      </c>
      <c r="C718" s="11">
        <v>1</v>
      </c>
      <c r="D718" s="11" t="str">
        <f>_xlfn.XLOOKUP(A718,CATÁLOGO!$A$2:$A$846,CATÁLOGO!$E$2:$E$846,"FORA DO CATÁLOGO")</f>
        <v>Ativo</v>
      </c>
      <c r="E718" s="9" t="s">
        <v>1304</v>
      </c>
      <c r="F718" s="52">
        <f>SUMIFS('AVARIA ESTIMADA'!$F$18:$F$40,'AVARIA ESTIMADA'!$A$18:$A$40,A718)</f>
        <v>0</v>
      </c>
    </row>
    <row r="719" spans="1:6" x14ac:dyDescent="0.3">
      <c r="A719" s="9" t="s">
        <v>1797</v>
      </c>
      <c r="B719" s="18" t="str">
        <f>_xlfn.XLOOKUP(A719,CATÁLOGO!$A$2:$A$846,CATÁLOGO!$B$2:$B$846,"FORA DO CATÁLOGO")</f>
        <v>CMS016BPP</v>
      </c>
      <c r="C719" s="11">
        <v>1</v>
      </c>
      <c r="D719" s="11" t="str">
        <f>_xlfn.XLOOKUP(A719,CATÁLOGO!$A$2:$A$846,CATÁLOGO!$E$2:$E$846,"FORA DO CATÁLOGO")</f>
        <v>Ativo</v>
      </c>
      <c r="E719" s="9" t="s">
        <v>1305</v>
      </c>
      <c r="F719" s="52">
        <f>SUMIFS('AVARIA ESTIMADA'!$F$18:$F$40,'AVARIA ESTIMADA'!$A$18:$A$40,A719)</f>
        <v>0</v>
      </c>
    </row>
    <row r="720" spans="1:6" x14ac:dyDescent="0.3">
      <c r="A720" s="9" t="s">
        <v>1274</v>
      </c>
      <c r="B720" s="18" t="str">
        <f>_xlfn.XLOOKUP(A720,CATÁLOGO!$A$2:$A$846,CATÁLOGO!$B$2:$B$846,"FORA DO CATÁLOGO")</f>
        <v>CMS016BP</v>
      </c>
      <c r="C720" s="11">
        <v>1</v>
      </c>
      <c r="D720" s="11" t="str">
        <f>_xlfn.XLOOKUP(A720,CATÁLOGO!$A$2:$A$846,CATÁLOGO!$E$2:$E$846,"FORA DO CATÁLOGO")</f>
        <v>Ativo</v>
      </c>
      <c r="E720" s="9" t="s">
        <v>1305</v>
      </c>
      <c r="F720" s="52">
        <f>SUMIFS('AVARIA ESTIMADA'!$F$18:$F$40,'AVARIA ESTIMADA'!$A$18:$A$40,A720)</f>
        <v>0</v>
      </c>
    </row>
    <row r="721" spans="1:6" x14ac:dyDescent="0.3">
      <c r="A721" s="9" t="s">
        <v>518</v>
      </c>
      <c r="B721" s="18" t="str">
        <f>_xlfn.XLOOKUP(A721,CATÁLOGO!$A$2:$A$846,CATÁLOGO!$B$2:$B$846,"FORA DO CATÁLOGO")</f>
        <v>CMS016BM</v>
      </c>
      <c r="C721" s="11">
        <v>1</v>
      </c>
      <c r="D721" s="11" t="str">
        <f>_xlfn.XLOOKUP(A721,CATÁLOGO!$A$2:$A$846,CATÁLOGO!$E$2:$E$846,"FORA DO CATÁLOGO")</f>
        <v>Ativo</v>
      </c>
      <c r="E721" s="9" t="s">
        <v>1304</v>
      </c>
      <c r="F721" s="52">
        <f>SUMIFS('AVARIA ESTIMADA'!$F$18:$F$40,'AVARIA ESTIMADA'!$A$18:$A$40,A721)</f>
        <v>0</v>
      </c>
    </row>
    <row r="722" spans="1:6" x14ac:dyDescent="0.3">
      <c r="A722" s="9" t="s">
        <v>519</v>
      </c>
      <c r="B722" s="18" t="str">
        <f>_xlfn.XLOOKUP(A722,CATÁLOGO!$A$2:$A$846,CATÁLOGO!$B$2:$B$846,"FORA DO CATÁLOGO")</f>
        <v>CMS016BG</v>
      </c>
      <c r="C722" s="11">
        <v>1</v>
      </c>
      <c r="D722" s="11" t="str">
        <f>_xlfn.XLOOKUP(A722,CATÁLOGO!$A$2:$A$846,CATÁLOGO!$E$2:$E$846,"FORA DO CATÁLOGO")</f>
        <v>Ativo</v>
      </c>
      <c r="E722" s="9" t="s">
        <v>1304</v>
      </c>
      <c r="F722" s="52">
        <f>SUMIFS('AVARIA ESTIMADA'!$F$18:$F$40,'AVARIA ESTIMADA'!$A$18:$A$40,A722)</f>
        <v>0</v>
      </c>
    </row>
    <row r="723" spans="1:6" x14ac:dyDescent="0.3">
      <c r="A723" s="9" t="s">
        <v>520</v>
      </c>
      <c r="B723" s="18" t="str">
        <f>_xlfn.XLOOKUP(A723,CATÁLOGO!$A$2:$A$846,CATÁLOGO!$B$2:$B$846,"FORA DO CATÁLOGO")</f>
        <v>CMS016BGG</v>
      </c>
      <c r="C723" s="11">
        <v>1</v>
      </c>
      <c r="D723" s="11" t="str">
        <f>_xlfn.XLOOKUP(A723,CATÁLOGO!$A$2:$A$846,CATÁLOGO!$E$2:$E$846,"FORA DO CATÁLOGO")</f>
        <v>Ativo</v>
      </c>
      <c r="E723" s="9" t="s">
        <v>1305</v>
      </c>
      <c r="F723" s="52">
        <f>SUMIFS('AVARIA ESTIMADA'!$F$18:$F$40,'AVARIA ESTIMADA'!$A$18:$A$40,A723)</f>
        <v>0</v>
      </c>
    </row>
    <row r="724" spans="1:6" x14ac:dyDescent="0.3">
      <c r="A724" s="9" t="s">
        <v>521</v>
      </c>
      <c r="B724" s="18" t="str">
        <f>_xlfn.XLOOKUP(A724,CATÁLOGO!$A$2:$A$846,CATÁLOGO!$B$2:$B$846,"FORA DO CATÁLOGO")</f>
        <v>MOL022YP</v>
      </c>
      <c r="C724" s="11">
        <v>5</v>
      </c>
      <c r="D724" s="11" t="str">
        <f>_xlfn.XLOOKUP(A724,CATÁLOGO!$A$2:$A$846,CATÁLOGO!$E$2:$E$846,"FORA DO CATÁLOGO")</f>
        <v>Ativo</v>
      </c>
      <c r="E724" s="9" t="s">
        <v>1303</v>
      </c>
      <c r="F724" s="52">
        <f>SUMIFS('AVARIA ESTIMADA'!$F$18:$F$40,'AVARIA ESTIMADA'!$A$18:$A$40,A724)</f>
        <v>0</v>
      </c>
    </row>
    <row r="725" spans="1:6" x14ac:dyDescent="0.3">
      <c r="A725" s="9" t="s">
        <v>522</v>
      </c>
      <c r="B725" s="18" t="str">
        <f>_xlfn.XLOOKUP(A725,CATÁLOGO!$A$2:$A$846,CATÁLOGO!$B$2:$B$846,"FORA DO CATÁLOGO")</f>
        <v>MOL022YM</v>
      </c>
      <c r="C725" s="11">
        <v>5</v>
      </c>
      <c r="D725" s="11" t="str">
        <f>_xlfn.XLOOKUP(A725,CATÁLOGO!$A$2:$A$846,CATÁLOGO!$E$2:$E$846,"FORA DO CATÁLOGO")</f>
        <v>Ativo</v>
      </c>
      <c r="E725" s="9" t="s">
        <v>1304</v>
      </c>
      <c r="F725" s="52">
        <f>SUMIFS('AVARIA ESTIMADA'!$F$18:$F$40,'AVARIA ESTIMADA'!$A$18:$A$40,A725)</f>
        <v>0</v>
      </c>
    </row>
    <row r="726" spans="1:6" x14ac:dyDescent="0.3">
      <c r="A726" s="9" t="s">
        <v>523</v>
      </c>
      <c r="B726" s="18" t="str">
        <f>_xlfn.XLOOKUP(A726,CATÁLOGO!$A$2:$A$846,CATÁLOGO!$B$2:$B$846,"FORA DO CATÁLOGO")</f>
        <v>MOL022YG</v>
      </c>
      <c r="C726" s="11">
        <v>4</v>
      </c>
      <c r="D726" s="11" t="str">
        <f>_xlfn.XLOOKUP(A726,CATÁLOGO!$A$2:$A$846,CATÁLOGO!$E$2:$E$846,"FORA DO CATÁLOGO")</f>
        <v>Ativo</v>
      </c>
      <c r="E726" s="9" t="s">
        <v>1303</v>
      </c>
      <c r="F726" s="52">
        <f>SUMIFS('AVARIA ESTIMADA'!$F$18:$F$40,'AVARIA ESTIMADA'!$A$18:$A$40,A726)</f>
        <v>0</v>
      </c>
    </row>
    <row r="727" spans="1:6" x14ac:dyDescent="0.3">
      <c r="A727" s="9" t="s">
        <v>524</v>
      </c>
      <c r="B727" s="18" t="str">
        <f>_xlfn.XLOOKUP(A727,CATÁLOGO!$A$2:$A$846,CATÁLOGO!$B$2:$B$846,"FORA DO CATÁLOGO")</f>
        <v>MOL022YGG</v>
      </c>
      <c r="C727" s="11">
        <v>2</v>
      </c>
      <c r="D727" s="11" t="str">
        <f>_xlfn.XLOOKUP(A727,CATÁLOGO!$A$2:$A$846,CATÁLOGO!$E$2:$E$846,"FORA DO CATÁLOGO")</f>
        <v>Ativo</v>
      </c>
      <c r="E727" s="9" t="s">
        <v>1303</v>
      </c>
      <c r="F727" s="52">
        <f>SUMIFS('AVARIA ESTIMADA'!$F$18:$F$40,'AVARIA ESTIMADA'!$A$18:$A$40,A727)</f>
        <v>0</v>
      </c>
    </row>
    <row r="728" spans="1:6" x14ac:dyDescent="0.3">
      <c r="A728" s="9" t="s">
        <v>525</v>
      </c>
      <c r="B728" s="18" t="str">
        <f>_xlfn.XLOOKUP(A728,CATÁLOGO!$A$2:$A$846,CATÁLOGO!$B$2:$B$846,"FORA DO CATÁLOGO")</f>
        <v>JAQ011VP</v>
      </c>
      <c r="C728" s="11">
        <v>6</v>
      </c>
      <c r="D728" s="11" t="str">
        <f>_xlfn.XLOOKUP(A728,CATÁLOGO!$A$2:$A$846,CATÁLOGO!$E$2:$E$846,"FORA DO CATÁLOGO")</f>
        <v>Ativo</v>
      </c>
      <c r="E728" s="9" t="s">
        <v>1305</v>
      </c>
      <c r="F728" s="52">
        <f>SUMIFS('AVARIA ESTIMADA'!$F$18:$F$40,'AVARIA ESTIMADA'!$A$18:$A$40,A728)</f>
        <v>0</v>
      </c>
    </row>
    <row r="729" spans="1:6" x14ac:dyDescent="0.3">
      <c r="A729" s="9" t="s">
        <v>526</v>
      </c>
      <c r="B729" s="18" t="str">
        <f>_xlfn.XLOOKUP(A729,CATÁLOGO!$A$2:$A$846,CATÁLOGO!$B$2:$B$846,"FORA DO CATÁLOGO")</f>
        <v>JAQ011VM</v>
      </c>
      <c r="C729" s="11">
        <v>6</v>
      </c>
      <c r="D729" s="11" t="str">
        <f>_xlfn.XLOOKUP(A729,CATÁLOGO!$A$2:$A$846,CATÁLOGO!$E$2:$E$846,"FORA DO CATÁLOGO")</f>
        <v>Ativo</v>
      </c>
      <c r="E729" s="9" t="s">
        <v>1305</v>
      </c>
      <c r="F729" s="52">
        <f>SUMIFS('AVARIA ESTIMADA'!$F$18:$F$40,'AVARIA ESTIMADA'!$A$18:$A$40,A729)</f>
        <v>0</v>
      </c>
    </row>
    <row r="730" spans="1:6" x14ac:dyDescent="0.3">
      <c r="A730" s="9" t="s">
        <v>527</v>
      </c>
      <c r="B730" s="18" t="str">
        <f>_xlfn.XLOOKUP(A730,CATÁLOGO!$A$2:$A$846,CATÁLOGO!$B$2:$B$846,"FORA DO CATÁLOGO")</f>
        <v>JAQ011VG</v>
      </c>
      <c r="C730" s="11">
        <v>6</v>
      </c>
      <c r="D730" s="11" t="str">
        <f>_xlfn.XLOOKUP(A730,CATÁLOGO!$A$2:$A$846,CATÁLOGO!$E$2:$E$846,"FORA DO CATÁLOGO")</f>
        <v>Ativo</v>
      </c>
      <c r="E730" s="9" t="s">
        <v>1303</v>
      </c>
      <c r="F730" s="52">
        <f>SUMIFS('AVARIA ESTIMADA'!$F$18:$F$40,'AVARIA ESTIMADA'!$A$18:$A$40,A730)</f>
        <v>0</v>
      </c>
    </row>
    <row r="731" spans="1:6" x14ac:dyDescent="0.3">
      <c r="A731" s="9" t="s">
        <v>528</v>
      </c>
      <c r="B731" s="18" t="str">
        <f>_xlfn.XLOOKUP(A731,CATÁLOGO!$A$2:$A$846,CATÁLOGO!$B$2:$B$846,"FORA DO CATÁLOGO")</f>
        <v>JAQ011VGG</v>
      </c>
      <c r="C731" s="11">
        <v>3</v>
      </c>
      <c r="D731" s="11" t="str">
        <f>_xlfn.XLOOKUP(A731,CATÁLOGO!$A$2:$A$846,CATÁLOGO!$E$2:$E$846,"FORA DO CATÁLOGO")</f>
        <v>Ativo</v>
      </c>
      <c r="E731" s="9" t="s">
        <v>1303</v>
      </c>
      <c r="F731" s="52">
        <f>SUMIFS('AVARIA ESTIMADA'!$F$18:$F$40,'AVARIA ESTIMADA'!$A$18:$A$40,A731)</f>
        <v>0</v>
      </c>
    </row>
  </sheetData>
  <conditionalFormatting sqref="D2:D731">
    <cfRule type="containsText" dxfId="18" priority="1" operator="containsText" text="Descontinuado">
      <formula>NOT(ISERROR(SEARCH("Descontinuado",D2)))</formula>
    </cfRule>
    <cfRule type="containsText" dxfId="17" priority="2" operator="containsText" text="Fora do catálogo">
      <formula>NOT(ISERROR(SEARCH("Fora do catálogo",D2)))</formula>
    </cfRule>
    <cfRule type="containsText" dxfId="16" priority="3" operator="containsText" text="FORA DO CATÁLOGO">
      <formula>NOT(ISERROR(SEARCH("FORA DO CATÁLOGO",D2)))</formula>
    </cfRule>
  </conditionalFormatting>
  <conditionalFormatting sqref="F2:F731">
    <cfRule type="cellIs" dxfId="2" priority="4" operator="greaterThan">
      <formula>0</formula>
    </cfRule>
  </conditionalFormatting>
  <conditionalFormatting sqref="I12:I40">
    <cfRule type="dataBar" priority="5">
      <dataBar>
        <cfvo type="num" val="0"/>
        <cfvo type="max"/>
        <color rgb="FFF4B183"/>
      </dataBar>
      <extLst>
        <ext xmlns:x14="http://schemas.microsoft.com/office/spreadsheetml/2009/9/main" uri="{B025F937-C7B1-47D3-B67F-A62EFF666E3E}">
          <x14:id>{4AED48F0-C31F-487E-85EA-94F0B17E944C}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ED48F0-C31F-487E-85EA-94F0B17E944C}">
            <x14:dataBar minLength="0" maxLength="100" gradient="0" direction="leftToRight" negativeBarColorSameAsPositive="1" axisPosition="none">
              <x14:cfvo type="num">
                <xm:f>0</xm:f>
              </x14:cfvo>
              <x14:cfvo type="max"/>
            </x14:dataBar>
          </x14:cfRule>
          <xm:sqref>I12:I40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20"/>
  <sheetViews>
    <sheetView workbookViewId="0">
      <pane ySplit="1" topLeftCell="A92" activePane="bottomLeft" state="frozen"/>
      <selection pane="bottomLeft" activeCell="I713" sqref="I713"/>
    </sheetView>
  </sheetViews>
  <sheetFormatPr defaultRowHeight="14.4" x14ac:dyDescent="0.3"/>
  <cols>
    <col min="1" max="1" width="27.77734375" customWidth="1"/>
    <col min="2" max="2" width="16.6640625" customWidth="1"/>
    <col min="3" max="3" width="11.109375" customWidth="1"/>
    <col min="4" max="4" width="24.109375" customWidth="1"/>
    <col min="5" max="5" width="55.5546875" customWidth="1"/>
    <col min="6" max="6" width="14.77734375" customWidth="1"/>
    <col min="7" max="7" width="3.6640625" customWidth="1"/>
    <col min="8" max="8" width="35.21875" customWidth="1"/>
    <col min="9" max="9" width="27.77734375" customWidth="1"/>
  </cols>
  <sheetData>
    <row r="1" spans="1:9" x14ac:dyDescent="0.3">
      <c r="A1" s="12" t="s">
        <v>0</v>
      </c>
      <c r="B1" s="12" t="s">
        <v>1413</v>
      </c>
      <c r="C1" s="12" t="s">
        <v>1</v>
      </c>
      <c r="D1" s="12" t="s">
        <v>1416</v>
      </c>
      <c r="E1" s="12" t="s">
        <v>2</v>
      </c>
      <c r="F1" s="12" t="s">
        <v>2059</v>
      </c>
      <c r="H1" s="22" t="s">
        <v>2061</v>
      </c>
      <c r="I1" s="22"/>
    </row>
    <row r="2" spans="1:9" x14ac:dyDescent="0.3">
      <c r="A2" s="2" t="s">
        <v>1953</v>
      </c>
      <c r="B2" s="19" t="str">
        <f>_xlfn.XLOOKUP(A2,CATÁLOGO!$A$2:$A$846,CATÁLOGO!$B$2:$B$846,"FORA DO CATÁLOGO")</f>
        <v>CAL001H42</v>
      </c>
      <c r="C2" s="13">
        <v>1</v>
      </c>
      <c r="D2" s="13" t="str">
        <f>_xlfn.XLOOKUP(A2,CATÁLOGO!$A$2:$A$846,CATÁLOGO!$E$2:$E$846,"FORA DO CATÁLOGO")</f>
        <v>Fora do catálogo 2026</v>
      </c>
      <c r="E2" s="2" t="s">
        <v>1401</v>
      </c>
      <c r="F2" s="62">
        <f>SUMIFS('AVARIA ESTIMADA'!$H$18:$H$40,'AVARIA ESTIMADA'!$A$18:$A$40,A2)</f>
        <v>0</v>
      </c>
      <c r="H2" s="54" t="s">
        <v>2050</v>
      </c>
      <c r="I2" s="63" t="s">
        <v>2064</v>
      </c>
    </row>
    <row r="3" spans="1:9" x14ac:dyDescent="0.3">
      <c r="A3" s="2" t="s">
        <v>1449</v>
      </c>
      <c r="B3" s="19" t="str">
        <f>_xlfn.XLOOKUP(A3,CATÁLOGO!$A$2:$A$846,CATÁLOGO!$B$2:$B$846,"FORA DO CATÁLOGO")</f>
        <v>BER001B38</v>
      </c>
      <c r="C3" s="13">
        <v>6</v>
      </c>
      <c r="D3" s="13" t="str">
        <f>_xlfn.XLOOKUP(A3,CATÁLOGO!$A$2:$A$846,CATÁLOGO!$E$2:$E$846,"FORA DO CATÁLOGO")</f>
        <v>Ativo</v>
      </c>
      <c r="E3" s="2" t="s">
        <v>1401</v>
      </c>
      <c r="F3" s="62">
        <f>SUMIFS('AVARIA ESTIMADA'!$H$18:$H$40,'AVARIA ESTIMADA'!$A$18:$A$40,A3)</f>
        <v>0</v>
      </c>
      <c r="H3" s="54" t="s">
        <v>2051</v>
      </c>
      <c r="I3" s="55">
        <f>SUM(C2:C720)</f>
        <v>2114</v>
      </c>
    </row>
    <row r="4" spans="1:9" x14ac:dyDescent="0.3">
      <c r="A4" s="2" t="s">
        <v>1448</v>
      </c>
      <c r="B4" s="19" t="str">
        <f>_xlfn.XLOOKUP(A4,CATÁLOGO!$A$2:$A$846,CATÁLOGO!$B$2:$B$846,"FORA DO CATÁLOGO")</f>
        <v>BER001B40</v>
      </c>
      <c r="C4" s="13">
        <v>5</v>
      </c>
      <c r="D4" s="13" t="str">
        <f>_xlfn.XLOOKUP(A4,CATÁLOGO!$A$2:$A$846,CATÁLOGO!$E$2:$E$846,"FORA DO CATÁLOGO")</f>
        <v>Ativo</v>
      </c>
      <c r="E4" s="2" t="s">
        <v>1401</v>
      </c>
      <c r="F4" s="62">
        <f>SUMIFS('AVARIA ESTIMADA'!$H$18:$H$40,'AVARIA ESTIMADA'!$A$18:$A$40,A4)</f>
        <v>0</v>
      </c>
      <c r="H4" s="56" t="s">
        <v>2052</v>
      </c>
      <c r="I4" s="57">
        <f>SUM(F2:F720)</f>
        <v>65</v>
      </c>
    </row>
    <row r="5" spans="1:9" x14ac:dyDescent="0.3">
      <c r="A5" s="2" t="s">
        <v>1445</v>
      </c>
      <c r="B5" s="19" t="str">
        <f>_xlfn.XLOOKUP(A5,CATÁLOGO!$A$2:$A$846,CATÁLOGO!$B$2:$B$846,"FORA DO CATÁLOGO")</f>
        <v>BER001B42</v>
      </c>
      <c r="C5" s="13">
        <v>5</v>
      </c>
      <c r="D5" s="13" t="str">
        <f>_xlfn.XLOOKUP(A5,CATÁLOGO!$A$2:$A$846,CATÁLOGO!$E$2:$E$846,"FORA DO CATÁLOGO")</f>
        <v>Ativo</v>
      </c>
      <c r="E5" s="2" t="s">
        <v>1401</v>
      </c>
      <c r="F5" s="62">
        <f>SUMIFS('AVARIA ESTIMADA'!$H$18:$H$40,'AVARIA ESTIMADA'!$A$18:$A$40,A5)</f>
        <v>0</v>
      </c>
      <c r="H5" s="58" t="s">
        <v>2053</v>
      </c>
      <c r="I5" s="59">
        <f>I3-I4</f>
        <v>2049</v>
      </c>
    </row>
    <row r="6" spans="1:9" x14ac:dyDescent="0.3">
      <c r="A6" s="2" t="s">
        <v>1447</v>
      </c>
      <c r="B6" s="19" t="str">
        <f>_xlfn.XLOOKUP(A6,CATÁLOGO!$A$2:$A$846,CATÁLOGO!$B$2:$B$846,"FORA DO CATÁLOGO")</f>
        <v>BER001B44</v>
      </c>
      <c r="C6" s="13">
        <v>4</v>
      </c>
      <c r="D6" s="13" t="str">
        <f>_xlfn.XLOOKUP(A6,CATÁLOGO!$A$2:$A$846,CATÁLOGO!$E$2:$E$846,"FORA DO CATÁLOGO")</f>
        <v>Ativo</v>
      </c>
      <c r="E6" s="2" t="s">
        <v>1401</v>
      </c>
      <c r="F6" s="62">
        <f>SUMIFS('AVARIA ESTIMADA'!$H$18:$H$40,'AVARIA ESTIMADA'!$A$18:$A$40,A6)</f>
        <v>0</v>
      </c>
      <c r="H6" s="54" t="s">
        <v>2054</v>
      </c>
      <c r="I6" s="60">
        <f>I4/I3</f>
        <v>3.0747398297067172E-2</v>
      </c>
    </row>
    <row r="7" spans="1:9" x14ac:dyDescent="0.3">
      <c r="A7" s="2" t="s">
        <v>1517</v>
      </c>
      <c r="B7" s="19" t="str">
        <f>_xlfn.XLOOKUP(A7,CATÁLOGO!$A$2:$A$846,CATÁLOGO!$B$2:$B$846,"FORA DO CATÁLOGO")</f>
        <v>CAL003P38</v>
      </c>
      <c r="C7" s="13">
        <v>5</v>
      </c>
      <c r="D7" s="13" t="str">
        <f>_xlfn.XLOOKUP(A7,CATÁLOGO!$A$2:$A$846,CATÁLOGO!$E$2:$E$846,"FORA DO CATÁLOGO")</f>
        <v>Ativo</v>
      </c>
      <c r="E7" s="2" t="s">
        <v>1401</v>
      </c>
      <c r="F7" s="62">
        <f>SUMIFS('AVARIA ESTIMADA'!$H$18:$H$40,'AVARIA ESTIMADA'!$A$18:$A$40,A7)</f>
        <v>0</v>
      </c>
      <c r="H7" s="54" t="s">
        <v>2055</v>
      </c>
      <c r="I7" s="61">
        <f>COUNTIF(F2:F720,"&gt;0")</f>
        <v>22</v>
      </c>
    </row>
    <row r="8" spans="1:9" x14ac:dyDescent="0.3">
      <c r="A8" s="2" t="s">
        <v>1516</v>
      </c>
      <c r="B8" s="19" t="str">
        <f>_xlfn.XLOOKUP(A8,CATÁLOGO!$A$2:$A$846,CATÁLOGO!$B$2:$B$846,"FORA DO CATÁLOGO")</f>
        <v>CAL003P40</v>
      </c>
      <c r="C8" s="13">
        <v>5</v>
      </c>
      <c r="D8" s="13" t="str">
        <f>_xlfn.XLOOKUP(A8,CATÁLOGO!$A$2:$A$846,CATÁLOGO!$E$2:$E$846,"FORA DO CATÁLOGO")</f>
        <v>Ativo</v>
      </c>
      <c r="E8" s="2" t="s">
        <v>1401</v>
      </c>
      <c r="F8" s="62">
        <f>SUMIFS('AVARIA ESTIMADA'!$H$18:$H$40,'AVARIA ESTIMADA'!$A$18:$A$40,A8)</f>
        <v>0</v>
      </c>
      <c r="H8" s="54" t="s">
        <v>2056</v>
      </c>
      <c r="I8" s="60">
        <f>'AVARIA ESTIMADA'!F14</f>
        <v>2.995785396970042E-2</v>
      </c>
    </row>
    <row r="9" spans="1:9" x14ac:dyDescent="0.3">
      <c r="A9" s="2" t="s">
        <v>1513</v>
      </c>
      <c r="B9" s="19" t="str">
        <f>_xlfn.XLOOKUP(A9,CATÁLOGO!$A$2:$A$846,CATÁLOGO!$B$2:$B$846,"FORA DO CATÁLOGO")</f>
        <v>CAL003P42</v>
      </c>
      <c r="C9" s="13">
        <v>5</v>
      </c>
      <c r="D9" s="13" t="str">
        <f>_xlfn.XLOOKUP(A9,CATÁLOGO!$A$2:$A$846,CATÁLOGO!$E$2:$E$846,"FORA DO CATÁLOGO")</f>
        <v>Ativo</v>
      </c>
      <c r="E9" s="2" t="s">
        <v>1401</v>
      </c>
      <c r="F9" s="62">
        <f>SUMIFS('AVARIA ESTIMADA'!$H$18:$H$40,'AVARIA ESTIMADA'!$A$18:$A$40,A9)</f>
        <v>5</v>
      </c>
    </row>
    <row r="10" spans="1:9" x14ac:dyDescent="0.3">
      <c r="A10" s="2" t="s">
        <v>1515</v>
      </c>
      <c r="B10" s="19" t="str">
        <f>_xlfn.XLOOKUP(A10,CATÁLOGO!$A$2:$A$846,CATÁLOGO!$B$2:$B$846,"FORA DO CATÁLOGO")</f>
        <v>CAL003P44</v>
      </c>
      <c r="C10" s="13">
        <v>3</v>
      </c>
      <c r="D10" s="13" t="str">
        <f>_xlfn.XLOOKUP(A10,CATÁLOGO!$A$2:$A$846,CATÁLOGO!$E$2:$E$846,"FORA DO CATÁLOGO")</f>
        <v>Ativo</v>
      </c>
      <c r="E10" s="2" t="s">
        <v>1401</v>
      </c>
      <c r="F10" s="62">
        <f>SUMIFS('AVARIA ESTIMADA'!$H$18:$H$40,'AVARIA ESTIMADA'!$A$18:$A$40,A10)</f>
        <v>0</v>
      </c>
      <c r="H10" s="22" t="s">
        <v>2057</v>
      </c>
      <c r="I10" s="22"/>
    </row>
    <row r="11" spans="1:9" x14ac:dyDescent="0.3">
      <c r="A11" s="2" t="s">
        <v>1532</v>
      </c>
      <c r="B11" s="19" t="str">
        <f>_xlfn.XLOOKUP(A11,CATÁLOGO!$A$2:$A$846,CATÁLOGO!$B$2:$B$846,"FORA DO CATÁLOGO")</f>
        <v>CAL004C36</v>
      </c>
      <c r="C11" s="13">
        <v>1</v>
      </c>
      <c r="D11" s="13" t="str">
        <f>_xlfn.XLOOKUP(A11,CATÁLOGO!$A$2:$A$846,CATÁLOGO!$E$2:$E$846,"FORA DO CATÁLOGO")</f>
        <v>Ativo</v>
      </c>
      <c r="E11" s="2" t="s">
        <v>1401</v>
      </c>
      <c r="F11" s="62">
        <f>SUMIFS('AVARIA ESTIMADA'!$H$18:$H$40,'AVARIA ESTIMADA'!$A$18:$A$40,A11)</f>
        <v>0</v>
      </c>
      <c r="H11" s="53" t="s">
        <v>0</v>
      </c>
      <c r="I11" s="53" t="s">
        <v>2058</v>
      </c>
    </row>
    <row r="12" spans="1:9" x14ac:dyDescent="0.3">
      <c r="A12" s="2" t="s">
        <v>1530</v>
      </c>
      <c r="B12" s="19" t="str">
        <f>_xlfn.XLOOKUP(A12,CATÁLOGO!$A$2:$A$846,CATÁLOGO!$B$2:$B$846,"FORA DO CATÁLOGO")</f>
        <v>CAL004C38</v>
      </c>
      <c r="C12" s="13">
        <v>3</v>
      </c>
      <c r="D12" s="13" t="str">
        <f>_xlfn.XLOOKUP(A12,CATÁLOGO!$A$2:$A$846,CATÁLOGO!$E$2:$E$846,"FORA DO CATÁLOGO")</f>
        <v>Ativo</v>
      </c>
      <c r="E12" s="2" t="s">
        <v>1401</v>
      </c>
      <c r="F12" s="62">
        <f>SUMIFS('AVARIA ESTIMADA'!$H$18:$H$40,'AVARIA ESTIMADA'!$A$18:$A$40,A12)</f>
        <v>0</v>
      </c>
      <c r="H12" t="str" cm="1">
        <f t="array" ref="H12:I33">_xlfn._xlws.SORT(_xlfn._xlws.FILTER(_xlfn.HSTACK(A2:A720,F2:F720),F2:F720&gt;0,"sem avaria"),2,-1)</f>
        <v>VLT-CAL-023-LIL-M</v>
      </c>
      <c r="I12" s="27">
        <v>6</v>
      </c>
    </row>
    <row r="13" spans="1:9" x14ac:dyDescent="0.3">
      <c r="A13" s="2" t="s">
        <v>1529</v>
      </c>
      <c r="B13" s="19" t="str">
        <f>_xlfn.XLOOKUP(A13,CATÁLOGO!$A$2:$A$846,CATÁLOGO!$B$2:$B$846,"FORA DO CATÁLOGO")</f>
        <v>CAL004C40</v>
      </c>
      <c r="C13" s="13">
        <v>3</v>
      </c>
      <c r="D13" s="13" t="str">
        <f>_xlfn.XLOOKUP(A13,CATÁLOGO!$A$2:$A$846,CATÁLOGO!$E$2:$E$846,"FORA DO CATÁLOGO")</f>
        <v>Ativo</v>
      </c>
      <c r="E13" s="2" t="s">
        <v>1401</v>
      </c>
      <c r="F13" s="62">
        <f>SUMIFS('AVARIA ESTIMADA'!$H$18:$H$40,'AVARIA ESTIMADA'!$A$18:$A$40,A13)</f>
        <v>0</v>
      </c>
      <c r="H13" t="str">
        <v>VLT-CAL-003-PRE-G</v>
      </c>
      <c r="I13" s="27">
        <v>5</v>
      </c>
    </row>
    <row r="14" spans="1:9" x14ac:dyDescent="0.3">
      <c r="A14" s="2" t="s">
        <v>1527</v>
      </c>
      <c r="B14" s="19" t="str">
        <f>_xlfn.XLOOKUP(A14,CATÁLOGO!$A$2:$A$846,CATÁLOGO!$B$2:$B$846,"FORA DO CATÁLOGO")</f>
        <v>CAL004C42</v>
      </c>
      <c r="C14" s="13">
        <v>2</v>
      </c>
      <c r="D14" s="13" t="str">
        <f>_xlfn.XLOOKUP(A14,CATÁLOGO!$A$2:$A$846,CATÁLOGO!$E$2:$E$846,"FORA DO CATÁLOGO")</f>
        <v>Ativo</v>
      </c>
      <c r="E14" s="2" t="s">
        <v>1401</v>
      </c>
      <c r="F14" s="62">
        <f>SUMIFS('AVARIA ESTIMADA'!$H$18:$H$40,'AVARIA ESTIMADA'!$A$18:$A$40,A14)</f>
        <v>0</v>
      </c>
      <c r="H14" t="str">
        <v>VLT-TOP-006-MRR-G</v>
      </c>
      <c r="I14" s="27">
        <v>4</v>
      </c>
    </row>
    <row r="15" spans="1:9" x14ac:dyDescent="0.3">
      <c r="A15" s="2" t="s">
        <v>1528</v>
      </c>
      <c r="B15" s="19" t="str">
        <f>_xlfn.XLOOKUP(A15,CATÁLOGO!$A$2:$A$846,CATÁLOGO!$B$2:$B$846,"FORA DO CATÁLOGO")</f>
        <v>CAL004C44</v>
      </c>
      <c r="C15" s="13">
        <v>1</v>
      </c>
      <c r="D15" s="13" t="str">
        <f>_xlfn.XLOOKUP(A15,CATÁLOGO!$A$2:$A$846,CATÁLOGO!$E$2:$E$846,"FORA DO CATÁLOGO")</f>
        <v>Ativo</v>
      </c>
      <c r="E15" s="2" t="s">
        <v>1401</v>
      </c>
      <c r="F15" s="62">
        <f>SUMIFS('AVARIA ESTIMADA'!$H$18:$H$40,'AVARIA ESTIMADA'!$A$18:$A$40,A15)</f>
        <v>0</v>
      </c>
      <c r="H15" t="str">
        <v>VLT-CAL-011-LIL-P</v>
      </c>
      <c r="I15" s="27">
        <v>4</v>
      </c>
    </row>
    <row r="16" spans="1:9" x14ac:dyDescent="0.3">
      <c r="A16" s="2" t="s">
        <v>1531</v>
      </c>
      <c r="B16" s="19" t="str">
        <f>_xlfn.XLOOKUP(A16,CATÁLOGO!$A$2:$A$846,CATÁLOGO!$B$2:$B$846,"FORA DO CATÁLOGO")</f>
        <v>CAL004C46</v>
      </c>
      <c r="C16" s="13">
        <v>1</v>
      </c>
      <c r="D16" s="13" t="str">
        <f>_xlfn.XLOOKUP(A16,CATÁLOGO!$A$2:$A$846,CATÁLOGO!$E$2:$E$846,"FORA DO CATÁLOGO")</f>
        <v>Ativo</v>
      </c>
      <c r="E16" s="2" t="s">
        <v>1401</v>
      </c>
      <c r="F16" s="62">
        <f>SUMIFS('AVARIA ESTIMADA'!$H$18:$H$40,'AVARIA ESTIMADA'!$A$18:$A$40,A16)</f>
        <v>0</v>
      </c>
      <c r="H16" t="str">
        <v>VLT-CAL-024-AZM-P</v>
      </c>
      <c r="I16" s="27">
        <v>4</v>
      </c>
    </row>
    <row r="17" spans="1:9" x14ac:dyDescent="0.3">
      <c r="A17" s="2" t="s">
        <v>1526</v>
      </c>
      <c r="B17" s="19" t="str">
        <f>_xlfn.XLOOKUP(A17,CATÁLOGO!$A$2:$A$846,CATÁLOGO!$B$2:$B$846,"FORA DO CATÁLOGO")</f>
        <v>CAL004G36</v>
      </c>
      <c r="C17" s="13">
        <v>1</v>
      </c>
      <c r="D17" s="13" t="str">
        <f>_xlfn.XLOOKUP(A17,CATÁLOGO!$A$2:$A$846,CATÁLOGO!$E$2:$E$846,"FORA DO CATÁLOGO")</f>
        <v>Ativo</v>
      </c>
      <c r="E17" s="2" t="s">
        <v>1401</v>
      </c>
      <c r="F17" s="62">
        <f>SUMIFS('AVARIA ESTIMADA'!$H$18:$H$40,'AVARIA ESTIMADA'!$A$18:$A$40,A17)</f>
        <v>0</v>
      </c>
      <c r="H17" t="str">
        <v>VLT-TOP-001-AMA-G</v>
      </c>
      <c r="I17" s="27">
        <v>4</v>
      </c>
    </row>
    <row r="18" spans="1:9" x14ac:dyDescent="0.3">
      <c r="A18" s="2" t="s">
        <v>1523</v>
      </c>
      <c r="B18" s="19" t="str">
        <f>_xlfn.XLOOKUP(A18,CATÁLOGO!$A$2:$A$846,CATÁLOGO!$B$2:$B$846,"FORA DO CATÁLOGO")</f>
        <v>CAL004G40</v>
      </c>
      <c r="C18" s="13">
        <v>1</v>
      </c>
      <c r="D18" s="13" t="str">
        <f>_xlfn.XLOOKUP(A18,CATÁLOGO!$A$2:$A$846,CATÁLOGO!$E$2:$E$846,"FORA DO CATÁLOGO")</f>
        <v>Ativo</v>
      </c>
      <c r="E18" s="2" t="s">
        <v>1401</v>
      </c>
      <c r="F18" s="62">
        <f>SUMIFS('AVARIA ESTIMADA'!$H$18:$H$40,'AVARIA ESTIMADA'!$A$18:$A$40,A18)</f>
        <v>0</v>
      </c>
      <c r="H18" t="str">
        <v>VLT-CAM-020-AMA-G</v>
      </c>
      <c r="I18" s="27">
        <v>4</v>
      </c>
    </row>
    <row r="19" spans="1:9" x14ac:dyDescent="0.3">
      <c r="A19" s="2" t="s">
        <v>1518</v>
      </c>
      <c r="B19" s="19" t="str">
        <f>_xlfn.XLOOKUP(A19,CATÁLOGO!$A$2:$A$846,CATÁLOGO!$B$2:$B$846,"FORA DO CATÁLOGO")</f>
        <v>CAL004G42</v>
      </c>
      <c r="C19" s="13">
        <v>1</v>
      </c>
      <c r="D19" s="13" t="str">
        <f>_xlfn.XLOOKUP(A19,CATÁLOGO!$A$2:$A$846,CATÁLOGO!$E$2:$E$846,"FORA DO CATÁLOGO")</f>
        <v>Ativo</v>
      </c>
      <c r="E19" s="2" t="s">
        <v>1401</v>
      </c>
      <c r="F19" s="62">
        <f>SUMIFS('AVARIA ESTIMADA'!$H$18:$H$40,'AVARIA ESTIMADA'!$A$18:$A$40,A19)</f>
        <v>0</v>
      </c>
      <c r="H19" t="str">
        <v>VLT-VES-006-MRR-G</v>
      </c>
      <c r="I19" s="27">
        <v>3</v>
      </c>
    </row>
    <row r="20" spans="1:9" x14ac:dyDescent="0.3">
      <c r="A20" s="2" t="s">
        <v>1521</v>
      </c>
      <c r="B20" s="19" t="str">
        <f>_xlfn.XLOOKUP(A20,CATÁLOGO!$A$2:$A$846,CATÁLOGO!$B$2:$B$846,"FORA DO CATÁLOGO")</f>
        <v>CAL004G44</v>
      </c>
      <c r="C20" s="13">
        <v>0</v>
      </c>
      <c r="D20" s="13" t="str">
        <f>_xlfn.XLOOKUP(A20,CATÁLOGO!$A$2:$A$846,CATÁLOGO!$E$2:$E$846,"FORA DO CATÁLOGO")</f>
        <v>Ativo</v>
      </c>
      <c r="E20" s="2" t="s">
        <v>1401</v>
      </c>
      <c r="F20" s="62">
        <f>SUMIFS('AVARIA ESTIMADA'!$H$18:$H$40,'AVARIA ESTIMADA'!$A$18:$A$40,A20)</f>
        <v>0</v>
      </c>
      <c r="H20" t="str">
        <v>VLT-CAL-016-OLI-P</v>
      </c>
      <c r="I20" s="27">
        <v>3</v>
      </c>
    </row>
    <row r="21" spans="1:9" x14ac:dyDescent="0.3">
      <c r="A21" s="2" t="s">
        <v>1538</v>
      </c>
      <c r="B21" s="19" t="str">
        <f>_xlfn.XLOOKUP(A21,CATÁLOGO!$A$2:$A$846,CATÁLOGO!$B$2:$B$846,"FORA DO CATÁLOGO")</f>
        <v>CAL005P36</v>
      </c>
      <c r="C21" s="13">
        <v>4</v>
      </c>
      <c r="D21" s="13" t="str">
        <f>_xlfn.XLOOKUP(A21,CATÁLOGO!$A$2:$A$846,CATÁLOGO!$E$2:$E$846,"FORA DO CATÁLOGO")</f>
        <v>Ativo</v>
      </c>
      <c r="E21" s="2" t="s">
        <v>1401</v>
      </c>
      <c r="F21" s="62">
        <f>SUMIFS('AVARIA ESTIMADA'!$H$18:$H$40,'AVARIA ESTIMADA'!$A$18:$A$40,A21)</f>
        <v>0</v>
      </c>
      <c r="H21" t="str">
        <v>VLT-CAL-016-OLI-M</v>
      </c>
      <c r="I21" s="27">
        <v>3</v>
      </c>
    </row>
    <row r="22" spans="1:9" x14ac:dyDescent="0.3">
      <c r="A22" s="2" t="s">
        <v>1537</v>
      </c>
      <c r="B22" s="19" t="str">
        <f>_xlfn.XLOOKUP(A22,CATÁLOGO!$A$2:$A$846,CATÁLOGO!$B$2:$B$846,"FORA DO CATÁLOGO")</f>
        <v>CAL005P38</v>
      </c>
      <c r="C22" s="13">
        <v>5</v>
      </c>
      <c r="D22" s="13" t="str">
        <f>_xlfn.XLOOKUP(A22,CATÁLOGO!$A$2:$A$846,CATÁLOGO!$E$2:$E$846,"FORA DO CATÁLOGO")</f>
        <v>Ativo</v>
      </c>
      <c r="E22" s="2" t="s">
        <v>1401</v>
      </c>
      <c r="F22" s="62">
        <f>SUMIFS('AVARIA ESTIMADA'!$H$18:$H$40,'AVARIA ESTIMADA'!$A$18:$A$40,A22)</f>
        <v>0</v>
      </c>
      <c r="H22" t="str">
        <v>VLT-BER-007-AZM-G</v>
      </c>
      <c r="I22" s="27">
        <v>3</v>
      </c>
    </row>
    <row r="23" spans="1:9" x14ac:dyDescent="0.3">
      <c r="A23" s="2" t="s">
        <v>1536</v>
      </c>
      <c r="B23" s="19" t="str">
        <f>_xlfn.XLOOKUP(A23,CATÁLOGO!$A$2:$A$846,CATÁLOGO!$B$2:$B$846,"FORA DO CATÁLOGO")</f>
        <v>CAL005P40</v>
      </c>
      <c r="C23" s="13">
        <v>5</v>
      </c>
      <c r="D23" s="13" t="str">
        <f>_xlfn.XLOOKUP(A23,CATÁLOGO!$A$2:$A$846,CATÁLOGO!$E$2:$E$846,"FORA DO CATÁLOGO")</f>
        <v>Ativo</v>
      </c>
      <c r="E23" s="2" t="s">
        <v>1401</v>
      </c>
      <c r="F23" s="62">
        <f>SUMIFS('AVARIA ESTIMADA'!$H$18:$H$40,'AVARIA ESTIMADA'!$A$18:$A$40,A23)</f>
        <v>0</v>
      </c>
      <c r="H23" t="str">
        <v>VLT-CAM-017-AMA-G</v>
      </c>
      <c r="I23" s="27">
        <v>3</v>
      </c>
    </row>
    <row r="24" spans="1:9" x14ac:dyDescent="0.3">
      <c r="A24" s="2" t="s">
        <v>1533</v>
      </c>
      <c r="B24" s="19" t="str">
        <f>_xlfn.XLOOKUP(A24,CATÁLOGO!$A$2:$A$846,CATÁLOGO!$B$2:$B$846,"FORA DO CATÁLOGO")</f>
        <v>CAL005P42</v>
      </c>
      <c r="C24" s="13">
        <v>4</v>
      </c>
      <c r="D24" s="13" t="str">
        <f>_xlfn.XLOOKUP(A24,CATÁLOGO!$A$2:$A$846,CATÁLOGO!$E$2:$E$846,"FORA DO CATÁLOGO")</f>
        <v>Ativo</v>
      </c>
      <c r="E24" s="2" t="s">
        <v>1401</v>
      </c>
      <c r="F24" s="62">
        <f>SUMIFS('AVARIA ESTIMADA'!$H$18:$H$40,'AVARIA ESTIMADA'!$A$18:$A$40,A24)</f>
        <v>0</v>
      </c>
      <c r="H24" t="str">
        <v>VLT-VES-009-BEG-G</v>
      </c>
      <c r="I24" s="27">
        <v>3</v>
      </c>
    </row>
    <row r="25" spans="1:9" x14ac:dyDescent="0.3">
      <c r="A25" s="2" t="s">
        <v>1535</v>
      </c>
      <c r="B25" s="19" t="str">
        <f>_xlfn.XLOOKUP(A25,CATÁLOGO!$A$2:$A$846,CATÁLOGO!$B$2:$B$846,"FORA DO CATÁLOGO")</f>
        <v>CAL005P44</v>
      </c>
      <c r="C25" s="13">
        <v>4</v>
      </c>
      <c r="D25" s="13" t="str">
        <f>_xlfn.XLOOKUP(A25,CATÁLOGO!$A$2:$A$846,CATÁLOGO!$E$2:$E$846,"FORA DO CATÁLOGO")</f>
        <v>Ativo</v>
      </c>
      <c r="E25" s="2" t="s">
        <v>1401</v>
      </c>
      <c r="F25" s="62">
        <f>SUMIFS('AVARIA ESTIMADA'!$H$18:$H$40,'AVARIA ESTIMADA'!$A$18:$A$40,A25)</f>
        <v>0</v>
      </c>
      <c r="H25" t="str">
        <v>VLT-CAM-020-AMA-P</v>
      </c>
      <c r="I25" s="27">
        <v>3</v>
      </c>
    </row>
    <row r="26" spans="1:9" x14ac:dyDescent="0.3">
      <c r="A26" s="2" t="s">
        <v>17</v>
      </c>
      <c r="B26" s="19" t="str">
        <f>_xlfn.XLOOKUP(A26,CATÁLOGO!$A$2:$A$846,CATÁLOGO!$B$2:$B$846,"FORA DO CATÁLOGO")</f>
        <v>TOP002AP</v>
      </c>
      <c r="C26" s="13">
        <v>2</v>
      </c>
      <c r="D26" s="13" t="str">
        <f>_xlfn.XLOOKUP(A26,CATÁLOGO!$A$2:$A$846,CATÁLOGO!$E$2:$E$846,"FORA DO CATÁLOGO")</f>
        <v>Ativo</v>
      </c>
      <c r="E26" s="2" t="s">
        <v>1401</v>
      </c>
      <c r="F26" s="62">
        <f>SUMIFS('AVARIA ESTIMADA'!$H$18:$H$40,'AVARIA ESTIMADA'!$A$18:$A$40,A26)</f>
        <v>0</v>
      </c>
      <c r="H26" t="str">
        <v>VLT-CAM-004-PRE-M</v>
      </c>
      <c r="I26" s="27">
        <v>2</v>
      </c>
    </row>
    <row r="27" spans="1:9" x14ac:dyDescent="0.3">
      <c r="A27" s="2" t="s">
        <v>18</v>
      </c>
      <c r="B27" s="19" t="str">
        <f>_xlfn.XLOOKUP(A27,CATÁLOGO!$A$2:$A$846,CATÁLOGO!$B$2:$B$846,"FORA DO CATÁLOGO")</f>
        <v>TOP002AM</v>
      </c>
      <c r="C27" s="13">
        <v>4</v>
      </c>
      <c r="D27" s="13" t="str">
        <f>_xlfn.XLOOKUP(A27,CATÁLOGO!$A$2:$A$846,CATÁLOGO!$E$2:$E$846,"FORA DO CATÁLOGO")</f>
        <v>Ativo</v>
      </c>
      <c r="E27" s="2" t="s">
        <v>1401</v>
      </c>
      <c r="F27" s="62">
        <f>SUMIFS('AVARIA ESTIMADA'!$H$18:$H$40,'AVARIA ESTIMADA'!$A$18:$A$40,A27)</f>
        <v>0</v>
      </c>
      <c r="H27" t="str">
        <v>VLT-BER-006-LIL-G</v>
      </c>
      <c r="I27" s="27">
        <v>2</v>
      </c>
    </row>
    <row r="28" spans="1:9" x14ac:dyDescent="0.3">
      <c r="A28" s="2" t="s">
        <v>19</v>
      </c>
      <c r="B28" s="19" t="str">
        <f>_xlfn.XLOOKUP(A28,CATÁLOGO!$A$2:$A$846,CATÁLOGO!$B$2:$B$846,"FORA DO CATÁLOGO")</f>
        <v>TOP002AG</v>
      </c>
      <c r="C28" s="13">
        <v>4</v>
      </c>
      <c r="D28" s="13" t="str">
        <f>_xlfn.XLOOKUP(A28,CATÁLOGO!$A$2:$A$846,CATÁLOGO!$E$2:$E$846,"FORA DO CATÁLOGO")</f>
        <v>Ativo</v>
      </c>
      <c r="E28" s="2" t="s">
        <v>1401</v>
      </c>
      <c r="F28" s="62">
        <f>SUMIFS('AVARIA ESTIMADA'!$H$18:$H$40,'AVARIA ESTIMADA'!$A$18:$A$40,A28)</f>
        <v>0</v>
      </c>
      <c r="H28" t="str">
        <v>VLT-VES-007-OLI-GG</v>
      </c>
      <c r="I28" s="27">
        <v>2</v>
      </c>
    </row>
    <row r="29" spans="1:9" x14ac:dyDescent="0.3">
      <c r="A29" s="2" t="s">
        <v>20</v>
      </c>
      <c r="B29" s="19" t="str">
        <f>_xlfn.XLOOKUP(A29,CATÁLOGO!$A$2:$A$846,CATÁLOGO!$B$2:$B$846,"FORA DO CATÁLOGO")</f>
        <v>TOP002AGG</v>
      </c>
      <c r="C29" s="13">
        <v>2</v>
      </c>
      <c r="D29" s="13" t="str">
        <f>_xlfn.XLOOKUP(A29,CATÁLOGO!$A$2:$A$846,CATÁLOGO!$E$2:$E$846,"FORA DO CATÁLOGO")</f>
        <v>Ativo</v>
      </c>
      <c r="E29" s="2" t="s">
        <v>1401</v>
      </c>
      <c r="F29" s="62">
        <f>SUMIFS('AVARIA ESTIMADA'!$H$18:$H$40,'AVARIA ESTIMADA'!$A$18:$A$40,A29)</f>
        <v>0</v>
      </c>
      <c r="H29" t="str">
        <v>VLT-SAI-009-BRA-P</v>
      </c>
      <c r="I29" s="27">
        <v>2</v>
      </c>
    </row>
    <row r="30" spans="1:9" x14ac:dyDescent="0.3">
      <c r="A30" s="2" t="s">
        <v>21</v>
      </c>
      <c r="B30" s="19" t="str">
        <f>_xlfn.XLOOKUP(A30,CATÁLOGO!$A$2:$A$846,CATÁLOGO!$B$2:$B$846,"FORA DO CATÁLOGO")</f>
        <v>TOP002PP</v>
      </c>
      <c r="C30" s="13">
        <v>1</v>
      </c>
      <c r="D30" s="13" t="str">
        <f>_xlfn.XLOOKUP(A30,CATÁLOGO!$A$2:$A$846,CATÁLOGO!$E$2:$E$846,"FORA DO CATÁLOGO")</f>
        <v>Descontinuado</v>
      </c>
      <c r="E30" s="2" t="s">
        <v>1401</v>
      </c>
      <c r="F30" s="62">
        <f>SUMIFS('AVARIA ESTIMADA'!$H$18:$H$40,'AVARIA ESTIMADA'!$A$18:$A$40,A30)</f>
        <v>0</v>
      </c>
      <c r="H30" t="str">
        <v>VLT-MOL-019-OLI-GG</v>
      </c>
      <c r="I30" s="27">
        <v>2</v>
      </c>
    </row>
    <row r="31" spans="1:9" x14ac:dyDescent="0.3">
      <c r="A31" s="2" t="s">
        <v>22</v>
      </c>
      <c r="B31" s="19" t="str">
        <f>_xlfn.XLOOKUP(A31,CATÁLOGO!$A$2:$A$846,CATÁLOGO!$B$2:$B$846,"FORA DO CATÁLOGO")</f>
        <v>TOP002PG</v>
      </c>
      <c r="C31" s="13">
        <v>1</v>
      </c>
      <c r="D31" s="13" t="str">
        <f>_xlfn.XLOOKUP(A31,CATÁLOGO!$A$2:$A$846,CATÁLOGO!$E$2:$E$846,"FORA DO CATÁLOGO")</f>
        <v>Descontinuado</v>
      </c>
      <c r="E31" s="2" t="s">
        <v>1401</v>
      </c>
      <c r="F31" s="62">
        <f>SUMIFS('AVARIA ESTIMADA'!$H$18:$H$40,'AVARIA ESTIMADA'!$A$18:$A$40,A31)</f>
        <v>0</v>
      </c>
      <c r="H31" t="str">
        <v>VLT-MOL-008-VIN-G</v>
      </c>
      <c r="I31" s="27">
        <v>1</v>
      </c>
    </row>
    <row r="32" spans="1:9" x14ac:dyDescent="0.3">
      <c r="A32" s="2" t="s">
        <v>1455</v>
      </c>
      <c r="B32" s="19" t="str">
        <f>_xlfn.XLOOKUP(A32,CATÁLOGO!$A$2:$A$846,CATÁLOGO!$B$2:$B$846,"FORA DO CATÁLOGO")</f>
        <v>BER002C36</v>
      </c>
      <c r="C32" s="13">
        <v>1</v>
      </c>
      <c r="D32" s="13" t="str">
        <f>_xlfn.XLOOKUP(A32,CATÁLOGO!$A$2:$A$846,CATÁLOGO!$E$2:$E$846,"FORA DO CATÁLOGO")</f>
        <v>Ativo</v>
      </c>
      <c r="E32" s="2" t="s">
        <v>1401</v>
      </c>
      <c r="F32" s="62">
        <f>SUMIFS('AVARIA ESTIMADA'!$H$18:$H$40,'AVARIA ESTIMADA'!$A$18:$A$40,A32)</f>
        <v>0</v>
      </c>
      <c r="H32" t="str">
        <v>VLT-MOL-008-VIN-GG</v>
      </c>
      <c r="I32" s="27">
        <v>1</v>
      </c>
    </row>
    <row r="33" spans="1:9" x14ac:dyDescent="0.3">
      <c r="A33" s="2" t="s">
        <v>1454</v>
      </c>
      <c r="B33" s="19" t="str">
        <f>_xlfn.XLOOKUP(A33,CATÁLOGO!$A$2:$A$846,CATÁLOGO!$B$2:$B$846,"FORA DO CATÁLOGO")</f>
        <v>BER002C38</v>
      </c>
      <c r="C33" s="13">
        <v>2</v>
      </c>
      <c r="D33" s="13" t="str">
        <f>_xlfn.XLOOKUP(A33,CATÁLOGO!$A$2:$A$846,CATÁLOGO!$E$2:$E$846,"FORA DO CATÁLOGO")</f>
        <v>Ativo</v>
      </c>
      <c r="E33" s="2" t="s">
        <v>1401</v>
      </c>
      <c r="F33" s="62">
        <f>SUMIFS('AVARIA ESTIMADA'!$H$18:$H$40,'AVARIA ESTIMADA'!$A$18:$A$40,A33)</f>
        <v>0</v>
      </c>
      <c r="H33" t="str">
        <v>VLT-TOP-010-AMA-M</v>
      </c>
      <c r="I33" s="27">
        <v>1</v>
      </c>
    </row>
    <row r="34" spans="1:9" x14ac:dyDescent="0.3">
      <c r="A34" s="2" t="s">
        <v>1453</v>
      </c>
      <c r="B34" s="19" t="str">
        <f>_xlfn.XLOOKUP(A34,CATÁLOGO!$A$2:$A$846,CATÁLOGO!$B$2:$B$846,"FORA DO CATÁLOGO")</f>
        <v>BER002C40</v>
      </c>
      <c r="C34" s="13">
        <v>2</v>
      </c>
      <c r="D34" s="13" t="str">
        <f>_xlfn.XLOOKUP(A34,CATÁLOGO!$A$2:$A$846,CATÁLOGO!$E$2:$E$846,"FORA DO CATÁLOGO")</f>
        <v>Ativo</v>
      </c>
      <c r="E34" s="2" t="s">
        <v>1401</v>
      </c>
      <c r="F34" s="62">
        <f>SUMIFS('AVARIA ESTIMADA'!$H$18:$H$40,'AVARIA ESTIMADA'!$A$18:$A$40,A34)</f>
        <v>0</v>
      </c>
      <c r="I34" s="27"/>
    </row>
    <row r="35" spans="1:9" x14ac:dyDescent="0.3">
      <c r="A35" s="2" t="s">
        <v>1450</v>
      </c>
      <c r="B35" s="19" t="str">
        <f>_xlfn.XLOOKUP(A35,CATÁLOGO!$A$2:$A$846,CATÁLOGO!$B$2:$B$846,"FORA DO CATÁLOGO")</f>
        <v>BER002C42</v>
      </c>
      <c r="C35" s="13">
        <v>1</v>
      </c>
      <c r="D35" s="13" t="str">
        <f>_xlfn.XLOOKUP(A35,CATÁLOGO!$A$2:$A$846,CATÁLOGO!$E$2:$E$846,"FORA DO CATÁLOGO")</f>
        <v>Ativo</v>
      </c>
      <c r="E35" s="2" t="s">
        <v>1401</v>
      </c>
      <c r="F35" s="62">
        <f>SUMIFS('AVARIA ESTIMADA'!$H$18:$H$40,'AVARIA ESTIMADA'!$A$18:$A$40,A35)</f>
        <v>0</v>
      </c>
      <c r="I35" s="27"/>
    </row>
    <row r="36" spans="1:9" x14ac:dyDescent="0.3">
      <c r="A36" s="2" t="s">
        <v>1452</v>
      </c>
      <c r="B36" s="19" t="str">
        <f>_xlfn.XLOOKUP(A36,CATÁLOGO!$A$2:$A$846,CATÁLOGO!$B$2:$B$846,"FORA DO CATÁLOGO")</f>
        <v>BER002C44</v>
      </c>
      <c r="C36" s="13">
        <v>1</v>
      </c>
      <c r="D36" s="13" t="str">
        <f>_xlfn.XLOOKUP(A36,CATÁLOGO!$A$2:$A$846,CATÁLOGO!$E$2:$E$846,"FORA DO CATÁLOGO")</f>
        <v>Ativo</v>
      </c>
      <c r="E36" s="2" t="s">
        <v>1401</v>
      </c>
      <c r="F36" s="62">
        <f>SUMIFS('AVARIA ESTIMADA'!$H$18:$H$40,'AVARIA ESTIMADA'!$A$18:$A$40,A36)</f>
        <v>0</v>
      </c>
      <c r="I36" s="27"/>
    </row>
    <row r="37" spans="1:9" x14ac:dyDescent="0.3">
      <c r="A37" s="2" t="s">
        <v>1462</v>
      </c>
      <c r="B37" s="19" t="str">
        <f>_xlfn.XLOOKUP(A37,CATÁLOGO!$A$2:$A$846,CATÁLOGO!$B$2:$B$846,"FORA DO CATÁLOGO")</f>
        <v>BER003B36</v>
      </c>
      <c r="C37" s="13">
        <v>3</v>
      </c>
      <c r="D37" s="13" t="str">
        <f>_xlfn.XLOOKUP(A37,CATÁLOGO!$A$2:$A$846,CATÁLOGO!$E$2:$E$846,"FORA DO CATÁLOGO")</f>
        <v>Ativo</v>
      </c>
      <c r="E37" s="2" t="s">
        <v>1401</v>
      </c>
      <c r="F37" s="62">
        <f>SUMIFS('AVARIA ESTIMADA'!$H$18:$H$40,'AVARIA ESTIMADA'!$A$18:$A$40,A37)</f>
        <v>0</v>
      </c>
      <c r="I37" s="27"/>
    </row>
    <row r="38" spans="1:9" x14ac:dyDescent="0.3">
      <c r="A38" s="2" t="s">
        <v>1460</v>
      </c>
      <c r="B38" s="19" t="str">
        <f>_xlfn.XLOOKUP(A38,CATÁLOGO!$A$2:$A$846,CATÁLOGO!$B$2:$B$846,"FORA DO CATÁLOGO")</f>
        <v>BER003B38</v>
      </c>
      <c r="C38" s="13">
        <v>5</v>
      </c>
      <c r="D38" s="13" t="str">
        <f>_xlfn.XLOOKUP(A38,CATÁLOGO!$A$2:$A$846,CATÁLOGO!$E$2:$E$846,"FORA DO CATÁLOGO")</f>
        <v>Ativo</v>
      </c>
      <c r="E38" s="2" t="s">
        <v>1401</v>
      </c>
      <c r="F38" s="62">
        <f>SUMIFS('AVARIA ESTIMADA'!$H$18:$H$40,'AVARIA ESTIMADA'!$A$18:$A$40,A38)</f>
        <v>0</v>
      </c>
      <c r="I38" s="27"/>
    </row>
    <row r="39" spans="1:9" x14ac:dyDescent="0.3">
      <c r="A39" s="2" t="s">
        <v>1459</v>
      </c>
      <c r="B39" s="19" t="str">
        <f>_xlfn.XLOOKUP(A39,CATÁLOGO!$A$2:$A$846,CATÁLOGO!$B$2:$B$846,"FORA DO CATÁLOGO")</f>
        <v>BER003B40</v>
      </c>
      <c r="C39" s="13">
        <v>4</v>
      </c>
      <c r="D39" s="13" t="str">
        <f>_xlfn.XLOOKUP(A39,CATÁLOGO!$A$2:$A$846,CATÁLOGO!$E$2:$E$846,"FORA DO CATÁLOGO")</f>
        <v>Ativo</v>
      </c>
      <c r="E39" s="2" t="s">
        <v>1401</v>
      </c>
      <c r="F39" s="62">
        <f>SUMIFS('AVARIA ESTIMADA'!$H$18:$H$40,'AVARIA ESTIMADA'!$A$18:$A$40,A39)</f>
        <v>0</v>
      </c>
      <c r="I39" s="27"/>
    </row>
    <row r="40" spans="1:9" x14ac:dyDescent="0.3">
      <c r="A40" s="2" t="s">
        <v>1456</v>
      </c>
      <c r="B40" s="19" t="str">
        <f>_xlfn.XLOOKUP(A40,CATÁLOGO!$A$2:$A$846,CATÁLOGO!$B$2:$B$846,"FORA DO CATÁLOGO")</f>
        <v>BER003B42</v>
      </c>
      <c r="C40" s="13">
        <v>4</v>
      </c>
      <c r="D40" s="13" t="str">
        <f>_xlfn.XLOOKUP(A40,CATÁLOGO!$A$2:$A$846,CATÁLOGO!$E$2:$E$846,"FORA DO CATÁLOGO")</f>
        <v>Ativo</v>
      </c>
      <c r="E40" s="2" t="s">
        <v>1401</v>
      </c>
      <c r="F40" s="62">
        <f>SUMIFS('AVARIA ESTIMADA'!$H$18:$H$40,'AVARIA ESTIMADA'!$A$18:$A$40,A40)</f>
        <v>0</v>
      </c>
      <c r="I40" s="27"/>
    </row>
    <row r="41" spans="1:9" x14ac:dyDescent="0.3">
      <c r="A41" s="2" t="s">
        <v>1458</v>
      </c>
      <c r="B41" s="19" t="str">
        <f>_xlfn.XLOOKUP(A41,CATÁLOGO!$A$2:$A$846,CATÁLOGO!$B$2:$B$846,"FORA DO CATÁLOGO")</f>
        <v>BER003B44</v>
      </c>
      <c r="C41" s="13">
        <v>4</v>
      </c>
      <c r="D41" s="13" t="str">
        <f>_xlfn.XLOOKUP(A41,CATÁLOGO!$A$2:$A$846,CATÁLOGO!$E$2:$E$846,"FORA DO CATÁLOGO")</f>
        <v>Ativo</v>
      </c>
      <c r="E41" s="2" t="s">
        <v>1401</v>
      </c>
      <c r="F41" s="62">
        <f>SUMIFS('AVARIA ESTIMADA'!$H$18:$H$40,'AVARIA ESTIMADA'!$A$18:$A$40,A41)</f>
        <v>0</v>
      </c>
    </row>
    <row r="42" spans="1:9" x14ac:dyDescent="0.3">
      <c r="A42" s="2" t="s">
        <v>1461</v>
      </c>
      <c r="B42" s="19" t="str">
        <f>_xlfn.XLOOKUP(A42,CATÁLOGO!$A$2:$A$846,CATÁLOGO!$B$2:$B$846,"FORA DO CATÁLOGO")</f>
        <v>BER003B46</v>
      </c>
      <c r="C42" s="13">
        <v>1</v>
      </c>
      <c r="D42" s="13" t="str">
        <f>_xlfn.XLOOKUP(A42,CATÁLOGO!$A$2:$A$846,CATÁLOGO!$E$2:$E$846,"FORA DO CATÁLOGO")</f>
        <v>Ativo</v>
      </c>
      <c r="E42" s="2" t="s">
        <v>1401</v>
      </c>
      <c r="F42" s="62">
        <f>SUMIFS('AVARIA ESTIMADA'!$H$18:$H$40,'AVARIA ESTIMADA'!$A$18:$A$40,A42)</f>
        <v>0</v>
      </c>
    </row>
    <row r="43" spans="1:9" x14ac:dyDescent="0.3">
      <c r="A43" s="2" t="s">
        <v>24</v>
      </c>
      <c r="B43" s="19" t="str">
        <f>_xlfn.XLOOKUP(A43,CATÁLOGO!$A$2:$A$846,CATÁLOGO!$B$2:$B$846,"FORA DO CATÁLOGO")</f>
        <v>ACE003GU</v>
      </c>
      <c r="C43" s="13">
        <v>6</v>
      </c>
      <c r="D43" s="13" t="str">
        <f>_xlfn.XLOOKUP(A43,CATÁLOGO!$A$2:$A$846,CATÁLOGO!$E$2:$E$846,"FORA DO CATÁLOGO")</f>
        <v>Ativo</v>
      </c>
      <c r="E43" s="2" t="s">
        <v>1401</v>
      </c>
      <c r="F43" s="62">
        <f>SUMIFS('AVARIA ESTIMADA'!$H$18:$H$40,'AVARIA ESTIMADA'!$A$18:$A$40,A43)</f>
        <v>0</v>
      </c>
    </row>
    <row r="44" spans="1:9" x14ac:dyDescent="0.3">
      <c r="A44" s="2" t="s">
        <v>25</v>
      </c>
      <c r="B44" s="19" t="str">
        <f>_xlfn.XLOOKUP(A44,CATÁLOGO!$A$2:$A$846,CATÁLOGO!$B$2:$B$846,"FORA DO CATÁLOGO")</f>
        <v>CAM001CP</v>
      </c>
      <c r="C44" s="13">
        <v>6</v>
      </c>
      <c r="D44" s="13" t="str">
        <f>_xlfn.XLOOKUP(A44,CATÁLOGO!$A$2:$A$846,CATÁLOGO!$E$2:$E$846,"FORA DO CATÁLOGO")</f>
        <v>Ativo</v>
      </c>
      <c r="E44" s="2" t="s">
        <v>1401</v>
      </c>
      <c r="F44" s="62">
        <f>SUMIFS('AVARIA ESTIMADA'!$H$18:$H$40,'AVARIA ESTIMADA'!$A$18:$A$40,A44)</f>
        <v>0</v>
      </c>
    </row>
    <row r="45" spans="1:9" x14ac:dyDescent="0.3">
      <c r="A45" s="2" t="s">
        <v>26</v>
      </c>
      <c r="B45" s="19" t="str">
        <f>_xlfn.XLOOKUP(A45,CATÁLOGO!$A$2:$A$846,CATÁLOGO!$B$2:$B$846,"FORA DO CATÁLOGO")</f>
        <v>CAM001CM</v>
      </c>
      <c r="C45" s="13">
        <v>6</v>
      </c>
      <c r="D45" s="13" t="str">
        <f>_xlfn.XLOOKUP(A45,CATÁLOGO!$A$2:$A$846,CATÁLOGO!$E$2:$E$846,"FORA DO CATÁLOGO")</f>
        <v>Ativo</v>
      </c>
      <c r="E45" s="2" t="s">
        <v>1401</v>
      </c>
      <c r="F45" s="62">
        <f>SUMIFS('AVARIA ESTIMADA'!$H$18:$H$40,'AVARIA ESTIMADA'!$A$18:$A$40,A45)</f>
        <v>0</v>
      </c>
    </row>
    <row r="46" spans="1:9" x14ac:dyDescent="0.3">
      <c r="A46" s="2" t="s">
        <v>27</v>
      </c>
      <c r="B46" s="19" t="str">
        <f>_xlfn.XLOOKUP(A46,CATÁLOGO!$A$2:$A$846,CATÁLOGO!$B$2:$B$846,"FORA DO CATÁLOGO")</f>
        <v>CAM001CG</v>
      </c>
      <c r="C46" s="13">
        <v>5</v>
      </c>
      <c r="D46" s="13" t="str">
        <f>_xlfn.XLOOKUP(A46,CATÁLOGO!$A$2:$A$846,CATÁLOGO!$E$2:$E$846,"FORA DO CATÁLOGO")</f>
        <v>Ativo</v>
      </c>
      <c r="E46" s="2" t="s">
        <v>1401</v>
      </c>
      <c r="F46" s="62">
        <f>SUMIFS('AVARIA ESTIMADA'!$H$18:$H$40,'AVARIA ESTIMADA'!$A$18:$A$40,A46)</f>
        <v>0</v>
      </c>
    </row>
    <row r="47" spans="1:9" x14ac:dyDescent="0.3">
      <c r="A47" s="2" t="s">
        <v>28</v>
      </c>
      <c r="B47" s="19" t="str">
        <f>_xlfn.XLOOKUP(A47,CATÁLOGO!$A$2:$A$846,CATÁLOGO!$B$2:$B$846,"FORA DO CATÁLOGO")</f>
        <v>ACE004CU</v>
      </c>
      <c r="C47" s="13">
        <v>5</v>
      </c>
      <c r="D47" s="13" t="str">
        <f>_xlfn.XLOOKUP(A47,CATÁLOGO!$A$2:$A$846,CATÁLOGO!$E$2:$E$846,"FORA DO CATÁLOGO")</f>
        <v>Ativo</v>
      </c>
      <c r="E47" s="2" t="s">
        <v>1401</v>
      </c>
      <c r="F47" s="62">
        <f>SUMIFS('AVARIA ESTIMADA'!$H$18:$H$40,'AVARIA ESTIMADA'!$A$18:$A$40,A47)</f>
        <v>0</v>
      </c>
    </row>
    <row r="48" spans="1:9" x14ac:dyDescent="0.3">
      <c r="A48" s="2" t="s">
        <v>30</v>
      </c>
      <c r="B48" s="19" t="str">
        <f>_xlfn.XLOOKUP(A48,CATÁLOGO!$A$2:$A$846,CATÁLOGO!$B$2:$B$846,"FORA DO CATÁLOGO")</f>
        <v>MOL003AP</v>
      </c>
      <c r="C48" s="13">
        <v>1</v>
      </c>
      <c r="D48" s="13" t="str">
        <f>_xlfn.XLOOKUP(A48,CATÁLOGO!$A$2:$A$846,CATÁLOGO!$E$2:$E$846,"FORA DO CATÁLOGO")</f>
        <v>Ativo</v>
      </c>
      <c r="E48" s="2" t="s">
        <v>1401</v>
      </c>
      <c r="F48" s="62">
        <f>SUMIFS('AVARIA ESTIMADA'!$H$18:$H$40,'AVARIA ESTIMADA'!$A$18:$A$40,A48)</f>
        <v>0</v>
      </c>
    </row>
    <row r="49" spans="1:6" x14ac:dyDescent="0.3">
      <c r="A49" s="2" t="s">
        <v>31</v>
      </c>
      <c r="B49" s="19" t="str">
        <f>_xlfn.XLOOKUP(A49,CATÁLOGO!$A$2:$A$846,CATÁLOGO!$B$2:$B$846,"FORA DO CATÁLOGO")</f>
        <v>MOL003AM</v>
      </c>
      <c r="C49" s="13">
        <v>2</v>
      </c>
      <c r="D49" s="13" t="str">
        <f>_xlfn.XLOOKUP(A49,CATÁLOGO!$A$2:$A$846,CATÁLOGO!$E$2:$E$846,"FORA DO CATÁLOGO")</f>
        <v>Ativo</v>
      </c>
      <c r="E49" s="2" t="s">
        <v>1401</v>
      </c>
      <c r="F49" s="62">
        <f>SUMIFS('AVARIA ESTIMADA'!$H$18:$H$40,'AVARIA ESTIMADA'!$A$18:$A$40,A49)</f>
        <v>0</v>
      </c>
    </row>
    <row r="50" spans="1:6" x14ac:dyDescent="0.3">
      <c r="A50" s="2" t="s">
        <v>32</v>
      </c>
      <c r="B50" s="19" t="str">
        <f>_xlfn.XLOOKUP(A50,CATÁLOGO!$A$2:$A$846,CATÁLOGO!$B$2:$B$846,"FORA DO CATÁLOGO")</f>
        <v>MOL003AG</v>
      </c>
      <c r="C50" s="13">
        <v>2</v>
      </c>
      <c r="D50" s="13" t="str">
        <f>_xlfn.XLOOKUP(A50,CATÁLOGO!$A$2:$A$846,CATÁLOGO!$E$2:$E$846,"FORA DO CATÁLOGO")</f>
        <v>Ativo</v>
      </c>
      <c r="E50" s="2" t="s">
        <v>1401</v>
      </c>
      <c r="F50" s="62">
        <f>SUMIFS('AVARIA ESTIMADA'!$H$18:$H$40,'AVARIA ESTIMADA'!$A$18:$A$40,A50)</f>
        <v>0</v>
      </c>
    </row>
    <row r="51" spans="1:6" x14ac:dyDescent="0.3">
      <c r="A51" s="2" t="s">
        <v>33</v>
      </c>
      <c r="B51" s="19" t="str">
        <f>_xlfn.XLOOKUP(A51,CATÁLOGO!$A$2:$A$846,CATÁLOGO!$B$2:$B$846,"FORA DO CATÁLOGO")</f>
        <v>MOL003AGG</v>
      </c>
      <c r="C51" s="13">
        <v>1</v>
      </c>
      <c r="D51" s="13" t="str">
        <f>_xlfn.XLOOKUP(A51,CATÁLOGO!$A$2:$A$846,CATÁLOGO!$E$2:$E$846,"FORA DO CATÁLOGO")</f>
        <v>Ativo</v>
      </c>
      <c r="E51" s="2" t="s">
        <v>1401</v>
      </c>
      <c r="F51" s="62">
        <f>SUMIFS('AVARIA ESTIMADA'!$H$18:$H$40,'AVARIA ESTIMADA'!$A$18:$A$40,A51)</f>
        <v>0</v>
      </c>
    </row>
    <row r="52" spans="1:6" x14ac:dyDescent="0.3">
      <c r="A52" s="2" t="s">
        <v>34</v>
      </c>
      <c r="B52" s="19" t="str">
        <f>_xlfn.XLOOKUP(A52,CATÁLOGO!$A$2:$A$846,CATÁLOGO!$B$2:$B$846,"FORA DO CATÁLOGO")</f>
        <v>MOL003GM</v>
      </c>
      <c r="C52" s="13">
        <v>2</v>
      </c>
      <c r="D52" s="13" t="str">
        <f>_xlfn.XLOOKUP(A52,CATÁLOGO!$A$2:$A$846,CATÁLOGO!$E$2:$E$846,"FORA DO CATÁLOGO")</f>
        <v>Ativo</v>
      </c>
      <c r="E52" s="2" t="s">
        <v>1401</v>
      </c>
      <c r="F52" s="62">
        <f>SUMIFS('AVARIA ESTIMADA'!$H$18:$H$40,'AVARIA ESTIMADA'!$A$18:$A$40,A52)</f>
        <v>0</v>
      </c>
    </row>
    <row r="53" spans="1:6" x14ac:dyDescent="0.3">
      <c r="A53" s="2" t="s">
        <v>35</v>
      </c>
      <c r="B53" s="19" t="str">
        <f>_xlfn.XLOOKUP(A53,CATÁLOGO!$A$2:$A$846,CATÁLOGO!$B$2:$B$846,"FORA DO CATÁLOGO")</f>
        <v>MOL003GG</v>
      </c>
      <c r="C53" s="13">
        <v>1</v>
      </c>
      <c r="D53" s="13" t="str">
        <f>_xlfn.XLOOKUP(A53,CATÁLOGO!$A$2:$A$846,CATÁLOGO!$E$2:$E$846,"FORA DO CATÁLOGO")</f>
        <v>Ativo</v>
      </c>
      <c r="E53" s="2" t="s">
        <v>1401</v>
      </c>
      <c r="F53" s="62">
        <f>SUMIFS('AVARIA ESTIMADA'!$H$18:$H$40,'AVARIA ESTIMADA'!$A$18:$A$40,A53)</f>
        <v>0</v>
      </c>
    </row>
    <row r="54" spans="1:6" x14ac:dyDescent="0.3">
      <c r="A54" s="2" t="s">
        <v>36</v>
      </c>
      <c r="B54" s="19" t="str">
        <f>_xlfn.XLOOKUP(A54,CATÁLOGO!$A$2:$A$846,CATÁLOGO!$B$2:$B$846,"FORA DO CATÁLOGO")</f>
        <v>MOL003GGG</v>
      </c>
      <c r="C54" s="13">
        <v>0</v>
      </c>
      <c r="D54" s="13" t="str">
        <f>_xlfn.XLOOKUP(A54,CATÁLOGO!$A$2:$A$846,CATÁLOGO!$E$2:$E$846,"FORA DO CATÁLOGO")</f>
        <v>Ativo</v>
      </c>
      <c r="E54" s="2" t="s">
        <v>1401</v>
      </c>
      <c r="F54" s="62">
        <f>SUMIFS('AVARIA ESTIMADA'!$H$18:$H$40,'AVARIA ESTIMADA'!$A$18:$A$40,A54)</f>
        <v>0</v>
      </c>
    </row>
    <row r="55" spans="1:6" x14ac:dyDescent="0.3">
      <c r="A55" s="2" t="s">
        <v>37</v>
      </c>
      <c r="B55" s="19" t="str">
        <f>_xlfn.XLOOKUP(A55,CATÁLOGO!$A$2:$A$846,CATÁLOGO!$B$2:$B$846,"FORA DO CATÁLOGO")</f>
        <v>SAI002BP</v>
      </c>
      <c r="C55" s="13">
        <v>2</v>
      </c>
      <c r="D55" s="13" t="str">
        <f>_xlfn.XLOOKUP(A55,CATÁLOGO!$A$2:$A$846,CATÁLOGO!$E$2:$E$846,"FORA DO CATÁLOGO")</f>
        <v>Ativo</v>
      </c>
      <c r="E55" s="2" t="s">
        <v>1401</v>
      </c>
      <c r="F55" s="62">
        <f>SUMIFS('AVARIA ESTIMADA'!$H$18:$H$40,'AVARIA ESTIMADA'!$A$18:$A$40,A55)</f>
        <v>0</v>
      </c>
    </row>
    <row r="56" spans="1:6" x14ac:dyDescent="0.3">
      <c r="A56" s="2" t="s">
        <v>38</v>
      </c>
      <c r="B56" s="19" t="str">
        <f>_xlfn.XLOOKUP(A56,CATÁLOGO!$A$2:$A$846,CATÁLOGO!$B$2:$B$846,"FORA DO CATÁLOGO")</f>
        <v>SAI002BM</v>
      </c>
      <c r="C56" s="13">
        <v>2</v>
      </c>
      <c r="D56" s="13" t="str">
        <f>_xlfn.XLOOKUP(A56,CATÁLOGO!$A$2:$A$846,CATÁLOGO!$E$2:$E$846,"FORA DO CATÁLOGO")</f>
        <v>Ativo</v>
      </c>
      <c r="E56" s="2" t="s">
        <v>1401</v>
      </c>
      <c r="F56" s="62">
        <f>SUMIFS('AVARIA ESTIMADA'!$H$18:$H$40,'AVARIA ESTIMADA'!$A$18:$A$40,A56)</f>
        <v>0</v>
      </c>
    </row>
    <row r="57" spans="1:6" x14ac:dyDescent="0.3">
      <c r="A57" s="2" t="s">
        <v>39</v>
      </c>
      <c r="B57" s="19" t="str">
        <f>_xlfn.XLOOKUP(A57,CATÁLOGO!$A$2:$A$846,CATÁLOGO!$B$2:$B$846,"FORA DO CATÁLOGO")</f>
        <v>SAI002BG</v>
      </c>
      <c r="C57" s="13">
        <v>2</v>
      </c>
      <c r="D57" s="13" t="str">
        <f>_xlfn.XLOOKUP(A57,CATÁLOGO!$A$2:$A$846,CATÁLOGO!$E$2:$E$846,"FORA DO CATÁLOGO")</f>
        <v>Ativo</v>
      </c>
      <c r="E57" s="2" t="s">
        <v>1401</v>
      </c>
      <c r="F57" s="62">
        <f>SUMIFS('AVARIA ESTIMADA'!$H$18:$H$40,'AVARIA ESTIMADA'!$A$18:$A$40,A57)</f>
        <v>0</v>
      </c>
    </row>
    <row r="58" spans="1:6" x14ac:dyDescent="0.3">
      <c r="A58" s="2" t="s">
        <v>40</v>
      </c>
      <c r="B58" s="19" t="str">
        <f>_xlfn.XLOOKUP(A58,CATÁLOGO!$A$2:$A$846,CATÁLOGO!$B$2:$B$846,"FORA DO CATÁLOGO")</f>
        <v>SAI002BGG</v>
      </c>
      <c r="C58" s="13">
        <v>1</v>
      </c>
      <c r="D58" s="13" t="str">
        <f>_xlfn.XLOOKUP(A58,CATÁLOGO!$A$2:$A$846,CATÁLOGO!$E$2:$E$846,"FORA DO CATÁLOGO")</f>
        <v>Ativo</v>
      </c>
      <c r="E58" s="2" t="s">
        <v>1401</v>
      </c>
      <c r="F58" s="62">
        <f>SUMIFS('AVARIA ESTIMADA'!$H$18:$H$40,'AVARIA ESTIMADA'!$A$18:$A$40,A58)</f>
        <v>0</v>
      </c>
    </row>
    <row r="59" spans="1:6" x14ac:dyDescent="0.3">
      <c r="A59" s="2" t="s">
        <v>41</v>
      </c>
      <c r="B59" s="19" t="str">
        <f>_xlfn.XLOOKUP(A59,CATÁLOGO!$A$2:$A$846,CATÁLOGO!$B$2:$B$846,"FORA DO CATÁLOGO")</f>
        <v>SAI002OP</v>
      </c>
      <c r="C59" s="13">
        <v>1</v>
      </c>
      <c r="D59" s="13" t="str">
        <f>_xlfn.XLOOKUP(A59,CATÁLOGO!$A$2:$A$846,CATÁLOGO!$E$2:$E$846,"FORA DO CATÁLOGO")</f>
        <v>Descontinuado</v>
      </c>
      <c r="E59" s="2" t="s">
        <v>1401</v>
      </c>
      <c r="F59" s="62">
        <f>SUMIFS('AVARIA ESTIMADA'!$H$18:$H$40,'AVARIA ESTIMADA'!$A$18:$A$40,A59)</f>
        <v>0</v>
      </c>
    </row>
    <row r="60" spans="1:6" x14ac:dyDescent="0.3">
      <c r="A60" s="2" t="s">
        <v>42</v>
      </c>
      <c r="B60" s="19" t="str">
        <f>_xlfn.XLOOKUP(A60,CATÁLOGO!$A$2:$A$846,CATÁLOGO!$B$2:$B$846,"FORA DO CATÁLOGO")</f>
        <v>SAI002OGG</v>
      </c>
      <c r="C60" s="13">
        <v>1</v>
      </c>
      <c r="D60" s="13" t="str">
        <f>_xlfn.XLOOKUP(A60,CATÁLOGO!$A$2:$A$846,CATÁLOGO!$E$2:$E$846,"FORA DO CATÁLOGO")</f>
        <v>Descontinuado</v>
      </c>
      <c r="E60" s="2" t="s">
        <v>1401</v>
      </c>
      <c r="F60" s="62">
        <f>SUMIFS('AVARIA ESTIMADA'!$H$18:$H$40,'AVARIA ESTIMADA'!$A$18:$A$40,A60)</f>
        <v>0</v>
      </c>
    </row>
    <row r="61" spans="1:6" x14ac:dyDescent="0.3">
      <c r="A61" s="2" t="s">
        <v>1552</v>
      </c>
      <c r="B61" s="19" t="str">
        <f>_xlfn.XLOOKUP(A61,CATÁLOGO!$A$2:$A$846,CATÁLOGO!$B$2:$B$846,"FORA DO CATÁLOGO")</f>
        <v>CAL006J36</v>
      </c>
      <c r="C61" s="13">
        <v>2</v>
      </c>
      <c r="D61" s="13" t="str">
        <f>_xlfn.XLOOKUP(A61,CATÁLOGO!$A$2:$A$846,CATÁLOGO!$E$2:$E$846,"FORA DO CATÁLOGO")</f>
        <v>Ativo</v>
      </c>
      <c r="E61" s="2" t="s">
        <v>1401</v>
      </c>
      <c r="F61" s="62">
        <f>SUMIFS('AVARIA ESTIMADA'!$H$18:$H$40,'AVARIA ESTIMADA'!$A$18:$A$40,A61)</f>
        <v>0</v>
      </c>
    </row>
    <row r="62" spans="1:6" x14ac:dyDescent="0.3">
      <c r="A62" s="2" t="s">
        <v>1551</v>
      </c>
      <c r="B62" s="19" t="str">
        <f>_xlfn.XLOOKUP(A62,CATÁLOGO!$A$2:$A$846,CATÁLOGO!$B$2:$B$846,"FORA DO CATÁLOGO")</f>
        <v>CAL006J38</v>
      </c>
      <c r="C62" s="13">
        <v>2</v>
      </c>
      <c r="D62" s="13" t="str">
        <f>_xlfn.XLOOKUP(A62,CATÁLOGO!$A$2:$A$846,CATÁLOGO!$E$2:$E$846,"FORA DO CATÁLOGO")</f>
        <v>Ativo</v>
      </c>
      <c r="E62" s="2" t="s">
        <v>1401</v>
      </c>
      <c r="F62" s="62">
        <f>SUMIFS('AVARIA ESTIMADA'!$H$18:$H$40,'AVARIA ESTIMADA'!$A$18:$A$40,A62)</f>
        <v>0</v>
      </c>
    </row>
    <row r="63" spans="1:6" x14ac:dyDescent="0.3">
      <c r="A63" s="2" t="s">
        <v>1550</v>
      </c>
      <c r="B63" s="19" t="str">
        <f>_xlfn.XLOOKUP(A63,CATÁLOGO!$A$2:$A$846,CATÁLOGO!$B$2:$B$846,"FORA DO CATÁLOGO")</f>
        <v>CAL006J40</v>
      </c>
      <c r="C63" s="13">
        <v>1</v>
      </c>
      <c r="D63" s="13" t="str">
        <f>_xlfn.XLOOKUP(A63,CATÁLOGO!$A$2:$A$846,CATÁLOGO!$E$2:$E$846,"FORA DO CATÁLOGO")</f>
        <v>Ativo</v>
      </c>
      <c r="E63" s="2" t="s">
        <v>1401</v>
      </c>
      <c r="F63" s="62">
        <f>SUMIFS('AVARIA ESTIMADA'!$H$18:$H$40,'AVARIA ESTIMADA'!$A$18:$A$40,A63)</f>
        <v>0</v>
      </c>
    </row>
    <row r="64" spans="1:6" x14ac:dyDescent="0.3">
      <c r="A64" s="2" t="s">
        <v>1548</v>
      </c>
      <c r="B64" s="19" t="str">
        <f>_xlfn.XLOOKUP(A64,CATÁLOGO!$A$2:$A$846,CATÁLOGO!$B$2:$B$846,"FORA DO CATÁLOGO")</f>
        <v>CAL006J42</v>
      </c>
      <c r="C64" s="13">
        <v>1</v>
      </c>
      <c r="D64" s="13" t="str">
        <f>_xlfn.XLOOKUP(A64,CATÁLOGO!$A$2:$A$846,CATÁLOGO!$E$2:$E$846,"FORA DO CATÁLOGO")</f>
        <v>Ativo</v>
      </c>
      <c r="E64" s="2" t="s">
        <v>1401</v>
      </c>
      <c r="F64" s="62">
        <f>SUMIFS('AVARIA ESTIMADA'!$H$18:$H$40,'AVARIA ESTIMADA'!$A$18:$A$40,A64)</f>
        <v>0</v>
      </c>
    </row>
    <row r="65" spans="1:6" x14ac:dyDescent="0.3">
      <c r="A65" s="2" t="s">
        <v>1549</v>
      </c>
      <c r="B65" s="19" t="str">
        <f>_xlfn.XLOOKUP(A65,CATÁLOGO!$A$2:$A$846,CATÁLOGO!$B$2:$B$846,"FORA DO CATÁLOGO")</f>
        <v>CAL006J44</v>
      </c>
      <c r="C65" s="13">
        <v>1</v>
      </c>
      <c r="D65" s="13" t="str">
        <f>_xlfn.XLOOKUP(A65,CATÁLOGO!$A$2:$A$846,CATÁLOGO!$E$2:$E$846,"FORA DO CATÁLOGO")</f>
        <v>Ativo</v>
      </c>
      <c r="E65" s="2" t="s">
        <v>1401</v>
      </c>
      <c r="F65" s="62">
        <f>SUMIFS('AVARIA ESTIMADA'!$H$18:$H$40,'AVARIA ESTIMADA'!$A$18:$A$40,A65)</f>
        <v>0</v>
      </c>
    </row>
    <row r="66" spans="1:6" x14ac:dyDescent="0.3">
      <c r="A66" s="2" t="s">
        <v>1539</v>
      </c>
      <c r="B66" s="19" t="str">
        <f>_xlfn.XLOOKUP(A66,CATÁLOGO!$A$2:$A$846,CATÁLOGO!$B$2:$B$846,"FORA DO CATÁLOGO")</f>
        <v>CAL006G42</v>
      </c>
      <c r="C66" s="13">
        <v>1</v>
      </c>
      <c r="D66" s="13" t="str">
        <f>_xlfn.XLOOKUP(A66,CATÁLOGO!$A$2:$A$846,CATÁLOGO!$E$2:$E$846,"FORA DO CATÁLOGO")</f>
        <v>Descontinuado</v>
      </c>
      <c r="E66" s="2" t="s">
        <v>1401</v>
      </c>
      <c r="F66" s="62">
        <f>SUMIFS('AVARIA ESTIMADA'!$H$18:$H$40,'AVARIA ESTIMADA'!$A$18:$A$40,A66)</f>
        <v>0</v>
      </c>
    </row>
    <row r="67" spans="1:6" x14ac:dyDescent="0.3">
      <c r="A67" s="2" t="s">
        <v>1542</v>
      </c>
      <c r="B67" s="19" t="str">
        <f>_xlfn.XLOOKUP(A67,CATÁLOGO!$A$2:$A$846,CATÁLOGO!$B$2:$B$846,"FORA DO CATÁLOGO")</f>
        <v>CAL006G44</v>
      </c>
      <c r="C67" s="13">
        <v>1</v>
      </c>
      <c r="D67" s="13" t="str">
        <f>_xlfn.XLOOKUP(A67,CATÁLOGO!$A$2:$A$846,CATÁLOGO!$E$2:$E$846,"FORA DO CATÁLOGO")</f>
        <v>Descontinuado</v>
      </c>
      <c r="E67" s="2" t="s">
        <v>1401</v>
      </c>
      <c r="F67" s="62">
        <f>SUMIFS('AVARIA ESTIMADA'!$H$18:$H$40,'AVARIA ESTIMADA'!$A$18:$A$40,A67)</f>
        <v>0</v>
      </c>
    </row>
    <row r="68" spans="1:6" x14ac:dyDescent="0.3">
      <c r="A68" s="2" t="s">
        <v>1557</v>
      </c>
      <c r="B68" s="19" t="str">
        <f>_xlfn.XLOOKUP(A68,CATÁLOGO!$A$2:$A$846,CATÁLOGO!$B$2:$B$846,"FORA DO CATÁLOGO")</f>
        <v>CAL007A38</v>
      </c>
      <c r="C68" s="13">
        <v>5</v>
      </c>
      <c r="D68" s="13" t="str">
        <f>_xlfn.XLOOKUP(A68,CATÁLOGO!$A$2:$A$846,CATÁLOGO!$E$2:$E$846,"FORA DO CATÁLOGO")</f>
        <v>Ativo</v>
      </c>
      <c r="E68" s="2" t="s">
        <v>1401</v>
      </c>
      <c r="F68" s="62">
        <f>SUMIFS('AVARIA ESTIMADA'!$H$18:$H$40,'AVARIA ESTIMADA'!$A$18:$A$40,A68)</f>
        <v>0</v>
      </c>
    </row>
    <row r="69" spans="1:6" x14ac:dyDescent="0.3">
      <c r="A69" s="2" t="s">
        <v>1556</v>
      </c>
      <c r="B69" s="19" t="str">
        <f>_xlfn.XLOOKUP(A69,CATÁLOGO!$A$2:$A$846,CATÁLOGO!$B$2:$B$846,"FORA DO CATÁLOGO")</f>
        <v>CAL007A40</v>
      </c>
      <c r="C69" s="13">
        <v>6</v>
      </c>
      <c r="D69" s="13" t="str">
        <f>_xlfn.XLOOKUP(A69,CATÁLOGO!$A$2:$A$846,CATÁLOGO!$E$2:$E$846,"FORA DO CATÁLOGO")</f>
        <v>Ativo</v>
      </c>
      <c r="E69" s="2" t="s">
        <v>1401</v>
      </c>
      <c r="F69" s="62">
        <f>SUMIFS('AVARIA ESTIMADA'!$H$18:$H$40,'AVARIA ESTIMADA'!$A$18:$A$40,A69)</f>
        <v>0</v>
      </c>
    </row>
    <row r="70" spans="1:6" x14ac:dyDescent="0.3">
      <c r="A70" s="2" t="s">
        <v>1553</v>
      </c>
      <c r="B70" s="19" t="str">
        <f>_xlfn.XLOOKUP(A70,CATÁLOGO!$A$2:$A$846,CATÁLOGO!$B$2:$B$846,"FORA DO CATÁLOGO")</f>
        <v>CAL007A42</v>
      </c>
      <c r="C70" s="13">
        <v>5</v>
      </c>
      <c r="D70" s="13" t="str">
        <f>_xlfn.XLOOKUP(A70,CATÁLOGO!$A$2:$A$846,CATÁLOGO!$E$2:$E$846,"FORA DO CATÁLOGO")</f>
        <v>Ativo</v>
      </c>
      <c r="E70" s="2" t="s">
        <v>1401</v>
      </c>
      <c r="F70" s="62">
        <f>SUMIFS('AVARIA ESTIMADA'!$H$18:$H$40,'AVARIA ESTIMADA'!$A$18:$A$40,A70)</f>
        <v>0</v>
      </c>
    </row>
    <row r="71" spans="1:6" x14ac:dyDescent="0.3">
      <c r="A71" s="2" t="s">
        <v>1555</v>
      </c>
      <c r="B71" s="19" t="str">
        <f>_xlfn.XLOOKUP(A71,CATÁLOGO!$A$2:$A$846,CATÁLOGO!$B$2:$B$846,"FORA DO CATÁLOGO")</f>
        <v>CAL007A44</v>
      </c>
      <c r="C71" s="13">
        <v>4</v>
      </c>
      <c r="D71" s="13" t="str">
        <f>_xlfn.XLOOKUP(A71,CATÁLOGO!$A$2:$A$846,CATÁLOGO!$E$2:$E$846,"FORA DO CATÁLOGO")</f>
        <v>Ativo</v>
      </c>
      <c r="E71" s="2" t="s">
        <v>1401</v>
      </c>
      <c r="F71" s="62">
        <f>SUMIFS('AVARIA ESTIMADA'!$H$18:$H$40,'AVARIA ESTIMADA'!$A$18:$A$40,A71)</f>
        <v>0</v>
      </c>
    </row>
    <row r="72" spans="1:6" x14ac:dyDescent="0.3">
      <c r="A72" s="2" t="s">
        <v>43</v>
      </c>
      <c r="B72" s="19" t="str">
        <f>_xlfn.XLOOKUP(A72,CATÁLOGO!$A$2:$A$846,CATÁLOGO!$B$2:$B$846,"FORA DO CATÁLOGO")</f>
        <v>TRI004BP</v>
      </c>
      <c r="C72" s="13">
        <v>3</v>
      </c>
      <c r="D72" s="13" t="str">
        <f>_xlfn.XLOOKUP(A72,CATÁLOGO!$A$2:$A$846,CATÁLOGO!$E$2:$E$846,"FORA DO CATÁLOGO")</f>
        <v>Ativo</v>
      </c>
      <c r="E72" s="2" t="s">
        <v>1401</v>
      </c>
      <c r="F72" s="62">
        <f>SUMIFS('AVARIA ESTIMADA'!$H$18:$H$40,'AVARIA ESTIMADA'!$A$18:$A$40,A72)</f>
        <v>0</v>
      </c>
    </row>
    <row r="73" spans="1:6" x14ac:dyDescent="0.3">
      <c r="A73" s="2" t="s">
        <v>44</v>
      </c>
      <c r="B73" s="19" t="str">
        <f>_xlfn.XLOOKUP(A73,CATÁLOGO!$A$2:$A$846,CATÁLOGO!$B$2:$B$846,"FORA DO CATÁLOGO")</f>
        <v>TRI004BM</v>
      </c>
      <c r="C73" s="13">
        <v>5</v>
      </c>
      <c r="D73" s="13" t="str">
        <f>_xlfn.XLOOKUP(A73,CATÁLOGO!$A$2:$A$846,CATÁLOGO!$E$2:$E$846,"FORA DO CATÁLOGO")</f>
        <v>Ativo</v>
      </c>
      <c r="E73" s="2" t="s">
        <v>1401</v>
      </c>
      <c r="F73" s="62">
        <f>SUMIFS('AVARIA ESTIMADA'!$H$18:$H$40,'AVARIA ESTIMADA'!$A$18:$A$40,A73)</f>
        <v>0</v>
      </c>
    </row>
    <row r="74" spans="1:6" x14ac:dyDescent="0.3">
      <c r="A74" s="2" t="s">
        <v>45</v>
      </c>
      <c r="B74" s="19" t="str">
        <f>_xlfn.XLOOKUP(A74,CATÁLOGO!$A$2:$A$846,CATÁLOGO!$B$2:$B$846,"FORA DO CATÁLOGO")</f>
        <v>TRI004BG</v>
      </c>
      <c r="C74" s="13">
        <v>4</v>
      </c>
      <c r="D74" s="13" t="str">
        <f>_xlfn.XLOOKUP(A74,CATÁLOGO!$A$2:$A$846,CATÁLOGO!$E$2:$E$846,"FORA DO CATÁLOGO")</f>
        <v>Ativo</v>
      </c>
      <c r="E74" s="2" t="s">
        <v>1401</v>
      </c>
      <c r="F74" s="62">
        <f>SUMIFS('AVARIA ESTIMADA'!$H$18:$H$40,'AVARIA ESTIMADA'!$A$18:$A$40,A74)</f>
        <v>0</v>
      </c>
    </row>
    <row r="75" spans="1:6" x14ac:dyDescent="0.3">
      <c r="A75" s="2" t="s">
        <v>46</v>
      </c>
      <c r="B75" s="19" t="str">
        <f>_xlfn.XLOOKUP(A75,CATÁLOGO!$A$2:$A$846,CATÁLOGO!$B$2:$B$846,"FORA DO CATÁLOGO")</f>
        <v>TRI004BGG</v>
      </c>
      <c r="C75" s="13">
        <v>3</v>
      </c>
      <c r="D75" s="13" t="str">
        <f>_xlfn.XLOOKUP(A75,CATÁLOGO!$A$2:$A$846,CATÁLOGO!$E$2:$E$846,"FORA DO CATÁLOGO")</f>
        <v>Ativo</v>
      </c>
      <c r="E75" s="2" t="s">
        <v>1401</v>
      </c>
      <c r="F75" s="62">
        <f>SUMIFS('AVARIA ESTIMADA'!$H$18:$H$40,'AVARIA ESTIMADA'!$A$18:$A$40,A75)</f>
        <v>0</v>
      </c>
    </row>
    <row r="76" spans="1:6" x14ac:dyDescent="0.3">
      <c r="A76" s="2" t="s">
        <v>47</v>
      </c>
      <c r="B76" s="19" t="str">
        <f>_xlfn.XLOOKUP(A76,CATÁLOGO!$A$2:$A$846,CATÁLOGO!$B$2:$B$846,"FORA DO CATÁLOGO")</f>
        <v>CMS001GP</v>
      </c>
      <c r="C76" s="13">
        <v>6</v>
      </c>
      <c r="D76" s="13" t="str">
        <f>_xlfn.XLOOKUP(A76,CATÁLOGO!$A$2:$A$846,CATÁLOGO!$E$2:$E$846,"FORA DO CATÁLOGO")</f>
        <v>Ativo</v>
      </c>
      <c r="E76" s="2" t="s">
        <v>1401</v>
      </c>
      <c r="F76" s="62">
        <f>SUMIFS('AVARIA ESTIMADA'!$H$18:$H$40,'AVARIA ESTIMADA'!$A$18:$A$40,A76)</f>
        <v>0</v>
      </c>
    </row>
    <row r="77" spans="1:6" x14ac:dyDescent="0.3">
      <c r="A77" s="2" t="s">
        <v>48</v>
      </c>
      <c r="B77" s="19" t="str">
        <f>_xlfn.XLOOKUP(A77,CATÁLOGO!$A$2:$A$846,CATÁLOGO!$B$2:$B$846,"FORA DO CATÁLOGO")</f>
        <v>CMS001GM</v>
      </c>
      <c r="C77" s="13">
        <v>5</v>
      </c>
      <c r="D77" s="13" t="str">
        <f>_xlfn.XLOOKUP(A77,CATÁLOGO!$A$2:$A$846,CATÁLOGO!$E$2:$E$846,"FORA DO CATÁLOGO")</f>
        <v>Ativo</v>
      </c>
      <c r="E77" s="2" t="s">
        <v>1401</v>
      </c>
      <c r="F77" s="62">
        <f>SUMIFS('AVARIA ESTIMADA'!$H$18:$H$40,'AVARIA ESTIMADA'!$A$18:$A$40,A77)</f>
        <v>0</v>
      </c>
    </row>
    <row r="78" spans="1:6" x14ac:dyDescent="0.3">
      <c r="A78" s="2" t="s">
        <v>49</v>
      </c>
      <c r="B78" s="19" t="str">
        <f>_xlfn.XLOOKUP(A78,CATÁLOGO!$A$2:$A$846,CATÁLOGO!$B$2:$B$846,"FORA DO CATÁLOGO")</f>
        <v>CMS001GG</v>
      </c>
      <c r="C78" s="13">
        <v>5</v>
      </c>
      <c r="D78" s="13" t="str">
        <f>_xlfn.XLOOKUP(A78,CATÁLOGO!$A$2:$A$846,CATÁLOGO!$E$2:$E$846,"FORA DO CATÁLOGO")</f>
        <v>Ativo</v>
      </c>
      <c r="E78" s="2" t="s">
        <v>1401</v>
      </c>
      <c r="F78" s="62">
        <f>SUMIFS('AVARIA ESTIMADA'!$H$18:$H$40,'AVARIA ESTIMADA'!$A$18:$A$40,A78)</f>
        <v>0</v>
      </c>
    </row>
    <row r="79" spans="1:6" x14ac:dyDescent="0.3">
      <c r="A79" s="2" t="s">
        <v>50</v>
      </c>
      <c r="B79" s="19" t="str">
        <f>_xlfn.XLOOKUP(A79,CATÁLOGO!$A$2:$A$846,CATÁLOGO!$B$2:$B$846,"FORA DO CATÁLOGO")</f>
        <v>CMS001GGG</v>
      </c>
      <c r="C79" s="13">
        <v>4</v>
      </c>
      <c r="D79" s="13" t="str">
        <f>_xlfn.XLOOKUP(A79,CATÁLOGO!$A$2:$A$846,CATÁLOGO!$E$2:$E$846,"FORA DO CATÁLOGO")</f>
        <v>Ativo</v>
      </c>
      <c r="E79" s="2" t="s">
        <v>1401</v>
      </c>
      <c r="F79" s="62">
        <f>SUMIFS('AVARIA ESTIMADA'!$H$18:$H$40,'AVARIA ESTIMADA'!$A$18:$A$40,A79)</f>
        <v>0</v>
      </c>
    </row>
    <row r="80" spans="1:6" x14ac:dyDescent="0.3">
      <c r="A80" s="2" t="s">
        <v>1714</v>
      </c>
      <c r="B80" s="19" t="str">
        <f>_xlfn.XLOOKUP(A80,CATÁLOGO!$A$2:$A$846,CATÁLOGO!$B$2:$B$846,"FORA DO CATÁLOGO")</f>
        <v>CAM002APP</v>
      </c>
      <c r="C80" s="13">
        <v>1</v>
      </c>
      <c r="D80" s="13" t="str">
        <f>_xlfn.XLOOKUP(A80,CATÁLOGO!$A$2:$A$846,CATÁLOGO!$E$2:$E$846,"FORA DO CATÁLOGO")</f>
        <v>Ativo</v>
      </c>
      <c r="E80" s="2" t="s">
        <v>1401</v>
      </c>
      <c r="F80" s="62">
        <f>SUMIFS('AVARIA ESTIMADA'!$H$18:$H$40,'AVARIA ESTIMADA'!$A$18:$A$40,A80)</f>
        <v>0</v>
      </c>
    </row>
    <row r="81" spans="1:6" x14ac:dyDescent="0.3">
      <c r="A81" s="2" t="s">
        <v>51</v>
      </c>
      <c r="B81" s="19" t="str">
        <f>_xlfn.XLOOKUP(A81,CATÁLOGO!$A$2:$A$846,CATÁLOGO!$B$2:$B$846,"FORA DO CATÁLOGO")</f>
        <v>CAM002AP</v>
      </c>
      <c r="C81" s="13">
        <v>2</v>
      </c>
      <c r="D81" s="13" t="str">
        <f>_xlfn.XLOOKUP(A81,CATÁLOGO!$A$2:$A$846,CATÁLOGO!$E$2:$E$846,"FORA DO CATÁLOGO")</f>
        <v>Ativo</v>
      </c>
      <c r="E81" s="2" t="s">
        <v>1401</v>
      </c>
      <c r="F81" s="62">
        <f>SUMIFS('AVARIA ESTIMADA'!$H$18:$H$40,'AVARIA ESTIMADA'!$A$18:$A$40,A81)</f>
        <v>0</v>
      </c>
    </row>
    <row r="82" spans="1:6" x14ac:dyDescent="0.3">
      <c r="A82" s="2" t="s">
        <v>52</v>
      </c>
      <c r="B82" s="19" t="str">
        <f>_xlfn.XLOOKUP(A82,CATÁLOGO!$A$2:$A$846,CATÁLOGO!$B$2:$B$846,"FORA DO CATÁLOGO")</f>
        <v>CAM002AM</v>
      </c>
      <c r="C82" s="13">
        <v>4</v>
      </c>
      <c r="D82" s="13" t="str">
        <f>_xlfn.XLOOKUP(A82,CATÁLOGO!$A$2:$A$846,CATÁLOGO!$E$2:$E$846,"FORA DO CATÁLOGO")</f>
        <v>Ativo</v>
      </c>
      <c r="E82" s="2" t="s">
        <v>1401</v>
      </c>
      <c r="F82" s="62">
        <f>SUMIFS('AVARIA ESTIMADA'!$H$18:$H$40,'AVARIA ESTIMADA'!$A$18:$A$40,A82)</f>
        <v>0</v>
      </c>
    </row>
    <row r="83" spans="1:6" x14ac:dyDescent="0.3">
      <c r="A83" s="2" t="s">
        <v>53</v>
      </c>
      <c r="B83" s="19" t="str">
        <f>_xlfn.XLOOKUP(A83,CATÁLOGO!$A$2:$A$846,CATÁLOGO!$B$2:$B$846,"FORA DO CATÁLOGO")</f>
        <v>CAM002AG</v>
      </c>
      <c r="C83" s="13">
        <v>3</v>
      </c>
      <c r="D83" s="13" t="str">
        <f>_xlfn.XLOOKUP(A83,CATÁLOGO!$A$2:$A$846,CATÁLOGO!$E$2:$E$846,"FORA DO CATÁLOGO")</f>
        <v>Ativo</v>
      </c>
      <c r="E83" s="2" t="s">
        <v>1401</v>
      </c>
      <c r="F83" s="62">
        <f>SUMIFS('AVARIA ESTIMADA'!$H$18:$H$40,'AVARIA ESTIMADA'!$A$18:$A$40,A83)</f>
        <v>0</v>
      </c>
    </row>
    <row r="84" spans="1:6" x14ac:dyDescent="0.3">
      <c r="A84" s="2" t="s">
        <v>54</v>
      </c>
      <c r="B84" s="19" t="str">
        <f>_xlfn.XLOOKUP(A84,CATÁLOGO!$A$2:$A$846,CATÁLOGO!$B$2:$B$846,"FORA DO CATÁLOGO")</f>
        <v>CAM002AGG</v>
      </c>
      <c r="C84" s="13">
        <v>1</v>
      </c>
      <c r="D84" s="13" t="str">
        <f>_xlfn.XLOOKUP(A84,CATÁLOGO!$A$2:$A$846,CATÁLOGO!$E$2:$E$846,"FORA DO CATÁLOGO")</f>
        <v>Ativo</v>
      </c>
      <c r="E84" s="2" t="s">
        <v>1401</v>
      </c>
      <c r="F84" s="62">
        <f>SUMIFS('AVARIA ESTIMADA'!$H$18:$H$40,'AVARIA ESTIMADA'!$A$18:$A$40,A84)</f>
        <v>0</v>
      </c>
    </row>
    <row r="85" spans="1:6" x14ac:dyDescent="0.3">
      <c r="A85" s="2" t="s">
        <v>55</v>
      </c>
      <c r="B85" s="19" t="str">
        <f>_xlfn.XLOOKUP(A85,CATÁLOGO!$A$2:$A$846,CATÁLOGO!$B$2:$B$846,"FORA DO CATÁLOGO")</f>
        <v>CMS002GP</v>
      </c>
      <c r="C85" s="13">
        <v>6</v>
      </c>
      <c r="D85" s="13" t="str">
        <f>_xlfn.XLOOKUP(A85,CATÁLOGO!$A$2:$A$846,CATÁLOGO!$E$2:$E$846,"FORA DO CATÁLOGO")</f>
        <v>Ativo</v>
      </c>
      <c r="E85" s="2" t="s">
        <v>1401</v>
      </c>
      <c r="F85" s="62">
        <f>SUMIFS('AVARIA ESTIMADA'!$H$18:$H$40,'AVARIA ESTIMADA'!$A$18:$A$40,A85)</f>
        <v>0</v>
      </c>
    </row>
    <row r="86" spans="1:6" x14ac:dyDescent="0.3">
      <c r="A86" s="2" t="s">
        <v>56</v>
      </c>
      <c r="B86" s="19" t="str">
        <f>_xlfn.XLOOKUP(A86,CATÁLOGO!$A$2:$A$846,CATÁLOGO!$B$2:$B$846,"FORA DO CATÁLOGO")</f>
        <v>CMS002GM</v>
      </c>
      <c r="C86" s="13">
        <v>5</v>
      </c>
      <c r="D86" s="13" t="str">
        <f>_xlfn.XLOOKUP(A86,CATÁLOGO!$A$2:$A$846,CATÁLOGO!$E$2:$E$846,"FORA DO CATÁLOGO")</f>
        <v>Ativo</v>
      </c>
      <c r="E86" s="2" t="s">
        <v>1401</v>
      </c>
      <c r="F86" s="62">
        <f>SUMIFS('AVARIA ESTIMADA'!$H$18:$H$40,'AVARIA ESTIMADA'!$A$18:$A$40,A86)</f>
        <v>0</v>
      </c>
    </row>
    <row r="87" spans="1:6" x14ac:dyDescent="0.3">
      <c r="A87" s="2" t="s">
        <v>57</v>
      </c>
      <c r="B87" s="19" t="str">
        <f>_xlfn.XLOOKUP(A87,CATÁLOGO!$A$2:$A$846,CATÁLOGO!$B$2:$B$846,"FORA DO CATÁLOGO")</f>
        <v>CMS002GG</v>
      </c>
      <c r="C87" s="13">
        <v>5</v>
      </c>
      <c r="D87" s="13" t="str">
        <f>_xlfn.XLOOKUP(A87,CATÁLOGO!$A$2:$A$846,CATÁLOGO!$E$2:$E$846,"FORA DO CATÁLOGO")</f>
        <v>Ativo</v>
      </c>
      <c r="E87" s="2" t="s">
        <v>1401</v>
      </c>
      <c r="F87" s="62">
        <f>SUMIFS('AVARIA ESTIMADA'!$H$18:$H$40,'AVARIA ESTIMADA'!$A$18:$A$40,A87)</f>
        <v>0</v>
      </c>
    </row>
    <row r="88" spans="1:6" x14ac:dyDescent="0.3">
      <c r="A88" s="2" t="s">
        <v>58</v>
      </c>
      <c r="B88" s="19" t="str">
        <f>_xlfn.XLOOKUP(A88,CATÁLOGO!$A$2:$A$846,CATÁLOGO!$B$2:$B$846,"FORA DO CATÁLOGO")</f>
        <v>CMS002GGG</v>
      </c>
      <c r="C88" s="13">
        <v>4</v>
      </c>
      <c r="D88" s="13" t="str">
        <f>_xlfn.XLOOKUP(A88,CATÁLOGO!$A$2:$A$846,CATÁLOGO!$E$2:$E$846,"FORA DO CATÁLOGO")</f>
        <v>Ativo</v>
      </c>
      <c r="E88" s="2" t="s">
        <v>1401</v>
      </c>
      <c r="F88" s="62">
        <f>SUMIFS('AVARIA ESTIMADA'!$H$18:$H$40,'AVARIA ESTIMADA'!$A$18:$A$40,A88)</f>
        <v>0</v>
      </c>
    </row>
    <row r="89" spans="1:6" x14ac:dyDescent="0.3">
      <c r="A89" s="2" t="s">
        <v>59</v>
      </c>
      <c r="B89" s="19" t="str">
        <f>_xlfn.XLOOKUP(A89,CATÁLOGO!$A$2:$A$846,CATÁLOGO!$B$2:$B$846,"FORA DO CATÁLOGO")</f>
        <v>CAM003CP</v>
      </c>
      <c r="C89" s="13">
        <v>2</v>
      </c>
      <c r="D89" s="13" t="str">
        <f>_xlfn.XLOOKUP(A89,CATÁLOGO!$A$2:$A$846,CATÁLOGO!$E$2:$E$846,"FORA DO CATÁLOGO")</f>
        <v>Ativo</v>
      </c>
      <c r="E89" s="2" t="s">
        <v>1401</v>
      </c>
      <c r="F89" s="62">
        <f>SUMIFS('AVARIA ESTIMADA'!$H$18:$H$40,'AVARIA ESTIMADA'!$A$18:$A$40,A89)</f>
        <v>0</v>
      </c>
    </row>
    <row r="90" spans="1:6" x14ac:dyDescent="0.3">
      <c r="A90" s="2" t="s">
        <v>60</v>
      </c>
      <c r="B90" s="19" t="str">
        <f>_xlfn.XLOOKUP(A90,CATÁLOGO!$A$2:$A$846,CATÁLOGO!$B$2:$B$846,"FORA DO CATÁLOGO")</f>
        <v>CAM003CM</v>
      </c>
      <c r="C90" s="13">
        <v>2</v>
      </c>
      <c r="D90" s="13" t="str">
        <f>_xlfn.XLOOKUP(A90,CATÁLOGO!$A$2:$A$846,CATÁLOGO!$E$2:$E$846,"FORA DO CATÁLOGO")</f>
        <v>Ativo</v>
      </c>
      <c r="E90" s="2" t="s">
        <v>1401</v>
      </c>
      <c r="F90" s="62">
        <f>SUMIFS('AVARIA ESTIMADA'!$H$18:$H$40,'AVARIA ESTIMADA'!$A$18:$A$40,A90)</f>
        <v>0</v>
      </c>
    </row>
    <row r="91" spans="1:6" x14ac:dyDescent="0.3">
      <c r="A91" s="2" t="s">
        <v>61</v>
      </c>
      <c r="B91" s="19" t="str">
        <f>_xlfn.XLOOKUP(A91,CATÁLOGO!$A$2:$A$846,CATÁLOGO!$B$2:$B$846,"FORA DO CATÁLOGO")</f>
        <v>CAM003CG</v>
      </c>
      <c r="C91" s="13">
        <v>2</v>
      </c>
      <c r="D91" s="13" t="str">
        <f>_xlfn.XLOOKUP(A91,CATÁLOGO!$A$2:$A$846,CATÁLOGO!$E$2:$E$846,"FORA DO CATÁLOGO")</f>
        <v>Ativo</v>
      </c>
      <c r="E91" s="2" t="s">
        <v>1401</v>
      </c>
      <c r="F91" s="62">
        <f>SUMIFS('AVARIA ESTIMADA'!$H$18:$H$40,'AVARIA ESTIMADA'!$A$18:$A$40,A91)</f>
        <v>0</v>
      </c>
    </row>
    <row r="92" spans="1:6" x14ac:dyDescent="0.3">
      <c r="A92" s="2" t="s">
        <v>62</v>
      </c>
      <c r="B92" s="19" t="str">
        <f>_xlfn.XLOOKUP(A92,CATÁLOGO!$A$2:$A$846,CATÁLOGO!$B$2:$B$846,"FORA DO CATÁLOGO")</f>
        <v>CAM003CGG</v>
      </c>
      <c r="C92" s="13">
        <v>1</v>
      </c>
      <c r="D92" s="13" t="str">
        <f>_xlfn.XLOOKUP(A92,CATÁLOGO!$A$2:$A$846,CATÁLOGO!$E$2:$E$846,"FORA DO CATÁLOGO")</f>
        <v>Ativo</v>
      </c>
      <c r="E92" s="2" t="s">
        <v>1401</v>
      </c>
      <c r="F92" s="62">
        <f>SUMIFS('AVARIA ESTIMADA'!$H$18:$H$40,'AVARIA ESTIMADA'!$A$18:$A$40,A92)</f>
        <v>0</v>
      </c>
    </row>
    <row r="93" spans="1:6" x14ac:dyDescent="0.3">
      <c r="A93" s="2" t="s">
        <v>63</v>
      </c>
      <c r="B93" s="19" t="str">
        <f>_xlfn.XLOOKUP(A93,CATÁLOGO!$A$2:$A$846,CATÁLOGO!$B$2:$B$846,"FORA DO CATÁLOGO")</f>
        <v>CAM003AP</v>
      </c>
      <c r="C93" s="13">
        <v>1</v>
      </c>
      <c r="D93" s="13" t="str">
        <f>_xlfn.XLOOKUP(A93,CATÁLOGO!$A$2:$A$846,CATÁLOGO!$E$2:$E$846,"FORA DO CATÁLOGO")</f>
        <v>Ativo</v>
      </c>
      <c r="E93" s="2" t="s">
        <v>1401</v>
      </c>
      <c r="F93" s="62">
        <f>SUMIFS('AVARIA ESTIMADA'!$H$18:$H$40,'AVARIA ESTIMADA'!$A$18:$A$40,A93)</f>
        <v>0</v>
      </c>
    </row>
    <row r="94" spans="1:6" x14ac:dyDescent="0.3">
      <c r="A94" s="2" t="s">
        <v>64</v>
      </c>
      <c r="B94" s="19" t="str">
        <f>_xlfn.XLOOKUP(A94,CATÁLOGO!$A$2:$A$846,CATÁLOGO!$B$2:$B$846,"FORA DO CATÁLOGO")</f>
        <v>CAM003AM</v>
      </c>
      <c r="C94" s="13">
        <v>1</v>
      </c>
      <c r="D94" s="13" t="str">
        <f>_xlfn.XLOOKUP(A94,CATÁLOGO!$A$2:$A$846,CATÁLOGO!$E$2:$E$846,"FORA DO CATÁLOGO")</f>
        <v>Ativo</v>
      </c>
      <c r="E94" s="2" t="s">
        <v>1401</v>
      </c>
      <c r="F94" s="62">
        <f>SUMIFS('AVARIA ESTIMADA'!$H$18:$H$40,'AVARIA ESTIMADA'!$A$18:$A$40,A94)</f>
        <v>0</v>
      </c>
    </row>
    <row r="95" spans="1:6" x14ac:dyDescent="0.3">
      <c r="A95" s="2" t="s">
        <v>65</v>
      </c>
      <c r="B95" s="19" t="str">
        <f>_xlfn.XLOOKUP(A95,CATÁLOGO!$A$2:$A$846,CATÁLOGO!$B$2:$B$846,"FORA DO CATÁLOGO")</f>
        <v>CAM003AG</v>
      </c>
      <c r="C95" s="13">
        <v>1</v>
      </c>
      <c r="D95" s="13" t="str">
        <f>_xlfn.XLOOKUP(A95,CATÁLOGO!$A$2:$A$846,CATÁLOGO!$E$2:$E$846,"FORA DO CATÁLOGO")</f>
        <v>Ativo</v>
      </c>
      <c r="E95" s="2" t="s">
        <v>1401</v>
      </c>
      <c r="F95" s="62">
        <f>SUMIFS('AVARIA ESTIMADA'!$H$18:$H$40,'AVARIA ESTIMADA'!$A$18:$A$40,A95)</f>
        <v>0</v>
      </c>
    </row>
    <row r="96" spans="1:6" x14ac:dyDescent="0.3">
      <c r="A96" s="2" t="s">
        <v>66</v>
      </c>
      <c r="B96" s="19" t="str">
        <f>_xlfn.XLOOKUP(A96,CATÁLOGO!$A$2:$A$846,CATÁLOGO!$B$2:$B$846,"FORA DO CATÁLOGO")</f>
        <v>CAM003AGG</v>
      </c>
      <c r="C96" s="13">
        <v>1</v>
      </c>
      <c r="D96" s="13" t="str">
        <f>_xlfn.XLOOKUP(A96,CATÁLOGO!$A$2:$A$846,CATÁLOGO!$E$2:$E$846,"FORA DO CATÁLOGO")</f>
        <v>Ativo</v>
      </c>
      <c r="E96" s="2" t="s">
        <v>1401</v>
      </c>
      <c r="F96" s="62">
        <f>SUMIFS('AVARIA ESTIMADA'!$H$18:$H$40,'AVARIA ESTIMADA'!$A$18:$A$40,A96)</f>
        <v>0</v>
      </c>
    </row>
    <row r="97" spans="1:6" x14ac:dyDescent="0.3">
      <c r="A97" s="2" t="s">
        <v>67</v>
      </c>
      <c r="B97" s="19" t="str">
        <f>_xlfn.XLOOKUP(A97,CATÁLOGO!$A$2:$A$846,CATÁLOGO!$B$2:$B$846,"FORA DO CATÁLOGO")</f>
        <v>MOL004BP</v>
      </c>
      <c r="C97" s="13">
        <v>3</v>
      </c>
      <c r="D97" s="13" t="str">
        <f>_xlfn.XLOOKUP(A97,CATÁLOGO!$A$2:$A$846,CATÁLOGO!$E$2:$E$846,"FORA DO CATÁLOGO")</f>
        <v>Ativo</v>
      </c>
      <c r="E97" s="2" t="s">
        <v>1401</v>
      </c>
      <c r="F97" s="62">
        <f>SUMIFS('AVARIA ESTIMADA'!$H$18:$H$40,'AVARIA ESTIMADA'!$A$18:$A$40,A97)</f>
        <v>0</v>
      </c>
    </row>
    <row r="98" spans="1:6" x14ac:dyDescent="0.3">
      <c r="A98" s="2" t="s">
        <v>68</v>
      </c>
      <c r="B98" s="19" t="str">
        <f>_xlfn.XLOOKUP(A98,CATÁLOGO!$A$2:$A$846,CATÁLOGO!$B$2:$B$846,"FORA DO CATÁLOGO")</f>
        <v>MOL004BM</v>
      </c>
      <c r="C98" s="13">
        <v>5</v>
      </c>
      <c r="D98" s="13" t="str">
        <f>_xlfn.XLOOKUP(A98,CATÁLOGO!$A$2:$A$846,CATÁLOGO!$E$2:$E$846,"FORA DO CATÁLOGO")</f>
        <v>Ativo</v>
      </c>
      <c r="E98" s="2" t="s">
        <v>1401</v>
      </c>
      <c r="F98" s="62">
        <f>SUMIFS('AVARIA ESTIMADA'!$H$18:$H$40,'AVARIA ESTIMADA'!$A$18:$A$40,A98)</f>
        <v>0</v>
      </c>
    </row>
    <row r="99" spans="1:6" x14ac:dyDescent="0.3">
      <c r="A99" s="2" t="s">
        <v>69</v>
      </c>
      <c r="B99" s="19" t="str">
        <f>_xlfn.XLOOKUP(A99,CATÁLOGO!$A$2:$A$846,CATÁLOGO!$B$2:$B$846,"FORA DO CATÁLOGO")</f>
        <v>MOL004BG</v>
      </c>
      <c r="C99" s="13">
        <v>4</v>
      </c>
      <c r="D99" s="13" t="str">
        <f>_xlfn.XLOOKUP(A99,CATÁLOGO!$A$2:$A$846,CATÁLOGO!$E$2:$E$846,"FORA DO CATÁLOGO")</f>
        <v>Ativo</v>
      </c>
      <c r="E99" s="2" t="s">
        <v>1401</v>
      </c>
      <c r="F99" s="62">
        <f>SUMIFS('AVARIA ESTIMADA'!$H$18:$H$40,'AVARIA ESTIMADA'!$A$18:$A$40,A99)</f>
        <v>0</v>
      </c>
    </row>
    <row r="100" spans="1:6" x14ac:dyDescent="0.3">
      <c r="A100" s="2" t="s">
        <v>70</v>
      </c>
      <c r="B100" s="19" t="str">
        <f>_xlfn.XLOOKUP(A100,CATÁLOGO!$A$2:$A$846,CATÁLOGO!$B$2:$B$846,"FORA DO CATÁLOGO")</f>
        <v>MOL004BGG</v>
      </c>
      <c r="C100" s="13">
        <v>2</v>
      </c>
      <c r="D100" s="13" t="str">
        <f>_xlfn.XLOOKUP(A100,CATÁLOGO!$A$2:$A$846,CATÁLOGO!$E$2:$E$846,"FORA DO CATÁLOGO")</f>
        <v>Ativo</v>
      </c>
      <c r="E100" s="2" t="s">
        <v>1401</v>
      </c>
      <c r="F100" s="62">
        <f>SUMIFS('AVARIA ESTIMADA'!$H$18:$H$40,'AVARIA ESTIMADA'!$A$18:$A$40,A100)</f>
        <v>0</v>
      </c>
    </row>
    <row r="101" spans="1:6" x14ac:dyDescent="0.3">
      <c r="A101" s="2" t="s">
        <v>71</v>
      </c>
      <c r="B101" s="19" t="str">
        <f>_xlfn.XLOOKUP(A101,CATÁLOGO!$A$2:$A$846,CATÁLOGO!$B$2:$B$846,"FORA DO CATÁLOGO")</f>
        <v>CAM004BP</v>
      </c>
      <c r="C101" s="13">
        <v>3</v>
      </c>
      <c r="D101" s="13" t="str">
        <f>_xlfn.XLOOKUP(A101,CATÁLOGO!$A$2:$A$846,CATÁLOGO!$E$2:$E$846,"FORA DO CATÁLOGO")</f>
        <v>Ativo</v>
      </c>
      <c r="E101" s="2" t="s">
        <v>1401</v>
      </c>
      <c r="F101" s="62">
        <f>SUMIFS('AVARIA ESTIMADA'!$H$18:$H$40,'AVARIA ESTIMADA'!$A$18:$A$40,A101)</f>
        <v>0</v>
      </c>
    </row>
    <row r="102" spans="1:6" x14ac:dyDescent="0.3">
      <c r="A102" s="2" t="s">
        <v>72</v>
      </c>
      <c r="B102" s="19" t="str">
        <f>_xlfn.XLOOKUP(A102,CATÁLOGO!$A$2:$A$846,CATÁLOGO!$B$2:$B$846,"FORA DO CATÁLOGO")</f>
        <v>CAM004BM</v>
      </c>
      <c r="C102" s="13">
        <v>3</v>
      </c>
      <c r="D102" s="13" t="str">
        <f>_xlfn.XLOOKUP(A102,CATÁLOGO!$A$2:$A$846,CATÁLOGO!$E$2:$E$846,"FORA DO CATÁLOGO")</f>
        <v>Ativo</v>
      </c>
      <c r="E102" s="2" t="s">
        <v>1401</v>
      </c>
      <c r="F102" s="62">
        <f>SUMIFS('AVARIA ESTIMADA'!$H$18:$H$40,'AVARIA ESTIMADA'!$A$18:$A$40,A102)</f>
        <v>0</v>
      </c>
    </row>
    <row r="103" spans="1:6" x14ac:dyDescent="0.3">
      <c r="A103" s="2" t="s">
        <v>73</v>
      </c>
      <c r="B103" s="19" t="str">
        <f>_xlfn.XLOOKUP(A103,CATÁLOGO!$A$2:$A$846,CATÁLOGO!$B$2:$B$846,"FORA DO CATÁLOGO")</f>
        <v>CAM004BG</v>
      </c>
      <c r="C103" s="13">
        <v>3</v>
      </c>
      <c r="D103" s="13" t="str">
        <f>_xlfn.XLOOKUP(A103,CATÁLOGO!$A$2:$A$846,CATÁLOGO!$E$2:$E$846,"FORA DO CATÁLOGO")</f>
        <v>Ativo</v>
      </c>
      <c r="E103" s="2" t="s">
        <v>1401</v>
      </c>
      <c r="F103" s="62">
        <f>SUMIFS('AVARIA ESTIMADA'!$H$18:$H$40,'AVARIA ESTIMADA'!$A$18:$A$40,A103)</f>
        <v>0</v>
      </c>
    </row>
    <row r="104" spans="1:6" x14ac:dyDescent="0.3">
      <c r="A104" s="2" t="s">
        <v>74</v>
      </c>
      <c r="B104" s="19" t="str">
        <f>_xlfn.XLOOKUP(A104,CATÁLOGO!$A$2:$A$846,CATÁLOGO!$B$2:$B$846,"FORA DO CATÁLOGO")</f>
        <v>CAM004CP</v>
      </c>
      <c r="C104" s="13">
        <v>2</v>
      </c>
      <c r="D104" s="13" t="str">
        <f>_xlfn.XLOOKUP(A104,CATÁLOGO!$A$2:$A$846,CATÁLOGO!$E$2:$E$846,"FORA DO CATÁLOGO")</f>
        <v>Ativo</v>
      </c>
      <c r="E104" s="2" t="s">
        <v>1401</v>
      </c>
      <c r="F104" s="62">
        <f>SUMIFS('AVARIA ESTIMADA'!$H$18:$H$40,'AVARIA ESTIMADA'!$A$18:$A$40,A104)</f>
        <v>0</v>
      </c>
    </row>
    <row r="105" spans="1:6" x14ac:dyDescent="0.3">
      <c r="A105" s="2" t="s">
        <v>75</v>
      </c>
      <c r="B105" s="19" t="str">
        <f>_xlfn.XLOOKUP(A105,CATÁLOGO!$A$2:$A$846,CATÁLOGO!$B$2:$B$846,"FORA DO CATÁLOGO")</f>
        <v>CAM004CM</v>
      </c>
      <c r="C105" s="13">
        <v>3</v>
      </c>
      <c r="D105" s="13" t="str">
        <f>_xlfn.XLOOKUP(A105,CATÁLOGO!$A$2:$A$846,CATÁLOGO!$E$2:$E$846,"FORA DO CATÁLOGO")</f>
        <v>Ativo</v>
      </c>
      <c r="E105" s="2" t="s">
        <v>1401</v>
      </c>
      <c r="F105" s="62">
        <f>SUMIFS('AVARIA ESTIMADA'!$H$18:$H$40,'AVARIA ESTIMADA'!$A$18:$A$40,A105)</f>
        <v>0</v>
      </c>
    </row>
    <row r="106" spans="1:6" x14ac:dyDescent="0.3">
      <c r="A106" s="2" t="s">
        <v>76</v>
      </c>
      <c r="B106" s="19" t="str">
        <f>_xlfn.XLOOKUP(A106,CATÁLOGO!$A$2:$A$846,CATÁLOGO!$B$2:$B$846,"FORA DO CATÁLOGO")</f>
        <v>CAM004CG</v>
      </c>
      <c r="C106" s="13">
        <v>2</v>
      </c>
      <c r="D106" s="13" t="str">
        <f>_xlfn.XLOOKUP(A106,CATÁLOGO!$A$2:$A$846,CATÁLOGO!$E$2:$E$846,"FORA DO CATÁLOGO")</f>
        <v>Ativo</v>
      </c>
      <c r="E106" s="2" t="s">
        <v>1401</v>
      </c>
      <c r="F106" s="62">
        <f>SUMIFS('AVARIA ESTIMADA'!$H$18:$H$40,'AVARIA ESTIMADA'!$A$18:$A$40,A106)</f>
        <v>0</v>
      </c>
    </row>
    <row r="107" spans="1:6" x14ac:dyDescent="0.3">
      <c r="A107" s="2" t="s">
        <v>77</v>
      </c>
      <c r="B107" s="19" t="str">
        <f>_xlfn.XLOOKUP(A107,CATÁLOGO!$A$2:$A$846,CATÁLOGO!$B$2:$B$846,"FORA DO CATÁLOGO")</f>
        <v>CAM004CGG</v>
      </c>
      <c r="C107" s="13">
        <v>1</v>
      </c>
      <c r="D107" s="13" t="str">
        <f>_xlfn.XLOOKUP(A107,CATÁLOGO!$A$2:$A$846,CATÁLOGO!$E$2:$E$846,"FORA DO CATÁLOGO")</f>
        <v>Ativo</v>
      </c>
      <c r="E107" s="2" t="s">
        <v>1401</v>
      </c>
      <c r="F107" s="62">
        <f>SUMIFS('AVARIA ESTIMADA'!$H$18:$H$40,'AVARIA ESTIMADA'!$A$18:$A$40,A107)</f>
        <v>0</v>
      </c>
    </row>
    <row r="108" spans="1:6" x14ac:dyDescent="0.3">
      <c r="A108" s="2" t="s">
        <v>78</v>
      </c>
      <c r="B108" s="19" t="str">
        <f>_xlfn.XLOOKUP(A108,CATÁLOGO!$A$2:$A$846,CATÁLOGO!$B$2:$B$846,"FORA DO CATÁLOGO")</f>
        <v>CAM004PP</v>
      </c>
      <c r="C108" s="13">
        <v>2</v>
      </c>
      <c r="D108" s="13" t="str">
        <f>_xlfn.XLOOKUP(A108,CATÁLOGO!$A$2:$A$846,CATÁLOGO!$E$2:$E$846,"FORA DO CATÁLOGO")</f>
        <v>Ativo</v>
      </c>
      <c r="E108" s="2" t="s">
        <v>1401</v>
      </c>
      <c r="F108" s="62">
        <f>SUMIFS('AVARIA ESTIMADA'!$H$18:$H$40,'AVARIA ESTIMADA'!$A$18:$A$40,A108)</f>
        <v>0</v>
      </c>
    </row>
    <row r="109" spans="1:6" x14ac:dyDescent="0.3">
      <c r="A109" s="2" t="s">
        <v>79</v>
      </c>
      <c r="B109" s="19" t="str">
        <f>_xlfn.XLOOKUP(A109,CATÁLOGO!$A$2:$A$846,CATÁLOGO!$B$2:$B$846,"FORA DO CATÁLOGO")</f>
        <v>CAM004PM</v>
      </c>
      <c r="C109" s="13">
        <v>2</v>
      </c>
      <c r="D109" s="13" t="str">
        <f>_xlfn.XLOOKUP(A109,CATÁLOGO!$A$2:$A$846,CATÁLOGO!$E$2:$E$846,"FORA DO CATÁLOGO")</f>
        <v>Ativo</v>
      </c>
      <c r="E109" s="2" t="s">
        <v>1401</v>
      </c>
      <c r="F109" s="62">
        <f>SUMIFS('AVARIA ESTIMADA'!$H$18:$H$40,'AVARIA ESTIMADA'!$A$18:$A$40,A109)</f>
        <v>2</v>
      </c>
    </row>
    <row r="110" spans="1:6" x14ac:dyDescent="0.3">
      <c r="A110" s="2" t="s">
        <v>80</v>
      </c>
      <c r="B110" s="19" t="str">
        <f>_xlfn.XLOOKUP(A110,CATÁLOGO!$A$2:$A$846,CATÁLOGO!$B$2:$B$846,"FORA DO CATÁLOGO")</f>
        <v>CAM004PG</v>
      </c>
      <c r="C110" s="13">
        <v>2</v>
      </c>
      <c r="D110" s="13" t="str">
        <f>_xlfn.XLOOKUP(A110,CATÁLOGO!$A$2:$A$846,CATÁLOGO!$E$2:$E$846,"FORA DO CATÁLOGO")</f>
        <v>Ativo</v>
      </c>
      <c r="E110" s="2" t="s">
        <v>1401</v>
      </c>
      <c r="F110" s="62">
        <f>SUMIFS('AVARIA ESTIMADA'!$H$18:$H$40,'AVARIA ESTIMADA'!$A$18:$A$40,A110)</f>
        <v>0</v>
      </c>
    </row>
    <row r="111" spans="1:6" x14ac:dyDescent="0.3">
      <c r="A111" s="2" t="s">
        <v>81</v>
      </c>
      <c r="B111" s="19" t="str">
        <f>_xlfn.XLOOKUP(A111,CATÁLOGO!$A$2:$A$846,CATÁLOGO!$B$2:$B$846,"FORA DO CATÁLOGO")</f>
        <v>CAM004PGG</v>
      </c>
      <c r="C111" s="13">
        <v>1</v>
      </c>
      <c r="D111" s="13" t="str">
        <f>_xlfn.XLOOKUP(A111,CATÁLOGO!$A$2:$A$846,CATÁLOGO!$E$2:$E$846,"FORA DO CATÁLOGO")</f>
        <v>Ativo</v>
      </c>
      <c r="E111" s="2" t="s">
        <v>1401</v>
      </c>
      <c r="F111" s="62">
        <f>SUMIFS('AVARIA ESTIMADA'!$H$18:$H$40,'AVARIA ESTIMADA'!$A$18:$A$40,A111)</f>
        <v>0</v>
      </c>
    </row>
    <row r="112" spans="1:6" x14ac:dyDescent="0.3">
      <c r="A112" s="2" t="s">
        <v>82</v>
      </c>
      <c r="B112" s="19" t="str">
        <f>_xlfn.XLOOKUP(A112,CATÁLOGO!$A$2:$A$846,CATÁLOGO!$B$2:$B$846,"FORA DO CATÁLOGO")</f>
        <v>TOP003BP</v>
      </c>
      <c r="C112" s="13">
        <v>6</v>
      </c>
      <c r="D112" s="13" t="str">
        <f>_xlfn.XLOOKUP(A112,CATÁLOGO!$A$2:$A$846,CATÁLOGO!$E$2:$E$846,"FORA DO CATÁLOGO")</f>
        <v>Ativo</v>
      </c>
      <c r="E112" s="2" t="s">
        <v>1401</v>
      </c>
      <c r="F112" s="62">
        <f>SUMIFS('AVARIA ESTIMADA'!$H$18:$H$40,'AVARIA ESTIMADA'!$A$18:$A$40,A112)</f>
        <v>0</v>
      </c>
    </row>
    <row r="113" spans="1:6" x14ac:dyDescent="0.3">
      <c r="A113" s="2" t="s">
        <v>83</v>
      </c>
      <c r="B113" s="19" t="str">
        <f>_xlfn.XLOOKUP(A113,CATÁLOGO!$A$2:$A$846,CATÁLOGO!$B$2:$B$846,"FORA DO CATÁLOGO")</f>
        <v>TOP003BM</v>
      </c>
      <c r="C113" s="13">
        <v>4</v>
      </c>
      <c r="D113" s="13" t="str">
        <f>_xlfn.XLOOKUP(A113,CATÁLOGO!$A$2:$A$846,CATÁLOGO!$E$2:$E$846,"FORA DO CATÁLOGO")</f>
        <v>Ativo</v>
      </c>
      <c r="E113" s="2" t="s">
        <v>1401</v>
      </c>
      <c r="F113" s="62">
        <f>SUMIFS('AVARIA ESTIMADA'!$H$18:$H$40,'AVARIA ESTIMADA'!$A$18:$A$40,A113)</f>
        <v>0</v>
      </c>
    </row>
    <row r="114" spans="1:6" x14ac:dyDescent="0.3">
      <c r="A114" s="2" t="s">
        <v>84</v>
      </c>
      <c r="B114" s="19" t="str">
        <f>_xlfn.XLOOKUP(A114,CATÁLOGO!$A$2:$A$846,CATÁLOGO!$B$2:$B$846,"FORA DO CATÁLOGO")</f>
        <v>TOP003BG</v>
      </c>
      <c r="C114" s="13">
        <v>5</v>
      </c>
      <c r="D114" s="13" t="str">
        <f>_xlfn.XLOOKUP(A114,CATÁLOGO!$A$2:$A$846,CATÁLOGO!$E$2:$E$846,"FORA DO CATÁLOGO")</f>
        <v>Ativo</v>
      </c>
      <c r="E114" s="2" t="s">
        <v>1401</v>
      </c>
      <c r="F114" s="62">
        <f>SUMIFS('AVARIA ESTIMADA'!$H$18:$H$40,'AVARIA ESTIMADA'!$A$18:$A$40,A114)</f>
        <v>0</v>
      </c>
    </row>
    <row r="115" spans="1:6" x14ac:dyDescent="0.3">
      <c r="A115" s="2" t="s">
        <v>85</v>
      </c>
      <c r="B115" s="19" t="str">
        <f>_xlfn.XLOOKUP(A115,CATÁLOGO!$A$2:$A$846,CATÁLOGO!$B$2:$B$846,"FORA DO CATÁLOGO")</f>
        <v>TOP003BGG</v>
      </c>
      <c r="C115" s="13">
        <v>3</v>
      </c>
      <c r="D115" s="13" t="str">
        <f>_xlfn.XLOOKUP(A115,CATÁLOGO!$A$2:$A$846,CATÁLOGO!$E$2:$E$846,"FORA DO CATÁLOGO")</f>
        <v>Ativo</v>
      </c>
      <c r="E115" s="2" t="s">
        <v>1401</v>
      </c>
      <c r="F115" s="62">
        <f>SUMIFS('AVARIA ESTIMADA'!$H$18:$H$40,'AVARIA ESTIMADA'!$A$18:$A$40,A115)</f>
        <v>0</v>
      </c>
    </row>
    <row r="116" spans="1:6" x14ac:dyDescent="0.3">
      <c r="A116" s="2" t="s">
        <v>1767</v>
      </c>
      <c r="B116" s="19" t="str">
        <f>_xlfn.XLOOKUP(A116,CATÁLOGO!$A$2:$A$846,CATÁLOGO!$B$2:$B$846,"FORA DO CATÁLOGO")</f>
        <v>CMS003BPP</v>
      </c>
      <c r="C116" s="13">
        <v>2</v>
      </c>
      <c r="D116" s="13" t="str">
        <f>_xlfn.XLOOKUP(A116,CATÁLOGO!$A$2:$A$846,CATÁLOGO!$E$2:$E$846,"FORA DO CATÁLOGO")</f>
        <v>Ativo</v>
      </c>
      <c r="E116" s="2" t="s">
        <v>1401</v>
      </c>
      <c r="F116" s="62">
        <f>SUMIFS('AVARIA ESTIMADA'!$H$18:$H$40,'AVARIA ESTIMADA'!$A$18:$A$40,A116)</f>
        <v>0</v>
      </c>
    </row>
    <row r="117" spans="1:6" x14ac:dyDescent="0.3">
      <c r="A117" s="2" t="s">
        <v>86</v>
      </c>
      <c r="B117" s="19" t="str">
        <f>_xlfn.XLOOKUP(A117,CATÁLOGO!$A$2:$A$846,CATÁLOGO!$B$2:$B$846,"FORA DO CATÁLOGO")</f>
        <v>CMS003BP</v>
      </c>
      <c r="C117" s="13">
        <v>4</v>
      </c>
      <c r="D117" s="13" t="str">
        <f>_xlfn.XLOOKUP(A117,CATÁLOGO!$A$2:$A$846,CATÁLOGO!$E$2:$E$846,"FORA DO CATÁLOGO")</f>
        <v>Ativo</v>
      </c>
      <c r="E117" s="2" t="s">
        <v>1401</v>
      </c>
      <c r="F117" s="62">
        <f>SUMIFS('AVARIA ESTIMADA'!$H$18:$H$40,'AVARIA ESTIMADA'!$A$18:$A$40,A117)</f>
        <v>0</v>
      </c>
    </row>
    <row r="118" spans="1:6" x14ac:dyDescent="0.3">
      <c r="A118" s="2" t="s">
        <v>87</v>
      </c>
      <c r="B118" s="19" t="str">
        <f>_xlfn.XLOOKUP(A118,CATÁLOGO!$A$2:$A$846,CATÁLOGO!$B$2:$B$846,"FORA DO CATÁLOGO")</f>
        <v>CMS003BM</v>
      </c>
      <c r="C118" s="13">
        <v>4</v>
      </c>
      <c r="D118" s="13" t="str">
        <f>_xlfn.XLOOKUP(A118,CATÁLOGO!$A$2:$A$846,CATÁLOGO!$E$2:$E$846,"FORA DO CATÁLOGO")</f>
        <v>Ativo</v>
      </c>
      <c r="E118" s="2" t="s">
        <v>1401</v>
      </c>
      <c r="F118" s="62">
        <f>SUMIFS('AVARIA ESTIMADA'!$H$18:$H$40,'AVARIA ESTIMADA'!$A$18:$A$40,A118)</f>
        <v>0</v>
      </c>
    </row>
    <row r="119" spans="1:6" x14ac:dyDescent="0.3">
      <c r="A119" s="2" t="s">
        <v>88</v>
      </c>
      <c r="B119" s="19" t="str">
        <f>_xlfn.XLOOKUP(A119,CATÁLOGO!$A$2:$A$846,CATÁLOGO!$B$2:$B$846,"FORA DO CATÁLOGO")</f>
        <v>CMS003BG</v>
      </c>
      <c r="C119" s="13">
        <v>4</v>
      </c>
      <c r="D119" s="13" t="str">
        <f>_xlfn.XLOOKUP(A119,CATÁLOGO!$A$2:$A$846,CATÁLOGO!$E$2:$E$846,"FORA DO CATÁLOGO")</f>
        <v>Ativo</v>
      </c>
      <c r="E119" s="2" t="s">
        <v>1401</v>
      </c>
      <c r="F119" s="62">
        <f>SUMIFS('AVARIA ESTIMADA'!$H$18:$H$40,'AVARIA ESTIMADA'!$A$18:$A$40,A119)</f>
        <v>0</v>
      </c>
    </row>
    <row r="120" spans="1:6" x14ac:dyDescent="0.3">
      <c r="A120" s="2" t="s">
        <v>1829</v>
      </c>
      <c r="B120" s="19" t="str">
        <f>_xlfn.XLOOKUP(A120,CATÁLOGO!$A$2:$A$846,CATÁLOGO!$B$2:$B$846,"FORA DO CATÁLOGO")</f>
        <v>MOL005OPP</v>
      </c>
      <c r="C120" s="13">
        <v>2</v>
      </c>
      <c r="D120" s="13" t="str">
        <f>_xlfn.XLOOKUP(A120,CATÁLOGO!$A$2:$A$846,CATÁLOGO!$E$2:$E$846,"FORA DO CATÁLOGO")</f>
        <v>Ativo</v>
      </c>
      <c r="E120" s="2" t="s">
        <v>1401</v>
      </c>
      <c r="F120" s="62">
        <f>SUMIFS('AVARIA ESTIMADA'!$H$18:$H$40,'AVARIA ESTIMADA'!$A$18:$A$40,A120)</f>
        <v>0</v>
      </c>
    </row>
    <row r="121" spans="1:6" x14ac:dyDescent="0.3">
      <c r="A121" s="2" t="s">
        <v>89</v>
      </c>
      <c r="B121" s="19" t="str">
        <f>_xlfn.XLOOKUP(A121,CATÁLOGO!$A$2:$A$846,CATÁLOGO!$B$2:$B$846,"FORA DO CATÁLOGO")</f>
        <v>MOL005OP</v>
      </c>
      <c r="C121" s="13">
        <v>6</v>
      </c>
      <c r="D121" s="13" t="str">
        <f>_xlfn.XLOOKUP(A121,CATÁLOGO!$A$2:$A$846,CATÁLOGO!$E$2:$E$846,"FORA DO CATÁLOGO")</f>
        <v>Ativo</v>
      </c>
      <c r="E121" s="2" t="s">
        <v>1401</v>
      </c>
      <c r="F121" s="62">
        <f>SUMIFS('AVARIA ESTIMADA'!$H$18:$H$40,'AVARIA ESTIMADA'!$A$18:$A$40,A121)</f>
        <v>0</v>
      </c>
    </row>
    <row r="122" spans="1:6" x14ac:dyDescent="0.3">
      <c r="A122" s="2" t="s">
        <v>90</v>
      </c>
      <c r="B122" s="19" t="str">
        <f>_xlfn.XLOOKUP(A122,CATÁLOGO!$A$2:$A$846,CATÁLOGO!$B$2:$B$846,"FORA DO CATÁLOGO")</f>
        <v>MOL005OM</v>
      </c>
      <c r="C122" s="13">
        <v>4</v>
      </c>
      <c r="D122" s="13" t="str">
        <f>_xlfn.XLOOKUP(A122,CATÁLOGO!$A$2:$A$846,CATÁLOGO!$E$2:$E$846,"FORA DO CATÁLOGO")</f>
        <v>Ativo</v>
      </c>
      <c r="E122" s="2" t="s">
        <v>1401</v>
      </c>
      <c r="F122" s="62">
        <f>SUMIFS('AVARIA ESTIMADA'!$H$18:$H$40,'AVARIA ESTIMADA'!$A$18:$A$40,A122)</f>
        <v>0</v>
      </c>
    </row>
    <row r="123" spans="1:6" x14ac:dyDescent="0.3">
      <c r="A123" s="2" t="s">
        <v>91</v>
      </c>
      <c r="B123" s="19" t="str">
        <f>_xlfn.XLOOKUP(A123,CATÁLOGO!$A$2:$A$846,CATÁLOGO!$B$2:$B$846,"FORA DO CATÁLOGO")</f>
        <v>MOL005OG</v>
      </c>
      <c r="C123" s="13">
        <v>2</v>
      </c>
      <c r="D123" s="13" t="str">
        <f>_xlfn.XLOOKUP(A123,CATÁLOGO!$A$2:$A$846,CATÁLOGO!$E$2:$E$846,"FORA DO CATÁLOGO")</f>
        <v>Ativo</v>
      </c>
      <c r="E123" s="2" t="s">
        <v>1401</v>
      </c>
      <c r="F123" s="62">
        <f>SUMIFS('AVARIA ESTIMADA'!$H$18:$H$40,'AVARIA ESTIMADA'!$A$18:$A$40,A123)</f>
        <v>0</v>
      </c>
    </row>
    <row r="124" spans="1:6" x14ac:dyDescent="0.3">
      <c r="A124" s="2" t="s">
        <v>92</v>
      </c>
      <c r="B124" s="19" t="str">
        <f>_xlfn.XLOOKUP(A124,CATÁLOGO!$A$2:$A$846,CATÁLOGO!$B$2:$B$846,"FORA DO CATÁLOGO")</f>
        <v>MOL005OGG</v>
      </c>
      <c r="C124" s="13">
        <v>4</v>
      </c>
      <c r="D124" s="13" t="str">
        <f>_xlfn.XLOOKUP(A124,CATÁLOGO!$A$2:$A$846,CATÁLOGO!$E$2:$E$846,"FORA DO CATÁLOGO")</f>
        <v>Ativo</v>
      </c>
      <c r="E124" s="2" t="s">
        <v>1401</v>
      </c>
      <c r="F124" s="62">
        <f>SUMIFS('AVARIA ESTIMADA'!$H$18:$H$40,'AVARIA ESTIMADA'!$A$18:$A$40,A124)</f>
        <v>0</v>
      </c>
    </row>
    <row r="125" spans="1:6" x14ac:dyDescent="0.3">
      <c r="A125" s="2" t="s">
        <v>93</v>
      </c>
      <c r="B125" s="19" t="str">
        <f>_xlfn.XLOOKUP(A125,CATÁLOGO!$A$2:$A$846,CATÁLOGO!$B$2:$B$846,"FORA DO CATÁLOGO")</f>
        <v>CAM005OP</v>
      </c>
      <c r="C125" s="13">
        <v>4</v>
      </c>
      <c r="D125" s="13" t="str">
        <f>_xlfn.XLOOKUP(A125,CATÁLOGO!$A$2:$A$846,CATÁLOGO!$E$2:$E$846,"FORA DO CATÁLOGO")</f>
        <v>Ativo</v>
      </c>
      <c r="E125" s="2" t="s">
        <v>1401</v>
      </c>
      <c r="F125" s="62">
        <f>SUMIFS('AVARIA ESTIMADA'!$H$18:$H$40,'AVARIA ESTIMADA'!$A$18:$A$40,A125)</f>
        <v>0</v>
      </c>
    </row>
    <row r="126" spans="1:6" x14ac:dyDescent="0.3">
      <c r="A126" s="2" t="s">
        <v>94</v>
      </c>
      <c r="B126" s="19" t="str">
        <f>_xlfn.XLOOKUP(A126,CATÁLOGO!$A$2:$A$846,CATÁLOGO!$B$2:$B$846,"FORA DO CATÁLOGO")</f>
        <v>CAM005OM</v>
      </c>
      <c r="C126" s="13">
        <v>6</v>
      </c>
      <c r="D126" s="13" t="str">
        <f>_xlfn.XLOOKUP(A126,CATÁLOGO!$A$2:$A$846,CATÁLOGO!$E$2:$E$846,"FORA DO CATÁLOGO")</f>
        <v>Ativo</v>
      </c>
      <c r="E126" s="2" t="s">
        <v>1401</v>
      </c>
      <c r="F126" s="62">
        <f>SUMIFS('AVARIA ESTIMADA'!$H$18:$H$40,'AVARIA ESTIMADA'!$A$18:$A$40,A126)</f>
        <v>0</v>
      </c>
    </row>
    <row r="127" spans="1:6" x14ac:dyDescent="0.3">
      <c r="A127" s="2" t="s">
        <v>95</v>
      </c>
      <c r="B127" s="19" t="str">
        <f>_xlfn.XLOOKUP(A127,CATÁLOGO!$A$2:$A$846,CATÁLOGO!$B$2:$B$846,"FORA DO CATÁLOGO")</f>
        <v>CAM005OG</v>
      </c>
      <c r="C127" s="13">
        <v>4</v>
      </c>
      <c r="D127" s="13" t="str">
        <f>_xlfn.XLOOKUP(A127,CATÁLOGO!$A$2:$A$846,CATÁLOGO!$E$2:$E$846,"FORA DO CATÁLOGO")</f>
        <v>Ativo</v>
      </c>
      <c r="E127" s="2" t="s">
        <v>1401</v>
      </c>
      <c r="F127" s="62">
        <f>SUMIFS('AVARIA ESTIMADA'!$H$18:$H$40,'AVARIA ESTIMADA'!$A$18:$A$40,A127)</f>
        <v>0</v>
      </c>
    </row>
    <row r="128" spans="1:6" x14ac:dyDescent="0.3">
      <c r="A128" s="2" t="s">
        <v>96</v>
      </c>
      <c r="B128" s="19" t="str">
        <f>_xlfn.XLOOKUP(A128,CATÁLOGO!$A$2:$A$846,CATÁLOGO!$B$2:$B$846,"FORA DO CATÁLOGO")</f>
        <v>CAM005OGG</v>
      </c>
      <c r="C128" s="13">
        <v>3</v>
      </c>
      <c r="D128" s="13" t="str">
        <f>_xlfn.XLOOKUP(A128,CATÁLOGO!$A$2:$A$846,CATÁLOGO!$E$2:$E$846,"FORA DO CATÁLOGO")</f>
        <v>Ativo</v>
      </c>
      <c r="E128" s="2" t="s">
        <v>1401</v>
      </c>
      <c r="F128" s="62">
        <f>SUMIFS('AVARIA ESTIMADA'!$H$18:$H$40,'AVARIA ESTIMADA'!$A$18:$A$40,A128)</f>
        <v>0</v>
      </c>
    </row>
    <row r="129" spans="1:6" x14ac:dyDescent="0.3">
      <c r="A129" s="2" t="s">
        <v>1566</v>
      </c>
      <c r="B129" s="19" t="str">
        <f>_xlfn.XLOOKUP(A129,CATÁLOGO!$A$2:$A$846,CATÁLOGO!$B$2:$B$846,"FORA DO CATÁLOGO")</f>
        <v>CAL008B38</v>
      </c>
      <c r="C129" s="13">
        <v>3</v>
      </c>
      <c r="D129" s="13" t="str">
        <f>_xlfn.XLOOKUP(A129,CATÁLOGO!$A$2:$A$846,CATÁLOGO!$E$2:$E$846,"FORA DO CATÁLOGO")</f>
        <v>Ativo</v>
      </c>
      <c r="E129" s="2" t="s">
        <v>1401</v>
      </c>
      <c r="F129" s="62">
        <f>SUMIFS('AVARIA ESTIMADA'!$H$18:$H$40,'AVARIA ESTIMADA'!$A$18:$A$40,A129)</f>
        <v>0</v>
      </c>
    </row>
    <row r="130" spans="1:6" x14ac:dyDescent="0.3">
      <c r="A130" s="2" t="s">
        <v>1565</v>
      </c>
      <c r="B130" s="19" t="str">
        <f>_xlfn.XLOOKUP(A130,CATÁLOGO!$A$2:$A$846,CATÁLOGO!$B$2:$B$846,"FORA DO CATÁLOGO")</f>
        <v>CAL008B40</v>
      </c>
      <c r="C130" s="13">
        <v>3</v>
      </c>
      <c r="D130" s="13" t="str">
        <f>_xlfn.XLOOKUP(A130,CATÁLOGO!$A$2:$A$846,CATÁLOGO!$E$2:$E$846,"FORA DO CATÁLOGO")</f>
        <v>Ativo</v>
      </c>
      <c r="E130" s="2" t="s">
        <v>1401</v>
      </c>
      <c r="F130" s="62">
        <f>SUMIFS('AVARIA ESTIMADA'!$H$18:$H$40,'AVARIA ESTIMADA'!$A$18:$A$40,A130)</f>
        <v>0</v>
      </c>
    </row>
    <row r="131" spans="1:6" x14ac:dyDescent="0.3">
      <c r="A131" s="2" t="s">
        <v>1563</v>
      </c>
      <c r="B131" s="19" t="str">
        <f>_xlfn.XLOOKUP(A131,CATÁLOGO!$A$2:$A$846,CATÁLOGO!$B$2:$B$846,"FORA DO CATÁLOGO")</f>
        <v>CAL008B42</v>
      </c>
      <c r="C131" s="13">
        <v>2</v>
      </c>
      <c r="D131" s="13" t="str">
        <f>_xlfn.XLOOKUP(A131,CATÁLOGO!$A$2:$A$846,CATÁLOGO!$E$2:$E$846,"FORA DO CATÁLOGO")</f>
        <v>Ativo</v>
      </c>
      <c r="E131" s="2" t="s">
        <v>1401</v>
      </c>
      <c r="F131" s="62">
        <f>SUMIFS('AVARIA ESTIMADA'!$H$18:$H$40,'AVARIA ESTIMADA'!$A$18:$A$40,A131)</f>
        <v>0</v>
      </c>
    </row>
    <row r="132" spans="1:6" x14ac:dyDescent="0.3">
      <c r="A132" s="2" t="s">
        <v>1562</v>
      </c>
      <c r="B132" s="19" t="str">
        <f>_xlfn.XLOOKUP(A132,CATÁLOGO!$A$2:$A$846,CATÁLOGO!$B$2:$B$846,"FORA DO CATÁLOGO")</f>
        <v>CAL008A38</v>
      </c>
      <c r="C132" s="13">
        <v>2</v>
      </c>
      <c r="D132" s="13" t="str">
        <f>_xlfn.XLOOKUP(A132,CATÁLOGO!$A$2:$A$846,CATÁLOGO!$E$2:$E$846,"FORA DO CATÁLOGO")</f>
        <v>Ativo</v>
      </c>
      <c r="E132" s="2" t="s">
        <v>1401</v>
      </c>
      <c r="F132" s="62">
        <f>SUMIFS('AVARIA ESTIMADA'!$H$18:$H$40,'AVARIA ESTIMADA'!$A$18:$A$40,A132)</f>
        <v>0</v>
      </c>
    </row>
    <row r="133" spans="1:6" x14ac:dyDescent="0.3">
      <c r="A133" s="2" t="s">
        <v>1561</v>
      </c>
      <c r="B133" s="19" t="str">
        <f>_xlfn.XLOOKUP(A133,CATÁLOGO!$A$2:$A$846,CATÁLOGO!$B$2:$B$846,"FORA DO CATÁLOGO")</f>
        <v>CAL008A40</v>
      </c>
      <c r="C133" s="13">
        <v>2</v>
      </c>
      <c r="D133" s="13" t="str">
        <f>_xlfn.XLOOKUP(A133,CATÁLOGO!$A$2:$A$846,CATÁLOGO!$E$2:$E$846,"FORA DO CATÁLOGO")</f>
        <v>Ativo</v>
      </c>
      <c r="E133" s="2" t="s">
        <v>1401</v>
      </c>
      <c r="F133" s="62">
        <f>SUMIFS('AVARIA ESTIMADA'!$H$18:$H$40,'AVARIA ESTIMADA'!$A$18:$A$40,A133)</f>
        <v>0</v>
      </c>
    </row>
    <row r="134" spans="1:6" x14ac:dyDescent="0.3">
      <c r="A134" s="2" t="s">
        <v>1558</v>
      </c>
      <c r="B134" s="19" t="str">
        <f>_xlfn.XLOOKUP(A134,CATÁLOGO!$A$2:$A$846,CATÁLOGO!$B$2:$B$846,"FORA DO CATÁLOGO")</f>
        <v>CAL008A42</v>
      </c>
      <c r="C134" s="13">
        <v>1</v>
      </c>
      <c r="D134" s="13" t="str">
        <f>_xlfn.XLOOKUP(A134,CATÁLOGO!$A$2:$A$846,CATÁLOGO!$E$2:$E$846,"FORA DO CATÁLOGO")</f>
        <v>Ativo</v>
      </c>
      <c r="E134" s="2" t="s">
        <v>1401</v>
      </c>
      <c r="F134" s="62">
        <f>SUMIFS('AVARIA ESTIMADA'!$H$18:$H$40,'AVARIA ESTIMADA'!$A$18:$A$40,A134)</f>
        <v>0</v>
      </c>
    </row>
    <row r="135" spans="1:6" x14ac:dyDescent="0.3">
      <c r="A135" s="2" t="s">
        <v>1560</v>
      </c>
      <c r="B135" s="19" t="str">
        <f>_xlfn.XLOOKUP(A135,CATÁLOGO!$A$2:$A$846,CATÁLOGO!$B$2:$B$846,"FORA DO CATÁLOGO")</f>
        <v>CAL008A44</v>
      </c>
      <c r="C135" s="13">
        <v>1</v>
      </c>
      <c r="D135" s="13" t="str">
        <f>_xlfn.XLOOKUP(A135,CATÁLOGO!$A$2:$A$846,CATÁLOGO!$E$2:$E$846,"FORA DO CATÁLOGO")</f>
        <v>Ativo</v>
      </c>
      <c r="E135" s="2" t="s">
        <v>1401</v>
      </c>
      <c r="F135" s="62">
        <f>SUMIFS('AVARIA ESTIMADA'!$H$18:$H$40,'AVARIA ESTIMADA'!$A$18:$A$40,A135)</f>
        <v>0</v>
      </c>
    </row>
    <row r="136" spans="1:6" x14ac:dyDescent="0.3">
      <c r="A136" s="2" t="s">
        <v>1570</v>
      </c>
      <c r="B136" s="19" t="str">
        <f>_xlfn.XLOOKUP(A136,CATÁLOGO!$A$2:$A$846,CATÁLOGO!$B$2:$B$846,"FORA DO CATÁLOGO")</f>
        <v>CAL008O38</v>
      </c>
      <c r="C136" s="13">
        <v>2</v>
      </c>
      <c r="D136" s="13" t="str">
        <f>_xlfn.XLOOKUP(A136,CATÁLOGO!$A$2:$A$846,CATÁLOGO!$E$2:$E$846,"FORA DO CATÁLOGO")</f>
        <v>Ativo</v>
      </c>
      <c r="E136" s="2" t="s">
        <v>1401</v>
      </c>
      <c r="F136" s="62">
        <f>SUMIFS('AVARIA ESTIMADA'!$H$18:$H$40,'AVARIA ESTIMADA'!$A$18:$A$40,A136)</f>
        <v>0</v>
      </c>
    </row>
    <row r="137" spans="1:6" x14ac:dyDescent="0.3">
      <c r="A137" s="2" t="s">
        <v>1569</v>
      </c>
      <c r="B137" s="19" t="str">
        <f>_xlfn.XLOOKUP(A137,CATÁLOGO!$A$2:$A$846,CATÁLOGO!$B$2:$B$846,"FORA DO CATÁLOGO")</f>
        <v>CAL008O40</v>
      </c>
      <c r="C137" s="13">
        <v>2</v>
      </c>
      <c r="D137" s="13" t="str">
        <f>_xlfn.XLOOKUP(A137,CATÁLOGO!$A$2:$A$846,CATÁLOGO!$E$2:$E$846,"FORA DO CATÁLOGO")</f>
        <v>Ativo</v>
      </c>
      <c r="E137" s="2" t="s">
        <v>1401</v>
      </c>
      <c r="F137" s="62">
        <f>SUMIFS('AVARIA ESTIMADA'!$H$18:$H$40,'AVARIA ESTIMADA'!$A$18:$A$40,A137)</f>
        <v>0</v>
      </c>
    </row>
    <row r="138" spans="1:6" x14ac:dyDescent="0.3">
      <c r="A138" s="2" t="s">
        <v>1567</v>
      </c>
      <c r="B138" s="19" t="str">
        <f>_xlfn.XLOOKUP(A138,CATÁLOGO!$A$2:$A$846,CATÁLOGO!$B$2:$B$846,"FORA DO CATÁLOGO")</f>
        <v>CAL008O42</v>
      </c>
      <c r="C138" s="13">
        <v>1</v>
      </c>
      <c r="D138" s="13" t="str">
        <f>_xlfn.XLOOKUP(A138,CATÁLOGO!$A$2:$A$846,CATÁLOGO!$E$2:$E$846,"FORA DO CATÁLOGO")</f>
        <v>Ativo</v>
      </c>
      <c r="E138" s="2" t="s">
        <v>1401</v>
      </c>
      <c r="F138" s="62">
        <f>SUMIFS('AVARIA ESTIMADA'!$H$18:$H$40,'AVARIA ESTIMADA'!$A$18:$A$40,A138)</f>
        <v>0</v>
      </c>
    </row>
    <row r="139" spans="1:6" x14ac:dyDescent="0.3">
      <c r="A139" s="2" t="s">
        <v>1568</v>
      </c>
      <c r="B139" s="19" t="str">
        <f>_xlfn.XLOOKUP(A139,CATÁLOGO!$A$2:$A$846,CATÁLOGO!$B$2:$B$846,"FORA DO CATÁLOGO")</f>
        <v>CAL008O44</v>
      </c>
      <c r="C139" s="13">
        <v>1</v>
      </c>
      <c r="D139" s="13" t="str">
        <f>_xlfn.XLOOKUP(A139,CATÁLOGO!$A$2:$A$846,CATÁLOGO!$E$2:$E$846,"FORA DO CATÁLOGO")</f>
        <v>Ativo</v>
      </c>
      <c r="E139" s="2" t="s">
        <v>1401</v>
      </c>
      <c r="F139" s="62">
        <f>SUMIFS('AVARIA ESTIMADA'!$H$18:$H$40,'AVARIA ESTIMADA'!$A$18:$A$40,A139)</f>
        <v>0</v>
      </c>
    </row>
    <row r="140" spans="1:6" x14ac:dyDescent="0.3">
      <c r="A140" s="2" t="s">
        <v>1576</v>
      </c>
      <c r="B140" s="19" t="str">
        <f>_xlfn.XLOOKUP(A140,CATÁLOGO!$A$2:$A$846,CATÁLOGO!$B$2:$B$846,"FORA DO CATÁLOGO")</f>
        <v>CAL009O36</v>
      </c>
      <c r="C140" s="13">
        <v>3</v>
      </c>
      <c r="D140" s="13" t="str">
        <f>_xlfn.XLOOKUP(A140,CATÁLOGO!$A$2:$A$846,CATÁLOGO!$E$2:$E$846,"FORA DO CATÁLOGO")</f>
        <v>Ativo</v>
      </c>
      <c r="E140" s="2" t="s">
        <v>1401</v>
      </c>
      <c r="F140" s="62">
        <f>SUMIFS('AVARIA ESTIMADA'!$H$18:$H$40,'AVARIA ESTIMADA'!$A$18:$A$40,A140)</f>
        <v>0</v>
      </c>
    </row>
    <row r="141" spans="1:6" x14ac:dyDescent="0.3">
      <c r="A141" s="2" t="s">
        <v>1575</v>
      </c>
      <c r="B141" s="19" t="str">
        <f>_xlfn.XLOOKUP(A141,CATÁLOGO!$A$2:$A$846,CATÁLOGO!$B$2:$B$846,"FORA DO CATÁLOGO")</f>
        <v>CAL009O38</v>
      </c>
      <c r="C141" s="13">
        <v>5</v>
      </c>
      <c r="D141" s="13" t="str">
        <f>_xlfn.XLOOKUP(A141,CATÁLOGO!$A$2:$A$846,CATÁLOGO!$E$2:$E$846,"FORA DO CATÁLOGO")</f>
        <v>Ativo</v>
      </c>
      <c r="E141" s="2" t="s">
        <v>1401</v>
      </c>
      <c r="F141" s="62">
        <f>SUMIFS('AVARIA ESTIMADA'!$H$18:$H$40,'AVARIA ESTIMADA'!$A$18:$A$40,A141)</f>
        <v>0</v>
      </c>
    </row>
    <row r="142" spans="1:6" x14ac:dyDescent="0.3">
      <c r="A142" s="2" t="s">
        <v>1574</v>
      </c>
      <c r="B142" s="19" t="str">
        <f>_xlfn.XLOOKUP(A142,CATÁLOGO!$A$2:$A$846,CATÁLOGO!$B$2:$B$846,"FORA DO CATÁLOGO")</f>
        <v>CAL009O40</v>
      </c>
      <c r="C142" s="13">
        <v>5</v>
      </c>
      <c r="D142" s="13" t="str">
        <f>_xlfn.XLOOKUP(A142,CATÁLOGO!$A$2:$A$846,CATÁLOGO!$E$2:$E$846,"FORA DO CATÁLOGO")</f>
        <v>Ativo</v>
      </c>
      <c r="E142" s="2" t="s">
        <v>1401</v>
      </c>
      <c r="F142" s="62">
        <f>SUMIFS('AVARIA ESTIMADA'!$H$18:$H$40,'AVARIA ESTIMADA'!$A$18:$A$40,A142)</f>
        <v>0</v>
      </c>
    </row>
    <row r="143" spans="1:6" x14ac:dyDescent="0.3">
      <c r="A143" s="2" t="s">
        <v>1571</v>
      </c>
      <c r="B143" s="19" t="str">
        <f>_xlfn.XLOOKUP(A143,CATÁLOGO!$A$2:$A$846,CATÁLOGO!$B$2:$B$846,"FORA DO CATÁLOGO")</f>
        <v>CAL009O42</v>
      </c>
      <c r="C143" s="13">
        <v>5</v>
      </c>
      <c r="D143" s="13" t="str">
        <f>_xlfn.XLOOKUP(A143,CATÁLOGO!$A$2:$A$846,CATÁLOGO!$E$2:$E$846,"FORA DO CATÁLOGO")</f>
        <v>Ativo</v>
      </c>
      <c r="E143" s="2" t="s">
        <v>1401</v>
      </c>
      <c r="F143" s="62">
        <f>SUMIFS('AVARIA ESTIMADA'!$H$18:$H$40,'AVARIA ESTIMADA'!$A$18:$A$40,A143)</f>
        <v>0</v>
      </c>
    </row>
    <row r="144" spans="1:6" x14ac:dyDescent="0.3">
      <c r="A144" s="2" t="s">
        <v>1573</v>
      </c>
      <c r="B144" s="19" t="str">
        <f>_xlfn.XLOOKUP(A144,CATÁLOGO!$A$2:$A$846,CATÁLOGO!$B$2:$B$846,"FORA DO CATÁLOGO")</f>
        <v>CAL009O44</v>
      </c>
      <c r="C144" s="13">
        <v>3</v>
      </c>
      <c r="D144" s="13" t="str">
        <f>_xlfn.XLOOKUP(A144,CATÁLOGO!$A$2:$A$846,CATÁLOGO!$E$2:$E$846,"FORA DO CATÁLOGO")</f>
        <v>Ativo</v>
      </c>
      <c r="E144" s="2" t="s">
        <v>1401</v>
      </c>
      <c r="F144" s="62">
        <f>SUMIFS('AVARIA ESTIMADA'!$H$18:$H$40,'AVARIA ESTIMADA'!$A$18:$A$40,A144)</f>
        <v>0</v>
      </c>
    </row>
    <row r="145" spans="1:6" x14ac:dyDescent="0.3">
      <c r="A145" s="2" t="s">
        <v>1468</v>
      </c>
      <c r="B145" s="19" t="str">
        <f>_xlfn.XLOOKUP(A145,CATÁLOGO!$A$2:$A$846,CATÁLOGO!$B$2:$B$846,"FORA DO CATÁLOGO")</f>
        <v>BER004E36</v>
      </c>
      <c r="C145" s="13">
        <v>2</v>
      </c>
      <c r="D145" s="13" t="str">
        <f>_xlfn.XLOOKUP(A145,CATÁLOGO!$A$2:$A$846,CATÁLOGO!$E$2:$E$846,"FORA DO CATÁLOGO")</f>
        <v>Ativo</v>
      </c>
      <c r="E145" s="2" t="s">
        <v>1401</v>
      </c>
      <c r="F145" s="62">
        <f>SUMIFS('AVARIA ESTIMADA'!$H$18:$H$40,'AVARIA ESTIMADA'!$A$18:$A$40,A145)</f>
        <v>0</v>
      </c>
    </row>
    <row r="146" spans="1:6" x14ac:dyDescent="0.3">
      <c r="A146" s="2" t="s">
        <v>1467</v>
      </c>
      <c r="B146" s="19" t="str">
        <f>_xlfn.XLOOKUP(A146,CATÁLOGO!$A$2:$A$846,CATÁLOGO!$B$2:$B$846,"FORA DO CATÁLOGO")</f>
        <v>BER004E38</v>
      </c>
      <c r="C146" s="13">
        <v>5</v>
      </c>
      <c r="D146" s="13" t="str">
        <f>_xlfn.XLOOKUP(A146,CATÁLOGO!$A$2:$A$846,CATÁLOGO!$E$2:$E$846,"FORA DO CATÁLOGO")</f>
        <v>Ativo</v>
      </c>
      <c r="E146" s="2" t="s">
        <v>1401</v>
      </c>
      <c r="F146" s="62">
        <f>SUMIFS('AVARIA ESTIMADA'!$H$18:$H$40,'AVARIA ESTIMADA'!$A$18:$A$40,A146)</f>
        <v>0</v>
      </c>
    </row>
    <row r="147" spans="1:6" x14ac:dyDescent="0.3">
      <c r="A147" s="2" t="s">
        <v>1466</v>
      </c>
      <c r="B147" s="19" t="str">
        <f>_xlfn.XLOOKUP(A147,CATÁLOGO!$A$2:$A$846,CATÁLOGO!$B$2:$B$846,"FORA DO CATÁLOGO")</f>
        <v>BER004E40</v>
      </c>
      <c r="C147" s="13">
        <v>4</v>
      </c>
      <c r="D147" s="13" t="str">
        <f>_xlfn.XLOOKUP(A147,CATÁLOGO!$A$2:$A$846,CATÁLOGO!$E$2:$E$846,"FORA DO CATÁLOGO")</f>
        <v>Ativo</v>
      </c>
      <c r="E147" s="2" t="s">
        <v>1401</v>
      </c>
      <c r="F147" s="62">
        <f>SUMIFS('AVARIA ESTIMADA'!$H$18:$H$40,'AVARIA ESTIMADA'!$A$18:$A$40,A147)</f>
        <v>0</v>
      </c>
    </row>
    <row r="148" spans="1:6" x14ac:dyDescent="0.3">
      <c r="A148" s="2" t="s">
        <v>1463</v>
      </c>
      <c r="B148" s="19" t="str">
        <f>_xlfn.XLOOKUP(A148,CATÁLOGO!$A$2:$A$846,CATÁLOGO!$B$2:$B$846,"FORA DO CATÁLOGO")</f>
        <v>BER004E42</v>
      </c>
      <c r="C148" s="13">
        <v>4</v>
      </c>
      <c r="D148" s="13" t="str">
        <f>_xlfn.XLOOKUP(A148,CATÁLOGO!$A$2:$A$846,CATÁLOGO!$E$2:$E$846,"FORA DO CATÁLOGO")</f>
        <v>Ativo</v>
      </c>
      <c r="E148" s="2" t="s">
        <v>1401</v>
      </c>
      <c r="F148" s="62">
        <f>SUMIFS('AVARIA ESTIMADA'!$H$18:$H$40,'AVARIA ESTIMADA'!$A$18:$A$40,A148)</f>
        <v>0</v>
      </c>
    </row>
    <row r="149" spans="1:6" x14ac:dyDescent="0.3">
      <c r="A149" s="2" t="s">
        <v>1465</v>
      </c>
      <c r="B149" s="19" t="str">
        <f>_xlfn.XLOOKUP(A149,CATÁLOGO!$A$2:$A$846,CATÁLOGO!$B$2:$B$846,"FORA DO CATÁLOGO")</f>
        <v>BER004E44</v>
      </c>
      <c r="C149" s="13">
        <v>2</v>
      </c>
      <c r="D149" s="13" t="str">
        <f>_xlfn.XLOOKUP(A149,CATÁLOGO!$A$2:$A$846,CATÁLOGO!$E$2:$E$846,"FORA DO CATÁLOGO")</f>
        <v>Ativo</v>
      </c>
      <c r="E149" s="2" t="s">
        <v>1401</v>
      </c>
      <c r="F149" s="62">
        <f>SUMIFS('AVARIA ESTIMADA'!$H$18:$H$40,'AVARIA ESTIMADA'!$A$18:$A$40,A149)</f>
        <v>0</v>
      </c>
    </row>
    <row r="150" spans="1:6" x14ac:dyDescent="0.3">
      <c r="A150" s="2" t="s">
        <v>97</v>
      </c>
      <c r="B150" s="19" t="str">
        <f>_xlfn.XLOOKUP(A150,CATÁLOGO!$A$2:$A$846,CATÁLOGO!$B$2:$B$846,"FORA DO CATÁLOGO")</f>
        <v>CMS004AP</v>
      </c>
      <c r="C150" s="13">
        <v>2</v>
      </c>
      <c r="D150" s="13" t="str">
        <f>_xlfn.XLOOKUP(A150,CATÁLOGO!$A$2:$A$846,CATÁLOGO!$E$2:$E$846,"FORA DO CATÁLOGO")</f>
        <v>Descontinuado</v>
      </c>
      <c r="E150" s="2" t="s">
        <v>1401</v>
      </c>
      <c r="F150" s="62">
        <f>SUMIFS('AVARIA ESTIMADA'!$H$18:$H$40,'AVARIA ESTIMADA'!$A$18:$A$40,A150)</f>
        <v>0</v>
      </c>
    </row>
    <row r="151" spans="1:6" x14ac:dyDescent="0.3">
      <c r="A151" s="2" t="s">
        <v>98</v>
      </c>
      <c r="B151" s="19" t="str">
        <f>_xlfn.XLOOKUP(A151,CATÁLOGO!$A$2:$A$846,CATÁLOGO!$B$2:$B$846,"FORA DO CATÁLOGO")</f>
        <v>CMS004AM</v>
      </c>
      <c r="C151" s="13">
        <v>4</v>
      </c>
      <c r="D151" s="13" t="str">
        <f>_xlfn.XLOOKUP(A151,CATÁLOGO!$A$2:$A$846,CATÁLOGO!$E$2:$E$846,"FORA DO CATÁLOGO")</f>
        <v>Descontinuado</v>
      </c>
      <c r="E151" s="2" t="s">
        <v>1401</v>
      </c>
      <c r="F151" s="62">
        <f>SUMIFS('AVARIA ESTIMADA'!$H$18:$H$40,'AVARIA ESTIMADA'!$A$18:$A$40,A151)</f>
        <v>0</v>
      </c>
    </row>
    <row r="152" spans="1:6" x14ac:dyDescent="0.3">
      <c r="A152" s="2" t="s">
        <v>99</v>
      </c>
      <c r="B152" s="19" t="str">
        <f>_xlfn.XLOOKUP(A152,CATÁLOGO!$A$2:$A$846,CATÁLOGO!$B$2:$B$846,"FORA DO CATÁLOGO")</f>
        <v>CMS004AG</v>
      </c>
      <c r="C152" s="13">
        <v>1</v>
      </c>
      <c r="D152" s="13" t="str">
        <f>_xlfn.XLOOKUP(A152,CATÁLOGO!$A$2:$A$846,CATÁLOGO!$E$2:$E$846,"FORA DO CATÁLOGO")</f>
        <v>Descontinuado</v>
      </c>
      <c r="E152" s="2" t="s">
        <v>1401</v>
      </c>
      <c r="F152" s="62">
        <f>SUMIFS('AVARIA ESTIMADA'!$H$18:$H$40,'AVARIA ESTIMADA'!$A$18:$A$40,A152)</f>
        <v>0</v>
      </c>
    </row>
    <row r="153" spans="1:6" x14ac:dyDescent="0.3">
      <c r="A153" s="2" t="s">
        <v>100</v>
      </c>
      <c r="B153" s="19" t="str">
        <f>_xlfn.XLOOKUP(A153,CATÁLOGO!$A$2:$A$846,CATÁLOGO!$B$2:$B$846,"FORA DO CATÁLOGO")</f>
        <v>CMS004AGG</v>
      </c>
      <c r="C153" s="13">
        <v>1</v>
      </c>
      <c r="D153" s="13" t="str">
        <f>_xlfn.XLOOKUP(A153,CATÁLOGO!$A$2:$A$846,CATÁLOGO!$E$2:$E$846,"FORA DO CATÁLOGO")</f>
        <v>Descontinuado</v>
      </c>
      <c r="E153" s="2" t="s">
        <v>1401</v>
      </c>
      <c r="F153" s="62">
        <f>SUMIFS('AVARIA ESTIMADA'!$H$18:$H$40,'AVARIA ESTIMADA'!$A$18:$A$40,A153)</f>
        <v>0</v>
      </c>
    </row>
    <row r="154" spans="1:6" x14ac:dyDescent="0.3">
      <c r="A154" s="2" t="s">
        <v>101</v>
      </c>
      <c r="B154" s="19" t="str">
        <f>_xlfn.XLOOKUP(A154,CATÁLOGO!$A$2:$A$846,CATÁLOGO!$B$2:$B$846,"FORA DO CATÁLOGO")</f>
        <v>CMS005BP</v>
      </c>
      <c r="C154" s="13">
        <v>5</v>
      </c>
      <c r="D154" s="13" t="str">
        <f>_xlfn.XLOOKUP(A154,CATÁLOGO!$A$2:$A$846,CATÁLOGO!$E$2:$E$846,"FORA DO CATÁLOGO")</f>
        <v>Descontinuado</v>
      </c>
      <c r="E154" s="2" t="s">
        <v>1401</v>
      </c>
      <c r="F154" s="62">
        <f>SUMIFS('AVARIA ESTIMADA'!$H$18:$H$40,'AVARIA ESTIMADA'!$A$18:$A$40,A154)</f>
        <v>0</v>
      </c>
    </row>
    <row r="155" spans="1:6" x14ac:dyDescent="0.3">
      <c r="A155" s="2" t="s">
        <v>102</v>
      </c>
      <c r="B155" s="19" t="str">
        <f>_xlfn.XLOOKUP(A155,CATÁLOGO!$A$2:$A$846,CATÁLOGO!$B$2:$B$846,"FORA DO CATÁLOGO")</f>
        <v>CMS005BGG</v>
      </c>
      <c r="C155" s="13">
        <v>5</v>
      </c>
      <c r="D155" s="13" t="str">
        <f>_xlfn.XLOOKUP(A155,CATÁLOGO!$A$2:$A$846,CATÁLOGO!$E$2:$E$846,"FORA DO CATÁLOGO")</f>
        <v>Descontinuado</v>
      </c>
      <c r="E155" s="2" t="s">
        <v>1401</v>
      </c>
      <c r="F155" s="62">
        <f>SUMIFS('AVARIA ESTIMADA'!$H$18:$H$40,'AVARIA ESTIMADA'!$A$18:$A$40,A155)</f>
        <v>0</v>
      </c>
    </row>
    <row r="156" spans="1:6" x14ac:dyDescent="0.3">
      <c r="A156" s="2" t="s">
        <v>1582</v>
      </c>
      <c r="B156" s="19" t="str">
        <f>_xlfn.XLOOKUP(A156,CATÁLOGO!$A$2:$A$846,CATÁLOGO!$B$2:$B$846,"FORA DO CATÁLOGO")</f>
        <v>CAL010M38</v>
      </c>
      <c r="C156" s="13">
        <v>5</v>
      </c>
      <c r="D156" s="13" t="str">
        <f>_xlfn.XLOOKUP(A156,CATÁLOGO!$A$2:$A$846,CATÁLOGO!$E$2:$E$846,"FORA DO CATÁLOGO")</f>
        <v>Ativo</v>
      </c>
      <c r="E156" s="2" t="s">
        <v>1401</v>
      </c>
      <c r="F156" s="62">
        <f>SUMIFS('AVARIA ESTIMADA'!$H$18:$H$40,'AVARIA ESTIMADA'!$A$18:$A$40,A156)</f>
        <v>0</v>
      </c>
    </row>
    <row r="157" spans="1:6" x14ac:dyDescent="0.3">
      <c r="A157" s="2" t="s">
        <v>1580</v>
      </c>
      <c r="B157" s="19" t="str">
        <f>_xlfn.XLOOKUP(A157,CATÁLOGO!$A$2:$A$846,CATÁLOGO!$B$2:$B$846,"FORA DO CATÁLOGO")</f>
        <v>CAL010M40</v>
      </c>
      <c r="C157" s="13">
        <v>5</v>
      </c>
      <c r="D157" s="13" t="str">
        <f>_xlfn.XLOOKUP(A157,CATÁLOGO!$A$2:$A$846,CATÁLOGO!$E$2:$E$846,"FORA DO CATÁLOGO")</f>
        <v>Ativo</v>
      </c>
      <c r="E157" s="2" t="s">
        <v>1401</v>
      </c>
      <c r="F157" s="62">
        <f>SUMIFS('AVARIA ESTIMADA'!$H$18:$H$40,'AVARIA ESTIMADA'!$A$18:$A$40,A157)</f>
        <v>0</v>
      </c>
    </row>
    <row r="158" spans="1:6" x14ac:dyDescent="0.3">
      <c r="A158" s="2" t="s">
        <v>1577</v>
      </c>
      <c r="B158" s="19" t="str">
        <f>_xlfn.XLOOKUP(A158,CATÁLOGO!$A$2:$A$846,CATÁLOGO!$B$2:$B$846,"FORA DO CATÁLOGO")</f>
        <v>CAL010M42</v>
      </c>
      <c r="C158" s="13">
        <v>4</v>
      </c>
      <c r="D158" s="13" t="str">
        <f>_xlfn.XLOOKUP(A158,CATÁLOGO!$A$2:$A$846,CATÁLOGO!$E$2:$E$846,"FORA DO CATÁLOGO")</f>
        <v>Ativo</v>
      </c>
      <c r="E158" s="2" t="s">
        <v>1401</v>
      </c>
      <c r="F158" s="62">
        <f>SUMIFS('AVARIA ESTIMADA'!$H$18:$H$40,'AVARIA ESTIMADA'!$A$18:$A$40,A158)</f>
        <v>0</v>
      </c>
    </row>
    <row r="159" spans="1:6" x14ac:dyDescent="0.3">
      <c r="A159" s="2" t="s">
        <v>1579</v>
      </c>
      <c r="B159" s="19" t="str">
        <f>_xlfn.XLOOKUP(A159,CATÁLOGO!$A$2:$A$846,CATÁLOGO!$B$2:$B$846,"FORA DO CATÁLOGO")</f>
        <v>CAL010M44</v>
      </c>
      <c r="C159" s="13">
        <v>3</v>
      </c>
      <c r="D159" s="13" t="str">
        <f>_xlfn.XLOOKUP(A159,CATÁLOGO!$A$2:$A$846,CATÁLOGO!$E$2:$E$846,"FORA DO CATÁLOGO")</f>
        <v>Ativo</v>
      </c>
      <c r="E159" s="2" t="s">
        <v>1401</v>
      </c>
      <c r="F159" s="62">
        <f>SUMIFS('AVARIA ESTIMADA'!$H$18:$H$40,'AVARIA ESTIMADA'!$A$18:$A$40,A159)</f>
        <v>0</v>
      </c>
    </row>
    <row r="160" spans="1:6" x14ac:dyDescent="0.3">
      <c r="A160" s="2" t="s">
        <v>103</v>
      </c>
      <c r="B160" s="19" t="str">
        <f>_xlfn.XLOOKUP(A160,CATÁLOGO!$A$2:$A$846,CATÁLOGO!$B$2:$B$846,"FORA DO CATÁLOGO")</f>
        <v>MOL006YP</v>
      </c>
      <c r="C160" s="13">
        <v>0</v>
      </c>
      <c r="D160" s="13" t="str">
        <f>_xlfn.XLOOKUP(A160,CATÁLOGO!$A$2:$A$846,CATÁLOGO!$E$2:$E$846,"FORA DO CATÁLOGO")</f>
        <v>Descontinuado</v>
      </c>
      <c r="E160" s="2" t="s">
        <v>1401</v>
      </c>
      <c r="F160" s="62">
        <f>SUMIFS('AVARIA ESTIMADA'!$H$18:$H$40,'AVARIA ESTIMADA'!$A$18:$A$40,A160)</f>
        <v>0</v>
      </c>
    </row>
    <row r="161" spans="1:6" x14ac:dyDescent="0.3">
      <c r="A161" s="2" t="s">
        <v>104</v>
      </c>
      <c r="B161" s="19" t="str">
        <f>_xlfn.XLOOKUP(A161,CATÁLOGO!$A$2:$A$846,CATÁLOGO!$B$2:$B$846,"FORA DO CATÁLOGO")</f>
        <v>MOL006YM</v>
      </c>
      <c r="C161" s="13">
        <v>3</v>
      </c>
      <c r="D161" s="13" t="str">
        <f>_xlfn.XLOOKUP(A161,CATÁLOGO!$A$2:$A$846,CATÁLOGO!$E$2:$E$846,"FORA DO CATÁLOGO")</f>
        <v>Descontinuado</v>
      </c>
      <c r="E161" s="2" t="s">
        <v>1401</v>
      </c>
      <c r="F161" s="62">
        <f>SUMIFS('AVARIA ESTIMADA'!$H$18:$H$40,'AVARIA ESTIMADA'!$A$18:$A$40,A161)</f>
        <v>0</v>
      </c>
    </row>
    <row r="162" spans="1:6" x14ac:dyDescent="0.3">
      <c r="A162" s="2" t="s">
        <v>105</v>
      </c>
      <c r="B162" s="19" t="str">
        <f>_xlfn.XLOOKUP(A162,CATÁLOGO!$A$2:$A$846,CATÁLOGO!$B$2:$B$846,"FORA DO CATÁLOGO")</f>
        <v>MOL006YG</v>
      </c>
      <c r="C162" s="13">
        <v>2</v>
      </c>
      <c r="D162" s="13" t="str">
        <f>_xlfn.XLOOKUP(A162,CATÁLOGO!$A$2:$A$846,CATÁLOGO!$E$2:$E$846,"FORA DO CATÁLOGO")</f>
        <v>Descontinuado</v>
      </c>
      <c r="E162" s="2" t="s">
        <v>1401</v>
      </c>
      <c r="F162" s="62">
        <f>SUMIFS('AVARIA ESTIMADA'!$H$18:$H$40,'AVARIA ESTIMADA'!$A$18:$A$40,A162)</f>
        <v>0</v>
      </c>
    </row>
    <row r="163" spans="1:6" x14ac:dyDescent="0.3">
      <c r="A163" s="2" t="s">
        <v>106</v>
      </c>
      <c r="B163" s="19" t="str">
        <f>_xlfn.XLOOKUP(A163,CATÁLOGO!$A$2:$A$846,CATÁLOGO!$B$2:$B$846,"FORA DO CATÁLOGO")</f>
        <v>MOL006YGG</v>
      </c>
      <c r="C163" s="13">
        <v>1</v>
      </c>
      <c r="D163" s="13" t="str">
        <f>_xlfn.XLOOKUP(A163,CATÁLOGO!$A$2:$A$846,CATÁLOGO!$E$2:$E$846,"FORA DO CATÁLOGO")</f>
        <v>Descontinuado</v>
      </c>
      <c r="E163" s="2" t="s">
        <v>1401</v>
      </c>
      <c r="F163" s="62">
        <f>SUMIFS('AVARIA ESTIMADA'!$H$18:$H$40,'AVARIA ESTIMADA'!$A$18:$A$40,A163)</f>
        <v>0</v>
      </c>
    </row>
    <row r="164" spans="1:6" x14ac:dyDescent="0.3">
      <c r="A164" s="2" t="s">
        <v>107</v>
      </c>
      <c r="B164" s="19" t="str">
        <f>_xlfn.XLOOKUP(A164,CATÁLOGO!$A$2:$A$846,CATÁLOGO!$B$2:$B$846,"FORA DO CATÁLOGO")</f>
        <v>VES001AP</v>
      </c>
      <c r="C164" s="13">
        <v>2</v>
      </c>
      <c r="D164" s="13" t="str">
        <f>_xlfn.XLOOKUP(A164,CATÁLOGO!$A$2:$A$846,CATÁLOGO!$E$2:$E$846,"FORA DO CATÁLOGO")</f>
        <v>Descontinuado</v>
      </c>
      <c r="E164" s="2" t="s">
        <v>1401</v>
      </c>
      <c r="F164" s="62">
        <f>SUMIFS('AVARIA ESTIMADA'!$H$18:$H$40,'AVARIA ESTIMADA'!$A$18:$A$40,A164)</f>
        <v>0</v>
      </c>
    </row>
    <row r="165" spans="1:6" x14ac:dyDescent="0.3">
      <c r="A165" s="2" t="s">
        <v>108</v>
      </c>
      <c r="B165" s="19" t="str">
        <f>_xlfn.XLOOKUP(A165,CATÁLOGO!$A$2:$A$846,CATÁLOGO!$B$2:$B$846,"FORA DO CATÁLOGO")</f>
        <v>VES001AM</v>
      </c>
      <c r="C165" s="13">
        <v>2</v>
      </c>
      <c r="D165" s="13" t="str">
        <f>_xlfn.XLOOKUP(A165,CATÁLOGO!$A$2:$A$846,CATÁLOGO!$E$2:$E$846,"FORA DO CATÁLOGO")</f>
        <v>Descontinuado</v>
      </c>
      <c r="E165" s="2" t="s">
        <v>1401</v>
      </c>
      <c r="F165" s="62">
        <f>SUMIFS('AVARIA ESTIMADA'!$H$18:$H$40,'AVARIA ESTIMADA'!$A$18:$A$40,A165)</f>
        <v>0</v>
      </c>
    </row>
    <row r="166" spans="1:6" x14ac:dyDescent="0.3">
      <c r="A166" s="2" t="s">
        <v>109</v>
      </c>
      <c r="B166" s="19" t="str">
        <f>_xlfn.XLOOKUP(A166,CATÁLOGO!$A$2:$A$846,CATÁLOGO!$B$2:$B$846,"FORA DO CATÁLOGO")</f>
        <v>VES001AG</v>
      </c>
      <c r="C166" s="13">
        <v>2</v>
      </c>
      <c r="D166" s="13" t="str">
        <f>_xlfn.XLOOKUP(A166,CATÁLOGO!$A$2:$A$846,CATÁLOGO!$E$2:$E$846,"FORA DO CATÁLOGO")</f>
        <v>Descontinuado</v>
      </c>
      <c r="E166" s="2" t="s">
        <v>1401</v>
      </c>
      <c r="F166" s="62">
        <f>SUMIFS('AVARIA ESTIMADA'!$H$18:$H$40,'AVARIA ESTIMADA'!$A$18:$A$40,A166)</f>
        <v>0</v>
      </c>
    </row>
    <row r="167" spans="1:6" x14ac:dyDescent="0.3">
      <c r="A167" s="2" t="s">
        <v>110</v>
      </c>
      <c r="B167" s="19" t="str">
        <f>_xlfn.XLOOKUP(A167,CATÁLOGO!$A$2:$A$846,CATÁLOGO!$B$2:$B$846,"FORA DO CATÁLOGO")</f>
        <v>VES001AGG</v>
      </c>
      <c r="C167" s="13">
        <v>1</v>
      </c>
      <c r="D167" s="13" t="str">
        <f>_xlfn.XLOOKUP(A167,CATÁLOGO!$A$2:$A$846,CATÁLOGO!$E$2:$E$846,"FORA DO CATÁLOGO")</f>
        <v>Descontinuado</v>
      </c>
      <c r="E167" s="2" t="s">
        <v>1401</v>
      </c>
      <c r="F167" s="62">
        <f>SUMIFS('AVARIA ESTIMADA'!$H$18:$H$40,'AVARIA ESTIMADA'!$A$18:$A$40,A167)</f>
        <v>0</v>
      </c>
    </row>
    <row r="168" spans="1:6" x14ac:dyDescent="0.3">
      <c r="A168" s="2" t="s">
        <v>111</v>
      </c>
      <c r="B168" s="19" t="str">
        <f>_xlfn.XLOOKUP(A168,CATÁLOGO!$A$2:$A$846,CATÁLOGO!$B$2:$B$846,"FORA DO CATÁLOGO")</f>
        <v>SAI003OP</v>
      </c>
      <c r="C168" s="13">
        <v>3</v>
      </c>
      <c r="D168" s="13" t="str">
        <f>_xlfn.XLOOKUP(A168,CATÁLOGO!$A$2:$A$846,CATÁLOGO!$E$2:$E$846,"FORA DO CATÁLOGO")</f>
        <v>Ativo</v>
      </c>
      <c r="E168" s="2" t="s">
        <v>1401</v>
      </c>
      <c r="F168" s="62">
        <f>SUMIFS('AVARIA ESTIMADA'!$H$18:$H$40,'AVARIA ESTIMADA'!$A$18:$A$40,A168)</f>
        <v>0</v>
      </c>
    </row>
    <row r="169" spans="1:6" x14ac:dyDescent="0.3">
      <c r="A169" s="2" t="s">
        <v>112</v>
      </c>
      <c r="B169" s="19" t="str">
        <f>_xlfn.XLOOKUP(A169,CATÁLOGO!$A$2:$A$846,CATÁLOGO!$B$2:$B$846,"FORA DO CATÁLOGO")</f>
        <v>SAI003OM</v>
      </c>
      <c r="C169" s="13">
        <v>4</v>
      </c>
      <c r="D169" s="13" t="str">
        <f>_xlfn.XLOOKUP(A169,CATÁLOGO!$A$2:$A$846,CATÁLOGO!$E$2:$E$846,"FORA DO CATÁLOGO")</f>
        <v>Ativo</v>
      </c>
      <c r="E169" s="2" t="s">
        <v>1401</v>
      </c>
      <c r="F169" s="62">
        <f>SUMIFS('AVARIA ESTIMADA'!$H$18:$H$40,'AVARIA ESTIMADA'!$A$18:$A$40,A169)</f>
        <v>0</v>
      </c>
    </row>
    <row r="170" spans="1:6" x14ac:dyDescent="0.3">
      <c r="A170" s="2" t="s">
        <v>113</v>
      </c>
      <c r="B170" s="19" t="str">
        <f>_xlfn.XLOOKUP(A170,CATÁLOGO!$A$2:$A$846,CATÁLOGO!$B$2:$B$846,"FORA DO CATÁLOGO")</f>
        <v>SAI003OG</v>
      </c>
      <c r="C170" s="13">
        <v>3</v>
      </c>
      <c r="D170" s="13" t="str">
        <f>_xlfn.XLOOKUP(A170,CATÁLOGO!$A$2:$A$846,CATÁLOGO!$E$2:$E$846,"FORA DO CATÁLOGO")</f>
        <v>Ativo</v>
      </c>
      <c r="E170" s="2" t="s">
        <v>1401</v>
      </c>
      <c r="F170" s="62">
        <f>SUMIFS('AVARIA ESTIMADA'!$H$18:$H$40,'AVARIA ESTIMADA'!$A$18:$A$40,A170)</f>
        <v>0</v>
      </c>
    </row>
    <row r="171" spans="1:6" x14ac:dyDescent="0.3">
      <c r="A171" s="2" t="s">
        <v>114</v>
      </c>
      <c r="B171" s="19" t="str">
        <f>_xlfn.XLOOKUP(A171,CATÁLOGO!$A$2:$A$846,CATÁLOGO!$B$2:$B$846,"FORA DO CATÁLOGO")</f>
        <v>SAI003OGG</v>
      </c>
      <c r="C171" s="13">
        <v>2</v>
      </c>
      <c r="D171" s="13" t="str">
        <f>_xlfn.XLOOKUP(A171,CATÁLOGO!$A$2:$A$846,CATÁLOGO!$E$2:$E$846,"FORA DO CATÁLOGO")</f>
        <v>Ativo</v>
      </c>
      <c r="E171" s="2" t="s">
        <v>1401</v>
      </c>
      <c r="F171" s="62">
        <f>SUMIFS('AVARIA ESTIMADA'!$H$18:$H$40,'AVARIA ESTIMADA'!$A$18:$A$40,A171)</f>
        <v>0</v>
      </c>
    </row>
    <row r="172" spans="1:6" x14ac:dyDescent="0.3">
      <c r="A172" s="2" t="s">
        <v>115</v>
      </c>
      <c r="B172" s="19" t="str">
        <f>_xlfn.XLOOKUP(A172,CATÁLOGO!$A$2:$A$846,CATÁLOGO!$B$2:$B$846,"FORA DO CATÁLOGO")</f>
        <v>SAI004MP</v>
      </c>
      <c r="C172" s="13">
        <v>5</v>
      </c>
      <c r="D172" s="13" t="str">
        <f>_xlfn.XLOOKUP(A172,CATÁLOGO!$A$2:$A$846,CATÁLOGO!$E$2:$E$846,"FORA DO CATÁLOGO")</f>
        <v>Ativo</v>
      </c>
      <c r="E172" s="2" t="s">
        <v>1401</v>
      </c>
      <c r="F172" s="62">
        <f>SUMIFS('AVARIA ESTIMADA'!$H$18:$H$40,'AVARIA ESTIMADA'!$A$18:$A$40,A172)</f>
        <v>0</v>
      </c>
    </row>
    <row r="173" spans="1:6" x14ac:dyDescent="0.3">
      <c r="A173" s="2" t="s">
        <v>116</v>
      </c>
      <c r="B173" s="19" t="str">
        <f>_xlfn.XLOOKUP(A173,CATÁLOGO!$A$2:$A$846,CATÁLOGO!$B$2:$B$846,"FORA DO CATÁLOGO")</f>
        <v>SAI004MM</v>
      </c>
      <c r="C173" s="13">
        <v>5</v>
      </c>
      <c r="D173" s="13" t="str">
        <f>_xlfn.XLOOKUP(A173,CATÁLOGO!$A$2:$A$846,CATÁLOGO!$E$2:$E$846,"FORA DO CATÁLOGO")</f>
        <v>Ativo</v>
      </c>
      <c r="E173" s="2" t="s">
        <v>1401</v>
      </c>
      <c r="F173" s="62">
        <f>SUMIFS('AVARIA ESTIMADA'!$H$18:$H$40,'AVARIA ESTIMADA'!$A$18:$A$40,A173)</f>
        <v>0</v>
      </c>
    </row>
    <row r="174" spans="1:6" x14ac:dyDescent="0.3">
      <c r="A174" s="2" t="s">
        <v>117</v>
      </c>
      <c r="B174" s="19" t="str">
        <f>_xlfn.XLOOKUP(A174,CATÁLOGO!$A$2:$A$846,CATÁLOGO!$B$2:$B$846,"FORA DO CATÁLOGO")</f>
        <v>SAI004MG</v>
      </c>
      <c r="C174" s="13">
        <v>5</v>
      </c>
      <c r="D174" s="13" t="str">
        <f>_xlfn.XLOOKUP(A174,CATÁLOGO!$A$2:$A$846,CATÁLOGO!$E$2:$E$846,"FORA DO CATÁLOGO")</f>
        <v>Ativo</v>
      </c>
      <c r="E174" s="2" t="s">
        <v>1401</v>
      </c>
      <c r="F174" s="62">
        <f>SUMIFS('AVARIA ESTIMADA'!$H$18:$H$40,'AVARIA ESTIMADA'!$A$18:$A$40,A174)</f>
        <v>0</v>
      </c>
    </row>
    <row r="175" spans="1:6" x14ac:dyDescent="0.3">
      <c r="A175" s="2" t="s">
        <v>118</v>
      </c>
      <c r="B175" s="19" t="str">
        <f>_xlfn.XLOOKUP(A175,CATÁLOGO!$A$2:$A$846,CATÁLOGO!$B$2:$B$846,"FORA DO CATÁLOGO")</f>
        <v>SAI004MGG</v>
      </c>
      <c r="C175" s="13">
        <v>4</v>
      </c>
      <c r="D175" s="13" t="str">
        <f>_xlfn.XLOOKUP(A175,CATÁLOGO!$A$2:$A$846,CATÁLOGO!$E$2:$E$846,"FORA DO CATÁLOGO")</f>
        <v>Ativo</v>
      </c>
      <c r="E175" s="2" t="s">
        <v>1401</v>
      </c>
      <c r="F175" s="62">
        <f>SUMIFS('AVARIA ESTIMADA'!$H$18:$H$40,'AVARIA ESTIMADA'!$A$18:$A$40,A175)</f>
        <v>0</v>
      </c>
    </row>
    <row r="176" spans="1:6" x14ac:dyDescent="0.3">
      <c r="A176" s="2" t="s">
        <v>119</v>
      </c>
      <c r="B176" s="19" t="str">
        <f>_xlfn.XLOOKUP(A176,CATÁLOGO!$A$2:$A$846,CATÁLOGO!$B$2:$B$846,"FORA DO CATÁLOGO")</f>
        <v>SAI005OP</v>
      </c>
      <c r="C176" s="13">
        <v>4</v>
      </c>
      <c r="D176" s="13" t="str">
        <f>_xlfn.XLOOKUP(A176,CATÁLOGO!$A$2:$A$846,CATÁLOGO!$E$2:$E$846,"FORA DO CATÁLOGO")</f>
        <v>Ativo</v>
      </c>
      <c r="E176" s="2" t="s">
        <v>1401</v>
      </c>
      <c r="F176" s="62">
        <f>SUMIFS('AVARIA ESTIMADA'!$H$18:$H$40,'AVARIA ESTIMADA'!$A$18:$A$40,A176)</f>
        <v>0</v>
      </c>
    </row>
    <row r="177" spans="1:6" x14ac:dyDescent="0.3">
      <c r="A177" s="2" t="s">
        <v>120</v>
      </c>
      <c r="B177" s="19" t="str">
        <f>_xlfn.XLOOKUP(A177,CATÁLOGO!$A$2:$A$846,CATÁLOGO!$B$2:$B$846,"FORA DO CATÁLOGO")</f>
        <v>SAI005OM</v>
      </c>
      <c r="C177" s="13">
        <v>5</v>
      </c>
      <c r="D177" s="13" t="str">
        <f>_xlfn.XLOOKUP(A177,CATÁLOGO!$A$2:$A$846,CATÁLOGO!$E$2:$E$846,"FORA DO CATÁLOGO")</f>
        <v>Ativo</v>
      </c>
      <c r="E177" s="2" t="s">
        <v>1401</v>
      </c>
      <c r="F177" s="62">
        <f>SUMIFS('AVARIA ESTIMADA'!$H$18:$H$40,'AVARIA ESTIMADA'!$A$18:$A$40,A177)</f>
        <v>0</v>
      </c>
    </row>
    <row r="178" spans="1:6" x14ac:dyDescent="0.3">
      <c r="A178" s="2" t="s">
        <v>121</v>
      </c>
      <c r="B178" s="19" t="str">
        <f>_xlfn.XLOOKUP(A178,CATÁLOGO!$A$2:$A$846,CATÁLOGO!$B$2:$B$846,"FORA DO CATÁLOGO")</f>
        <v>SAI005OG</v>
      </c>
      <c r="C178" s="13">
        <v>4</v>
      </c>
      <c r="D178" s="13" t="str">
        <f>_xlfn.XLOOKUP(A178,CATÁLOGO!$A$2:$A$846,CATÁLOGO!$E$2:$E$846,"FORA DO CATÁLOGO")</f>
        <v>Ativo</v>
      </c>
      <c r="E178" s="2" t="s">
        <v>1401</v>
      </c>
      <c r="F178" s="62">
        <f>SUMIFS('AVARIA ESTIMADA'!$H$18:$H$40,'AVARIA ESTIMADA'!$A$18:$A$40,A178)</f>
        <v>0</v>
      </c>
    </row>
    <row r="179" spans="1:6" x14ac:dyDescent="0.3">
      <c r="A179" s="2" t="s">
        <v>122</v>
      </c>
      <c r="B179" s="19" t="str">
        <f>_xlfn.XLOOKUP(A179,CATÁLOGO!$A$2:$A$846,CATÁLOGO!$B$2:$B$846,"FORA DO CATÁLOGO")</f>
        <v>CAM007CM</v>
      </c>
      <c r="C179" s="13">
        <v>4</v>
      </c>
      <c r="D179" s="13" t="str">
        <f>_xlfn.XLOOKUP(A179,CATÁLOGO!$A$2:$A$846,CATÁLOGO!$E$2:$E$846,"FORA DO CATÁLOGO")</f>
        <v>Descontinuado</v>
      </c>
      <c r="E179" s="2" t="s">
        <v>1401</v>
      </c>
      <c r="F179" s="62">
        <f>SUMIFS('AVARIA ESTIMADA'!$H$18:$H$40,'AVARIA ESTIMADA'!$A$18:$A$40,A179)</f>
        <v>0</v>
      </c>
    </row>
    <row r="180" spans="1:6" x14ac:dyDescent="0.3">
      <c r="A180" s="2" t="s">
        <v>123</v>
      </c>
      <c r="B180" s="19" t="str">
        <f>_xlfn.XLOOKUP(A180,CATÁLOGO!$A$2:$A$846,CATÁLOGO!$B$2:$B$846,"FORA DO CATÁLOGO")</f>
        <v>CAM007CG</v>
      </c>
      <c r="C180" s="13">
        <v>1</v>
      </c>
      <c r="D180" s="13" t="str">
        <f>_xlfn.XLOOKUP(A180,CATÁLOGO!$A$2:$A$846,CATÁLOGO!$E$2:$E$846,"FORA DO CATÁLOGO")</f>
        <v>Descontinuado</v>
      </c>
      <c r="E180" s="2" t="s">
        <v>1401</v>
      </c>
      <c r="F180" s="62">
        <f>SUMIFS('AVARIA ESTIMADA'!$H$18:$H$40,'AVARIA ESTIMADA'!$A$18:$A$40,A180)</f>
        <v>0</v>
      </c>
    </row>
    <row r="181" spans="1:6" x14ac:dyDescent="0.3">
      <c r="A181" s="2" t="s">
        <v>1475</v>
      </c>
      <c r="B181" s="19" t="str">
        <f>_xlfn.XLOOKUP(A181,CATÁLOGO!$A$2:$A$846,CATÁLOGO!$B$2:$B$846,"FORA DO CATÁLOGO")</f>
        <v>BER005H38</v>
      </c>
      <c r="C181" s="13">
        <v>6</v>
      </c>
      <c r="D181" s="13" t="str">
        <f>_xlfn.XLOOKUP(A181,CATÁLOGO!$A$2:$A$846,CATÁLOGO!$E$2:$E$846,"FORA DO CATÁLOGO")</f>
        <v>Descontinuado</v>
      </c>
      <c r="E181" s="2" t="s">
        <v>1401</v>
      </c>
      <c r="F181" s="62">
        <f>SUMIFS('AVARIA ESTIMADA'!$H$18:$H$40,'AVARIA ESTIMADA'!$A$18:$A$40,A181)</f>
        <v>0</v>
      </c>
    </row>
    <row r="182" spans="1:6" x14ac:dyDescent="0.3">
      <c r="A182" s="2" t="s">
        <v>124</v>
      </c>
      <c r="B182" s="19" t="str">
        <f>_xlfn.XLOOKUP(A182,CATÁLOGO!$A$2:$A$846,CATÁLOGO!$B$2:$B$846,"FORA DO CATÁLOGO")</f>
        <v>TOP004VP</v>
      </c>
      <c r="C182" s="13">
        <v>3</v>
      </c>
      <c r="D182" s="13" t="str">
        <f>_xlfn.XLOOKUP(A182,CATÁLOGO!$A$2:$A$846,CATÁLOGO!$E$2:$E$846,"FORA DO CATÁLOGO")</f>
        <v>Ativo</v>
      </c>
      <c r="E182" s="2" t="s">
        <v>1401</v>
      </c>
      <c r="F182" s="62">
        <f>SUMIFS('AVARIA ESTIMADA'!$H$18:$H$40,'AVARIA ESTIMADA'!$A$18:$A$40,A182)</f>
        <v>0</v>
      </c>
    </row>
    <row r="183" spans="1:6" x14ac:dyDescent="0.3">
      <c r="A183" s="2" t="s">
        <v>125</v>
      </c>
      <c r="B183" s="19" t="str">
        <f>_xlfn.XLOOKUP(A183,CATÁLOGO!$A$2:$A$846,CATÁLOGO!$B$2:$B$846,"FORA DO CATÁLOGO")</f>
        <v>TOP004VM</v>
      </c>
      <c r="C183" s="13">
        <v>5</v>
      </c>
      <c r="D183" s="13" t="str">
        <f>_xlfn.XLOOKUP(A183,CATÁLOGO!$A$2:$A$846,CATÁLOGO!$E$2:$E$846,"FORA DO CATÁLOGO")</f>
        <v>Ativo</v>
      </c>
      <c r="E183" s="2" t="s">
        <v>1401</v>
      </c>
      <c r="F183" s="62">
        <f>SUMIFS('AVARIA ESTIMADA'!$H$18:$H$40,'AVARIA ESTIMADA'!$A$18:$A$40,A183)</f>
        <v>0</v>
      </c>
    </row>
    <row r="184" spans="1:6" x14ac:dyDescent="0.3">
      <c r="A184" s="2" t="s">
        <v>126</v>
      </c>
      <c r="B184" s="19" t="str">
        <f>_xlfn.XLOOKUP(A184,CATÁLOGO!$A$2:$A$846,CATÁLOGO!$B$2:$B$846,"FORA DO CATÁLOGO")</f>
        <v>TOP004VG</v>
      </c>
      <c r="C184" s="13">
        <v>4</v>
      </c>
      <c r="D184" s="13" t="str">
        <f>_xlfn.XLOOKUP(A184,CATÁLOGO!$A$2:$A$846,CATÁLOGO!$E$2:$E$846,"FORA DO CATÁLOGO")</f>
        <v>Ativo</v>
      </c>
      <c r="E184" s="2" t="s">
        <v>1401</v>
      </c>
      <c r="F184" s="62">
        <f>SUMIFS('AVARIA ESTIMADA'!$H$18:$H$40,'AVARIA ESTIMADA'!$A$18:$A$40,A184)</f>
        <v>0</v>
      </c>
    </row>
    <row r="185" spans="1:6" x14ac:dyDescent="0.3">
      <c r="A185" s="2" t="s">
        <v>127</v>
      </c>
      <c r="B185" s="19" t="str">
        <f>_xlfn.XLOOKUP(A185,CATÁLOGO!$A$2:$A$846,CATÁLOGO!$B$2:$B$846,"FORA DO CATÁLOGO")</f>
        <v>TOP004VGG</v>
      </c>
      <c r="C185" s="13">
        <v>1</v>
      </c>
      <c r="D185" s="13" t="str">
        <f>_xlfn.XLOOKUP(A185,CATÁLOGO!$A$2:$A$846,CATÁLOGO!$E$2:$E$846,"FORA DO CATÁLOGO")</f>
        <v>Ativo</v>
      </c>
      <c r="E185" s="2" t="s">
        <v>1401</v>
      </c>
      <c r="F185" s="62">
        <f>SUMIFS('AVARIA ESTIMADA'!$H$18:$H$40,'AVARIA ESTIMADA'!$A$18:$A$40,A185)</f>
        <v>0</v>
      </c>
    </row>
    <row r="186" spans="1:6" x14ac:dyDescent="0.3">
      <c r="A186" s="2" t="s">
        <v>128</v>
      </c>
      <c r="B186" s="19" t="str">
        <f>_xlfn.XLOOKUP(A186,CATÁLOGO!$A$2:$A$846,CATÁLOGO!$B$2:$B$846,"FORA DO CATÁLOGO")</f>
        <v>MOL007CP</v>
      </c>
      <c r="C186" s="13">
        <v>4</v>
      </c>
      <c r="D186" s="13" t="str">
        <f>_xlfn.XLOOKUP(A186,CATÁLOGO!$A$2:$A$846,CATÁLOGO!$E$2:$E$846,"FORA DO CATÁLOGO")</f>
        <v>Descontinuado</v>
      </c>
      <c r="E186" s="2" t="s">
        <v>1401</v>
      </c>
      <c r="F186" s="62">
        <f>SUMIFS('AVARIA ESTIMADA'!$H$18:$H$40,'AVARIA ESTIMADA'!$A$18:$A$40,A186)</f>
        <v>0</v>
      </c>
    </row>
    <row r="187" spans="1:6" x14ac:dyDescent="0.3">
      <c r="A187" s="2" t="s">
        <v>129</v>
      </c>
      <c r="B187" s="19" t="str">
        <f>_xlfn.XLOOKUP(A187,CATÁLOGO!$A$2:$A$846,CATÁLOGO!$B$2:$B$846,"FORA DO CATÁLOGO")</f>
        <v>MOL007CM</v>
      </c>
      <c r="C187" s="13">
        <v>2</v>
      </c>
      <c r="D187" s="13" t="str">
        <f>_xlfn.XLOOKUP(A187,CATÁLOGO!$A$2:$A$846,CATÁLOGO!$E$2:$E$846,"FORA DO CATÁLOGO")</f>
        <v>Descontinuado</v>
      </c>
      <c r="E187" s="2" t="s">
        <v>1401</v>
      </c>
      <c r="F187" s="62">
        <f>SUMIFS('AVARIA ESTIMADA'!$H$18:$H$40,'AVARIA ESTIMADA'!$A$18:$A$40,A187)</f>
        <v>0</v>
      </c>
    </row>
    <row r="188" spans="1:6" x14ac:dyDescent="0.3">
      <c r="A188" s="2" t="s">
        <v>130</v>
      </c>
      <c r="B188" s="19" t="str">
        <f>_xlfn.XLOOKUP(A188,CATÁLOGO!$A$2:$A$846,CATÁLOGO!$B$2:$B$846,"FORA DO CATÁLOGO")</f>
        <v>MOL007CGG</v>
      </c>
      <c r="C188" s="13">
        <v>2</v>
      </c>
      <c r="D188" s="13" t="str">
        <f>_xlfn.XLOOKUP(A188,CATÁLOGO!$A$2:$A$846,CATÁLOGO!$E$2:$E$846,"FORA DO CATÁLOGO")</f>
        <v>Descontinuado</v>
      </c>
      <c r="E188" s="2" t="s">
        <v>1401</v>
      </c>
      <c r="F188" s="62">
        <f>SUMIFS('AVARIA ESTIMADA'!$H$18:$H$40,'AVARIA ESTIMADA'!$A$18:$A$40,A188)</f>
        <v>0</v>
      </c>
    </row>
    <row r="189" spans="1:6" x14ac:dyDescent="0.3">
      <c r="A189" s="2" t="s">
        <v>131</v>
      </c>
      <c r="B189" s="19" t="str">
        <f>_xlfn.XLOOKUP(A189,CATÁLOGO!$A$2:$A$846,CATÁLOGO!$B$2:$B$846,"FORA DO CATÁLOGO")</f>
        <v>MOL008HM</v>
      </c>
      <c r="C189" s="13">
        <v>2</v>
      </c>
      <c r="D189" s="13" t="str">
        <f>_xlfn.XLOOKUP(A189,CATÁLOGO!$A$2:$A$846,CATÁLOGO!$E$2:$E$846,"FORA DO CATÁLOGO")</f>
        <v>Descontinuado</v>
      </c>
      <c r="E189" s="2" t="s">
        <v>1401</v>
      </c>
      <c r="F189" s="62">
        <f>SUMIFS('AVARIA ESTIMADA'!$H$18:$H$40,'AVARIA ESTIMADA'!$A$18:$A$40,A189)</f>
        <v>0</v>
      </c>
    </row>
    <row r="190" spans="1:6" x14ac:dyDescent="0.3">
      <c r="A190" s="2" t="s">
        <v>132</v>
      </c>
      <c r="B190" s="19" t="str">
        <f>_xlfn.XLOOKUP(A190,CATÁLOGO!$A$2:$A$846,CATÁLOGO!$B$2:$B$846,"FORA DO CATÁLOGO")</f>
        <v>MOL008HG</v>
      </c>
      <c r="C190" s="13">
        <v>1</v>
      </c>
      <c r="D190" s="13" t="str">
        <f>_xlfn.XLOOKUP(A190,CATÁLOGO!$A$2:$A$846,CATÁLOGO!$E$2:$E$846,"FORA DO CATÁLOGO")</f>
        <v>Descontinuado</v>
      </c>
      <c r="E190" s="2" t="s">
        <v>1401</v>
      </c>
      <c r="F190" s="62">
        <f>SUMIFS('AVARIA ESTIMADA'!$H$18:$H$40,'AVARIA ESTIMADA'!$A$18:$A$40,A190)</f>
        <v>1</v>
      </c>
    </row>
    <row r="191" spans="1:6" x14ac:dyDescent="0.3">
      <c r="A191" s="2" t="s">
        <v>133</v>
      </c>
      <c r="B191" s="19" t="str">
        <f>_xlfn.XLOOKUP(A191,CATÁLOGO!$A$2:$A$846,CATÁLOGO!$B$2:$B$846,"FORA DO CATÁLOGO")</f>
        <v>MOL008HGG</v>
      </c>
      <c r="C191" s="13">
        <v>1</v>
      </c>
      <c r="D191" s="13" t="str">
        <f>_xlfn.XLOOKUP(A191,CATÁLOGO!$A$2:$A$846,CATÁLOGO!$E$2:$E$846,"FORA DO CATÁLOGO")</f>
        <v>Descontinuado</v>
      </c>
      <c r="E191" s="2" t="s">
        <v>1401</v>
      </c>
      <c r="F191" s="62">
        <f>SUMIFS('AVARIA ESTIMADA'!$H$18:$H$40,'AVARIA ESTIMADA'!$A$18:$A$40,A191)</f>
        <v>1</v>
      </c>
    </row>
    <row r="192" spans="1:6" x14ac:dyDescent="0.3">
      <c r="A192" s="2" t="s">
        <v>134</v>
      </c>
      <c r="B192" s="19" t="str">
        <f>_xlfn.XLOOKUP(A192,CATÁLOGO!$A$2:$A$846,CATÁLOGO!$B$2:$B$846,"FORA DO CATÁLOGO")</f>
        <v>MOL008LM</v>
      </c>
      <c r="C192" s="13">
        <v>2</v>
      </c>
      <c r="D192" s="13" t="str">
        <f>_xlfn.XLOOKUP(A192,CATÁLOGO!$A$2:$A$846,CATÁLOGO!$E$2:$E$846,"FORA DO CATÁLOGO")</f>
        <v>Descontinuado</v>
      </c>
      <c r="E192" s="2" t="s">
        <v>1401</v>
      </c>
      <c r="F192" s="62">
        <f>SUMIFS('AVARIA ESTIMADA'!$H$18:$H$40,'AVARIA ESTIMADA'!$A$18:$A$40,A192)</f>
        <v>0</v>
      </c>
    </row>
    <row r="193" spans="1:6" x14ac:dyDescent="0.3">
      <c r="A193" s="2" t="s">
        <v>135</v>
      </c>
      <c r="B193" s="19" t="str">
        <f>_xlfn.XLOOKUP(A193,CATÁLOGO!$A$2:$A$846,CATÁLOGO!$B$2:$B$846,"FORA DO CATÁLOGO")</f>
        <v>MOL008LG</v>
      </c>
      <c r="C193" s="13">
        <v>1</v>
      </c>
      <c r="D193" s="13" t="str">
        <f>_xlfn.XLOOKUP(A193,CATÁLOGO!$A$2:$A$846,CATÁLOGO!$E$2:$E$846,"FORA DO CATÁLOGO")</f>
        <v>Descontinuado</v>
      </c>
      <c r="E193" s="2" t="s">
        <v>1401</v>
      </c>
      <c r="F193" s="62">
        <f>SUMIFS('AVARIA ESTIMADA'!$H$18:$H$40,'AVARIA ESTIMADA'!$A$18:$A$40,A193)</f>
        <v>0</v>
      </c>
    </row>
    <row r="194" spans="1:6" x14ac:dyDescent="0.3">
      <c r="A194" s="2" t="s">
        <v>136</v>
      </c>
      <c r="B194" s="19" t="str">
        <f>_xlfn.XLOOKUP(A194,CATÁLOGO!$A$2:$A$846,CATÁLOGO!$B$2:$B$846,"FORA DO CATÁLOGO")</f>
        <v>MOL008LGG</v>
      </c>
      <c r="C194" s="13">
        <v>1</v>
      </c>
      <c r="D194" s="13" t="str">
        <f>_xlfn.XLOOKUP(A194,CATÁLOGO!$A$2:$A$846,CATÁLOGO!$E$2:$E$846,"FORA DO CATÁLOGO")</f>
        <v>Descontinuado</v>
      </c>
      <c r="E194" s="2" t="s">
        <v>1401</v>
      </c>
      <c r="F194" s="62">
        <f>SUMIFS('AVARIA ESTIMADA'!$H$18:$H$40,'AVARIA ESTIMADA'!$A$18:$A$40,A194)</f>
        <v>0</v>
      </c>
    </row>
    <row r="195" spans="1:6" x14ac:dyDescent="0.3">
      <c r="A195" s="2" t="s">
        <v>137</v>
      </c>
      <c r="B195" s="19" t="str">
        <f>_xlfn.XLOOKUP(A195,CATÁLOGO!$A$2:$A$846,CATÁLOGO!$B$2:$B$846,"FORA DO CATÁLOGO")</f>
        <v>VES002MP</v>
      </c>
      <c r="C195" s="13">
        <v>6</v>
      </c>
      <c r="D195" s="13" t="str">
        <f>_xlfn.XLOOKUP(A195,CATÁLOGO!$A$2:$A$846,CATÁLOGO!$E$2:$E$846,"FORA DO CATÁLOGO")</f>
        <v>Ativo</v>
      </c>
      <c r="E195" s="2" t="s">
        <v>1401</v>
      </c>
      <c r="F195" s="62">
        <f>SUMIFS('AVARIA ESTIMADA'!$H$18:$H$40,'AVARIA ESTIMADA'!$A$18:$A$40,A195)</f>
        <v>0</v>
      </c>
    </row>
    <row r="196" spans="1:6" x14ac:dyDescent="0.3">
      <c r="A196" s="2" t="s">
        <v>138</v>
      </c>
      <c r="B196" s="19" t="str">
        <f>_xlfn.XLOOKUP(A196,CATÁLOGO!$A$2:$A$846,CATÁLOGO!$B$2:$B$846,"FORA DO CATÁLOGO")</f>
        <v>VES002MM</v>
      </c>
      <c r="C196" s="13">
        <v>4</v>
      </c>
      <c r="D196" s="13" t="str">
        <f>_xlfn.XLOOKUP(A196,CATÁLOGO!$A$2:$A$846,CATÁLOGO!$E$2:$E$846,"FORA DO CATÁLOGO")</f>
        <v>Ativo</v>
      </c>
      <c r="E196" s="2" t="s">
        <v>1401</v>
      </c>
      <c r="F196" s="62">
        <f>SUMIFS('AVARIA ESTIMADA'!$H$18:$H$40,'AVARIA ESTIMADA'!$A$18:$A$40,A196)</f>
        <v>0</v>
      </c>
    </row>
    <row r="197" spans="1:6" x14ac:dyDescent="0.3">
      <c r="A197" s="2" t="s">
        <v>139</v>
      </c>
      <c r="B197" s="19" t="str">
        <f>_xlfn.XLOOKUP(A197,CATÁLOGO!$A$2:$A$846,CATÁLOGO!$B$2:$B$846,"FORA DO CATÁLOGO")</f>
        <v>VES002MG</v>
      </c>
      <c r="C197" s="13">
        <v>6</v>
      </c>
      <c r="D197" s="13" t="str">
        <f>_xlfn.XLOOKUP(A197,CATÁLOGO!$A$2:$A$846,CATÁLOGO!$E$2:$E$846,"FORA DO CATÁLOGO")</f>
        <v>Ativo</v>
      </c>
      <c r="E197" s="2" t="s">
        <v>1401</v>
      </c>
      <c r="F197" s="62">
        <f>SUMIFS('AVARIA ESTIMADA'!$H$18:$H$40,'AVARIA ESTIMADA'!$A$18:$A$40,A197)</f>
        <v>0</v>
      </c>
    </row>
    <row r="198" spans="1:6" x14ac:dyDescent="0.3">
      <c r="A198" s="2" t="s">
        <v>140</v>
      </c>
      <c r="B198" s="19" t="str">
        <f>_xlfn.XLOOKUP(A198,CATÁLOGO!$A$2:$A$846,CATÁLOGO!$B$2:$B$846,"FORA DO CATÁLOGO")</f>
        <v>VES002MGG</v>
      </c>
      <c r="C198" s="13">
        <v>4</v>
      </c>
      <c r="D198" s="13" t="str">
        <f>_xlfn.XLOOKUP(A198,CATÁLOGO!$A$2:$A$846,CATÁLOGO!$E$2:$E$846,"FORA DO CATÁLOGO")</f>
        <v>Ativo</v>
      </c>
      <c r="E198" s="2" t="s">
        <v>1401</v>
      </c>
      <c r="F198" s="62">
        <f>SUMIFS('AVARIA ESTIMADA'!$H$18:$H$40,'AVARIA ESTIMADA'!$A$18:$A$40,A198)</f>
        <v>0</v>
      </c>
    </row>
    <row r="199" spans="1:6" x14ac:dyDescent="0.3">
      <c r="A199" s="2" t="s">
        <v>141</v>
      </c>
      <c r="B199" s="19" t="str">
        <f>_xlfn.XLOOKUP(A199,CATÁLOGO!$A$2:$A$846,CATÁLOGO!$B$2:$B$846,"FORA DO CATÁLOGO")</f>
        <v>TOP005OP</v>
      </c>
      <c r="C199" s="13">
        <v>2</v>
      </c>
      <c r="D199" s="13" t="str">
        <f>_xlfn.XLOOKUP(A199,CATÁLOGO!$A$2:$A$846,CATÁLOGO!$E$2:$E$846,"FORA DO CATÁLOGO")</f>
        <v>Ativo</v>
      </c>
      <c r="E199" s="2" t="s">
        <v>1401</v>
      </c>
      <c r="F199" s="62">
        <f>SUMIFS('AVARIA ESTIMADA'!$H$18:$H$40,'AVARIA ESTIMADA'!$A$18:$A$40,A199)</f>
        <v>0</v>
      </c>
    </row>
    <row r="200" spans="1:6" x14ac:dyDescent="0.3">
      <c r="A200" s="2" t="s">
        <v>142</v>
      </c>
      <c r="B200" s="19" t="str">
        <f>_xlfn.XLOOKUP(A200,CATÁLOGO!$A$2:$A$846,CATÁLOGO!$B$2:$B$846,"FORA DO CATÁLOGO")</f>
        <v>TOP005OM</v>
      </c>
      <c r="C200" s="13">
        <v>2</v>
      </c>
      <c r="D200" s="13" t="str">
        <f>_xlfn.XLOOKUP(A200,CATÁLOGO!$A$2:$A$846,CATÁLOGO!$E$2:$E$846,"FORA DO CATÁLOGO")</f>
        <v>Ativo</v>
      </c>
      <c r="E200" s="2" t="s">
        <v>1401</v>
      </c>
      <c r="F200" s="62">
        <f>SUMIFS('AVARIA ESTIMADA'!$H$18:$H$40,'AVARIA ESTIMADA'!$A$18:$A$40,A200)</f>
        <v>0</v>
      </c>
    </row>
    <row r="201" spans="1:6" x14ac:dyDescent="0.3">
      <c r="A201" s="2" t="s">
        <v>143</v>
      </c>
      <c r="B201" s="19" t="str">
        <f>_xlfn.XLOOKUP(A201,CATÁLOGO!$A$2:$A$846,CATÁLOGO!$B$2:$B$846,"FORA DO CATÁLOGO")</f>
        <v>TOP005OG</v>
      </c>
      <c r="C201" s="13">
        <v>2</v>
      </c>
      <c r="D201" s="13" t="str">
        <f>_xlfn.XLOOKUP(A201,CATÁLOGO!$A$2:$A$846,CATÁLOGO!$E$2:$E$846,"FORA DO CATÁLOGO")</f>
        <v>Ativo</v>
      </c>
      <c r="E201" s="2" t="s">
        <v>1401</v>
      </c>
      <c r="F201" s="62">
        <f>SUMIFS('AVARIA ESTIMADA'!$H$18:$H$40,'AVARIA ESTIMADA'!$A$18:$A$40,A201)</f>
        <v>0</v>
      </c>
    </row>
    <row r="202" spans="1:6" x14ac:dyDescent="0.3">
      <c r="A202" s="2" t="s">
        <v>144</v>
      </c>
      <c r="B202" s="19" t="str">
        <f>_xlfn.XLOOKUP(A202,CATÁLOGO!$A$2:$A$846,CATÁLOGO!$B$2:$B$846,"FORA DO CATÁLOGO")</f>
        <v>TOP005OGG</v>
      </c>
      <c r="C202" s="13">
        <v>1</v>
      </c>
      <c r="D202" s="13" t="str">
        <f>_xlfn.XLOOKUP(A202,CATÁLOGO!$A$2:$A$846,CATÁLOGO!$E$2:$E$846,"FORA DO CATÁLOGO")</f>
        <v>Ativo</v>
      </c>
      <c r="E202" s="2" t="s">
        <v>1401</v>
      </c>
      <c r="F202" s="62">
        <f>SUMIFS('AVARIA ESTIMADA'!$H$18:$H$40,'AVARIA ESTIMADA'!$A$18:$A$40,A202)</f>
        <v>0</v>
      </c>
    </row>
    <row r="203" spans="1:6" x14ac:dyDescent="0.3">
      <c r="A203" s="2" t="s">
        <v>145</v>
      </c>
      <c r="B203" s="19" t="str">
        <f>_xlfn.XLOOKUP(A203,CATÁLOGO!$A$2:$A$846,CATÁLOGO!$B$2:$B$846,"FORA DO CATÁLOGO")</f>
        <v>VES003CP</v>
      </c>
      <c r="C203" s="13">
        <v>1</v>
      </c>
      <c r="D203" s="13" t="str">
        <f>_xlfn.XLOOKUP(A203,CATÁLOGO!$A$2:$A$846,CATÁLOGO!$E$2:$E$846,"FORA DO CATÁLOGO")</f>
        <v>Descontinuado</v>
      </c>
      <c r="E203" s="2" t="s">
        <v>1401</v>
      </c>
      <c r="F203" s="62">
        <f>SUMIFS('AVARIA ESTIMADA'!$H$18:$H$40,'AVARIA ESTIMADA'!$A$18:$A$40,A203)</f>
        <v>0</v>
      </c>
    </row>
    <row r="204" spans="1:6" x14ac:dyDescent="0.3">
      <c r="A204" s="2" t="s">
        <v>146</v>
      </c>
      <c r="B204" s="19" t="str">
        <f>_xlfn.XLOOKUP(A204,CATÁLOGO!$A$2:$A$846,CATÁLOGO!$B$2:$B$846,"FORA DO CATÁLOGO")</f>
        <v>VES003CG</v>
      </c>
      <c r="C204" s="13">
        <v>1</v>
      </c>
      <c r="D204" s="13" t="str">
        <f>_xlfn.XLOOKUP(A204,CATÁLOGO!$A$2:$A$846,CATÁLOGO!$E$2:$E$846,"FORA DO CATÁLOGO")</f>
        <v>Descontinuado</v>
      </c>
      <c r="E204" s="2" t="s">
        <v>1401</v>
      </c>
      <c r="F204" s="62">
        <f>SUMIFS('AVARIA ESTIMADA'!$H$18:$H$40,'AVARIA ESTIMADA'!$A$18:$A$40,A204)</f>
        <v>0</v>
      </c>
    </row>
    <row r="205" spans="1:6" x14ac:dyDescent="0.3">
      <c r="A205" s="2" t="s">
        <v>147</v>
      </c>
      <c r="B205" s="19" t="str">
        <f>_xlfn.XLOOKUP(A205,CATÁLOGO!$A$2:$A$846,CATÁLOGO!$B$2:$B$846,"FORA DO CATÁLOGO")</f>
        <v>VES003CGG</v>
      </c>
      <c r="C205" s="13">
        <v>1</v>
      </c>
      <c r="D205" s="13" t="str">
        <f>_xlfn.XLOOKUP(A205,CATÁLOGO!$A$2:$A$846,CATÁLOGO!$E$2:$E$846,"FORA DO CATÁLOGO")</f>
        <v>Descontinuado</v>
      </c>
      <c r="E205" s="2" t="s">
        <v>1401</v>
      </c>
      <c r="F205" s="62">
        <f>SUMIFS('AVARIA ESTIMADA'!$H$18:$H$40,'AVARIA ESTIMADA'!$A$18:$A$40,A205)</f>
        <v>0</v>
      </c>
    </row>
    <row r="206" spans="1:6" x14ac:dyDescent="0.3">
      <c r="A206" s="2" t="s">
        <v>148</v>
      </c>
      <c r="B206" s="19" t="str">
        <f>_xlfn.XLOOKUP(A206,CATÁLOGO!$A$2:$A$846,CATÁLOGO!$B$2:$B$846,"FORA DO CATÁLOGO")</f>
        <v>VES003YG</v>
      </c>
      <c r="C206" s="13">
        <v>0</v>
      </c>
      <c r="D206" s="13" t="str">
        <f>_xlfn.XLOOKUP(A206,CATÁLOGO!$A$2:$A$846,CATÁLOGO!$E$2:$E$846,"FORA DO CATÁLOGO")</f>
        <v>Descontinuado</v>
      </c>
      <c r="E206" s="2" t="s">
        <v>1401</v>
      </c>
      <c r="F206" s="62">
        <f>SUMIFS('AVARIA ESTIMADA'!$H$18:$H$40,'AVARIA ESTIMADA'!$A$18:$A$40,A206)</f>
        <v>0</v>
      </c>
    </row>
    <row r="207" spans="1:6" x14ac:dyDescent="0.3">
      <c r="A207" s="2" t="s">
        <v>1929</v>
      </c>
      <c r="B207" s="19" t="str">
        <f>_xlfn.XLOOKUP(A207,CATÁLOGO!$A$2:$A$846,CATÁLOGO!$B$2:$B$846,"FORA DO CATÁLOGO")</f>
        <v>VES004YPP</v>
      </c>
      <c r="C207" s="13">
        <v>1</v>
      </c>
      <c r="D207" s="13" t="str">
        <f>_xlfn.XLOOKUP(A207,CATÁLOGO!$A$2:$A$846,CATÁLOGO!$E$2:$E$846,"FORA DO CATÁLOGO")</f>
        <v>Descontinuado</v>
      </c>
      <c r="E207" s="2" t="s">
        <v>1401</v>
      </c>
      <c r="F207" s="62">
        <f>SUMIFS('AVARIA ESTIMADA'!$H$18:$H$40,'AVARIA ESTIMADA'!$A$18:$A$40,A207)</f>
        <v>0</v>
      </c>
    </row>
    <row r="208" spans="1:6" x14ac:dyDescent="0.3">
      <c r="A208" s="2" t="s">
        <v>149</v>
      </c>
      <c r="B208" s="19" t="str">
        <f>_xlfn.XLOOKUP(A208,CATÁLOGO!$A$2:$A$846,CATÁLOGO!$B$2:$B$846,"FORA DO CATÁLOGO")</f>
        <v>VES004YP</v>
      </c>
      <c r="C208" s="13">
        <v>1</v>
      </c>
      <c r="D208" s="13" t="str">
        <f>_xlfn.XLOOKUP(A208,CATÁLOGO!$A$2:$A$846,CATÁLOGO!$E$2:$E$846,"FORA DO CATÁLOGO")</f>
        <v>Descontinuado</v>
      </c>
      <c r="E208" s="2" t="s">
        <v>1401</v>
      </c>
      <c r="F208" s="62">
        <f>SUMIFS('AVARIA ESTIMADA'!$H$18:$H$40,'AVARIA ESTIMADA'!$A$18:$A$40,A208)</f>
        <v>0</v>
      </c>
    </row>
    <row r="209" spans="1:6" x14ac:dyDescent="0.3">
      <c r="A209" s="2" t="s">
        <v>150</v>
      </c>
      <c r="B209" s="19" t="str">
        <f>_xlfn.XLOOKUP(A209,CATÁLOGO!$A$2:$A$846,CATÁLOGO!$B$2:$B$846,"FORA DO CATÁLOGO")</f>
        <v>VES004YM</v>
      </c>
      <c r="C209" s="13">
        <v>1</v>
      </c>
      <c r="D209" s="13" t="str">
        <f>_xlfn.XLOOKUP(A209,CATÁLOGO!$A$2:$A$846,CATÁLOGO!$E$2:$E$846,"FORA DO CATÁLOGO")</f>
        <v>Descontinuado</v>
      </c>
      <c r="E209" s="2" t="s">
        <v>1401</v>
      </c>
      <c r="F209" s="62">
        <f>SUMIFS('AVARIA ESTIMADA'!$H$18:$H$40,'AVARIA ESTIMADA'!$A$18:$A$40,A209)</f>
        <v>0</v>
      </c>
    </row>
    <row r="210" spans="1:6" x14ac:dyDescent="0.3">
      <c r="A210" s="2" t="s">
        <v>151</v>
      </c>
      <c r="B210" s="19" t="str">
        <f>_xlfn.XLOOKUP(A210,CATÁLOGO!$A$2:$A$846,CATÁLOGO!$B$2:$B$846,"FORA DO CATÁLOGO")</f>
        <v>VES004YGG</v>
      </c>
      <c r="C210" s="13">
        <v>1</v>
      </c>
      <c r="D210" s="13" t="str">
        <f>_xlfn.XLOOKUP(A210,CATÁLOGO!$A$2:$A$846,CATÁLOGO!$E$2:$E$846,"FORA DO CATÁLOGO")</f>
        <v>Descontinuado</v>
      </c>
      <c r="E210" s="2" t="s">
        <v>1401</v>
      </c>
      <c r="F210" s="62">
        <f>SUMIFS('AVARIA ESTIMADA'!$H$18:$H$40,'AVARIA ESTIMADA'!$A$18:$A$40,A210)</f>
        <v>0</v>
      </c>
    </row>
    <row r="211" spans="1:6" x14ac:dyDescent="0.3">
      <c r="A211" s="2" t="s">
        <v>152</v>
      </c>
      <c r="B211" s="19" t="str">
        <f>_xlfn.XLOOKUP(A211,CATÁLOGO!$A$2:$A$846,CATÁLOGO!$B$2:$B$846,"FORA DO CATÁLOGO")</f>
        <v>VES005PP</v>
      </c>
      <c r="C211" s="13">
        <v>2</v>
      </c>
      <c r="D211" s="13" t="str">
        <f>_xlfn.XLOOKUP(A211,CATÁLOGO!$A$2:$A$846,CATÁLOGO!$E$2:$E$846,"FORA DO CATÁLOGO")</f>
        <v>Descontinuado</v>
      </c>
      <c r="E211" s="2" t="s">
        <v>1401</v>
      </c>
      <c r="F211" s="62">
        <f>SUMIFS('AVARIA ESTIMADA'!$H$18:$H$40,'AVARIA ESTIMADA'!$A$18:$A$40,A211)</f>
        <v>0</v>
      </c>
    </row>
    <row r="212" spans="1:6" x14ac:dyDescent="0.3">
      <c r="A212" s="2" t="s">
        <v>153</v>
      </c>
      <c r="B212" s="19" t="str">
        <f>_xlfn.XLOOKUP(A212,CATÁLOGO!$A$2:$A$846,CATÁLOGO!$B$2:$B$846,"FORA DO CATÁLOGO")</f>
        <v>VES005PM</v>
      </c>
      <c r="C212" s="13">
        <v>2</v>
      </c>
      <c r="D212" s="13" t="str">
        <f>_xlfn.XLOOKUP(A212,CATÁLOGO!$A$2:$A$846,CATÁLOGO!$E$2:$E$846,"FORA DO CATÁLOGO")</f>
        <v>Descontinuado</v>
      </c>
      <c r="E212" s="2" t="s">
        <v>1401</v>
      </c>
      <c r="F212" s="62">
        <f>SUMIFS('AVARIA ESTIMADA'!$H$18:$H$40,'AVARIA ESTIMADA'!$A$18:$A$40,A212)</f>
        <v>0</v>
      </c>
    </row>
    <row r="213" spans="1:6" x14ac:dyDescent="0.3">
      <c r="A213" s="2" t="s">
        <v>154</v>
      </c>
      <c r="B213" s="19" t="str">
        <f>_xlfn.XLOOKUP(A213,CATÁLOGO!$A$2:$A$846,CATÁLOGO!$B$2:$B$846,"FORA DO CATÁLOGO")</f>
        <v>VES005PG</v>
      </c>
      <c r="C213" s="13">
        <v>5</v>
      </c>
      <c r="D213" s="13" t="str">
        <f>_xlfn.XLOOKUP(A213,CATÁLOGO!$A$2:$A$846,CATÁLOGO!$E$2:$E$846,"FORA DO CATÁLOGO")</f>
        <v>Descontinuado</v>
      </c>
      <c r="E213" s="2" t="s">
        <v>1401</v>
      </c>
      <c r="F213" s="62">
        <f>SUMIFS('AVARIA ESTIMADA'!$H$18:$H$40,'AVARIA ESTIMADA'!$A$18:$A$40,A213)</f>
        <v>0</v>
      </c>
    </row>
    <row r="214" spans="1:6" x14ac:dyDescent="0.3">
      <c r="A214" s="2" t="s">
        <v>155</v>
      </c>
      <c r="B214" s="19" t="str">
        <f>_xlfn.XLOOKUP(A214,CATÁLOGO!$A$2:$A$846,CATÁLOGO!$B$2:$B$846,"FORA DO CATÁLOGO")</f>
        <v>VES005PGG</v>
      </c>
      <c r="C214" s="13">
        <v>2</v>
      </c>
      <c r="D214" s="13" t="str">
        <f>_xlfn.XLOOKUP(A214,CATÁLOGO!$A$2:$A$846,CATÁLOGO!$E$2:$E$846,"FORA DO CATÁLOGO")</f>
        <v>Descontinuado</v>
      </c>
      <c r="E214" s="2" t="s">
        <v>1401</v>
      </c>
      <c r="F214" s="62">
        <f>SUMIFS('AVARIA ESTIMADA'!$H$18:$H$40,'AVARIA ESTIMADA'!$A$18:$A$40,A214)</f>
        <v>0</v>
      </c>
    </row>
    <row r="215" spans="1:6" x14ac:dyDescent="0.3">
      <c r="A215" s="2" t="s">
        <v>156</v>
      </c>
      <c r="B215" s="19" t="str">
        <f>_xlfn.XLOOKUP(A215,CATÁLOGO!$A$2:$A$846,CATÁLOGO!$B$2:$B$846,"FORA DO CATÁLOGO")</f>
        <v>TOP006MP</v>
      </c>
      <c r="C215" s="13">
        <v>4</v>
      </c>
      <c r="D215" s="13" t="str">
        <f>_xlfn.XLOOKUP(A215,CATÁLOGO!$A$2:$A$846,CATÁLOGO!$E$2:$E$846,"FORA DO CATÁLOGO")</f>
        <v>Ativo</v>
      </c>
      <c r="E215" s="2" t="s">
        <v>1401</v>
      </c>
      <c r="F215" s="62">
        <f>SUMIFS('AVARIA ESTIMADA'!$H$18:$H$40,'AVARIA ESTIMADA'!$A$18:$A$40,A215)</f>
        <v>0</v>
      </c>
    </row>
    <row r="216" spans="1:6" x14ac:dyDescent="0.3">
      <c r="A216" s="2" t="s">
        <v>157</v>
      </c>
      <c r="B216" s="19" t="str">
        <f>_xlfn.XLOOKUP(A216,CATÁLOGO!$A$2:$A$846,CATÁLOGO!$B$2:$B$846,"FORA DO CATÁLOGO")</f>
        <v>TOP006MM</v>
      </c>
      <c r="C216" s="13">
        <v>5</v>
      </c>
      <c r="D216" s="13" t="str">
        <f>_xlfn.XLOOKUP(A216,CATÁLOGO!$A$2:$A$846,CATÁLOGO!$E$2:$E$846,"FORA DO CATÁLOGO")</f>
        <v>Ativo</v>
      </c>
      <c r="E216" s="2" t="s">
        <v>1401</v>
      </c>
      <c r="F216" s="62">
        <f>SUMIFS('AVARIA ESTIMADA'!$H$18:$H$40,'AVARIA ESTIMADA'!$A$18:$A$40,A216)</f>
        <v>0</v>
      </c>
    </row>
    <row r="217" spans="1:6" x14ac:dyDescent="0.3">
      <c r="A217" s="2" t="s">
        <v>158</v>
      </c>
      <c r="B217" s="19" t="str">
        <f>_xlfn.XLOOKUP(A217,CATÁLOGO!$A$2:$A$846,CATÁLOGO!$B$2:$B$846,"FORA DO CATÁLOGO")</f>
        <v>TOP006MG</v>
      </c>
      <c r="C217" s="13">
        <v>4</v>
      </c>
      <c r="D217" s="13" t="str">
        <f>_xlfn.XLOOKUP(A217,CATÁLOGO!$A$2:$A$846,CATÁLOGO!$E$2:$E$846,"FORA DO CATÁLOGO")</f>
        <v>Ativo</v>
      </c>
      <c r="E217" s="2" t="s">
        <v>1401</v>
      </c>
      <c r="F217" s="62">
        <f>SUMIFS('AVARIA ESTIMADA'!$H$18:$H$40,'AVARIA ESTIMADA'!$A$18:$A$40,A217)</f>
        <v>4</v>
      </c>
    </row>
    <row r="218" spans="1:6" x14ac:dyDescent="0.3">
      <c r="A218" s="2" t="s">
        <v>159</v>
      </c>
      <c r="B218" s="19" t="str">
        <f>_xlfn.XLOOKUP(A218,CATÁLOGO!$A$2:$A$846,CATÁLOGO!$B$2:$B$846,"FORA DO CATÁLOGO")</f>
        <v>TOP006MGG</v>
      </c>
      <c r="C218" s="13">
        <v>2</v>
      </c>
      <c r="D218" s="13" t="str">
        <f>_xlfn.XLOOKUP(A218,CATÁLOGO!$A$2:$A$846,CATÁLOGO!$E$2:$E$846,"FORA DO CATÁLOGO")</f>
        <v>Ativo</v>
      </c>
      <c r="E218" s="2" t="s">
        <v>1401</v>
      </c>
      <c r="F218" s="62">
        <f>SUMIFS('AVARIA ESTIMADA'!$H$18:$H$40,'AVARIA ESTIMADA'!$A$18:$A$40,A218)</f>
        <v>0</v>
      </c>
    </row>
    <row r="219" spans="1:6" x14ac:dyDescent="0.3">
      <c r="A219" s="2" t="s">
        <v>160</v>
      </c>
      <c r="B219" s="19" t="str">
        <f>_xlfn.XLOOKUP(A219,CATÁLOGO!$A$2:$A$846,CATÁLOGO!$B$2:$B$846,"FORA DO CATÁLOGO")</f>
        <v>CAM008HM</v>
      </c>
      <c r="C219" s="13">
        <v>3</v>
      </c>
      <c r="D219" s="13" t="str">
        <f>_xlfn.XLOOKUP(A219,CATÁLOGO!$A$2:$A$846,CATÁLOGO!$E$2:$E$846,"FORA DO CATÁLOGO")</f>
        <v>Descontinuado</v>
      </c>
      <c r="E219" s="2" t="s">
        <v>1401</v>
      </c>
      <c r="F219" s="62">
        <f>SUMIFS('AVARIA ESTIMADA'!$H$18:$H$40,'AVARIA ESTIMADA'!$A$18:$A$40,A219)</f>
        <v>0</v>
      </c>
    </row>
    <row r="220" spans="1:6" x14ac:dyDescent="0.3">
      <c r="A220" s="2" t="s">
        <v>161</v>
      </c>
      <c r="B220" s="19" t="str">
        <f>_xlfn.XLOOKUP(A220,CATÁLOGO!$A$2:$A$846,CATÁLOGO!$B$2:$B$846,"FORA DO CATÁLOGO")</f>
        <v>CAM008HG</v>
      </c>
      <c r="C220" s="13">
        <v>1</v>
      </c>
      <c r="D220" s="13" t="str">
        <f>_xlfn.XLOOKUP(A220,CATÁLOGO!$A$2:$A$846,CATÁLOGO!$E$2:$E$846,"FORA DO CATÁLOGO")</f>
        <v>Descontinuado</v>
      </c>
      <c r="E220" s="2" t="s">
        <v>1401</v>
      </c>
      <c r="F220" s="62">
        <f>SUMIFS('AVARIA ESTIMADA'!$H$18:$H$40,'AVARIA ESTIMADA'!$A$18:$A$40,A220)</f>
        <v>0</v>
      </c>
    </row>
    <row r="221" spans="1:6" x14ac:dyDescent="0.3">
      <c r="A221" s="2" t="s">
        <v>162</v>
      </c>
      <c r="B221" s="19" t="str">
        <f>_xlfn.XLOOKUP(A221,CATÁLOGO!$A$2:$A$846,CATÁLOGO!$B$2:$B$846,"FORA DO CATÁLOGO")</f>
        <v>MOL009MP</v>
      </c>
      <c r="C221" s="13">
        <v>2</v>
      </c>
      <c r="D221" s="13" t="str">
        <f>_xlfn.XLOOKUP(A221,CATÁLOGO!$A$2:$A$846,CATÁLOGO!$E$2:$E$846,"FORA DO CATÁLOGO")</f>
        <v>Ativo</v>
      </c>
      <c r="E221" s="2" t="s">
        <v>1401</v>
      </c>
      <c r="F221" s="62">
        <f>SUMIFS('AVARIA ESTIMADA'!$H$18:$H$40,'AVARIA ESTIMADA'!$A$18:$A$40,A221)</f>
        <v>0</v>
      </c>
    </row>
    <row r="222" spans="1:6" x14ac:dyDescent="0.3">
      <c r="A222" s="2" t="s">
        <v>163</v>
      </c>
      <c r="B222" s="19" t="str">
        <f>_xlfn.XLOOKUP(A222,CATÁLOGO!$A$2:$A$846,CATÁLOGO!$B$2:$B$846,"FORA DO CATÁLOGO")</f>
        <v>MOL009MM</v>
      </c>
      <c r="C222" s="13">
        <v>3</v>
      </c>
      <c r="D222" s="13" t="str">
        <f>_xlfn.XLOOKUP(A222,CATÁLOGO!$A$2:$A$846,CATÁLOGO!$E$2:$E$846,"FORA DO CATÁLOGO")</f>
        <v>Ativo</v>
      </c>
      <c r="E222" s="2" t="s">
        <v>1401</v>
      </c>
      <c r="F222" s="62">
        <f>SUMIFS('AVARIA ESTIMADA'!$H$18:$H$40,'AVARIA ESTIMADA'!$A$18:$A$40,A222)</f>
        <v>0</v>
      </c>
    </row>
    <row r="223" spans="1:6" x14ac:dyDescent="0.3">
      <c r="A223" s="2" t="s">
        <v>164</v>
      </c>
      <c r="B223" s="19" t="str">
        <f>_xlfn.XLOOKUP(A223,CATÁLOGO!$A$2:$A$846,CATÁLOGO!$B$2:$B$846,"FORA DO CATÁLOGO")</f>
        <v>MOL009MG</v>
      </c>
      <c r="C223" s="13">
        <v>2</v>
      </c>
      <c r="D223" s="13" t="str">
        <f>_xlfn.XLOOKUP(A223,CATÁLOGO!$A$2:$A$846,CATÁLOGO!$E$2:$E$846,"FORA DO CATÁLOGO")</f>
        <v>Ativo</v>
      </c>
      <c r="E223" s="2" t="s">
        <v>1401</v>
      </c>
      <c r="F223" s="62">
        <f>SUMIFS('AVARIA ESTIMADA'!$H$18:$H$40,'AVARIA ESTIMADA'!$A$18:$A$40,A223)</f>
        <v>0</v>
      </c>
    </row>
    <row r="224" spans="1:6" x14ac:dyDescent="0.3">
      <c r="A224" s="2" t="s">
        <v>165</v>
      </c>
      <c r="B224" s="19" t="str">
        <f>_xlfn.XLOOKUP(A224,CATÁLOGO!$A$2:$A$846,CATÁLOGO!$B$2:$B$846,"FORA DO CATÁLOGO")</f>
        <v>MOL009MGG</v>
      </c>
      <c r="C224" s="13">
        <v>1</v>
      </c>
      <c r="D224" s="13" t="str">
        <f>_xlfn.XLOOKUP(A224,CATÁLOGO!$A$2:$A$846,CATÁLOGO!$E$2:$E$846,"FORA DO CATÁLOGO")</f>
        <v>Ativo</v>
      </c>
      <c r="E224" s="2" t="s">
        <v>1401</v>
      </c>
      <c r="F224" s="62">
        <f>SUMIFS('AVARIA ESTIMADA'!$H$18:$H$40,'AVARIA ESTIMADA'!$A$18:$A$40,A224)</f>
        <v>0</v>
      </c>
    </row>
    <row r="225" spans="1:6" x14ac:dyDescent="0.3">
      <c r="A225" s="2" t="s">
        <v>166</v>
      </c>
      <c r="B225" s="19" t="str">
        <f>_xlfn.XLOOKUP(A225,CATÁLOGO!$A$2:$A$846,CATÁLOGO!$B$2:$B$846,"FORA DO CATÁLOGO")</f>
        <v>TOP008GP</v>
      </c>
      <c r="C225" s="13">
        <v>5</v>
      </c>
      <c r="D225" s="13" t="str">
        <f>_xlfn.XLOOKUP(A225,CATÁLOGO!$A$2:$A$846,CATÁLOGO!$E$2:$E$846,"FORA DO CATÁLOGO")</f>
        <v>Ativo</v>
      </c>
      <c r="E225" s="2" t="s">
        <v>1401</v>
      </c>
      <c r="F225" s="62">
        <f>SUMIFS('AVARIA ESTIMADA'!$H$18:$H$40,'AVARIA ESTIMADA'!$A$18:$A$40,A225)</f>
        <v>0</v>
      </c>
    </row>
    <row r="226" spans="1:6" x14ac:dyDescent="0.3">
      <c r="A226" s="2" t="s">
        <v>167</v>
      </c>
      <c r="B226" s="19" t="str">
        <f>_xlfn.XLOOKUP(A226,CATÁLOGO!$A$2:$A$846,CATÁLOGO!$B$2:$B$846,"FORA DO CATÁLOGO")</f>
        <v>TOP008GM</v>
      </c>
      <c r="C226" s="13">
        <v>6</v>
      </c>
      <c r="D226" s="13" t="str">
        <f>_xlfn.XLOOKUP(A226,CATÁLOGO!$A$2:$A$846,CATÁLOGO!$E$2:$E$846,"FORA DO CATÁLOGO")</f>
        <v>Ativo</v>
      </c>
      <c r="E226" s="2" t="s">
        <v>1401</v>
      </c>
      <c r="F226" s="62">
        <f>SUMIFS('AVARIA ESTIMADA'!$H$18:$H$40,'AVARIA ESTIMADA'!$A$18:$A$40,A226)</f>
        <v>0</v>
      </c>
    </row>
    <row r="227" spans="1:6" x14ac:dyDescent="0.3">
      <c r="A227" s="2" t="s">
        <v>168</v>
      </c>
      <c r="B227" s="19" t="str">
        <f>_xlfn.XLOOKUP(A227,CATÁLOGO!$A$2:$A$846,CATÁLOGO!$B$2:$B$846,"FORA DO CATÁLOGO")</f>
        <v>TOP008GG</v>
      </c>
      <c r="C227" s="13">
        <v>6</v>
      </c>
      <c r="D227" s="13" t="str">
        <f>_xlfn.XLOOKUP(A227,CATÁLOGO!$A$2:$A$846,CATÁLOGO!$E$2:$E$846,"FORA DO CATÁLOGO")</f>
        <v>Ativo</v>
      </c>
      <c r="E227" s="2" t="s">
        <v>1401</v>
      </c>
      <c r="F227" s="62">
        <f>SUMIFS('AVARIA ESTIMADA'!$H$18:$H$40,'AVARIA ESTIMADA'!$A$18:$A$40,A227)</f>
        <v>0</v>
      </c>
    </row>
    <row r="228" spans="1:6" x14ac:dyDescent="0.3">
      <c r="A228" s="2" t="s">
        <v>169</v>
      </c>
      <c r="B228" s="19" t="str">
        <f>_xlfn.XLOOKUP(A228,CATÁLOGO!$A$2:$A$846,CATÁLOGO!$B$2:$B$846,"FORA DO CATÁLOGO")</f>
        <v>CAM009HP</v>
      </c>
      <c r="C228" s="13">
        <v>6</v>
      </c>
      <c r="D228" s="13" t="str">
        <f>_xlfn.XLOOKUP(A228,CATÁLOGO!$A$2:$A$846,CATÁLOGO!$E$2:$E$846,"FORA DO CATÁLOGO")</f>
        <v>Ativo</v>
      </c>
      <c r="E228" s="2" t="s">
        <v>1401</v>
      </c>
      <c r="F228" s="62">
        <f>SUMIFS('AVARIA ESTIMADA'!$H$18:$H$40,'AVARIA ESTIMADA'!$A$18:$A$40,A228)</f>
        <v>0</v>
      </c>
    </row>
    <row r="229" spans="1:6" x14ac:dyDescent="0.3">
      <c r="A229" s="2" t="s">
        <v>170</v>
      </c>
      <c r="B229" s="19" t="str">
        <f>_xlfn.XLOOKUP(A229,CATÁLOGO!$A$2:$A$846,CATÁLOGO!$B$2:$B$846,"FORA DO CATÁLOGO")</f>
        <v>CAM009HM</v>
      </c>
      <c r="C229" s="13">
        <v>6</v>
      </c>
      <c r="D229" s="13" t="str">
        <f>_xlfn.XLOOKUP(A229,CATÁLOGO!$A$2:$A$846,CATÁLOGO!$E$2:$E$846,"FORA DO CATÁLOGO")</f>
        <v>Ativo</v>
      </c>
      <c r="E229" s="2" t="s">
        <v>1401</v>
      </c>
      <c r="F229" s="62">
        <f>SUMIFS('AVARIA ESTIMADA'!$H$18:$H$40,'AVARIA ESTIMADA'!$A$18:$A$40,A229)</f>
        <v>0</v>
      </c>
    </row>
    <row r="230" spans="1:6" x14ac:dyDescent="0.3">
      <c r="A230" s="2" t="s">
        <v>171</v>
      </c>
      <c r="B230" s="19" t="str">
        <f>_xlfn.XLOOKUP(A230,CATÁLOGO!$A$2:$A$846,CATÁLOGO!$B$2:$B$846,"FORA DO CATÁLOGO")</f>
        <v>CAM009HG</v>
      </c>
      <c r="C230" s="13">
        <v>5</v>
      </c>
      <c r="D230" s="13" t="str">
        <f>_xlfn.XLOOKUP(A230,CATÁLOGO!$A$2:$A$846,CATÁLOGO!$E$2:$E$846,"FORA DO CATÁLOGO")</f>
        <v>Ativo</v>
      </c>
      <c r="E230" s="2" t="s">
        <v>1401</v>
      </c>
      <c r="F230" s="62">
        <f>SUMIFS('AVARIA ESTIMADA'!$H$18:$H$40,'AVARIA ESTIMADA'!$A$18:$A$40,A230)</f>
        <v>0</v>
      </c>
    </row>
    <row r="231" spans="1:6" x14ac:dyDescent="0.3">
      <c r="A231" s="2" t="s">
        <v>172</v>
      </c>
      <c r="B231" s="19" t="str">
        <f>_xlfn.XLOOKUP(A231,CATÁLOGO!$A$2:$A$846,CATÁLOGO!$B$2:$B$846,"FORA DO CATÁLOGO")</f>
        <v>CAM009HGG</v>
      </c>
      <c r="C231" s="13">
        <v>4</v>
      </c>
      <c r="D231" s="13" t="str">
        <f>_xlfn.XLOOKUP(A231,CATÁLOGO!$A$2:$A$846,CATÁLOGO!$E$2:$E$846,"FORA DO CATÁLOGO")</f>
        <v>Ativo</v>
      </c>
      <c r="E231" s="2" t="s">
        <v>1401</v>
      </c>
      <c r="F231" s="62">
        <f>SUMIFS('AVARIA ESTIMADA'!$H$18:$H$40,'AVARIA ESTIMADA'!$A$18:$A$40,A231)</f>
        <v>0</v>
      </c>
    </row>
    <row r="232" spans="1:6" x14ac:dyDescent="0.3">
      <c r="A232" s="2" t="s">
        <v>173</v>
      </c>
      <c r="B232" s="19" t="str">
        <f>_xlfn.XLOOKUP(A232,CATÁLOGO!$A$2:$A$846,CATÁLOGO!$B$2:$B$846,"FORA DO CATÁLOGO")</f>
        <v>TOP009GP</v>
      </c>
      <c r="C232" s="13">
        <v>2</v>
      </c>
      <c r="D232" s="13" t="str">
        <f>_xlfn.XLOOKUP(A232,CATÁLOGO!$A$2:$A$846,CATÁLOGO!$E$2:$E$846,"FORA DO CATÁLOGO")</f>
        <v>Descontinuado</v>
      </c>
      <c r="E232" s="2" t="s">
        <v>1401</v>
      </c>
      <c r="F232" s="62">
        <f>SUMIFS('AVARIA ESTIMADA'!$H$18:$H$40,'AVARIA ESTIMADA'!$A$18:$A$40,A232)</f>
        <v>0</v>
      </c>
    </row>
    <row r="233" spans="1:6" x14ac:dyDescent="0.3">
      <c r="A233" s="2" t="s">
        <v>174</v>
      </c>
      <c r="B233" s="19" t="str">
        <f>_xlfn.XLOOKUP(A233,CATÁLOGO!$A$2:$A$846,CATÁLOGO!$B$2:$B$846,"FORA DO CATÁLOGO")</f>
        <v>TOP009GM</v>
      </c>
      <c r="C233" s="13">
        <v>3</v>
      </c>
      <c r="D233" s="13" t="str">
        <f>_xlfn.XLOOKUP(A233,CATÁLOGO!$A$2:$A$846,CATÁLOGO!$E$2:$E$846,"FORA DO CATÁLOGO")</f>
        <v>Descontinuado</v>
      </c>
      <c r="E233" s="2" t="s">
        <v>1401</v>
      </c>
      <c r="F233" s="62">
        <f>SUMIFS('AVARIA ESTIMADA'!$H$18:$H$40,'AVARIA ESTIMADA'!$A$18:$A$40,A233)</f>
        <v>0</v>
      </c>
    </row>
    <row r="234" spans="1:6" x14ac:dyDescent="0.3">
      <c r="A234" s="2" t="s">
        <v>175</v>
      </c>
      <c r="B234" s="19" t="str">
        <f>_xlfn.XLOOKUP(A234,CATÁLOGO!$A$2:$A$846,CATÁLOGO!$B$2:$B$846,"FORA DO CATÁLOGO")</f>
        <v>TOP009GG</v>
      </c>
      <c r="C234" s="13">
        <v>3</v>
      </c>
      <c r="D234" s="13" t="str">
        <f>_xlfn.XLOOKUP(A234,CATÁLOGO!$A$2:$A$846,CATÁLOGO!$E$2:$E$846,"FORA DO CATÁLOGO")</f>
        <v>Descontinuado</v>
      </c>
      <c r="E234" s="2" t="s">
        <v>1401</v>
      </c>
      <c r="F234" s="62">
        <f>SUMIFS('AVARIA ESTIMADA'!$H$18:$H$40,'AVARIA ESTIMADA'!$A$18:$A$40,A234)</f>
        <v>0</v>
      </c>
    </row>
    <row r="235" spans="1:6" x14ac:dyDescent="0.3">
      <c r="A235" s="2" t="s">
        <v>176</v>
      </c>
      <c r="B235" s="19" t="str">
        <f>_xlfn.XLOOKUP(A235,CATÁLOGO!$A$2:$A$846,CATÁLOGO!$B$2:$B$846,"FORA DO CATÁLOGO")</f>
        <v>TOP009GGG</v>
      </c>
      <c r="C235" s="13">
        <v>0</v>
      </c>
      <c r="D235" s="13" t="str">
        <f>_xlfn.XLOOKUP(A235,CATÁLOGO!$A$2:$A$846,CATÁLOGO!$E$2:$E$846,"FORA DO CATÁLOGO")</f>
        <v>Descontinuado</v>
      </c>
      <c r="E235" s="2" t="s">
        <v>1401</v>
      </c>
      <c r="F235" s="62">
        <f>SUMIFS('AVARIA ESTIMADA'!$H$18:$H$40,'AVARIA ESTIMADA'!$A$18:$A$40,A235)</f>
        <v>0</v>
      </c>
    </row>
    <row r="236" spans="1:6" x14ac:dyDescent="0.3">
      <c r="A236" s="2" t="s">
        <v>177</v>
      </c>
      <c r="B236" s="19" t="str">
        <f>_xlfn.XLOOKUP(A236,CATÁLOGO!$A$2:$A$846,CATÁLOGO!$B$2:$B$846,"FORA DO CATÁLOGO")</f>
        <v>TOP010YP</v>
      </c>
      <c r="C236" s="13">
        <v>2</v>
      </c>
      <c r="D236" s="13" t="str">
        <f>_xlfn.XLOOKUP(A236,CATÁLOGO!$A$2:$A$846,CATÁLOGO!$E$2:$E$846,"FORA DO CATÁLOGO")</f>
        <v>Descontinuado</v>
      </c>
      <c r="E236" s="2" t="s">
        <v>1401</v>
      </c>
      <c r="F236" s="62">
        <f>SUMIFS('AVARIA ESTIMADA'!$H$18:$H$40,'AVARIA ESTIMADA'!$A$18:$A$40,A236)</f>
        <v>0</v>
      </c>
    </row>
    <row r="237" spans="1:6" x14ac:dyDescent="0.3">
      <c r="A237" s="2" t="s">
        <v>178</v>
      </c>
      <c r="B237" s="19" t="str">
        <f>_xlfn.XLOOKUP(A237,CATÁLOGO!$A$2:$A$846,CATÁLOGO!$B$2:$B$846,"FORA DO CATÁLOGO")</f>
        <v>TOP010YM</v>
      </c>
      <c r="C237" s="13">
        <v>1</v>
      </c>
      <c r="D237" s="13" t="str">
        <f>_xlfn.XLOOKUP(A237,CATÁLOGO!$A$2:$A$846,CATÁLOGO!$E$2:$E$846,"FORA DO CATÁLOGO")</f>
        <v>Descontinuado</v>
      </c>
      <c r="E237" s="2" t="s">
        <v>1401</v>
      </c>
      <c r="F237" s="62">
        <f>SUMIFS('AVARIA ESTIMADA'!$H$18:$H$40,'AVARIA ESTIMADA'!$A$18:$A$40,A237)</f>
        <v>1</v>
      </c>
    </row>
    <row r="238" spans="1:6" x14ac:dyDescent="0.3">
      <c r="A238" s="2" t="s">
        <v>179</v>
      </c>
      <c r="B238" s="19" t="str">
        <f>_xlfn.XLOOKUP(A238,CATÁLOGO!$A$2:$A$846,CATÁLOGO!$B$2:$B$846,"FORA DO CATÁLOGO")</f>
        <v>TOP010YG</v>
      </c>
      <c r="C238" s="13">
        <v>1</v>
      </c>
      <c r="D238" s="13" t="str">
        <f>_xlfn.XLOOKUP(A238,CATÁLOGO!$A$2:$A$846,CATÁLOGO!$E$2:$E$846,"FORA DO CATÁLOGO")</f>
        <v>Descontinuado</v>
      </c>
      <c r="E238" s="2" t="s">
        <v>1401</v>
      </c>
      <c r="F238" s="62">
        <f>SUMIFS('AVARIA ESTIMADA'!$H$18:$H$40,'AVARIA ESTIMADA'!$A$18:$A$40,A238)</f>
        <v>0</v>
      </c>
    </row>
    <row r="239" spans="1:6" x14ac:dyDescent="0.3">
      <c r="A239" s="2" t="s">
        <v>180</v>
      </c>
      <c r="B239" s="19" t="str">
        <f>_xlfn.XLOOKUP(A239,CATÁLOGO!$A$2:$A$846,CATÁLOGO!$B$2:$B$846,"FORA DO CATÁLOGO")</f>
        <v>TOP010HM</v>
      </c>
      <c r="C239" s="13">
        <v>1</v>
      </c>
      <c r="D239" s="13" t="str">
        <f>_xlfn.XLOOKUP(A239,CATÁLOGO!$A$2:$A$846,CATÁLOGO!$E$2:$E$846,"FORA DO CATÁLOGO")</f>
        <v>Descontinuado</v>
      </c>
      <c r="E239" s="2" t="s">
        <v>1401</v>
      </c>
      <c r="F239" s="62">
        <f>SUMIFS('AVARIA ESTIMADA'!$H$18:$H$40,'AVARIA ESTIMADA'!$A$18:$A$40,A239)</f>
        <v>0</v>
      </c>
    </row>
    <row r="240" spans="1:6" x14ac:dyDescent="0.3">
      <c r="A240" s="2" t="s">
        <v>181</v>
      </c>
      <c r="B240" s="19" t="str">
        <f>_xlfn.XLOOKUP(A240,CATÁLOGO!$A$2:$A$846,CATÁLOGO!$B$2:$B$846,"FORA DO CATÁLOGO")</f>
        <v>TOP010HG</v>
      </c>
      <c r="C240" s="13">
        <v>1</v>
      </c>
      <c r="D240" s="13" t="str">
        <f>_xlfn.XLOOKUP(A240,CATÁLOGO!$A$2:$A$846,CATÁLOGO!$E$2:$E$846,"FORA DO CATÁLOGO")</f>
        <v>Descontinuado</v>
      </c>
      <c r="E240" s="2" t="s">
        <v>1401</v>
      </c>
      <c r="F240" s="62">
        <f>SUMIFS('AVARIA ESTIMADA'!$H$18:$H$40,'AVARIA ESTIMADA'!$A$18:$A$40,A240)</f>
        <v>0</v>
      </c>
    </row>
    <row r="241" spans="1:6" x14ac:dyDescent="0.3">
      <c r="A241" s="2" t="s">
        <v>182</v>
      </c>
      <c r="B241" s="19" t="str">
        <f>_xlfn.XLOOKUP(A241,CATÁLOGO!$A$2:$A$846,CATÁLOGO!$B$2:$B$846,"FORA DO CATÁLOGO")</f>
        <v>CAM010VP</v>
      </c>
      <c r="C241" s="13">
        <v>1</v>
      </c>
      <c r="D241" s="13" t="str">
        <f>_xlfn.XLOOKUP(A241,CATÁLOGO!$A$2:$A$846,CATÁLOGO!$E$2:$E$846,"FORA DO CATÁLOGO")</f>
        <v>Descontinuado</v>
      </c>
      <c r="E241" s="2" t="s">
        <v>1401</v>
      </c>
      <c r="F241" s="62">
        <f>SUMIFS('AVARIA ESTIMADA'!$H$18:$H$40,'AVARIA ESTIMADA'!$A$18:$A$40,A241)</f>
        <v>0</v>
      </c>
    </row>
    <row r="242" spans="1:6" x14ac:dyDescent="0.3">
      <c r="A242" s="2" t="s">
        <v>183</v>
      </c>
      <c r="B242" s="19" t="str">
        <f>_xlfn.XLOOKUP(A242,CATÁLOGO!$A$2:$A$846,CATÁLOGO!$B$2:$B$846,"FORA DO CATÁLOGO")</f>
        <v>CAM010VM</v>
      </c>
      <c r="C242" s="13">
        <v>2</v>
      </c>
      <c r="D242" s="13" t="str">
        <f>_xlfn.XLOOKUP(A242,CATÁLOGO!$A$2:$A$846,CATÁLOGO!$E$2:$E$846,"FORA DO CATÁLOGO")</f>
        <v>Descontinuado</v>
      </c>
      <c r="E242" s="2" t="s">
        <v>1401</v>
      </c>
      <c r="F242" s="62">
        <f>SUMIFS('AVARIA ESTIMADA'!$H$18:$H$40,'AVARIA ESTIMADA'!$A$18:$A$40,A242)</f>
        <v>0</v>
      </c>
    </row>
    <row r="243" spans="1:6" x14ac:dyDescent="0.3">
      <c r="A243" s="2" t="s">
        <v>184</v>
      </c>
      <c r="B243" s="19" t="str">
        <f>_xlfn.XLOOKUP(A243,CATÁLOGO!$A$2:$A$846,CATÁLOGO!$B$2:$B$846,"FORA DO CATÁLOGO")</f>
        <v>CAM010VG</v>
      </c>
      <c r="C243" s="13">
        <v>2</v>
      </c>
      <c r="D243" s="13" t="str">
        <f>_xlfn.XLOOKUP(A243,CATÁLOGO!$A$2:$A$846,CATÁLOGO!$E$2:$E$846,"FORA DO CATÁLOGO")</f>
        <v>Descontinuado</v>
      </c>
      <c r="E243" s="2" t="s">
        <v>1401</v>
      </c>
      <c r="F243" s="62">
        <f>SUMIFS('AVARIA ESTIMADA'!$H$18:$H$40,'AVARIA ESTIMADA'!$A$18:$A$40,A243)</f>
        <v>0</v>
      </c>
    </row>
    <row r="244" spans="1:6" x14ac:dyDescent="0.3">
      <c r="A244" s="2" t="s">
        <v>185</v>
      </c>
      <c r="B244" s="19" t="str">
        <f>_xlfn.XLOOKUP(A244,CATÁLOGO!$A$2:$A$846,CATÁLOGO!$B$2:$B$846,"FORA DO CATÁLOGO")</f>
        <v>CAM010VGG</v>
      </c>
      <c r="C244" s="13">
        <v>1</v>
      </c>
      <c r="D244" s="13" t="str">
        <f>_xlfn.XLOOKUP(A244,CATÁLOGO!$A$2:$A$846,CATÁLOGO!$E$2:$E$846,"FORA DO CATÁLOGO")</f>
        <v>Descontinuado</v>
      </c>
      <c r="E244" s="2" t="s">
        <v>1401</v>
      </c>
      <c r="F244" s="62">
        <f>SUMIFS('AVARIA ESTIMADA'!$H$18:$H$40,'AVARIA ESTIMADA'!$A$18:$A$40,A244)</f>
        <v>0</v>
      </c>
    </row>
    <row r="245" spans="1:6" x14ac:dyDescent="0.3">
      <c r="A245" s="2" t="s">
        <v>186</v>
      </c>
      <c r="B245" s="19" t="str">
        <f>_xlfn.XLOOKUP(A245,CATÁLOGO!$A$2:$A$846,CATÁLOGO!$B$2:$B$846,"FORA DO CATÁLOGO")</f>
        <v>CAM010HG</v>
      </c>
      <c r="C245" s="13">
        <v>1</v>
      </c>
      <c r="D245" s="13" t="str">
        <f>_xlfn.XLOOKUP(A245,CATÁLOGO!$A$2:$A$846,CATÁLOGO!$E$2:$E$846,"FORA DO CATÁLOGO")</f>
        <v>Descontinuado</v>
      </c>
      <c r="E245" s="2" t="s">
        <v>1401</v>
      </c>
      <c r="F245" s="62">
        <f>SUMIFS('AVARIA ESTIMADA'!$H$18:$H$40,'AVARIA ESTIMADA'!$A$18:$A$40,A245)</f>
        <v>0</v>
      </c>
    </row>
    <row r="246" spans="1:6" x14ac:dyDescent="0.3">
      <c r="A246" s="2" t="s">
        <v>187</v>
      </c>
      <c r="B246" s="19" t="str">
        <f>_xlfn.XLOOKUP(A246,CATÁLOGO!$A$2:$A$846,CATÁLOGO!$B$2:$B$846,"FORA DO CATÁLOGO")</f>
        <v>CAM011HP</v>
      </c>
      <c r="C246" s="13">
        <v>2</v>
      </c>
      <c r="D246" s="13" t="str">
        <f>_xlfn.XLOOKUP(A246,CATÁLOGO!$A$2:$A$846,CATÁLOGO!$E$2:$E$846,"FORA DO CATÁLOGO")</f>
        <v>Descontinuado</v>
      </c>
      <c r="E246" s="2" t="s">
        <v>1401</v>
      </c>
      <c r="F246" s="62">
        <f>SUMIFS('AVARIA ESTIMADA'!$H$18:$H$40,'AVARIA ESTIMADA'!$A$18:$A$40,A246)</f>
        <v>0</v>
      </c>
    </row>
    <row r="247" spans="1:6" x14ac:dyDescent="0.3">
      <c r="A247" s="2" t="s">
        <v>188</v>
      </c>
      <c r="B247" s="19" t="str">
        <f>_xlfn.XLOOKUP(A247,CATÁLOGO!$A$2:$A$846,CATÁLOGO!$B$2:$B$846,"FORA DO CATÁLOGO")</f>
        <v>CAM011HM</v>
      </c>
      <c r="C247" s="13">
        <v>1</v>
      </c>
      <c r="D247" s="13" t="str">
        <f>_xlfn.XLOOKUP(A247,CATÁLOGO!$A$2:$A$846,CATÁLOGO!$E$2:$E$846,"FORA DO CATÁLOGO")</f>
        <v>Descontinuado</v>
      </c>
      <c r="E247" s="2" t="s">
        <v>1401</v>
      </c>
      <c r="F247" s="62">
        <f>SUMIFS('AVARIA ESTIMADA'!$H$18:$H$40,'AVARIA ESTIMADA'!$A$18:$A$40,A247)</f>
        <v>0</v>
      </c>
    </row>
    <row r="248" spans="1:6" x14ac:dyDescent="0.3">
      <c r="A248" s="2" t="s">
        <v>189</v>
      </c>
      <c r="B248" s="19" t="str">
        <f>_xlfn.XLOOKUP(A248,CATÁLOGO!$A$2:$A$846,CATÁLOGO!$B$2:$B$846,"FORA DO CATÁLOGO")</f>
        <v>CAM011HG</v>
      </c>
      <c r="C248" s="13">
        <v>1</v>
      </c>
      <c r="D248" s="13" t="str">
        <f>_xlfn.XLOOKUP(A248,CATÁLOGO!$A$2:$A$846,CATÁLOGO!$E$2:$E$846,"FORA DO CATÁLOGO")</f>
        <v>Descontinuado</v>
      </c>
      <c r="E248" s="2" t="s">
        <v>1401</v>
      </c>
      <c r="F248" s="62">
        <f>SUMIFS('AVARIA ESTIMADA'!$H$18:$H$40,'AVARIA ESTIMADA'!$A$18:$A$40,A248)</f>
        <v>0</v>
      </c>
    </row>
    <row r="249" spans="1:6" x14ac:dyDescent="0.3">
      <c r="A249" s="2" t="s">
        <v>190</v>
      </c>
      <c r="B249" s="19" t="str">
        <f>_xlfn.XLOOKUP(A249,CATÁLOGO!$A$2:$A$846,CATÁLOGO!$B$2:$B$846,"FORA DO CATÁLOGO")</f>
        <v>CAM011LM</v>
      </c>
      <c r="C249" s="13">
        <v>1</v>
      </c>
      <c r="D249" s="13" t="str">
        <f>_xlfn.XLOOKUP(A249,CATÁLOGO!$A$2:$A$846,CATÁLOGO!$E$2:$E$846,"FORA DO CATÁLOGO")</f>
        <v>Descontinuado</v>
      </c>
      <c r="E249" s="2" t="s">
        <v>1401</v>
      </c>
      <c r="F249" s="62">
        <f>SUMIFS('AVARIA ESTIMADA'!$H$18:$H$40,'AVARIA ESTIMADA'!$A$18:$A$40,A249)</f>
        <v>0</v>
      </c>
    </row>
    <row r="250" spans="1:6" x14ac:dyDescent="0.3">
      <c r="A250" s="2" t="s">
        <v>191</v>
      </c>
      <c r="B250" s="19" t="str">
        <f>_xlfn.XLOOKUP(A250,CATÁLOGO!$A$2:$A$846,CATÁLOGO!$B$2:$B$846,"FORA DO CATÁLOGO")</f>
        <v>CMS007LM</v>
      </c>
      <c r="C250" s="13">
        <v>1</v>
      </c>
      <c r="D250" s="13" t="str">
        <f>_xlfn.XLOOKUP(A250,CATÁLOGO!$A$2:$A$846,CATÁLOGO!$E$2:$E$846,"FORA DO CATÁLOGO")</f>
        <v>Descontinuado</v>
      </c>
      <c r="E250" s="2" t="s">
        <v>1401</v>
      </c>
      <c r="F250" s="62">
        <f>SUMIFS('AVARIA ESTIMADA'!$H$18:$H$40,'AVARIA ESTIMADA'!$A$18:$A$40,A250)</f>
        <v>0</v>
      </c>
    </row>
    <row r="251" spans="1:6" x14ac:dyDescent="0.3">
      <c r="A251" s="2" t="s">
        <v>192</v>
      </c>
      <c r="B251" s="19" t="str">
        <f>_xlfn.XLOOKUP(A251,CATÁLOGO!$A$2:$A$846,CATÁLOGO!$B$2:$B$846,"FORA DO CATÁLOGO")</f>
        <v>CMS007LG</v>
      </c>
      <c r="C251" s="13">
        <v>2</v>
      </c>
      <c r="D251" s="13" t="str">
        <f>_xlfn.XLOOKUP(A251,CATÁLOGO!$A$2:$A$846,CATÁLOGO!$E$2:$E$846,"FORA DO CATÁLOGO")</f>
        <v>Descontinuado</v>
      </c>
      <c r="E251" s="2" t="s">
        <v>1401</v>
      </c>
      <c r="F251" s="62">
        <f>SUMIFS('AVARIA ESTIMADA'!$H$18:$H$40,'AVARIA ESTIMADA'!$A$18:$A$40,A251)</f>
        <v>0</v>
      </c>
    </row>
    <row r="252" spans="1:6" x14ac:dyDescent="0.3">
      <c r="A252" s="2" t="s">
        <v>193</v>
      </c>
      <c r="B252" s="19" t="str">
        <f>_xlfn.XLOOKUP(A252,CATÁLOGO!$A$2:$A$846,CATÁLOGO!$B$2:$B$846,"FORA DO CATÁLOGO")</f>
        <v>CMS007LGG</v>
      </c>
      <c r="C252" s="13">
        <v>2</v>
      </c>
      <c r="D252" s="13" t="str">
        <f>_xlfn.XLOOKUP(A252,CATÁLOGO!$A$2:$A$846,CATÁLOGO!$E$2:$E$846,"FORA DO CATÁLOGO")</f>
        <v>Descontinuado</v>
      </c>
      <c r="E252" s="2" t="s">
        <v>1401</v>
      </c>
      <c r="F252" s="62">
        <f>SUMIFS('AVARIA ESTIMADA'!$H$18:$H$40,'AVARIA ESTIMADA'!$A$18:$A$40,A252)</f>
        <v>0</v>
      </c>
    </row>
    <row r="253" spans="1:6" x14ac:dyDescent="0.3">
      <c r="A253" s="2" t="s">
        <v>194</v>
      </c>
      <c r="B253" s="19" t="str">
        <f>_xlfn.XLOOKUP(A253,CATÁLOGO!$A$2:$A$846,CATÁLOGO!$B$2:$B$846,"FORA DO CATÁLOGO")</f>
        <v>CMS007BP</v>
      </c>
      <c r="C253" s="13">
        <v>2</v>
      </c>
      <c r="D253" s="13" t="str">
        <f>_xlfn.XLOOKUP(A253,CATÁLOGO!$A$2:$A$846,CATÁLOGO!$E$2:$E$846,"FORA DO CATÁLOGO")</f>
        <v>Descontinuado</v>
      </c>
      <c r="E253" s="2" t="s">
        <v>1401</v>
      </c>
      <c r="F253" s="62">
        <f>SUMIFS('AVARIA ESTIMADA'!$H$18:$H$40,'AVARIA ESTIMADA'!$A$18:$A$40,A253)</f>
        <v>0</v>
      </c>
    </row>
    <row r="254" spans="1:6" x14ac:dyDescent="0.3">
      <c r="A254" s="2" t="s">
        <v>195</v>
      </c>
      <c r="B254" s="19" t="str">
        <f>_xlfn.XLOOKUP(A254,CATÁLOGO!$A$2:$A$846,CATÁLOGO!$B$2:$B$846,"FORA DO CATÁLOGO")</f>
        <v>CMS007BM</v>
      </c>
      <c r="C254" s="13">
        <v>1</v>
      </c>
      <c r="D254" s="13" t="str">
        <f>_xlfn.XLOOKUP(A254,CATÁLOGO!$A$2:$A$846,CATÁLOGO!$E$2:$E$846,"FORA DO CATÁLOGO")</f>
        <v>Descontinuado</v>
      </c>
      <c r="E254" s="2" t="s">
        <v>1401</v>
      </c>
      <c r="F254" s="62">
        <f>SUMIFS('AVARIA ESTIMADA'!$H$18:$H$40,'AVARIA ESTIMADA'!$A$18:$A$40,A254)</f>
        <v>0</v>
      </c>
    </row>
    <row r="255" spans="1:6" x14ac:dyDescent="0.3">
      <c r="A255" s="2" t="s">
        <v>196</v>
      </c>
      <c r="B255" s="19" t="str">
        <f>_xlfn.XLOOKUP(A255,CATÁLOGO!$A$2:$A$846,CATÁLOGO!$B$2:$B$846,"FORA DO CATÁLOGO")</f>
        <v>CMS007BG</v>
      </c>
      <c r="C255" s="13">
        <v>1</v>
      </c>
      <c r="D255" s="13" t="str">
        <f>_xlfn.XLOOKUP(A255,CATÁLOGO!$A$2:$A$846,CATÁLOGO!$E$2:$E$846,"FORA DO CATÁLOGO")</f>
        <v>Descontinuado</v>
      </c>
      <c r="E255" s="2" t="s">
        <v>1401</v>
      </c>
      <c r="F255" s="62">
        <f>SUMIFS('AVARIA ESTIMADA'!$H$18:$H$40,'AVARIA ESTIMADA'!$A$18:$A$40,A255)</f>
        <v>0</v>
      </c>
    </row>
    <row r="256" spans="1:6" x14ac:dyDescent="0.3">
      <c r="A256" s="2" t="s">
        <v>197</v>
      </c>
      <c r="B256" s="19" t="str">
        <f>_xlfn.XLOOKUP(A256,CATÁLOGO!$A$2:$A$846,CATÁLOGO!$B$2:$B$846,"FORA DO CATÁLOGO")</f>
        <v>CMS007BGG</v>
      </c>
      <c r="C256" s="13">
        <v>2</v>
      </c>
      <c r="D256" s="13" t="str">
        <f>_xlfn.XLOOKUP(A256,CATÁLOGO!$A$2:$A$846,CATÁLOGO!$E$2:$E$846,"FORA DO CATÁLOGO")</f>
        <v>Descontinuado</v>
      </c>
      <c r="E256" s="2" t="s">
        <v>1401</v>
      </c>
      <c r="F256" s="62">
        <f>SUMIFS('AVARIA ESTIMADA'!$H$18:$H$40,'AVARIA ESTIMADA'!$A$18:$A$40,A256)</f>
        <v>0</v>
      </c>
    </row>
    <row r="257" spans="1:6" x14ac:dyDescent="0.3">
      <c r="A257" s="2" t="s">
        <v>198</v>
      </c>
      <c r="B257" s="19" t="str">
        <f>_xlfn.XLOOKUP(A257,CATÁLOGO!$A$2:$A$846,CATÁLOGO!$B$2:$B$846,"FORA DO CATÁLOGO")</f>
        <v>CAM012VP</v>
      </c>
      <c r="C257" s="13">
        <v>6</v>
      </c>
      <c r="D257" s="13" t="str">
        <f>_xlfn.XLOOKUP(A257,CATÁLOGO!$A$2:$A$846,CATÁLOGO!$E$2:$E$846,"FORA DO CATÁLOGO")</f>
        <v>Ativo</v>
      </c>
      <c r="E257" s="2" t="s">
        <v>1401</v>
      </c>
      <c r="F257" s="62">
        <f>SUMIFS('AVARIA ESTIMADA'!$H$18:$H$40,'AVARIA ESTIMADA'!$A$18:$A$40,A257)</f>
        <v>0</v>
      </c>
    </row>
    <row r="258" spans="1:6" x14ac:dyDescent="0.3">
      <c r="A258" s="2" t="s">
        <v>199</v>
      </c>
      <c r="B258" s="19" t="str">
        <f>_xlfn.XLOOKUP(A258,CATÁLOGO!$A$2:$A$846,CATÁLOGO!$B$2:$B$846,"FORA DO CATÁLOGO")</f>
        <v>CAM012VM</v>
      </c>
      <c r="C258" s="13">
        <v>5</v>
      </c>
      <c r="D258" s="13" t="str">
        <f>_xlfn.XLOOKUP(A258,CATÁLOGO!$A$2:$A$846,CATÁLOGO!$E$2:$E$846,"FORA DO CATÁLOGO")</f>
        <v>Ativo</v>
      </c>
      <c r="E258" s="2" t="s">
        <v>1401</v>
      </c>
      <c r="F258" s="62">
        <f>SUMIFS('AVARIA ESTIMADA'!$H$18:$H$40,'AVARIA ESTIMADA'!$A$18:$A$40,A258)</f>
        <v>0</v>
      </c>
    </row>
    <row r="259" spans="1:6" x14ac:dyDescent="0.3">
      <c r="A259" s="2" t="s">
        <v>200</v>
      </c>
      <c r="B259" s="19" t="str">
        <f>_xlfn.XLOOKUP(A259,CATÁLOGO!$A$2:$A$846,CATÁLOGO!$B$2:$B$846,"FORA DO CATÁLOGO")</f>
        <v>CAM012VG</v>
      </c>
      <c r="C259" s="13">
        <v>5</v>
      </c>
      <c r="D259" s="13" t="str">
        <f>_xlfn.XLOOKUP(A259,CATÁLOGO!$A$2:$A$846,CATÁLOGO!$E$2:$E$846,"FORA DO CATÁLOGO")</f>
        <v>Ativo</v>
      </c>
      <c r="E259" s="2" t="s">
        <v>1401</v>
      </c>
      <c r="F259" s="62">
        <f>SUMIFS('AVARIA ESTIMADA'!$H$18:$H$40,'AVARIA ESTIMADA'!$A$18:$A$40,A259)</f>
        <v>0</v>
      </c>
    </row>
    <row r="260" spans="1:6" x14ac:dyDescent="0.3">
      <c r="A260" s="2" t="s">
        <v>201</v>
      </c>
      <c r="B260" s="19" t="str">
        <f>_xlfn.XLOOKUP(A260,CATÁLOGO!$A$2:$A$846,CATÁLOGO!$B$2:$B$846,"FORA DO CATÁLOGO")</f>
        <v>CAM012VGG</v>
      </c>
      <c r="C260" s="13">
        <v>4</v>
      </c>
      <c r="D260" s="13" t="str">
        <f>_xlfn.XLOOKUP(A260,CATÁLOGO!$A$2:$A$846,CATÁLOGO!$E$2:$E$846,"FORA DO CATÁLOGO")</f>
        <v>Ativo</v>
      </c>
      <c r="E260" s="2" t="s">
        <v>1401</v>
      </c>
      <c r="F260" s="62">
        <f>SUMIFS('AVARIA ESTIMADA'!$H$18:$H$40,'AVARIA ESTIMADA'!$A$18:$A$40,A260)</f>
        <v>0</v>
      </c>
    </row>
    <row r="261" spans="1:6" x14ac:dyDescent="0.3">
      <c r="A261" s="2" t="s">
        <v>202</v>
      </c>
      <c r="B261" s="19" t="str">
        <f>_xlfn.XLOOKUP(A261,CATÁLOGO!$A$2:$A$846,CATÁLOGO!$B$2:$B$846,"FORA DO CATÁLOGO")</f>
        <v>MOL010YP</v>
      </c>
      <c r="C261" s="13">
        <v>5</v>
      </c>
      <c r="D261" s="13" t="str">
        <f>_xlfn.XLOOKUP(A261,CATÁLOGO!$A$2:$A$846,CATÁLOGO!$E$2:$E$846,"FORA DO CATÁLOGO")</f>
        <v>Ativo</v>
      </c>
      <c r="E261" s="2" t="s">
        <v>1401</v>
      </c>
      <c r="F261" s="62">
        <f>SUMIFS('AVARIA ESTIMADA'!$H$18:$H$40,'AVARIA ESTIMADA'!$A$18:$A$40,A261)</f>
        <v>0</v>
      </c>
    </row>
    <row r="262" spans="1:6" x14ac:dyDescent="0.3">
      <c r="A262" s="2" t="s">
        <v>203</v>
      </c>
      <c r="B262" s="19" t="str">
        <f>_xlfn.XLOOKUP(A262,CATÁLOGO!$A$2:$A$846,CATÁLOGO!$B$2:$B$846,"FORA DO CATÁLOGO")</f>
        <v>MOL010YM</v>
      </c>
      <c r="C262" s="13">
        <v>4</v>
      </c>
      <c r="D262" s="13" t="str">
        <f>_xlfn.XLOOKUP(A262,CATÁLOGO!$A$2:$A$846,CATÁLOGO!$E$2:$E$846,"FORA DO CATÁLOGO")</f>
        <v>Ativo</v>
      </c>
      <c r="E262" s="2" t="s">
        <v>1401</v>
      </c>
      <c r="F262" s="62">
        <f>SUMIFS('AVARIA ESTIMADA'!$H$18:$H$40,'AVARIA ESTIMADA'!$A$18:$A$40,A262)</f>
        <v>0</v>
      </c>
    </row>
    <row r="263" spans="1:6" x14ac:dyDescent="0.3">
      <c r="A263" s="2" t="s">
        <v>204</v>
      </c>
      <c r="B263" s="19" t="str">
        <f>_xlfn.XLOOKUP(A263,CATÁLOGO!$A$2:$A$846,CATÁLOGO!$B$2:$B$846,"FORA DO CATÁLOGO")</f>
        <v>MOL010YG</v>
      </c>
      <c r="C263" s="13">
        <v>5</v>
      </c>
      <c r="D263" s="13" t="str">
        <f>_xlfn.XLOOKUP(A263,CATÁLOGO!$A$2:$A$846,CATÁLOGO!$E$2:$E$846,"FORA DO CATÁLOGO")</f>
        <v>Ativo</v>
      </c>
      <c r="E263" s="2" t="s">
        <v>1401</v>
      </c>
      <c r="F263" s="62">
        <f>SUMIFS('AVARIA ESTIMADA'!$H$18:$H$40,'AVARIA ESTIMADA'!$A$18:$A$40,A263)</f>
        <v>0</v>
      </c>
    </row>
    <row r="264" spans="1:6" x14ac:dyDescent="0.3">
      <c r="A264" s="2" t="s">
        <v>205</v>
      </c>
      <c r="B264" s="19" t="str">
        <f>_xlfn.XLOOKUP(A264,CATÁLOGO!$A$2:$A$846,CATÁLOGO!$B$2:$B$846,"FORA DO CATÁLOGO")</f>
        <v>JAQ004HP</v>
      </c>
      <c r="C264" s="13">
        <v>5</v>
      </c>
      <c r="D264" s="13" t="str">
        <f>_xlfn.XLOOKUP(A264,CATÁLOGO!$A$2:$A$846,CATÁLOGO!$E$2:$E$846,"FORA DO CATÁLOGO")</f>
        <v>Ativo</v>
      </c>
      <c r="E264" s="2" t="s">
        <v>1401</v>
      </c>
      <c r="F264" s="62">
        <f>SUMIFS('AVARIA ESTIMADA'!$H$18:$H$40,'AVARIA ESTIMADA'!$A$18:$A$40,A264)</f>
        <v>0</v>
      </c>
    </row>
    <row r="265" spans="1:6" x14ac:dyDescent="0.3">
      <c r="A265" s="2" t="s">
        <v>206</v>
      </c>
      <c r="B265" s="19" t="str">
        <f>_xlfn.XLOOKUP(A265,CATÁLOGO!$A$2:$A$846,CATÁLOGO!$B$2:$B$846,"FORA DO CATÁLOGO")</f>
        <v>JAQ004HM</v>
      </c>
      <c r="C265" s="13">
        <v>5</v>
      </c>
      <c r="D265" s="13" t="str">
        <f>_xlfn.XLOOKUP(A265,CATÁLOGO!$A$2:$A$846,CATÁLOGO!$E$2:$E$846,"FORA DO CATÁLOGO")</f>
        <v>Ativo</v>
      </c>
      <c r="E265" s="2" t="s">
        <v>1401</v>
      </c>
      <c r="F265" s="62">
        <f>SUMIFS('AVARIA ESTIMADA'!$H$18:$H$40,'AVARIA ESTIMADA'!$A$18:$A$40,A265)</f>
        <v>0</v>
      </c>
    </row>
    <row r="266" spans="1:6" x14ac:dyDescent="0.3">
      <c r="A266" s="2" t="s">
        <v>207</v>
      </c>
      <c r="B266" s="19" t="str">
        <f>_xlfn.XLOOKUP(A266,CATÁLOGO!$A$2:$A$846,CATÁLOGO!$B$2:$B$846,"FORA DO CATÁLOGO")</f>
        <v>JAQ004HG</v>
      </c>
      <c r="C266" s="13">
        <v>5</v>
      </c>
      <c r="D266" s="13" t="str">
        <f>_xlfn.XLOOKUP(A266,CATÁLOGO!$A$2:$A$846,CATÁLOGO!$E$2:$E$846,"FORA DO CATÁLOGO")</f>
        <v>Ativo</v>
      </c>
      <c r="E266" s="2" t="s">
        <v>1401</v>
      </c>
      <c r="F266" s="62">
        <f>SUMIFS('AVARIA ESTIMADA'!$H$18:$H$40,'AVARIA ESTIMADA'!$A$18:$A$40,A266)</f>
        <v>0</v>
      </c>
    </row>
    <row r="267" spans="1:6" x14ac:dyDescent="0.3">
      <c r="A267" s="2" t="s">
        <v>208</v>
      </c>
      <c r="B267" s="19" t="str">
        <f>_xlfn.XLOOKUP(A267,CATÁLOGO!$A$2:$A$846,CATÁLOGO!$B$2:$B$846,"FORA DO CATÁLOGO")</f>
        <v>JAQ004HGG</v>
      </c>
      <c r="C267" s="13">
        <v>3</v>
      </c>
      <c r="D267" s="13" t="str">
        <f>_xlfn.XLOOKUP(A267,CATÁLOGO!$A$2:$A$846,CATÁLOGO!$E$2:$E$846,"FORA DO CATÁLOGO")</f>
        <v>Ativo</v>
      </c>
      <c r="E267" s="2" t="s">
        <v>1401</v>
      </c>
      <c r="F267" s="62">
        <f>SUMIFS('AVARIA ESTIMADA'!$H$18:$H$40,'AVARIA ESTIMADA'!$A$18:$A$40,A267)</f>
        <v>0</v>
      </c>
    </row>
    <row r="268" spans="1:6" x14ac:dyDescent="0.3">
      <c r="A268" s="2" t="s">
        <v>1588</v>
      </c>
      <c r="B268" s="19" t="str">
        <f>_xlfn.XLOOKUP(A268,CATÁLOGO!$A$2:$A$846,CATÁLOGO!$B$2:$B$846,"FORA DO CATÁLOGO")</f>
        <v>CAL011L36</v>
      </c>
      <c r="C268" s="13">
        <v>3</v>
      </c>
      <c r="D268" s="13" t="str">
        <f>_xlfn.XLOOKUP(A268,CATÁLOGO!$A$2:$A$846,CATÁLOGO!$E$2:$E$846,"FORA DO CATÁLOGO")</f>
        <v>Ativo</v>
      </c>
      <c r="E268" s="2" t="s">
        <v>1401</v>
      </c>
      <c r="F268" s="62">
        <f>SUMIFS('AVARIA ESTIMADA'!$H$18:$H$40,'AVARIA ESTIMADA'!$A$18:$A$40,A268)</f>
        <v>0</v>
      </c>
    </row>
    <row r="269" spans="1:6" x14ac:dyDescent="0.3">
      <c r="A269" s="2" t="s">
        <v>1587</v>
      </c>
      <c r="B269" s="19" t="str">
        <f>_xlfn.XLOOKUP(A269,CATÁLOGO!$A$2:$A$846,CATÁLOGO!$B$2:$B$846,"FORA DO CATÁLOGO")</f>
        <v>CAL011L38</v>
      </c>
      <c r="C269" s="13">
        <v>4</v>
      </c>
      <c r="D269" s="13" t="str">
        <f>_xlfn.XLOOKUP(A269,CATÁLOGO!$A$2:$A$846,CATÁLOGO!$E$2:$E$846,"FORA DO CATÁLOGO")</f>
        <v>Ativo</v>
      </c>
      <c r="E269" s="2" t="s">
        <v>1401</v>
      </c>
      <c r="F269" s="62">
        <f>SUMIFS('AVARIA ESTIMADA'!$H$18:$H$40,'AVARIA ESTIMADA'!$A$18:$A$40,A269)</f>
        <v>4</v>
      </c>
    </row>
    <row r="270" spans="1:6" x14ac:dyDescent="0.3">
      <c r="A270" s="2" t="s">
        <v>1586</v>
      </c>
      <c r="B270" s="19" t="str">
        <f>_xlfn.XLOOKUP(A270,CATÁLOGO!$A$2:$A$846,CATÁLOGO!$B$2:$B$846,"FORA DO CATÁLOGO")</f>
        <v>CAL011L40</v>
      </c>
      <c r="C270" s="13">
        <v>5</v>
      </c>
      <c r="D270" s="13" t="str">
        <f>_xlfn.XLOOKUP(A270,CATÁLOGO!$A$2:$A$846,CATÁLOGO!$E$2:$E$846,"FORA DO CATÁLOGO")</f>
        <v>Ativo</v>
      </c>
      <c r="E270" s="2" t="s">
        <v>1401</v>
      </c>
      <c r="F270" s="62">
        <f>SUMIFS('AVARIA ESTIMADA'!$H$18:$H$40,'AVARIA ESTIMADA'!$A$18:$A$40,A270)</f>
        <v>0</v>
      </c>
    </row>
    <row r="271" spans="1:6" x14ac:dyDescent="0.3">
      <c r="A271" s="2" t="s">
        <v>1583</v>
      </c>
      <c r="B271" s="19" t="str">
        <f>_xlfn.XLOOKUP(A271,CATÁLOGO!$A$2:$A$846,CATÁLOGO!$B$2:$B$846,"FORA DO CATÁLOGO")</f>
        <v>CAL011L42</v>
      </c>
      <c r="C271" s="13">
        <v>5</v>
      </c>
      <c r="D271" s="13" t="str">
        <f>_xlfn.XLOOKUP(A271,CATÁLOGO!$A$2:$A$846,CATÁLOGO!$E$2:$E$846,"FORA DO CATÁLOGO")</f>
        <v>Ativo</v>
      </c>
      <c r="E271" s="2" t="s">
        <v>1401</v>
      </c>
      <c r="F271" s="62">
        <f>SUMIFS('AVARIA ESTIMADA'!$H$18:$H$40,'AVARIA ESTIMADA'!$A$18:$A$40,A271)</f>
        <v>0</v>
      </c>
    </row>
    <row r="272" spans="1:6" x14ac:dyDescent="0.3">
      <c r="A272" s="2" t="s">
        <v>1585</v>
      </c>
      <c r="B272" s="19" t="str">
        <f>_xlfn.XLOOKUP(A272,CATÁLOGO!$A$2:$A$846,CATÁLOGO!$B$2:$B$846,"FORA DO CATÁLOGO")</f>
        <v>CAL011L44</v>
      </c>
      <c r="C272" s="13">
        <v>2</v>
      </c>
      <c r="D272" s="13" t="str">
        <f>_xlfn.XLOOKUP(A272,CATÁLOGO!$A$2:$A$846,CATÁLOGO!$E$2:$E$846,"FORA DO CATÁLOGO")</f>
        <v>Ativo</v>
      </c>
      <c r="E272" s="2" t="s">
        <v>1401</v>
      </c>
      <c r="F272" s="62">
        <f>SUMIFS('AVARIA ESTIMADA'!$H$18:$H$40,'AVARIA ESTIMADA'!$A$18:$A$40,A272)</f>
        <v>0</v>
      </c>
    </row>
    <row r="273" spans="1:6" x14ac:dyDescent="0.3">
      <c r="A273" s="2" t="s">
        <v>209</v>
      </c>
      <c r="B273" s="19" t="str">
        <f>_xlfn.XLOOKUP(A273,CATÁLOGO!$A$2:$A$846,CATÁLOGO!$B$2:$B$846,"FORA DO CATÁLOGO")</f>
        <v>ACE008VU</v>
      </c>
      <c r="C273" s="13">
        <v>6</v>
      </c>
      <c r="D273" s="13" t="str">
        <f>_xlfn.XLOOKUP(A273,CATÁLOGO!$A$2:$A$846,CATÁLOGO!$E$2:$E$846,"FORA DO CATÁLOGO")</f>
        <v>Ativo</v>
      </c>
      <c r="E273" s="2" t="s">
        <v>1401</v>
      </c>
      <c r="F273" s="62">
        <f>SUMIFS('AVARIA ESTIMADA'!$H$18:$H$40,'AVARIA ESTIMADA'!$A$18:$A$40,A273)</f>
        <v>0</v>
      </c>
    </row>
    <row r="274" spans="1:6" x14ac:dyDescent="0.3">
      <c r="A274" s="2" t="s">
        <v>210</v>
      </c>
      <c r="B274" s="19" t="str">
        <f>_xlfn.XLOOKUP(A274,CATÁLOGO!$A$2:$A$846,CATÁLOGO!$B$2:$B$846,"FORA DO CATÁLOGO")</f>
        <v>VES006MP</v>
      </c>
      <c r="C274" s="13">
        <v>2</v>
      </c>
      <c r="D274" s="13" t="str">
        <f>_xlfn.XLOOKUP(A274,CATÁLOGO!$A$2:$A$846,CATÁLOGO!$E$2:$E$846,"FORA DO CATÁLOGO")</f>
        <v>Ativo</v>
      </c>
      <c r="E274" s="2" t="s">
        <v>1401</v>
      </c>
      <c r="F274" s="62">
        <f>SUMIFS('AVARIA ESTIMADA'!$H$18:$H$40,'AVARIA ESTIMADA'!$A$18:$A$40,A274)</f>
        <v>0</v>
      </c>
    </row>
    <row r="275" spans="1:6" x14ac:dyDescent="0.3">
      <c r="A275" s="2" t="s">
        <v>211</v>
      </c>
      <c r="B275" s="19" t="str">
        <f>_xlfn.XLOOKUP(A275,CATÁLOGO!$A$2:$A$846,CATÁLOGO!$B$2:$B$846,"FORA DO CATÁLOGO")</f>
        <v>VES006MM</v>
      </c>
      <c r="C275" s="13">
        <v>4</v>
      </c>
      <c r="D275" s="13" t="str">
        <f>_xlfn.XLOOKUP(A275,CATÁLOGO!$A$2:$A$846,CATÁLOGO!$E$2:$E$846,"FORA DO CATÁLOGO")</f>
        <v>Ativo</v>
      </c>
      <c r="E275" s="2" t="s">
        <v>1401</v>
      </c>
      <c r="F275" s="62">
        <f>SUMIFS('AVARIA ESTIMADA'!$H$18:$H$40,'AVARIA ESTIMADA'!$A$18:$A$40,A275)</f>
        <v>0</v>
      </c>
    </row>
    <row r="276" spans="1:6" x14ac:dyDescent="0.3">
      <c r="A276" s="2" t="s">
        <v>212</v>
      </c>
      <c r="B276" s="19" t="str">
        <f>_xlfn.XLOOKUP(A276,CATÁLOGO!$A$2:$A$846,CATÁLOGO!$B$2:$B$846,"FORA DO CATÁLOGO")</f>
        <v>VES006MG</v>
      </c>
      <c r="C276" s="13">
        <v>3</v>
      </c>
      <c r="D276" s="13" t="str">
        <f>_xlfn.XLOOKUP(A276,CATÁLOGO!$A$2:$A$846,CATÁLOGO!$E$2:$E$846,"FORA DO CATÁLOGO")</f>
        <v>Ativo</v>
      </c>
      <c r="E276" s="2" t="s">
        <v>1401</v>
      </c>
      <c r="F276" s="62">
        <f>SUMIFS('AVARIA ESTIMADA'!$H$18:$H$40,'AVARIA ESTIMADA'!$A$18:$A$40,A276)</f>
        <v>3</v>
      </c>
    </row>
    <row r="277" spans="1:6" x14ac:dyDescent="0.3">
      <c r="A277" s="2" t="s">
        <v>213</v>
      </c>
      <c r="B277" s="19" t="str">
        <f>_xlfn.XLOOKUP(A277,CATÁLOGO!$A$2:$A$846,CATÁLOGO!$B$2:$B$846,"FORA DO CATÁLOGO")</f>
        <v>VES006MGG</v>
      </c>
      <c r="C277" s="13">
        <v>2</v>
      </c>
      <c r="D277" s="13" t="str">
        <f>_xlfn.XLOOKUP(A277,CATÁLOGO!$A$2:$A$846,CATÁLOGO!$E$2:$E$846,"FORA DO CATÁLOGO")</f>
        <v>Ativo</v>
      </c>
      <c r="E277" s="2" t="s">
        <v>1401</v>
      </c>
      <c r="F277" s="62">
        <f>SUMIFS('AVARIA ESTIMADA'!$H$18:$H$40,'AVARIA ESTIMADA'!$A$18:$A$40,A277)</f>
        <v>0</v>
      </c>
    </row>
    <row r="278" spans="1:6" x14ac:dyDescent="0.3">
      <c r="A278" s="2" t="s">
        <v>214</v>
      </c>
      <c r="B278" s="19" t="str">
        <f>_xlfn.XLOOKUP(A278,CATÁLOGO!$A$2:$A$846,CATÁLOGO!$B$2:$B$846,"FORA DO CATÁLOGO")</f>
        <v>VES006HP</v>
      </c>
      <c r="C278" s="13">
        <v>2</v>
      </c>
      <c r="D278" s="13" t="str">
        <f>_xlfn.XLOOKUP(A278,CATÁLOGO!$A$2:$A$846,CATÁLOGO!$E$2:$E$846,"FORA DO CATÁLOGO")</f>
        <v>Ativo</v>
      </c>
      <c r="E278" s="2" t="s">
        <v>1401</v>
      </c>
      <c r="F278" s="62">
        <f>SUMIFS('AVARIA ESTIMADA'!$H$18:$H$40,'AVARIA ESTIMADA'!$A$18:$A$40,A278)</f>
        <v>0</v>
      </c>
    </row>
    <row r="279" spans="1:6" x14ac:dyDescent="0.3">
      <c r="A279" s="2" t="s">
        <v>215</v>
      </c>
      <c r="B279" s="19" t="str">
        <f>_xlfn.XLOOKUP(A279,CATÁLOGO!$A$2:$A$846,CATÁLOGO!$B$2:$B$846,"FORA DO CATÁLOGO")</f>
        <v>VES006HM</v>
      </c>
      <c r="C279" s="13">
        <v>3</v>
      </c>
      <c r="D279" s="13" t="str">
        <f>_xlfn.XLOOKUP(A279,CATÁLOGO!$A$2:$A$846,CATÁLOGO!$E$2:$E$846,"FORA DO CATÁLOGO")</f>
        <v>Ativo</v>
      </c>
      <c r="E279" s="2" t="s">
        <v>1401</v>
      </c>
      <c r="F279" s="62">
        <f>SUMIFS('AVARIA ESTIMADA'!$H$18:$H$40,'AVARIA ESTIMADA'!$A$18:$A$40,A279)</f>
        <v>0</v>
      </c>
    </row>
    <row r="280" spans="1:6" x14ac:dyDescent="0.3">
      <c r="A280" s="2" t="s">
        <v>216</v>
      </c>
      <c r="B280" s="19" t="str">
        <f>_xlfn.XLOOKUP(A280,CATÁLOGO!$A$2:$A$846,CATÁLOGO!$B$2:$B$846,"FORA DO CATÁLOGO")</f>
        <v>VES006HG</v>
      </c>
      <c r="C280" s="13">
        <v>2</v>
      </c>
      <c r="D280" s="13" t="str">
        <f>_xlfn.XLOOKUP(A280,CATÁLOGO!$A$2:$A$846,CATÁLOGO!$E$2:$E$846,"FORA DO CATÁLOGO")</f>
        <v>Ativo</v>
      </c>
      <c r="E280" s="2" t="s">
        <v>1401</v>
      </c>
      <c r="F280" s="62">
        <f>SUMIFS('AVARIA ESTIMADA'!$H$18:$H$40,'AVARIA ESTIMADA'!$A$18:$A$40,A280)</f>
        <v>0</v>
      </c>
    </row>
    <row r="281" spans="1:6" x14ac:dyDescent="0.3">
      <c r="A281" s="2" t="s">
        <v>217</v>
      </c>
      <c r="B281" s="19" t="str">
        <f>_xlfn.XLOOKUP(A281,CATÁLOGO!$A$2:$A$846,CATÁLOGO!$B$2:$B$846,"FORA DO CATÁLOGO")</f>
        <v>VES006HGG</v>
      </c>
      <c r="C281" s="13">
        <v>2</v>
      </c>
      <c r="D281" s="13" t="str">
        <f>_xlfn.XLOOKUP(A281,CATÁLOGO!$A$2:$A$846,CATÁLOGO!$E$2:$E$846,"FORA DO CATÁLOGO")</f>
        <v>Ativo</v>
      </c>
      <c r="E281" s="2" t="s">
        <v>1401</v>
      </c>
      <c r="F281" s="62">
        <f>SUMIFS('AVARIA ESTIMADA'!$H$18:$H$40,'AVARIA ESTIMADA'!$A$18:$A$40,A281)</f>
        <v>0</v>
      </c>
    </row>
    <row r="282" spans="1:6" x14ac:dyDescent="0.3">
      <c r="A282" s="2" t="s">
        <v>218</v>
      </c>
      <c r="B282" s="19" t="str">
        <f>_xlfn.XLOOKUP(A282,CATÁLOGO!$A$2:$A$846,CATÁLOGO!$B$2:$B$846,"FORA DO CATÁLOGO")</f>
        <v>TRI005VP</v>
      </c>
      <c r="C282" s="13">
        <v>5</v>
      </c>
      <c r="D282" s="13" t="str">
        <f>_xlfn.XLOOKUP(A282,CATÁLOGO!$A$2:$A$846,CATÁLOGO!$E$2:$E$846,"FORA DO CATÁLOGO")</f>
        <v>Ativo</v>
      </c>
      <c r="E282" s="2" t="s">
        <v>1401</v>
      </c>
      <c r="F282" s="62">
        <f>SUMIFS('AVARIA ESTIMADA'!$H$18:$H$40,'AVARIA ESTIMADA'!$A$18:$A$40,A282)</f>
        <v>0</v>
      </c>
    </row>
    <row r="283" spans="1:6" x14ac:dyDescent="0.3">
      <c r="A283" s="2" t="s">
        <v>219</v>
      </c>
      <c r="B283" s="19" t="str">
        <f>_xlfn.XLOOKUP(A283,CATÁLOGO!$A$2:$A$846,CATÁLOGO!$B$2:$B$846,"FORA DO CATÁLOGO")</f>
        <v>TRI005VM</v>
      </c>
      <c r="C283" s="13">
        <v>5</v>
      </c>
      <c r="D283" s="13" t="str">
        <f>_xlfn.XLOOKUP(A283,CATÁLOGO!$A$2:$A$846,CATÁLOGO!$E$2:$E$846,"FORA DO CATÁLOGO")</f>
        <v>Ativo</v>
      </c>
      <c r="E283" s="2" t="s">
        <v>1401</v>
      </c>
      <c r="F283" s="62">
        <f>SUMIFS('AVARIA ESTIMADA'!$H$18:$H$40,'AVARIA ESTIMADA'!$A$18:$A$40,A283)</f>
        <v>0</v>
      </c>
    </row>
    <row r="284" spans="1:6" x14ac:dyDescent="0.3">
      <c r="A284" s="2" t="s">
        <v>220</v>
      </c>
      <c r="B284" s="19" t="str">
        <f>_xlfn.XLOOKUP(A284,CATÁLOGO!$A$2:$A$846,CATÁLOGO!$B$2:$B$846,"FORA DO CATÁLOGO")</f>
        <v>TRI005VG</v>
      </c>
      <c r="C284" s="13">
        <v>5</v>
      </c>
      <c r="D284" s="13" t="str">
        <f>_xlfn.XLOOKUP(A284,CATÁLOGO!$A$2:$A$846,CATÁLOGO!$E$2:$E$846,"FORA DO CATÁLOGO")</f>
        <v>Ativo</v>
      </c>
      <c r="E284" s="2" t="s">
        <v>1401</v>
      </c>
      <c r="F284" s="62">
        <f>SUMIFS('AVARIA ESTIMADA'!$H$18:$H$40,'AVARIA ESTIMADA'!$A$18:$A$40,A284)</f>
        <v>0</v>
      </c>
    </row>
    <row r="285" spans="1:6" x14ac:dyDescent="0.3">
      <c r="A285" s="2" t="s">
        <v>221</v>
      </c>
      <c r="B285" s="19" t="str">
        <f>_xlfn.XLOOKUP(A285,CATÁLOGO!$A$2:$A$846,CATÁLOGO!$B$2:$B$846,"FORA DO CATÁLOGO")</f>
        <v>TRI005VGG</v>
      </c>
      <c r="C285" s="13">
        <v>4</v>
      </c>
      <c r="D285" s="13" t="str">
        <f>_xlfn.XLOOKUP(A285,CATÁLOGO!$A$2:$A$846,CATÁLOGO!$E$2:$E$846,"FORA DO CATÁLOGO")</f>
        <v>Ativo</v>
      </c>
      <c r="E285" s="2" t="s">
        <v>1401</v>
      </c>
      <c r="F285" s="62">
        <f>SUMIFS('AVARIA ESTIMADA'!$H$18:$H$40,'AVARIA ESTIMADA'!$A$18:$A$40,A285)</f>
        <v>0</v>
      </c>
    </row>
    <row r="286" spans="1:6" x14ac:dyDescent="0.3">
      <c r="A286" s="2" t="s">
        <v>1742</v>
      </c>
      <c r="B286" s="19" t="str">
        <f>_xlfn.XLOOKUP(A286,CATÁLOGO!$A$2:$A$846,CATÁLOGO!$B$2:$B$846,"FORA DO CATÁLOGO")</f>
        <v>CAM013VPP</v>
      </c>
      <c r="C286" s="13">
        <v>2</v>
      </c>
      <c r="D286" s="13" t="str">
        <f>_xlfn.XLOOKUP(A286,CATÁLOGO!$A$2:$A$846,CATÁLOGO!$E$2:$E$846,"FORA DO CATÁLOGO")</f>
        <v>Ativo</v>
      </c>
      <c r="E286" s="2" t="s">
        <v>1401</v>
      </c>
      <c r="F286" s="62">
        <f>SUMIFS('AVARIA ESTIMADA'!$H$18:$H$40,'AVARIA ESTIMADA'!$A$18:$A$40,A286)</f>
        <v>0</v>
      </c>
    </row>
    <row r="287" spans="1:6" x14ac:dyDescent="0.3">
      <c r="A287" s="2" t="s">
        <v>222</v>
      </c>
      <c r="B287" s="19" t="str">
        <f>_xlfn.XLOOKUP(A287,CATÁLOGO!$A$2:$A$846,CATÁLOGO!$B$2:$B$846,"FORA DO CATÁLOGO")</f>
        <v>CAM013VP</v>
      </c>
      <c r="C287" s="13">
        <v>5</v>
      </c>
      <c r="D287" s="13" t="str">
        <f>_xlfn.XLOOKUP(A287,CATÁLOGO!$A$2:$A$846,CATÁLOGO!$E$2:$E$846,"FORA DO CATÁLOGO")</f>
        <v>Ativo</v>
      </c>
      <c r="E287" s="2" t="s">
        <v>1401</v>
      </c>
      <c r="F287" s="62">
        <f>SUMIFS('AVARIA ESTIMADA'!$H$18:$H$40,'AVARIA ESTIMADA'!$A$18:$A$40,A287)</f>
        <v>0</v>
      </c>
    </row>
    <row r="288" spans="1:6" x14ac:dyDescent="0.3">
      <c r="A288" s="2" t="s">
        <v>223</v>
      </c>
      <c r="B288" s="19" t="str">
        <f>_xlfn.XLOOKUP(A288,CATÁLOGO!$A$2:$A$846,CATÁLOGO!$B$2:$B$846,"FORA DO CATÁLOGO")</f>
        <v>CAM013VM</v>
      </c>
      <c r="C288" s="13">
        <v>5</v>
      </c>
      <c r="D288" s="13" t="str">
        <f>_xlfn.XLOOKUP(A288,CATÁLOGO!$A$2:$A$846,CATÁLOGO!$E$2:$E$846,"FORA DO CATÁLOGO")</f>
        <v>Ativo</v>
      </c>
      <c r="E288" s="2" t="s">
        <v>1401</v>
      </c>
      <c r="F288" s="62">
        <f>SUMIFS('AVARIA ESTIMADA'!$H$18:$H$40,'AVARIA ESTIMADA'!$A$18:$A$40,A288)</f>
        <v>0</v>
      </c>
    </row>
    <row r="289" spans="1:6" x14ac:dyDescent="0.3">
      <c r="A289" s="2" t="s">
        <v>224</v>
      </c>
      <c r="B289" s="19" t="str">
        <f>_xlfn.XLOOKUP(A289,CATÁLOGO!$A$2:$A$846,CATÁLOGO!$B$2:$B$846,"FORA DO CATÁLOGO")</f>
        <v>CAM013VG</v>
      </c>
      <c r="C289" s="13">
        <v>5</v>
      </c>
      <c r="D289" s="13" t="str">
        <f>_xlfn.XLOOKUP(A289,CATÁLOGO!$A$2:$A$846,CATÁLOGO!$E$2:$E$846,"FORA DO CATÁLOGO")</f>
        <v>Ativo</v>
      </c>
      <c r="E289" s="2" t="s">
        <v>1401</v>
      </c>
      <c r="F289" s="62">
        <f>SUMIFS('AVARIA ESTIMADA'!$H$18:$H$40,'AVARIA ESTIMADA'!$A$18:$A$40,A289)</f>
        <v>0</v>
      </c>
    </row>
    <row r="290" spans="1:6" x14ac:dyDescent="0.3">
      <c r="A290" s="2" t="s">
        <v>225</v>
      </c>
      <c r="B290" s="19" t="str">
        <f>_xlfn.XLOOKUP(A290,CATÁLOGO!$A$2:$A$846,CATÁLOGO!$B$2:$B$846,"FORA DO CATÁLOGO")</f>
        <v>CAM013VGG</v>
      </c>
      <c r="C290" s="13">
        <v>3</v>
      </c>
      <c r="D290" s="13" t="str">
        <f>_xlfn.XLOOKUP(A290,CATÁLOGO!$A$2:$A$846,CATÁLOGO!$E$2:$E$846,"FORA DO CATÁLOGO")</f>
        <v>Ativo</v>
      </c>
      <c r="E290" s="2" t="s">
        <v>1401</v>
      </c>
      <c r="F290" s="62">
        <f>SUMIFS('AVARIA ESTIMADA'!$H$18:$H$40,'AVARIA ESTIMADA'!$A$18:$A$40,A290)</f>
        <v>0</v>
      </c>
    </row>
    <row r="291" spans="1:6" x14ac:dyDescent="0.3">
      <c r="A291" s="2" t="s">
        <v>226</v>
      </c>
      <c r="B291" s="19" t="str">
        <f>_xlfn.XLOOKUP(A291,CATÁLOGO!$A$2:$A$846,CATÁLOGO!$B$2:$B$846,"FORA DO CATÁLOGO")</f>
        <v>CAM014LP</v>
      </c>
      <c r="C291" s="13">
        <v>2</v>
      </c>
      <c r="D291" s="13" t="str">
        <f>_xlfn.XLOOKUP(A291,CATÁLOGO!$A$2:$A$846,CATÁLOGO!$E$2:$E$846,"FORA DO CATÁLOGO")</f>
        <v>Descontinuado</v>
      </c>
      <c r="E291" s="2" t="s">
        <v>1401</v>
      </c>
      <c r="F291" s="62">
        <f>SUMIFS('AVARIA ESTIMADA'!$H$18:$H$40,'AVARIA ESTIMADA'!$A$18:$A$40,A291)</f>
        <v>0</v>
      </c>
    </row>
    <row r="292" spans="1:6" x14ac:dyDescent="0.3">
      <c r="A292" s="2" t="s">
        <v>227</v>
      </c>
      <c r="B292" s="19" t="str">
        <f>_xlfn.XLOOKUP(A292,CATÁLOGO!$A$2:$A$846,CATÁLOGO!$B$2:$B$846,"FORA DO CATÁLOGO")</f>
        <v>CAM014LM</v>
      </c>
      <c r="C292" s="13">
        <v>1</v>
      </c>
      <c r="D292" s="13" t="str">
        <f>_xlfn.XLOOKUP(A292,CATÁLOGO!$A$2:$A$846,CATÁLOGO!$E$2:$E$846,"FORA DO CATÁLOGO")</f>
        <v>Descontinuado</v>
      </c>
      <c r="E292" s="2" t="s">
        <v>1401</v>
      </c>
      <c r="F292" s="62">
        <f>SUMIFS('AVARIA ESTIMADA'!$H$18:$H$40,'AVARIA ESTIMADA'!$A$18:$A$40,A292)</f>
        <v>0</v>
      </c>
    </row>
    <row r="293" spans="1:6" x14ac:dyDescent="0.3">
      <c r="A293" s="2" t="s">
        <v>228</v>
      </c>
      <c r="B293" s="19" t="str">
        <f>_xlfn.XLOOKUP(A293,CATÁLOGO!$A$2:$A$846,CATÁLOGO!$B$2:$B$846,"FORA DO CATÁLOGO")</f>
        <v>CAM014LG</v>
      </c>
      <c r="C293" s="13">
        <v>2</v>
      </c>
      <c r="D293" s="13" t="str">
        <f>_xlfn.XLOOKUP(A293,CATÁLOGO!$A$2:$A$846,CATÁLOGO!$E$2:$E$846,"FORA DO CATÁLOGO")</f>
        <v>Descontinuado</v>
      </c>
      <c r="E293" s="2" t="s">
        <v>1401</v>
      </c>
      <c r="F293" s="62">
        <f>SUMIFS('AVARIA ESTIMADA'!$H$18:$H$40,'AVARIA ESTIMADA'!$A$18:$A$40,A293)</f>
        <v>0</v>
      </c>
    </row>
    <row r="294" spans="1:6" x14ac:dyDescent="0.3">
      <c r="A294" s="2" t="s">
        <v>229</v>
      </c>
      <c r="B294" s="19" t="str">
        <f>_xlfn.XLOOKUP(A294,CATÁLOGO!$A$2:$A$846,CATÁLOGO!$B$2:$B$846,"FORA DO CATÁLOGO")</f>
        <v>CAM014CM</v>
      </c>
      <c r="C294" s="13">
        <v>1</v>
      </c>
      <c r="D294" s="13" t="str">
        <f>_xlfn.XLOOKUP(A294,CATÁLOGO!$A$2:$A$846,CATÁLOGO!$E$2:$E$846,"FORA DO CATÁLOGO")</f>
        <v>Descontinuado</v>
      </c>
      <c r="E294" s="2" t="s">
        <v>1401</v>
      </c>
      <c r="F294" s="62">
        <f>SUMIFS('AVARIA ESTIMADA'!$H$18:$H$40,'AVARIA ESTIMADA'!$A$18:$A$40,A294)</f>
        <v>0</v>
      </c>
    </row>
    <row r="295" spans="1:6" x14ac:dyDescent="0.3">
      <c r="A295" s="2" t="s">
        <v>230</v>
      </c>
      <c r="B295" s="19" t="str">
        <f>_xlfn.XLOOKUP(A295,CATÁLOGO!$A$2:$A$846,CATÁLOGO!$B$2:$B$846,"FORA DO CATÁLOGO")</f>
        <v>CAM014CG</v>
      </c>
      <c r="C295" s="13">
        <v>1</v>
      </c>
      <c r="D295" s="13" t="str">
        <f>_xlfn.XLOOKUP(A295,CATÁLOGO!$A$2:$A$846,CATÁLOGO!$E$2:$E$846,"FORA DO CATÁLOGO")</f>
        <v>Descontinuado</v>
      </c>
      <c r="E295" s="2" t="s">
        <v>1401</v>
      </c>
      <c r="F295" s="62">
        <f>SUMIFS('AVARIA ESTIMADA'!$H$18:$H$40,'AVARIA ESTIMADA'!$A$18:$A$40,A295)</f>
        <v>0</v>
      </c>
    </row>
    <row r="296" spans="1:6" x14ac:dyDescent="0.3">
      <c r="A296" s="2" t="s">
        <v>1864</v>
      </c>
      <c r="B296" s="19" t="str">
        <f>_xlfn.XLOOKUP(A296,CATÁLOGO!$A$2:$A$846,CATÁLOGO!$B$2:$B$846,"FORA DO CATÁLOGO")</f>
        <v>SAI006PPP</v>
      </c>
      <c r="C296" s="13">
        <v>1</v>
      </c>
      <c r="D296" s="13" t="str">
        <f>_xlfn.XLOOKUP(A296,CATÁLOGO!$A$2:$A$846,CATÁLOGO!$E$2:$E$846,"FORA DO CATÁLOGO")</f>
        <v>Ativo</v>
      </c>
      <c r="E296" s="2" t="s">
        <v>1401</v>
      </c>
      <c r="F296" s="62">
        <f>SUMIFS('AVARIA ESTIMADA'!$H$18:$H$40,'AVARIA ESTIMADA'!$A$18:$A$40,A296)</f>
        <v>0</v>
      </c>
    </row>
    <row r="297" spans="1:6" x14ac:dyDescent="0.3">
      <c r="A297" s="2" t="s">
        <v>231</v>
      </c>
      <c r="B297" s="19" t="str">
        <f>_xlfn.XLOOKUP(A297,CATÁLOGO!$A$2:$A$846,CATÁLOGO!$B$2:$B$846,"FORA DO CATÁLOGO")</f>
        <v>SAI006PP</v>
      </c>
      <c r="C297" s="13">
        <v>3</v>
      </c>
      <c r="D297" s="13" t="str">
        <f>_xlfn.XLOOKUP(A297,CATÁLOGO!$A$2:$A$846,CATÁLOGO!$E$2:$E$846,"FORA DO CATÁLOGO")</f>
        <v>Ativo</v>
      </c>
      <c r="E297" s="2" t="s">
        <v>1401</v>
      </c>
      <c r="F297" s="62">
        <f>SUMIFS('AVARIA ESTIMADA'!$H$18:$H$40,'AVARIA ESTIMADA'!$A$18:$A$40,A297)</f>
        <v>0</v>
      </c>
    </row>
    <row r="298" spans="1:6" x14ac:dyDescent="0.3">
      <c r="A298" s="2" t="s">
        <v>232</v>
      </c>
      <c r="B298" s="19" t="str">
        <f>_xlfn.XLOOKUP(A298,CATÁLOGO!$A$2:$A$846,CATÁLOGO!$B$2:$B$846,"FORA DO CATÁLOGO")</f>
        <v>SAI006PM</v>
      </c>
      <c r="C298" s="13">
        <v>5</v>
      </c>
      <c r="D298" s="13" t="str">
        <f>_xlfn.XLOOKUP(A298,CATÁLOGO!$A$2:$A$846,CATÁLOGO!$E$2:$E$846,"FORA DO CATÁLOGO")</f>
        <v>Ativo</v>
      </c>
      <c r="E298" s="2" t="s">
        <v>1401</v>
      </c>
      <c r="F298" s="62">
        <f>SUMIFS('AVARIA ESTIMADA'!$H$18:$H$40,'AVARIA ESTIMADA'!$A$18:$A$40,A298)</f>
        <v>0</v>
      </c>
    </row>
    <row r="299" spans="1:6" x14ac:dyDescent="0.3">
      <c r="A299" s="2" t="s">
        <v>233</v>
      </c>
      <c r="B299" s="19" t="str">
        <f>_xlfn.XLOOKUP(A299,CATÁLOGO!$A$2:$A$846,CATÁLOGO!$B$2:$B$846,"FORA DO CATÁLOGO")</f>
        <v>SAI006PG</v>
      </c>
      <c r="C299" s="13">
        <v>3</v>
      </c>
      <c r="D299" s="13" t="str">
        <f>_xlfn.XLOOKUP(A299,CATÁLOGO!$A$2:$A$846,CATÁLOGO!$E$2:$E$846,"FORA DO CATÁLOGO")</f>
        <v>Ativo</v>
      </c>
      <c r="E299" s="2" t="s">
        <v>1401</v>
      </c>
      <c r="F299" s="62">
        <f>SUMIFS('AVARIA ESTIMADA'!$H$18:$H$40,'AVARIA ESTIMADA'!$A$18:$A$40,A299)</f>
        <v>0</v>
      </c>
    </row>
    <row r="300" spans="1:6" x14ac:dyDescent="0.3">
      <c r="A300" s="2" t="s">
        <v>234</v>
      </c>
      <c r="B300" s="19" t="str">
        <f>_xlfn.XLOOKUP(A300,CATÁLOGO!$A$2:$A$846,CATÁLOGO!$B$2:$B$846,"FORA DO CATÁLOGO")</f>
        <v>SAI006PGG</v>
      </c>
      <c r="C300" s="13">
        <v>2</v>
      </c>
      <c r="D300" s="13" t="str">
        <f>_xlfn.XLOOKUP(A300,CATÁLOGO!$A$2:$A$846,CATÁLOGO!$E$2:$E$846,"FORA DO CATÁLOGO")</f>
        <v>Ativo</v>
      </c>
      <c r="E300" s="2" t="s">
        <v>1401</v>
      </c>
      <c r="F300" s="62">
        <f>SUMIFS('AVARIA ESTIMADA'!$H$18:$H$40,'AVARIA ESTIMADA'!$A$18:$A$40,A300)</f>
        <v>0</v>
      </c>
    </row>
    <row r="301" spans="1:6" x14ac:dyDescent="0.3">
      <c r="A301" s="2" t="s">
        <v>235</v>
      </c>
      <c r="B301" s="19" t="str">
        <f>_xlfn.XLOOKUP(A301,CATÁLOGO!$A$2:$A$846,CATÁLOGO!$B$2:$B$846,"FORA DO CATÁLOGO")</f>
        <v>TRI006GP</v>
      </c>
      <c r="C301" s="13">
        <v>2</v>
      </c>
      <c r="D301" s="13" t="str">
        <f>_xlfn.XLOOKUP(A301,CATÁLOGO!$A$2:$A$846,CATÁLOGO!$E$2:$E$846,"FORA DO CATÁLOGO")</f>
        <v>Descontinuado</v>
      </c>
      <c r="E301" s="2" t="s">
        <v>1401</v>
      </c>
      <c r="F301" s="62">
        <f>SUMIFS('AVARIA ESTIMADA'!$H$18:$H$40,'AVARIA ESTIMADA'!$A$18:$A$40,A301)</f>
        <v>0</v>
      </c>
    </row>
    <row r="302" spans="1:6" x14ac:dyDescent="0.3">
      <c r="A302" s="2" t="s">
        <v>236</v>
      </c>
      <c r="B302" s="19" t="str">
        <f>_xlfn.XLOOKUP(A302,CATÁLOGO!$A$2:$A$846,CATÁLOGO!$B$2:$B$846,"FORA DO CATÁLOGO")</f>
        <v>TRI006GM</v>
      </c>
      <c r="C302" s="13">
        <v>2</v>
      </c>
      <c r="D302" s="13" t="str">
        <f>_xlfn.XLOOKUP(A302,CATÁLOGO!$A$2:$A$846,CATÁLOGO!$E$2:$E$846,"FORA DO CATÁLOGO")</f>
        <v>Descontinuado</v>
      </c>
      <c r="E302" s="2" t="s">
        <v>1401</v>
      </c>
      <c r="F302" s="62">
        <f>SUMIFS('AVARIA ESTIMADA'!$H$18:$H$40,'AVARIA ESTIMADA'!$A$18:$A$40,A302)</f>
        <v>0</v>
      </c>
    </row>
    <row r="303" spans="1:6" x14ac:dyDescent="0.3">
      <c r="A303" s="2" t="s">
        <v>237</v>
      </c>
      <c r="B303" s="19" t="str">
        <f>_xlfn.XLOOKUP(A303,CATÁLOGO!$A$2:$A$846,CATÁLOGO!$B$2:$B$846,"FORA DO CATÁLOGO")</f>
        <v>TRI006GG</v>
      </c>
      <c r="C303" s="13">
        <v>2</v>
      </c>
      <c r="D303" s="13" t="str">
        <f>_xlfn.XLOOKUP(A303,CATÁLOGO!$A$2:$A$846,CATÁLOGO!$E$2:$E$846,"FORA DO CATÁLOGO")</f>
        <v>Descontinuado</v>
      </c>
      <c r="E303" s="2" t="s">
        <v>1401</v>
      </c>
      <c r="F303" s="62">
        <f>SUMIFS('AVARIA ESTIMADA'!$H$18:$H$40,'AVARIA ESTIMADA'!$A$18:$A$40,A303)</f>
        <v>0</v>
      </c>
    </row>
    <row r="304" spans="1:6" x14ac:dyDescent="0.3">
      <c r="A304" s="2" t="s">
        <v>238</v>
      </c>
      <c r="B304" s="19" t="str">
        <f>_xlfn.XLOOKUP(A304,CATÁLOGO!$A$2:$A$846,CATÁLOGO!$B$2:$B$846,"FORA DO CATÁLOGO")</f>
        <v>TRI006GGG</v>
      </c>
      <c r="C304" s="13">
        <v>1</v>
      </c>
      <c r="D304" s="13" t="str">
        <f>_xlfn.XLOOKUP(A304,CATÁLOGO!$A$2:$A$846,CATÁLOGO!$E$2:$E$846,"FORA DO CATÁLOGO")</f>
        <v>Descontinuado</v>
      </c>
      <c r="E304" s="2" t="s">
        <v>1401</v>
      </c>
      <c r="F304" s="62">
        <f>SUMIFS('AVARIA ESTIMADA'!$H$18:$H$40,'AVARIA ESTIMADA'!$A$18:$A$40,A304)</f>
        <v>0</v>
      </c>
    </row>
    <row r="305" spans="1:6" x14ac:dyDescent="0.3">
      <c r="A305" s="2" t="s">
        <v>1593</v>
      </c>
      <c r="B305" s="19" t="str">
        <f>_xlfn.XLOOKUP(A305,CATÁLOGO!$A$2:$A$846,CATÁLOGO!$B$2:$B$846,"FORA DO CATÁLOGO")</f>
        <v>CAL012P38</v>
      </c>
      <c r="C305" s="13">
        <v>6</v>
      </c>
      <c r="D305" s="13" t="str">
        <f>_xlfn.XLOOKUP(A305,CATÁLOGO!$A$2:$A$846,CATÁLOGO!$E$2:$E$846,"FORA DO CATÁLOGO")</f>
        <v>Ativo</v>
      </c>
      <c r="E305" s="2" t="s">
        <v>1401</v>
      </c>
      <c r="F305" s="62">
        <f>SUMIFS('AVARIA ESTIMADA'!$H$18:$H$40,'AVARIA ESTIMADA'!$A$18:$A$40,A305)</f>
        <v>0</v>
      </c>
    </row>
    <row r="306" spans="1:6" x14ac:dyDescent="0.3">
      <c r="A306" s="2" t="s">
        <v>1592</v>
      </c>
      <c r="B306" s="19" t="str">
        <f>_xlfn.XLOOKUP(A306,CATÁLOGO!$A$2:$A$846,CATÁLOGO!$B$2:$B$846,"FORA DO CATÁLOGO")</f>
        <v>CAL012P40</v>
      </c>
      <c r="C306" s="13">
        <v>5</v>
      </c>
      <c r="D306" s="13" t="str">
        <f>_xlfn.XLOOKUP(A306,CATÁLOGO!$A$2:$A$846,CATÁLOGO!$E$2:$E$846,"FORA DO CATÁLOGO")</f>
        <v>Ativo</v>
      </c>
      <c r="E306" s="2" t="s">
        <v>1401</v>
      </c>
      <c r="F306" s="62">
        <f>SUMIFS('AVARIA ESTIMADA'!$H$18:$H$40,'AVARIA ESTIMADA'!$A$18:$A$40,A306)</f>
        <v>0</v>
      </c>
    </row>
    <row r="307" spans="1:6" x14ac:dyDescent="0.3">
      <c r="A307" s="2" t="s">
        <v>1589</v>
      </c>
      <c r="B307" s="19" t="str">
        <f>_xlfn.XLOOKUP(A307,CATÁLOGO!$A$2:$A$846,CATÁLOGO!$B$2:$B$846,"FORA DO CATÁLOGO")</f>
        <v>CAL012P42</v>
      </c>
      <c r="C307" s="13">
        <v>5</v>
      </c>
      <c r="D307" s="13" t="str">
        <f>_xlfn.XLOOKUP(A307,CATÁLOGO!$A$2:$A$846,CATÁLOGO!$E$2:$E$846,"FORA DO CATÁLOGO")</f>
        <v>Ativo</v>
      </c>
      <c r="E307" s="2" t="s">
        <v>1401</v>
      </c>
      <c r="F307" s="62">
        <f>SUMIFS('AVARIA ESTIMADA'!$H$18:$H$40,'AVARIA ESTIMADA'!$A$18:$A$40,A307)</f>
        <v>0</v>
      </c>
    </row>
    <row r="308" spans="1:6" x14ac:dyDescent="0.3">
      <c r="A308" s="2" t="s">
        <v>1591</v>
      </c>
      <c r="B308" s="19" t="str">
        <f>_xlfn.XLOOKUP(A308,CATÁLOGO!$A$2:$A$846,CATÁLOGO!$B$2:$B$846,"FORA DO CATÁLOGO")</f>
        <v>CAL012P44</v>
      </c>
      <c r="C308" s="13">
        <v>4</v>
      </c>
      <c r="D308" s="13" t="str">
        <f>_xlfn.XLOOKUP(A308,CATÁLOGO!$A$2:$A$846,CATÁLOGO!$E$2:$E$846,"FORA DO CATÁLOGO")</f>
        <v>Ativo</v>
      </c>
      <c r="E308" s="2" t="s">
        <v>1401</v>
      </c>
      <c r="F308" s="62">
        <f>SUMIFS('AVARIA ESTIMADA'!$H$18:$H$40,'AVARIA ESTIMADA'!$A$18:$A$40,A308)</f>
        <v>0</v>
      </c>
    </row>
    <row r="309" spans="1:6" x14ac:dyDescent="0.3">
      <c r="A309" s="2" t="s">
        <v>1910</v>
      </c>
      <c r="B309" s="19" t="str">
        <f>_xlfn.XLOOKUP(A309,CATÁLOGO!$A$2:$A$846,CATÁLOGO!$B$2:$B$846,"FORA DO CATÁLOGO")</f>
        <v>TRI007LPP</v>
      </c>
      <c r="C309" s="13">
        <v>2</v>
      </c>
      <c r="D309" s="13" t="str">
        <f>_xlfn.XLOOKUP(A309,CATÁLOGO!$A$2:$A$846,CATÁLOGO!$E$2:$E$846,"FORA DO CATÁLOGO")</f>
        <v>Ativo</v>
      </c>
      <c r="E309" s="2" t="s">
        <v>1401</v>
      </c>
      <c r="F309" s="62">
        <f>SUMIFS('AVARIA ESTIMADA'!$H$18:$H$40,'AVARIA ESTIMADA'!$A$18:$A$40,A309)</f>
        <v>0</v>
      </c>
    </row>
    <row r="310" spans="1:6" x14ac:dyDescent="0.3">
      <c r="A310" s="2" t="s">
        <v>239</v>
      </c>
      <c r="B310" s="19" t="str">
        <f>_xlfn.XLOOKUP(A310,CATÁLOGO!$A$2:$A$846,CATÁLOGO!$B$2:$B$846,"FORA DO CATÁLOGO")</f>
        <v>TRI007LP</v>
      </c>
      <c r="C310" s="13">
        <v>5</v>
      </c>
      <c r="D310" s="13" t="str">
        <f>_xlfn.XLOOKUP(A310,CATÁLOGO!$A$2:$A$846,CATÁLOGO!$E$2:$E$846,"FORA DO CATÁLOGO")</f>
        <v>Ativo</v>
      </c>
      <c r="E310" s="2" t="s">
        <v>1401</v>
      </c>
      <c r="F310" s="62">
        <f>SUMIFS('AVARIA ESTIMADA'!$H$18:$H$40,'AVARIA ESTIMADA'!$A$18:$A$40,A310)</f>
        <v>0</v>
      </c>
    </row>
    <row r="311" spans="1:6" x14ac:dyDescent="0.3">
      <c r="A311" s="2" t="s">
        <v>240</v>
      </c>
      <c r="B311" s="19" t="str">
        <f>_xlfn.XLOOKUP(A311,CATÁLOGO!$A$2:$A$846,CATÁLOGO!$B$2:$B$846,"FORA DO CATÁLOGO")</f>
        <v>TRI007LM</v>
      </c>
      <c r="C311" s="13">
        <v>5</v>
      </c>
      <c r="D311" s="13" t="str">
        <f>_xlfn.XLOOKUP(A311,CATÁLOGO!$A$2:$A$846,CATÁLOGO!$E$2:$E$846,"FORA DO CATÁLOGO")</f>
        <v>Ativo</v>
      </c>
      <c r="E311" s="2" t="s">
        <v>1401</v>
      </c>
      <c r="F311" s="62">
        <f>SUMIFS('AVARIA ESTIMADA'!$H$18:$H$40,'AVARIA ESTIMADA'!$A$18:$A$40,A311)</f>
        <v>0</v>
      </c>
    </row>
    <row r="312" spans="1:6" x14ac:dyDescent="0.3">
      <c r="A312" s="2" t="s">
        <v>241</v>
      </c>
      <c r="B312" s="19" t="str">
        <f>_xlfn.XLOOKUP(A312,CATÁLOGO!$A$2:$A$846,CATÁLOGO!$B$2:$B$846,"FORA DO CATÁLOGO")</f>
        <v>TRI007LG</v>
      </c>
      <c r="C312" s="13">
        <v>5</v>
      </c>
      <c r="D312" s="13" t="str">
        <f>_xlfn.XLOOKUP(A312,CATÁLOGO!$A$2:$A$846,CATÁLOGO!$E$2:$E$846,"FORA DO CATÁLOGO")</f>
        <v>Ativo</v>
      </c>
      <c r="E312" s="2" t="s">
        <v>1401</v>
      </c>
      <c r="F312" s="62">
        <f>SUMIFS('AVARIA ESTIMADA'!$H$18:$H$40,'AVARIA ESTIMADA'!$A$18:$A$40,A312)</f>
        <v>0</v>
      </c>
    </row>
    <row r="313" spans="1:6" x14ac:dyDescent="0.3">
      <c r="A313" s="2" t="s">
        <v>242</v>
      </c>
      <c r="B313" s="19" t="str">
        <f>_xlfn.XLOOKUP(A313,CATÁLOGO!$A$2:$A$846,CATÁLOGO!$B$2:$B$846,"FORA DO CATÁLOGO")</f>
        <v>TRI007LGG</v>
      </c>
      <c r="C313" s="13">
        <v>3</v>
      </c>
      <c r="D313" s="13" t="str">
        <f>_xlfn.XLOOKUP(A313,CATÁLOGO!$A$2:$A$846,CATÁLOGO!$E$2:$E$846,"FORA DO CATÁLOGO")</f>
        <v>Ativo</v>
      </c>
      <c r="E313" s="2" t="s">
        <v>1401</v>
      </c>
      <c r="F313" s="62">
        <f>SUMIFS('AVARIA ESTIMADA'!$H$18:$H$40,'AVARIA ESTIMADA'!$A$18:$A$40,A313)</f>
        <v>0</v>
      </c>
    </row>
    <row r="314" spans="1:6" x14ac:dyDescent="0.3">
      <c r="A314" s="2" t="s">
        <v>1482</v>
      </c>
      <c r="B314" s="19" t="str">
        <f>_xlfn.XLOOKUP(A314,CATÁLOGO!$A$2:$A$846,CATÁLOGO!$B$2:$B$846,"FORA DO CATÁLOGO")</f>
        <v>BER006L36</v>
      </c>
      <c r="C314" s="13">
        <v>1</v>
      </c>
      <c r="D314" s="13" t="str">
        <f>_xlfn.XLOOKUP(A314,CATÁLOGO!$A$2:$A$846,CATÁLOGO!$E$2:$E$846,"FORA DO CATÁLOGO")</f>
        <v>Ativo</v>
      </c>
      <c r="E314" s="2" t="s">
        <v>1401</v>
      </c>
      <c r="F314" s="62">
        <f>SUMIFS('AVARIA ESTIMADA'!$H$18:$H$40,'AVARIA ESTIMADA'!$A$18:$A$40,A314)</f>
        <v>0</v>
      </c>
    </row>
    <row r="315" spans="1:6" x14ac:dyDescent="0.3">
      <c r="A315" s="2" t="s">
        <v>1481</v>
      </c>
      <c r="B315" s="19" t="str">
        <f>_xlfn.XLOOKUP(A315,CATÁLOGO!$A$2:$A$846,CATÁLOGO!$B$2:$B$846,"FORA DO CATÁLOGO")</f>
        <v>BER006L38</v>
      </c>
      <c r="C315" s="13">
        <v>3</v>
      </c>
      <c r="D315" s="13" t="str">
        <f>_xlfn.XLOOKUP(A315,CATÁLOGO!$A$2:$A$846,CATÁLOGO!$E$2:$E$846,"FORA DO CATÁLOGO")</f>
        <v>Ativo</v>
      </c>
      <c r="E315" s="2" t="s">
        <v>1401</v>
      </c>
      <c r="F315" s="62">
        <f>SUMIFS('AVARIA ESTIMADA'!$H$18:$H$40,'AVARIA ESTIMADA'!$A$18:$A$40,A315)</f>
        <v>0</v>
      </c>
    </row>
    <row r="316" spans="1:6" x14ac:dyDescent="0.3">
      <c r="A316" s="2" t="s">
        <v>1480</v>
      </c>
      <c r="B316" s="19" t="str">
        <f>_xlfn.XLOOKUP(A316,CATÁLOGO!$A$2:$A$846,CATÁLOGO!$B$2:$B$846,"FORA DO CATÁLOGO")</f>
        <v>BER006L40</v>
      </c>
      <c r="C316" s="13">
        <v>2</v>
      </c>
      <c r="D316" s="13" t="str">
        <f>_xlfn.XLOOKUP(A316,CATÁLOGO!$A$2:$A$846,CATÁLOGO!$E$2:$E$846,"FORA DO CATÁLOGO")</f>
        <v>Ativo</v>
      </c>
      <c r="E316" s="2" t="s">
        <v>1401</v>
      </c>
      <c r="F316" s="62">
        <f>SUMIFS('AVARIA ESTIMADA'!$H$18:$H$40,'AVARIA ESTIMADA'!$A$18:$A$40,A316)</f>
        <v>0</v>
      </c>
    </row>
    <row r="317" spans="1:6" x14ac:dyDescent="0.3">
      <c r="A317" s="2" t="s">
        <v>1477</v>
      </c>
      <c r="B317" s="19" t="str">
        <f>_xlfn.XLOOKUP(A317,CATÁLOGO!$A$2:$A$846,CATÁLOGO!$B$2:$B$846,"FORA DO CATÁLOGO")</f>
        <v>BER006L42</v>
      </c>
      <c r="C317" s="13">
        <v>2</v>
      </c>
      <c r="D317" s="13" t="str">
        <f>_xlfn.XLOOKUP(A317,CATÁLOGO!$A$2:$A$846,CATÁLOGO!$E$2:$E$846,"FORA DO CATÁLOGO")</f>
        <v>Ativo</v>
      </c>
      <c r="E317" s="2" t="s">
        <v>1401</v>
      </c>
      <c r="F317" s="62">
        <f>SUMIFS('AVARIA ESTIMADA'!$H$18:$H$40,'AVARIA ESTIMADA'!$A$18:$A$40,A317)</f>
        <v>2</v>
      </c>
    </row>
    <row r="318" spans="1:6" x14ac:dyDescent="0.3">
      <c r="A318" s="2" t="s">
        <v>1479</v>
      </c>
      <c r="B318" s="19" t="str">
        <f>_xlfn.XLOOKUP(A318,CATÁLOGO!$A$2:$A$846,CATÁLOGO!$B$2:$B$846,"FORA DO CATÁLOGO")</f>
        <v>BER006L44</v>
      </c>
      <c r="C318" s="13">
        <v>1</v>
      </c>
      <c r="D318" s="13" t="str">
        <f>_xlfn.XLOOKUP(A318,CATÁLOGO!$A$2:$A$846,CATÁLOGO!$E$2:$E$846,"FORA DO CATÁLOGO")</f>
        <v>Ativo</v>
      </c>
      <c r="E318" s="2" t="s">
        <v>1401</v>
      </c>
      <c r="F318" s="62">
        <f>SUMIFS('AVARIA ESTIMADA'!$H$18:$H$40,'AVARIA ESTIMADA'!$A$18:$A$40,A318)</f>
        <v>0</v>
      </c>
    </row>
    <row r="319" spans="1:6" x14ac:dyDescent="0.3">
      <c r="A319" s="2" t="s">
        <v>1599</v>
      </c>
      <c r="B319" s="19" t="str">
        <f>_xlfn.XLOOKUP(A319,CATÁLOGO!$A$2:$A$846,CATÁLOGO!$B$2:$B$846,"FORA DO CATÁLOGO")</f>
        <v>CAL013M36</v>
      </c>
      <c r="C319" s="13">
        <v>4</v>
      </c>
      <c r="D319" s="13" t="str">
        <f>_xlfn.XLOOKUP(A319,CATÁLOGO!$A$2:$A$846,CATÁLOGO!$E$2:$E$846,"FORA DO CATÁLOGO")</f>
        <v>Descontinuado</v>
      </c>
      <c r="E319" s="2" t="s">
        <v>1401</v>
      </c>
      <c r="F319" s="62">
        <f>SUMIFS('AVARIA ESTIMADA'!$H$18:$H$40,'AVARIA ESTIMADA'!$A$18:$A$40,A319)</f>
        <v>0</v>
      </c>
    </row>
    <row r="320" spans="1:6" x14ac:dyDescent="0.3">
      <c r="A320" s="2" t="s">
        <v>1597</v>
      </c>
      <c r="B320" s="19" t="str">
        <f>_xlfn.XLOOKUP(A320,CATÁLOGO!$A$2:$A$846,CATÁLOGO!$B$2:$B$846,"FORA DO CATÁLOGO")</f>
        <v>CAL013M40</v>
      </c>
      <c r="C320" s="13">
        <v>7</v>
      </c>
      <c r="D320" s="13" t="str">
        <f>_xlfn.XLOOKUP(A320,CATÁLOGO!$A$2:$A$846,CATÁLOGO!$E$2:$E$846,"FORA DO CATÁLOGO")</f>
        <v>Descontinuado</v>
      </c>
      <c r="E320" s="2" t="s">
        <v>1401</v>
      </c>
      <c r="F320" s="62">
        <f>SUMIFS('AVARIA ESTIMADA'!$H$18:$H$40,'AVARIA ESTIMADA'!$A$18:$A$40,A320)</f>
        <v>0</v>
      </c>
    </row>
    <row r="321" spans="1:6" x14ac:dyDescent="0.3">
      <c r="A321" s="2" t="s">
        <v>1594</v>
      </c>
      <c r="B321" s="19" t="str">
        <f>_xlfn.XLOOKUP(A321,CATÁLOGO!$A$2:$A$846,CATÁLOGO!$B$2:$B$846,"FORA DO CATÁLOGO")</f>
        <v>CAL013M42</v>
      </c>
      <c r="C321" s="13">
        <v>4</v>
      </c>
      <c r="D321" s="13" t="str">
        <f>_xlfn.XLOOKUP(A321,CATÁLOGO!$A$2:$A$846,CATÁLOGO!$E$2:$E$846,"FORA DO CATÁLOGO")</f>
        <v>Descontinuado</v>
      </c>
      <c r="E321" s="2" t="s">
        <v>1401</v>
      </c>
      <c r="F321" s="62">
        <f>SUMIFS('AVARIA ESTIMADA'!$H$18:$H$40,'AVARIA ESTIMADA'!$A$18:$A$40,A321)</f>
        <v>0</v>
      </c>
    </row>
    <row r="322" spans="1:6" x14ac:dyDescent="0.3">
      <c r="A322" s="2" t="s">
        <v>1596</v>
      </c>
      <c r="B322" s="19" t="str">
        <f>_xlfn.XLOOKUP(A322,CATÁLOGO!$A$2:$A$846,CATÁLOGO!$B$2:$B$846,"FORA DO CATÁLOGO")</f>
        <v>CAL013M44</v>
      </c>
      <c r="C322" s="13">
        <v>3</v>
      </c>
      <c r="D322" s="13" t="str">
        <f>_xlfn.XLOOKUP(A322,CATÁLOGO!$A$2:$A$846,CATÁLOGO!$E$2:$E$846,"FORA DO CATÁLOGO")</f>
        <v>Descontinuado</v>
      </c>
      <c r="E322" s="2" t="s">
        <v>1401</v>
      </c>
      <c r="F322" s="62">
        <f>SUMIFS('AVARIA ESTIMADA'!$H$18:$H$40,'AVARIA ESTIMADA'!$A$18:$A$40,A322)</f>
        <v>0</v>
      </c>
    </row>
    <row r="323" spans="1:6" x14ac:dyDescent="0.3">
      <c r="A323" s="2" t="s">
        <v>243</v>
      </c>
      <c r="B323" s="19" t="str">
        <f>_xlfn.XLOOKUP(A323,CATÁLOGO!$A$2:$A$846,CATÁLOGO!$B$2:$B$846,"FORA DO CATÁLOGO")</f>
        <v>VES007VP</v>
      </c>
      <c r="C323" s="13">
        <v>4</v>
      </c>
      <c r="D323" s="13" t="str">
        <f>_xlfn.XLOOKUP(A323,CATÁLOGO!$A$2:$A$846,CATÁLOGO!$E$2:$E$846,"FORA DO CATÁLOGO")</f>
        <v>Ativo</v>
      </c>
      <c r="E323" s="2" t="s">
        <v>1401</v>
      </c>
      <c r="F323" s="62">
        <f>SUMIFS('AVARIA ESTIMADA'!$H$18:$H$40,'AVARIA ESTIMADA'!$A$18:$A$40,A323)</f>
        <v>0</v>
      </c>
    </row>
    <row r="324" spans="1:6" x14ac:dyDescent="0.3">
      <c r="A324" s="2" t="s">
        <v>244</v>
      </c>
      <c r="B324" s="19" t="str">
        <f>_xlfn.XLOOKUP(A324,CATÁLOGO!$A$2:$A$846,CATÁLOGO!$B$2:$B$846,"FORA DO CATÁLOGO")</f>
        <v>VES007VM</v>
      </c>
      <c r="C324" s="13">
        <v>5</v>
      </c>
      <c r="D324" s="13" t="str">
        <f>_xlfn.XLOOKUP(A324,CATÁLOGO!$A$2:$A$846,CATÁLOGO!$E$2:$E$846,"FORA DO CATÁLOGO")</f>
        <v>Ativo</v>
      </c>
      <c r="E324" s="2" t="s">
        <v>1401</v>
      </c>
      <c r="F324" s="62">
        <f>SUMIFS('AVARIA ESTIMADA'!$H$18:$H$40,'AVARIA ESTIMADA'!$A$18:$A$40,A324)</f>
        <v>0</v>
      </c>
    </row>
    <row r="325" spans="1:6" x14ac:dyDescent="0.3">
      <c r="A325" s="2" t="s">
        <v>245</v>
      </c>
      <c r="B325" s="19" t="str">
        <f>_xlfn.XLOOKUP(A325,CATÁLOGO!$A$2:$A$846,CATÁLOGO!$B$2:$B$846,"FORA DO CATÁLOGO")</f>
        <v>VES007VG</v>
      </c>
      <c r="C325" s="13">
        <v>5</v>
      </c>
      <c r="D325" s="13" t="str">
        <f>_xlfn.XLOOKUP(A325,CATÁLOGO!$A$2:$A$846,CATÁLOGO!$E$2:$E$846,"FORA DO CATÁLOGO")</f>
        <v>Ativo</v>
      </c>
      <c r="E325" s="2" t="s">
        <v>1401</v>
      </c>
      <c r="F325" s="62">
        <f>SUMIFS('AVARIA ESTIMADA'!$H$18:$H$40,'AVARIA ESTIMADA'!$A$18:$A$40,A325)</f>
        <v>0</v>
      </c>
    </row>
    <row r="326" spans="1:6" x14ac:dyDescent="0.3">
      <c r="A326" s="2" t="s">
        <v>246</v>
      </c>
      <c r="B326" s="19" t="str">
        <f>_xlfn.XLOOKUP(A326,CATÁLOGO!$A$2:$A$846,CATÁLOGO!$B$2:$B$846,"FORA DO CATÁLOGO")</f>
        <v>VES007VGG</v>
      </c>
      <c r="C326" s="13">
        <v>2</v>
      </c>
      <c r="D326" s="13" t="str">
        <f>_xlfn.XLOOKUP(A326,CATÁLOGO!$A$2:$A$846,CATÁLOGO!$E$2:$E$846,"FORA DO CATÁLOGO")</f>
        <v>Ativo</v>
      </c>
      <c r="E326" s="2" t="s">
        <v>1401</v>
      </c>
      <c r="F326" s="62">
        <f>SUMIFS('AVARIA ESTIMADA'!$H$18:$H$40,'AVARIA ESTIMADA'!$A$18:$A$40,A326)</f>
        <v>2</v>
      </c>
    </row>
    <row r="327" spans="1:6" x14ac:dyDescent="0.3">
      <c r="A327" s="2" t="s">
        <v>247</v>
      </c>
      <c r="B327" s="19" t="str">
        <f>_xlfn.XLOOKUP(A327,CATÁLOGO!$A$2:$A$846,CATÁLOGO!$B$2:$B$846,"FORA DO CATÁLOGO")</f>
        <v>TRI008LP</v>
      </c>
      <c r="C327" s="13">
        <v>6</v>
      </c>
      <c r="D327" s="13" t="str">
        <f>_xlfn.XLOOKUP(A327,CATÁLOGO!$A$2:$A$846,CATÁLOGO!$E$2:$E$846,"FORA DO CATÁLOGO")</f>
        <v>Ativo</v>
      </c>
      <c r="E327" s="2" t="s">
        <v>1401</v>
      </c>
      <c r="F327" s="62">
        <f>SUMIFS('AVARIA ESTIMADA'!$H$18:$H$40,'AVARIA ESTIMADA'!$A$18:$A$40,A327)</f>
        <v>0</v>
      </c>
    </row>
    <row r="328" spans="1:6" x14ac:dyDescent="0.3">
      <c r="A328" s="2" t="s">
        <v>248</v>
      </c>
      <c r="B328" s="19" t="str">
        <f>_xlfn.XLOOKUP(A328,CATÁLOGO!$A$2:$A$846,CATÁLOGO!$B$2:$B$846,"FORA DO CATÁLOGO")</f>
        <v>TRI008LM</v>
      </c>
      <c r="C328" s="13">
        <v>6</v>
      </c>
      <c r="D328" s="13" t="str">
        <f>_xlfn.XLOOKUP(A328,CATÁLOGO!$A$2:$A$846,CATÁLOGO!$E$2:$E$846,"FORA DO CATÁLOGO")</f>
        <v>Ativo</v>
      </c>
      <c r="E328" s="2" t="s">
        <v>1401</v>
      </c>
      <c r="F328" s="62">
        <f>SUMIFS('AVARIA ESTIMADA'!$H$18:$H$40,'AVARIA ESTIMADA'!$A$18:$A$40,A328)</f>
        <v>0</v>
      </c>
    </row>
    <row r="329" spans="1:6" x14ac:dyDescent="0.3">
      <c r="A329" s="2" t="s">
        <v>249</v>
      </c>
      <c r="B329" s="19" t="str">
        <f>_xlfn.XLOOKUP(A329,CATÁLOGO!$A$2:$A$846,CATÁLOGO!$B$2:$B$846,"FORA DO CATÁLOGO")</f>
        <v>TRI008LG</v>
      </c>
      <c r="C329" s="13">
        <v>5</v>
      </c>
      <c r="D329" s="13" t="str">
        <f>_xlfn.XLOOKUP(A329,CATÁLOGO!$A$2:$A$846,CATÁLOGO!$E$2:$E$846,"FORA DO CATÁLOGO")</f>
        <v>Ativo</v>
      </c>
      <c r="E329" s="2" t="s">
        <v>1401</v>
      </c>
      <c r="F329" s="62">
        <f>SUMIFS('AVARIA ESTIMADA'!$H$18:$H$40,'AVARIA ESTIMADA'!$A$18:$A$40,A329)</f>
        <v>0</v>
      </c>
    </row>
    <row r="330" spans="1:6" x14ac:dyDescent="0.3">
      <c r="A330" s="2" t="s">
        <v>250</v>
      </c>
      <c r="B330" s="19" t="str">
        <f>_xlfn.XLOOKUP(A330,CATÁLOGO!$A$2:$A$846,CATÁLOGO!$B$2:$B$846,"FORA DO CATÁLOGO")</f>
        <v>ACE009VU</v>
      </c>
      <c r="C330" s="13">
        <v>2</v>
      </c>
      <c r="D330" s="13" t="str">
        <f>_xlfn.XLOOKUP(A330,CATÁLOGO!$A$2:$A$846,CATÁLOGO!$E$2:$E$846,"FORA DO CATÁLOGO")</f>
        <v>Descontinuado</v>
      </c>
      <c r="E330" s="2" t="s">
        <v>1401</v>
      </c>
      <c r="F330" s="62">
        <f>SUMIFS('AVARIA ESTIMADA'!$H$18:$H$40,'AVARIA ESTIMADA'!$A$18:$A$40,A330)</f>
        <v>0</v>
      </c>
    </row>
    <row r="331" spans="1:6" x14ac:dyDescent="0.3">
      <c r="A331" s="2" t="s">
        <v>251</v>
      </c>
      <c r="B331" s="19" t="str">
        <f>_xlfn.XLOOKUP(A331,CATÁLOGO!$A$2:$A$846,CATÁLOGO!$B$2:$B$846,"FORA DO CATÁLOGO")</f>
        <v>ACE009BU</v>
      </c>
      <c r="C331" s="13">
        <v>2</v>
      </c>
      <c r="D331" s="13" t="str">
        <f>_xlfn.XLOOKUP(A331,CATÁLOGO!$A$2:$A$846,CATÁLOGO!$E$2:$E$846,"FORA DO CATÁLOGO")</f>
        <v>Descontinuado</v>
      </c>
      <c r="E331" s="2" t="s">
        <v>1401</v>
      </c>
      <c r="F331" s="62">
        <f>SUMIFS('AVARIA ESTIMADA'!$H$18:$H$40,'AVARIA ESTIMADA'!$A$18:$A$40,A331)</f>
        <v>0</v>
      </c>
    </row>
    <row r="332" spans="1:6" x14ac:dyDescent="0.3">
      <c r="A332" s="2" t="s">
        <v>1604</v>
      </c>
      <c r="B332" s="19" t="str">
        <f>_xlfn.XLOOKUP(A332,CATÁLOGO!$A$2:$A$846,CATÁLOGO!$B$2:$B$846,"FORA DO CATÁLOGO")</f>
        <v>CAL014A38</v>
      </c>
      <c r="C332" s="13">
        <v>4</v>
      </c>
      <c r="D332" s="13" t="str">
        <f>_xlfn.XLOOKUP(A332,CATÁLOGO!$A$2:$A$846,CATÁLOGO!$E$2:$E$846,"FORA DO CATÁLOGO")</f>
        <v>Descontinuado</v>
      </c>
      <c r="E332" s="2" t="s">
        <v>1401</v>
      </c>
      <c r="F332" s="62">
        <f>SUMIFS('AVARIA ESTIMADA'!$H$18:$H$40,'AVARIA ESTIMADA'!$A$18:$A$40,A332)</f>
        <v>0</v>
      </c>
    </row>
    <row r="333" spans="1:6" x14ac:dyDescent="0.3">
      <c r="A333" s="2" t="s">
        <v>1600</v>
      </c>
      <c r="B333" s="19" t="str">
        <f>_xlfn.XLOOKUP(A333,CATÁLOGO!$A$2:$A$846,CATÁLOGO!$B$2:$B$846,"FORA DO CATÁLOGO")</f>
        <v>CAL014A42</v>
      </c>
      <c r="C333" s="13">
        <v>6</v>
      </c>
      <c r="D333" s="13" t="str">
        <f>_xlfn.XLOOKUP(A333,CATÁLOGO!$A$2:$A$846,CATÁLOGO!$E$2:$E$846,"FORA DO CATÁLOGO")</f>
        <v>Descontinuado</v>
      </c>
      <c r="E333" s="2" t="s">
        <v>1401</v>
      </c>
      <c r="F333" s="62">
        <f>SUMIFS('AVARIA ESTIMADA'!$H$18:$H$40,'AVARIA ESTIMADA'!$A$18:$A$40,A333)</f>
        <v>0</v>
      </c>
    </row>
    <row r="334" spans="1:6" x14ac:dyDescent="0.3">
      <c r="A334" s="2" t="s">
        <v>1602</v>
      </c>
      <c r="B334" s="19" t="str">
        <f>_xlfn.XLOOKUP(A334,CATÁLOGO!$A$2:$A$846,CATÁLOGO!$B$2:$B$846,"FORA DO CATÁLOGO")</f>
        <v>CAL014A44</v>
      </c>
      <c r="C334" s="13">
        <v>6</v>
      </c>
      <c r="D334" s="13" t="str">
        <f>_xlfn.XLOOKUP(A334,CATÁLOGO!$A$2:$A$846,CATÁLOGO!$E$2:$E$846,"FORA DO CATÁLOGO")</f>
        <v>Descontinuado</v>
      </c>
      <c r="E334" s="2" t="s">
        <v>1401</v>
      </c>
      <c r="F334" s="62">
        <f>SUMIFS('AVARIA ESTIMADA'!$H$18:$H$40,'AVARIA ESTIMADA'!$A$18:$A$40,A334)</f>
        <v>0</v>
      </c>
    </row>
    <row r="335" spans="1:6" x14ac:dyDescent="0.3">
      <c r="A335" s="2" t="s">
        <v>252</v>
      </c>
      <c r="B335" s="19" t="str">
        <f>_xlfn.XLOOKUP(A335,CATÁLOGO!$A$2:$A$846,CATÁLOGO!$B$2:$B$846,"FORA DO CATÁLOGO")</f>
        <v>CAM015CP</v>
      </c>
      <c r="C335" s="13">
        <v>1</v>
      </c>
      <c r="D335" s="13" t="str">
        <f>_xlfn.XLOOKUP(A335,CATÁLOGO!$A$2:$A$846,CATÁLOGO!$E$2:$E$846,"FORA DO CATÁLOGO")</f>
        <v>Descontinuado</v>
      </c>
      <c r="E335" s="2" t="s">
        <v>1401</v>
      </c>
      <c r="F335" s="62">
        <f>SUMIFS('AVARIA ESTIMADA'!$H$18:$H$40,'AVARIA ESTIMADA'!$A$18:$A$40,A335)</f>
        <v>0</v>
      </c>
    </row>
    <row r="336" spans="1:6" x14ac:dyDescent="0.3">
      <c r="A336" s="2" t="s">
        <v>253</v>
      </c>
      <c r="B336" s="19" t="str">
        <f>_xlfn.XLOOKUP(A336,CATÁLOGO!$A$2:$A$846,CATÁLOGO!$B$2:$B$846,"FORA DO CATÁLOGO")</f>
        <v>CAM015CM</v>
      </c>
      <c r="C336" s="13">
        <v>6</v>
      </c>
      <c r="D336" s="13" t="str">
        <f>_xlfn.XLOOKUP(A336,CATÁLOGO!$A$2:$A$846,CATÁLOGO!$E$2:$E$846,"FORA DO CATÁLOGO")</f>
        <v>Descontinuado</v>
      </c>
      <c r="E336" s="2" t="s">
        <v>1401</v>
      </c>
      <c r="F336" s="62">
        <f>SUMIFS('AVARIA ESTIMADA'!$H$18:$H$40,'AVARIA ESTIMADA'!$A$18:$A$40,A336)</f>
        <v>0</v>
      </c>
    </row>
    <row r="337" spans="1:6" x14ac:dyDescent="0.3">
      <c r="A337" s="2" t="s">
        <v>254</v>
      </c>
      <c r="B337" s="19" t="str">
        <f>_xlfn.XLOOKUP(A337,CATÁLOGO!$A$2:$A$846,CATÁLOGO!$B$2:$B$846,"FORA DO CATÁLOGO")</f>
        <v>SAI007HP</v>
      </c>
      <c r="C337" s="13">
        <v>2</v>
      </c>
      <c r="D337" s="13" t="str">
        <f>_xlfn.XLOOKUP(A337,CATÁLOGO!$A$2:$A$846,CATÁLOGO!$E$2:$E$846,"FORA DO CATÁLOGO")</f>
        <v>Descontinuado</v>
      </c>
      <c r="E337" s="2" t="s">
        <v>1401</v>
      </c>
      <c r="F337" s="62">
        <f>SUMIFS('AVARIA ESTIMADA'!$H$18:$H$40,'AVARIA ESTIMADA'!$A$18:$A$40,A337)</f>
        <v>0</v>
      </c>
    </row>
    <row r="338" spans="1:6" x14ac:dyDescent="0.3">
      <c r="A338" s="2" t="s">
        <v>255</v>
      </c>
      <c r="B338" s="19" t="str">
        <f>_xlfn.XLOOKUP(A338,CATÁLOGO!$A$2:$A$846,CATÁLOGO!$B$2:$B$846,"FORA DO CATÁLOGO")</f>
        <v>SAI007HG</v>
      </c>
      <c r="C338" s="13">
        <v>2</v>
      </c>
      <c r="D338" s="13" t="str">
        <f>_xlfn.XLOOKUP(A338,CATÁLOGO!$A$2:$A$846,CATÁLOGO!$E$2:$E$846,"FORA DO CATÁLOGO")</f>
        <v>Descontinuado</v>
      </c>
      <c r="E338" s="2" t="s">
        <v>1401</v>
      </c>
      <c r="F338" s="62">
        <f>SUMIFS('AVARIA ESTIMADA'!$H$18:$H$40,'AVARIA ESTIMADA'!$A$18:$A$40,A338)</f>
        <v>0</v>
      </c>
    </row>
    <row r="339" spans="1:6" x14ac:dyDescent="0.3">
      <c r="A339" s="2" t="s">
        <v>256</v>
      </c>
      <c r="B339" s="19" t="str">
        <f>_xlfn.XLOOKUP(A339,CATÁLOGO!$A$2:$A$846,CATÁLOGO!$B$2:$B$846,"FORA DO CATÁLOGO")</f>
        <v>SAI007HGG</v>
      </c>
      <c r="C339" s="13">
        <v>4</v>
      </c>
      <c r="D339" s="13" t="str">
        <f>_xlfn.XLOOKUP(A339,CATÁLOGO!$A$2:$A$846,CATÁLOGO!$E$2:$E$846,"FORA DO CATÁLOGO")</f>
        <v>Descontinuado</v>
      </c>
      <c r="E339" s="2" t="s">
        <v>1401</v>
      </c>
      <c r="F339" s="62">
        <f>SUMIFS('AVARIA ESTIMADA'!$H$18:$H$40,'AVARIA ESTIMADA'!$A$18:$A$40,A339)</f>
        <v>0</v>
      </c>
    </row>
    <row r="340" spans="1:6" x14ac:dyDescent="0.3">
      <c r="A340" s="2" t="s">
        <v>257</v>
      </c>
      <c r="B340" s="19" t="str">
        <f>_xlfn.XLOOKUP(A340,CATÁLOGO!$A$2:$A$846,CATÁLOGO!$B$2:$B$846,"FORA DO CATÁLOGO")</f>
        <v>TRI009YP</v>
      </c>
      <c r="C340" s="13">
        <v>2</v>
      </c>
      <c r="D340" s="13" t="str">
        <f>_xlfn.XLOOKUP(A340,CATÁLOGO!$A$2:$A$846,CATÁLOGO!$E$2:$E$846,"FORA DO CATÁLOGO")</f>
        <v>Ativo</v>
      </c>
      <c r="E340" s="2" t="s">
        <v>1401</v>
      </c>
      <c r="F340" s="62">
        <f>SUMIFS('AVARIA ESTIMADA'!$H$18:$H$40,'AVARIA ESTIMADA'!$A$18:$A$40,A340)</f>
        <v>0</v>
      </c>
    </row>
    <row r="341" spans="1:6" x14ac:dyDescent="0.3">
      <c r="A341" s="2" t="s">
        <v>258</v>
      </c>
      <c r="B341" s="19" t="str">
        <f>_xlfn.XLOOKUP(A341,CATÁLOGO!$A$2:$A$846,CATÁLOGO!$B$2:$B$846,"FORA DO CATÁLOGO")</f>
        <v>TRI009YM</v>
      </c>
      <c r="C341" s="13">
        <v>3</v>
      </c>
      <c r="D341" s="13" t="str">
        <f>_xlfn.XLOOKUP(A341,CATÁLOGO!$A$2:$A$846,CATÁLOGO!$E$2:$E$846,"FORA DO CATÁLOGO")</f>
        <v>Ativo</v>
      </c>
      <c r="E341" s="2" t="s">
        <v>1401</v>
      </c>
      <c r="F341" s="62">
        <f>SUMIFS('AVARIA ESTIMADA'!$H$18:$H$40,'AVARIA ESTIMADA'!$A$18:$A$40,A341)</f>
        <v>0</v>
      </c>
    </row>
    <row r="342" spans="1:6" x14ac:dyDescent="0.3">
      <c r="A342" s="2" t="s">
        <v>259</v>
      </c>
      <c r="B342" s="19" t="str">
        <f>_xlfn.XLOOKUP(A342,CATÁLOGO!$A$2:$A$846,CATÁLOGO!$B$2:$B$846,"FORA DO CATÁLOGO")</f>
        <v>TRI009YG</v>
      </c>
      <c r="C342" s="13">
        <v>2</v>
      </c>
      <c r="D342" s="13" t="str">
        <f>_xlfn.XLOOKUP(A342,CATÁLOGO!$A$2:$A$846,CATÁLOGO!$E$2:$E$846,"FORA DO CATÁLOGO")</f>
        <v>Ativo</v>
      </c>
      <c r="E342" s="2" t="s">
        <v>1401</v>
      </c>
      <c r="F342" s="62">
        <f>SUMIFS('AVARIA ESTIMADA'!$H$18:$H$40,'AVARIA ESTIMADA'!$A$18:$A$40,A342)</f>
        <v>0</v>
      </c>
    </row>
    <row r="343" spans="1:6" x14ac:dyDescent="0.3">
      <c r="A343" s="2" t="s">
        <v>260</v>
      </c>
      <c r="B343" s="19" t="str">
        <f>_xlfn.XLOOKUP(A343,CATÁLOGO!$A$2:$A$846,CATÁLOGO!$B$2:$B$846,"FORA DO CATÁLOGO")</f>
        <v>TRI009YGG</v>
      </c>
      <c r="C343" s="13">
        <v>1</v>
      </c>
      <c r="D343" s="13" t="str">
        <f>_xlfn.XLOOKUP(A343,CATÁLOGO!$A$2:$A$846,CATÁLOGO!$E$2:$E$846,"FORA DO CATÁLOGO")</f>
        <v>Ativo</v>
      </c>
      <c r="E343" s="2" t="s">
        <v>1401</v>
      </c>
      <c r="F343" s="62">
        <f>SUMIFS('AVARIA ESTIMADA'!$H$18:$H$40,'AVARIA ESTIMADA'!$A$18:$A$40,A343)</f>
        <v>0</v>
      </c>
    </row>
    <row r="344" spans="1:6" x14ac:dyDescent="0.3">
      <c r="A344" s="2" t="s">
        <v>1845</v>
      </c>
      <c r="B344" s="19" t="str">
        <f>_xlfn.XLOOKUP(A344,CATÁLOGO!$A$2:$A$846,CATÁLOGO!$B$2:$B$846,"FORA DO CATÁLOGO")</f>
        <v>MOL012OPP</v>
      </c>
      <c r="C344" s="13">
        <v>2</v>
      </c>
      <c r="D344" s="13" t="str">
        <f>_xlfn.XLOOKUP(A344,CATÁLOGO!$A$2:$A$846,CATÁLOGO!$E$2:$E$846,"FORA DO CATÁLOGO")</f>
        <v>Ativo</v>
      </c>
      <c r="E344" s="2" t="s">
        <v>1401</v>
      </c>
      <c r="F344" s="62">
        <f>SUMIFS('AVARIA ESTIMADA'!$H$18:$H$40,'AVARIA ESTIMADA'!$A$18:$A$40,A344)</f>
        <v>0</v>
      </c>
    </row>
    <row r="345" spans="1:6" x14ac:dyDescent="0.3">
      <c r="A345" s="2" t="s">
        <v>261</v>
      </c>
      <c r="B345" s="19" t="str">
        <f>_xlfn.XLOOKUP(A345,CATÁLOGO!$A$2:$A$846,CATÁLOGO!$B$2:$B$846,"FORA DO CATÁLOGO")</f>
        <v>MOL012OP</v>
      </c>
      <c r="C345" s="13">
        <v>6</v>
      </c>
      <c r="D345" s="13" t="str">
        <f>_xlfn.XLOOKUP(A345,CATÁLOGO!$A$2:$A$846,CATÁLOGO!$E$2:$E$846,"FORA DO CATÁLOGO")</f>
        <v>Ativo</v>
      </c>
      <c r="E345" s="2" t="s">
        <v>1401</v>
      </c>
      <c r="F345" s="62">
        <f>SUMIFS('AVARIA ESTIMADA'!$H$18:$H$40,'AVARIA ESTIMADA'!$A$18:$A$40,A345)</f>
        <v>0</v>
      </c>
    </row>
    <row r="346" spans="1:6" x14ac:dyDescent="0.3">
      <c r="A346" s="2" t="s">
        <v>262</v>
      </c>
      <c r="B346" s="19" t="str">
        <f>_xlfn.XLOOKUP(A346,CATÁLOGO!$A$2:$A$846,CATÁLOGO!$B$2:$B$846,"FORA DO CATÁLOGO")</f>
        <v>MOL012OM</v>
      </c>
      <c r="C346" s="13">
        <v>6</v>
      </c>
      <c r="D346" s="13" t="str">
        <f>_xlfn.XLOOKUP(A346,CATÁLOGO!$A$2:$A$846,CATÁLOGO!$E$2:$E$846,"FORA DO CATÁLOGO")</f>
        <v>Ativo</v>
      </c>
      <c r="E346" s="2" t="s">
        <v>1401</v>
      </c>
      <c r="F346" s="62">
        <f>SUMIFS('AVARIA ESTIMADA'!$H$18:$H$40,'AVARIA ESTIMADA'!$A$18:$A$40,A346)</f>
        <v>0</v>
      </c>
    </row>
    <row r="347" spans="1:6" x14ac:dyDescent="0.3">
      <c r="A347" s="2" t="s">
        <v>263</v>
      </c>
      <c r="B347" s="19" t="str">
        <f>_xlfn.XLOOKUP(A347,CATÁLOGO!$A$2:$A$846,CATÁLOGO!$B$2:$B$846,"FORA DO CATÁLOGO")</f>
        <v>MOL012OG</v>
      </c>
      <c r="C347" s="13">
        <v>5</v>
      </c>
      <c r="D347" s="13" t="str">
        <f>_xlfn.XLOOKUP(A347,CATÁLOGO!$A$2:$A$846,CATÁLOGO!$E$2:$E$846,"FORA DO CATÁLOGO")</f>
        <v>Ativo</v>
      </c>
      <c r="E347" s="2" t="s">
        <v>1401</v>
      </c>
      <c r="F347" s="62">
        <f>SUMIFS('AVARIA ESTIMADA'!$H$18:$H$40,'AVARIA ESTIMADA'!$A$18:$A$40,A347)</f>
        <v>0</v>
      </c>
    </row>
    <row r="348" spans="1:6" x14ac:dyDescent="0.3">
      <c r="A348" s="2" t="s">
        <v>264</v>
      </c>
      <c r="B348" s="19" t="str">
        <f>_xlfn.XLOOKUP(A348,CATÁLOGO!$A$2:$A$846,CATÁLOGO!$B$2:$B$846,"FORA DO CATÁLOGO")</f>
        <v>MOL012OGG</v>
      </c>
      <c r="C348" s="13">
        <v>4</v>
      </c>
      <c r="D348" s="13" t="str">
        <f>_xlfn.XLOOKUP(A348,CATÁLOGO!$A$2:$A$846,CATÁLOGO!$E$2:$E$846,"FORA DO CATÁLOGO")</f>
        <v>Ativo</v>
      </c>
      <c r="E348" s="2" t="s">
        <v>1401</v>
      </c>
      <c r="F348" s="62">
        <f>SUMIFS('AVARIA ESTIMADA'!$H$18:$H$40,'AVARIA ESTIMADA'!$A$18:$A$40,A348)</f>
        <v>0</v>
      </c>
    </row>
    <row r="349" spans="1:6" x14ac:dyDescent="0.3">
      <c r="A349" s="2" t="s">
        <v>1613</v>
      </c>
      <c r="B349" s="19" t="str">
        <f>_xlfn.XLOOKUP(A349,CATÁLOGO!$A$2:$A$846,CATÁLOGO!$B$2:$B$846,"FORA DO CATÁLOGO")</f>
        <v>CAL015G36</v>
      </c>
      <c r="C349" s="13">
        <v>1</v>
      </c>
      <c r="D349" s="13" t="str">
        <f>_xlfn.XLOOKUP(A349,CATÁLOGO!$A$2:$A$846,CATÁLOGO!$E$2:$E$846,"FORA DO CATÁLOGO")</f>
        <v>Descontinuado</v>
      </c>
      <c r="E349" s="2" t="s">
        <v>1401</v>
      </c>
      <c r="F349" s="62">
        <f>SUMIFS('AVARIA ESTIMADA'!$H$18:$H$40,'AVARIA ESTIMADA'!$A$18:$A$40,A349)</f>
        <v>0</v>
      </c>
    </row>
    <row r="350" spans="1:6" x14ac:dyDescent="0.3">
      <c r="A350" s="2" t="s">
        <v>1612</v>
      </c>
      <c r="B350" s="19" t="str">
        <f>_xlfn.XLOOKUP(A350,CATÁLOGO!$A$2:$A$846,CATÁLOGO!$B$2:$B$846,"FORA DO CATÁLOGO")</f>
        <v>CAL015G38</v>
      </c>
      <c r="C350" s="13">
        <v>5</v>
      </c>
      <c r="D350" s="13" t="str">
        <f>_xlfn.XLOOKUP(A350,CATÁLOGO!$A$2:$A$846,CATÁLOGO!$E$2:$E$846,"FORA DO CATÁLOGO")</f>
        <v>Descontinuado</v>
      </c>
      <c r="E350" s="2" t="s">
        <v>1401</v>
      </c>
      <c r="F350" s="62">
        <f>SUMIFS('AVARIA ESTIMADA'!$H$18:$H$40,'AVARIA ESTIMADA'!$A$18:$A$40,A350)</f>
        <v>0</v>
      </c>
    </row>
    <row r="351" spans="1:6" x14ac:dyDescent="0.3">
      <c r="A351" s="2" t="s">
        <v>1611</v>
      </c>
      <c r="B351" s="19" t="str">
        <f>_xlfn.XLOOKUP(A351,CATÁLOGO!$A$2:$A$846,CATÁLOGO!$B$2:$B$846,"FORA DO CATÁLOGO")</f>
        <v>CAL015G40</v>
      </c>
      <c r="C351" s="13">
        <v>3</v>
      </c>
      <c r="D351" s="13" t="str">
        <f>_xlfn.XLOOKUP(A351,CATÁLOGO!$A$2:$A$846,CATÁLOGO!$E$2:$E$846,"FORA DO CATÁLOGO")</f>
        <v>Descontinuado</v>
      </c>
      <c r="E351" s="2" t="s">
        <v>1401</v>
      </c>
      <c r="F351" s="62">
        <f>SUMIFS('AVARIA ESTIMADA'!$H$18:$H$40,'AVARIA ESTIMADA'!$A$18:$A$40,A351)</f>
        <v>0</v>
      </c>
    </row>
    <row r="352" spans="1:6" x14ac:dyDescent="0.3">
      <c r="A352" s="2" t="s">
        <v>1608</v>
      </c>
      <c r="B352" s="19" t="str">
        <f>_xlfn.XLOOKUP(A352,CATÁLOGO!$A$2:$A$846,CATÁLOGO!$B$2:$B$846,"FORA DO CATÁLOGO")</f>
        <v>CAL015G42</v>
      </c>
      <c r="C352" s="13">
        <v>2</v>
      </c>
      <c r="D352" s="13" t="str">
        <f>_xlfn.XLOOKUP(A352,CATÁLOGO!$A$2:$A$846,CATÁLOGO!$E$2:$E$846,"FORA DO CATÁLOGO")</f>
        <v>Descontinuado</v>
      </c>
      <c r="E352" s="2" t="s">
        <v>1401</v>
      </c>
      <c r="F352" s="62">
        <f>SUMIFS('AVARIA ESTIMADA'!$H$18:$H$40,'AVARIA ESTIMADA'!$A$18:$A$40,A352)</f>
        <v>0</v>
      </c>
    </row>
    <row r="353" spans="1:6" x14ac:dyDescent="0.3">
      <c r="A353" s="2" t="s">
        <v>1619</v>
      </c>
      <c r="B353" s="19" t="str">
        <f>_xlfn.XLOOKUP(A353,CATÁLOGO!$A$2:$A$846,CATÁLOGO!$B$2:$B$846,"FORA DO CATÁLOGO")</f>
        <v>CAL016V36</v>
      </c>
      <c r="C353" s="13">
        <v>1</v>
      </c>
      <c r="D353" s="13" t="str">
        <f>_xlfn.XLOOKUP(A353,CATÁLOGO!$A$2:$A$846,CATÁLOGO!$E$2:$E$846,"FORA DO CATÁLOGO")</f>
        <v>Descontinuado</v>
      </c>
      <c r="E353" s="2" t="s">
        <v>1401</v>
      </c>
      <c r="F353" s="62">
        <f>SUMIFS('AVARIA ESTIMADA'!$H$18:$H$40,'AVARIA ESTIMADA'!$A$18:$A$40,A353)</f>
        <v>0</v>
      </c>
    </row>
    <row r="354" spans="1:6" x14ac:dyDescent="0.3">
      <c r="A354" s="2" t="s">
        <v>1618</v>
      </c>
      <c r="B354" s="19" t="str">
        <f>_xlfn.XLOOKUP(A354,CATÁLOGO!$A$2:$A$846,CATÁLOGO!$B$2:$B$846,"FORA DO CATÁLOGO")</f>
        <v>CAL016V38</v>
      </c>
      <c r="C354" s="13">
        <v>3</v>
      </c>
      <c r="D354" s="13" t="str">
        <f>_xlfn.XLOOKUP(A354,CATÁLOGO!$A$2:$A$846,CATÁLOGO!$E$2:$E$846,"FORA DO CATÁLOGO")</f>
        <v>Descontinuado</v>
      </c>
      <c r="E354" s="2" t="s">
        <v>1401</v>
      </c>
      <c r="F354" s="62">
        <f>SUMIFS('AVARIA ESTIMADA'!$H$18:$H$40,'AVARIA ESTIMADA'!$A$18:$A$40,A354)</f>
        <v>3</v>
      </c>
    </row>
    <row r="355" spans="1:6" x14ac:dyDescent="0.3">
      <c r="A355" s="2" t="s">
        <v>1617</v>
      </c>
      <c r="B355" s="19" t="str">
        <f>_xlfn.XLOOKUP(A355,CATÁLOGO!$A$2:$A$846,CATÁLOGO!$B$2:$B$846,"FORA DO CATÁLOGO")</f>
        <v>CAL016V40</v>
      </c>
      <c r="C355" s="13">
        <v>3</v>
      </c>
      <c r="D355" s="13" t="str">
        <f>_xlfn.XLOOKUP(A355,CATÁLOGO!$A$2:$A$846,CATÁLOGO!$E$2:$E$846,"FORA DO CATÁLOGO")</f>
        <v>Descontinuado</v>
      </c>
      <c r="E355" s="2" t="s">
        <v>1401</v>
      </c>
      <c r="F355" s="62">
        <f>SUMIFS('AVARIA ESTIMADA'!$H$18:$H$40,'AVARIA ESTIMADA'!$A$18:$A$40,A355)</f>
        <v>3</v>
      </c>
    </row>
    <row r="356" spans="1:6" x14ac:dyDescent="0.3">
      <c r="A356" s="2" t="s">
        <v>1614</v>
      </c>
      <c r="B356" s="19" t="str">
        <f>_xlfn.XLOOKUP(A356,CATÁLOGO!$A$2:$A$846,CATÁLOGO!$B$2:$B$846,"FORA DO CATÁLOGO")</f>
        <v>CAL016V42</v>
      </c>
      <c r="C356" s="13">
        <v>1</v>
      </c>
      <c r="D356" s="13" t="str">
        <f>_xlfn.XLOOKUP(A356,CATÁLOGO!$A$2:$A$846,CATÁLOGO!$E$2:$E$846,"FORA DO CATÁLOGO")</f>
        <v>Descontinuado</v>
      </c>
      <c r="E356" s="2" t="s">
        <v>1401</v>
      </c>
      <c r="F356" s="62">
        <f>SUMIFS('AVARIA ESTIMADA'!$H$18:$H$40,'AVARIA ESTIMADA'!$A$18:$A$40,A356)</f>
        <v>0</v>
      </c>
    </row>
    <row r="357" spans="1:6" x14ac:dyDescent="0.3">
      <c r="A357" s="2" t="s">
        <v>1616</v>
      </c>
      <c r="B357" s="19" t="str">
        <f>_xlfn.XLOOKUP(A357,CATÁLOGO!$A$2:$A$846,CATÁLOGO!$B$2:$B$846,"FORA DO CATÁLOGO")</f>
        <v>CAL016V44</v>
      </c>
      <c r="C357" s="13">
        <v>1</v>
      </c>
      <c r="D357" s="13" t="str">
        <f>_xlfn.XLOOKUP(A357,CATÁLOGO!$A$2:$A$846,CATÁLOGO!$E$2:$E$846,"FORA DO CATÁLOGO")</f>
        <v>Descontinuado</v>
      </c>
      <c r="E357" s="2" t="s">
        <v>1401</v>
      </c>
      <c r="F357" s="62">
        <f>SUMIFS('AVARIA ESTIMADA'!$H$18:$H$40,'AVARIA ESTIMADA'!$A$18:$A$40,A357)</f>
        <v>0</v>
      </c>
    </row>
    <row r="358" spans="1:6" x14ac:dyDescent="0.3">
      <c r="A358" s="2" t="s">
        <v>1625</v>
      </c>
      <c r="B358" s="19" t="str">
        <f>_xlfn.XLOOKUP(A358,CATÁLOGO!$A$2:$A$846,CATÁLOGO!$B$2:$B$846,"FORA DO CATÁLOGO")</f>
        <v>CAL017H38</v>
      </c>
      <c r="C358" s="13">
        <v>3</v>
      </c>
      <c r="D358" s="13" t="str">
        <f>_xlfn.XLOOKUP(A358,CATÁLOGO!$A$2:$A$846,CATÁLOGO!$E$2:$E$846,"FORA DO CATÁLOGO")</f>
        <v>Descontinuado</v>
      </c>
      <c r="E358" s="2" t="s">
        <v>1401</v>
      </c>
      <c r="F358" s="62">
        <f>SUMIFS('AVARIA ESTIMADA'!$H$18:$H$40,'AVARIA ESTIMADA'!$A$18:$A$40,A358)</f>
        <v>0</v>
      </c>
    </row>
    <row r="359" spans="1:6" x14ac:dyDescent="0.3">
      <c r="A359" s="2" t="s">
        <v>1624</v>
      </c>
      <c r="B359" s="19" t="str">
        <f>_xlfn.XLOOKUP(A359,CATÁLOGO!$A$2:$A$846,CATÁLOGO!$B$2:$B$846,"FORA DO CATÁLOGO")</f>
        <v>CAL017H40</v>
      </c>
      <c r="C359" s="13">
        <v>1</v>
      </c>
      <c r="D359" s="13" t="str">
        <f>_xlfn.XLOOKUP(A359,CATÁLOGO!$A$2:$A$846,CATÁLOGO!$E$2:$E$846,"FORA DO CATÁLOGO")</f>
        <v>Descontinuado</v>
      </c>
      <c r="E359" s="2" t="s">
        <v>1401</v>
      </c>
      <c r="F359" s="62">
        <f>SUMIFS('AVARIA ESTIMADA'!$H$18:$H$40,'AVARIA ESTIMADA'!$A$18:$A$40,A359)</f>
        <v>0</v>
      </c>
    </row>
    <row r="360" spans="1:6" x14ac:dyDescent="0.3">
      <c r="A360" s="2" t="s">
        <v>1620</v>
      </c>
      <c r="B360" s="19" t="str">
        <f>_xlfn.XLOOKUP(A360,CATÁLOGO!$A$2:$A$846,CATÁLOGO!$B$2:$B$846,"FORA DO CATÁLOGO")</f>
        <v>CAL017H42</v>
      </c>
      <c r="C360" s="13">
        <v>2</v>
      </c>
      <c r="D360" s="13" t="str">
        <f>_xlfn.XLOOKUP(A360,CATÁLOGO!$A$2:$A$846,CATÁLOGO!$E$2:$E$846,"FORA DO CATÁLOGO")</f>
        <v>Descontinuado</v>
      </c>
      <c r="E360" s="2" t="s">
        <v>1401</v>
      </c>
      <c r="F360" s="62">
        <f>SUMIFS('AVARIA ESTIMADA'!$H$18:$H$40,'AVARIA ESTIMADA'!$A$18:$A$40,A360)</f>
        <v>0</v>
      </c>
    </row>
    <row r="361" spans="1:6" x14ac:dyDescent="0.3">
      <c r="A361" s="2" t="s">
        <v>1622</v>
      </c>
      <c r="B361" s="19" t="str">
        <f>_xlfn.XLOOKUP(A361,CATÁLOGO!$A$2:$A$846,CATÁLOGO!$B$2:$B$846,"FORA DO CATÁLOGO")</f>
        <v>CAL017H44</v>
      </c>
      <c r="C361" s="13">
        <v>2</v>
      </c>
      <c r="D361" s="13" t="str">
        <f>_xlfn.XLOOKUP(A361,CATÁLOGO!$A$2:$A$846,CATÁLOGO!$E$2:$E$846,"FORA DO CATÁLOGO")</f>
        <v>Descontinuado</v>
      </c>
      <c r="E361" s="2" t="s">
        <v>1401</v>
      </c>
      <c r="F361" s="62">
        <f>SUMIFS('AVARIA ESTIMADA'!$H$18:$H$40,'AVARIA ESTIMADA'!$A$18:$A$40,A361)</f>
        <v>0</v>
      </c>
    </row>
    <row r="362" spans="1:6" x14ac:dyDescent="0.3">
      <c r="A362" s="2" t="s">
        <v>265</v>
      </c>
      <c r="B362" s="19" t="str">
        <f>_xlfn.XLOOKUP(A362,CATÁLOGO!$A$2:$A$846,CATÁLOGO!$B$2:$B$846,"FORA DO CATÁLOGO")</f>
        <v>TRI010VP</v>
      </c>
      <c r="C362" s="13">
        <v>0</v>
      </c>
      <c r="D362" s="13" t="str">
        <f>_xlfn.XLOOKUP(A362,CATÁLOGO!$A$2:$A$846,CATÁLOGO!$E$2:$E$846,"FORA DO CATÁLOGO")</f>
        <v>Descontinuado</v>
      </c>
      <c r="E362" s="2" t="s">
        <v>1401</v>
      </c>
      <c r="F362" s="62">
        <f>SUMIFS('AVARIA ESTIMADA'!$H$18:$H$40,'AVARIA ESTIMADA'!$A$18:$A$40,A362)</f>
        <v>0</v>
      </c>
    </row>
    <row r="363" spans="1:6" x14ac:dyDescent="0.3">
      <c r="A363" s="2" t="s">
        <v>266</v>
      </c>
      <c r="B363" s="19" t="str">
        <f>_xlfn.XLOOKUP(A363,CATÁLOGO!$A$2:$A$846,CATÁLOGO!$B$2:$B$846,"FORA DO CATÁLOGO")</f>
        <v>TRI010VM</v>
      </c>
      <c r="C363" s="13">
        <v>10</v>
      </c>
      <c r="D363" s="13" t="str">
        <f>_xlfn.XLOOKUP(A363,CATÁLOGO!$A$2:$A$846,CATÁLOGO!$E$2:$E$846,"FORA DO CATÁLOGO")</f>
        <v>Descontinuado</v>
      </c>
      <c r="E363" s="2" t="s">
        <v>1401</v>
      </c>
      <c r="F363" s="62">
        <f>SUMIFS('AVARIA ESTIMADA'!$H$18:$H$40,'AVARIA ESTIMADA'!$A$18:$A$40,A363)</f>
        <v>0</v>
      </c>
    </row>
    <row r="364" spans="1:6" x14ac:dyDescent="0.3">
      <c r="A364" s="2" t="s">
        <v>267</v>
      </c>
      <c r="B364" s="19" t="str">
        <f>_xlfn.XLOOKUP(A364,CATÁLOGO!$A$2:$A$846,CATÁLOGO!$B$2:$B$846,"FORA DO CATÁLOGO")</f>
        <v>TRI010VG</v>
      </c>
      <c r="C364" s="13">
        <v>7</v>
      </c>
      <c r="D364" s="13" t="str">
        <f>_xlfn.XLOOKUP(A364,CATÁLOGO!$A$2:$A$846,CATÁLOGO!$E$2:$E$846,"FORA DO CATÁLOGO")</f>
        <v>Descontinuado</v>
      </c>
      <c r="E364" s="2" t="s">
        <v>1401</v>
      </c>
      <c r="F364" s="62">
        <f>SUMIFS('AVARIA ESTIMADA'!$H$18:$H$40,'AVARIA ESTIMADA'!$A$18:$A$40,A364)</f>
        <v>0</v>
      </c>
    </row>
    <row r="365" spans="1:6" x14ac:dyDescent="0.3">
      <c r="A365" s="2" t="s">
        <v>268</v>
      </c>
      <c r="B365" s="19" t="str">
        <f>_xlfn.XLOOKUP(A365,CATÁLOGO!$A$2:$A$846,CATÁLOGO!$B$2:$B$846,"FORA DO CATÁLOGO")</f>
        <v>TRI011GP</v>
      </c>
      <c r="C365" s="13">
        <v>6</v>
      </c>
      <c r="D365" s="13" t="str">
        <f>_xlfn.XLOOKUP(A365,CATÁLOGO!$A$2:$A$846,CATÁLOGO!$E$2:$E$846,"FORA DO CATÁLOGO")</f>
        <v>Ativo</v>
      </c>
      <c r="E365" s="2" t="s">
        <v>1401</v>
      </c>
      <c r="F365" s="62">
        <f>SUMIFS('AVARIA ESTIMADA'!$H$18:$H$40,'AVARIA ESTIMADA'!$A$18:$A$40,A365)</f>
        <v>0</v>
      </c>
    </row>
    <row r="366" spans="1:6" x14ac:dyDescent="0.3">
      <c r="A366" s="2" t="s">
        <v>269</v>
      </c>
      <c r="B366" s="19" t="str">
        <f>_xlfn.XLOOKUP(A366,CATÁLOGO!$A$2:$A$846,CATÁLOGO!$B$2:$B$846,"FORA DO CATÁLOGO")</f>
        <v>TRI011GM</v>
      </c>
      <c r="C366" s="13">
        <v>4</v>
      </c>
      <c r="D366" s="13" t="str">
        <f>_xlfn.XLOOKUP(A366,CATÁLOGO!$A$2:$A$846,CATÁLOGO!$E$2:$E$846,"FORA DO CATÁLOGO")</f>
        <v>Ativo</v>
      </c>
      <c r="E366" s="2" t="s">
        <v>1401</v>
      </c>
      <c r="F366" s="62">
        <f>SUMIFS('AVARIA ESTIMADA'!$H$18:$H$40,'AVARIA ESTIMADA'!$A$18:$A$40,A366)</f>
        <v>0</v>
      </c>
    </row>
    <row r="367" spans="1:6" x14ac:dyDescent="0.3">
      <c r="A367" s="2" t="s">
        <v>270</v>
      </c>
      <c r="B367" s="19" t="str">
        <f>_xlfn.XLOOKUP(A367,CATÁLOGO!$A$2:$A$846,CATÁLOGO!$B$2:$B$846,"FORA DO CATÁLOGO")</f>
        <v>TRI011GG</v>
      </c>
      <c r="C367" s="13">
        <v>5</v>
      </c>
      <c r="D367" s="13" t="str">
        <f>_xlfn.XLOOKUP(A367,CATÁLOGO!$A$2:$A$846,CATÁLOGO!$E$2:$E$846,"FORA DO CATÁLOGO")</f>
        <v>Ativo</v>
      </c>
      <c r="E367" s="2" t="s">
        <v>1401</v>
      </c>
      <c r="F367" s="62">
        <f>SUMIFS('AVARIA ESTIMADA'!$H$18:$H$40,'AVARIA ESTIMADA'!$A$18:$A$40,A367)</f>
        <v>0</v>
      </c>
    </row>
    <row r="368" spans="1:6" x14ac:dyDescent="0.3">
      <c r="A368" s="2" t="s">
        <v>1631</v>
      </c>
      <c r="B368" s="19" t="str">
        <f>_xlfn.XLOOKUP(A368,CATÁLOGO!$A$2:$A$846,CATÁLOGO!$B$2:$B$846,"FORA DO CATÁLOGO")</f>
        <v>CAL018G36</v>
      </c>
      <c r="C368" s="13">
        <v>4</v>
      </c>
      <c r="D368" s="13" t="str">
        <f>_xlfn.XLOOKUP(A368,CATÁLOGO!$A$2:$A$846,CATÁLOGO!$E$2:$E$846,"FORA DO CATÁLOGO")</f>
        <v>Ativo</v>
      </c>
      <c r="E368" s="2" t="s">
        <v>1401</v>
      </c>
      <c r="F368" s="62">
        <f>SUMIFS('AVARIA ESTIMADA'!$H$18:$H$40,'AVARIA ESTIMADA'!$A$18:$A$40,A368)</f>
        <v>0</v>
      </c>
    </row>
    <row r="369" spans="1:6" x14ac:dyDescent="0.3">
      <c r="A369" s="2" t="s">
        <v>1630</v>
      </c>
      <c r="B369" s="19" t="str">
        <f>_xlfn.XLOOKUP(A369,CATÁLOGO!$A$2:$A$846,CATÁLOGO!$B$2:$B$846,"FORA DO CATÁLOGO")</f>
        <v>CAL018G38</v>
      </c>
      <c r="C369" s="13">
        <v>5</v>
      </c>
      <c r="D369" s="13" t="str">
        <f>_xlfn.XLOOKUP(A369,CATÁLOGO!$A$2:$A$846,CATÁLOGO!$E$2:$E$846,"FORA DO CATÁLOGO")</f>
        <v>Ativo</v>
      </c>
      <c r="E369" s="2" t="s">
        <v>1401</v>
      </c>
      <c r="F369" s="62">
        <f>SUMIFS('AVARIA ESTIMADA'!$H$18:$H$40,'AVARIA ESTIMADA'!$A$18:$A$40,A369)</f>
        <v>0</v>
      </c>
    </row>
    <row r="370" spans="1:6" x14ac:dyDescent="0.3">
      <c r="A370" s="2" t="s">
        <v>1629</v>
      </c>
      <c r="B370" s="19" t="str">
        <f>_xlfn.XLOOKUP(A370,CATÁLOGO!$A$2:$A$846,CATÁLOGO!$B$2:$B$846,"FORA DO CATÁLOGO")</f>
        <v>CAL018G40</v>
      </c>
      <c r="C370" s="13">
        <v>5</v>
      </c>
      <c r="D370" s="13" t="str">
        <f>_xlfn.XLOOKUP(A370,CATÁLOGO!$A$2:$A$846,CATÁLOGO!$E$2:$E$846,"FORA DO CATÁLOGO")</f>
        <v>Ativo</v>
      </c>
      <c r="E370" s="2" t="s">
        <v>1401</v>
      </c>
      <c r="F370" s="62">
        <f>SUMIFS('AVARIA ESTIMADA'!$H$18:$H$40,'AVARIA ESTIMADA'!$A$18:$A$40,A370)</f>
        <v>0</v>
      </c>
    </row>
    <row r="371" spans="1:6" x14ac:dyDescent="0.3">
      <c r="A371" s="2" t="s">
        <v>1626</v>
      </c>
      <c r="B371" s="19" t="str">
        <f>_xlfn.XLOOKUP(A371,CATÁLOGO!$A$2:$A$846,CATÁLOGO!$B$2:$B$846,"FORA DO CATÁLOGO")</f>
        <v>CAL018G42</v>
      </c>
      <c r="C371" s="13">
        <v>5</v>
      </c>
      <c r="D371" s="13" t="str">
        <f>_xlfn.XLOOKUP(A371,CATÁLOGO!$A$2:$A$846,CATÁLOGO!$E$2:$E$846,"FORA DO CATÁLOGO")</f>
        <v>Ativo</v>
      </c>
      <c r="E371" s="2" t="s">
        <v>1401</v>
      </c>
      <c r="F371" s="62">
        <f>SUMIFS('AVARIA ESTIMADA'!$H$18:$H$40,'AVARIA ESTIMADA'!$A$18:$A$40,A371)</f>
        <v>0</v>
      </c>
    </row>
    <row r="372" spans="1:6" x14ac:dyDescent="0.3">
      <c r="A372" s="2" t="s">
        <v>1628</v>
      </c>
      <c r="B372" s="19" t="str">
        <f>_xlfn.XLOOKUP(A372,CATÁLOGO!$A$2:$A$846,CATÁLOGO!$B$2:$B$846,"FORA DO CATÁLOGO")</f>
        <v>CAL018G44</v>
      </c>
      <c r="C372" s="13">
        <v>4</v>
      </c>
      <c r="D372" s="13" t="str">
        <f>_xlfn.XLOOKUP(A372,CATÁLOGO!$A$2:$A$846,CATÁLOGO!$E$2:$E$846,"FORA DO CATÁLOGO")</f>
        <v>Ativo</v>
      </c>
      <c r="E372" s="2" t="s">
        <v>1401</v>
      </c>
      <c r="F372" s="62">
        <f>SUMIFS('AVARIA ESTIMADA'!$H$18:$H$40,'AVARIA ESTIMADA'!$A$18:$A$40,A372)</f>
        <v>0</v>
      </c>
    </row>
    <row r="373" spans="1:6" x14ac:dyDescent="0.3">
      <c r="A373" s="2" t="s">
        <v>271</v>
      </c>
      <c r="B373" s="19" t="str">
        <f>_xlfn.XLOOKUP(A373,CATÁLOGO!$A$2:$A$846,CATÁLOGO!$B$2:$B$846,"FORA DO CATÁLOGO")</f>
        <v>TOP011CP</v>
      </c>
      <c r="C373" s="13">
        <v>1</v>
      </c>
      <c r="D373" s="13" t="str">
        <f>_xlfn.XLOOKUP(A373,CATÁLOGO!$A$2:$A$846,CATÁLOGO!$E$2:$E$846,"FORA DO CATÁLOGO")</f>
        <v>Descontinuado</v>
      </c>
      <c r="E373" s="2" t="s">
        <v>1401</v>
      </c>
      <c r="F373" s="62">
        <f>SUMIFS('AVARIA ESTIMADA'!$H$18:$H$40,'AVARIA ESTIMADA'!$A$18:$A$40,A373)</f>
        <v>0</v>
      </c>
    </row>
    <row r="374" spans="1:6" x14ac:dyDescent="0.3">
      <c r="A374" s="2" t="s">
        <v>272</v>
      </c>
      <c r="B374" s="19" t="str">
        <f>_xlfn.XLOOKUP(A374,CATÁLOGO!$A$2:$A$846,CATÁLOGO!$B$2:$B$846,"FORA DO CATÁLOGO")</f>
        <v>TOP011CM</v>
      </c>
      <c r="C374" s="13">
        <v>2</v>
      </c>
      <c r="D374" s="13" t="str">
        <f>_xlfn.XLOOKUP(A374,CATÁLOGO!$A$2:$A$846,CATÁLOGO!$E$2:$E$846,"FORA DO CATÁLOGO")</f>
        <v>Descontinuado</v>
      </c>
      <c r="E374" s="2" t="s">
        <v>1401</v>
      </c>
      <c r="F374" s="62">
        <f>SUMIFS('AVARIA ESTIMADA'!$H$18:$H$40,'AVARIA ESTIMADA'!$A$18:$A$40,A374)</f>
        <v>0</v>
      </c>
    </row>
    <row r="375" spans="1:6" x14ac:dyDescent="0.3">
      <c r="A375" s="2" t="s">
        <v>273</v>
      </c>
      <c r="B375" s="19" t="str">
        <f>_xlfn.XLOOKUP(A375,CATÁLOGO!$A$2:$A$846,CATÁLOGO!$B$2:$B$846,"FORA DO CATÁLOGO")</f>
        <v>TOP011CG</v>
      </c>
      <c r="C375" s="13">
        <v>2</v>
      </c>
      <c r="D375" s="13" t="str">
        <f>_xlfn.XLOOKUP(A375,CATÁLOGO!$A$2:$A$846,CATÁLOGO!$E$2:$E$846,"FORA DO CATÁLOGO")</f>
        <v>Descontinuado</v>
      </c>
      <c r="E375" s="2" t="s">
        <v>1401</v>
      </c>
      <c r="F375" s="62">
        <f>SUMIFS('AVARIA ESTIMADA'!$H$18:$H$40,'AVARIA ESTIMADA'!$A$18:$A$40,A375)</f>
        <v>0</v>
      </c>
    </row>
    <row r="376" spans="1:6" x14ac:dyDescent="0.3">
      <c r="A376" s="2" t="s">
        <v>274</v>
      </c>
      <c r="B376" s="19" t="str">
        <f>_xlfn.XLOOKUP(A376,CATÁLOGO!$A$2:$A$846,CATÁLOGO!$B$2:$B$846,"FORA DO CATÁLOGO")</f>
        <v>TOP011CGG</v>
      </c>
      <c r="C376" s="13">
        <v>1</v>
      </c>
      <c r="D376" s="13" t="str">
        <f>_xlfn.XLOOKUP(A376,CATÁLOGO!$A$2:$A$846,CATÁLOGO!$E$2:$E$846,"FORA DO CATÁLOGO")</f>
        <v>Descontinuado</v>
      </c>
      <c r="E376" s="2" t="s">
        <v>1401</v>
      </c>
      <c r="F376" s="62">
        <f>SUMIFS('AVARIA ESTIMADA'!$H$18:$H$40,'AVARIA ESTIMADA'!$A$18:$A$40,A376)</f>
        <v>0</v>
      </c>
    </row>
    <row r="377" spans="1:6" x14ac:dyDescent="0.3">
      <c r="A377" s="2" t="s">
        <v>275</v>
      </c>
      <c r="B377" s="19" t="str">
        <f>_xlfn.XLOOKUP(A377,CATÁLOGO!$A$2:$A$846,CATÁLOGO!$B$2:$B$846,"FORA DO CATÁLOGO")</f>
        <v>JAQ005YP</v>
      </c>
      <c r="C377" s="13">
        <v>5</v>
      </c>
      <c r="D377" s="13" t="str">
        <f>_xlfn.XLOOKUP(A377,CATÁLOGO!$A$2:$A$846,CATÁLOGO!$E$2:$E$846,"FORA DO CATÁLOGO")</f>
        <v>Ativo</v>
      </c>
      <c r="E377" s="2" t="s">
        <v>1401</v>
      </c>
      <c r="F377" s="62">
        <f>SUMIFS('AVARIA ESTIMADA'!$H$18:$H$40,'AVARIA ESTIMADA'!$A$18:$A$40,A377)</f>
        <v>0</v>
      </c>
    </row>
    <row r="378" spans="1:6" x14ac:dyDescent="0.3">
      <c r="A378" s="2" t="s">
        <v>276</v>
      </c>
      <c r="B378" s="19" t="str">
        <f>_xlfn.XLOOKUP(A378,CATÁLOGO!$A$2:$A$846,CATÁLOGO!$B$2:$B$846,"FORA DO CATÁLOGO")</f>
        <v>JAQ005YM</v>
      </c>
      <c r="C378" s="13">
        <v>5</v>
      </c>
      <c r="D378" s="13" t="str">
        <f>_xlfn.XLOOKUP(A378,CATÁLOGO!$A$2:$A$846,CATÁLOGO!$E$2:$E$846,"FORA DO CATÁLOGO")</f>
        <v>Ativo</v>
      </c>
      <c r="E378" s="2" t="s">
        <v>1401</v>
      </c>
      <c r="F378" s="62">
        <f>SUMIFS('AVARIA ESTIMADA'!$H$18:$H$40,'AVARIA ESTIMADA'!$A$18:$A$40,A378)</f>
        <v>0</v>
      </c>
    </row>
    <row r="379" spans="1:6" x14ac:dyDescent="0.3">
      <c r="A379" s="2" t="s">
        <v>277</v>
      </c>
      <c r="B379" s="19" t="str">
        <f>_xlfn.XLOOKUP(A379,CATÁLOGO!$A$2:$A$846,CATÁLOGO!$B$2:$B$846,"FORA DO CATÁLOGO")</f>
        <v>JAQ005YG</v>
      </c>
      <c r="C379" s="13">
        <v>6</v>
      </c>
      <c r="D379" s="13" t="str">
        <f>_xlfn.XLOOKUP(A379,CATÁLOGO!$A$2:$A$846,CATÁLOGO!$E$2:$E$846,"FORA DO CATÁLOGO")</f>
        <v>Ativo</v>
      </c>
      <c r="E379" s="2" t="s">
        <v>1401</v>
      </c>
      <c r="F379" s="62">
        <f>SUMIFS('AVARIA ESTIMADA'!$H$18:$H$40,'AVARIA ESTIMADA'!$A$18:$A$40,A379)</f>
        <v>0</v>
      </c>
    </row>
    <row r="380" spans="1:6" x14ac:dyDescent="0.3">
      <c r="A380" s="2" t="s">
        <v>278</v>
      </c>
      <c r="B380" s="19" t="str">
        <f>_xlfn.XLOOKUP(A380,CATÁLOGO!$A$2:$A$846,CATÁLOGO!$B$2:$B$846,"FORA DO CATÁLOGO")</f>
        <v>JAQ005YGG</v>
      </c>
      <c r="C380" s="13">
        <v>3</v>
      </c>
      <c r="D380" s="13" t="str">
        <f>_xlfn.XLOOKUP(A380,CATÁLOGO!$A$2:$A$846,CATÁLOGO!$E$2:$E$846,"FORA DO CATÁLOGO")</f>
        <v>Ativo</v>
      </c>
      <c r="E380" s="2" t="s">
        <v>1401</v>
      </c>
      <c r="F380" s="62">
        <f>SUMIFS('AVARIA ESTIMADA'!$H$18:$H$40,'AVARIA ESTIMADA'!$A$18:$A$40,A380)</f>
        <v>0</v>
      </c>
    </row>
    <row r="381" spans="1:6" x14ac:dyDescent="0.3">
      <c r="A381" s="2" t="s">
        <v>1632</v>
      </c>
      <c r="B381" s="19" t="str">
        <f>_xlfn.XLOOKUP(A381,CATÁLOGO!$A$2:$A$846,CATÁLOGO!$B$2:$B$846,"FORA DO CATÁLOGO")</f>
        <v>CAL019B42</v>
      </c>
      <c r="C381" s="13">
        <v>2</v>
      </c>
      <c r="D381" s="13" t="str">
        <f>_xlfn.XLOOKUP(A381,CATÁLOGO!$A$2:$A$846,CATÁLOGO!$E$2:$E$846,"FORA DO CATÁLOGO")</f>
        <v>Descontinuado</v>
      </c>
      <c r="E381" s="2" t="s">
        <v>1401</v>
      </c>
      <c r="F381" s="62">
        <f>SUMIFS('AVARIA ESTIMADA'!$H$18:$H$40,'AVARIA ESTIMADA'!$A$18:$A$40,A381)</f>
        <v>0</v>
      </c>
    </row>
    <row r="382" spans="1:6" x14ac:dyDescent="0.3">
      <c r="A382" s="2" t="s">
        <v>1646</v>
      </c>
      <c r="B382" s="19" t="str">
        <f>_xlfn.XLOOKUP(A382,CATÁLOGO!$A$2:$A$846,CATÁLOGO!$B$2:$B$846,"FORA DO CATÁLOGO")</f>
        <v>CAL020Y36</v>
      </c>
      <c r="C382" s="13">
        <v>2</v>
      </c>
      <c r="D382" s="13" t="str">
        <f>_xlfn.XLOOKUP(A382,CATÁLOGO!$A$2:$A$846,CATÁLOGO!$E$2:$E$846,"FORA DO CATÁLOGO")</f>
        <v>Ativo</v>
      </c>
      <c r="E382" s="2" t="s">
        <v>1401</v>
      </c>
      <c r="F382" s="62">
        <f>SUMIFS('AVARIA ESTIMADA'!$H$18:$H$40,'AVARIA ESTIMADA'!$A$18:$A$40,A382)</f>
        <v>0</v>
      </c>
    </row>
    <row r="383" spans="1:6" x14ac:dyDescent="0.3">
      <c r="A383" s="2" t="s">
        <v>1645</v>
      </c>
      <c r="B383" s="19" t="str">
        <f>_xlfn.XLOOKUP(A383,CATÁLOGO!$A$2:$A$846,CATÁLOGO!$B$2:$B$846,"FORA DO CATÁLOGO")</f>
        <v>CAL020Y38</v>
      </c>
      <c r="C383" s="13">
        <v>4</v>
      </c>
      <c r="D383" s="13" t="str">
        <f>_xlfn.XLOOKUP(A383,CATÁLOGO!$A$2:$A$846,CATÁLOGO!$E$2:$E$846,"FORA DO CATÁLOGO")</f>
        <v>Ativo</v>
      </c>
      <c r="E383" s="2" t="s">
        <v>1401</v>
      </c>
      <c r="F383" s="62">
        <f>SUMIFS('AVARIA ESTIMADA'!$H$18:$H$40,'AVARIA ESTIMADA'!$A$18:$A$40,A383)</f>
        <v>0</v>
      </c>
    </row>
    <row r="384" spans="1:6" x14ac:dyDescent="0.3">
      <c r="A384" s="2" t="s">
        <v>1643</v>
      </c>
      <c r="B384" s="19" t="str">
        <f>_xlfn.XLOOKUP(A384,CATÁLOGO!$A$2:$A$846,CATÁLOGO!$B$2:$B$846,"FORA DO CATÁLOGO")</f>
        <v>CAL020Y40</v>
      </c>
      <c r="C384" s="13">
        <v>4</v>
      </c>
      <c r="D384" s="13" t="str">
        <f>_xlfn.XLOOKUP(A384,CATÁLOGO!$A$2:$A$846,CATÁLOGO!$E$2:$E$846,"FORA DO CATÁLOGO")</f>
        <v>Ativo</v>
      </c>
      <c r="E384" s="2" t="s">
        <v>1401</v>
      </c>
      <c r="F384" s="62">
        <f>SUMIFS('AVARIA ESTIMADA'!$H$18:$H$40,'AVARIA ESTIMADA'!$A$18:$A$40,A384)</f>
        <v>0</v>
      </c>
    </row>
    <row r="385" spans="1:6" x14ac:dyDescent="0.3">
      <c r="A385" s="2" t="s">
        <v>1640</v>
      </c>
      <c r="B385" s="19" t="str">
        <f>_xlfn.XLOOKUP(A385,CATÁLOGO!$A$2:$A$846,CATÁLOGO!$B$2:$B$846,"FORA DO CATÁLOGO")</f>
        <v>CAL020Y42</v>
      </c>
      <c r="C385" s="13">
        <v>3</v>
      </c>
      <c r="D385" s="13" t="str">
        <f>_xlfn.XLOOKUP(A385,CATÁLOGO!$A$2:$A$846,CATÁLOGO!$E$2:$E$846,"FORA DO CATÁLOGO")</f>
        <v>Ativo</v>
      </c>
      <c r="E385" s="2" t="s">
        <v>1401</v>
      </c>
      <c r="F385" s="62">
        <f>SUMIFS('AVARIA ESTIMADA'!$H$18:$H$40,'AVARIA ESTIMADA'!$A$18:$A$40,A385)</f>
        <v>0</v>
      </c>
    </row>
    <row r="386" spans="1:6" x14ac:dyDescent="0.3">
      <c r="A386" s="2" t="s">
        <v>1642</v>
      </c>
      <c r="B386" s="19" t="str">
        <f>_xlfn.XLOOKUP(A386,CATÁLOGO!$A$2:$A$846,CATÁLOGO!$B$2:$B$846,"FORA DO CATÁLOGO")</f>
        <v>CAL020Y44</v>
      </c>
      <c r="C386" s="13">
        <v>2</v>
      </c>
      <c r="D386" s="13" t="str">
        <f>_xlfn.XLOOKUP(A386,CATÁLOGO!$A$2:$A$846,CATÁLOGO!$E$2:$E$846,"FORA DO CATÁLOGO")</f>
        <v>Ativo</v>
      </c>
      <c r="E386" s="2" t="s">
        <v>1401</v>
      </c>
      <c r="F386" s="62">
        <f>SUMIFS('AVARIA ESTIMADA'!$H$18:$H$40,'AVARIA ESTIMADA'!$A$18:$A$40,A386)</f>
        <v>0</v>
      </c>
    </row>
    <row r="387" spans="1:6" x14ac:dyDescent="0.3">
      <c r="A387" s="2" t="s">
        <v>279</v>
      </c>
      <c r="B387" s="19" t="str">
        <f>_xlfn.XLOOKUP(A387,CATÁLOGO!$A$2:$A$846,CATÁLOGO!$B$2:$B$846,"FORA DO CATÁLOGO")</f>
        <v>CAM016GP</v>
      </c>
      <c r="C387" s="13">
        <v>4</v>
      </c>
      <c r="D387" s="13" t="str">
        <f>_xlfn.XLOOKUP(A387,CATÁLOGO!$A$2:$A$846,CATÁLOGO!$E$2:$E$846,"FORA DO CATÁLOGO")</f>
        <v>Ativo</v>
      </c>
      <c r="E387" s="2" t="s">
        <v>1401</v>
      </c>
      <c r="F387" s="62">
        <f>SUMIFS('AVARIA ESTIMADA'!$H$18:$H$40,'AVARIA ESTIMADA'!$A$18:$A$40,A387)</f>
        <v>0</v>
      </c>
    </row>
    <row r="388" spans="1:6" x14ac:dyDescent="0.3">
      <c r="A388" s="2" t="s">
        <v>280</v>
      </c>
      <c r="B388" s="19" t="str">
        <f>_xlfn.XLOOKUP(A388,CATÁLOGO!$A$2:$A$846,CATÁLOGO!$B$2:$B$846,"FORA DO CATÁLOGO")</f>
        <v>CAM016GM</v>
      </c>
      <c r="C388" s="13">
        <v>4</v>
      </c>
      <c r="D388" s="13" t="str">
        <f>_xlfn.XLOOKUP(A388,CATÁLOGO!$A$2:$A$846,CATÁLOGO!$E$2:$E$846,"FORA DO CATÁLOGO")</f>
        <v>Ativo</v>
      </c>
      <c r="E388" s="2" t="s">
        <v>1401</v>
      </c>
      <c r="F388" s="62">
        <f>SUMIFS('AVARIA ESTIMADA'!$H$18:$H$40,'AVARIA ESTIMADA'!$A$18:$A$40,A388)</f>
        <v>0</v>
      </c>
    </row>
    <row r="389" spans="1:6" x14ac:dyDescent="0.3">
      <c r="A389" s="2" t="s">
        <v>281</v>
      </c>
      <c r="B389" s="19" t="str">
        <f>_xlfn.XLOOKUP(A389,CATÁLOGO!$A$2:$A$846,CATÁLOGO!$B$2:$B$846,"FORA DO CATÁLOGO")</f>
        <v>CAM016GG</v>
      </c>
      <c r="C389" s="13">
        <v>4</v>
      </c>
      <c r="D389" s="13" t="str">
        <f>_xlfn.XLOOKUP(A389,CATÁLOGO!$A$2:$A$846,CATÁLOGO!$E$2:$E$846,"FORA DO CATÁLOGO")</f>
        <v>Ativo</v>
      </c>
      <c r="E389" s="2" t="s">
        <v>1401</v>
      </c>
      <c r="F389" s="62">
        <f>SUMIFS('AVARIA ESTIMADA'!$H$18:$H$40,'AVARIA ESTIMADA'!$A$18:$A$40,A389)</f>
        <v>0</v>
      </c>
    </row>
    <row r="390" spans="1:6" x14ac:dyDescent="0.3">
      <c r="A390" s="2" t="s">
        <v>282</v>
      </c>
      <c r="B390" s="19" t="str">
        <f>_xlfn.XLOOKUP(A390,CATÁLOGO!$A$2:$A$846,CATÁLOGO!$B$2:$B$846,"FORA DO CATÁLOGO")</f>
        <v>CMS008VP</v>
      </c>
      <c r="C390" s="13">
        <v>4</v>
      </c>
      <c r="D390" s="13" t="str">
        <f>_xlfn.XLOOKUP(A390,CATÁLOGO!$A$2:$A$846,CATÁLOGO!$E$2:$E$846,"FORA DO CATÁLOGO")</f>
        <v>Ativo</v>
      </c>
      <c r="E390" s="2" t="s">
        <v>1401</v>
      </c>
      <c r="F390" s="62">
        <f>SUMIFS('AVARIA ESTIMADA'!$H$18:$H$40,'AVARIA ESTIMADA'!$A$18:$A$40,A390)</f>
        <v>0</v>
      </c>
    </row>
    <row r="391" spans="1:6" x14ac:dyDescent="0.3">
      <c r="A391" s="2" t="s">
        <v>283</v>
      </c>
      <c r="B391" s="19" t="str">
        <f>_xlfn.XLOOKUP(A391,CATÁLOGO!$A$2:$A$846,CATÁLOGO!$B$2:$B$846,"FORA DO CATÁLOGO")</f>
        <v>CMS008VM</v>
      </c>
      <c r="C391" s="13">
        <v>4</v>
      </c>
      <c r="D391" s="13" t="str">
        <f>_xlfn.XLOOKUP(A391,CATÁLOGO!$A$2:$A$846,CATÁLOGO!$E$2:$E$846,"FORA DO CATÁLOGO")</f>
        <v>Ativo</v>
      </c>
      <c r="E391" s="2" t="s">
        <v>1401</v>
      </c>
      <c r="F391" s="62">
        <f>SUMIFS('AVARIA ESTIMADA'!$H$18:$H$40,'AVARIA ESTIMADA'!$A$18:$A$40,A391)</f>
        <v>0</v>
      </c>
    </row>
    <row r="392" spans="1:6" x14ac:dyDescent="0.3">
      <c r="A392" s="2" t="s">
        <v>284</v>
      </c>
      <c r="B392" s="19" t="str">
        <f>_xlfn.XLOOKUP(A392,CATÁLOGO!$A$2:$A$846,CATÁLOGO!$B$2:$B$846,"FORA DO CATÁLOGO")</f>
        <v>CMS008VG</v>
      </c>
      <c r="C392" s="13">
        <v>3</v>
      </c>
      <c r="D392" s="13" t="str">
        <f>_xlfn.XLOOKUP(A392,CATÁLOGO!$A$2:$A$846,CATÁLOGO!$E$2:$E$846,"FORA DO CATÁLOGO")</f>
        <v>Ativo</v>
      </c>
      <c r="E392" s="2" t="s">
        <v>1401</v>
      </c>
      <c r="F392" s="62">
        <f>SUMIFS('AVARIA ESTIMADA'!$H$18:$H$40,'AVARIA ESTIMADA'!$A$18:$A$40,A392)</f>
        <v>0</v>
      </c>
    </row>
    <row r="393" spans="1:6" x14ac:dyDescent="0.3">
      <c r="A393" s="2" t="s">
        <v>285</v>
      </c>
      <c r="B393" s="19" t="str">
        <f>_xlfn.XLOOKUP(A393,CATÁLOGO!$A$2:$A$846,CATÁLOGO!$B$2:$B$846,"FORA DO CATÁLOGO")</f>
        <v>CMS008VGG</v>
      </c>
      <c r="C393" s="13">
        <v>2</v>
      </c>
      <c r="D393" s="13" t="str">
        <f>_xlfn.XLOOKUP(A393,CATÁLOGO!$A$2:$A$846,CATÁLOGO!$E$2:$E$846,"FORA DO CATÁLOGO")</f>
        <v>Ativo</v>
      </c>
      <c r="E393" s="2" t="s">
        <v>1401</v>
      </c>
      <c r="F393" s="62">
        <f>SUMIFS('AVARIA ESTIMADA'!$H$18:$H$40,'AVARIA ESTIMADA'!$A$18:$A$40,A393)</f>
        <v>0</v>
      </c>
    </row>
    <row r="394" spans="1:6" x14ac:dyDescent="0.3">
      <c r="A394" s="2" t="s">
        <v>286</v>
      </c>
      <c r="B394" s="19" t="str">
        <f>_xlfn.XLOOKUP(A394,CATÁLOGO!$A$2:$A$846,CATÁLOGO!$B$2:$B$846,"FORA DO CATÁLOGO")</f>
        <v>ACE010GU</v>
      </c>
      <c r="C394" s="13">
        <v>2</v>
      </c>
      <c r="D394" s="13" t="str">
        <f>_xlfn.XLOOKUP(A394,CATÁLOGO!$A$2:$A$846,CATÁLOGO!$E$2:$E$846,"FORA DO CATÁLOGO")</f>
        <v>Ativo</v>
      </c>
      <c r="E394" s="2" t="s">
        <v>1401</v>
      </c>
      <c r="F394" s="62">
        <f>SUMIFS('AVARIA ESTIMADA'!$H$18:$H$40,'AVARIA ESTIMADA'!$A$18:$A$40,A394)</f>
        <v>0</v>
      </c>
    </row>
    <row r="395" spans="1:6" x14ac:dyDescent="0.3">
      <c r="A395" s="2" t="s">
        <v>287</v>
      </c>
      <c r="B395" s="19" t="str">
        <f>_xlfn.XLOOKUP(A395,CATÁLOGO!$A$2:$A$846,CATÁLOGO!$B$2:$B$846,"FORA DO CATÁLOGO")</f>
        <v>ACE010LU</v>
      </c>
      <c r="C395" s="13">
        <v>4</v>
      </c>
      <c r="D395" s="13" t="str">
        <f>_xlfn.XLOOKUP(A395,CATÁLOGO!$A$2:$A$846,CATÁLOGO!$E$2:$E$846,"FORA DO CATÁLOGO")</f>
        <v>Ativo</v>
      </c>
      <c r="E395" s="2" t="s">
        <v>1401</v>
      </c>
      <c r="F395" s="62">
        <f>SUMIFS('AVARIA ESTIMADA'!$H$18:$H$40,'AVARIA ESTIMADA'!$A$18:$A$40,A395)</f>
        <v>0</v>
      </c>
    </row>
    <row r="396" spans="1:6" x14ac:dyDescent="0.3">
      <c r="A396" s="2" t="s">
        <v>288</v>
      </c>
      <c r="B396" s="19" t="str">
        <f>_xlfn.XLOOKUP(A396,CATÁLOGO!$A$2:$A$846,CATÁLOGO!$B$2:$B$846,"FORA DO CATÁLOGO")</f>
        <v>ACE010YU</v>
      </c>
      <c r="C396" s="13">
        <v>1</v>
      </c>
      <c r="D396" s="13" t="str">
        <f>_xlfn.XLOOKUP(A396,CATÁLOGO!$A$2:$A$846,CATÁLOGO!$E$2:$E$846,"FORA DO CATÁLOGO")</f>
        <v>Ativo</v>
      </c>
      <c r="E396" s="2" t="s">
        <v>1401</v>
      </c>
      <c r="F396" s="62">
        <f>SUMIFS('AVARIA ESTIMADA'!$H$18:$H$40,'AVARIA ESTIMADA'!$A$18:$A$40,A396)</f>
        <v>0</v>
      </c>
    </row>
    <row r="397" spans="1:6" x14ac:dyDescent="0.3">
      <c r="A397" s="2" t="s">
        <v>289</v>
      </c>
      <c r="B397" s="19" t="str">
        <f>_xlfn.XLOOKUP(A397,CATÁLOGO!$A$2:$A$846,CATÁLOGO!$B$2:$B$846,"FORA DO CATÁLOGO")</f>
        <v>TOP012VP</v>
      </c>
      <c r="C397" s="13">
        <v>4</v>
      </c>
      <c r="D397" s="13" t="str">
        <f>_xlfn.XLOOKUP(A397,CATÁLOGO!$A$2:$A$846,CATÁLOGO!$E$2:$E$846,"FORA DO CATÁLOGO")</f>
        <v>Ativo</v>
      </c>
      <c r="E397" s="2" t="s">
        <v>1401</v>
      </c>
      <c r="F397" s="62">
        <f>SUMIFS('AVARIA ESTIMADA'!$H$18:$H$40,'AVARIA ESTIMADA'!$A$18:$A$40,A397)</f>
        <v>0</v>
      </c>
    </row>
    <row r="398" spans="1:6" x14ac:dyDescent="0.3">
      <c r="A398" s="2" t="s">
        <v>290</v>
      </c>
      <c r="B398" s="19" t="str">
        <f>_xlfn.XLOOKUP(A398,CATÁLOGO!$A$2:$A$846,CATÁLOGO!$B$2:$B$846,"FORA DO CATÁLOGO")</f>
        <v>TOP012VG</v>
      </c>
      <c r="C398" s="13">
        <v>4</v>
      </c>
      <c r="D398" s="13" t="str">
        <f>_xlfn.XLOOKUP(A398,CATÁLOGO!$A$2:$A$846,CATÁLOGO!$E$2:$E$846,"FORA DO CATÁLOGO")</f>
        <v>Ativo</v>
      </c>
      <c r="E398" s="2" t="s">
        <v>1401</v>
      </c>
      <c r="F398" s="62">
        <f>SUMIFS('AVARIA ESTIMADA'!$H$18:$H$40,'AVARIA ESTIMADA'!$A$18:$A$40,A398)</f>
        <v>0</v>
      </c>
    </row>
    <row r="399" spans="1:6" x14ac:dyDescent="0.3">
      <c r="A399" s="2" t="s">
        <v>291</v>
      </c>
      <c r="B399" s="19" t="str">
        <f>_xlfn.XLOOKUP(A399,CATÁLOGO!$A$2:$A$846,CATÁLOGO!$B$2:$B$846,"FORA DO CATÁLOGO")</f>
        <v>TOP012VGG</v>
      </c>
      <c r="C399" s="13">
        <v>1</v>
      </c>
      <c r="D399" s="13" t="str">
        <f>_xlfn.XLOOKUP(A399,CATÁLOGO!$A$2:$A$846,CATÁLOGO!$E$2:$E$846,"FORA DO CATÁLOGO")</f>
        <v>Ativo</v>
      </c>
      <c r="E399" s="2" t="s">
        <v>1401</v>
      </c>
      <c r="F399" s="62">
        <f>SUMIFS('AVARIA ESTIMADA'!$H$18:$H$40,'AVARIA ESTIMADA'!$A$18:$A$40,A399)</f>
        <v>0</v>
      </c>
    </row>
    <row r="400" spans="1:6" x14ac:dyDescent="0.3">
      <c r="A400" s="2" t="s">
        <v>292</v>
      </c>
      <c r="B400" s="19" t="str">
        <f>_xlfn.XLOOKUP(A400,CATÁLOGO!$A$2:$A$846,CATÁLOGO!$B$2:$B$846,"FORA DO CATÁLOGO")</f>
        <v>TOP012PP</v>
      </c>
      <c r="C400" s="13">
        <v>4</v>
      </c>
      <c r="D400" s="13" t="str">
        <f>_xlfn.XLOOKUP(A400,CATÁLOGO!$A$2:$A$846,CATÁLOGO!$E$2:$E$846,"FORA DO CATÁLOGO")</f>
        <v>Ativo</v>
      </c>
      <c r="E400" s="2" t="s">
        <v>1401</v>
      </c>
      <c r="F400" s="62">
        <f>SUMIFS('AVARIA ESTIMADA'!$H$18:$H$40,'AVARIA ESTIMADA'!$A$18:$A$40,A400)</f>
        <v>0</v>
      </c>
    </row>
    <row r="401" spans="1:6" x14ac:dyDescent="0.3">
      <c r="A401" s="2" t="s">
        <v>293</v>
      </c>
      <c r="B401" s="19" t="str">
        <f>_xlfn.XLOOKUP(A401,CATÁLOGO!$A$2:$A$846,CATÁLOGO!$B$2:$B$846,"FORA DO CATÁLOGO")</f>
        <v>TOP012PM</v>
      </c>
      <c r="C401" s="13">
        <v>5</v>
      </c>
      <c r="D401" s="13" t="str">
        <f>_xlfn.XLOOKUP(A401,CATÁLOGO!$A$2:$A$846,CATÁLOGO!$E$2:$E$846,"FORA DO CATÁLOGO")</f>
        <v>Ativo</v>
      </c>
      <c r="E401" s="2" t="s">
        <v>1401</v>
      </c>
      <c r="F401" s="62">
        <f>SUMIFS('AVARIA ESTIMADA'!$H$18:$H$40,'AVARIA ESTIMADA'!$A$18:$A$40,A401)</f>
        <v>0</v>
      </c>
    </row>
    <row r="402" spans="1:6" x14ac:dyDescent="0.3">
      <c r="A402" s="2" t="s">
        <v>294</v>
      </c>
      <c r="B402" s="19" t="str">
        <f>_xlfn.XLOOKUP(A402,CATÁLOGO!$A$2:$A$846,CATÁLOGO!$B$2:$B$846,"FORA DO CATÁLOGO")</f>
        <v>TOP012PG</v>
      </c>
      <c r="C402" s="13">
        <v>4</v>
      </c>
      <c r="D402" s="13" t="str">
        <f>_xlfn.XLOOKUP(A402,CATÁLOGO!$A$2:$A$846,CATÁLOGO!$E$2:$E$846,"FORA DO CATÁLOGO")</f>
        <v>Ativo</v>
      </c>
      <c r="E402" s="2" t="s">
        <v>1401</v>
      </c>
      <c r="F402" s="62">
        <f>SUMIFS('AVARIA ESTIMADA'!$H$18:$H$40,'AVARIA ESTIMADA'!$A$18:$A$40,A402)</f>
        <v>0</v>
      </c>
    </row>
    <row r="403" spans="1:6" x14ac:dyDescent="0.3">
      <c r="A403" s="2" t="s">
        <v>295</v>
      </c>
      <c r="B403" s="19" t="str">
        <f>_xlfn.XLOOKUP(A403,CATÁLOGO!$A$2:$A$846,CATÁLOGO!$B$2:$B$846,"FORA DO CATÁLOGO")</f>
        <v>TOP012PGG</v>
      </c>
      <c r="C403" s="13">
        <v>0</v>
      </c>
      <c r="D403" s="13" t="str">
        <f>_xlfn.XLOOKUP(A403,CATÁLOGO!$A$2:$A$846,CATÁLOGO!$E$2:$E$846,"FORA DO CATÁLOGO")</f>
        <v>Ativo</v>
      </c>
      <c r="E403" s="2" t="s">
        <v>1401</v>
      </c>
      <c r="F403" s="62">
        <f>SUMIFS('AVARIA ESTIMADA'!$H$18:$H$40,'AVARIA ESTIMADA'!$A$18:$A$40,A403)</f>
        <v>0</v>
      </c>
    </row>
    <row r="404" spans="1:6" x14ac:dyDescent="0.3">
      <c r="A404" s="2" t="s">
        <v>296</v>
      </c>
      <c r="B404" s="19" t="str">
        <f>_xlfn.XLOOKUP(A404,CATÁLOGO!$A$2:$A$846,CATÁLOGO!$B$2:$B$846,"FORA DO CATÁLOGO")</f>
        <v>SAI008HP</v>
      </c>
      <c r="C404" s="13">
        <v>4</v>
      </c>
      <c r="D404" s="13" t="str">
        <f>_xlfn.XLOOKUP(A404,CATÁLOGO!$A$2:$A$846,CATÁLOGO!$E$2:$E$846,"FORA DO CATÁLOGO")</f>
        <v>Ativo</v>
      </c>
      <c r="E404" s="2" t="s">
        <v>1401</v>
      </c>
      <c r="F404" s="62">
        <f>SUMIFS('AVARIA ESTIMADA'!$H$18:$H$40,'AVARIA ESTIMADA'!$A$18:$A$40,A404)</f>
        <v>0</v>
      </c>
    </row>
    <row r="405" spans="1:6" x14ac:dyDescent="0.3">
      <c r="A405" s="2" t="s">
        <v>297</v>
      </c>
      <c r="B405" s="19" t="str">
        <f>_xlfn.XLOOKUP(A405,CATÁLOGO!$A$2:$A$846,CATÁLOGO!$B$2:$B$846,"FORA DO CATÁLOGO")</f>
        <v>SAI008HM</v>
      </c>
      <c r="C405" s="13">
        <v>4</v>
      </c>
      <c r="D405" s="13" t="str">
        <f>_xlfn.XLOOKUP(A405,CATÁLOGO!$A$2:$A$846,CATÁLOGO!$E$2:$E$846,"FORA DO CATÁLOGO")</f>
        <v>Ativo</v>
      </c>
      <c r="E405" s="2" t="s">
        <v>1401</v>
      </c>
      <c r="F405" s="62">
        <f>SUMIFS('AVARIA ESTIMADA'!$H$18:$H$40,'AVARIA ESTIMADA'!$A$18:$A$40,A405)</f>
        <v>0</v>
      </c>
    </row>
    <row r="406" spans="1:6" x14ac:dyDescent="0.3">
      <c r="A406" s="2" t="s">
        <v>298</v>
      </c>
      <c r="B406" s="19" t="str">
        <f>_xlfn.XLOOKUP(A406,CATÁLOGO!$A$2:$A$846,CATÁLOGO!$B$2:$B$846,"FORA DO CATÁLOGO")</f>
        <v>SAI008HG</v>
      </c>
      <c r="C406" s="13">
        <v>4</v>
      </c>
      <c r="D406" s="13" t="str">
        <f>_xlfn.XLOOKUP(A406,CATÁLOGO!$A$2:$A$846,CATÁLOGO!$E$2:$E$846,"FORA DO CATÁLOGO")</f>
        <v>Ativo</v>
      </c>
      <c r="E406" s="2" t="s">
        <v>1401</v>
      </c>
      <c r="F406" s="62">
        <f>SUMIFS('AVARIA ESTIMADA'!$H$18:$H$40,'AVARIA ESTIMADA'!$A$18:$A$40,A406)</f>
        <v>0</v>
      </c>
    </row>
    <row r="407" spans="1:6" x14ac:dyDescent="0.3">
      <c r="A407" s="2" t="s">
        <v>299</v>
      </c>
      <c r="B407" s="19" t="str">
        <f>_xlfn.XLOOKUP(A407,CATÁLOGO!$A$2:$A$846,CATÁLOGO!$B$2:$B$846,"FORA DO CATÁLOGO")</f>
        <v>SAI008HGG</v>
      </c>
      <c r="C407" s="13">
        <v>3</v>
      </c>
      <c r="D407" s="13" t="str">
        <f>_xlfn.XLOOKUP(A407,CATÁLOGO!$A$2:$A$846,CATÁLOGO!$E$2:$E$846,"FORA DO CATÁLOGO")</f>
        <v>Ativo</v>
      </c>
      <c r="E407" s="2" t="s">
        <v>1401</v>
      </c>
      <c r="F407" s="62">
        <f>SUMIFS('AVARIA ESTIMADA'!$H$18:$H$40,'AVARIA ESTIMADA'!$A$18:$A$40,A407)</f>
        <v>0</v>
      </c>
    </row>
    <row r="408" spans="1:6" x14ac:dyDescent="0.3">
      <c r="A408" s="2" t="s">
        <v>1653</v>
      </c>
      <c r="B408" s="19" t="str">
        <f>_xlfn.XLOOKUP(A408,CATÁLOGO!$A$2:$A$846,CATÁLOGO!$B$2:$B$846,"FORA DO CATÁLOGO")</f>
        <v>CAL021P36</v>
      </c>
      <c r="C408" s="13">
        <v>2</v>
      </c>
      <c r="D408" s="13" t="str">
        <f>_xlfn.XLOOKUP(A408,CATÁLOGO!$A$2:$A$846,CATÁLOGO!$E$2:$E$846,"FORA DO CATÁLOGO")</f>
        <v>Ativo</v>
      </c>
      <c r="E408" s="2" t="s">
        <v>1401</v>
      </c>
      <c r="F408" s="62">
        <f>SUMIFS('AVARIA ESTIMADA'!$H$18:$H$40,'AVARIA ESTIMADA'!$A$18:$A$40,A408)</f>
        <v>0</v>
      </c>
    </row>
    <row r="409" spans="1:6" x14ac:dyDescent="0.3">
      <c r="A409" s="2" t="s">
        <v>1651</v>
      </c>
      <c r="B409" s="19" t="str">
        <f>_xlfn.XLOOKUP(A409,CATÁLOGO!$A$2:$A$846,CATÁLOGO!$B$2:$B$846,"FORA DO CATÁLOGO")</f>
        <v>CAL021P38</v>
      </c>
      <c r="C409" s="13">
        <v>6</v>
      </c>
      <c r="D409" s="13" t="str">
        <f>_xlfn.XLOOKUP(A409,CATÁLOGO!$A$2:$A$846,CATÁLOGO!$E$2:$E$846,"FORA DO CATÁLOGO")</f>
        <v>Ativo</v>
      </c>
      <c r="E409" s="2" t="s">
        <v>1401</v>
      </c>
      <c r="F409" s="62">
        <f>SUMIFS('AVARIA ESTIMADA'!$H$18:$H$40,'AVARIA ESTIMADA'!$A$18:$A$40,A409)</f>
        <v>0</v>
      </c>
    </row>
    <row r="410" spans="1:6" x14ac:dyDescent="0.3">
      <c r="A410" s="2" t="s">
        <v>1650</v>
      </c>
      <c r="B410" s="19" t="str">
        <f>_xlfn.XLOOKUP(A410,CATÁLOGO!$A$2:$A$846,CATÁLOGO!$B$2:$B$846,"FORA DO CATÁLOGO")</f>
        <v>CAL021P40</v>
      </c>
      <c r="C410" s="13">
        <v>5</v>
      </c>
      <c r="D410" s="13" t="str">
        <f>_xlfn.XLOOKUP(A410,CATÁLOGO!$A$2:$A$846,CATÁLOGO!$E$2:$E$846,"FORA DO CATÁLOGO")</f>
        <v>Ativo</v>
      </c>
      <c r="E410" s="2" t="s">
        <v>1401</v>
      </c>
      <c r="F410" s="62">
        <f>SUMIFS('AVARIA ESTIMADA'!$H$18:$H$40,'AVARIA ESTIMADA'!$A$18:$A$40,A410)</f>
        <v>0</v>
      </c>
    </row>
    <row r="411" spans="1:6" x14ac:dyDescent="0.3">
      <c r="A411" s="2" t="s">
        <v>1647</v>
      </c>
      <c r="B411" s="19" t="str">
        <f>_xlfn.XLOOKUP(A411,CATÁLOGO!$A$2:$A$846,CATÁLOGO!$B$2:$B$846,"FORA DO CATÁLOGO")</f>
        <v>CAL021P42</v>
      </c>
      <c r="C411" s="13">
        <v>4</v>
      </c>
      <c r="D411" s="13" t="str">
        <f>_xlfn.XLOOKUP(A411,CATÁLOGO!$A$2:$A$846,CATÁLOGO!$E$2:$E$846,"FORA DO CATÁLOGO")</f>
        <v>Ativo</v>
      </c>
      <c r="E411" s="2" t="s">
        <v>1401</v>
      </c>
      <c r="F411" s="62">
        <f>SUMIFS('AVARIA ESTIMADA'!$H$18:$H$40,'AVARIA ESTIMADA'!$A$18:$A$40,A411)</f>
        <v>0</v>
      </c>
    </row>
    <row r="412" spans="1:6" x14ac:dyDescent="0.3">
      <c r="A412" s="2" t="s">
        <v>1649</v>
      </c>
      <c r="B412" s="19" t="str">
        <f>_xlfn.XLOOKUP(A412,CATÁLOGO!$A$2:$A$846,CATÁLOGO!$B$2:$B$846,"FORA DO CATÁLOGO")</f>
        <v>CAL021P44</v>
      </c>
      <c r="C412" s="13">
        <v>3</v>
      </c>
      <c r="D412" s="13" t="str">
        <f>_xlfn.XLOOKUP(A412,CATÁLOGO!$A$2:$A$846,CATÁLOGO!$E$2:$E$846,"FORA DO CATÁLOGO")</f>
        <v>Ativo</v>
      </c>
      <c r="E412" s="2" t="s">
        <v>1401</v>
      </c>
      <c r="F412" s="62">
        <f>SUMIFS('AVARIA ESTIMADA'!$H$18:$H$40,'AVARIA ESTIMADA'!$A$18:$A$40,A412)</f>
        <v>0</v>
      </c>
    </row>
    <row r="413" spans="1:6" x14ac:dyDescent="0.3">
      <c r="A413" s="2" t="s">
        <v>1785</v>
      </c>
      <c r="B413" s="19" t="str">
        <f>_xlfn.XLOOKUP(A413,CATÁLOGO!$A$2:$A$846,CATÁLOGO!$B$2:$B$846,"FORA DO CATÁLOGO")</f>
        <v>CMS009LPP</v>
      </c>
      <c r="C413" s="13">
        <v>2</v>
      </c>
      <c r="D413" s="13" t="str">
        <f>_xlfn.XLOOKUP(A413,CATÁLOGO!$A$2:$A$846,CATÁLOGO!$E$2:$E$846,"FORA DO CATÁLOGO")</f>
        <v>Ativo</v>
      </c>
      <c r="E413" s="2" t="s">
        <v>1401</v>
      </c>
      <c r="F413" s="62">
        <f>SUMIFS('AVARIA ESTIMADA'!$H$18:$H$40,'AVARIA ESTIMADA'!$A$18:$A$40,A413)</f>
        <v>0</v>
      </c>
    </row>
    <row r="414" spans="1:6" x14ac:dyDescent="0.3">
      <c r="A414" s="2" t="s">
        <v>300</v>
      </c>
      <c r="B414" s="19" t="str">
        <f>_xlfn.XLOOKUP(A414,CATÁLOGO!$A$2:$A$846,CATÁLOGO!$B$2:$B$846,"FORA DO CATÁLOGO")</f>
        <v>CMS009LP</v>
      </c>
      <c r="C414" s="13">
        <v>5</v>
      </c>
      <c r="D414" s="13" t="str">
        <f>_xlfn.XLOOKUP(A414,CATÁLOGO!$A$2:$A$846,CATÁLOGO!$E$2:$E$846,"FORA DO CATÁLOGO")</f>
        <v>Ativo</v>
      </c>
      <c r="E414" s="2" t="s">
        <v>1401</v>
      </c>
      <c r="F414" s="62">
        <f>SUMIFS('AVARIA ESTIMADA'!$H$18:$H$40,'AVARIA ESTIMADA'!$A$18:$A$40,A414)</f>
        <v>0</v>
      </c>
    </row>
    <row r="415" spans="1:6" x14ac:dyDescent="0.3">
      <c r="A415" s="2" t="s">
        <v>301</v>
      </c>
      <c r="B415" s="19" t="str">
        <f>_xlfn.XLOOKUP(A415,CATÁLOGO!$A$2:$A$846,CATÁLOGO!$B$2:$B$846,"FORA DO CATÁLOGO")</f>
        <v>CMS009LM</v>
      </c>
      <c r="C415" s="13">
        <v>6</v>
      </c>
      <c r="D415" s="13" t="str">
        <f>_xlfn.XLOOKUP(A415,CATÁLOGO!$A$2:$A$846,CATÁLOGO!$E$2:$E$846,"FORA DO CATÁLOGO")</f>
        <v>Ativo</v>
      </c>
      <c r="E415" s="2" t="s">
        <v>1401</v>
      </c>
      <c r="F415" s="62">
        <f>SUMIFS('AVARIA ESTIMADA'!$H$18:$H$40,'AVARIA ESTIMADA'!$A$18:$A$40,A415)</f>
        <v>0</v>
      </c>
    </row>
    <row r="416" spans="1:6" x14ac:dyDescent="0.3">
      <c r="A416" s="2" t="s">
        <v>302</v>
      </c>
      <c r="B416" s="19" t="str">
        <f>_xlfn.XLOOKUP(A416,CATÁLOGO!$A$2:$A$846,CATÁLOGO!$B$2:$B$846,"FORA DO CATÁLOGO")</f>
        <v>CMS009LG</v>
      </c>
      <c r="C416" s="13">
        <v>5</v>
      </c>
      <c r="D416" s="13" t="str">
        <f>_xlfn.XLOOKUP(A416,CATÁLOGO!$A$2:$A$846,CATÁLOGO!$E$2:$E$846,"FORA DO CATÁLOGO")</f>
        <v>Ativo</v>
      </c>
      <c r="E416" s="2" t="s">
        <v>1401</v>
      </c>
      <c r="F416" s="62">
        <f>SUMIFS('AVARIA ESTIMADA'!$H$18:$H$40,'AVARIA ESTIMADA'!$A$18:$A$40,A416)</f>
        <v>0</v>
      </c>
    </row>
    <row r="417" spans="1:6" x14ac:dyDescent="0.3">
      <c r="A417" s="2" t="s">
        <v>303</v>
      </c>
      <c r="B417" s="19" t="str">
        <f>_xlfn.XLOOKUP(A417,CATÁLOGO!$A$2:$A$846,CATÁLOGO!$B$2:$B$846,"FORA DO CATÁLOGO")</f>
        <v>CMS009LGG</v>
      </c>
      <c r="C417" s="13">
        <v>3</v>
      </c>
      <c r="D417" s="13" t="str">
        <f>_xlfn.XLOOKUP(A417,CATÁLOGO!$A$2:$A$846,CATÁLOGO!$E$2:$E$846,"FORA DO CATÁLOGO")</f>
        <v>Ativo</v>
      </c>
      <c r="E417" s="2" t="s">
        <v>1401</v>
      </c>
      <c r="F417" s="62">
        <f>SUMIFS('AVARIA ESTIMADA'!$H$18:$H$40,'AVARIA ESTIMADA'!$A$18:$A$40,A417)</f>
        <v>0</v>
      </c>
    </row>
    <row r="418" spans="1:6" x14ac:dyDescent="0.3">
      <c r="A418" s="2" t="s">
        <v>304</v>
      </c>
      <c r="B418" s="19" t="str">
        <f>_xlfn.XLOOKUP(A418,CATÁLOGO!$A$2:$A$846,CATÁLOGO!$B$2:$B$846,"FORA DO CATÁLOGO")</f>
        <v>VES008AP</v>
      </c>
      <c r="C418" s="13">
        <v>3</v>
      </c>
      <c r="D418" s="13" t="str">
        <f>_xlfn.XLOOKUP(A418,CATÁLOGO!$A$2:$A$846,CATÁLOGO!$E$2:$E$846,"FORA DO CATÁLOGO")</f>
        <v>Ativo</v>
      </c>
      <c r="E418" s="2" t="s">
        <v>1401</v>
      </c>
      <c r="F418" s="62">
        <f>SUMIFS('AVARIA ESTIMADA'!$H$18:$H$40,'AVARIA ESTIMADA'!$A$18:$A$40,A418)</f>
        <v>0</v>
      </c>
    </row>
    <row r="419" spans="1:6" x14ac:dyDescent="0.3">
      <c r="A419" s="2" t="s">
        <v>305</v>
      </c>
      <c r="B419" s="19" t="str">
        <f>_xlfn.XLOOKUP(A419,CATÁLOGO!$A$2:$A$846,CATÁLOGO!$B$2:$B$846,"FORA DO CATÁLOGO")</f>
        <v>VES008AM</v>
      </c>
      <c r="C419" s="13">
        <v>5</v>
      </c>
      <c r="D419" s="13" t="str">
        <f>_xlfn.XLOOKUP(A419,CATÁLOGO!$A$2:$A$846,CATÁLOGO!$E$2:$E$846,"FORA DO CATÁLOGO")</f>
        <v>Ativo</v>
      </c>
      <c r="E419" s="2" t="s">
        <v>1401</v>
      </c>
      <c r="F419" s="62">
        <f>SUMIFS('AVARIA ESTIMADA'!$H$18:$H$40,'AVARIA ESTIMADA'!$A$18:$A$40,A419)</f>
        <v>0</v>
      </c>
    </row>
    <row r="420" spans="1:6" x14ac:dyDescent="0.3">
      <c r="A420" s="2" t="s">
        <v>306</v>
      </c>
      <c r="B420" s="19" t="str">
        <f>_xlfn.XLOOKUP(A420,CATÁLOGO!$A$2:$A$846,CATÁLOGO!$B$2:$B$846,"FORA DO CATÁLOGO")</f>
        <v>VES008AG</v>
      </c>
      <c r="C420" s="13">
        <v>4</v>
      </c>
      <c r="D420" s="13" t="str">
        <f>_xlfn.XLOOKUP(A420,CATÁLOGO!$A$2:$A$846,CATÁLOGO!$E$2:$E$846,"FORA DO CATÁLOGO")</f>
        <v>Ativo</v>
      </c>
      <c r="E420" s="2" t="s">
        <v>1401</v>
      </c>
      <c r="F420" s="62">
        <f>SUMIFS('AVARIA ESTIMADA'!$H$18:$H$40,'AVARIA ESTIMADA'!$A$18:$A$40,A420)</f>
        <v>0</v>
      </c>
    </row>
    <row r="421" spans="1:6" x14ac:dyDescent="0.3">
      <c r="A421" s="2" t="s">
        <v>307</v>
      </c>
      <c r="B421" s="19" t="str">
        <f>_xlfn.XLOOKUP(A421,CATÁLOGO!$A$2:$A$846,CATÁLOGO!$B$2:$B$846,"FORA DO CATÁLOGO")</f>
        <v>VES008AGG</v>
      </c>
      <c r="C421" s="13">
        <v>2</v>
      </c>
      <c r="D421" s="13" t="str">
        <f>_xlfn.XLOOKUP(A421,CATÁLOGO!$A$2:$A$846,CATÁLOGO!$E$2:$E$846,"FORA DO CATÁLOGO")</f>
        <v>Ativo</v>
      </c>
      <c r="E421" s="2" t="s">
        <v>1401</v>
      </c>
      <c r="F421" s="62">
        <f>SUMIFS('AVARIA ESTIMADA'!$H$18:$H$40,'AVARIA ESTIMADA'!$A$18:$A$40,A421)</f>
        <v>0</v>
      </c>
    </row>
    <row r="422" spans="1:6" x14ac:dyDescent="0.3">
      <c r="A422" s="2" t="s">
        <v>308</v>
      </c>
      <c r="B422" s="19" t="str">
        <f>_xlfn.XLOOKUP(A422,CATÁLOGO!$A$2:$A$846,CATÁLOGO!$B$2:$B$846,"FORA DO CATÁLOGO")</f>
        <v>VES008OP</v>
      </c>
      <c r="C422" s="13">
        <v>1</v>
      </c>
      <c r="D422" s="13" t="str">
        <f>_xlfn.XLOOKUP(A422,CATÁLOGO!$A$2:$A$846,CATÁLOGO!$E$2:$E$846,"FORA DO CATÁLOGO")</f>
        <v>Ativo</v>
      </c>
      <c r="E422" s="2" t="s">
        <v>1401</v>
      </c>
      <c r="F422" s="62">
        <f>SUMIFS('AVARIA ESTIMADA'!$H$18:$H$40,'AVARIA ESTIMADA'!$A$18:$A$40,A422)</f>
        <v>0</v>
      </c>
    </row>
    <row r="423" spans="1:6" x14ac:dyDescent="0.3">
      <c r="A423" s="2" t="s">
        <v>309</v>
      </c>
      <c r="B423" s="19" t="str">
        <f>_xlfn.XLOOKUP(A423,CATÁLOGO!$A$2:$A$846,CATÁLOGO!$B$2:$B$846,"FORA DO CATÁLOGO")</f>
        <v>VES008OM</v>
      </c>
      <c r="C423" s="13">
        <v>2</v>
      </c>
      <c r="D423" s="13" t="str">
        <f>_xlfn.XLOOKUP(A423,CATÁLOGO!$A$2:$A$846,CATÁLOGO!$E$2:$E$846,"FORA DO CATÁLOGO")</f>
        <v>Ativo</v>
      </c>
      <c r="E423" s="2" t="s">
        <v>1401</v>
      </c>
      <c r="F423" s="62">
        <f>SUMIFS('AVARIA ESTIMADA'!$H$18:$H$40,'AVARIA ESTIMADA'!$A$18:$A$40,A423)</f>
        <v>0</v>
      </c>
    </row>
    <row r="424" spans="1:6" x14ac:dyDescent="0.3">
      <c r="A424" s="2" t="s">
        <v>310</v>
      </c>
      <c r="B424" s="19" t="str">
        <f>_xlfn.XLOOKUP(A424,CATÁLOGO!$A$2:$A$846,CATÁLOGO!$B$2:$B$846,"FORA DO CATÁLOGO")</f>
        <v>VES008OG</v>
      </c>
      <c r="C424" s="13">
        <v>2</v>
      </c>
      <c r="D424" s="13" t="str">
        <f>_xlfn.XLOOKUP(A424,CATÁLOGO!$A$2:$A$846,CATÁLOGO!$E$2:$E$846,"FORA DO CATÁLOGO")</f>
        <v>Ativo</v>
      </c>
      <c r="E424" s="2" t="s">
        <v>1401</v>
      </c>
      <c r="F424" s="62">
        <f>SUMIFS('AVARIA ESTIMADA'!$H$18:$H$40,'AVARIA ESTIMADA'!$A$18:$A$40,A424)</f>
        <v>0</v>
      </c>
    </row>
    <row r="425" spans="1:6" x14ac:dyDescent="0.3">
      <c r="A425" s="2" t="s">
        <v>311</v>
      </c>
      <c r="B425" s="19" t="str">
        <f>_xlfn.XLOOKUP(A425,CATÁLOGO!$A$2:$A$846,CATÁLOGO!$B$2:$B$846,"FORA DO CATÁLOGO")</f>
        <v>VES008OGG</v>
      </c>
      <c r="C425" s="13">
        <v>1</v>
      </c>
      <c r="D425" s="13" t="str">
        <f>_xlfn.XLOOKUP(A425,CATÁLOGO!$A$2:$A$846,CATÁLOGO!$E$2:$E$846,"FORA DO CATÁLOGO")</f>
        <v>Ativo</v>
      </c>
      <c r="E425" s="2" t="s">
        <v>1401</v>
      </c>
      <c r="F425" s="62">
        <f>SUMIFS('AVARIA ESTIMADA'!$H$18:$H$40,'AVARIA ESTIMADA'!$A$18:$A$40,A425)</f>
        <v>0</v>
      </c>
    </row>
    <row r="426" spans="1:6" x14ac:dyDescent="0.3">
      <c r="A426" s="2" t="s">
        <v>1659</v>
      </c>
      <c r="B426" s="19" t="str">
        <f>_xlfn.XLOOKUP(A426,CATÁLOGO!$A$2:$A$846,CATÁLOGO!$B$2:$B$846,"FORA DO CATÁLOGO")</f>
        <v>CAL022G40</v>
      </c>
      <c r="C426" s="13">
        <v>1</v>
      </c>
      <c r="D426" s="13" t="str">
        <f>_xlfn.XLOOKUP(A426,CATÁLOGO!$A$2:$A$846,CATÁLOGO!$E$2:$E$846,"FORA DO CATÁLOGO")</f>
        <v>Descontinuado</v>
      </c>
      <c r="E426" s="2" t="s">
        <v>1401</v>
      </c>
      <c r="F426" s="62">
        <f>SUMIFS('AVARIA ESTIMADA'!$H$18:$H$40,'AVARIA ESTIMADA'!$A$18:$A$40,A426)</f>
        <v>0</v>
      </c>
    </row>
    <row r="427" spans="1:6" x14ac:dyDescent="0.3">
      <c r="A427" s="2" t="s">
        <v>1654</v>
      </c>
      <c r="B427" s="19" t="str">
        <f>_xlfn.XLOOKUP(A427,CATÁLOGO!$A$2:$A$846,CATÁLOGO!$B$2:$B$846,"FORA DO CATÁLOGO")</f>
        <v>CAL022G42</v>
      </c>
      <c r="C427" s="13">
        <v>1</v>
      </c>
      <c r="D427" s="13" t="str">
        <f>_xlfn.XLOOKUP(A427,CATÁLOGO!$A$2:$A$846,CATÁLOGO!$E$2:$E$846,"FORA DO CATÁLOGO")</f>
        <v>Descontinuado</v>
      </c>
      <c r="E427" s="2" t="s">
        <v>1401</v>
      </c>
      <c r="F427" s="62">
        <f>SUMIFS('AVARIA ESTIMADA'!$H$18:$H$40,'AVARIA ESTIMADA'!$A$18:$A$40,A427)</f>
        <v>0</v>
      </c>
    </row>
    <row r="428" spans="1:6" x14ac:dyDescent="0.3">
      <c r="A428" s="2" t="s">
        <v>1671</v>
      </c>
      <c r="B428" s="19" t="str">
        <f>_xlfn.XLOOKUP(A428,CATÁLOGO!$A$2:$A$846,CATÁLOGO!$B$2:$B$846,"FORA DO CATÁLOGO")</f>
        <v>CAL022O38</v>
      </c>
      <c r="C428" s="13">
        <v>1</v>
      </c>
      <c r="D428" s="13" t="str">
        <f>_xlfn.XLOOKUP(A428,CATÁLOGO!$A$2:$A$846,CATÁLOGO!$E$2:$E$846,"FORA DO CATÁLOGO")</f>
        <v>Descontinuado</v>
      </c>
      <c r="E428" s="2" t="s">
        <v>1401</v>
      </c>
      <c r="F428" s="62">
        <f>SUMIFS('AVARIA ESTIMADA'!$H$18:$H$40,'AVARIA ESTIMADA'!$A$18:$A$40,A428)</f>
        <v>0</v>
      </c>
    </row>
    <row r="429" spans="1:6" x14ac:dyDescent="0.3">
      <c r="A429" s="2" t="s">
        <v>1669</v>
      </c>
      <c r="B429" s="19" t="str">
        <f>_xlfn.XLOOKUP(A429,CATÁLOGO!$A$2:$A$846,CATÁLOGO!$B$2:$B$846,"FORA DO CATÁLOGO")</f>
        <v>CAL022O40</v>
      </c>
      <c r="C429" s="13">
        <v>0</v>
      </c>
      <c r="D429" s="13" t="str">
        <f>_xlfn.XLOOKUP(A429,CATÁLOGO!$A$2:$A$846,CATÁLOGO!$E$2:$E$846,"FORA DO CATÁLOGO")</f>
        <v>Descontinuado</v>
      </c>
      <c r="E429" s="2" t="s">
        <v>1401</v>
      </c>
      <c r="F429" s="62">
        <f>SUMIFS('AVARIA ESTIMADA'!$H$18:$H$40,'AVARIA ESTIMADA'!$A$18:$A$40,A429)</f>
        <v>0</v>
      </c>
    </row>
    <row r="430" spans="1:6" x14ac:dyDescent="0.3">
      <c r="A430" s="2" t="s">
        <v>1665</v>
      </c>
      <c r="B430" s="19" t="str">
        <f>_xlfn.XLOOKUP(A430,CATÁLOGO!$A$2:$A$846,CATÁLOGO!$B$2:$B$846,"FORA DO CATÁLOGO")</f>
        <v>CAL022O42</v>
      </c>
      <c r="C430" s="13">
        <v>0</v>
      </c>
      <c r="D430" s="13" t="str">
        <f>_xlfn.XLOOKUP(A430,CATÁLOGO!$A$2:$A$846,CATÁLOGO!$E$2:$E$846,"FORA DO CATÁLOGO")</f>
        <v>Descontinuado</v>
      </c>
      <c r="E430" s="2" t="s">
        <v>1401</v>
      </c>
      <c r="F430" s="62">
        <f>SUMIFS('AVARIA ESTIMADA'!$H$18:$H$40,'AVARIA ESTIMADA'!$A$18:$A$40,A430)</f>
        <v>0</v>
      </c>
    </row>
    <row r="431" spans="1:6" x14ac:dyDescent="0.3">
      <c r="A431" s="2" t="s">
        <v>1680</v>
      </c>
      <c r="B431" s="19" t="str">
        <f>_xlfn.XLOOKUP(A431,CATÁLOGO!$A$2:$A$846,CATÁLOGO!$B$2:$B$846,"FORA DO CATÁLOGO")</f>
        <v>CAL023L36</v>
      </c>
      <c r="C431" s="13">
        <v>4</v>
      </c>
      <c r="D431" s="13" t="str">
        <f>_xlfn.XLOOKUP(A431,CATÁLOGO!$A$2:$A$846,CATÁLOGO!$E$2:$E$846,"FORA DO CATÁLOGO")</f>
        <v>Ativo</v>
      </c>
      <c r="E431" s="2" t="s">
        <v>1401</v>
      </c>
      <c r="F431" s="62">
        <f>SUMIFS('AVARIA ESTIMADA'!$H$18:$H$40,'AVARIA ESTIMADA'!$A$18:$A$40,A431)</f>
        <v>0</v>
      </c>
    </row>
    <row r="432" spans="1:6" x14ac:dyDescent="0.3">
      <c r="A432" s="2" t="s">
        <v>1679</v>
      </c>
      <c r="B432" s="19" t="str">
        <f>_xlfn.XLOOKUP(A432,CATÁLOGO!$A$2:$A$846,CATÁLOGO!$B$2:$B$846,"FORA DO CATÁLOGO")</f>
        <v>CAL023L38</v>
      </c>
      <c r="C432" s="13">
        <v>5</v>
      </c>
      <c r="D432" s="13" t="str">
        <f>_xlfn.XLOOKUP(A432,CATÁLOGO!$A$2:$A$846,CATÁLOGO!$E$2:$E$846,"FORA DO CATÁLOGO")</f>
        <v>Ativo</v>
      </c>
      <c r="E432" s="2" t="s">
        <v>1401</v>
      </c>
      <c r="F432" s="62">
        <f>SUMIFS('AVARIA ESTIMADA'!$H$18:$H$40,'AVARIA ESTIMADA'!$A$18:$A$40,A432)</f>
        <v>0</v>
      </c>
    </row>
    <row r="433" spans="1:6" x14ac:dyDescent="0.3">
      <c r="A433" s="2" t="s">
        <v>1678</v>
      </c>
      <c r="B433" s="19" t="str">
        <f>_xlfn.XLOOKUP(A433,CATÁLOGO!$A$2:$A$846,CATÁLOGO!$B$2:$B$846,"FORA DO CATÁLOGO")</f>
        <v>CAL023L40</v>
      </c>
      <c r="C433" s="13">
        <v>6</v>
      </c>
      <c r="D433" s="13" t="str">
        <f>_xlfn.XLOOKUP(A433,CATÁLOGO!$A$2:$A$846,CATÁLOGO!$E$2:$E$846,"FORA DO CATÁLOGO")</f>
        <v>Ativo</v>
      </c>
      <c r="E433" s="2" t="s">
        <v>1401</v>
      </c>
      <c r="F433" s="62">
        <f>SUMIFS('AVARIA ESTIMADA'!$H$18:$H$40,'AVARIA ESTIMADA'!$A$18:$A$40,A433)</f>
        <v>6</v>
      </c>
    </row>
    <row r="434" spans="1:6" x14ac:dyDescent="0.3">
      <c r="A434" s="2" t="s">
        <v>1675</v>
      </c>
      <c r="B434" s="19" t="str">
        <f>_xlfn.XLOOKUP(A434,CATÁLOGO!$A$2:$A$846,CATÁLOGO!$B$2:$B$846,"FORA DO CATÁLOGO")</f>
        <v>CAL023L42</v>
      </c>
      <c r="C434" s="13">
        <v>5</v>
      </c>
      <c r="D434" s="13" t="str">
        <f>_xlfn.XLOOKUP(A434,CATÁLOGO!$A$2:$A$846,CATÁLOGO!$E$2:$E$846,"FORA DO CATÁLOGO")</f>
        <v>Ativo</v>
      </c>
      <c r="E434" s="2" t="s">
        <v>1401</v>
      </c>
      <c r="F434" s="62">
        <f>SUMIFS('AVARIA ESTIMADA'!$H$18:$H$40,'AVARIA ESTIMADA'!$A$18:$A$40,A434)</f>
        <v>0</v>
      </c>
    </row>
    <row r="435" spans="1:6" x14ac:dyDescent="0.3">
      <c r="A435" s="2" t="s">
        <v>1677</v>
      </c>
      <c r="B435" s="19" t="str">
        <f>_xlfn.XLOOKUP(A435,CATÁLOGO!$A$2:$A$846,CATÁLOGO!$B$2:$B$846,"FORA DO CATÁLOGO")</f>
        <v>CAL023L44</v>
      </c>
      <c r="C435" s="13">
        <v>4</v>
      </c>
      <c r="D435" s="13" t="str">
        <f>_xlfn.XLOOKUP(A435,CATÁLOGO!$A$2:$A$846,CATÁLOGO!$E$2:$E$846,"FORA DO CATÁLOGO")</f>
        <v>Ativo</v>
      </c>
      <c r="E435" s="2" t="s">
        <v>1401</v>
      </c>
      <c r="F435" s="62">
        <f>SUMIFS('AVARIA ESTIMADA'!$H$18:$H$40,'AVARIA ESTIMADA'!$A$18:$A$40,A435)</f>
        <v>0</v>
      </c>
    </row>
    <row r="436" spans="1:6" x14ac:dyDescent="0.3">
      <c r="A436" s="2" t="s">
        <v>1487</v>
      </c>
      <c r="B436" s="19" t="str">
        <f>_xlfn.XLOOKUP(A436,CATÁLOGO!$A$2:$A$846,CATÁLOGO!$B$2:$B$846,"FORA DO CATÁLOGO")</f>
        <v>BER007A38</v>
      </c>
      <c r="C436" s="13">
        <v>1</v>
      </c>
      <c r="D436" s="13" t="str">
        <f>_xlfn.XLOOKUP(A436,CATÁLOGO!$A$2:$A$846,CATÁLOGO!$E$2:$E$846,"FORA DO CATÁLOGO")</f>
        <v>Ativo</v>
      </c>
      <c r="E436" s="2" t="s">
        <v>1401</v>
      </c>
      <c r="F436" s="62">
        <f>SUMIFS('AVARIA ESTIMADA'!$H$18:$H$40,'AVARIA ESTIMADA'!$A$18:$A$40,A436)</f>
        <v>0</v>
      </c>
    </row>
    <row r="437" spans="1:6" x14ac:dyDescent="0.3">
      <c r="A437" s="2" t="s">
        <v>1486</v>
      </c>
      <c r="B437" s="19" t="str">
        <f>_xlfn.XLOOKUP(A437,CATÁLOGO!$A$2:$A$846,CATÁLOGO!$B$2:$B$846,"FORA DO CATÁLOGO")</f>
        <v>BER007A40</v>
      </c>
      <c r="C437" s="13">
        <v>4</v>
      </c>
      <c r="D437" s="13" t="str">
        <f>_xlfn.XLOOKUP(A437,CATÁLOGO!$A$2:$A$846,CATÁLOGO!$E$2:$E$846,"FORA DO CATÁLOGO")</f>
        <v>Ativo</v>
      </c>
      <c r="E437" s="2" t="s">
        <v>1401</v>
      </c>
      <c r="F437" s="62">
        <f>SUMIFS('AVARIA ESTIMADA'!$H$18:$H$40,'AVARIA ESTIMADA'!$A$18:$A$40,A437)</f>
        <v>0</v>
      </c>
    </row>
    <row r="438" spans="1:6" x14ac:dyDescent="0.3">
      <c r="A438" s="2" t="s">
        <v>1483</v>
      </c>
      <c r="B438" s="19" t="str">
        <f>_xlfn.XLOOKUP(A438,CATÁLOGO!$A$2:$A$846,CATÁLOGO!$B$2:$B$846,"FORA DO CATÁLOGO")</f>
        <v>BER007A42</v>
      </c>
      <c r="C438" s="13">
        <v>4</v>
      </c>
      <c r="D438" s="13" t="str">
        <f>_xlfn.XLOOKUP(A438,CATÁLOGO!$A$2:$A$846,CATÁLOGO!$E$2:$E$846,"FORA DO CATÁLOGO")</f>
        <v>Ativo</v>
      </c>
      <c r="E438" s="2" t="s">
        <v>1401</v>
      </c>
      <c r="F438" s="62">
        <f>SUMIFS('AVARIA ESTIMADA'!$H$18:$H$40,'AVARIA ESTIMADA'!$A$18:$A$40,A438)</f>
        <v>3</v>
      </c>
    </row>
    <row r="439" spans="1:6" x14ac:dyDescent="0.3">
      <c r="A439" s="2" t="s">
        <v>1485</v>
      </c>
      <c r="B439" s="19" t="str">
        <f>_xlfn.XLOOKUP(A439,CATÁLOGO!$A$2:$A$846,CATÁLOGO!$B$2:$B$846,"FORA DO CATÁLOGO")</f>
        <v>BER007A44</v>
      </c>
      <c r="C439" s="13">
        <v>1</v>
      </c>
      <c r="D439" s="13" t="str">
        <f>_xlfn.XLOOKUP(A439,CATÁLOGO!$A$2:$A$846,CATÁLOGO!$E$2:$E$846,"FORA DO CATÁLOGO")</f>
        <v>Ativo</v>
      </c>
      <c r="E439" s="2" t="s">
        <v>1401</v>
      </c>
      <c r="F439" s="62">
        <f>SUMIFS('AVARIA ESTIMADA'!$H$18:$H$40,'AVARIA ESTIMADA'!$A$18:$A$40,A439)</f>
        <v>0</v>
      </c>
    </row>
    <row r="440" spans="1:6" x14ac:dyDescent="0.3">
      <c r="A440" s="2" t="s">
        <v>312</v>
      </c>
      <c r="B440" s="19" t="str">
        <f>_xlfn.XLOOKUP(A440,CATÁLOGO!$A$2:$A$846,CATÁLOGO!$B$2:$B$846,"FORA DO CATÁLOGO")</f>
        <v>CMS010MP</v>
      </c>
      <c r="C440" s="13">
        <v>7</v>
      </c>
      <c r="D440" s="13" t="str">
        <f>_xlfn.XLOOKUP(A440,CATÁLOGO!$A$2:$A$846,CATÁLOGO!$E$2:$E$846,"FORA DO CATÁLOGO")</f>
        <v>Ativo</v>
      </c>
      <c r="E440" s="2" t="s">
        <v>1401</v>
      </c>
      <c r="F440" s="62">
        <f>SUMIFS('AVARIA ESTIMADA'!$H$18:$H$40,'AVARIA ESTIMADA'!$A$18:$A$40,A440)</f>
        <v>0</v>
      </c>
    </row>
    <row r="441" spans="1:6" x14ac:dyDescent="0.3">
      <c r="A441" s="2" t="s">
        <v>313</v>
      </c>
      <c r="B441" s="19" t="str">
        <f>_xlfn.XLOOKUP(A441,CATÁLOGO!$A$2:$A$846,CATÁLOGO!$B$2:$B$846,"FORA DO CATÁLOGO")</f>
        <v>CMS010MM</v>
      </c>
      <c r="C441" s="13">
        <v>4</v>
      </c>
      <c r="D441" s="13" t="str">
        <f>_xlfn.XLOOKUP(A441,CATÁLOGO!$A$2:$A$846,CATÁLOGO!$E$2:$E$846,"FORA DO CATÁLOGO")</f>
        <v>Ativo</v>
      </c>
      <c r="E441" s="2" t="s">
        <v>1401</v>
      </c>
      <c r="F441" s="62">
        <f>SUMIFS('AVARIA ESTIMADA'!$H$18:$H$40,'AVARIA ESTIMADA'!$A$18:$A$40,A441)</f>
        <v>0</v>
      </c>
    </row>
    <row r="442" spans="1:6" x14ac:dyDescent="0.3">
      <c r="A442" s="2" t="s">
        <v>314</v>
      </c>
      <c r="B442" s="19" t="str">
        <f>_xlfn.XLOOKUP(A442,CATÁLOGO!$A$2:$A$846,CATÁLOGO!$B$2:$B$846,"FORA DO CATÁLOGO")</f>
        <v>CMS010MG</v>
      </c>
      <c r="C442" s="13">
        <v>7</v>
      </c>
      <c r="D442" s="13" t="str">
        <f>_xlfn.XLOOKUP(A442,CATÁLOGO!$A$2:$A$846,CATÁLOGO!$E$2:$E$846,"FORA DO CATÁLOGO")</f>
        <v>Ativo</v>
      </c>
      <c r="E442" s="2" t="s">
        <v>1401</v>
      </c>
      <c r="F442" s="62">
        <f>SUMIFS('AVARIA ESTIMADA'!$H$18:$H$40,'AVARIA ESTIMADA'!$A$18:$A$40,A442)</f>
        <v>0</v>
      </c>
    </row>
    <row r="443" spans="1:6" x14ac:dyDescent="0.3">
      <c r="A443" s="2" t="s">
        <v>315</v>
      </c>
      <c r="B443" s="19" t="str">
        <f>_xlfn.XLOOKUP(A443,CATÁLOGO!$A$2:$A$846,CATÁLOGO!$B$2:$B$846,"FORA DO CATÁLOGO")</f>
        <v>CMS011EP</v>
      </c>
      <c r="C443" s="13">
        <v>1</v>
      </c>
      <c r="D443" s="13" t="str">
        <f>_xlfn.XLOOKUP(A443,CATÁLOGO!$A$2:$A$846,CATÁLOGO!$E$2:$E$846,"FORA DO CATÁLOGO")</f>
        <v>Ativo</v>
      </c>
      <c r="E443" s="2" t="s">
        <v>1401</v>
      </c>
      <c r="F443" s="62">
        <f>SUMIFS('AVARIA ESTIMADA'!$H$18:$H$40,'AVARIA ESTIMADA'!$A$18:$A$40,A443)</f>
        <v>0</v>
      </c>
    </row>
    <row r="444" spans="1:6" x14ac:dyDescent="0.3">
      <c r="A444" s="2" t="s">
        <v>316</v>
      </c>
      <c r="B444" s="19" t="str">
        <f>_xlfn.XLOOKUP(A444,CATÁLOGO!$A$2:$A$846,CATÁLOGO!$B$2:$B$846,"FORA DO CATÁLOGO")</f>
        <v>CMS011EM</v>
      </c>
      <c r="C444" s="13">
        <v>3</v>
      </c>
      <c r="D444" s="13" t="str">
        <f>_xlfn.XLOOKUP(A444,CATÁLOGO!$A$2:$A$846,CATÁLOGO!$E$2:$E$846,"FORA DO CATÁLOGO")</f>
        <v>Ativo</v>
      </c>
      <c r="E444" s="2" t="s">
        <v>1401</v>
      </c>
      <c r="F444" s="62">
        <f>SUMIFS('AVARIA ESTIMADA'!$H$18:$H$40,'AVARIA ESTIMADA'!$A$18:$A$40,A444)</f>
        <v>0</v>
      </c>
    </row>
    <row r="445" spans="1:6" x14ac:dyDescent="0.3">
      <c r="A445" s="2" t="s">
        <v>317</v>
      </c>
      <c r="B445" s="19" t="str">
        <f>_xlfn.XLOOKUP(A445,CATÁLOGO!$A$2:$A$846,CATÁLOGO!$B$2:$B$846,"FORA DO CATÁLOGO")</f>
        <v>CMS011EG</v>
      </c>
      <c r="C445" s="13">
        <v>2</v>
      </c>
      <c r="D445" s="13" t="str">
        <f>_xlfn.XLOOKUP(A445,CATÁLOGO!$A$2:$A$846,CATÁLOGO!$E$2:$E$846,"FORA DO CATÁLOGO")</f>
        <v>Ativo</v>
      </c>
      <c r="E445" s="2" t="s">
        <v>1401</v>
      </c>
      <c r="F445" s="62">
        <f>SUMIFS('AVARIA ESTIMADA'!$H$18:$H$40,'AVARIA ESTIMADA'!$A$18:$A$40,A445)</f>
        <v>0</v>
      </c>
    </row>
    <row r="446" spans="1:6" x14ac:dyDescent="0.3">
      <c r="A446" s="2" t="s">
        <v>318</v>
      </c>
      <c r="B446" s="19" t="str">
        <f>_xlfn.XLOOKUP(A446,CATÁLOGO!$A$2:$A$846,CATÁLOGO!$B$2:$B$846,"FORA DO CATÁLOGO")</f>
        <v>CMS011EGG</v>
      </c>
      <c r="C446" s="13">
        <v>1</v>
      </c>
      <c r="D446" s="13" t="str">
        <f>_xlfn.XLOOKUP(A446,CATÁLOGO!$A$2:$A$846,CATÁLOGO!$E$2:$E$846,"FORA DO CATÁLOGO")</f>
        <v>Ativo</v>
      </c>
      <c r="E446" s="2" t="s">
        <v>1401</v>
      </c>
      <c r="F446" s="62">
        <f>SUMIFS('AVARIA ESTIMADA'!$H$18:$H$40,'AVARIA ESTIMADA'!$A$18:$A$40,A446)</f>
        <v>0</v>
      </c>
    </row>
    <row r="447" spans="1:6" x14ac:dyDescent="0.3">
      <c r="A447" s="2" t="s">
        <v>319</v>
      </c>
      <c r="B447" s="19" t="str">
        <f>_xlfn.XLOOKUP(A447,CATÁLOGO!$A$2:$A$846,CATÁLOGO!$B$2:$B$846,"FORA DO CATÁLOGO")</f>
        <v>CMS011JP</v>
      </c>
      <c r="C447" s="13">
        <v>1</v>
      </c>
      <c r="D447" s="13" t="str">
        <f>_xlfn.XLOOKUP(A447,CATÁLOGO!$A$2:$A$846,CATÁLOGO!$E$2:$E$846,"FORA DO CATÁLOGO")</f>
        <v>Ativo</v>
      </c>
      <c r="E447" s="2" t="s">
        <v>1401</v>
      </c>
      <c r="F447" s="62">
        <f>SUMIFS('AVARIA ESTIMADA'!$H$18:$H$40,'AVARIA ESTIMADA'!$A$18:$A$40,A447)</f>
        <v>0</v>
      </c>
    </row>
    <row r="448" spans="1:6" x14ac:dyDescent="0.3">
      <c r="A448" s="2" t="s">
        <v>320</v>
      </c>
      <c r="B448" s="19" t="str">
        <f>_xlfn.XLOOKUP(A448,CATÁLOGO!$A$2:$A$846,CATÁLOGO!$B$2:$B$846,"FORA DO CATÁLOGO")</f>
        <v>CMS011JM</v>
      </c>
      <c r="C448" s="13">
        <v>1</v>
      </c>
      <c r="D448" s="13" t="str">
        <f>_xlfn.XLOOKUP(A448,CATÁLOGO!$A$2:$A$846,CATÁLOGO!$E$2:$E$846,"FORA DO CATÁLOGO")</f>
        <v>Ativo</v>
      </c>
      <c r="E448" s="2" t="s">
        <v>1401</v>
      </c>
      <c r="F448" s="62">
        <f>SUMIFS('AVARIA ESTIMADA'!$H$18:$H$40,'AVARIA ESTIMADA'!$A$18:$A$40,A448)</f>
        <v>0</v>
      </c>
    </row>
    <row r="449" spans="1:6" x14ac:dyDescent="0.3">
      <c r="A449" s="2" t="s">
        <v>321</v>
      </c>
      <c r="B449" s="19" t="str">
        <f>_xlfn.XLOOKUP(A449,CATÁLOGO!$A$2:$A$846,CATÁLOGO!$B$2:$B$846,"FORA DO CATÁLOGO")</f>
        <v>CMS011JG</v>
      </c>
      <c r="C449" s="13">
        <v>1</v>
      </c>
      <c r="D449" s="13" t="str">
        <f>_xlfn.XLOOKUP(A449,CATÁLOGO!$A$2:$A$846,CATÁLOGO!$E$2:$E$846,"FORA DO CATÁLOGO")</f>
        <v>Ativo</v>
      </c>
      <c r="E449" s="2" t="s">
        <v>1401</v>
      </c>
      <c r="F449" s="62">
        <f>SUMIFS('AVARIA ESTIMADA'!$H$18:$H$40,'AVARIA ESTIMADA'!$A$18:$A$40,A449)</f>
        <v>0</v>
      </c>
    </row>
    <row r="450" spans="1:6" x14ac:dyDescent="0.3">
      <c r="A450" s="2" t="s">
        <v>322</v>
      </c>
      <c r="B450" s="19" t="str">
        <f>_xlfn.XLOOKUP(A450,CATÁLOGO!$A$2:$A$846,CATÁLOGO!$B$2:$B$846,"FORA DO CATÁLOGO")</f>
        <v>CMS011JGG</v>
      </c>
      <c r="C450" s="13">
        <v>1</v>
      </c>
      <c r="D450" s="13" t="str">
        <f>_xlfn.XLOOKUP(A450,CATÁLOGO!$A$2:$A$846,CATÁLOGO!$E$2:$E$846,"FORA DO CATÁLOGO")</f>
        <v>Ativo</v>
      </c>
      <c r="E450" s="2" t="s">
        <v>1401</v>
      </c>
      <c r="F450" s="62">
        <f>SUMIFS('AVARIA ESTIMADA'!$H$18:$H$40,'AVARIA ESTIMADA'!$A$18:$A$40,A450)</f>
        <v>0</v>
      </c>
    </row>
    <row r="451" spans="1:6" x14ac:dyDescent="0.3">
      <c r="A451" s="2" t="s">
        <v>323</v>
      </c>
      <c r="B451" s="19" t="str">
        <f>_xlfn.XLOOKUP(A451,CATÁLOGO!$A$2:$A$846,CATÁLOGO!$B$2:$B$846,"FORA DO CATÁLOGO")</f>
        <v>SAI009BP</v>
      </c>
      <c r="C451" s="13">
        <v>2</v>
      </c>
      <c r="D451" s="13" t="str">
        <f>_xlfn.XLOOKUP(A451,CATÁLOGO!$A$2:$A$846,CATÁLOGO!$E$2:$E$846,"FORA DO CATÁLOGO")</f>
        <v>Ativo</v>
      </c>
      <c r="E451" s="2" t="s">
        <v>1401</v>
      </c>
      <c r="F451" s="62">
        <f>SUMIFS('AVARIA ESTIMADA'!$H$18:$H$40,'AVARIA ESTIMADA'!$A$18:$A$40,A451)</f>
        <v>2</v>
      </c>
    </row>
    <row r="452" spans="1:6" x14ac:dyDescent="0.3">
      <c r="A452" s="2" t="s">
        <v>324</v>
      </c>
      <c r="B452" s="19" t="str">
        <f>_xlfn.XLOOKUP(A452,CATÁLOGO!$A$2:$A$846,CATÁLOGO!$B$2:$B$846,"FORA DO CATÁLOGO")</f>
        <v>SAI009BM</v>
      </c>
      <c r="C452" s="13">
        <v>1</v>
      </c>
      <c r="D452" s="13" t="str">
        <f>_xlfn.XLOOKUP(A452,CATÁLOGO!$A$2:$A$846,CATÁLOGO!$E$2:$E$846,"FORA DO CATÁLOGO")</f>
        <v>Ativo</v>
      </c>
      <c r="E452" s="2" t="s">
        <v>1401</v>
      </c>
      <c r="F452" s="62">
        <f>SUMIFS('AVARIA ESTIMADA'!$H$18:$H$40,'AVARIA ESTIMADA'!$A$18:$A$40,A452)</f>
        <v>0</v>
      </c>
    </row>
    <row r="453" spans="1:6" x14ac:dyDescent="0.3">
      <c r="A453" s="2" t="s">
        <v>325</v>
      </c>
      <c r="B453" s="19" t="str">
        <f>_xlfn.XLOOKUP(A453,CATÁLOGO!$A$2:$A$846,CATÁLOGO!$B$2:$B$846,"FORA DO CATÁLOGO")</f>
        <v>SAI009BG</v>
      </c>
      <c r="C453" s="13">
        <v>1</v>
      </c>
      <c r="D453" s="13" t="str">
        <f>_xlfn.XLOOKUP(A453,CATÁLOGO!$A$2:$A$846,CATÁLOGO!$E$2:$E$846,"FORA DO CATÁLOGO")</f>
        <v>Ativo</v>
      </c>
      <c r="E453" s="2" t="s">
        <v>1401</v>
      </c>
      <c r="F453" s="62">
        <f>SUMIFS('AVARIA ESTIMADA'!$H$18:$H$40,'AVARIA ESTIMADA'!$A$18:$A$40,A453)</f>
        <v>0</v>
      </c>
    </row>
    <row r="454" spans="1:6" x14ac:dyDescent="0.3">
      <c r="A454" s="2" t="s">
        <v>326</v>
      </c>
      <c r="B454" s="19" t="str">
        <f>_xlfn.XLOOKUP(A454,CATÁLOGO!$A$2:$A$846,CATÁLOGO!$B$2:$B$846,"FORA DO CATÁLOGO")</f>
        <v>SAI009BGG</v>
      </c>
      <c r="C454" s="13">
        <v>1</v>
      </c>
      <c r="D454" s="13" t="str">
        <f>_xlfn.XLOOKUP(A454,CATÁLOGO!$A$2:$A$846,CATÁLOGO!$E$2:$E$846,"FORA DO CATÁLOGO")</f>
        <v>Ativo</v>
      </c>
      <c r="E454" s="2" t="s">
        <v>1401</v>
      </c>
      <c r="F454" s="62">
        <f>SUMIFS('AVARIA ESTIMADA'!$H$18:$H$40,'AVARIA ESTIMADA'!$A$18:$A$40,A454)</f>
        <v>0</v>
      </c>
    </row>
    <row r="455" spans="1:6" x14ac:dyDescent="0.3">
      <c r="A455" s="2" t="s">
        <v>327</v>
      </c>
      <c r="B455" s="19" t="str">
        <f>_xlfn.XLOOKUP(A455,CATÁLOGO!$A$2:$A$846,CATÁLOGO!$B$2:$B$846,"FORA DO CATÁLOGO")</f>
        <v>SAI009GP</v>
      </c>
      <c r="C455" s="13">
        <v>1</v>
      </c>
      <c r="D455" s="13" t="str">
        <f>_xlfn.XLOOKUP(A455,CATÁLOGO!$A$2:$A$846,CATÁLOGO!$E$2:$E$846,"FORA DO CATÁLOGO")</f>
        <v>Ativo</v>
      </c>
      <c r="E455" s="2" t="s">
        <v>1401</v>
      </c>
      <c r="F455" s="62">
        <f>SUMIFS('AVARIA ESTIMADA'!$H$18:$H$40,'AVARIA ESTIMADA'!$A$18:$A$40,A455)</f>
        <v>0</v>
      </c>
    </row>
    <row r="456" spans="1:6" x14ac:dyDescent="0.3">
      <c r="A456" s="2" t="s">
        <v>328</v>
      </c>
      <c r="B456" s="19" t="str">
        <f>_xlfn.XLOOKUP(A456,CATÁLOGO!$A$2:$A$846,CATÁLOGO!$B$2:$B$846,"FORA DO CATÁLOGO")</f>
        <v>SAI009GM</v>
      </c>
      <c r="C456" s="13">
        <v>1</v>
      </c>
      <c r="D456" s="13" t="str">
        <f>_xlfn.XLOOKUP(A456,CATÁLOGO!$A$2:$A$846,CATÁLOGO!$E$2:$E$846,"FORA DO CATÁLOGO")</f>
        <v>Ativo</v>
      </c>
      <c r="E456" s="2" t="s">
        <v>1401</v>
      </c>
      <c r="F456" s="62">
        <f>SUMIFS('AVARIA ESTIMADA'!$H$18:$H$40,'AVARIA ESTIMADA'!$A$18:$A$40,A456)</f>
        <v>0</v>
      </c>
    </row>
    <row r="457" spans="1:6" x14ac:dyDescent="0.3">
      <c r="A457" s="2" t="s">
        <v>329</v>
      </c>
      <c r="B457" s="19" t="str">
        <f>_xlfn.XLOOKUP(A457,CATÁLOGO!$A$2:$A$846,CATÁLOGO!$B$2:$B$846,"FORA DO CATÁLOGO")</f>
        <v>SAI009GG</v>
      </c>
      <c r="C457" s="13">
        <v>1</v>
      </c>
      <c r="D457" s="13" t="str">
        <f>_xlfn.XLOOKUP(A457,CATÁLOGO!$A$2:$A$846,CATÁLOGO!$E$2:$E$846,"FORA DO CATÁLOGO")</f>
        <v>Ativo</v>
      </c>
      <c r="E457" s="2" t="s">
        <v>1401</v>
      </c>
      <c r="F457" s="62">
        <f>SUMIFS('AVARIA ESTIMADA'!$H$18:$H$40,'AVARIA ESTIMADA'!$A$18:$A$40,A457)</f>
        <v>0</v>
      </c>
    </row>
    <row r="458" spans="1:6" x14ac:dyDescent="0.3">
      <c r="A458" s="2" t="s">
        <v>330</v>
      </c>
      <c r="B458" s="19" t="str">
        <f>_xlfn.XLOOKUP(A458,CATÁLOGO!$A$2:$A$846,CATÁLOGO!$B$2:$B$846,"FORA DO CATÁLOGO")</f>
        <v>SAI009GGG</v>
      </c>
      <c r="C458" s="13">
        <v>1</v>
      </c>
      <c r="D458" s="13" t="str">
        <f>_xlfn.XLOOKUP(A458,CATÁLOGO!$A$2:$A$846,CATÁLOGO!$E$2:$E$846,"FORA DO CATÁLOGO")</f>
        <v>Ativo</v>
      </c>
      <c r="E458" s="2" t="s">
        <v>1401</v>
      </c>
      <c r="F458" s="62">
        <f>SUMIFS('AVARIA ESTIMADA'!$H$18:$H$40,'AVARIA ESTIMADA'!$A$18:$A$40,A458)</f>
        <v>0</v>
      </c>
    </row>
    <row r="459" spans="1:6" x14ac:dyDescent="0.3">
      <c r="A459" s="2" t="s">
        <v>331</v>
      </c>
      <c r="B459" s="19" t="str">
        <f>_xlfn.XLOOKUP(A459,CATÁLOGO!$A$2:$A$846,CATÁLOGO!$B$2:$B$846,"FORA DO CATÁLOGO")</f>
        <v>TOP013VP</v>
      </c>
      <c r="C459" s="13">
        <v>1</v>
      </c>
      <c r="D459" s="13" t="str">
        <f>_xlfn.XLOOKUP(A459,CATÁLOGO!$A$2:$A$846,CATÁLOGO!$E$2:$E$846,"FORA DO CATÁLOGO")</f>
        <v>Ativo</v>
      </c>
      <c r="E459" s="2" t="s">
        <v>1401</v>
      </c>
      <c r="F459" s="62">
        <f>SUMIFS('AVARIA ESTIMADA'!$H$18:$H$40,'AVARIA ESTIMADA'!$A$18:$A$40,A459)</f>
        <v>0</v>
      </c>
    </row>
    <row r="460" spans="1:6" x14ac:dyDescent="0.3">
      <c r="A460" s="2" t="s">
        <v>332</v>
      </c>
      <c r="B460" s="19" t="str">
        <f>_xlfn.XLOOKUP(A460,CATÁLOGO!$A$2:$A$846,CATÁLOGO!$B$2:$B$846,"FORA DO CATÁLOGO")</f>
        <v>TOP013VM</v>
      </c>
      <c r="C460" s="13">
        <v>4</v>
      </c>
      <c r="D460" s="13" t="str">
        <f>_xlfn.XLOOKUP(A460,CATÁLOGO!$A$2:$A$846,CATÁLOGO!$E$2:$E$846,"FORA DO CATÁLOGO")</f>
        <v>Ativo</v>
      </c>
      <c r="E460" s="2" t="s">
        <v>1401</v>
      </c>
      <c r="F460" s="62">
        <f>SUMIFS('AVARIA ESTIMADA'!$H$18:$H$40,'AVARIA ESTIMADA'!$A$18:$A$40,A460)</f>
        <v>0</v>
      </c>
    </row>
    <row r="461" spans="1:6" x14ac:dyDescent="0.3">
      <c r="A461" s="2" t="s">
        <v>333</v>
      </c>
      <c r="B461" s="19" t="str">
        <f>_xlfn.XLOOKUP(A461,CATÁLOGO!$A$2:$A$846,CATÁLOGO!$B$2:$B$846,"FORA DO CATÁLOGO")</f>
        <v>TOP013VG</v>
      </c>
      <c r="C461" s="13">
        <v>4</v>
      </c>
      <c r="D461" s="13" t="str">
        <f>_xlfn.XLOOKUP(A461,CATÁLOGO!$A$2:$A$846,CATÁLOGO!$E$2:$E$846,"FORA DO CATÁLOGO")</f>
        <v>Ativo</v>
      </c>
      <c r="E461" s="2" t="s">
        <v>1401</v>
      </c>
      <c r="F461" s="62">
        <f>SUMIFS('AVARIA ESTIMADA'!$H$18:$H$40,'AVARIA ESTIMADA'!$A$18:$A$40,A461)</f>
        <v>0</v>
      </c>
    </row>
    <row r="462" spans="1:6" x14ac:dyDescent="0.3">
      <c r="A462" s="2" t="s">
        <v>334</v>
      </c>
      <c r="B462" s="19" t="str">
        <f>_xlfn.XLOOKUP(A462,CATÁLOGO!$A$2:$A$846,CATÁLOGO!$B$2:$B$846,"FORA DO CATÁLOGO")</f>
        <v>TOP013VGG</v>
      </c>
      <c r="C462" s="13">
        <v>1</v>
      </c>
      <c r="D462" s="13" t="str">
        <f>_xlfn.XLOOKUP(A462,CATÁLOGO!$A$2:$A$846,CATÁLOGO!$E$2:$E$846,"FORA DO CATÁLOGO")</f>
        <v>Ativo</v>
      </c>
      <c r="E462" s="2" t="s">
        <v>1401</v>
      </c>
      <c r="F462" s="62">
        <f>SUMIFS('AVARIA ESTIMADA'!$H$18:$H$40,'AVARIA ESTIMADA'!$A$18:$A$40,A462)</f>
        <v>0</v>
      </c>
    </row>
    <row r="463" spans="1:6" x14ac:dyDescent="0.3">
      <c r="A463" s="2" t="s">
        <v>1494</v>
      </c>
      <c r="B463" s="19" t="str">
        <f>_xlfn.XLOOKUP(A463,CATÁLOGO!$A$2:$A$846,CATÁLOGO!$B$2:$B$846,"FORA DO CATÁLOGO")</f>
        <v>BER008G36</v>
      </c>
      <c r="C463" s="13">
        <v>1</v>
      </c>
      <c r="D463" s="13" t="str">
        <f>_xlfn.XLOOKUP(A463,CATÁLOGO!$A$2:$A$846,CATÁLOGO!$E$2:$E$846,"FORA DO CATÁLOGO")</f>
        <v>Ativo</v>
      </c>
      <c r="E463" s="2" t="s">
        <v>1401</v>
      </c>
      <c r="F463" s="62">
        <f>SUMIFS('AVARIA ESTIMADA'!$H$18:$H$40,'AVARIA ESTIMADA'!$A$18:$A$40,A463)</f>
        <v>0</v>
      </c>
    </row>
    <row r="464" spans="1:6" x14ac:dyDescent="0.3">
      <c r="A464" s="2" t="s">
        <v>1492</v>
      </c>
      <c r="B464" s="19" t="str">
        <f>_xlfn.XLOOKUP(A464,CATÁLOGO!$A$2:$A$846,CATÁLOGO!$B$2:$B$846,"FORA DO CATÁLOGO")</f>
        <v>BER008G38</v>
      </c>
      <c r="C464" s="13">
        <v>4</v>
      </c>
      <c r="D464" s="13" t="str">
        <f>_xlfn.XLOOKUP(A464,CATÁLOGO!$A$2:$A$846,CATÁLOGO!$E$2:$E$846,"FORA DO CATÁLOGO")</f>
        <v>Ativo</v>
      </c>
      <c r="E464" s="2" t="s">
        <v>1401</v>
      </c>
      <c r="F464" s="62">
        <f>SUMIFS('AVARIA ESTIMADA'!$H$18:$H$40,'AVARIA ESTIMADA'!$A$18:$A$40,A464)</f>
        <v>0</v>
      </c>
    </row>
    <row r="465" spans="1:6" x14ac:dyDescent="0.3">
      <c r="A465" s="2" t="s">
        <v>1491</v>
      </c>
      <c r="B465" s="19" t="str">
        <f>_xlfn.XLOOKUP(A465,CATÁLOGO!$A$2:$A$846,CATÁLOGO!$B$2:$B$846,"FORA DO CATÁLOGO")</f>
        <v>BER008G40</v>
      </c>
      <c r="C465" s="13">
        <v>2</v>
      </c>
      <c r="D465" s="13" t="str">
        <f>_xlfn.XLOOKUP(A465,CATÁLOGO!$A$2:$A$846,CATÁLOGO!$E$2:$E$846,"FORA DO CATÁLOGO")</f>
        <v>Ativo</v>
      </c>
      <c r="E465" s="2" t="s">
        <v>1401</v>
      </c>
      <c r="F465" s="62">
        <f>SUMIFS('AVARIA ESTIMADA'!$H$18:$H$40,'AVARIA ESTIMADA'!$A$18:$A$40,A465)</f>
        <v>0</v>
      </c>
    </row>
    <row r="466" spans="1:6" x14ac:dyDescent="0.3">
      <c r="A466" s="2" t="s">
        <v>1488</v>
      </c>
      <c r="B466" s="19" t="str">
        <f>_xlfn.XLOOKUP(A466,CATÁLOGO!$A$2:$A$846,CATÁLOGO!$B$2:$B$846,"FORA DO CATÁLOGO")</f>
        <v>BER008G42</v>
      </c>
      <c r="C466" s="13">
        <v>2</v>
      </c>
      <c r="D466" s="13" t="str">
        <f>_xlfn.XLOOKUP(A466,CATÁLOGO!$A$2:$A$846,CATÁLOGO!$E$2:$E$846,"FORA DO CATÁLOGO")</f>
        <v>Ativo</v>
      </c>
      <c r="E466" s="2" t="s">
        <v>1401</v>
      </c>
      <c r="F466" s="62">
        <f>SUMIFS('AVARIA ESTIMADA'!$H$18:$H$40,'AVARIA ESTIMADA'!$A$18:$A$40,A466)</f>
        <v>0</v>
      </c>
    </row>
    <row r="467" spans="1:6" x14ac:dyDescent="0.3">
      <c r="A467" s="2" t="s">
        <v>1490</v>
      </c>
      <c r="B467" s="19" t="str">
        <f>_xlfn.XLOOKUP(A467,CATÁLOGO!$A$2:$A$846,CATÁLOGO!$B$2:$B$846,"FORA DO CATÁLOGO")</f>
        <v>BER008G44</v>
      </c>
      <c r="C467" s="13">
        <v>1</v>
      </c>
      <c r="D467" s="13" t="str">
        <f>_xlfn.XLOOKUP(A467,CATÁLOGO!$A$2:$A$846,CATÁLOGO!$E$2:$E$846,"FORA DO CATÁLOGO")</f>
        <v>Ativo</v>
      </c>
      <c r="E467" s="2" t="s">
        <v>1401</v>
      </c>
      <c r="F467" s="62">
        <f>SUMIFS('AVARIA ESTIMADA'!$H$18:$H$40,'AVARIA ESTIMADA'!$A$18:$A$40,A467)</f>
        <v>0</v>
      </c>
    </row>
    <row r="468" spans="1:6" x14ac:dyDescent="0.3">
      <c r="A468" s="2" t="s">
        <v>1493</v>
      </c>
      <c r="B468" s="19" t="str">
        <f>_xlfn.XLOOKUP(A468,CATÁLOGO!$A$2:$A$846,CATÁLOGO!$B$2:$B$846,"FORA DO CATÁLOGO")</f>
        <v>BER008G46</v>
      </c>
      <c r="C468" s="13">
        <v>1</v>
      </c>
      <c r="D468" s="13" t="str">
        <f>_xlfn.XLOOKUP(A468,CATÁLOGO!$A$2:$A$846,CATÁLOGO!$E$2:$E$846,"FORA DO CATÁLOGO")</f>
        <v>Ativo</v>
      </c>
      <c r="E468" s="2" t="s">
        <v>1401</v>
      </c>
      <c r="F468" s="62">
        <f>SUMIFS('AVARIA ESTIMADA'!$H$18:$H$40,'AVARIA ESTIMADA'!$A$18:$A$40,A468)</f>
        <v>0</v>
      </c>
    </row>
    <row r="469" spans="1:6" x14ac:dyDescent="0.3">
      <c r="A469" s="2" t="s">
        <v>335</v>
      </c>
      <c r="B469" s="19" t="str">
        <f>_xlfn.XLOOKUP(A469,CATÁLOGO!$A$2:$A$846,CATÁLOGO!$B$2:$B$846,"FORA DO CATÁLOGO")</f>
        <v>TOP014YP</v>
      </c>
      <c r="C469" s="13">
        <v>4</v>
      </c>
      <c r="D469" s="13" t="str">
        <f>_xlfn.XLOOKUP(A469,CATÁLOGO!$A$2:$A$846,CATÁLOGO!$E$2:$E$846,"FORA DO CATÁLOGO")</f>
        <v>Ativo</v>
      </c>
      <c r="E469" s="2" t="s">
        <v>1401</v>
      </c>
      <c r="F469" s="62">
        <f>SUMIFS('AVARIA ESTIMADA'!$H$18:$H$40,'AVARIA ESTIMADA'!$A$18:$A$40,A469)</f>
        <v>0</v>
      </c>
    </row>
    <row r="470" spans="1:6" x14ac:dyDescent="0.3">
      <c r="A470" s="2" t="s">
        <v>336</v>
      </c>
      <c r="B470" s="19" t="str">
        <f>_xlfn.XLOOKUP(A470,CATÁLOGO!$A$2:$A$846,CATÁLOGO!$B$2:$B$846,"FORA DO CATÁLOGO")</f>
        <v>TOP014YM</v>
      </c>
      <c r="C470" s="13">
        <v>1</v>
      </c>
      <c r="D470" s="13" t="str">
        <f>_xlfn.XLOOKUP(A470,CATÁLOGO!$A$2:$A$846,CATÁLOGO!$E$2:$E$846,"FORA DO CATÁLOGO")</f>
        <v>Ativo</v>
      </c>
      <c r="E470" s="2" t="s">
        <v>1401</v>
      </c>
      <c r="F470" s="62">
        <f>SUMIFS('AVARIA ESTIMADA'!$H$18:$H$40,'AVARIA ESTIMADA'!$A$18:$A$40,A470)</f>
        <v>0</v>
      </c>
    </row>
    <row r="471" spans="1:6" x14ac:dyDescent="0.3">
      <c r="A471" s="2" t="s">
        <v>337</v>
      </c>
      <c r="B471" s="19" t="str">
        <f>_xlfn.XLOOKUP(A471,CATÁLOGO!$A$2:$A$846,CATÁLOGO!$B$2:$B$846,"FORA DO CATÁLOGO")</f>
        <v>TOP014YG</v>
      </c>
      <c r="C471" s="13">
        <v>3</v>
      </c>
      <c r="D471" s="13" t="str">
        <f>_xlfn.XLOOKUP(A471,CATÁLOGO!$A$2:$A$846,CATÁLOGO!$E$2:$E$846,"FORA DO CATÁLOGO")</f>
        <v>Ativo</v>
      </c>
      <c r="E471" s="2" t="s">
        <v>1401</v>
      </c>
      <c r="F471" s="62">
        <f>SUMIFS('AVARIA ESTIMADA'!$H$18:$H$40,'AVARIA ESTIMADA'!$A$18:$A$40,A471)</f>
        <v>0</v>
      </c>
    </row>
    <row r="472" spans="1:6" x14ac:dyDescent="0.3">
      <c r="A472" s="2" t="s">
        <v>338</v>
      </c>
      <c r="B472" s="19" t="str">
        <f>_xlfn.XLOOKUP(A472,CATÁLOGO!$A$2:$A$846,CATÁLOGO!$B$2:$B$846,"FORA DO CATÁLOGO")</f>
        <v>CAM017YP</v>
      </c>
      <c r="C472" s="13">
        <v>5</v>
      </c>
      <c r="D472" s="13" t="str">
        <f>_xlfn.XLOOKUP(A472,CATÁLOGO!$A$2:$A$846,CATÁLOGO!$E$2:$E$846,"FORA DO CATÁLOGO")</f>
        <v>Descontinuado</v>
      </c>
      <c r="E472" s="2" t="s">
        <v>1401</v>
      </c>
      <c r="F472" s="62">
        <f>SUMIFS('AVARIA ESTIMADA'!$H$18:$H$40,'AVARIA ESTIMADA'!$A$18:$A$40,A472)</f>
        <v>0</v>
      </c>
    </row>
    <row r="473" spans="1:6" x14ac:dyDescent="0.3">
      <c r="A473" s="2" t="s">
        <v>339</v>
      </c>
      <c r="B473" s="19" t="str">
        <f>_xlfn.XLOOKUP(A473,CATÁLOGO!$A$2:$A$846,CATÁLOGO!$B$2:$B$846,"FORA DO CATÁLOGO")</f>
        <v>CAM017YM</v>
      </c>
      <c r="C473" s="13">
        <v>4</v>
      </c>
      <c r="D473" s="13" t="str">
        <f>_xlfn.XLOOKUP(A473,CATÁLOGO!$A$2:$A$846,CATÁLOGO!$E$2:$E$846,"FORA DO CATÁLOGO")</f>
        <v>Descontinuado</v>
      </c>
      <c r="E473" s="2" t="s">
        <v>1401</v>
      </c>
      <c r="F473" s="62">
        <f>SUMIFS('AVARIA ESTIMADA'!$H$18:$H$40,'AVARIA ESTIMADA'!$A$18:$A$40,A473)</f>
        <v>0</v>
      </c>
    </row>
    <row r="474" spans="1:6" x14ac:dyDescent="0.3">
      <c r="A474" s="2" t="s">
        <v>340</v>
      </c>
      <c r="B474" s="19" t="str">
        <f>_xlfn.XLOOKUP(A474,CATÁLOGO!$A$2:$A$846,CATÁLOGO!$B$2:$B$846,"FORA DO CATÁLOGO")</f>
        <v>CAM017YG</v>
      </c>
      <c r="C474" s="13">
        <v>4</v>
      </c>
      <c r="D474" s="13" t="str">
        <f>_xlfn.XLOOKUP(A474,CATÁLOGO!$A$2:$A$846,CATÁLOGO!$E$2:$E$846,"FORA DO CATÁLOGO")</f>
        <v>Descontinuado</v>
      </c>
      <c r="E474" s="2" t="s">
        <v>1401</v>
      </c>
      <c r="F474" s="62">
        <f>SUMIFS('AVARIA ESTIMADA'!$H$18:$H$40,'AVARIA ESTIMADA'!$A$18:$A$40,A474)</f>
        <v>3</v>
      </c>
    </row>
    <row r="475" spans="1:6" x14ac:dyDescent="0.3">
      <c r="A475" s="2" t="s">
        <v>341</v>
      </c>
      <c r="B475" s="19" t="str">
        <f>_xlfn.XLOOKUP(A475,CATÁLOGO!$A$2:$A$846,CATÁLOGO!$B$2:$B$846,"FORA DO CATÁLOGO")</f>
        <v>CAM017YGG</v>
      </c>
      <c r="C475" s="13">
        <v>2</v>
      </c>
      <c r="D475" s="13" t="str">
        <f>_xlfn.XLOOKUP(A475,CATÁLOGO!$A$2:$A$846,CATÁLOGO!$E$2:$E$846,"FORA DO CATÁLOGO")</f>
        <v>Descontinuado</v>
      </c>
      <c r="E475" s="2" t="s">
        <v>1401</v>
      </c>
      <c r="F475" s="62">
        <f>SUMIFS('AVARIA ESTIMADA'!$H$18:$H$40,'AVARIA ESTIMADA'!$A$18:$A$40,A475)</f>
        <v>0</v>
      </c>
    </row>
    <row r="476" spans="1:6" x14ac:dyDescent="0.3">
      <c r="A476" s="2" t="s">
        <v>342</v>
      </c>
      <c r="B476" s="19" t="str">
        <f>_xlfn.XLOOKUP(A476,CATÁLOGO!$A$2:$A$846,CATÁLOGO!$B$2:$B$846,"FORA DO CATÁLOGO")</f>
        <v>CAM018LP</v>
      </c>
      <c r="C476" s="13">
        <v>6</v>
      </c>
      <c r="D476" s="13" t="str">
        <f>_xlfn.XLOOKUP(A476,CATÁLOGO!$A$2:$A$846,CATÁLOGO!$E$2:$E$846,"FORA DO CATÁLOGO")</f>
        <v>Ativo</v>
      </c>
      <c r="E476" s="2" t="s">
        <v>1401</v>
      </c>
      <c r="F476" s="62">
        <f>SUMIFS('AVARIA ESTIMADA'!$H$18:$H$40,'AVARIA ESTIMADA'!$A$18:$A$40,A476)</f>
        <v>0</v>
      </c>
    </row>
    <row r="477" spans="1:6" x14ac:dyDescent="0.3">
      <c r="A477" s="2" t="s">
        <v>343</v>
      </c>
      <c r="B477" s="19" t="str">
        <f>_xlfn.XLOOKUP(A477,CATÁLOGO!$A$2:$A$846,CATÁLOGO!$B$2:$B$846,"FORA DO CATÁLOGO")</f>
        <v>CAM018LM</v>
      </c>
      <c r="C477" s="13">
        <v>3</v>
      </c>
      <c r="D477" s="13" t="str">
        <f>_xlfn.XLOOKUP(A477,CATÁLOGO!$A$2:$A$846,CATÁLOGO!$E$2:$E$846,"FORA DO CATÁLOGO")</f>
        <v>Ativo</v>
      </c>
      <c r="E477" s="2" t="s">
        <v>1401</v>
      </c>
      <c r="F477" s="62">
        <f>SUMIFS('AVARIA ESTIMADA'!$H$18:$H$40,'AVARIA ESTIMADA'!$A$18:$A$40,A477)</f>
        <v>0</v>
      </c>
    </row>
    <row r="478" spans="1:6" x14ac:dyDescent="0.3">
      <c r="A478" s="2" t="s">
        <v>344</v>
      </c>
      <c r="B478" s="19" t="str">
        <f>_xlfn.XLOOKUP(A478,CATÁLOGO!$A$2:$A$846,CATÁLOGO!$B$2:$B$846,"FORA DO CATÁLOGO")</f>
        <v>CAM018LG</v>
      </c>
      <c r="C478" s="13">
        <v>5</v>
      </c>
      <c r="D478" s="13" t="str">
        <f>_xlfn.XLOOKUP(A478,CATÁLOGO!$A$2:$A$846,CATÁLOGO!$E$2:$E$846,"FORA DO CATÁLOGO")</f>
        <v>Ativo</v>
      </c>
      <c r="E478" s="2" t="s">
        <v>1401</v>
      </c>
      <c r="F478" s="62">
        <f>SUMIFS('AVARIA ESTIMADA'!$H$18:$H$40,'AVARIA ESTIMADA'!$A$18:$A$40,A478)</f>
        <v>0</v>
      </c>
    </row>
    <row r="479" spans="1:6" x14ac:dyDescent="0.3">
      <c r="A479" s="2" t="s">
        <v>345</v>
      </c>
      <c r="B479" s="19" t="str">
        <f>_xlfn.XLOOKUP(A479,CATÁLOGO!$A$2:$A$846,CATÁLOGO!$B$2:$B$846,"FORA DO CATÁLOGO")</f>
        <v>CAM018LGG</v>
      </c>
      <c r="C479" s="13">
        <v>4</v>
      </c>
      <c r="D479" s="13" t="str">
        <f>_xlfn.XLOOKUP(A479,CATÁLOGO!$A$2:$A$846,CATÁLOGO!$E$2:$E$846,"FORA DO CATÁLOGO")</f>
        <v>Ativo</v>
      </c>
      <c r="E479" s="2" t="s">
        <v>1401</v>
      </c>
      <c r="F479" s="62">
        <f>SUMIFS('AVARIA ESTIMADA'!$H$18:$H$40,'AVARIA ESTIMADA'!$A$18:$A$40,A479)</f>
        <v>0</v>
      </c>
    </row>
    <row r="480" spans="1:6" x14ac:dyDescent="0.3">
      <c r="A480" s="2" t="s">
        <v>346</v>
      </c>
      <c r="B480" s="19" t="str">
        <f>_xlfn.XLOOKUP(A480,CATÁLOGO!$A$2:$A$846,CATÁLOGO!$B$2:$B$846,"FORA DO CATÁLOGO")</f>
        <v>VES009GP</v>
      </c>
      <c r="C480" s="13">
        <v>3</v>
      </c>
      <c r="D480" s="13" t="str">
        <f>_xlfn.XLOOKUP(A480,CATÁLOGO!$A$2:$A$846,CATÁLOGO!$E$2:$E$846,"FORA DO CATÁLOGO")</f>
        <v>Descontinuado</v>
      </c>
      <c r="E480" s="2" t="s">
        <v>1401</v>
      </c>
      <c r="F480" s="62">
        <f>SUMIFS('AVARIA ESTIMADA'!$H$18:$H$40,'AVARIA ESTIMADA'!$A$18:$A$40,A480)</f>
        <v>0</v>
      </c>
    </row>
    <row r="481" spans="1:6" x14ac:dyDescent="0.3">
      <c r="A481" s="2" t="s">
        <v>347</v>
      </c>
      <c r="B481" s="19" t="str">
        <f>_xlfn.XLOOKUP(A481,CATÁLOGO!$A$2:$A$846,CATÁLOGO!$B$2:$B$846,"FORA DO CATÁLOGO")</f>
        <v>VES009GM</v>
      </c>
      <c r="C481" s="13">
        <v>5</v>
      </c>
      <c r="D481" s="13" t="str">
        <f>_xlfn.XLOOKUP(A481,CATÁLOGO!$A$2:$A$846,CATÁLOGO!$E$2:$E$846,"FORA DO CATÁLOGO")</f>
        <v>Descontinuado</v>
      </c>
      <c r="E481" s="2" t="s">
        <v>1401</v>
      </c>
      <c r="F481" s="62">
        <f>SUMIFS('AVARIA ESTIMADA'!$H$18:$H$40,'AVARIA ESTIMADA'!$A$18:$A$40,A481)</f>
        <v>0</v>
      </c>
    </row>
    <row r="482" spans="1:6" x14ac:dyDescent="0.3">
      <c r="A482" s="2" t="s">
        <v>348</v>
      </c>
      <c r="B482" s="19" t="str">
        <f>_xlfn.XLOOKUP(A482,CATÁLOGO!$A$2:$A$846,CATÁLOGO!$B$2:$B$846,"FORA DO CATÁLOGO")</f>
        <v>VES009GG</v>
      </c>
      <c r="C482" s="13">
        <v>3</v>
      </c>
      <c r="D482" s="13" t="str">
        <f>_xlfn.XLOOKUP(A482,CATÁLOGO!$A$2:$A$846,CATÁLOGO!$E$2:$E$846,"FORA DO CATÁLOGO")</f>
        <v>Descontinuado</v>
      </c>
      <c r="E482" s="2" t="s">
        <v>1401</v>
      </c>
      <c r="F482" s="62">
        <f>SUMIFS('AVARIA ESTIMADA'!$H$18:$H$40,'AVARIA ESTIMADA'!$A$18:$A$40,A482)</f>
        <v>3</v>
      </c>
    </row>
    <row r="483" spans="1:6" x14ac:dyDescent="0.3">
      <c r="A483" s="2" t="s">
        <v>349</v>
      </c>
      <c r="B483" s="19" t="str">
        <f>_xlfn.XLOOKUP(A483,CATÁLOGO!$A$2:$A$846,CATÁLOGO!$B$2:$B$846,"FORA DO CATÁLOGO")</f>
        <v>VES009PP</v>
      </c>
      <c r="C483" s="13">
        <v>2</v>
      </c>
      <c r="D483" s="13" t="str">
        <f>_xlfn.XLOOKUP(A483,CATÁLOGO!$A$2:$A$846,CATÁLOGO!$E$2:$E$846,"FORA DO CATÁLOGO")</f>
        <v>Descontinuado</v>
      </c>
      <c r="E483" s="2" t="s">
        <v>1401</v>
      </c>
      <c r="F483" s="62">
        <f>SUMIFS('AVARIA ESTIMADA'!$H$18:$H$40,'AVARIA ESTIMADA'!$A$18:$A$40,A483)</f>
        <v>0</v>
      </c>
    </row>
    <row r="484" spans="1:6" x14ac:dyDescent="0.3">
      <c r="A484" s="2" t="s">
        <v>350</v>
      </c>
      <c r="B484" s="19" t="str">
        <f>_xlfn.XLOOKUP(A484,CATÁLOGO!$A$2:$A$846,CATÁLOGO!$B$2:$B$846,"FORA DO CATÁLOGO")</f>
        <v>VES009PM</v>
      </c>
      <c r="C484" s="13">
        <v>3</v>
      </c>
      <c r="D484" s="13" t="str">
        <f>_xlfn.XLOOKUP(A484,CATÁLOGO!$A$2:$A$846,CATÁLOGO!$E$2:$E$846,"FORA DO CATÁLOGO")</f>
        <v>Descontinuado</v>
      </c>
      <c r="E484" s="2" t="s">
        <v>1401</v>
      </c>
      <c r="F484" s="62">
        <f>SUMIFS('AVARIA ESTIMADA'!$H$18:$H$40,'AVARIA ESTIMADA'!$A$18:$A$40,A484)</f>
        <v>0</v>
      </c>
    </row>
    <row r="485" spans="1:6" x14ac:dyDescent="0.3">
      <c r="A485" s="2" t="s">
        <v>351</v>
      </c>
      <c r="B485" s="19" t="str">
        <f>_xlfn.XLOOKUP(A485,CATÁLOGO!$A$2:$A$846,CATÁLOGO!$B$2:$B$846,"FORA DO CATÁLOGO")</f>
        <v>VES009PG</v>
      </c>
      <c r="C485" s="13">
        <v>2</v>
      </c>
      <c r="D485" s="13" t="str">
        <f>_xlfn.XLOOKUP(A485,CATÁLOGO!$A$2:$A$846,CATÁLOGO!$E$2:$E$846,"FORA DO CATÁLOGO")</f>
        <v>Descontinuado</v>
      </c>
      <c r="E485" s="2" t="s">
        <v>1401</v>
      </c>
      <c r="F485" s="62">
        <f>SUMIFS('AVARIA ESTIMADA'!$H$18:$H$40,'AVARIA ESTIMADA'!$A$18:$A$40,A485)</f>
        <v>0</v>
      </c>
    </row>
    <row r="486" spans="1:6" x14ac:dyDescent="0.3">
      <c r="A486" s="2" t="s">
        <v>352</v>
      </c>
      <c r="B486" s="19" t="str">
        <f>_xlfn.XLOOKUP(A486,CATÁLOGO!$A$2:$A$846,CATÁLOGO!$B$2:$B$846,"FORA DO CATÁLOGO")</f>
        <v>VES010CP</v>
      </c>
      <c r="C486" s="13">
        <v>2</v>
      </c>
      <c r="D486" s="13" t="str">
        <f>_xlfn.XLOOKUP(A486,CATÁLOGO!$A$2:$A$846,CATÁLOGO!$E$2:$E$846,"FORA DO CATÁLOGO")</f>
        <v>Ativo</v>
      </c>
      <c r="E486" s="2" t="s">
        <v>1401</v>
      </c>
      <c r="F486" s="62">
        <f>SUMIFS('AVARIA ESTIMADA'!$H$18:$H$40,'AVARIA ESTIMADA'!$A$18:$A$40,A486)</f>
        <v>0</v>
      </c>
    </row>
    <row r="487" spans="1:6" x14ac:dyDescent="0.3">
      <c r="A487" s="2" t="s">
        <v>353</v>
      </c>
      <c r="B487" s="19" t="str">
        <f>_xlfn.XLOOKUP(A487,CATÁLOGO!$A$2:$A$846,CATÁLOGO!$B$2:$B$846,"FORA DO CATÁLOGO")</f>
        <v>VES010CM</v>
      </c>
      <c r="C487" s="13">
        <v>4</v>
      </c>
      <c r="D487" s="13" t="str">
        <f>_xlfn.XLOOKUP(A487,CATÁLOGO!$A$2:$A$846,CATÁLOGO!$E$2:$E$846,"FORA DO CATÁLOGO")</f>
        <v>Ativo</v>
      </c>
      <c r="E487" s="2" t="s">
        <v>1401</v>
      </c>
      <c r="F487" s="62">
        <f>SUMIFS('AVARIA ESTIMADA'!$H$18:$H$40,'AVARIA ESTIMADA'!$A$18:$A$40,A487)</f>
        <v>0</v>
      </c>
    </row>
    <row r="488" spans="1:6" x14ac:dyDescent="0.3">
      <c r="A488" s="2" t="s">
        <v>354</v>
      </c>
      <c r="B488" s="19" t="str">
        <f>_xlfn.XLOOKUP(A488,CATÁLOGO!$A$2:$A$846,CATÁLOGO!$B$2:$B$846,"FORA DO CATÁLOGO")</f>
        <v>VES010CG</v>
      </c>
      <c r="C488" s="13">
        <v>3</v>
      </c>
      <c r="D488" s="13" t="str">
        <f>_xlfn.XLOOKUP(A488,CATÁLOGO!$A$2:$A$846,CATÁLOGO!$E$2:$E$846,"FORA DO CATÁLOGO")</f>
        <v>Ativo</v>
      </c>
      <c r="E488" s="2" t="s">
        <v>1401</v>
      </c>
      <c r="F488" s="62">
        <f>SUMIFS('AVARIA ESTIMADA'!$H$18:$H$40,'AVARIA ESTIMADA'!$A$18:$A$40,A488)</f>
        <v>0</v>
      </c>
    </row>
    <row r="489" spans="1:6" x14ac:dyDescent="0.3">
      <c r="A489" s="2" t="s">
        <v>355</v>
      </c>
      <c r="B489" s="19" t="str">
        <f>_xlfn.XLOOKUP(A489,CATÁLOGO!$A$2:$A$846,CATÁLOGO!$B$2:$B$846,"FORA DO CATÁLOGO")</f>
        <v>VES010CGG</v>
      </c>
      <c r="C489" s="13">
        <v>1</v>
      </c>
      <c r="D489" s="13" t="str">
        <f>_xlfn.XLOOKUP(A489,CATÁLOGO!$A$2:$A$846,CATÁLOGO!$E$2:$E$846,"FORA DO CATÁLOGO")</f>
        <v>Ativo</v>
      </c>
      <c r="E489" s="2" t="s">
        <v>1401</v>
      </c>
      <c r="F489" s="62">
        <f>SUMIFS('AVARIA ESTIMADA'!$H$18:$H$40,'AVARIA ESTIMADA'!$A$18:$A$40,A489)</f>
        <v>0</v>
      </c>
    </row>
    <row r="490" spans="1:6" x14ac:dyDescent="0.3">
      <c r="A490" s="2" t="s">
        <v>356</v>
      </c>
      <c r="B490" s="19" t="str">
        <f>_xlfn.XLOOKUP(A490,CATÁLOGO!$A$2:$A$846,CATÁLOGO!$B$2:$B$846,"FORA DO CATÁLOGO")</f>
        <v>VES010OP</v>
      </c>
      <c r="C490" s="13">
        <v>1</v>
      </c>
      <c r="D490" s="13" t="str">
        <f>_xlfn.XLOOKUP(A490,CATÁLOGO!$A$2:$A$846,CATÁLOGO!$E$2:$E$846,"FORA DO CATÁLOGO")</f>
        <v>Ativo</v>
      </c>
      <c r="E490" s="2" t="s">
        <v>1401</v>
      </c>
      <c r="F490" s="62">
        <f>SUMIFS('AVARIA ESTIMADA'!$H$18:$H$40,'AVARIA ESTIMADA'!$A$18:$A$40,A490)</f>
        <v>0</v>
      </c>
    </row>
    <row r="491" spans="1:6" x14ac:dyDescent="0.3">
      <c r="A491" s="2" t="s">
        <v>357</v>
      </c>
      <c r="B491" s="19" t="str">
        <f>_xlfn.XLOOKUP(A491,CATÁLOGO!$A$2:$A$846,CATÁLOGO!$B$2:$B$846,"FORA DO CATÁLOGO")</f>
        <v>VES010OM</v>
      </c>
      <c r="C491" s="13">
        <v>2</v>
      </c>
      <c r="D491" s="13" t="str">
        <f>_xlfn.XLOOKUP(A491,CATÁLOGO!$A$2:$A$846,CATÁLOGO!$E$2:$E$846,"FORA DO CATÁLOGO")</f>
        <v>Ativo</v>
      </c>
      <c r="E491" s="2" t="s">
        <v>1401</v>
      </c>
      <c r="F491" s="62">
        <f>SUMIFS('AVARIA ESTIMADA'!$H$18:$H$40,'AVARIA ESTIMADA'!$A$18:$A$40,A491)</f>
        <v>0</v>
      </c>
    </row>
    <row r="492" spans="1:6" x14ac:dyDescent="0.3">
      <c r="A492" s="2" t="s">
        <v>358</v>
      </c>
      <c r="B492" s="19" t="str">
        <f>_xlfn.XLOOKUP(A492,CATÁLOGO!$A$2:$A$846,CATÁLOGO!$B$2:$B$846,"FORA DO CATÁLOGO")</f>
        <v>VES010OG</v>
      </c>
      <c r="C492" s="13">
        <v>1</v>
      </c>
      <c r="D492" s="13" t="str">
        <f>_xlfn.XLOOKUP(A492,CATÁLOGO!$A$2:$A$846,CATÁLOGO!$E$2:$E$846,"FORA DO CATÁLOGO")</f>
        <v>Ativo</v>
      </c>
      <c r="E492" s="2" t="s">
        <v>1401</v>
      </c>
      <c r="F492" s="62">
        <f>SUMIFS('AVARIA ESTIMADA'!$H$18:$H$40,'AVARIA ESTIMADA'!$A$18:$A$40,A492)</f>
        <v>0</v>
      </c>
    </row>
    <row r="493" spans="1:6" x14ac:dyDescent="0.3">
      <c r="A493" s="2" t="s">
        <v>359</v>
      </c>
      <c r="B493" s="19" t="str">
        <f>_xlfn.XLOOKUP(A493,CATÁLOGO!$A$2:$A$846,CATÁLOGO!$B$2:$B$846,"FORA DO CATÁLOGO")</f>
        <v>VES010OGG</v>
      </c>
      <c r="C493" s="13">
        <v>1</v>
      </c>
      <c r="D493" s="13" t="str">
        <f>_xlfn.XLOOKUP(A493,CATÁLOGO!$A$2:$A$846,CATÁLOGO!$E$2:$E$846,"FORA DO CATÁLOGO")</f>
        <v>Ativo</v>
      </c>
      <c r="E493" s="2" t="s">
        <v>1401</v>
      </c>
      <c r="F493" s="62">
        <f>SUMIFS('AVARIA ESTIMADA'!$H$18:$H$40,'AVARIA ESTIMADA'!$A$18:$A$40,A493)</f>
        <v>0</v>
      </c>
    </row>
    <row r="494" spans="1:6" x14ac:dyDescent="0.3">
      <c r="A494" s="2" t="s">
        <v>360</v>
      </c>
      <c r="B494" s="19" t="str">
        <f>_xlfn.XLOOKUP(A494,CATÁLOGO!$A$2:$A$846,CATÁLOGO!$B$2:$B$846,"FORA DO CATÁLOGO")</f>
        <v>VES010MP</v>
      </c>
      <c r="C494" s="13">
        <v>1</v>
      </c>
      <c r="D494" s="13" t="str">
        <f>_xlfn.XLOOKUP(A494,CATÁLOGO!$A$2:$A$846,CATÁLOGO!$E$2:$E$846,"FORA DO CATÁLOGO")</f>
        <v>Ativo</v>
      </c>
      <c r="E494" s="2" t="s">
        <v>1401</v>
      </c>
      <c r="F494" s="62">
        <f>SUMIFS('AVARIA ESTIMADA'!$H$18:$H$40,'AVARIA ESTIMADA'!$A$18:$A$40,A494)</f>
        <v>0</v>
      </c>
    </row>
    <row r="495" spans="1:6" x14ac:dyDescent="0.3">
      <c r="A495" s="2" t="s">
        <v>361</v>
      </c>
      <c r="B495" s="19" t="str">
        <f>_xlfn.XLOOKUP(A495,CATÁLOGO!$A$2:$A$846,CATÁLOGO!$B$2:$B$846,"FORA DO CATÁLOGO")</f>
        <v>VES010MM</v>
      </c>
      <c r="C495" s="13">
        <v>2</v>
      </c>
      <c r="D495" s="13" t="str">
        <f>_xlfn.XLOOKUP(A495,CATÁLOGO!$A$2:$A$846,CATÁLOGO!$E$2:$E$846,"FORA DO CATÁLOGO")</f>
        <v>Ativo</v>
      </c>
      <c r="E495" s="2" t="s">
        <v>1401</v>
      </c>
      <c r="F495" s="62">
        <f>SUMIFS('AVARIA ESTIMADA'!$H$18:$H$40,'AVARIA ESTIMADA'!$A$18:$A$40,A495)</f>
        <v>0</v>
      </c>
    </row>
    <row r="496" spans="1:6" x14ac:dyDescent="0.3">
      <c r="A496" s="2" t="s">
        <v>362</v>
      </c>
      <c r="B496" s="19" t="str">
        <f>_xlfn.XLOOKUP(A496,CATÁLOGO!$A$2:$A$846,CATÁLOGO!$B$2:$B$846,"FORA DO CATÁLOGO")</f>
        <v>VES010MG</v>
      </c>
      <c r="C496" s="13">
        <v>1</v>
      </c>
      <c r="D496" s="13" t="str">
        <f>_xlfn.XLOOKUP(A496,CATÁLOGO!$A$2:$A$846,CATÁLOGO!$E$2:$E$846,"FORA DO CATÁLOGO")</f>
        <v>Ativo</v>
      </c>
      <c r="E496" s="2" t="s">
        <v>1401</v>
      </c>
      <c r="F496" s="62">
        <f>SUMIFS('AVARIA ESTIMADA'!$H$18:$H$40,'AVARIA ESTIMADA'!$A$18:$A$40,A496)</f>
        <v>0</v>
      </c>
    </row>
    <row r="497" spans="1:6" x14ac:dyDescent="0.3">
      <c r="A497" s="2" t="s">
        <v>363</v>
      </c>
      <c r="B497" s="19" t="str">
        <f>_xlfn.XLOOKUP(A497,CATÁLOGO!$A$2:$A$846,CATÁLOGO!$B$2:$B$846,"FORA DO CATÁLOGO")</f>
        <v>VES010MGG</v>
      </c>
      <c r="C497" s="13">
        <v>1</v>
      </c>
      <c r="D497" s="13" t="str">
        <f>_xlfn.XLOOKUP(A497,CATÁLOGO!$A$2:$A$846,CATÁLOGO!$E$2:$E$846,"FORA DO CATÁLOGO")</f>
        <v>Ativo</v>
      </c>
      <c r="E497" s="2" t="s">
        <v>1401</v>
      </c>
      <c r="F497" s="62">
        <f>SUMIFS('AVARIA ESTIMADA'!$H$18:$H$40,'AVARIA ESTIMADA'!$A$18:$A$40,A497)</f>
        <v>0</v>
      </c>
    </row>
    <row r="498" spans="1:6" x14ac:dyDescent="0.3">
      <c r="A498" s="2" t="s">
        <v>1498</v>
      </c>
      <c r="B498" s="19" t="str">
        <f>_xlfn.XLOOKUP(A498,CATÁLOGO!$A$2:$A$846,CATÁLOGO!$B$2:$B$846,"FORA DO CATÁLOGO")</f>
        <v>BER009J40</v>
      </c>
      <c r="C498" s="13">
        <v>5</v>
      </c>
      <c r="D498" s="13" t="str">
        <f>_xlfn.XLOOKUP(A498,CATÁLOGO!$A$2:$A$846,CATÁLOGO!$E$2:$E$846,"FORA DO CATÁLOGO")</f>
        <v>Ativo</v>
      </c>
      <c r="E498" s="2" t="s">
        <v>1401</v>
      </c>
      <c r="F498" s="62">
        <f>SUMIFS('AVARIA ESTIMADA'!$H$18:$H$40,'AVARIA ESTIMADA'!$A$18:$A$40,A498)</f>
        <v>0</v>
      </c>
    </row>
    <row r="499" spans="1:6" x14ac:dyDescent="0.3">
      <c r="A499" s="2" t="s">
        <v>1495</v>
      </c>
      <c r="B499" s="19" t="str">
        <f>_xlfn.XLOOKUP(A499,CATÁLOGO!$A$2:$A$846,CATÁLOGO!$B$2:$B$846,"FORA DO CATÁLOGO")</f>
        <v>BER009J42</v>
      </c>
      <c r="C499" s="13">
        <v>5</v>
      </c>
      <c r="D499" s="13" t="str">
        <f>_xlfn.XLOOKUP(A499,CATÁLOGO!$A$2:$A$846,CATÁLOGO!$E$2:$E$846,"FORA DO CATÁLOGO")</f>
        <v>Ativo</v>
      </c>
      <c r="E499" s="2" t="s">
        <v>1401</v>
      </c>
      <c r="F499" s="62">
        <f>SUMIFS('AVARIA ESTIMADA'!$H$18:$H$40,'AVARIA ESTIMADA'!$A$18:$A$40,A499)</f>
        <v>0</v>
      </c>
    </row>
    <row r="500" spans="1:6" x14ac:dyDescent="0.3">
      <c r="A500" s="2" t="s">
        <v>1497</v>
      </c>
      <c r="B500" s="19" t="str">
        <f>_xlfn.XLOOKUP(A500,CATÁLOGO!$A$2:$A$846,CATÁLOGO!$B$2:$B$846,"FORA DO CATÁLOGO")</f>
        <v>BER009J44</v>
      </c>
      <c r="C500" s="13">
        <v>0</v>
      </c>
      <c r="D500" s="13" t="str">
        <f>_xlfn.XLOOKUP(A500,CATÁLOGO!$A$2:$A$846,CATÁLOGO!$E$2:$E$846,"FORA DO CATÁLOGO")</f>
        <v>Ativo</v>
      </c>
      <c r="E500" s="2" t="s">
        <v>1401</v>
      </c>
      <c r="F500" s="62">
        <f>SUMIFS('AVARIA ESTIMADA'!$H$18:$H$40,'AVARIA ESTIMADA'!$A$18:$A$40,A500)</f>
        <v>0</v>
      </c>
    </row>
    <row r="501" spans="1:6" x14ac:dyDescent="0.3">
      <c r="A501" s="2" t="s">
        <v>1500</v>
      </c>
      <c r="B501" s="19" t="str">
        <f>_xlfn.XLOOKUP(A501,CATÁLOGO!$A$2:$A$846,CATÁLOGO!$B$2:$B$846,"FORA DO CATÁLOGO")</f>
        <v>BER009J46</v>
      </c>
      <c r="C501" s="13">
        <v>1</v>
      </c>
      <c r="D501" s="13" t="str">
        <f>_xlfn.XLOOKUP(A501,CATÁLOGO!$A$2:$A$846,CATÁLOGO!$E$2:$E$846,"FORA DO CATÁLOGO")</f>
        <v>Ativo</v>
      </c>
      <c r="E501" s="2" t="s">
        <v>1401</v>
      </c>
      <c r="F501" s="62">
        <f>SUMIFS('AVARIA ESTIMADA'!$H$18:$H$40,'AVARIA ESTIMADA'!$A$18:$A$40,A501)</f>
        <v>0</v>
      </c>
    </row>
    <row r="502" spans="1:6" x14ac:dyDescent="0.3">
      <c r="A502" s="2" t="s">
        <v>364</v>
      </c>
      <c r="B502" s="19" t="str">
        <f>_xlfn.XLOOKUP(A502,CATÁLOGO!$A$2:$A$846,CATÁLOGO!$B$2:$B$846,"FORA DO CATÁLOGO")</f>
        <v>TOP015HP</v>
      </c>
      <c r="C502" s="13">
        <v>3</v>
      </c>
      <c r="D502" s="13" t="str">
        <f>_xlfn.XLOOKUP(A502,CATÁLOGO!$A$2:$A$846,CATÁLOGO!$E$2:$E$846,"FORA DO CATÁLOGO")</f>
        <v>Ativo</v>
      </c>
      <c r="E502" s="2" t="s">
        <v>1401</v>
      </c>
      <c r="F502" s="62">
        <f>SUMIFS('AVARIA ESTIMADA'!$H$18:$H$40,'AVARIA ESTIMADA'!$A$18:$A$40,A502)</f>
        <v>0</v>
      </c>
    </row>
    <row r="503" spans="1:6" x14ac:dyDescent="0.3">
      <c r="A503" s="2" t="s">
        <v>365</v>
      </c>
      <c r="B503" s="19" t="str">
        <f>_xlfn.XLOOKUP(A503,CATÁLOGO!$A$2:$A$846,CATÁLOGO!$B$2:$B$846,"FORA DO CATÁLOGO")</f>
        <v>TOP015HM</v>
      </c>
      <c r="C503" s="13">
        <v>3</v>
      </c>
      <c r="D503" s="13" t="str">
        <f>_xlfn.XLOOKUP(A503,CATÁLOGO!$A$2:$A$846,CATÁLOGO!$E$2:$E$846,"FORA DO CATÁLOGO")</f>
        <v>Ativo</v>
      </c>
      <c r="E503" s="2" t="s">
        <v>1401</v>
      </c>
      <c r="F503" s="62">
        <f>SUMIFS('AVARIA ESTIMADA'!$H$18:$H$40,'AVARIA ESTIMADA'!$A$18:$A$40,A503)</f>
        <v>0</v>
      </c>
    </row>
    <row r="504" spans="1:6" x14ac:dyDescent="0.3">
      <c r="A504" s="2" t="s">
        <v>366</v>
      </c>
      <c r="B504" s="19" t="str">
        <f>_xlfn.XLOOKUP(A504,CATÁLOGO!$A$2:$A$846,CATÁLOGO!$B$2:$B$846,"FORA DO CATÁLOGO")</f>
        <v>TOP015HG</v>
      </c>
      <c r="C504" s="13">
        <v>3</v>
      </c>
      <c r="D504" s="13" t="str">
        <f>_xlfn.XLOOKUP(A504,CATÁLOGO!$A$2:$A$846,CATÁLOGO!$E$2:$E$846,"FORA DO CATÁLOGO")</f>
        <v>Ativo</v>
      </c>
      <c r="E504" s="2" t="s">
        <v>1401</v>
      </c>
      <c r="F504" s="62">
        <f>SUMIFS('AVARIA ESTIMADA'!$H$18:$H$40,'AVARIA ESTIMADA'!$A$18:$A$40,A504)</f>
        <v>0</v>
      </c>
    </row>
    <row r="505" spans="1:6" x14ac:dyDescent="0.3">
      <c r="A505" s="2" t="s">
        <v>367</v>
      </c>
      <c r="B505" s="19" t="str">
        <f>_xlfn.XLOOKUP(A505,CATÁLOGO!$A$2:$A$846,CATÁLOGO!$B$2:$B$846,"FORA DO CATÁLOGO")</f>
        <v>TOP015HGG</v>
      </c>
      <c r="C505" s="13">
        <v>2</v>
      </c>
      <c r="D505" s="13" t="str">
        <f>_xlfn.XLOOKUP(A505,CATÁLOGO!$A$2:$A$846,CATÁLOGO!$E$2:$E$846,"FORA DO CATÁLOGO")</f>
        <v>Ativo</v>
      </c>
      <c r="E505" s="2" t="s">
        <v>1401</v>
      </c>
      <c r="F505" s="62">
        <f>SUMIFS('AVARIA ESTIMADA'!$H$18:$H$40,'AVARIA ESTIMADA'!$A$18:$A$40,A505)</f>
        <v>0</v>
      </c>
    </row>
    <row r="506" spans="1:6" x14ac:dyDescent="0.3">
      <c r="A506" s="2" t="s">
        <v>368</v>
      </c>
      <c r="B506" s="19" t="str">
        <f>_xlfn.XLOOKUP(A506,CATÁLOGO!$A$2:$A$846,CATÁLOGO!$B$2:$B$846,"FORA DO CATÁLOGO")</f>
        <v>CMS012VP</v>
      </c>
      <c r="C506" s="13">
        <v>2</v>
      </c>
      <c r="D506" s="13" t="str">
        <f>_xlfn.XLOOKUP(A506,CATÁLOGO!$A$2:$A$846,CATÁLOGO!$E$2:$E$846,"FORA DO CATÁLOGO")</f>
        <v>Ativo</v>
      </c>
      <c r="E506" s="2" t="s">
        <v>1401</v>
      </c>
      <c r="F506" s="62">
        <f>SUMIFS('AVARIA ESTIMADA'!$H$18:$H$40,'AVARIA ESTIMADA'!$A$18:$A$40,A506)</f>
        <v>0</v>
      </c>
    </row>
    <row r="507" spans="1:6" x14ac:dyDescent="0.3">
      <c r="A507" s="2" t="s">
        <v>369</v>
      </c>
      <c r="B507" s="19" t="str">
        <f>_xlfn.XLOOKUP(A507,CATÁLOGO!$A$2:$A$846,CATÁLOGO!$B$2:$B$846,"FORA DO CATÁLOGO")</f>
        <v>CMS012VM</v>
      </c>
      <c r="C507" s="13">
        <v>3</v>
      </c>
      <c r="D507" s="13" t="str">
        <f>_xlfn.XLOOKUP(A507,CATÁLOGO!$A$2:$A$846,CATÁLOGO!$E$2:$E$846,"FORA DO CATÁLOGO")</f>
        <v>Ativo</v>
      </c>
      <c r="E507" s="2" t="s">
        <v>1401</v>
      </c>
      <c r="F507" s="62">
        <f>SUMIFS('AVARIA ESTIMADA'!$H$18:$H$40,'AVARIA ESTIMADA'!$A$18:$A$40,A507)</f>
        <v>0</v>
      </c>
    </row>
    <row r="508" spans="1:6" x14ac:dyDescent="0.3">
      <c r="A508" s="2" t="s">
        <v>370</v>
      </c>
      <c r="B508" s="19" t="str">
        <f>_xlfn.XLOOKUP(A508,CATÁLOGO!$A$2:$A$846,CATÁLOGO!$B$2:$B$846,"FORA DO CATÁLOGO")</f>
        <v>CMS012VG</v>
      </c>
      <c r="C508" s="13">
        <v>2</v>
      </c>
      <c r="D508" s="13" t="str">
        <f>_xlfn.XLOOKUP(A508,CATÁLOGO!$A$2:$A$846,CATÁLOGO!$E$2:$E$846,"FORA DO CATÁLOGO")</f>
        <v>Ativo</v>
      </c>
      <c r="E508" s="2" t="s">
        <v>1401</v>
      </c>
      <c r="F508" s="62">
        <f>SUMIFS('AVARIA ESTIMADA'!$H$18:$H$40,'AVARIA ESTIMADA'!$A$18:$A$40,A508)</f>
        <v>0</v>
      </c>
    </row>
    <row r="509" spans="1:6" x14ac:dyDescent="0.3">
      <c r="A509" s="2" t="s">
        <v>371</v>
      </c>
      <c r="B509" s="19" t="str">
        <f>_xlfn.XLOOKUP(A509,CATÁLOGO!$A$2:$A$846,CATÁLOGO!$B$2:$B$846,"FORA DO CATÁLOGO")</f>
        <v>CMS012VGG</v>
      </c>
      <c r="C509" s="13">
        <v>2</v>
      </c>
      <c r="D509" s="13" t="str">
        <f>_xlfn.XLOOKUP(A509,CATÁLOGO!$A$2:$A$846,CATÁLOGO!$E$2:$E$846,"FORA DO CATÁLOGO")</f>
        <v>Ativo</v>
      </c>
      <c r="E509" s="2" t="s">
        <v>1401</v>
      </c>
      <c r="F509" s="62">
        <f>SUMIFS('AVARIA ESTIMADA'!$H$18:$H$40,'AVARIA ESTIMADA'!$A$18:$A$40,A509)</f>
        <v>0</v>
      </c>
    </row>
    <row r="510" spans="1:6" x14ac:dyDescent="0.3">
      <c r="A510" s="2" t="s">
        <v>1789</v>
      </c>
      <c r="B510" s="19" t="str">
        <f>_xlfn.XLOOKUP(A510,CATÁLOGO!$A$2:$A$846,CATÁLOGO!$B$2:$B$846,"FORA DO CATÁLOGO")</f>
        <v>CMS012YPP</v>
      </c>
      <c r="C510" s="13">
        <v>1</v>
      </c>
      <c r="D510" s="13" t="str">
        <f>_xlfn.XLOOKUP(A510,CATÁLOGO!$A$2:$A$846,CATÁLOGO!$E$2:$E$846,"FORA DO CATÁLOGO")</f>
        <v>Ativo</v>
      </c>
      <c r="E510" s="2" t="s">
        <v>1401</v>
      </c>
      <c r="F510" s="62">
        <f>SUMIFS('AVARIA ESTIMADA'!$H$18:$H$40,'AVARIA ESTIMADA'!$A$18:$A$40,A510)</f>
        <v>0</v>
      </c>
    </row>
    <row r="511" spans="1:6" x14ac:dyDescent="0.3">
      <c r="A511" s="2" t="s">
        <v>372</v>
      </c>
      <c r="B511" s="19" t="str">
        <f>_xlfn.XLOOKUP(A511,CATÁLOGO!$A$2:$A$846,CATÁLOGO!$B$2:$B$846,"FORA DO CATÁLOGO")</f>
        <v>CMS012YP</v>
      </c>
      <c r="C511" s="13">
        <v>2</v>
      </c>
      <c r="D511" s="13" t="str">
        <f>_xlfn.XLOOKUP(A511,CATÁLOGO!$A$2:$A$846,CATÁLOGO!$E$2:$E$846,"FORA DO CATÁLOGO")</f>
        <v>Ativo</v>
      </c>
      <c r="E511" s="2" t="s">
        <v>1401</v>
      </c>
      <c r="F511" s="62">
        <f>SUMIFS('AVARIA ESTIMADA'!$H$18:$H$40,'AVARIA ESTIMADA'!$A$18:$A$40,A511)</f>
        <v>0</v>
      </c>
    </row>
    <row r="512" spans="1:6" x14ac:dyDescent="0.3">
      <c r="A512" s="2" t="s">
        <v>373</v>
      </c>
      <c r="B512" s="19" t="str">
        <f>_xlfn.XLOOKUP(A512,CATÁLOGO!$A$2:$A$846,CATÁLOGO!$B$2:$B$846,"FORA DO CATÁLOGO")</f>
        <v>CMS012YM</v>
      </c>
      <c r="C512" s="13">
        <v>2</v>
      </c>
      <c r="D512" s="13" t="str">
        <f>_xlfn.XLOOKUP(A512,CATÁLOGO!$A$2:$A$846,CATÁLOGO!$E$2:$E$846,"FORA DO CATÁLOGO")</f>
        <v>Ativo</v>
      </c>
      <c r="E512" s="2" t="s">
        <v>1401</v>
      </c>
      <c r="F512" s="62">
        <f>SUMIFS('AVARIA ESTIMADA'!$H$18:$H$40,'AVARIA ESTIMADA'!$A$18:$A$40,A512)</f>
        <v>0</v>
      </c>
    </row>
    <row r="513" spans="1:6" x14ac:dyDescent="0.3">
      <c r="A513" s="2" t="s">
        <v>374</v>
      </c>
      <c r="B513" s="19" t="str">
        <f>_xlfn.XLOOKUP(A513,CATÁLOGO!$A$2:$A$846,CATÁLOGO!$B$2:$B$846,"FORA DO CATÁLOGO")</f>
        <v>CMS012YG</v>
      </c>
      <c r="C513" s="13">
        <v>2</v>
      </c>
      <c r="D513" s="13" t="str">
        <f>_xlfn.XLOOKUP(A513,CATÁLOGO!$A$2:$A$846,CATÁLOGO!$E$2:$E$846,"FORA DO CATÁLOGO")</f>
        <v>Ativo</v>
      </c>
      <c r="E513" s="2" t="s">
        <v>1401</v>
      </c>
      <c r="F513" s="62">
        <f>SUMIFS('AVARIA ESTIMADA'!$H$18:$H$40,'AVARIA ESTIMADA'!$A$18:$A$40,A513)</f>
        <v>0</v>
      </c>
    </row>
    <row r="514" spans="1:6" x14ac:dyDescent="0.3">
      <c r="A514" s="2" t="s">
        <v>375</v>
      </c>
      <c r="B514" s="19" t="str">
        <f>_xlfn.XLOOKUP(A514,CATÁLOGO!$A$2:$A$846,CATÁLOGO!$B$2:$B$846,"FORA DO CATÁLOGO")</f>
        <v>CMS012YGG</v>
      </c>
      <c r="C514" s="13">
        <v>1</v>
      </c>
      <c r="D514" s="13" t="str">
        <f>_xlfn.XLOOKUP(A514,CATÁLOGO!$A$2:$A$846,CATÁLOGO!$E$2:$E$846,"FORA DO CATÁLOGO")</f>
        <v>Ativo</v>
      </c>
      <c r="E514" s="2" t="s">
        <v>1401</v>
      </c>
      <c r="F514" s="62">
        <f>SUMIFS('AVARIA ESTIMADA'!$H$18:$H$40,'AVARIA ESTIMADA'!$A$18:$A$40,A514)</f>
        <v>0</v>
      </c>
    </row>
    <row r="515" spans="1:6" x14ac:dyDescent="0.3">
      <c r="A515" s="2" t="s">
        <v>1685</v>
      </c>
      <c r="B515" s="19" t="str">
        <f>_xlfn.XLOOKUP(A515,CATÁLOGO!$A$2:$A$846,CATÁLOGO!$B$2:$B$846,"FORA DO CATÁLOGO")</f>
        <v>CAL024A38</v>
      </c>
      <c r="C515" s="13">
        <v>6</v>
      </c>
      <c r="D515" s="13" t="str">
        <f>_xlfn.XLOOKUP(A515,CATÁLOGO!$A$2:$A$846,CATÁLOGO!$E$2:$E$846,"FORA DO CATÁLOGO")</f>
        <v>Ativo</v>
      </c>
      <c r="E515" s="2" t="s">
        <v>1401</v>
      </c>
      <c r="F515" s="62">
        <f>SUMIFS('AVARIA ESTIMADA'!$H$18:$H$40,'AVARIA ESTIMADA'!$A$18:$A$40,A515)</f>
        <v>4</v>
      </c>
    </row>
    <row r="516" spans="1:6" x14ac:dyDescent="0.3">
      <c r="A516" s="2" t="s">
        <v>1684</v>
      </c>
      <c r="B516" s="19" t="str">
        <f>_xlfn.XLOOKUP(A516,CATÁLOGO!$A$2:$A$846,CATÁLOGO!$B$2:$B$846,"FORA DO CATÁLOGO")</f>
        <v>CAL024A40</v>
      </c>
      <c r="C516" s="13">
        <v>7</v>
      </c>
      <c r="D516" s="13" t="str">
        <f>_xlfn.XLOOKUP(A516,CATÁLOGO!$A$2:$A$846,CATÁLOGO!$E$2:$E$846,"FORA DO CATÁLOGO")</f>
        <v>Ativo</v>
      </c>
      <c r="E516" s="2" t="s">
        <v>1401</v>
      </c>
      <c r="F516" s="62">
        <f>SUMIFS('AVARIA ESTIMADA'!$H$18:$H$40,'AVARIA ESTIMADA'!$A$18:$A$40,A516)</f>
        <v>0</v>
      </c>
    </row>
    <row r="517" spans="1:6" x14ac:dyDescent="0.3">
      <c r="A517" s="2" t="s">
        <v>1681</v>
      </c>
      <c r="B517" s="19" t="str">
        <f>_xlfn.XLOOKUP(A517,CATÁLOGO!$A$2:$A$846,CATÁLOGO!$B$2:$B$846,"FORA DO CATÁLOGO")</f>
        <v>CAL024A42</v>
      </c>
      <c r="C517" s="13">
        <v>3</v>
      </c>
      <c r="D517" s="13" t="str">
        <f>_xlfn.XLOOKUP(A517,CATÁLOGO!$A$2:$A$846,CATÁLOGO!$E$2:$E$846,"FORA DO CATÁLOGO")</f>
        <v>Ativo</v>
      </c>
      <c r="E517" s="2" t="s">
        <v>1401</v>
      </c>
      <c r="F517" s="62">
        <f>SUMIFS('AVARIA ESTIMADA'!$H$18:$H$40,'AVARIA ESTIMADA'!$A$18:$A$40,A517)</f>
        <v>0</v>
      </c>
    </row>
    <row r="518" spans="1:6" x14ac:dyDescent="0.3">
      <c r="A518" s="2" t="s">
        <v>1683</v>
      </c>
      <c r="B518" s="19" t="str">
        <f>_xlfn.XLOOKUP(A518,CATÁLOGO!$A$2:$A$846,CATÁLOGO!$B$2:$B$846,"FORA DO CATÁLOGO")</f>
        <v>CAL024A44</v>
      </c>
      <c r="C518" s="13">
        <v>1</v>
      </c>
      <c r="D518" s="13" t="str">
        <f>_xlfn.XLOOKUP(A518,CATÁLOGO!$A$2:$A$846,CATÁLOGO!$E$2:$E$846,"FORA DO CATÁLOGO")</f>
        <v>Ativo</v>
      </c>
      <c r="E518" s="2" t="s">
        <v>1401</v>
      </c>
      <c r="F518" s="62">
        <f>SUMIFS('AVARIA ESTIMADA'!$H$18:$H$40,'AVARIA ESTIMADA'!$A$18:$A$40,A518)</f>
        <v>0</v>
      </c>
    </row>
    <row r="519" spans="1:6" x14ac:dyDescent="0.3">
      <c r="A519" s="2" t="s">
        <v>376</v>
      </c>
      <c r="B519" s="19" t="str">
        <f>_xlfn.XLOOKUP(A519,CATÁLOGO!$A$2:$A$846,CATÁLOGO!$B$2:$B$846,"FORA DO CATÁLOGO")</f>
        <v>TRI012CP</v>
      </c>
      <c r="C519" s="13">
        <v>2</v>
      </c>
      <c r="D519" s="13" t="str">
        <f>_xlfn.XLOOKUP(A519,CATÁLOGO!$A$2:$A$846,CATÁLOGO!$E$2:$E$846,"FORA DO CATÁLOGO")</f>
        <v>Ativo</v>
      </c>
      <c r="E519" s="2" t="s">
        <v>1401</v>
      </c>
      <c r="F519" s="62">
        <f>SUMIFS('AVARIA ESTIMADA'!$H$18:$H$40,'AVARIA ESTIMADA'!$A$18:$A$40,A519)</f>
        <v>0</v>
      </c>
    </row>
    <row r="520" spans="1:6" x14ac:dyDescent="0.3">
      <c r="A520" s="2" t="s">
        <v>377</v>
      </c>
      <c r="B520" s="19" t="str">
        <f>_xlfn.XLOOKUP(A520,CATÁLOGO!$A$2:$A$846,CATÁLOGO!$B$2:$B$846,"FORA DO CATÁLOGO")</f>
        <v>TRI012CM</v>
      </c>
      <c r="C520" s="13">
        <v>3</v>
      </c>
      <c r="D520" s="13" t="str">
        <f>_xlfn.XLOOKUP(A520,CATÁLOGO!$A$2:$A$846,CATÁLOGO!$E$2:$E$846,"FORA DO CATÁLOGO")</f>
        <v>Ativo</v>
      </c>
      <c r="E520" s="2" t="s">
        <v>1401</v>
      </c>
      <c r="F520" s="62">
        <f>SUMIFS('AVARIA ESTIMADA'!$H$18:$H$40,'AVARIA ESTIMADA'!$A$18:$A$40,A520)</f>
        <v>0</v>
      </c>
    </row>
    <row r="521" spans="1:6" x14ac:dyDescent="0.3">
      <c r="A521" s="2" t="s">
        <v>378</v>
      </c>
      <c r="B521" s="19" t="str">
        <f>_xlfn.XLOOKUP(A521,CATÁLOGO!$A$2:$A$846,CATÁLOGO!$B$2:$B$846,"FORA DO CATÁLOGO")</f>
        <v>TRI012CG</v>
      </c>
      <c r="C521" s="13">
        <v>1</v>
      </c>
      <c r="D521" s="13" t="str">
        <f>_xlfn.XLOOKUP(A521,CATÁLOGO!$A$2:$A$846,CATÁLOGO!$E$2:$E$846,"FORA DO CATÁLOGO")</f>
        <v>Ativo</v>
      </c>
      <c r="E521" s="2" t="s">
        <v>1401</v>
      </c>
      <c r="F521" s="62">
        <f>SUMIFS('AVARIA ESTIMADA'!$H$18:$H$40,'AVARIA ESTIMADA'!$A$18:$A$40,A521)</f>
        <v>0</v>
      </c>
    </row>
    <row r="522" spans="1:6" x14ac:dyDescent="0.3">
      <c r="A522" s="2" t="s">
        <v>379</v>
      </c>
      <c r="B522" s="19" t="str">
        <f>_xlfn.XLOOKUP(A522,CATÁLOGO!$A$2:$A$846,CATÁLOGO!$B$2:$B$846,"FORA DO CATÁLOGO")</f>
        <v>TRI012CGG</v>
      </c>
      <c r="C522" s="13">
        <v>1</v>
      </c>
      <c r="D522" s="13" t="str">
        <f>_xlfn.XLOOKUP(A522,CATÁLOGO!$A$2:$A$846,CATÁLOGO!$E$2:$E$846,"FORA DO CATÁLOGO")</f>
        <v>Ativo</v>
      </c>
      <c r="E522" s="2" t="s">
        <v>1401</v>
      </c>
      <c r="F522" s="62">
        <f>SUMIFS('AVARIA ESTIMADA'!$H$18:$H$40,'AVARIA ESTIMADA'!$A$18:$A$40,A522)</f>
        <v>0</v>
      </c>
    </row>
    <row r="523" spans="1:6" x14ac:dyDescent="0.3">
      <c r="A523" s="2" t="s">
        <v>380</v>
      </c>
      <c r="B523" s="19" t="str">
        <f>_xlfn.XLOOKUP(A523,CATÁLOGO!$A$2:$A$846,CATÁLOGO!$B$2:$B$846,"FORA DO CATÁLOGO")</f>
        <v>CMS013BP</v>
      </c>
      <c r="C523" s="13">
        <v>2</v>
      </c>
      <c r="D523" s="13" t="str">
        <f>_xlfn.XLOOKUP(A523,CATÁLOGO!$A$2:$A$846,CATÁLOGO!$E$2:$E$846,"FORA DO CATÁLOGO")</f>
        <v>Ativo</v>
      </c>
      <c r="E523" s="2" t="s">
        <v>1401</v>
      </c>
      <c r="F523" s="62">
        <f>SUMIFS('AVARIA ESTIMADA'!$H$18:$H$40,'AVARIA ESTIMADA'!$A$18:$A$40,A523)</f>
        <v>0</v>
      </c>
    </row>
    <row r="524" spans="1:6" x14ac:dyDescent="0.3">
      <c r="A524" s="2" t="s">
        <v>381</v>
      </c>
      <c r="B524" s="19" t="str">
        <f>_xlfn.XLOOKUP(A524,CATÁLOGO!$A$2:$A$846,CATÁLOGO!$B$2:$B$846,"FORA DO CATÁLOGO")</f>
        <v>CMS013BM</v>
      </c>
      <c r="C524" s="13">
        <v>3</v>
      </c>
      <c r="D524" s="13" t="str">
        <f>_xlfn.XLOOKUP(A524,CATÁLOGO!$A$2:$A$846,CATÁLOGO!$E$2:$E$846,"FORA DO CATÁLOGO")</f>
        <v>Ativo</v>
      </c>
      <c r="E524" s="2" t="s">
        <v>1401</v>
      </c>
      <c r="F524" s="62">
        <f>SUMIFS('AVARIA ESTIMADA'!$H$18:$H$40,'AVARIA ESTIMADA'!$A$18:$A$40,A524)</f>
        <v>0</v>
      </c>
    </row>
    <row r="525" spans="1:6" x14ac:dyDescent="0.3">
      <c r="A525" s="2" t="s">
        <v>382</v>
      </c>
      <c r="B525" s="19" t="str">
        <f>_xlfn.XLOOKUP(A525,CATÁLOGO!$A$2:$A$846,CATÁLOGO!$B$2:$B$846,"FORA DO CATÁLOGO")</f>
        <v>CMS013BG</v>
      </c>
      <c r="C525" s="13">
        <v>2</v>
      </c>
      <c r="D525" s="13" t="str">
        <f>_xlfn.XLOOKUP(A525,CATÁLOGO!$A$2:$A$846,CATÁLOGO!$E$2:$E$846,"FORA DO CATÁLOGO")</f>
        <v>Ativo</v>
      </c>
      <c r="E525" s="2" t="s">
        <v>1401</v>
      </c>
      <c r="F525" s="62">
        <f>SUMIFS('AVARIA ESTIMADA'!$H$18:$H$40,'AVARIA ESTIMADA'!$A$18:$A$40,A525)</f>
        <v>0</v>
      </c>
    </row>
    <row r="526" spans="1:6" x14ac:dyDescent="0.3">
      <c r="A526" s="2" t="s">
        <v>1874</v>
      </c>
      <c r="B526" s="19" t="str">
        <f>_xlfn.XLOOKUP(A526,CATÁLOGO!$A$2:$A$846,CATÁLOGO!$B$2:$B$846,"FORA DO CATÁLOGO")</f>
        <v>TOP001YPP</v>
      </c>
      <c r="C526" s="13">
        <v>2</v>
      </c>
      <c r="D526" s="13" t="str">
        <f>_xlfn.XLOOKUP(A526,CATÁLOGO!$A$2:$A$846,CATÁLOGO!$E$2:$E$846,"FORA DO CATÁLOGO")</f>
        <v>Ativo</v>
      </c>
      <c r="E526" s="2" t="s">
        <v>1401</v>
      </c>
      <c r="F526" s="62">
        <f>SUMIFS('AVARIA ESTIMADA'!$H$18:$H$40,'AVARIA ESTIMADA'!$A$18:$A$40,A526)</f>
        <v>0</v>
      </c>
    </row>
    <row r="527" spans="1:6" x14ac:dyDescent="0.3">
      <c r="A527" s="2" t="s">
        <v>383</v>
      </c>
      <c r="B527" s="19" t="str">
        <f>_xlfn.XLOOKUP(A527,CATÁLOGO!$A$2:$A$846,CATÁLOGO!$B$2:$B$846,"FORA DO CATÁLOGO")</f>
        <v>TOP001YP</v>
      </c>
      <c r="C527" s="13">
        <v>6</v>
      </c>
      <c r="D527" s="13" t="str">
        <f>_xlfn.XLOOKUP(A527,CATÁLOGO!$A$2:$A$846,CATÁLOGO!$E$2:$E$846,"FORA DO CATÁLOGO")</f>
        <v>Ativo</v>
      </c>
      <c r="E527" s="2" t="s">
        <v>1401</v>
      </c>
      <c r="F527" s="62">
        <f>SUMIFS('AVARIA ESTIMADA'!$H$18:$H$40,'AVARIA ESTIMADA'!$A$18:$A$40,A527)</f>
        <v>0</v>
      </c>
    </row>
    <row r="528" spans="1:6" x14ac:dyDescent="0.3">
      <c r="A528" s="2" t="s">
        <v>384</v>
      </c>
      <c r="B528" s="19" t="str">
        <f>_xlfn.XLOOKUP(A528,CATÁLOGO!$A$2:$A$846,CATÁLOGO!$B$2:$B$846,"FORA DO CATÁLOGO")</f>
        <v>TOP001YM</v>
      </c>
      <c r="C528" s="13">
        <v>5</v>
      </c>
      <c r="D528" s="13" t="str">
        <f>_xlfn.XLOOKUP(A528,CATÁLOGO!$A$2:$A$846,CATÁLOGO!$E$2:$E$846,"FORA DO CATÁLOGO")</f>
        <v>Ativo</v>
      </c>
      <c r="E528" s="2" t="s">
        <v>1401</v>
      </c>
      <c r="F528" s="62">
        <f>SUMIFS('AVARIA ESTIMADA'!$H$18:$H$40,'AVARIA ESTIMADA'!$A$18:$A$40,A528)</f>
        <v>0</v>
      </c>
    </row>
    <row r="529" spans="1:6" x14ac:dyDescent="0.3">
      <c r="A529" s="2" t="s">
        <v>385</v>
      </c>
      <c r="B529" s="19" t="str">
        <f>_xlfn.XLOOKUP(A529,CATÁLOGO!$A$2:$A$846,CATÁLOGO!$B$2:$B$846,"FORA DO CATÁLOGO")</f>
        <v>TOP001YG</v>
      </c>
      <c r="C529" s="13">
        <v>5</v>
      </c>
      <c r="D529" s="13" t="str">
        <f>_xlfn.XLOOKUP(A529,CATÁLOGO!$A$2:$A$846,CATÁLOGO!$E$2:$E$846,"FORA DO CATÁLOGO")</f>
        <v>Ativo</v>
      </c>
      <c r="E529" s="2" t="s">
        <v>1401</v>
      </c>
      <c r="F529" s="62">
        <f>SUMIFS('AVARIA ESTIMADA'!$H$18:$H$40,'AVARIA ESTIMADA'!$A$18:$A$40,A529)</f>
        <v>4</v>
      </c>
    </row>
    <row r="530" spans="1:6" x14ac:dyDescent="0.3">
      <c r="A530" s="2" t="s">
        <v>386</v>
      </c>
      <c r="B530" s="19" t="str">
        <f>_xlfn.XLOOKUP(A530,CATÁLOGO!$A$2:$A$846,CATÁLOGO!$B$2:$B$846,"FORA DO CATÁLOGO")</f>
        <v>TOP001YGG</v>
      </c>
      <c r="C530" s="13">
        <v>4</v>
      </c>
      <c r="D530" s="13" t="str">
        <f>_xlfn.XLOOKUP(A530,CATÁLOGO!$A$2:$A$846,CATÁLOGO!$E$2:$E$846,"FORA DO CATÁLOGO")</f>
        <v>Ativo</v>
      </c>
      <c r="E530" s="2" t="s">
        <v>1401</v>
      </c>
      <c r="F530" s="62">
        <f>SUMIFS('AVARIA ESTIMADA'!$H$18:$H$40,'AVARIA ESTIMADA'!$A$18:$A$40,A530)</f>
        <v>0</v>
      </c>
    </row>
    <row r="531" spans="1:6" x14ac:dyDescent="0.3">
      <c r="A531" s="2" t="s">
        <v>9</v>
      </c>
      <c r="B531" s="19" t="str">
        <f>_xlfn.XLOOKUP(A531,CATÁLOGO!$A$2:$A$846,CATÁLOGO!$B$2:$B$846,"FORA DO CATÁLOGO")</f>
        <v>JAQ002MP</v>
      </c>
      <c r="C531" s="13">
        <v>4</v>
      </c>
      <c r="D531" s="13" t="str">
        <f>_xlfn.XLOOKUP(A531,CATÁLOGO!$A$2:$A$846,CATÁLOGO!$E$2:$E$846,"FORA DO CATÁLOGO")</f>
        <v>Descontinuado</v>
      </c>
      <c r="E531" s="2" t="s">
        <v>1401</v>
      </c>
      <c r="F531" s="62">
        <f>SUMIFS('AVARIA ESTIMADA'!$H$18:$H$40,'AVARIA ESTIMADA'!$A$18:$A$40,A531)</f>
        <v>0</v>
      </c>
    </row>
    <row r="532" spans="1:6" x14ac:dyDescent="0.3">
      <c r="A532" s="2" t="s">
        <v>387</v>
      </c>
      <c r="B532" s="19" t="str">
        <f>_xlfn.XLOOKUP(A532,CATÁLOGO!$A$2:$A$846,CATÁLOGO!$B$2:$B$846,"FORA DO CATÁLOGO")</f>
        <v>JAQ002MM</v>
      </c>
      <c r="C532" s="13">
        <v>3</v>
      </c>
      <c r="D532" s="13" t="str">
        <f>_xlfn.XLOOKUP(A532,CATÁLOGO!$A$2:$A$846,CATÁLOGO!$E$2:$E$846,"FORA DO CATÁLOGO")</f>
        <v>Descontinuado</v>
      </c>
      <c r="E532" s="2" t="s">
        <v>1401</v>
      </c>
      <c r="F532" s="62">
        <f>SUMIFS('AVARIA ESTIMADA'!$H$18:$H$40,'AVARIA ESTIMADA'!$A$18:$A$40,A532)</f>
        <v>0</v>
      </c>
    </row>
    <row r="533" spans="1:6" x14ac:dyDescent="0.3">
      <c r="A533" s="2" t="s">
        <v>388</v>
      </c>
      <c r="B533" s="19" t="str">
        <f>_xlfn.XLOOKUP(A533,CATÁLOGO!$A$2:$A$846,CATÁLOGO!$B$2:$B$846,"FORA DO CATÁLOGO")</f>
        <v>JAQ002MG</v>
      </c>
      <c r="C533" s="13">
        <v>4</v>
      </c>
      <c r="D533" s="13" t="str">
        <f>_xlfn.XLOOKUP(A533,CATÁLOGO!$A$2:$A$846,CATÁLOGO!$E$2:$E$846,"FORA DO CATÁLOGO")</f>
        <v>Descontinuado</v>
      </c>
      <c r="E533" s="2" t="s">
        <v>1401</v>
      </c>
      <c r="F533" s="62">
        <f>SUMIFS('AVARIA ESTIMADA'!$H$18:$H$40,'AVARIA ESTIMADA'!$A$18:$A$40,A533)</f>
        <v>0</v>
      </c>
    </row>
    <row r="534" spans="1:6" x14ac:dyDescent="0.3">
      <c r="A534" s="2" t="s">
        <v>10</v>
      </c>
      <c r="B534" s="19" t="str">
        <f>_xlfn.XLOOKUP(A534,CATÁLOGO!$A$2:$A$846,CATÁLOGO!$B$2:$B$846,"FORA DO CATÁLOGO")</f>
        <v>JAQ002MGG</v>
      </c>
      <c r="C534" s="13">
        <v>2</v>
      </c>
      <c r="D534" s="13" t="str">
        <f>_xlfn.XLOOKUP(A534,CATÁLOGO!$A$2:$A$846,CATÁLOGO!$E$2:$E$846,"FORA DO CATÁLOGO")</f>
        <v>Descontinuado</v>
      </c>
      <c r="E534" s="2" t="s">
        <v>1401</v>
      </c>
      <c r="F534" s="62">
        <f>SUMIFS('AVARIA ESTIMADA'!$H$18:$H$40,'AVARIA ESTIMADA'!$A$18:$A$40,A534)</f>
        <v>0</v>
      </c>
    </row>
    <row r="535" spans="1:6" x14ac:dyDescent="0.3">
      <c r="A535" s="2" t="s">
        <v>389</v>
      </c>
      <c r="B535" s="19" t="str">
        <f>_xlfn.XLOOKUP(A535,CATÁLOGO!$A$2:$A$846,CATÁLOGO!$B$2:$B$846,"FORA DO CATÁLOGO")</f>
        <v>CAM019VP</v>
      </c>
      <c r="C535" s="13">
        <v>3</v>
      </c>
      <c r="D535" s="13" t="str">
        <f>_xlfn.XLOOKUP(A535,CATÁLOGO!$A$2:$A$846,CATÁLOGO!$E$2:$E$846,"FORA DO CATÁLOGO")</f>
        <v>Ativo</v>
      </c>
      <c r="E535" s="2" t="s">
        <v>1401</v>
      </c>
      <c r="F535" s="62">
        <f>SUMIFS('AVARIA ESTIMADA'!$H$18:$H$40,'AVARIA ESTIMADA'!$A$18:$A$40,A535)</f>
        <v>0</v>
      </c>
    </row>
    <row r="536" spans="1:6" x14ac:dyDescent="0.3">
      <c r="A536" s="2" t="s">
        <v>390</v>
      </c>
      <c r="B536" s="19" t="str">
        <f>_xlfn.XLOOKUP(A536,CATÁLOGO!$A$2:$A$846,CATÁLOGO!$B$2:$B$846,"FORA DO CATÁLOGO")</f>
        <v>CAM019VM</v>
      </c>
      <c r="C536" s="13">
        <v>4</v>
      </c>
      <c r="D536" s="13" t="str">
        <f>_xlfn.XLOOKUP(A536,CATÁLOGO!$A$2:$A$846,CATÁLOGO!$E$2:$E$846,"FORA DO CATÁLOGO")</f>
        <v>Ativo</v>
      </c>
      <c r="E536" s="2" t="s">
        <v>1401</v>
      </c>
      <c r="F536" s="62">
        <f>SUMIFS('AVARIA ESTIMADA'!$H$18:$H$40,'AVARIA ESTIMADA'!$A$18:$A$40,A536)</f>
        <v>0</v>
      </c>
    </row>
    <row r="537" spans="1:6" x14ac:dyDescent="0.3">
      <c r="A537" s="2" t="s">
        <v>391</v>
      </c>
      <c r="B537" s="19" t="str">
        <f>_xlfn.XLOOKUP(A537,CATÁLOGO!$A$2:$A$846,CATÁLOGO!$B$2:$B$846,"FORA DO CATÁLOGO")</f>
        <v>CAM019VG</v>
      </c>
      <c r="C537" s="13">
        <v>3</v>
      </c>
      <c r="D537" s="13" t="str">
        <f>_xlfn.XLOOKUP(A537,CATÁLOGO!$A$2:$A$846,CATÁLOGO!$E$2:$E$846,"FORA DO CATÁLOGO")</f>
        <v>Ativo</v>
      </c>
      <c r="E537" s="2" t="s">
        <v>1401</v>
      </c>
      <c r="F537" s="62">
        <f>SUMIFS('AVARIA ESTIMADA'!$H$18:$H$40,'AVARIA ESTIMADA'!$A$18:$A$40,A537)</f>
        <v>0</v>
      </c>
    </row>
    <row r="538" spans="1:6" x14ac:dyDescent="0.3">
      <c r="A538" s="2" t="s">
        <v>392</v>
      </c>
      <c r="B538" s="19" t="str">
        <f>_xlfn.XLOOKUP(A538,CATÁLOGO!$A$2:$A$846,CATÁLOGO!$B$2:$B$846,"FORA DO CATÁLOGO")</f>
        <v>CAM019VGG</v>
      </c>
      <c r="C538" s="13">
        <v>1</v>
      </c>
      <c r="D538" s="13" t="str">
        <f>_xlfn.XLOOKUP(A538,CATÁLOGO!$A$2:$A$846,CATÁLOGO!$E$2:$E$846,"FORA DO CATÁLOGO")</f>
        <v>Ativo</v>
      </c>
      <c r="E538" s="2" t="s">
        <v>1401</v>
      </c>
      <c r="F538" s="62">
        <f>SUMIFS('AVARIA ESTIMADA'!$H$18:$H$40,'AVARIA ESTIMADA'!$A$18:$A$40,A538)</f>
        <v>0</v>
      </c>
    </row>
    <row r="539" spans="1:6" x14ac:dyDescent="0.3">
      <c r="A539" s="2" t="s">
        <v>1804</v>
      </c>
      <c r="B539" s="19" t="str">
        <f>_xlfn.XLOOKUP(A539,CATÁLOGO!$A$2:$A$846,CATÁLOGO!$B$2:$B$846,"FORA DO CATÁLOGO")</f>
        <v>JAQ007OPP</v>
      </c>
      <c r="C539" s="13">
        <v>1</v>
      </c>
      <c r="D539" s="13" t="str">
        <f>_xlfn.XLOOKUP(A539,CATÁLOGO!$A$2:$A$846,CATÁLOGO!$E$2:$E$846,"FORA DO CATÁLOGO")</f>
        <v>Ativo</v>
      </c>
      <c r="E539" s="2" t="s">
        <v>1401</v>
      </c>
      <c r="F539" s="62">
        <f>SUMIFS('AVARIA ESTIMADA'!$H$18:$H$40,'AVARIA ESTIMADA'!$A$18:$A$40,A539)</f>
        <v>0</v>
      </c>
    </row>
    <row r="540" spans="1:6" x14ac:dyDescent="0.3">
      <c r="A540" s="2" t="s">
        <v>393</v>
      </c>
      <c r="B540" s="19" t="str">
        <f>_xlfn.XLOOKUP(A540,CATÁLOGO!$A$2:$A$846,CATÁLOGO!$B$2:$B$846,"FORA DO CATÁLOGO")</f>
        <v>JAQ007OP</v>
      </c>
      <c r="C540" s="13">
        <v>2</v>
      </c>
      <c r="D540" s="13" t="str">
        <f>_xlfn.XLOOKUP(A540,CATÁLOGO!$A$2:$A$846,CATÁLOGO!$E$2:$E$846,"FORA DO CATÁLOGO")</f>
        <v>Ativo</v>
      </c>
      <c r="E540" s="2" t="s">
        <v>1401</v>
      </c>
      <c r="F540" s="62">
        <f>SUMIFS('AVARIA ESTIMADA'!$H$18:$H$40,'AVARIA ESTIMADA'!$A$18:$A$40,A540)</f>
        <v>0</v>
      </c>
    </row>
    <row r="541" spans="1:6" x14ac:dyDescent="0.3">
      <c r="A541" s="2" t="s">
        <v>394</v>
      </c>
      <c r="B541" s="19" t="str">
        <f>_xlfn.XLOOKUP(A541,CATÁLOGO!$A$2:$A$846,CATÁLOGO!$B$2:$B$846,"FORA DO CATÁLOGO")</f>
        <v>JAQ007OM</v>
      </c>
      <c r="C541" s="13">
        <v>3</v>
      </c>
      <c r="D541" s="13" t="str">
        <f>_xlfn.XLOOKUP(A541,CATÁLOGO!$A$2:$A$846,CATÁLOGO!$E$2:$E$846,"FORA DO CATÁLOGO")</f>
        <v>Ativo</v>
      </c>
      <c r="E541" s="2" t="s">
        <v>1401</v>
      </c>
      <c r="F541" s="62">
        <f>SUMIFS('AVARIA ESTIMADA'!$H$18:$H$40,'AVARIA ESTIMADA'!$A$18:$A$40,A541)</f>
        <v>0</v>
      </c>
    </row>
    <row r="542" spans="1:6" x14ac:dyDescent="0.3">
      <c r="A542" s="2" t="s">
        <v>395</v>
      </c>
      <c r="B542" s="19" t="str">
        <f>_xlfn.XLOOKUP(A542,CATÁLOGO!$A$2:$A$846,CATÁLOGO!$B$2:$B$846,"FORA DO CATÁLOGO")</f>
        <v>JAQ007OG</v>
      </c>
      <c r="C542" s="13">
        <v>3</v>
      </c>
      <c r="D542" s="13" t="str">
        <f>_xlfn.XLOOKUP(A542,CATÁLOGO!$A$2:$A$846,CATÁLOGO!$E$2:$E$846,"FORA DO CATÁLOGO")</f>
        <v>Ativo</v>
      </c>
      <c r="E542" s="2" t="s">
        <v>1401</v>
      </c>
      <c r="F542" s="62">
        <f>SUMIFS('AVARIA ESTIMADA'!$H$18:$H$40,'AVARIA ESTIMADA'!$A$18:$A$40,A542)</f>
        <v>0</v>
      </c>
    </row>
    <row r="543" spans="1:6" x14ac:dyDescent="0.3">
      <c r="A543" s="2" t="s">
        <v>396</v>
      </c>
      <c r="B543" s="19" t="str">
        <f>_xlfn.XLOOKUP(A543,CATÁLOGO!$A$2:$A$846,CATÁLOGO!$B$2:$B$846,"FORA DO CATÁLOGO")</f>
        <v>JAQ007OGG</v>
      </c>
      <c r="C543" s="13">
        <v>1</v>
      </c>
      <c r="D543" s="13" t="str">
        <f>_xlfn.XLOOKUP(A543,CATÁLOGO!$A$2:$A$846,CATÁLOGO!$E$2:$E$846,"FORA DO CATÁLOGO")</f>
        <v>Ativo</v>
      </c>
      <c r="E543" s="2" t="s">
        <v>1401</v>
      </c>
      <c r="F543" s="62">
        <f>SUMIFS('AVARIA ESTIMADA'!$H$18:$H$40,'AVARIA ESTIMADA'!$A$18:$A$40,A543)</f>
        <v>0</v>
      </c>
    </row>
    <row r="544" spans="1:6" x14ac:dyDescent="0.3">
      <c r="A544" s="2" t="s">
        <v>397</v>
      </c>
      <c r="B544" s="19" t="str">
        <f>_xlfn.XLOOKUP(A544,CATÁLOGO!$A$2:$A$846,CATÁLOGO!$B$2:$B$846,"FORA DO CATÁLOGO")</f>
        <v>MOL013MP</v>
      </c>
      <c r="C544" s="13">
        <v>1</v>
      </c>
      <c r="D544" s="13" t="str">
        <f>_xlfn.XLOOKUP(A544,CATÁLOGO!$A$2:$A$846,CATÁLOGO!$E$2:$E$846,"FORA DO CATÁLOGO")</f>
        <v>Ativo</v>
      </c>
      <c r="E544" s="2" t="s">
        <v>1401</v>
      </c>
      <c r="F544" s="62">
        <f>SUMIFS('AVARIA ESTIMADA'!$H$18:$H$40,'AVARIA ESTIMADA'!$A$18:$A$40,A544)</f>
        <v>0</v>
      </c>
    </row>
    <row r="545" spans="1:6" x14ac:dyDescent="0.3">
      <c r="A545" s="2" t="s">
        <v>398</v>
      </c>
      <c r="B545" s="19" t="str">
        <f>_xlfn.XLOOKUP(A545,CATÁLOGO!$A$2:$A$846,CATÁLOGO!$B$2:$B$846,"FORA DO CATÁLOGO")</f>
        <v>MOL013MM</v>
      </c>
      <c r="C545" s="13">
        <v>8</v>
      </c>
      <c r="D545" s="13" t="str">
        <f>_xlfn.XLOOKUP(A545,CATÁLOGO!$A$2:$A$846,CATÁLOGO!$E$2:$E$846,"FORA DO CATÁLOGO")</f>
        <v>Ativo</v>
      </c>
      <c r="E545" s="2" t="s">
        <v>1401</v>
      </c>
      <c r="F545" s="62">
        <f>SUMIFS('AVARIA ESTIMADA'!$H$18:$H$40,'AVARIA ESTIMADA'!$A$18:$A$40,A545)</f>
        <v>0</v>
      </c>
    </row>
    <row r="546" spans="1:6" x14ac:dyDescent="0.3">
      <c r="A546" s="2" t="s">
        <v>399</v>
      </c>
      <c r="B546" s="19" t="str">
        <f>_xlfn.XLOOKUP(A546,CATÁLOGO!$A$2:$A$846,CATÁLOGO!$B$2:$B$846,"FORA DO CATÁLOGO")</f>
        <v>MOL013MG</v>
      </c>
      <c r="C546" s="13">
        <v>5</v>
      </c>
      <c r="D546" s="13" t="str">
        <f>_xlfn.XLOOKUP(A546,CATÁLOGO!$A$2:$A$846,CATÁLOGO!$E$2:$E$846,"FORA DO CATÁLOGO")</f>
        <v>Ativo</v>
      </c>
      <c r="E546" s="2" t="s">
        <v>1401</v>
      </c>
      <c r="F546" s="62">
        <f>SUMIFS('AVARIA ESTIMADA'!$H$18:$H$40,'AVARIA ESTIMADA'!$A$18:$A$40,A546)</f>
        <v>0</v>
      </c>
    </row>
    <row r="547" spans="1:6" x14ac:dyDescent="0.3">
      <c r="A547" s="2" t="s">
        <v>1794</v>
      </c>
      <c r="B547" s="19" t="str">
        <f>_xlfn.XLOOKUP(A547,CATÁLOGO!$A$2:$A$846,CATÁLOGO!$B$2:$B$846,"FORA DO CATÁLOGO")</f>
        <v>CMS014YPP</v>
      </c>
      <c r="C547" s="13">
        <v>1</v>
      </c>
      <c r="D547" s="13" t="str">
        <f>_xlfn.XLOOKUP(A547,CATÁLOGO!$A$2:$A$846,CATÁLOGO!$E$2:$E$846,"FORA DO CATÁLOGO")</f>
        <v>Ativo</v>
      </c>
      <c r="E547" s="2" t="s">
        <v>1401</v>
      </c>
      <c r="F547" s="62">
        <f>SUMIFS('AVARIA ESTIMADA'!$H$18:$H$40,'AVARIA ESTIMADA'!$A$18:$A$40,A547)</f>
        <v>0</v>
      </c>
    </row>
    <row r="548" spans="1:6" x14ac:dyDescent="0.3">
      <c r="A548" s="2" t="s">
        <v>400</v>
      </c>
      <c r="B548" s="19" t="str">
        <f>_xlfn.XLOOKUP(A548,CATÁLOGO!$A$2:$A$846,CATÁLOGO!$B$2:$B$846,"FORA DO CATÁLOGO")</f>
        <v>CMS014YP</v>
      </c>
      <c r="C548" s="13">
        <v>4</v>
      </c>
      <c r="D548" s="13" t="str">
        <f>_xlfn.XLOOKUP(A548,CATÁLOGO!$A$2:$A$846,CATÁLOGO!$E$2:$E$846,"FORA DO CATÁLOGO")</f>
        <v>Ativo</v>
      </c>
      <c r="E548" s="2" t="s">
        <v>1401</v>
      </c>
      <c r="F548" s="62">
        <f>SUMIFS('AVARIA ESTIMADA'!$H$18:$H$40,'AVARIA ESTIMADA'!$A$18:$A$40,A548)</f>
        <v>0</v>
      </c>
    </row>
    <row r="549" spans="1:6" x14ac:dyDescent="0.3">
      <c r="A549" s="2" t="s">
        <v>401</v>
      </c>
      <c r="B549" s="19" t="str">
        <f>_xlfn.XLOOKUP(A549,CATÁLOGO!$A$2:$A$846,CATÁLOGO!$B$2:$B$846,"FORA DO CATÁLOGO")</f>
        <v>CMS014YM</v>
      </c>
      <c r="C549" s="13">
        <v>3</v>
      </c>
      <c r="D549" s="13" t="str">
        <f>_xlfn.XLOOKUP(A549,CATÁLOGO!$A$2:$A$846,CATÁLOGO!$E$2:$E$846,"FORA DO CATÁLOGO")</f>
        <v>Ativo</v>
      </c>
      <c r="E549" s="2" t="s">
        <v>1401</v>
      </c>
      <c r="F549" s="62">
        <f>SUMIFS('AVARIA ESTIMADA'!$H$18:$H$40,'AVARIA ESTIMADA'!$A$18:$A$40,A549)</f>
        <v>0</v>
      </c>
    </row>
    <row r="550" spans="1:6" x14ac:dyDescent="0.3">
      <c r="A550" s="2" t="s">
        <v>402</v>
      </c>
      <c r="B550" s="19" t="str">
        <f>_xlfn.XLOOKUP(A550,CATÁLOGO!$A$2:$A$846,CATÁLOGO!$B$2:$B$846,"FORA DO CATÁLOGO")</f>
        <v>CMS014YG</v>
      </c>
      <c r="C550" s="13">
        <v>3</v>
      </c>
      <c r="D550" s="13" t="str">
        <f>_xlfn.XLOOKUP(A550,CATÁLOGO!$A$2:$A$846,CATÁLOGO!$E$2:$E$846,"FORA DO CATÁLOGO")</f>
        <v>Ativo</v>
      </c>
      <c r="E550" s="2" t="s">
        <v>1401</v>
      </c>
      <c r="F550" s="62">
        <f>SUMIFS('AVARIA ESTIMADA'!$H$18:$H$40,'AVARIA ESTIMADA'!$A$18:$A$40,A550)</f>
        <v>0</v>
      </c>
    </row>
    <row r="551" spans="1:6" x14ac:dyDescent="0.3">
      <c r="A551" s="2" t="s">
        <v>403</v>
      </c>
      <c r="B551" s="19" t="str">
        <f>_xlfn.XLOOKUP(A551,CATÁLOGO!$A$2:$A$846,CATÁLOGO!$B$2:$B$846,"FORA DO CATÁLOGO")</f>
        <v>CMS014YGG</v>
      </c>
      <c r="C551" s="13">
        <v>2</v>
      </c>
      <c r="D551" s="13" t="str">
        <f>_xlfn.XLOOKUP(A551,CATÁLOGO!$A$2:$A$846,CATÁLOGO!$E$2:$E$846,"FORA DO CATÁLOGO")</f>
        <v>Ativo</v>
      </c>
      <c r="E551" s="2" t="s">
        <v>1401</v>
      </c>
      <c r="F551" s="62">
        <f>SUMIFS('AVARIA ESTIMADA'!$H$18:$H$40,'AVARIA ESTIMADA'!$A$18:$A$40,A551)</f>
        <v>0</v>
      </c>
    </row>
    <row r="552" spans="1:6" x14ac:dyDescent="0.3">
      <c r="A552" s="2" t="s">
        <v>404</v>
      </c>
      <c r="B552" s="19" t="str">
        <f>_xlfn.XLOOKUP(A552,CATÁLOGO!$A$2:$A$846,CATÁLOGO!$B$2:$B$846,"FORA DO CATÁLOGO")</f>
        <v>VES011OP</v>
      </c>
      <c r="C552" s="13">
        <v>2</v>
      </c>
      <c r="D552" s="13" t="str">
        <f>_xlfn.XLOOKUP(A552,CATÁLOGO!$A$2:$A$846,CATÁLOGO!$E$2:$E$846,"FORA DO CATÁLOGO")</f>
        <v>Ativo</v>
      </c>
      <c r="E552" s="2" t="s">
        <v>1401</v>
      </c>
      <c r="F552" s="62">
        <f>SUMIFS('AVARIA ESTIMADA'!$H$18:$H$40,'AVARIA ESTIMADA'!$A$18:$A$40,A552)</f>
        <v>0</v>
      </c>
    </row>
    <row r="553" spans="1:6" x14ac:dyDescent="0.3">
      <c r="A553" s="2" t="s">
        <v>1265</v>
      </c>
      <c r="B553" s="19" t="str">
        <f>_xlfn.XLOOKUP(A553,CATÁLOGO!$A$2:$A$846,CATÁLOGO!$B$2:$B$846,"FORA DO CATÁLOGO")</f>
        <v>VES011OM</v>
      </c>
      <c r="C553" s="13">
        <v>5</v>
      </c>
      <c r="D553" s="13" t="str">
        <f>_xlfn.XLOOKUP(A553,CATÁLOGO!$A$2:$A$846,CATÁLOGO!$E$2:$E$846,"FORA DO CATÁLOGO")</f>
        <v>Ativo</v>
      </c>
      <c r="E553" s="2" t="s">
        <v>1401</v>
      </c>
      <c r="F553" s="62">
        <f>SUMIFS('AVARIA ESTIMADA'!$H$18:$H$40,'AVARIA ESTIMADA'!$A$18:$A$40,A553)</f>
        <v>0</v>
      </c>
    </row>
    <row r="554" spans="1:6" x14ac:dyDescent="0.3">
      <c r="A554" s="2" t="s">
        <v>405</v>
      </c>
      <c r="B554" s="19" t="str">
        <f>_xlfn.XLOOKUP(A554,CATÁLOGO!$A$2:$A$846,CATÁLOGO!$B$2:$B$846,"FORA DO CATÁLOGO")</f>
        <v>VES011OG</v>
      </c>
      <c r="C554" s="13">
        <v>2</v>
      </c>
      <c r="D554" s="13" t="str">
        <f>_xlfn.XLOOKUP(A554,CATÁLOGO!$A$2:$A$846,CATÁLOGO!$E$2:$E$846,"FORA DO CATÁLOGO")</f>
        <v>Ativo</v>
      </c>
      <c r="E554" s="2" t="s">
        <v>1401</v>
      </c>
      <c r="F554" s="62">
        <f>SUMIFS('AVARIA ESTIMADA'!$H$18:$H$40,'AVARIA ESTIMADA'!$A$18:$A$40,A554)</f>
        <v>0</v>
      </c>
    </row>
    <row r="555" spans="1:6" x14ac:dyDescent="0.3">
      <c r="A555" s="2" t="s">
        <v>406</v>
      </c>
      <c r="B555" s="19" t="str">
        <f>_xlfn.XLOOKUP(A555,CATÁLOGO!$A$2:$A$846,CATÁLOGO!$B$2:$B$846,"FORA DO CATÁLOGO")</f>
        <v>SAI010CM</v>
      </c>
      <c r="C555" s="13">
        <v>10</v>
      </c>
      <c r="D555" s="13" t="str">
        <f>_xlfn.XLOOKUP(A555,CATÁLOGO!$A$2:$A$846,CATÁLOGO!$E$2:$E$846,"FORA DO CATÁLOGO")</f>
        <v>Descontinuado</v>
      </c>
      <c r="E555" s="2" t="s">
        <v>1401</v>
      </c>
      <c r="F555" s="62">
        <f>SUMIFS('AVARIA ESTIMADA'!$H$18:$H$40,'AVARIA ESTIMADA'!$A$18:$A$40,A555)</f>
        <v>0</v>
      </c>
    </row>
    <row r="556" spans="1:6" x14ac:dyDescent="0.3">
      <c r="A556" s="2" t="s">
        <v>407</v>
      </c>
      <c r="B556" s="19" t="str">
        <f>_xlfn.XLOOKUP(A556,CATÁLOGO!$A$2:$A$846,CATÁLOGO!$B$2:$B$846,"FORA DO CATÁLOGO")</f>
        <v>SAI010CG</v>
      </c>
      <c r="C556" s="13">
        <v>1</v>
      </c>
      <c r="D556" s="13" t="str">
        <f>_xlfn.XLOOKUP(A556,CATÁLOGO!$A$2:$A$846,CATÁLOGO!$E$2:$E$846,"FORA DO CATÁLOGO")</f>
        <v>Descontinuado</v>
      </c>
      <c r="E556" s="2" t="s">
        <v>1401</v>
      </c>
      <c r="F556" s="62">
        <f>SUMIFS('AVARIA ESTIMADA'!$H$18:$H$40,'AVARIA ESTIMADA'!$A$18:$A$40,A556)</f>
        <v>0</v>
      </c>
    </row>
    <row r="557" spans="1:6" x14ac:dyDescent="0.3">
      <c r="A557" s="2" t="s">
        <v>408</v>
      </c>
      <c r="B557" s="19" t="str">
        <f>_xlfn.XLOOKUP(A557,CATÁLOGO!$A$2:$A$846,CATÁLOGO!$B$2:$B$846,"FORA DO CATÁLOGO")</f>
        <v>SAI010CGG</v>
      </c>
      <c r="C557" s="13">
        <v>3</v>
      </c>
      <c r="D557" s="13" t="str">
        <f>_xlfn.XLOOKUP(A557,CATÁLOGO!$A$2:$A$846,CATÁLOGO!$E$2:$E$846,"FORA DO CATÁLOGO")</f>
        <v>Descontinuado</v>
      </c>
      <c r="E557" s="2" t="s">
        <v>1401</v>
      </c>
      <c r="F557" s="62">
        <f>SUMIFS('AVARIA ESTIMADA'!$H$18:$H$40,'AVARIA ESTIMADA'!$A$18:$A$40,A557)</f>
        <v>0</v>
      </c>
    </row>
    <row r="558" spans="1:6" x14ac:dyDescent="0.3">
      <c r="A558" s="2" t="s">
        <v>1288</v>
      </c>
      <c r="B558" s="19" t="str">
        <f>_xlfn.XLOOKUP(A558,CATÁLOGO!$A$2:$A$846,CATÁLOGO!$B$2:$B$846,"FORA DO CATÁLOGO")</f>
        <v>CAM020YP</v>
      </c>
      <c r="C558" s="13">
        <v>3</v>
      </c>
      <c r="D558" s="13" t="str">
        <f>_xlfn.XLOOKUP(A558,CATÁLOGO!$A$2:$A$846,CATÁLOGO!$E$2:$E$846,"FORA DO CATÁLOGO")</f>
        <v>Ativo</v>
      </c>
      <c r="E558" s="2" t="s">
        <v>1401</v>
      </c>
      <c r="F558" s="62">
        <f>SUMIFS('AVARIA ESTIMADA'!$H$18:$H$40,'AVARIA ESTIMADA'!$A$18:$A$40,A558)</f>
        <v>3</v>
      </c>
    </row>
    <row r="559" spans="1:6" x14ac:dyDescent="0.3">
      <c r="A559" s="2" t="s">
        <v>409</v>
      </c>
      <c r="B559" s="19" t="str">
        <f>_xlfn.XLOOKUP(A559,CATÁLOGO!$A$2:$A$846,CATÁLOGO!$B$2:$B$846,"FORA DO CATÁLOGO")</f>
        <v>CAM020YM</v>
      </c>
      <c r="C559" s="13">
        <v>4</v>
      </c>
      <c r="D559" s="13" t="str">
        <f>_xlfn.XLOOKUP(A559,CATÁLOGO!$A$2:$A$846,CATÁLOGO!$E$2:$E$846,"FORA DO CATÁLOGO")</f>
        <v>Ativo</v>
      </c>
      <c r="E559" s="2" t="s">
        <v>1401</v>
      </c>
      <c r="F559" s="62">
        <f>SUMIFS('AVARIA ESTIMADA'!$H$18:$H$40,'AVARIA ESTIMADA'!$A$18:$A$40,A559)</f>
        <v>0</v>
      </c>
    </row>
    <row r="560" spans="1:6" x14ac:dyDescent="0.3">
      <c r="A560" s="2" t="s">
        <v>410</v>
      </c>
      <c r="B560" s="19" t="str">
        <f>_xlfn.XLOOKUP(A560,CATÁLOGO!$A$2:$A$846,CATÁLOGO!$B$2:$B$846,"FORA DO CATÁLOGO")</f>
        <v>CAM020YG</v>
      </c>
      <c r="C560" s="13">
        <v>4</v>
      </c>
      <c r="D560" s="13" t="str">
        <f>_xlfn.XLOOKUP(A560,CATÁLOGO!$A$2:$A$846,CATÁLOGO!$E$2:$E$846,"FORA DO CATÁLOGO")</f>
        <v>Ativo</v>
      </c>
      <c r="E560" s="2" t="s">
        <v>1401</v>
      </c>
      <c r="F560" s="62">
        <f>SUMIFS('AVARIA ESTIMADA'!$H$18:$H$40,'AVARIA ESTIMADA'!$A$18:$A$40,A560)</f>
        <v>4</v>
      </c>
    </row>
    <row r="561" spans="1:6" x14ac:dyDescent="0.3">
      <c r="A561" s="2" t="s">
        <v>411</v>
      </c>
      <c r="B561" s="19" t="str">
        <f>_xlfn.XLOOKUP(A561,CATÁLOGO!$A$2:$A$846,CATÁLOGO!$B$2:$B$846,"FORA DO CATÁLOGO")</f>
        <v>CAM020YGG</v>
      </c>
      <c r="C561" s="13">
        <v>3</v>
      </c>
      <c r="D561" s="13" t="str">
        <f>_xlfn.XLOOKUP(A561,CATÁLOGO!$A$2:$A$846,CATÁLOGO!$E$2:$E$846,"FORA DO CATÁLOGO")</f>
        <v>Ativo</v>
      </c>
      <c r="E561" s="2" t="s">
        <v>1401</v>
      </c>
      <c r="F561" s="62">
        <f>SUMIFS('AVARIA ESTIMADA'!$H$18:$H$40,'AVARIA ESTIMADA'!$A$18:$A$40,A561)</f>
        <v>0</v>
      </c>
    </row>
    <row r="562" spans="1:6" x14ac:dyDescent="0.3">
      <c r="A562" s="2" t="s">
        <v>412</v>
      </c>
      <c r="B562" s="19" t="str">
        <f>_xlfn.XLOOKUP(A562,CATÁLOGO!$A$2:$A$846,CATÁLOGO!$B$2:$B$846,"FORA DO CATÁLOGO")</f>
        <v>CAM020LP</v>
      </c>
      <c r="C562" s="13">
        <v>2</v>
      </c>
      <c r="D562" s="13" t="str">
        <f>_xlfn.XLOOKUP(A562,CATÁLOGO!$A$2:$A$846,CATÁLOGO!$E$2:$E$846,"FORA DO CATÁLOGO")</f>
        <v>Ativo</v>
      </c>
      <c r="E562" s="2" t="s">
        <v>1401</v>
      </c>
      <c r="F562" s="62">
        <f>SUMIFS('AVARIA ESTIMADA'!$H$18:$H$40,'AVARIA ESTIMADA'!$A$18:$A$40,A562)</f>
        <v>0</v>
      </c>
    </row>
    <row r="563" spans="1:6" x14ac:dyDescent="0.3">
      <c r="A563" s="2" t="s">
        <v>413</v>
      </c>
      <c r="B563" s="19" t="str">
        <f>_xlfn.XLOOKUP(A563,CATÁLOGO!$A$2:$A$846,CATÁLOGO!$B$2:$B$846,"FORA DO CATÁLOGO")</f>
        <v>CAM020LM</v>
      </c>
      <c r="C563" s="13">
        <v>3</v>
      </c>
      <c r="D563" s="13" t="str">
        <f>_xlfn.XLOOKUP(A563,CATÁLOGO!$A$2:$A$846,CATÁLOGO!$E$2:$E$846,"FORA DO CATÁLOGO")</f>
        <v>Ativo</v>
      </c>
      <c r="E563" s="2" t="s">
        <v>1401</v>
      </c>
      <c r="F563" s="62">
        <f>SUMIFS('AVARIA ESTIMADA'!$H$18:$H$40,'AVARIA ESTIMADA'!$A$18:$A$40,A563)</f>
        <v>0</v>
      </c>
    </row>
    <row r="564" spans="1:6" x14ac:dyDescent="0.3">
      <c r="A564" s="2" t="s">
        <v>414</v>
      </c>
      <c r="B564" s="19" t="str">
        <f>_xlfn.XLOOKUP(A564,CATÁLOGO!$A$2:$A$846,CATÁLOGO!$B$2:$B$846,"FORA DO CATÁLOGO")</f>
        <v>CAM020LG</v>
      </c>
      <c r="C564" s="13">
        <v>2</v>
      </c>
      <c r="D564" s="13" t="str">
        <f>_xlfn.XLOOKUP(A564,CATÁLOGO!$A$2:$A$846,CATÁLOGO!$E$2:$E$846,"FORA DO CATÁLOGO")</f>
        <v>Ativo</v>
      </c>
      <c r="E564" s="2" t="s">
        <v>1401</v>
      </c>
      <c r="F564" s="62">
        <f>SUMIFS('AVARIA ESTIMADA'!$H$18:$H$40,'AVARIA ESTIMADA'!$A$18:$A$40,A564)</f>
        <v>0</v>
      </c>
    </row>
    <row r="565" spans="1:6" x14ac:dyDescent="0.3">
      <c r="A565" s="2" t="s">
        <v>415</v>
      </c>
      <c r="B565" s="19" t="str">
        <f>_xlfn.XLOOKUP(A565,CATÁLOGO!$A$2:$A$846,CATÁLOGO!$B$2:$B$846,"FORA DO CATÁLOGO")</f>
        <v>CAM020LGG</v>
      </c>
      <c r="C565" s="13">
        <v>1</v>
      </c>
      <c r="D565" s="13" t="str">
        <f>_xlfn.XLOOKUP(A565,CATÁLOGO!$A$2:$A$846,CATÁLOGO!$E$2:$E$846,"FORA DO CATÁLOGO")</f>
        <v>Ativo</v>
      </c>
      <c r="E565" s="2" t="s">
        <v>1401</v>
      </c>
      <c r="F565" s="62">
        <f>SUMIFS('AVARIA ESTIMADA'!$H$18:$H$40,'AVARIA ESTIMADA'!$A$18:$A$40,A565)</f>
        <v>0</v>
      </c>
    </row>
    <row r="566" spans="1:6" x14ac:dyDescent="0.3">
      <c r="A566" s="2" t="s">
        <v>1507</v>
      </c>
      <c r="B566" s="19" t="str">
        <f>_xlfn.XLOOKUP(A566,CATÁLOGO!$A$2:$A$846,CATÁLOGO!$B$2:$B$846,"FORA DO CATÁLOGO")</f>
        <v>BER010L38</v>
      </c>
      <c r="C566" s="13">
        <v>4</v>
      </c>
      <c r="D566" s="13" t="str">
        <f>_xlfn.XLOOKUP(A566,CATÁLOGO!$A$2:$A$846,CATÁLOGO!$E$2:$E$846,"FORA DO CATÁLOGO")</f>
        <v>Descontinuado</v>
      </c>
      <c r="E566" s="2" t="s">
        <v>1401</v>
      </c>
      <c r="F566" s="62">
        <f>SUMIFS('AVARIA ESTIMADA'!$H$18:$H$40,'AVARIA ESTIMADA'!$A$18:$A$40,A566)</f>
        <v>0</v>
      </c>
    </row>
    <row r="567" spans="1:6" x14ac:dyDescent="0.3">
      <c r="A567" s="2" t="s">
        <v>1506</v>
      </c>
      <c r="B567" s="19" t="str">
        <f>_xlfn.XLOOKUP(A567,CATÁLOGO!$A$2:$A$846,CATÁLOGO!$B$2:$B$846,"FORA DO CATÁLOGO")</f>
        <v>BER010L40</v>
      </c>
      <c r="C567" s="13">
        <v>3</v>
      </c>
      <c r="D567" s="13" t="str">
        <f>_xlfn.XLOOKUP(A567,CATÁLOGO!$A$2:$A$846,CATÁLOGO!$E$2:$E$846,"FORA DO CATÁLOGO")</f>
        <v>Descontinuado</v>
      </c>
      <c r="E567" s="2" t="s">
        <v>1401</v>
      </c>
      <c r="F567" s="62">
        <f>SUMIFS('AVARIA ESTIMADA'!$H$18:$H$40,'AVARIA ESTIMADA'!$A$18:$A$40,A567)</f>
        <v>0</v>
      </c>
    </row>
    <row r="568" spans="1:6" x14ac:dyDescent="0.3">
      <c r="A568" s="2" t="s">
        <v>1503</v>
      </c>
      <c r="B568" s="19" t="str">
        <f>_xlfn.XLOOKUP(A568,CATÁLOGO!$A$2:$A$846,CATÁLOGO!$B$2:$B$846,"FORA DO CATÁLOGO")</f>
        <v>BER010L42</v>
      </c>
      <c r="C568" s="13">
        <v>3</v>
      </c>
      <c r="D568" s="13" t="str">
        <f>_xlfn.XLOOKUP(A568,CATÁLOGO!$A$2:$A$846,CATÁLOGO!$E$2:$E$846,"FORA DO CATÁLOGO")</f>
        <v>Descontinuado</v>
      </c>
      <c r="E568" s="2" t="s">
        <v>1401</v>
      </c>
      <c r="F568" s="62">
        <f>SUMIFS('AVARIA ESTIMADA'!$H$18:$H$40,'AVARIA ESTIMADA'!$A$18:$A$40,A568)</f>
        <v>0</v>
      </c>
    </row>
    <row r="569" spans="1:6" x14ac:dyDescent="0.3">
      <c r="A569" s="2" t="s">
        <v>1505</v>
      </c>
      <c r="B569" s="19" t="str">
        <f>_xlfn.XLOOKUP(A569,CATÁLOGO!$A$2:$A$846,CATÁLOGO!$B$2:$B$846,"FORA DO CATÁLOGO")</f>
        <v>BER010L44</v>
      </c>
      <c r="C569" s="13">
        <v>2</v>
      </c>
      <c r="D569" s="13" t="str">
        <f>_xlfn.XLOOKUP(A569,CATÁLOGO!$A$2:$A$846,CATÁLOGO!$E$2:$E$846,"FORA DO CATÁLOGO")</f>
        <v>Descontinuado</v>
      </c>
      <c r="E569" s="2" t="s">
        <v>1401</v>
      </c>
      <c r="F569" s="62">
        <f>SUMIFS('AVARIA ESTIMADA'!$H$18:$H$40,'AVARIA ESTIMADA'!$A$18:$A$40,A569)</f>
        <v>0</v>
      </c>
    </row>
    <row r="570" spans="1:6" x14ac:dyDescent="0.3">
      <c r="A570" s="2" t="s">
        <v>1691</v>
      </c>
      <c r="B570" s="19" t="str">
        <f>_xlfn.XLOOKUP(A570,CATÁLOGO!$A$2:$A$846,CATÁLOGO!$B$2:$B$846,"FORA DO CATÁLOGO")</f>
        <v>CAL025E36</v>
      </c>
      <c r="C570" s="13">
        <v>2</v>
      </c>
      <c r="D570" s="13" t="str">
        <f>_xlfn.XLOOKUP(A570,CATÁLOGO!$A$2:$A$846,CATÁLOGO!$E$2:$E$846,"FORA DO CATÁLOGO")</f>
        <v>Descontinuado</v>
      </c>
      <c r="E570" s="2" t="s">
        <v>1401</v>
      </c>
      <c r="F570" s="62">
        <f>SUMIFS('AVARIA ESTIMADA'!$H$18:$H$40,'AVARIA ESTIMADA'!$A$18:$A$40,A570)</f>
        <v>0</v>
      </c>
    </row>
    <row r="571" spans="1:6" x14ac:dyDescent="0.3">
      <c r="A571" s="2" t="s">
        <v>1690</v>
      </c>
      <c r="B571" s="19" t="str">
        <f>_xlfn.XLOOKUP(A571,CATÁLOGO!$A$2:$A$846,CATÁLOGO!$B$2:$B$846,"FORA DO CATÁLOGO")</f>
        <v>CAL025E38</v>
      </c>
      <c r="C571" s="13">
        <v>3</v>
      </c>
      <c r="D571" s="13" t="str">
        <f>_xlfn.XLOOKUP(A571,CATÁLOGO!$A$2:$A$846,CATÁLOGO!$E$2:$E$846,"FORA DO CATÁLOGO")</f>
        <v>Descontinuado</v>
      </c>
      <c r="E571" s="2" t="s">
        <v>1401</v>
      </c>
      <c r="F571" s="62">
        <f>SUMIFS('AVARIA ESTIMADA'!$H$18:$H$40,'AVARIA ESTIMADA'!$A$18:$A$40,A571)</f>
        <v>0</v>
      </c>
    </row>
    <row r="572" spans="1:6" x14ac:dyDescent="0.3">
      <c r="A572" s="2" t="s">
        <v>1689</v>
      </c>
      <c r="B572" s="19" t="str">
        <f>_xlfn.XLOOKUP(A572,CATÁLOGO!$A$2:$A$846,CATÁLOGO!$B$2:$B$846,"FORA DO CATÁLOGO")</f>
        <v>CAL025E40</v>
      </c>
      <c r="C572" s="13">
        <v>2</v>
      </c>
      <c r="D572" s="13" t="str">
        <f>_xlfn.XLOOKUP(A572,CATÁLOGO!$A$2:$A$846,CATÁLOGO!$E$2:$E$846,"FORA DO CATÁLOGO")</f>
        <v>Descontinuado</v>
      </c>
      <c r="E572" s="2" t="s">
        <v>1401</v>
      </c>
      <c r="F572" s="62">
        <f>SUMIFS('AVARIA ESTIMADA'!$H$18:$H$40,'AVARIA ESTIMADA'!$A$18:$A$40,A572)</f>
        <v>0</v>
      </c>
    </row>
    <row r="573" spans="1:6" x14ac:dyDescent="0.3">
      <c r="A573" s="2" t="s">
        <v>1686</v>
      </c>
      <c r="B573" s="19" t="str">
        <f>_xlfn.XLOOKUP(A573,CATÁLOGO!$A$2:$A$846,CATÁLOGO!$B$2:$B$846,"FORA DO CATÁLOGO")</f>
        <v>CAL025E42</v>
      </c>
      <c r="C573" s="13">
        <v>2</v>
      </c>
      <c r="D573" s="13" t="str">
        <f>_xlfn.XLOOKUP(A573,CATÁLOGO!$A$2:$A$846,CATÁLOGO!$E$2:$E$846,"FORA DO CATÁLOGO")</f>
        <v>Descontinuado</v>
      </c>
      <c r="E573" s="2" t="s">
        <v>1401</v>
      </c>
      <c r="F573" s="62">
        <f>SUMIFS('AVARIA ESTIMADA'!$H$18:$H$40,'AVARIA ESTIMADA'!$A$18:$A$40,A573)</f>
        <v>0</v>
      </c>
    </row>
    <row r="574" spans="1:6" x14ac:dyDescent="0.3">
      <c r="A574" s="2" t="s">
        <v>1688</v>
      </c>
      <c r="B574" s="19" t="str">
        <f>_xlfn.XLOOKUP(A574,CATÁLOGO!$A$2:$A$846,CATÁLOGO!$B$2:$B$846,"FORA DO CATÁLOGO")</f>
        <v>CAL025E44</v>
      </c>
      <c r="C574" s="13">
        <v>2</v>
      </c>
      <c r="D574" s="13" t="str">
        <f>_xlfn.XLOOKUP(A574,CATÁLOGO!$A$2:$A$846,CATÁLOGO!$E$2:$E$846,"FORA DO CATÁLOGO")</f>
        <v>Descontinuado</v>
      </c>
      <c r="E574" s="2" t="s">
        <v>1401</v>
      </c>
      <c r="F574" s="62">
        <f>SUMIFS('AVARIA ESTIMADA'!$H$18:$H$40,'AVARIA ESTIMADA'!$A$18:$A$40,A574)</f>
        <v>0</v>
      </c>
    </row>
    <row r="575" spans="1:6" x14ac:dyDescent="0.3">
      <c r="A575" s="2" t="s">
        <v>417</v>
      </c>
      <c r="B575" s="19" t="str">
        <f>_xlfn.XLOOKUP(A575,CATÁLOGO!$A$2:$A$846,CATÁLOGO!$B$2:$B$846,"FORA DO CATÁLOGO")</f>
        <v>SAI011CP</v>
      </c>
      <c r="C575" s="13">
        <v>2</v>
      </c>
      <c r="D575" s="13" t="str">
        <f>_xlfn.XLOOKUP(A575,CATÁLOGO!$A$2:$A$846,CATÁLOGO!$E$2:$E$846,"FORA DO CATÁLOGO")</f>
        <v>Ativo</v>
      </c>
      <c r="E575" s="2" t="s">
        <v>1401</v>
      </c>
      <c r="F575" s="62">
        <f>SUMIFS('AVARIA ESTIMADA'!$H$18:$H$40,'AVARIA ESTIMADA'!$A$18:$A$40,A575)</f>
        <v>0</v>
      </c>
    </row>
    <row r="576" spans="1:6" x14ac:dyDescent="0.3">
      <c r="A576" s="2" t="s">
        <v>418</v>
      </c>
      <c r="B576" s="19" t="str">
        <f>_xlfn.XLOOKUP(A576,CATÁLOGO!$A$2:$A$846,CATÁLOGO!$B$2:$B$846,"FORA DO CATÁLOGO")</f>
        <v>SAI011CM</v>
      </c>
      <c r="C576" s="13">
        <v>3</v>
      </c>
      <c r="D576" s="13" t="str">
        <f>_xlfn.XLOOKUP(A576,CATÁLOGO!$A$2:$A$846,CATÁLOGO!$E$2:$E$846,"FORA DO CATÁLOGO")</f>
        <v>Ativo</v>
      </c>
      <c r="E576" s="2" t="s">
        <v>1401</v>
      </c>
      <c r="F576" s="62">
        <f>SUMIFS('AVARIA ESTIMADA'!$H$18:$H$40,'AVARIA ESTIMADA'!$A$18:$A$40,A576)</f>
        <v>0</v>
      </c>
    </row>
    <row r="577" spans="1:6" x14ac:dyDescent="0.3">
      <c r="A577" s="2" t="s">
        <v>419</v>
      </c>
      <c r="B577" s="19" t="str">
        <f>_xlfn.XLOOKUP(A577,CATÁLOGO!$A$2:$A$846,CATÁLOGO!$B$2:$B$846,"FORA DO CATÁLOGO")</f>
        <v>SAI011CG</v>
      </c>
      <c r="C577" s="13">
        <v>2</v>
      </c>
      <c r="D577" s="13" t="str">
        <f>_xlfn.XLOOKUP(A577,CATÁLOGO!$A$2:$A$846,CATÁLOGO!$E$2:$E$846,"FORA DO CATÁLOGO")</f>
        <v>Ativo</v>
      </c>
      <c r="E577" s="2" t="s">
        <v>1401</v>
      </c>
      <c r="F577" s="62">
        <f>SUMIFS('AVARIA ESTIMADA'!$H$18:$H$40,'AVARIA ESTIMADA'!$A$18:$A$40,A577)</f>
        <v>0</v>
      </c>
    </row>
    <row r="578" spans="1:6" x14ac:dyDescent="0.3">
      <c r="A578" s="2" t="s">
        <v>420</v>
      </c>
      <c r="B578" s="19" t="str">
        <f>_xlfn.XLOOKUP(A578,CATÁLOGO!$A$2:$A$846,CATÁLOGO!$B$2:$B$846,"FORA DO CATÁLOGO")</f>
        <v>SAI011CGG</v>
      </c>
      <c r="C578" s="13">
        <v>1</v>
      </c>
      <c r="D578" s="13" t="str">
        <f>_xlfn.XLOOKUP(A578,CATÁLOGO!$A$2:$A$846,CATÁLOGO!$E$2:$E$846,"FORA DO CATÁLOGO")</f>
        <v>Ativo</v>
      </c>
      <c r="E578" s="2" t="s">
        <v>1401</v>
      </c>
      <c r="F578" s="62">
        <f>SUMIFS('AVARIA ESTIMADA'!$H$18:$H$40,'AVARIA ESTIMADA'!$A$18:$A$40,A578)</f>
        <v>0</v>
      </c>
    </row>
    <row r="579" spans="1:6" x14ac:dyDescent="0.3">
      <c r="A579" s="2" t="s">
        <v>421</v>
      </c>
      <c r="B579" s="19" t="str">
        <f>_xlfn.XLOOKUP(A579,CATÁLOGO!$A$2:$A$846,CATÁLOGO!$B$2:$B$846,"FORA DO CATÁLOGO")</f>
        <v>MOL014VP</v>
      </c>
      <c r="C579" s="13">
        <v>2</v>
      </c>
      <c r="D579" s="13" t="str">
        <f>_xlfn.XLOOKUP(A579,CATÁLOGO!$A$2:$A$846,CATÁLOGO!$E$2:$E$846,"FORA DO CATÁLOGO")</f>
        <v>Ativo</v>
      </c>
      <c r="E579" s="2" t="s">
        <v>1401</v>
      </c>
      <c r="F579" s="62">
        <f>SUMIFS('AVARIA ESTIMADA'!$H$18:$H$40,'AVARIA ESTIMADA'!$A$18:$A$40,A579)</f>
        <v>0</v>
      </c>
    </row>
    <row r="580" spans="1:6" x14ac:dyDescent="0.3">
      <c r="A580" s="2" t="s">
        <v>422</v>
      </c>
      <c r="B580" s="19" t="str">
        <f>_xlfn.XLOOKUP(A580,CATÁLOGO!$A$2:$A$846,CATÁLOGO!$B$2:$B$846,"FORA DO CATÁLOGO")</f>
        <v>MOL014VM</v>
      </c>
      <c r="C580" s="13">
        <v>3</v>
      </c>
      <c r="D580" s="13" t="str">
        <f>_xlfn.XLOOKUP(A580,CATÁLOGO!$A$2:$A$846,CATÁLOGO!$E$2:$E$846,"FORA DO CATÁLOGO")</f>
        <v>Ativo</v>
      </c>
      <c r="E580" s="2" t="s">
        <v>1401</v>
      </c>
      <c r="F580" s="62">
        <f>SUMIFS('AVARIA ESTIMADA'!$H$18:$H$40,'AVARIA ESTIMADA'!$A$18:$A$40,A580)</f>
        <v>0</v>
      </c>
    </row>
    <row r="581" spans="1:6" x14ac:dyDescent="0.3">
      <c r="A581" s="2" t="s">
        <v>423</v>
      </c>
      <c r="B581" s="19" t="str">
        <f>_xlfn.XLOOKUP(A581,CATÁLOGO!$A$2:$A$846,CATÁLOGO!$B$2:$B$846,"FORA DO CATÁLOGO")</f>
        <v>MOL014VG</v>
      </c>
      <c r="C581" s="13">
        <v>2</v>
      </c>
      <c r="D581" s="13" t="str">
        <f>_xlfn.XLOOKUP(A581,CATÁLOGO!$A$2:$A$846,CATÁLOGO!$E$2:$E$846,"FORA DO CATÁLOGO")</f>
        <v>Ativo</v>
      </c>
      <c r="E581" s="2" t="s">
        <v>1401</v>
      </c>
      <c r="F581" s="62">
        <f>SUMIFS('AVARIA ESTIMADA'!$H$18:$H$40,'AVARIA ESTIMADA'!$A$18:$A$40,A581)</f>
        <v>0</v>
      </c>
    </row>
    <row r="582" spans="1:6" x14ac:dyDescent="0.3">
      <c r="A582" s="2" t="s">
        <v>424</v>
      </c>
      <c r="B582" s="19" t="str">
        <f>_xlfn.XLOOKUP(A582,CATÁLOGO!$A$2:$A$846,CATÁLOGO!$B$2:$B$846,"FORA DO CATÁLOGO")</f>
        <v>MOL014VGG</v>
      </c>
      <c r="C582" s="13">
        <v>1</v>
      </c>
      <c r="D582" s="13" t="str">
        <f>_xlfn.XLOOKUP(A582,CATÁLOGO!$A$2:$A$846,CATÁLOGO!$E$2:$E$846,"FORA DO CATÁLOGO")</f>
        <v>Ativo</v>
      </c>
      <c r="E582" s="2" t="s">
        <v>1401</v>
      </c>
      <c r="F582" s="62">
        <f>SUMIFS('AVARIA ESTIMADA'!$H$18:$H$40,'AVARIA ESTIMADA'!$A$18:$A$40,A582)</f>
        <v>0</v>
      </c>
    </row>
    <row r="583" spans="1:6" x14ac:dyDescent="0.3">
      <c r="A583" s="2" t="s">
        <v>425</v>
      </c>
      <c r="B583" s="19" t="str">
        <f>_xlfn.XLOOKUP(A583,CATÁLOGO!$A$2:$A$846,CATÁLOGO!$B$2:$B$846,"FORA DO CATÁLOGO")</f>
        <v>MOL014YM</v>
      </c>
      <c r="C583" s="13">
        <v>2</v>
      </c>
      <c r="D583" s="13" t="str">
        <f>_xlfn.XLOOKUP(A583,CATÁLOGO!$A$2:$A$846,CATÁLOGO!$E$2:$E$846,"FORA DO CATÁLOGO")</f>
        <v>Ativo</v>
      </c>
      <c r="E583" s="2" t="s">
        <v>1401</v>
      </c>
      <c r="F583" s="62">
        <f>SUMIFS('AVARIA ESTIMADA'!$H$18:$H$40,'AVARIA ESTIMADA'!$A$18:$A$40,A583)</f>
        <v>0</v>
      </c>
    </row>
    <row r="584" spans="1:6" x14ac:dyDescent="0.3">
      <c r="A584" s="2" t="s">
        <v>426</v>
      </c>
      <c r="B584" s="19" t="str">
        <f>_xlfn.XLOOKUP(A584,CATÁLOGO!$A$2:$A$846,CATÁLOGO!$B$2:$B$846,"FORA DO CATÁLOGO")</f>
        <v>MOL014YG</v>
      </c>
      <c r="C584" s="13">
        <v>1</v>
      </c>
      <c r="D584" s="13" t="str">
        <f>_xlfn.XLOOKUP(A584,CATÁLOGO!$A$2:$A$846,CATÁLOGO!$E$2:$E$846,"FORA DO CATÁLOGO")</f>
        <v>Ativo</v>
      </c>
      <c r="E584" s="2" t="s">
        <v>1401</v>
      </c>
      <c r="F584" s="62">
        <f>SUMIFS('AVARIA ESTIMADA'!$H$18:$H$40,'AVARIA ESTIMADA'!$A$18:$A$40,A584)</f>
        <v>0</v>
      </c>
    </row>
    <row r="585" spans="1:6" x14ac:dyDescent="0.3">
      <c r="A585" s="2" t="s">
        <v>427</v>
      </c>
      <c r="B585" s="19" t="str">
        <f>_xlfn.XLOOKUP(A585,CATÁLOGO!$A$2:$A$846,CATÁLOGO!$B$2:$B$846,"FORA DO CATÁLOGO")</f>
        <v>MOL014YGG</v>
      </c>
      <c r="C585" s="13">
        <v>1</v>
      </c>
      <c r="D585" s="13" t="str">
        <f>_xlfn.XLOOKUP(A585,CATÁLOGO!$A$2:$A$846,CATÁLOGO!$E$2:$E$846,"FORA DO CATÁLOGO")</f>
        <v>Ativo</v>
      </c>
      <c r="E585" s="2" t="s">
        <v>1401</v>
      </c>
      <c r="F585" s="62">
        <f>SUMIFS('AVARIA ESTIMADA'!$H$18:$H$40,'AVARIA ESTIMADA'!$A$18:$A$40,A585)</f>
        <v>0</v>
      </c>
    </row>
    <row r="586" spans="1:6" x14ac:dyDescent="0.3">
      <c r="A586" s="2" t="s">
        <v>428</v>
      </c>
      <c r="B586" s="19" t="str">
        <f>_xlfn.XLOOKUP(A586,CATÁLOGO!$A$2:$A$846,CATÁLOGO!$B$2:$B$846,"FORA DO CATÁLOGO")</f>
        <v>MOL015AP</v>
      </c>
      <c r="C586" s="13">
        <v>5</v>
      </c>
      <c r="D586" s="13" t="str">
        <f>_xlfn.XLOOKUP(A586,CATÁLOGO!$A$2:$A$846,CATÁLOGO!$E$2:$E$846,"FORA DO CATÁLOGO")</f>
        <v>Ativo</v>
      </c>
      <c r="E586" s="2" t="s">
        <v>1401</v>
      </c>
      <c r="F586" s="62">
        <f>SUMIFS('AVARIA ESTIMADA'!$H$18:$H$40,'AVARIA ESTIMADA'!$A$18:$A$40,A586)</f>
        <v>0</v>
      </c>
    </row>
    <row r="587" spans="1:6" x14ac:dyDescent="0.3">
      <c r="A587" s="2" t="s">
        <v>429</v>
      </c>
      <c r="B587" s="19" t="str">
        <f>_xlfn.XLOOKUP(A587,CATÁLOGO!$A$2:$A$846,CATÁLOGO!$B$2:$B$846,"FORA DO CATÁLOGO")</f>
        <v>MOL015AM</v>
      </c>
      <c r="C587" s="13">
        <v>5</v>
      </c>
      <c r="D587" s="13" t="str">
        <f>_xlfn.XLOOKUP(A587,CATÁLOGO!$A$2:$A$846,CATÁLOGO!$E$2:$E$846,"FORA DO CATÁLOGO")</f>
        <v>Ativo</v>
      </c>
      <c r="E587" s="2" t="s">
        <v>1401</v>
      </c>
      <c r="F587" s="62">
        <f>SUMIFS('AVARIA ESTIMADA'!$H$18:$H$40,'AVARIA ESTIMADA'!$A$18:$A$40,A587)</f>
        <v>0</v>
      </c>
    </row>
    <row r="588" spans="1:6" x14ac:dyDescent="0.3">
      <c r="A588" s="2" t="s">
        <v>430</v>
      </c>
      <c r="B588" s="19" t="str">
        <f>_xlfn.XLOOKUP(A588,CATÁLOGO!$A$2:$A$846,CATÁLOGO!$B$2:$B$846,"FORA DO CATÁLOGO")</f>
        <v>MOL015AG</v>
      </c>
      <c r="C588" s="13">
        <v>5</v>
      </c>
      <c r="D588" s="13" t="str">
        <f>_xlfn.XLOOKUP(A588,CATÁLOGO!$A$2:$A$846,CATÁLOGO!$E$2:$E$846,"FORA DO CATÁLOGO")</f>
        <v>Ativo</v>
      </c>
      <c r="E588" s="2" t="s">
        <v>1401</v>
      </c>
      <c r="F588" s="62">
        <f>SUMIFS('AVARIA ESTIMADA'!$H$18:$H$40,'AVARIA ESTIMADA'!$A$18:$A$40,A588)</f>
        <v>0</v>
      </c>
    </row>
    <row r="589" spans="1:6" x14ac:dyDescent="0.3">
      <c r="A589" s="2" t="s">
        <v>431</v>
      </c>
      <c r="B589" s="19" t="str">
        <f>_xlfn.XLOOKUP(A589,CATÁLOGO!$A$2:$A$846,CATÁLOGO!$B$2:$B$846,"FORA DO CATÁLOGO")</f>
        <v>MOL015AGG</v>
      </c>
      <c r="C589" s="13">
        <v>4</v>
      </c>
      <c r="D589" s="13" t="str">
        <f>_xlfn.XLOOKUP(A589,CATÁLOGO!$A$2:$A$846,CATÁLOGO!$E$2:$E$846,"FORA DO CATÁLOGO")</f>
        <v>Ativo</v>
      </c>
      <c r="E589" s="2" t="s">
        <v>1401</v>
      </c>
      <c r="F589" s="62">
        <f>SUMIFS('AVARIA ESTIMADA'!$H$18:$H$40,'AVARIA ESTIMADA'!$A$18:$A$40,A589)</f>
        <v>0</v>
      </c>
    </row>
    <row r="590" spans="1:6" x14ac:dyDescent="0.3">
      <c r="A590" s="2" t="s">
        <v>3</v>
      </c>
      <c r="B590" s="19" t="str">
        <f>_xlfn.XLOOKUP(A590,CATÁLOGO!$A$2:$A$846,CATÁLOGO!$B$2:$B$846,"FORA DO CATÁLOGO")</f>
        <v>JAQ001VP</v>
      </c>
      <c r="C590" s="13">
        <v>2</v>
      </c>
      <c r="D590" s="13" t="str">
        <f>_xlfn.XLOOKUP(A590,CATÁLOGO!$A$2:$A$846,CATÁLOGO!$E$2:$E$846,"FORA DO CATÁLOGO")</f>
        <v>Ativo</v>
      </c>
      <c r="E590" s="2" t="s">
        <v>1401</v>
      </c>
      <c r="F590" s="62">
        <f>SUMIFS('AVARIA ESTIMADA'!$H$18:$H$40,'AVARIA ESTIMADA'!$A$18:$A$40,A590)</f>
        <v>0</v>
      </c>
    </row>
    <row r="591" spans="1:6" x14ac:dyDescent="0.3">
      <c r="A591" s="2" t="s">
        <v>5</v>
      </c>
      <c r="B591" s="19" t="str">
        <f>_xlfn.XLOOKUP(A591,CATÁLOGO!$A$2:$A$846,CATÁLOGO!$B$2:$B$846,"FORA DO CATÁLOGO")</f>
        <v>JAQ001VM</v>
      </c>
      <c r="C591" s="13">
        <v>3</v>
      </c>
      <c r="D591" s="13" t="str">
        <f>_xlfn.XLOOKUP(A591,CATÁLOGO!$A$2:$A$846,CATÁLOGO!$E$2:$E$846,"FORA DO CATÁLOGO")</f>
        <v>Ativo</v>
      </c>
      <c r="E591" s="2" t="s">
        <v>1401</v>
      </c>
      <c r="F591" s="62">
        <f>SUMIFS('AVARIA ESTIMADA'!$H$18:$H$40,'AVARIA ESTIMADA'!$A$18:$A$40,A591)</f>
        <v>0</v>
      </c>
    </row>
    <row r="592" spans="1:6" x14ac:dyDescent="0.3">
      <c r="A592" s="2" t="s">
        <v>432</v>
      </c>
      <c r="B592" s="19" t="str">
        <f>_xlfn.XLOOKUP(A592,CATÁLOGO!$A$2:$A$846,CATÁLOGO!$B$2:$B$846,"FORA DO CATÁLOGO")</f>
        <v>JAQ001VG</v>
      </c>
      <c r="C592" s="13">
        <v>1</v>
      </c>
      <c r="D592" s="13" t="str">
        <f>_xlfn.XLOOKUP(A592,CATÁLOGO!$A$2:$A$846,CATÁLOGO!$E$2:$E$846,"FORA DO CATÁLOGO")</f>
        <v>Ativo</v>
      </c>
      <c r="E592" s="2" t="s">
        <v>1401</v>
      </c>
      <c r="F592" s="62">
        <f>SUMIFS('AVARIA ESTIMADA'!$H$18:$H$40,'AVARIA ESTIMADA'!$A$18:$A$40,A592)</f>
        <v>0</v>
      </c>
    </row>
    <row r="593" spans="1:6" x14ac:dyDescent="0.3">
      <c r="A593" s="2" t="s">
        <v>433</v>
      </c>
      <c r="B593" s="19" t="str">
        <f>_xlfn.XLOOKUP(A593,CATÁLOGO!$A$2:$A$846,CATÁLOGO!$B$2:$B$846,"FORA DO CATÁLOGO")</f>
        <v>JAQ001VGG</v>
      </c>
      <c r="C593" s="13">
        <v>1</v>
      </c>
      <c r="D593" s="13" t="str">
        <f>_xlfn.XLOOKUP(A593,CATÁLOGO!$A$2:$A$846,CATÁLOGO!$E$2:$E$846,"FORA DO CATÁLOGO")</f>
        <v>Ativo</v>
      </c>
      <c r="E593" s="2" t="s">
        <v>1401</v>
      </c>
      <c r="F593" s="62">
        <f>SUMIFS('AVARIA ESTIMADA'!$H$18:$H$40,'AVARIA ESTIMADA'!$A$18:$A$40,A593)</f>
        <v>0</v>
      </c>
    </row>
    <row r="594" spans="1:6" x14ac:dyDescent="0.3">
      <c r="A594" s="2" t="s">
        <v>434</v>
      </c>
      <c r="B594" s="19" t="str">
        <f>_xlfn.XLOOKUP(A594,CATÁLOGO!$A$2:$A$846,CATÁLOGO!$B$2:$B$846,"FORA DO CATÁLOGO")</f>
        <v>JAQ001BP</v>
      </c>
      <c r="C594" s="13">
        <v>0</v>
      </c>
      <c r="D594" s="13" t="str">
        <f>_xlfn.XLOOKUP(A594,CATÁLOGO!$A$2:$A$846,CATÁLOGO!$E$2:$E$846,"FORA DO CATÁLOGO")</f>
        <v>Ativo</v>
      </c>
      <c r="E594" s="2" t="s">
        <v>1401</v>
      </c>
      <c r="F594" s="62">
        <f>SUMIFS('AVARIA ESTIMADA'!$H$18:$H$40,'AVARIA ESTIMADA'!$A$18:$A$40,A594)</f>
        <v>0</v>
      </c>
    </row>
    <row r="595" spans="1:6" x14ac:dyDescent="0.3">
      <c r="A595" s="2" t="s">
        <v>435</v>
      </c>
      <c r="B595" s="19" t="str">
        <f>_xlfn.XLOOKUP(A595,CATÁLOGO!$A$2:$A$846,CATÁLOGO!$B$2:$B$846,"FORA DO CATÁLOGO")</f>
        <v>JAQ001BM</v>
      </c>
      <c r="C595" s="13">
        <v>1</v>
      </c>
      <c r="D595" s="13" t="str">
        <f>_xlfn.XLOOKUP(A595,CATÁLOGO!$A$2:$A$846,CATÁLOGO!$E$2:$E$846,"FORA DO CATÁLOGO")</f>
        <v>Ativo</v>
      </c>
      <c r="E595" s="2" t="s">
        <v>1401</v>
      </c>
      <c r="F595" s="62">
        <f>SUMIFS('AVARIA ESTIMADA'!$H$18:$H$40,'AVARIA ESTIMADA'!$A$18:$A$40,A595)</f>
        <v>0</v>
      </c>
    </row>
    <row r="596" spans="1:6" x14ac:dyDescent="0.3">
      <c r="A596" s="2" t="s">
        <v>436</v>
      </c>
      <c r="B596" s="19" t="str">
        <f>_xlfn.XLOOKUP(A596,CATÁLOGO!$A$2:$A$846,CATÁLOGO!$B$2:$B$846,"FORA DO CATÁLOGO")</f>
        <v>JAQ001BG</v>
      </c>
      <c r="C596" s="13">
        <v>1</v>
      </c>
      <c r="D596" s="13" t="str">
        <f>_xlfn.XLOOKUP(A596,CATÁLOGO!$A$2:$A$846,CATÁLOGO!$E$2:$E$846,"FORA DO CATÁLOGO")</f>
        <v>Ativo</v>
      </c>
      <c r="E596" s="2" t="s">
        <v>1401</v>
      </c>
      <c r="F596" s="62">
        <f>SUMIFS('AVARIA ESTIMADA'!$H$18:$H$40,'AVARIA ESTIMADA'!$A$18:$A$40,A596)</f>
        <v>0</v>
      </c>
    </row>
    <row r="597" spans="1:6" x14ac:dyDescent="0.3">
      <c r="A597" s="2" t="s">
        <v>437</v>
      </c>
      <c r="B597" s="19" t="str">
        <f>_xlfn.XLOOKUP(A597,CATÁLOGO!$A$2:$A$846,CATÁLOGO!$B$2:$B$846,"FORA DO CATÁLOGO")</f>
        <v>JAQ001BGG</v>
      </c>
      <c r="C597" s="13">
        <v>0</v>
      </c>
      <c r="D597" s="13" t="str">
        <f>_xlfn.XLOOKUP(A597,CATÁLOGO!$A$2:$A$846,CATÁLOGO!$E$2:$E$846,"FORA DO CATÁLOGO")</f>
        <v>Ativo</v>
      </c>
      <c r="E597" s="2" t="s">
        <v>1401</v>
      </c>
      <c r="F597" s="62">
        <f>SUMIFS('AVARIA ESTIMADA'!$H$18:$H$40,'AVARIA ESTIMADA'!$A$18:$A$40,A597)</f>
        <v>0</v>
      </c>
    </row>
    <row r="598" spans="1:6" x14ac:dyDescent="0.3">
      <c r="A598" s="2" t="s">
        <v>8</v>
      </c>
      <c r="B598" s="19" t="str">
        <f>_xlfn.XLOOKUP(A598,CATÁLOGO!$A$2:$A$846,CATÁLOGO!$B$2:$B$846,"FORA DO CATÁLOGO")</f>
        <v>MOL002VGG</v>
      </c>
      <c r="C598" s="13">
        <v>0</v>
      </c>
      <c r="D598" s="13" t="str">
        <f>_xlfn.XLOOKUP(A598,CATÁLOGO!$A$2:$A$846,CATÁLOGO!$E$2:$E$846,"FORA DO CATÁLOGO")</f>
        <v>Fora do catálogo 2026</v>
      </c>
      <c r="E598" s="2" t="s">
        <v>1401</v>
      </c>
      <c r="F598" s="62">
        <f>SUMIFS('AVARIA ESTIMADA'!$H$18:$H$40,'AVARIA ESTIMADA'!$A$18:$A$40,A598)</f>
        <v>0</v>
      </c>
    </row>
    <row r="599" spans="1:6" x14ac:dyDescent="0.3">
      <c r="A599" s="2" t="s">
        <v>438</v>
      </c>
      <c r="B599" s="19" t="str">
        <f>_xlfn.XLOOKUP(A599,CATÁLOGO!$A$2:$A$846,CATÁLOGO!$B$2:$B$846,"FORA DO CATÁLOGO")</f>
        <v>MOL002BP</v>
      </c>
      <c r="C599" s="13">
        <v>5</v>
      </c>
      <c r="D599" s="13" t="str">
        <f>_xlfn.XLOOKUP(A599,CATÁLOGO!$A$2:$A$846,CATÁLOGO!$E$2:$E$846,"FORA DO CATÁLOGO")</f>
        <v>Ativo</v>
      </c>
      <c r="E599" s="2" t="s">
        <v>1401</v>
      </c>
      <c r="F599" s="62">
        <f>SUMIFS('AVARIA ESTIMADA'!$H$18:$H$40,'AVARIA ESTIMADA'!$A$18:$A$40,A599)</f>
        <v>0</v>
      </c>
    </row>
    <row r="600" spans="1:6" x14ac:dyDescent="0.3">
      <c r="A600" s="2" t="s">
        <v>439</v>
      </c>
      <c r="B600" s="19" t="str">
        <f>_xlfn.XLOOKUP(A600,CATÁLOGO!$A$2:$A$846,CATÁLOGO!$B$2:$B$846,"FORA DO CATÁLOGO")</f>
        <v>MOL002BM</v>
      </c>
      <c r="C600" s="13">
        <v>5</v>
      </c>
      <c r="D600" s="13" t="str">
        <f>_xlfn.XLOOKUP(A600,CATÁLOGO!$A$2:$A$846,CATÁLOGO!$E$2:$E$846,"FORA DO CATÁLOGO")</f>
        <v>Ativo</v>
      </c>
      <c r="E600" s="2" t="s">
        <v>1401</v>
      </c>
      <c r="F600" s="62">
        <f>SUMIFS('AVARIA ESTIMADA'!$H$18:$H$40,'AVARIA ESTIMADA'!$A$18:$A$40,A600)</f>
        <v>0</v>
      </c>
    </row>
    <row r="601" spans="1:6" x14ac:dyDescent="0.3">
      <c r="A601" s="2" t="s">
        <v>6</v>
      </c>
      <c r="B601" s="19" t="str">
        <f>_xlfn.XLOOKUP(A601,CATÁLOGO!$A$2:$A$846,CATÁLOGO!$B$2:$B$846,"FORA DO CATÁLOGO")</f>
        <v>MOL002BG</v>
      </c>
      <c r="C601" s="13">
        <v>7</v>
      </c>
      <c r="D601" s="13" t="str">
        <f>_xlfn.XLOOKUP(A601,CATÁLOGO!$A$2:$A$846,CATÁLOGO!$E$2:$E$846,"FORA DO CATÁLOGO")</f>
        <v>Ativo</v>
      </c>
      <c r="E601" s="2" t="s">
        <v>1401</v>
      </c>
      <c r="F601" s="62">
        <f>SUMIFS('AVARIA ESTIMADA'!$H$18:$H$40,'AVARIA ESTIMADA'!$A$18:$A$40,A601)</f>
        <v>0</v>
      </c>
    </row>
    <row r="602" spans="1:6" x14ac:dyDescent="0.3">
      <c r="A602" s="2" t="s">
        <v>440</v>
      </c>
      <c r="B602" s="19" t="str">
        <f>_xlfn.XLOOKUP(A602,CATÁLOGO!$A$2:$A$846,CATÁLOGO!$B$2:$B$846,"FORA DO CATÁLOGO")</f>
        <v>MOL002BGG</v>
      </c>
      <c r="C602" s="13">
        <v>4</v>
      </c>
      <c r="D602" s="13" t="str">
        <f>_xlfn.XLOOKUP(A602,CATÁLOGO!$A$2:$A$846,CATÁLOGO!$E$2:$E$846,"FORA DO CATÁLOGO")</f>
        <v>Ativo</v>
      </c>
      <c r="E602" s="2" t="s">
        <v>1401</v>
      </c>
      <c r="F602" s="62">
        <f>SUMIFS('AVARIA ESTIMADA'!$H$18:$H$40,'AVARIA ESTIMADA'!$A$18:$A$40,A602)</f>
        <v>0</v>
      </c>
    </row>
    <row r="603" spans="1:6" x14ac:dyDescent="0.3">
      <c r="A603" s="2" t="s">
        <v>1918</v>
      </c>
      <c r="B603" s="19" t="str">
        <f>_xlfn.XLOOKUP(A603,CATÁLOGO!$A$2:$A$846,CATÁLOGO!$B$2:$B$846,"FORA DO CATÁLOGO")</f>
        <v>TRI013MPP</v>
      </c>
      <c r="C603" s="13">
        <v>1</v>
      </c>
      <c r="D603" s="13" t="str">
        <f>_xlfn.XLOOKUP(A603,CATÁLOGO!$A$2:$A$846,CATÁLOGO!$E$2:$E$846,"FORA DO CATÁLOGO")</f>
        <v>Ativo</v>
      </c>
      <c r="E603" s="2" t="s">
        <v>1401</v>
      </c>
      <c r="F603" s="62">
        <f>SUMIFS('AVARIA ESTIMADA'!$H$18:$H$40,'AVARIA ESTIMADA'!$A$18:$A$40,A603)</f>
        <v>0</v>
      </c>
    </row>
    <row r="604" spans="1:6" x14ac:dyDescent="0.3">
      <c r="A604" s="2" t="s">
        <v>441</v>
      </c>
      <c r="B604" s="19" t="str">
        <f>_xlfn.XLOOKUP(A604,CATÁLOGO!$A$2:$A$846,CATÁLOGO!$B$2:$B$846,"FORA DO CATÁLOGO")</f>
        <v>TRI013MP</v>
      </c>
      <c r="C604" s="13">
        <v>2</v>
      </c>
      <c r="D604" s="13" t="str">
        <f>_xlfn.XLOOKUP(A604,CATÁLOGO!$A$2:$A$846,CATÁLOGO!$E$2:$E$846,"FORA DO CATÁLOGO")</f>
        <v>Ativo</v>
      </c>
      <c r="E604" s="2" t="s">
        <v>1401</v>
      </c>
      <c r="F604" s="62">
        <f>SUMIFS('AVARIA ESTIMADA'!$H$18:$H$40,'AVARIA ESTIMADA'!$A$18:$A$40,A604)</f>
        <v>0</v>
      </c>
    </row>
    <row r="605" spans="1:6" x14ac:dyDescent="0.3">
      <c r="A605" s="2" t="s">
        <v>442</v>
      </c>
      <c r="B605" s="19" t="str">
        <f>_xlfn.XLOOKUP(A605,CATÁLOGO!$A$2:$A$846,CATÁLOGO!$B$2:$B$846,"FORA DO CATÁLOGO")</f>
        <v>TRI013MM</v>
      </c>
      <c r="C605" s="13">
        <v>2</v>
      </c>
      <c r="D605" s="13" t="str">
        <f>_xlfn.XLOOKUP(A605,CATÁLOGO!$A$2:$A$846,CATÁLOGO!$E$2:$E$846,"FORA DO CATÁLOGO")</f>
        <v>Ativo</v>
      </c>
      <c r="E605" s="2" t="s">
        <v>1401</v>
      </c>
      <c r="F605" s="62">
        <f>SUMIFS('AVARIA ESTIMADA'!$H$18:$H$40,'AVARIA ESTIMADA'!$A$18:$A$40,A605)</f>
        <v>0</v>
      </c>
    </row>
    <row r="606" spans="1:6" x14ac:dyDescent="0.3">
      <c r="A606" s="2" t="s">
        <v>443</v>
      </c>
      <c r="B606" s="19" t="str">
        <f>_xlfn.XLOOKUP(A606,CATÁLOGO!$A$2:$A$846,CATÁLOGO!$B$2:$B$846,"FORA DO CATÁLOGO")</f>
        <v>TRI013MG</v>
      </c>
      <c r="C606" s="13">
        <v>1</v>
      </c>
      <c r="D606" s="13" t="str">
        <f>_xlfn.XLOOKUP(A606,CATÁLOGO!$A$2:$A$846,CATÁLOGO!$E$2:$E$846,"FORA DO CATÁLOGO")</f>
        <v>Ativo</v>
      </c>
      <c r="E606" s="2" t="s">
        <v>1401</v>
      </c>
      <c r="F606" s="62">
        <f>SUMIFS('AVARIA ESTIMADA'!$H$18:$H$40,'AVARIA ESTIMADA'!$A$18:$A$40,A606)</f>
        <v>0</v>
      </c>
    </row>
    <row r="607" spans="1:6" x14ac:dyDescent="0.3">
      <c r="A607" s="2" t="s">
        <v>444</v>
      </c>
      <c r="B607" s="19" t="str">
        <f>_xlfn.XLOOKUP(A607,CATÁLOGO!$A$2:$A$846,CATÁLOGO!$B$2:$B$846,"FORA DO CATÁLOGO")</f>
        <v>TRI013MGG</v>
      </c>
      <c r="C607" s="13">
        <v>1</v>
      </c>
      <c r="D607" s="13" t="str">
        <f>_xlfn.XLOOKUP(A607,CATÁLOGO!$A$2:$A$846,CATÁLOGO!$E$2:$E$846,"FORA DO CATÁLOGO")</f>
        <v>Ativo</v>
      </c>
      <c r="E607" s="2" t="s">
        <v>1401</v>
      </c>
      <c r="F607" s="62">
        <f>SUMIFS('AVARIA ESTIMADA'!$H$18:$H$40,'AVARIA ESTIMADA'!$A$18:$A$40,A607)</f>
        <v>0</v>
      </c>
    </row>
    <row r="608" spans="1:6" x14ac:dyDescent="0.3">
      <c r="A608" s="2" t="s">
        <v>1512</v>
      </c>
      <c r="B608" s="19" t="str">
        <f>_xlfn.XLOOKUP(A608,CATÁLOGO!$A$2:$A$846,CATÁLOGO!$B$2:$B$846,"FORA DO CATÁLOGO")</f>
        <v>BER011G38</v>
      </c>
      <c r="C608" s="13">
        <v>5</v>
      </c>
      <c r="D608" s="13" t="str">
        <f>_xlfn.XLOOKUP(A608,CATÁLOGO!$A$2:$A$846,CATÁLOGO!$E$2:$E$846,"FORA DO CATÁLOGO")</f>
        <v>Ativo</v>
      </c>
      <c r="E608" s="2" t="s">
        <v>1401</v>
      </c>
      <c r="F608" s="62">
        <f>SUMIFS('AVARIA ESTIMADA'!$H$18:$H$40,'AVARIA ESTIMADA'!$A$18:$A$40,A608)</f>
        <v>0</v>
      </c>
    </row>
    <row r="609" spans="1:6" x14ac:dyDescent="0.3">
      <c r="A609" s="2" t="s">
        <v>1511</v>
      </c>
      <c r="B609" s="19" t="str">
        <f>_xlfn.XLOOKUP(A609,CATÁLOGO!$A$2:$A$846,CATÁLOGO!$B$2:$B$846,"FORA DO CATÁLOGO")</f>
        <v>BER011G40</v>
      </c>
      <c r="C609" s="13">
        <v>5</v>
      </c>
      <c r="D609" s="13" t="str">
        <f>_xlfn.XLOOKUP(A609,CATÁLOGO!$A$2:$A$846,CATÁLOGO!$E$2:$E$846,"FORA DO CATÁLOGO")</f>
        <v>Ativo</v>
      </c>
      <c r="E609" s="2" t="s">
        <v>1401</v>
      </c>
      <c r="F609" s="62">
        <f>SUMIFS('AVARIA ESTIMADA'!$H$18:$H$40,'AVARIA ESTIMADA'!$A$18:$A$40,A609)</f>
        <v>0</v>
      </c>
    </row>
    <row r="610" spans="1:6" x14ac:dyDescent="0.3">
      <c r="A610" s="2" t="s">
        <v>1508</v>
      </c>
      <c r="B610" s="19" t="str">
        <f>_xlfn.XLOOKUP(A610,CATÁLOGO!$A$2:$A$846,CATÁLOGO!$B$2:$B$846,"FORA DO CATÁLOGO")</f>
        <v>BER011G42</v>
      </c>
      <c r="C610" s="13">
        <v>5</v>
      </c>
      <c r="D610" s="13" t="str">
        <f>_xlfn.XLOOKUP(A610,CATÁLOGO!$A$2:$A$846,CATÁLOGO!$E$2:$E$846,"FORA DO CATÁLOGO")</f>
        <v>Ativo</v>
      </c>
      <c r="E610" s="2" t="s">
        <v>1401</v>
      </c>
      <c r="F610" s="62">
        <f>SUMIFS('AVARIA ESTIMADA'!$H$18:$H$40,'AVARIA ESTIMADA'!$A$18:$A$40,A610)</f>
        <v>0</v>
      </c>
    </row>
    <row r="611" spans="1:6" x14ac:dyDescent="0.3">
      <c r="A611" s="2" t="s">
        <v>1510</v>
      </c>
      <c r="B611" s="19" t="str">
        <f>_xlfn.XLOOKUP(A611,CATÁLOGO!$A$2:$A$846,CATÁLOGO!$B$2:$B$846,"FORA DO CATÁLOGO")</f>
        <v>BER011G44</v>
      </c>
      <c r="C611" s="13">
        <v>4</v>
      </c>
      <c r="D611" s="13" t="str">
        <f>_xlfn.XLOOKUP(A611,CATÁLOGO!$A$2:$A$846,CATÁLOGO!$E$2:$E$846,"FORA DO CATÁLOGO")</f>
        <v>Ativo</v>
      </c>
      <c r="E611" s="2" t="s">
        <v>1401</v>
      </c>
      <c r="F611" s="62">
        <f>SUMIFS('AVARIA ESTIMADA'!$H$18:$H$40,'AVARIA ESTIMADA'!$A$18:$A$40,A611)</f>
        <v>0</v>
      </c>
    </row>
    <row r="612" spans="1:6" x14ac:dyDescent="0.3">
      <c r="A612" s="2" t="s">
        <v>445</v>
      </c>
      <c r="B612" s="19" t="str">
        <f>_xlfn.XLOOKUP(A612,CATÁLOGO!$A$2:$A$846,CATÁLOGO!$B$2:$B$846,"FORA DO CATÁLOGO")</f>
        <v>JAQ009YM</v>
      </c>
      <c r="C612" s="13">
        <v>7</v>
      </c>
      <c r="D612" s="13" t="str">
        <f>_xlfn.XLOOKUP(A612,CATÁLOGO!$A$2:$A$846,CATÁLOGO!$E$2:$E$846,"FORA DO CATÁLOGO")</f>
        <v>Ativo</v>
      </c>
      <c r="E612" s="2" t="s">
        <v>1401</v>
      </c>
      <c r="F612" s="62">
        <f>SUMIFS('AVARIA ESTIMADA'!$H$18:$H$40,'AVARIA ESTIMADA'!$A$18:$A$40,A612)</f>
        <v>0</v>
      </c>
    </row>
    <row r="613" spans="1:6" x14ac:dyDescent="0.3">
      <c r="A613" s="2" t="s">
        <v>446</v>
      </c>
      <c r="B613" s="19" t="str">
        <f>_xlfn.XLOOKUP(A613,CATÁLOGO!$A$2:$A$846,CATÁLOGO!$B$2:$B$846,"FORA DO CATÁLOGO")</f>
        <v>JAQ009YG</v>
      </c>
      <c r="C613" s="13">
        <v>6</v>
      </c>
      <c r="D613" s="13" t="str">
        <f>_xlfn.XLOOKUP(A613,CATÁLOGO!$A$2:$A$846,CATÁLOGO!$E$2:$E$846,"FORA DO CATÁLOGO")</f>
        <v>Ativo</v>
      </c>
      <c r="E613" s="2" t="s">
        <v>1401</v>
      </c>
      <c r="F613" s="62">
        <f>SUMIFS('AVARIA ESTIMADA'!$H$18:$H$40,'AVARIA ESTIMADA'!$A$18:$A$40,A613)</f>
        <v>0</v>
      </c>
    </row>
    <row r="614" spans="1:6" x14ac:dyDescent="0.3">
      <c r="A614" s="2" t="s">
        <v>447</v>
      </c>
      <c r="B614" s="19" t="str">
        <f>_xlfn.XLOOKUP(A614,CATÁLOGO!$A$2:$A$846,CATÁLOGO!$B$2:$B$846,"FORA DO CATÁLOGO")</f>
        <v>JAQ009YGG</v>
      </c>
      <c r="C614" s="13">
        <v>3</v>
      </c>
      <c r="D614" s="13" t="str">
        <f>_xlfn.XLOOKUP(A614,CATÁLOGO!$A$2:$A$846,CATÁLOGO!$E$2:$E$846,"FORA DO CATÁLOGO")</f>
        <v>Ativo</v>
      </c>
      <c r="E614" s="2" t="s">
        <v>1401</v>
      </c>
      <c r="F614" s="62">
        <f>SUMIFS('AVARIA ESTIMADA'!$H$18:$H$40,'AVARIA ESTIMADA'!$A$18:$A$40,A614)</f>
        <v>0</v>
      </c>
    </row>
    <row r="615" spans="1:6" x14ac:dyDescent="0.3">
      <c r="A615" s="2" t="s">
        <v>1808</v>
      </c>
      <c r="B615" s="19" t="str">
        <f>_xlfn.XLOOKUP(A615,CATÁLOGO!$A$2:$A$846,CATÁLOGO!$B$2:$B$846,"FORA DO CATÁLOGO")</f>
        <v>JAQ010HPP</v>
      </c>
      <c r="C615" s="13">
        <v>1</v>
      </c>
      <c r="D615" s="13" t="str">
        <f>_xlfn.XLOOKUP(A615,CATÁLOGO!$A$2:$A$846,CATÁLOGO!$E$2:$E$846,"FORA DO CATÁLOGO")</f>
        <v>Ativo</v>
      </c>
      <c r="E615" s="2" t="s">
        <v>1401</v>
      </c>
      <c r="F615" s="62">
        <f>SUMIFS('AVARIA ESTIMADA'!$H$18:$H$40,'AVARIA ESTIMADA'!$A$18:$A$40,A615)</f>
        <v>0</v>
      </c>
    </row>
    <row r="616" spans="1:6" x14ac:dyDescent="0.3">
      <c r="A616" s="2" t="s">
        <v>448</v>
      </c>
      <c r="B616" s="19" t="str">
        <f>_xlfn.XLOOKUP(A616,CATÁLOGO!$A$2:$A$846,CATÁLOGO!$B$2:$B$846,"FORA DO CATÁLOGO")</f>
        <v>JAQ010HP</v>
      </c>
      <c r="C616" s="13">
        <v>3</v>
      </c>
      <c r="D616" s="13" t="str">
        <f>_xlfn.XLOOKUP(A616,CATÁLOGO!$A$2:$A$846,CATÁLOGO!$E$2:$E$846,"FORA DO CATÁLOGO")</f>
        <v>Ativo</v>
      </c>
      <c r="E616" s="2" t="s">
        <v>1401</v>
      </c>
      <c r="F616" s="62">
        <f>SUMIFS('AVARIA ESTIMADA'!$H$18:$H$40,'AVARIA ESTIMADA'!$A$18:$A$40,A616)</f>
        <v>0</v>
      </c>
    </row>
    <row r="617" spans="1:6" x14ac:dyDescent="0.3">
      <c r="A617" s="2" t="s">
        <v>449</v>
      </c>
      <c r="B617" s="19" t="str">
        <f>_xlfn.XLOOKUP(A617,CATÁLOGO!$A$2:$A$846,CATÁLOGO!$B$2:$B$846,"FORA DO CATÁLOGO")</f>
        <v>JAQ010HM</v>
      </c>
      <c r="C617" s="13">
        <v>2</v>
      </c>
      <c r="D617" s="13" t="str">
        <f>_xlfn.XLOOKUP(A617,CATÁLOGO!$A$2:$A$846,CATÁLOGO!$E$2:$E$846,"FORA DO CATÁLOGO")</f>
        <v>Ativo</v>
      </c>
      <c r="E617" s="2" t="s">
        <v>1401</v>
      </c>
      <c r="F617" s="62">
        <f>SUMIFS('AVARIA ESTIMADA'!$H$18:$H$40,'AVARIA ESTIMADA'!$A$18:$A$40,A617)</f>
        <v>0</v>
      </c>
    </row>
    <row r="618" spans="1:6" x14ac:dyDescent="0.3">
      <c r="A618" s="2" t="s">
        <v>450</v>
      </c>
      <c r="B618" s="19" t="str">
        <f>_xlfn.XLOOKUP(A618,CATÁLOGO!$A$2:$A$846,CATÁLOGO!$B$2:$B$846,"FORA DO CATÁLOGO")</f>
        <v>JAQ010HG</v>
      </c>
      <c r="C618" s="13">
        <v>2</v>
      </c>
      <c r="D618" s="13" t="str">
        <f>_xlfn.XLOOKUP(A618,CATÁLOGO!$A$2:$A$846,CATÁLOGO!$E$2:$E$846,"FORA DO CATÁLOGO")</f>
        <v>Ativo</v>
      </c>
      <c r="E618" s="2" t="s">
        <v>1401</v>
      </c>
      <c r="F618" s="62">
        <f>SUMIFS('AVARIA ESTIMADA'!$H$18:$H$40,'AVARIA ESTIMADA'!$A$18:$A$40,A618)</f>
        <v>0</v>
      </c>
    </row>
    <row r="619" spans="1:6" x14ac:dyDescent="0.3">
      <c r="A619" s="2" t="s">
        <v>451</v>
      </c>
      <c r="B619" s="19" t="str">
        <f>_xlfn.XLOOKUP(A619,CATÁLOGO!$A$2:$A$846,CATÁLOGO!$B$2:$B$846,"FORA DO CATÁLOGO")</f>
        <v>JAQ010HGG</v>
      </c>
      <c r="C619" s="13">
        <v>1</v>
      </c>
      <c r="D619" s="13" t="str">
        <f>_xlfn.XLOOKUP(A619,CATÁLOGO!$A$2:$A$846,CATÁLOGO!$E$2:$E$846,"FORA DO CATÁLOGO")</f>
        <v>Ativo</v>
      </c>
      <c r="E619" s="2" t="s">
        <v>1401</v>
      </c>
      <c r="F619" s="62">
        <f>SUMIFS('AVARIA ESTIMADA'!$H$18:$H$40,'AVARIA ESTIMADA'!$A$18:$A$40,A619)</f>
        <v>0</v>
      </c>
    </row>
    <row r="620" spans="1:6" x14ac:dyDescent="0.3">
      <c r="A620" s="2" t="s">
        <v>1807</v>
      </c>
      <c r="B620" s="19" t="str">
        <f>_xlfn.XLOOKUP(A620,CATÁLOGO!$A$2:$A$846,CATÁLOGO!$B$2:$B$846,"FORA DO CATÁLOGO")</f>
        <v>JAQ010VPP</v>
      </c>
      <c r="C620" s="13">
        <v>1</v>
      </c>
      <c r="D620" s="13" t="str">
        <f>_xlfn.XLOOKUP(A620,CATÁLOGO!$A$2:$A$846,CATÁLOGO!$E$2:$E$846,"FORA DO CATÁLOGO")</f>
        <v>Ativo</v>
      </c>
      <c r="E620" s="2" t="s">
        <v>1401</v>
      </c>
      <c r="F620" s="62">
        <f>SUMIFS('AVARIA ESTIMADA'!$H$18:$H$40,'AVARIA ESTIMADA'!$A$18:$A$40,A620)</f>
        <v>0</v>
      </c>
    </row>
    <row r="621" spans="1:6" x14ac:dyDescent="0.3">
      <c r="A621" s="2" t="s">
        <v>452</v>
      </c>
      <c r="B621" s="19" t="str">
        <f>_xlfn.XLOOKUP(A621,CATÁLOGO!$A$2:$A$846,CATÁLOGO!$B$2:$B$846,"FORA DO CATÁLOGO")</f>
        <v>JAQ010VP</v>
      </c>
      <c r="C621" s="13">
        <v>2</v>
      </c>
      <c r="D621" s="13" t="str">
        <f>_xlfn.XLOOKUP(A621,CATÁLOGO!$A$2:$A$846,CATÁLOGO!$E$2:$E$846,"FORA DO CATÁLOGO")</f>
        <v>Ativo</v>
      </c>
      <c r="E621" s="2" t="s">
        <v>1401</v>
      </c>
      <c r="F621" s="62">
        <f>SUMIFS('AVARIA ESTIMADA'!$H$18:$H$40,'AVARIA ESTIMADA'!$A$18:$A$40,A621)</f>
        <v>0</v>
      </c>
    </row>
    <row r="622" spans="1:6" x14ac:dyDescent="0.3">
      <c r="A622" s="2" t="s">
        <v>453</v>
      </c>
      <c r="B622" s="19" t="str">
        <f>_xlfn.XLOOKUP(A622,CATÁLOGO!$A$2:$A$846,CATÁLOGO!$B$2:$B$846,"FORA DO CATÁLOGO")</f>
        <v>JAQ010VM</v>
      </c>
      <c r="C622" s="13">
        <v>1</v>
      </c>
      <c r="D622" s="13" t="str">
        <f>_xlfn.XLOOKUP(A622,CATÁLOGO!$A$2:$A$846,CATÁLOGO!$E$2:$E$846,"FORA DO CATÁLOGO")</f>
        <v>Ativo</v>
      </c>
      <c r="E622" s="2" t="s">
        <v>1401</v>
      </c>
      <c r="F622" s="62">
        <f>SUMIFS('AVARIA ESTIMADA'!$H$18:$H$40,'AVARIA ESTIMADA'!$A$18:$A$40,A622)</f>
        <v>0</v>
      </c>
    </row>
    <row r="623" spans="1:6" x14ac:dyDescent="0.3">
      <c r="A623" s="2" t="s">
        <v>454</v>
      </c>
      <c r="B623" s="19" t="str">
        <f>_xlfn.XLOOKUP(A623,CATÁLOGO!$A$2:$A$846,CATÁLOGO!$B$2:$B$846,"FORA DO CATÁLOGO")</f>
        <v>JAQ010VG</v>
      </c>
      <c r="C623" s="13">
        <v>1</v>
      </c>
      <c r="D623" s="13" t="str">
        <f>_xlfn.XLOOKUP(A623,CATÁLOGO!$A$2:$A$846,CATÁLOGO!$E$2:$E$846,"FORA DO CATÁLOGO")</f>
        <v>Ativo</v>
      </c>
      <c r="E623" s="2" t="s">
        <v>1401</v>
      </c>
      <c r="F623" s="62">
        <f>SUMIFS('AVARIA ESTIMADA'!$H$18:$H$40,'AVARIA ESTIMADA'!$A$18:$A$40,A623)</f>
        <v>0</v>
      </c>
    </row>
    <row r="624" spans="1:6" x14ac:dyDescent="0.3">
      <c r="A624" s="2" t="s">
        <v>455</v>
      </c>
      <c r="B624" s="19" t="str">
        <f>_xlfn.XLOOKUP(A624,CATÁLOGO!$A$2:$A$846,CATÁLOGO!$B$2:$B$846,"FORA DO CATÁLOGO")</f>
        <v>JAQ010VGG</v>
      </c>
      <c r="C624" s="13">
        <v>1</v>
      </c>
      <c r="D624" s="13" t="str">
        <f>_xlfn.XLOOKUP(A624,CATÁLOGO!$A$2:$A$846,CATÁLOGO!$E$2:$E$846,"FORA DO CATÁLOGO")</f>
        <v>Ativo</v>
      </c>
      <c r="E624" s="2" t="s">
        <v>1401</v>
      </c>
      <c r="F624" s="62">
        <f>SUMIFS('AVARIA ESTIMADA'!$H$18:$H$40,'AVARIA ESTIMADA'!$A$18:$A$40,A624)</f>
        <v>0</v>
      </c>
    </row>
    <row r="625" spans="1:6" x14ac:dyDescent="0.3">
      <c r="A625" s="2" t="s">
        <v>456</v>
      </c>
      <c r="B625" s="19" t="str">
        <f>_xlfn.XLOOKUP(A625,CATÁLOGO!$A$2:$A$846,CATÁLOGO!$B$2:$B$846,"FORA DO CATÁLOGO")</f>
        <v>TRI001MM</v>
      </c>
      <c r="C625" s="13">
        <v>7</v>
      </c>
      <c r="D625" s="13" t="str">
        <f>_xlfn.XLOOKUP(A625,CATÁLOGO!$A$2:$A$846,CATÁLOGO!$E$2:$E$846,"FORA DO CATÁLOGO")</f>
        <v>Ativo</v>
      </c>
      <c r="E625" s="2" t="s">
        <v>1401</v>
      </c>
      <c r="F625" s="62">
        <f>SUMIFS('AVARIA ESTIMADA'!$H$18:$H$40,'AVARIA ESTIMADA'!$A$18:$A$40,A625)</f>
        <v>0</v>
      </c>
    </row>
    <row r="626" spans="1:6" x14ac:dyDescent="0.3">
      <c r="A626" s="2" t="s">
        <v>457</v>
      </c>
      <c r="B626" s="19" t="str">
        <f>_xlfn.XLOOKUP(A626,CATÁLOGO!$A$2:$A$846,CATÁLOGO!$B$2:$B$846,"FORA DO CATÁLOGO")</f>
        <v>TRI001MG</v>
      </c>
      <c r="C626" s="13">
        <v>5</v>
      </c>
      <c r="D626" s="13" t="str">
        <f>_xlfn.XLOOKUP(A626,CATÁLOGO!$A$2:$A$846,CATÁLOGO!$E$2:$E$846,"FORA DO CATÁLOGO")</f>
        <v>Ativo</v>
      </c>
      <c r="E626" s="2" t="s">
        <v>1401</v>
      </c>
      <c r="F626" s="62">
        <f>SUMIFS('AVARIA ESTIMADA'!$H$18:$H$40,'AVARIA ESTIMADA'!$A$18:$A$40,A626)</f>
        <v>0</v>
      </c>
    </row>
    <row r="627" spans="1:6" x14ac:dyDescent="0.3">
      <c r="A627" s="2" t="s">
        <v>458</v>
      </c>
      <c r="B627" s="19" t="str">
        <f>_xlfn.XLOOKUP(A627,CATÁLOGO!$A$2:$A$846,CATÁLOGO!$B$2:$B$846,"FORA DO CATÁLOGO")</f>
        <v>SAI012GP</v>
      </c>
      <c r="C627" s="13">
        <v>8</v>
      </c>
      <c r="D627" s="13" t="str">
        <f>_xlfn.XLOOKUP(A627,CATÁLOGO!$A$2:$A$846,CATÁLOGO!$E$2:$E$846,"FORA DO CATÁLOGO")</f>
        <v>Ativo</v>
      </c>
      <c r="E627" s="2" t="s">
        <v>1401</v>
      </c>
      <c r="F627" s="62">
        <f>SUMIFS('AVARIA ESTIMADA'!$H$18:$H$40,'AVARIA ESTIMADA'!$A$18:$A$40,A627)</f>
        <v>0</v>
      </c>
    </row>
    <row r="628" spans="1:6" x14ac:dyDescent="0.3">
      <c r="A628" s="2" t="s">
        <v>459</v>
      </c>
      <c r="B628" s="19" t="str">
        <f>_xlfn.XLOOKUP(A628,CATÁLOGO!$A$2:$A$846,CATÁLOGO!$B$2:$B$846,"FORA DO CATÁLOGO")</f>
        <v>SAI012GG</v>
      </c>
      <c r="C628" s="13">
        <v>7</v>
      </c>
      <c r="D628" s="13" t="str">
        <f>_xlfn.XLOOKUP(A628,CATÁLOGO!$A$2:$A$846,CATÁLOGO!$E$2:$E$846,"FORA DO CATÁLOGO")</f>
        <v>Ativo</v>
      </c>
      <c r="E628" s="2" t="s">
        <v>1401</v>
      </c>
      <c r="F628" s="62">
        <f>SUMIFS('AVARIA ESTIMADA'!$H$18:$H$40,'AVARIA ESTIMADA'!$A$18:$A$40,A628)</f>
        <v>0</v>
      </c>
    </row>
    <row r="629" spans="1:6" x14ac:dyDescent="0.3">
      <c r="A629" s="2" t="s">
        <v>460</v>
      </c>
      <c r="B629" s="19" t="str">
        <f>_xlfn.XLOOKUP(A629,CATÁLOGO!$A$2:$A$846,CATÁLOGO!$B$2:$B$846,"FORA DO CATÁLOGO")</f>
        <v>SAI012GGG</v>
      </c>
      <c r="C629" s="13">
        <v>5</v>
      </c>
      <c r="D629" s="13" t="str">
        <f>_xlfn.XLOOKUP(A629,CATÁLOGO!$A$2:$A$846,CATÁLOGO!$E$2:$E$846,"FORA DO CATÁLOGO")</f>
        <v>Ativo</v>
      </c>
      <c r="E629" s="2" t="s">
        <v>1401</v>
      </c>
      <c r="F629" s="62">
        <f>SUMIFS('AVARIA ESTIMADA'!$H$18:$H$40,'AVARIA ESTIMADA'!$A$18:$A$40,A629)</f>
        <v>0</v>
      </c>
    </row>
    <row r="630" spans="1:6" x14ac:dyDescent="0.3">
      <c r="A630" s="2" t="s">
        <v>461</v>
      </c>
      <c r="B630" s="19" t="str">
        <f>_xlfn.XLOOKUP(A630,CATÁLOGO!$A$2:$A$846,CATÁLOGO!$B$2:$B$846,"FORA DO CATÁLOGO")</f>
        <v>MOL017LP</v>
      </c>
      <c r="C630" s="13">
        <v>2</v>
      </c>
      <c r="D630" s="13" t="str">
        <f>_xlfn.XLOOKUP(A630,CATÁLOGO!$A$2:$A$846,CATÁLOGO!$E$2:$E$846,"FORA DO CATÁLOGO")</f>
        <v>Ativo</v>
      </c>
      <c r="E630" s="2" t="s">
        <v>1401</v>
      </c>
      <c r="F630" s="62">
        <f>SUMIFS('AVARIA ESTIMADA'!$H$18:$H$40,'AVARIA ESTIMADA'!$A$18:$A$40,A630)</f>
        <v>0</v>
      </c>
    </row>
    <row r="631" spans="1:6" x14ac:dyDescent="0.3">
      <c r="A631" s="2" t="s">
        <v>462</v>
      </c>
      <c r="B631" s="19" t="str">
        <f>_xlfn.XLOOKUP(A631,CATÁLOGO!$A$2:$A$846,CATÁLOGO!$B$2:$B$846,"FORA DO CATÁLOGO")</f>
        <v>MOL017LM</v>
      </c>
      <c r="C631" s="13">
        <v>2</v>
      </c>
      <c r="D631" s="13" t="str">
        <f>_xlfn.XLOOKUP(A631,CATÁLOGO!$A$2:$A$846,CATÁLOGO!$E$2:$E$846,"FORA DO CATÁLOGO")</f>
        <v>Ativo</v>
      </c>
      <c r="E631" s="2" t="s">
        <v>1401</v>
      </c>
      <c r="F631" s="62">
        <f>SUMIFS('AVARIA ESTIMADA'!$H$18:$H$40,'AVARIA ESTIMADA'!$A$18:$A$40,A631)</f>
        <v>0</v>
      </c>
    </row>
    <row r="632" spans="1:6" x14ac:dyDescent="0.3">
      <c r="A632" s="2" t="s">
        <v>463</v>
      </c>
      <c r="B632" s="19" t="str">
        <f>_xlfn.XLOOKUP(A632,CATÁLOGO!$A$2:$A$846,CATÁLOGO!$B$2:$B$846,"FORA DO CATÁLOGO")</f>
        <v>MOL017LG</v>
      </c>
      <c r="C632" s="13">
        <v>1</v>
      </c>
      <c r="D632" s="13" t="str">
        <f>_xlfn.XLOOKUP(A632,CATÁLOGO!$A$2:$A$846,CATÁLOGO!$E$2:$E$846,"FORA DO CATÁLOGO")</f>
        <v>Ativo</v>
      </c>
      <c r="E632" s="2" t="s">
        <v>1401</v>
      </c>
      <c r="F632" s="62">
        <f>SUMIFS('AVARIA ESTIMADA'!$H$18:$H$40,'AVARIA ESTIMADA'!$A$18:$A$40,A632)</f>
        <v>0</v>
      </c>
    </row>
    <row r="633" spans="1:6" x14ac:dyDescent="0.3">
      <c r="A633" s="2" t="s">
        <v>464</v>
      </c>
      <c r="B633" s="19" t="str">
        <f>_xlfn.XLOOKUP(A633,CATÁLOGO!$A$2:$A$846,CATÁLOGO!$B$2:$B$846,"FORA DO CATÁLOGO")</f>
        <v>MOL017LGG</v>
      </c>
      <c r="C633" s="13">
        <v>1</v>
      </c>
      <c r="D633" s="13" t="str">
        <f>_xlfn.XLOOKUP(A633,CATÁLOGO!$A$2:$A$846,CATÁLOGO!$E$2:$E$846,"FORA DO CATÁLOGO")</f>
        <v>Ativo</v>
      </c>
      <c r="E633" s="2" t="s">
        <v>1401</v>
      </c>
      <c r="F633" s="62">
        <f>SUMIFS('AVARIA ESTIMADA'!$H$18:$H$40,'AVARIA ESTIMADA'!$A$18:$A$40,A633)</f>
        <v>0</v>
      </c>
    </row>
    <row r="634" spans="1:6" x14ac:dyDescent="0.3">
      <c r="A634" s="2" t="s">
        <v>465</v>
      </c>
      <c r="B634" s="19" t="str">
        <f>_xlfn.XLOOKUP(A634,CATÁLOGO!$A$2:$A$846,CATÁLOGO!$B$2:$B$846,"FORA DO CATÁLOGO")</f>
        <v>ACE012AU</v>
      </c>
      <c r="C634" s="13">
        <v>6</v>
      </c>
      <c r="D634" s="13" t="str">
        <f>_xlfn.XLOOKUP(A634,CATÁLOGO!$A$2:$A$846,CATÁLOGO!$E$2:$E$846,"FORA DO CATÁLOGO")</f>
        <v>Ativo</v>
      </c>
      <c r="E634" s="2" t="s">
        <v>1401</v>
      </c>
      <c r="F634" s="62">
        <f>SUMIFS('AVARIA ESTIMADA'!$H$18:$H$40,'AVARIA ESTIMADA'!$A$18:$A$40,A634)</f>
        <v>0</v>
      </c>
    </row>
    <row r="635" spans="1:6" x14ac:dyDescent="0.3">
      <c r="A635" s="2" t="s">
        <v>466</v>
      </c>
      <c r="B635" s="19" t="str">
        <f>_xlfn.XLOOKUP(A635,CATÁLOGO!$A$2:$A$846,CATÁLOGO!$B$2:$B$846,"FORA DO CATÁLOGO")</f>
        <v>MOL018BP</v>
      </c>
      <c r="C635" s="13">
        <v>2</v>
      </c>
      <c r="D635" s="13" t="str">
        <f>_xlfn.XLOOKUP(A635,CATÁLOGO!$A$2:$A$846,CATÁLOGO!$E$2:$E$846,"FORA DO CATÁLOGO")</f>
        <v>Ativo</v>
      </c>
      <c r="E635" s="2" t="s">
        <v>1401</v>
      </c>
      <c r="F635" s="62">
        <f>SUMIFS('AVARIA ESTIMADA'!$H$18:$H$40,'AVARIA ESTIMADA'!$A$18:$A$40,A635)</f>
        <v>0</v>
      </c>
    </row>
    <row r="636" spans="1:6" x14ac:dyDescent="0.3">
      <c r="A636" s="2" t="s">
        <v>467</v>
      </c>
      <c r="B636" s="19" t="str">
        <f>_xlfn.XLOOKUP(A636,CATÁLOGO!$A$2:$A$846,CATÁLOGO!$B$2:$B$846,"FORA DO CATÁLOGO")</f>
        <v>MOL018BM</v>
      </c>
      <c r="C636" s="13">
        <v>2</v>
      </c>
      <c r="D636" s="13" t="str">
        <f>_xlfn.XLOOKUP(A636,CATÁLOGO!$A$2:$A$846,CATÁLOGO!$E$2:$E$846,"FORA DO CATÁLOGO")</f>
        <v>Ativo</v>
      </c>
      <c r="E636" s="2" t="s">
        <v>1401</v>
      </c>
      <c r="F636" s="62">
        <f>SUMIFS('AVARIA ESTIMADA'!$H$18:$H$40,'AVARIA ESTIMADA'!$A$18:$A$40,A636)</f>
        <v>0</v>
      </c>
    </row>
    <row r="637" spans="1:6" x14ac:dyDescent="0.3">
      <c r="A637" s="2" t="s">
        <v>468</v>
      </c>
      <c r="B637" s="19" t="str">
        <f>_xlfn.XLOOKUP(A637,CATÁLOGO!$A$2:$A$846,CATÁLOGO!$B$2:$B$846,"FORA DO CATÁLOGO")</f>
        <v>MOL018BG</v>
      </c>
      <c r="C637" s="13">
        <v>2</v>
      </c>
      <c r="D637" s="13" t="str">
        <f>_xlfn.XLOOKUP(A637,CATÁLOGO!$A$2:$A$846,CATÁLOGO!$E$2:$E$846,"FORA DO CATÁLOGO")</f>
        <v>Ativo</v>
      </c>
      <c r="E637" s="2" t="s">
        <v>1401</v>
      </c>
      <c r="F637" s="62">
        <f>SUMIFS('AVARIA ESTIMADA'!$H$18:$H$40,'AVARIA ESTIMADA'!$A$18:$A$40,A637)</f>
        <v>0</v>
      </c>
    </row>
    <row r="638" spans="1:6" x14ac:dyDescent="0.3">
      <c r="A638" s="2" t="s">
        <v>469</v>
      </c>
      <c r="B638" s="19" t="str">
        <f>_xlfn.XLOOKUP(A638,CATÁLOGO!$A$2:$A$846,CATÁLOGO!$B$2:$B$846,"FORA DO CATÁLOGO")</f>
        <v>MOL018BGG</v>
      </c>
      <c r="C638" s="13">
        <v>1</v>
      </c>
      <c r="D638" s="13" t="str">
        <f>_xlfn.XLOOKUP(A638,CATÁLOGO!$A$2:$A$846,CATÁLOGO!$E$2:$E$846,"FORA DO CATÁLOGO")</f>
        <v>Ativo</v>
      </c>
      <c r="E638" s="2" t="s">
        <v>1401</v>
      </c>
      <c r="F638" s="62">
        <f>SUMIFS('AVARIA ESTIMADA'!$H$18:$H$40,'AVARIA ESTIMADA'!$A$18:$A$40,A638)</f>
        <v>0</v>
      </c>
    </row>
    <row r="639" spans="1:6" x14ac:dyDescent="0.3">
      <c r="A639" s="2" t="s">
        <v>470</v>
      </c>
      <c r="B639" s="19" t="str">
        <f>_xlfn.XLOOKUP(A639,CATÁLOGO!$A$2:$A$846,CATÁLOGO!$B$2:$B$846,"FORA DO CATÁLOGO")</f>
        <v>ACE013VU</v>
      </c>
      <c r="C639" s="13">
        <v>3</v>
      </c>
      <c r="D639" s="13" t="str">
        <f>_xlfn.XLOOKUP(A639,CATÁLOGO!$A$2:$A$846,CATÁLOGO!$E$2:$E$846,"FORA DO CATÁLOGO")</f>
        <v>Ativo</v>
      </c>
      <c r="E639" s="2" t="s">
        <v>1401</v>
      </c>
      <c r="F639" s="62">
        <f>SUMIFS('AVARIA ESTIMADA'!$H$18:$H$40,'AVARIA ESTIMADA'!$A$18:$A$40,A639)</f>
        <v>0</v>
      </c>
    </row>
    <row r="640" spans="1:6" x14ac:dyDescent="0.3">
      <c r="A640" s="2" t="s">
        <v>1698</v>
      </c>
      <c r="B640" s="19" t="str">
        <f>_xlfn.XLOOKUP(A640,CATÁLOGO!$A$2:$A$846,CATÁLOGO!$B$2:$B$846,"FORA DO CATÁLOGO")</f>
        <v>CAL026O36</v>
      </c>
      <c r="C640" s="13">
        <v>1</v>
      </c>
      <c r="D640" s="13" t="str">
        <f>_xlfn.XLOOKUP(A640,CATÁLOGO!$A$2:$A$846,CATÁLOGO!$E$2:$E$846,"FORA DO CATÁLOGO")</f>
        <v>Ativo</v>
      </c>
      <c r="E640" s="2" t="s">
        <v>1401</v>
      </c>
      <c r="F640" s="62">
        <f>SUMIFS('AVARIA ESTIMADA'!$H$18:$H$40,'AVARIA ESTIMADA'!$A$18:$A$40,A640)</f>
        <v>0</v>
      </c>
    </row>
    <row r="641" spans="1:6" x14ac:dyDescent="0.3">
      <c r="A641" s="2" t="s">
        <v>1697</v>
      </c>
      <c r="B641" s="19" t="str">
        <f>_xlfn.XLOOKUP(A641,CATÁLOGO!$A$2:$A$846,CATÁLOGO!$B$2:$B$846,"FORA DO CATÁLOGO")</f>
        <v>CAL026O38</v>
      </c>
      <c r="C641" s="13">
        <v>2</v>
      </c>
      <c r="D641" s="13" t="str">
        <f>_xlfn.XLOOKUP(A641,CATÁLOGO!$A$2:$A$846,CATÁLOGO!$E$2:$E$846,"FORA DO CATÁLOGO")</f>
        <v>Ativo</v>
      </c>
      <c r="E641" s="2" t="s">
        <v>1401</v>
      </c>
      <c r="F641" s="62">
        <f>SUMIFS('AVARIA ESTIMADA'!$H$18:$H$40,'AVARIA ESTIMADA'!$A$18:$A$40,A641)</f>
        <v>0</v>
      </c>
    </row>
    <row r="642" spans="1:6" x14ac:dyDescent="0.3">
      <c r="A642" s="2" t="s">
        <v>1696</v>
      </c>
      <c r="B642" s="19" t="str">
        <f>_xlfn.XLOOKUP(A642,CATÁLOGO!$A$2:$A$846,CATÁLOGO!$B$2:$B$846,"FORA DO CATÁLOGO")</f>
        <v>CAL026O40</v>
      </c>
      <c r="C642" s="13">
        <v>3</v>
      </c>
      <c r="D642" s="13" t="str">
        <f>_xlfn.XLOOKUP(A642,CATÁLOGO!$A$2:$A$846,CATÁLOGO!$E$2:$E$846,"FORA DO CATÁLOGO")</f>
        <v>Ativo</v>
      </c>
      <c r="E642" s="2" t="s">
        <v>1401</v>
      </c>
      <c r="F642" s="62">
        <f>SUMIFS('AVARIA ESTIMADA'!$H$18:$H$40,'AVARIA ESTIMADA'!$A$18:$A$40,A642)</f>
        <v>0</v>
      </c>
    </row>
    <row r="643" spans="1:6" x14ac:dyDescent="0.3">
      <c r="A643" s="2" t="s">
        <v>1693</v>
      </c>
      <c r="B643" s="19" t="str">
        <f>_xlfn.XLOOKUP(A643,CATÁLOGO!$A$2:$A$846,CATÁLOGO!$B$2:$B$846,"FORA DO CATÁLOGO")</f>
        <v>CAL026O42</v>
      </c>
      <c r="C643" s="13">
        <v>2</v>
      </c>
      <c r="D643" s="13" t="str">
        <f>_xlfn.XLOOKUP(A643,CATÁLOGO!$A$2:$A$846,CATÁLOGO!$E$2:$E$846,"FORA DO CATÁLOGO")</f>
        <v>Ativo</v>
      </c>
      <c r="E643" s="2" t="s">
        <v>1401</v>
      </c>
      <c r="F643" s="62">
        <f>SUMIFS('AVARIA ESTIMADA'!$H$18:$H$40,'AVARIA ESTIMADA'!$A$18:$A$40,A643)</f>
        <v>0</v>
      </c>
    </row>
    <row r="644" spans="1:6" x14ac:dyDescent="0.3">
      <c r="A644" s="2" t="s">
        <v>1695</v>
      </c>
      <c r="B644" s="19" t="str">
        <f>_xlfn.XLOOKUP(A644,CATÁLOGO!$A$2:$A$846,CATÁLOGO!$B$2:$B$846,"FORA DO CATÁLOGO")</f>
        <v>CAL026O44</v>
      </c>
      <c r="C644" s="13">
        <v>1</v>
      </c>
      <c r="D644" s="13" t="str">
        <f>_xlfn.XLOOKUP(A644,CATÁLOGO!$A$2:$A$846,CATÁLOGO!$E$2:$E$846,"FORA DO CATÁLOGO")</f>
        <v>Ativo</v>
      </c>
      <c r="E644" s="2" t="s">
        <v>1401</v>
      </c>
      <c r="F644" s="62">
        <f>SUMIFS('AVARIA ESTIMADA'!$H$18:$H$40,'AVARIA ESTIMADA'!$A$18:$A$40,A644)</f>
        <v>0</v>
      </c>
    </row>
    <row r="645" spans="1:6" x14ac:dyDescent="0.3">
      <c r="A645" s="2" t="s">
        <v>471</v>
      </c>
      <c r="B645" s="19" t="str">
        <f>_xlfn.XLOOKUP(A645,CATÁLOGO!$A$2:$A$846,CATÁLOGO!$B$2:$B$846,"FORA DO CATÁLOGO")</f>
        <v>CAM021AP</v>
      </c>
      <c r="C645" s="13">
        <v>2</v>
      </c>
      <c r="D645" s="13" t="str">
        <f>_xlfn.XLOOKUP(A645,CATÁLOGO!$A$2:$A$846,CATÁLOGO!$E$2:$E$846,"FORA DO CATÁLOGO")</f>
        <v>Ativo</v>
      </c>
      <c r="E645" s="2" t="s">
        <v>1401</v>
      </c>
      <c r="F645" s="62">
        <f>SUMIFS('AVARIA ESTIMADA'!$H$18:$H$40,'AVARIA ESTIMADA'!$A$18:$A$40,A645)</f>
        <v>0</v>
      </c>
    </row>
    <row r="646" spans="1:6" x14ac:dyDescent="0.3">
      <c r="A646" s="2" t="s">
        <v>472</v>
      </c>
      <c r="B646" s="19" t="str">
        <f>_xlfn.XLOOKUP(A646,CATÁLOGO!$A$2:$A$846,CATÁLOGO!$B$2:$B$846,"FORA DO CATÁLOGO")</f>
        <v>CAM021AM</v>
      </c>
      <c r="C646" s="13">
        <v>6</v>
      </c>
      <c r="D646" s="13" t="str">
        <f>_xlfn.XLOOKUP(A646,CATÁLOGO!$A$2:$A$846,CATÁLOGO!$E$2:$E$846,"FORA DO CATÁLOGO")</f>
        <v>Ativo</v>
      </c>
      <c r="E646" s="2" t="s">
        <v>1401</v>
      </c>
      <c r="F646" s="62">
        <f>SUMIFS('AVARIA ESTIMADA'!$H$18:$H$40,'AVARIA ESTIMADA'!$A$18:$A$40,A646)</f>
        <v>0</v>
      </c>
    </row>
    <row r="647" spans="1:6" x14ac:dyDescent="0.3">
      <c r="A647" s="2" t="s">
        <v>473</v>
      </c>
      <c r="B647" s="19" t="str">
        <f>_xlfn.XLOOKUP(A647,CATÁLOGO!$A$2:$A$846,CATÁLOGO!$B$2:$B$846,"FORA DO CATÁLOGO")</f>
        <v>CAM021AG</v>
      </c>
      <c r="C647" s="13">
        <v>5</v>
      </c>
      <c r="D647" s="13" t="str">
        <f>_xlfn.XLOOKUP(A647,CATÁLOGO!$A$2:$A$846,CATÁLOGO!$E$2:$E$846,"FORA DO CATÁLOGO")</f>
        <v>Ativo</v>
      </c>
      <c r="E647" s="2" t="s">
        <v>1401</v>
      </c>
      <c r="F647" s="62">
        <f>SUMIFS('AVARIA ESTIMADA'!$H$18:$H$40,'AVARIA ESTIMADA'!$A$18:$A$40,A647)</f>
        <v>0</v>
      </c>
    </row>
    <row r="648" spans="1:6" x14ac:dyDescent="0.3">
      <c r="A648" s="2" t="s">
        <v>474</v>
      </c>
      <c r="B648" s="19" t="str">
        <f>_xlfn.XLOOKUP(A648,CATÁLOGO!$A$2:$A$846,CATÁLOGO!$B$2:$B$846,"FORA DO CATÁLOGO")</f>
        <v>CAM021AGG</v>
      </c>
      <c r="C648" s="13">
        <v>2</v>
      </c>
      <c r="D648" s="13" t="str">
        <f>_xlfn.XLOOKUP(A648,CATÁLOGO!$A$2:$A$846,CATÁLOGO!$E$2:$E$846,"FORA DO CATÁLOGO")</f>
        <v>Ativo</v>
      </c>
      <c r="E648" s="2" t="s">
        <v>1401</v>
      </c>
      <c r="F648" s="62">
        <f>SUMIFS('AVARIA ESTIMADA'!$H$18:$H$40,'AVARIA ESTIMADA'!$A$18:$A$40,A648)</f>
        <v>0</v>
      </c>
    </row>
    <row r="649" spans="1:6" x14ac:dyDescent="0.3">
      <c r="A649" s="2" t="s">
        <v>475</v>
      </c>
      <c r="B649" s="19" t="str">
        <f>_xlfn.XLOOKUP(A649,CATÁLOGO!$A$2:$A$846,CATÁLOGO!$B$2:$B$846,"FORA DO CATÁLOGO")</f>
        <v>CAM022MP</v>
      </c>
      <c r="C649" s="13">
        <v>6</v>
      </c>
      <c r="D649" s="13" t="str">
        <f>_xlfn.XLOOKUP(A649,CATÁLOGO!$A$2:$A$846,CATÁLOGO!$E$2:$E$846,"FORA DO CATÁLOGO")</f>
        <v>Ativo</v>
      </c>
      <c r="E649" s="2" t="s">
        <v>1401</v>
      </c>
      <c r="F649" s="62">
        <f>SUMIFS('AVARIA ESTIMADA'!$H$18:$H$40,'AVARIA ESTIMADA'!$A$18:$A$40,A649)</f>
        <v>0</v>
      </c>
    </row>
    <row r="650" spans="1:6" x14ac:dyDescent="0.3">
      <c r="A650" s="2" t="s">
        <v>476</v>
      </c>
      <c r="B650" s="19" t="str">
        <f>_xlfn.XLOOKUP(A650,CATÁLOGO!$A$2:$A$846,CATÁLOGO!$B$2:$B$846,"FORA DO CATÁLOGO")</f>
        <v>CAM022MM</v>
      </c>
      <c r="C650" s="13">
        <v>5</v>
      </c>
      <c r="D650" s="13" t="str">
        <f>_xlfn.XLOOKUP(A650,CATÁLOGO!$A$2:$A$846,CATÁLOGO!$E$2:$E$846,"FORA DO CATÁLOGO")</f>
        <v>Ativo</v>
      </c>
      <c r="E650" s="2" t="s">
        <v>1401</v>
      </c>
      <c r="F650" s="62">
        <f>SUMIFS('AVARIA ESTIMADA'!$H$18:$H$40,'AVARIA ESTIMADA'!$A$18:$A$40,A650)</f>
        <v>0</v>
      </c>
    </row>
    <row r="651" spans="1:6" x14ac:dyDescent="0.3">
      <c r="A651" s="2" t="s">
        <v>477</v>
      </c>
      <c r="B651" s="19" t="str">
        <f>_xlfn.XLOOKUP(A651,CATÁLOGO!$A$2:$A$846,CATÁLOGO!$B$2:$B$846,"FORA DO CATÁLOGO")</f>
        <v>CAM022MG</v>
      </c>
      <c r="C651" s="13">
        <v>5</v>
      </c>
      <c r="D651" s="13" t="str">
        <f>_xlfn.XLOOKUP(A651,CATÁLOGO!$A$2:$A$846,CATÁLOGO!$E$2:$E$846,"FORA DO CATÁLOGO")</f>
        <v>Ativo</v>
      </c>
      <c r="E651" s="2" t="s">
        <v>1401</v>
      </c>
      <c r="F651" s="62">
        <f>SUMIFS('AVARIA ESTIMADA'!$H$18:$H$40,'AVARIA ESTIMADA'!$A$18:$A$40,A651)</f>
        <v>0</v>
      </c>
    </row>
    <row r="652" spans="1:6" x14ac:dyDescent="0.3">
      <c r="A652" s="2" t="s">
        <v>478</v>
      </c>
      <c r="B652" s="19" t="str">
        <f>_xlfn.XLOOKUP(A652,CATÁLOGO!$A$2:$A$846,CATÁLOGO!$B$2:$B$846,"FORA DO CATÁLOGO")</f>
        <v>CAM022MGG</v>
      </c>
      <c r="C652" s="13">
        <v>3</v>
      </c>
      <c r="D652" s="13" t="str">
        <f>_xlfn.XLOOKUP(A652,CATÁLOGO!$A$2:$A$846,CATÁLOGO!$E$2:$E$846,"FORA DO CATÁLOGO")</f>
        <v>Ativo</v>
      </c>
      <c r="E652" s="2" t="s">
        <v>1401</v>
      </c>
      <c r="F652" s="62">
        <f>SUMIFS('AVARIA ESTIMADA'!$H$18:$H$40,'AVARIA ESTIMADA'!$A$18:$A$40,A652)</f>
        <v>0</v>
      </c>
    </row>
    <row r="653" spans="1:6" x14ac:dyDescent="0.3">
      <c r="A653" s="2" t="s">
        <v>479</v>
      </c>
      <c r="B653" s="19" t="str">
        <f>_xlfn.XLOOKUP(A653,CATÁLOGO!$A$2:$A$846,CATÁLOGO!$B$2:$B$846,"FORA DO CATÁLOGO")</f>
        <v>CMS015LP</v>
      </c>
      <c r="C653" s="13">
        <v>3</v>
      </c>
      <c r="D653" s="13" t="str">
        <f>_xlfn.XLOOKUP(A653,CATÁLOGO!$A$2:$A$846,CATÁLOGO!$E$2:$E$846,"FORA DO CATÁLOGO")</f>
        <v>Ativo</v>
      </c>
      <c r="E653" s="2" t="s">
        <v>1401</v>
      </c>
      <c r="F653" s="62">
        <f>SUMIFS('AVARIA ESTIMADA'!$H$18:$H$40,'AVARIA ESTIMADA'!$A$18:$A$40,A653)</f>
        <v>0</v>
      </c>
    </row>
    <row r="654" spans="1:6" x14ac:dyDescent="0.3">
      <c r="A654" s="2" t="s">
        <v>480</v>
      </c>
      <c r="B654" s="19" t="str">
        <f>_xlfn.XLOOKUP(A654,CATÁLOGO!$A$2:$A$846,CATÁLOGO!$B$2:$B$846,"FORA DO CATÁLOGO")</f>
        <v>CMS015LM</v>
      </c>
      <c r="C654" s="13">
        <v>4</v>
      </c>
      <c r="D654" s="13" t="str">
        <f>_xlfn.XLOOKUP(A654,CATÁLOGO!$A$2:$A$846,CATÁLOGO!$E$2:$E$846,"FORA DO CATÁLOGO")</f>
        <v>Ativo</v>
      </c>
      <c r="E654" s="2" t="s">
        <v>1401</v>
      </c>
      <c r="F654" s="62">
        <f>SUMIFS('AVARIA ESTIMADA'!$H$18:$H$40,'AVARIA ESTIMADA'!$A$18:$A$40,A654)</f>
        <v>0</v>
      </c>
    </row>
    <row r="655" spans="1:6" x14ac:dyDescent="0.3">
      <c r="A655" s="2" t="s">
        <v>481</v>
      </c>
      <c r="B655" s="19" t="str">
        <f>_xlfn.XLOOKUP(A655,CATÁLOGO!$A$2:$A$846,CATÁLOGO!$B$2:$B$846,"FORA DO CATÁLOGO")</f>
        <v>CMS015LG</v>
      </c>
      <c r="C655" s="13">
        <v>2</v>
      </c>
      <c r="D655" s="13" t="str">
        <f>_xlfn.XLOOKUP(A655,CATÁLOGO!$A$2:$A$846,CATÁLOGO!$E$2:$E$846,"FORA DO CATÁLOGO")</f>
        <v>Ativo</v>
      </c>
      <c r="E655" s="2" t="s">
        <v>1401</v>
      </c>
      <c r="F655" s="62">
        <f>SUMIFS('AVARIA ESTIMADA'!$H$18:$H$40,'AVARIA ESTIMADA'!$A$18:$A$40,A655)</f>
        <v>0</v>
      </c>
    </row>
    <row r="656" spans="1:6" x14ac:dyDescent="0.3">
      <c r="A656" s="2" t="s">
        <v>482</v>
      </c>
      <c r="B656" s="19" t="str">
        <f>_xlfn.XLOOKUP(A656,CATÁLOGO!$A$2:$A$846,CATÁLOGO!$B$2:$B$846,"FORA DO CATÁLOGO")</f>
        <v>CMS015OP</v>
      </c>
      <c r="C656" s="13">
        <v>2</v>
      </c>
      <c r="D656" s="13" t="str">
        <f>_xlfn.XLOOKUP(A656,CATÁLOGO!$A$2:$A$846,CATÁLOGO!$E$2:$E$846,"FORA DO CATÁLOGO")</f>
        <v>Ativo</v>
      </c>
      <c r="E656" s="2" t="s">
        <v>1401</v>
      </c>
      <c r="F656" s="62">
        <f>SUMIFS('AVARIA ESTIMADA'!$H$18:$H$40,'AVARIA ESTIMADA'!$A$18:$A$40,A656)</f>
        <v>0</v>
      </c>
    </row>
    <row r="657" spans="1:6" x14ac:dyDescent="0.3">
      <c r="A657" s="2" t="s">
        <v>483</v>
      </c>
      <c r="B657" s="19" t="str">
        <f>_xlfn.XLOOKUP(A657,CATÁLOGO!$A$2:$A$846,CATÁLOGO!$B$2:$B$846,"FORA DO CATÁLOGO")</f>
        <v>CMS015OM</v>
      </c>
      <c r="C657" s="13">
        <v>3</v>
      </c>
      <c r="D657" s="13" t="str">
        <f>_xlfn.XLOOKUP(A657,CATÁLOGO!$A$2:$A$846,CATÁLOGO!$E$2:$E$846,"FORA DO CATÁLOGO")</f>
        <v>Ativo</v>
      </c>
      <c r="E657" s="2" t="s">
        <v>1401</v>
      </c>
      <c r="F657" s="62">
        <f>SUMIFS('AVARIA ESTIMADA'!$H$18:$H$40,'AVARIA ESTIMADA'!$A$18:$A$40,A657)</f>
        <v>0</v>
      </c>
    </row>
    <row r="658" spans="1:6" x14ac:dyDescent="0.3">
      <c r="A658" s="2" t="s">
        <v>484</v>
      </c>
      <c r="B658" s="19" t="str">
        <f>_xlfn.XLOOKUP(A658,CATÁLOGO!$A$2:$A$846,CATÁLOGO!$B$2:$B$846,"FORA DO CATÁLOGO")</f>
        <v>CMS015OG</v>
      </c>
      <c r="C658" s="13">
        <v>2</v>
      </c>
      <c r="D658" s="13" t="str">
        <f>_xlfn.XLOOKUP(A658,CATÁLOGO!$A$2:$A$846,CATÁLOGO!$E$2:$E$846,"FORA DO CATÁLOGO")</f>
        <v>Ativo</v>
      </c>
      <c r="E658" s="2" t="s">
        <v>1401</v>
      </c>
      <c r="F658" s="62">
        <f>SUMIFS('AVARIA ESTIMADA'!$H$18:$H$40,'AVARIA ESTIMADA'!$A$18:$A$40,A658)</f>
        <v>0</v>
      </c>
    </row>
    <row r="659" spans="1:6" x14ac:dyDescent="0.3">
      <c r="A659" s="2" t="s">
        <v>485</v>
      </c>
      <c r="B659" s="19" t="str">
        <f>_xlfn.XLOOKUP(A659,CATÁLOGO!$A$2:$A$846,CATÁLOGO!$B$2:$B$846,"FORA DO CATÁLOGO")</f>
        <v>CAM023YP</v>
      </c>
      <c r="C659" s="13">
        <v>5</v>
      </c>
      <c r="D659" s="13" t="str">
        <f>_xlfn.XLOOKUP(A659,CATÁLOGO!$A$2:$A$846,CATÁLOGO!$E$2:$E$846,"FORA DO CATÁLOGO")</f>
        <v>Ativo</v>
      </c>
      <c r="E659" s="2" t="s">
        <v>1401</v>
      </c>
      <c r="F659" s="62">
        <f>SUMIFS('AVARIA ESTIMADA'!$H$18:$H$40,'AVARIA ESTIMADA'!$A$18:$A$40,A659)</f>
        <v>0</v>
      </c>
    </row>
    <row r="660" spans="1:6" x14ac:dyDescent="0.3">
      <c r="A660" s="2" t="s">
        <v>486</v>
      </c>
      <c r="B660" s="19" t="str">
        <f>_xlfn.XLOOKUP(A660,CATÁLOGO!$A$2:$A$846,CATÁLOGO!$B$2:$B$846,"FORA DO CATÁLOGO")</f>
        <v>CAM023YM</v>
      </c>
      <c r="C660" s="13">
        <v>5</v>
      </c>
      <c r="D660" s="13" t="str">
        <f>_xlfn.XLOOKUP(A660,CATÁLOGO!$A$2:$A$846,CATÁLOGO!$E$2:$E$846,"FORA DO CATÁLOGO")</f>
        <v>Ativo</v>
      </c>
      <c r="E660" s="2" t="s">
        <v>1401</v>
      </c>
      <c r="F660" s="62">
        <f>SUMIFS('AVARIA ESTIMADA'!$H$18:$H$40,'AVARIA ESTIMADA'!$A$18:$A$40,A660)</f>
        <v>0</v>
      </c>
    </row>
    <row r="661" spans="1:6" x14ac:dyDescent="0.3">
      <c r="A661" s="2" t="s">
        <v>487</v>
      </c>
      <c r="B661" s="19" t="str">
        <f>_xlfn.XLOOKUP(A661,CATÁLOGO!$A$2:$A$846,CATÁLOGO!$B$2:$B$846,"FORA DO CATÁLOGO")</f>
        <v>CAM023YG</v>
      </c>
      <c r="C661" s="13">
        <v>5</v>
      </c>
      <c r="D661" s="13" t="str">
        <f>_xlfn.XLOOKUP(A661,CATÁLOGO!$A$2:$A$846,CATÁLOGO!$E$2:$E$846,"FORA DO CATÁLOGO")</f>
        <v>Ativo</v>
      </c>
      <c r="E661" s="2" t="s">
        <v>1401</v>
      </c>
      <c r="F661" s="62">
        <f>SUMIFS('AVARIA ESTIMADA'!$H$18:$H$40,'AVARIA ESTIMADA'!$A$18:$A$40,A661)</f>
        <v>0</v>
      </c>
    </row>
    <row r="662" spans="1:6" x14ac:dyDescent="0.3">
      <c r="A662" s="2" t="s">
        <v>488</v>
      </c>
      <c r="B662" s="19" t="str">
        <f>_xlfn.XLOOKUP(A662,CATÁLOGO!$A$2:$A$846,CATÁLOGO!$B$2:$B$846,"FORA DO CATÁLOGO")</f>
        <v>CAM023YGG</v>
      </c>
      <c r="C662" s="13">
        <v>4</v>
      </c>
      <c r="D662" s="13" t="str">
        <f>_xlfn.XLOOKUP(A662,CATÁLOGO!$A$2:$A$846,CATÁLOGO!$E$2:$E$846,"FORA DO CATÁLOGO")</f>
        <v>Ativo</v>
      </c>
      <c r="E662" s="2" t="s">
        <v>1401</v>
      </c>
      <c r="F662" s="62">
        <f>SUMIFS('AVARIA ESTIMADA'!$H$18:$H$40,'AVARIA ESTIMADA'!$A$18:$A$40,A662)</f>
        <v>0</v>
      </c>
    </row>
    <row r="663" spans="1:6" x14ac:dyDescent="0.3">
      <c r="A663" s="2" t="s">
        <v>1705</v>
      </c>
      <c r="B663" s="19" t="str">
        <f>_xlfn.XLOOKUP(A663,CATÁLOGO!$A$2:$A$846,CATÁLOGO!$B$2:$B$846,"FORA DO CATÁLOGO")</f>
        <v>CAL027P36</v>
      </c>
      <c r="C663" s="13">
        <v>4</v>
      </c>
      <c r="D663" s="13" t="str">
        <f>_xlfn.XLOOKUP(A663,CATÁLOGO!$A$2:$A$846,CATÁLOGO!$E$2:$E$846,"FORA DO CATÁLOGO")</f>
        <v>Ativo</v>
      </c>
      <c r="E663" s="2" t="s">
        <v>1401</v>
      </c>
      <c r="F663" s="62">
        <f>SUMIFS('AVARIA ESTIMADA'!$H$18:$H$40,'AVARIA ESTIMADA'!$A$18:$A$40,A663)</f>
        <v>0</v>
      </c>
    </row>
    <row r="664" spans="1:6" x14ac:dyDescent="0.3">
      <c r="A664" s="2" t="s">
        <v>1704</v>
      </c>
      <c r="B664" s="19" t="str">
        <f>_xlfn.XLOOKUP(A664,CATÁLOGO!$A$2:$A$846,CATÁLOGO!$B$2:$B$846,"FORA DO CATÁLOGO")</f>
        <v>CAL027P38</v>
      </c>
      <c r="C664" s="13">
        <v>5</v>
      </c>
      <c r="D664" s="13" t="str">
        <f>_xlfn.XLOOKUP(A664,CATÁLOGO!$A$2:$A$846,CATÁLOGO!$E$2:$E$846,"FORA DO CATÁLOGO")</f>
        <v>Ativo</v>
      </c>
      <c r="E664" s="2" t="s">
        <v>1401</v>
      </c>
      <c r="F664" s="62">
        <f>SUMIFS('AVARIA ESTIMADA'!$H$18:$H$40,'AVARIA ESTIMADA'!$A$18:$A$40,A664)</f>
        <v>0</v>
      </c>
    </row>
    <row r="665" spans="1:6" x14ac:dyDescent="0.3">
      <c r="A665" s="2" t="s">
        <v>1703</v>
      </c>
      <c r="B665" s="19" t="str">
        <f>_xlfn.XLOOKUP(A665,CATÁLOGO!$A$2:$A$846,CATÁLOGO!$B$2:$B$846,"FORA DO CATÁLOGO")</f>
        <v>CAL027P40</v>
      </c>
      <c r="C665" s="13">
        <v>5</v>
      </c>
      <c r="D665" s="13" t="str">
        <f>_xlfn.XLOOKUP(A665,CATÁLOGO!$A$2:$A$846,CATÁLOGO!$E$2:$E$846,"FORA DO CATÁLOGO")</f>
        <v>Ativo</v>
      </c>
      <c r="E665" s="2" t="s">
        <v>1401</v>
      </c>
      <c r="F665" s="62">
        <f>SUMIFS('AVARIA ESTIMADA'!$H$18:$H$40,'AVARIA ESTIMADA'!$A$18:$A$40,A665)</f>
        <v>0</v>
      </c>
    </row>
    <row r="666" spans="1:6" x14ac:dyDescent="0.3">
      <c r="A666" s="2" t="s">
        <v>1699</v>
      </c>
      <c r="B666" s="19" t="str">
        <f>_xlfn.XLOOKUP(A666,CATÁLOGO!$A$2:$A$846,CATÁLOGO!$B$2:$B$846,"FORA DO CATÁLOGO")</f>
        <v>CAL027P42</v>
      </c>
      <c r="C666" s="13">
        <v>4</v>
      </c>
      <c r="D666" s="13" t="str">
        <f>_xlfn.XLOOKUP(A666,CATÁLOGO!$A$2:$A$846,CATÁLOGO!$E$2:$E$846,"FORA DO CATÁLOGO")</f>
        <v>Ativo</v>
      </c>
      <c r="E666" s="2" t="s">
        <v>1401</v>
      </c>
      <c r="F666" s="62">
        <f>SUMIFS('AVARIA ESTIMADA'!$H$18:$H$40,'AVARIA ESTIMADA'!$A$18:$A$40,A666)</f>
        <v>0</v>
      </c>
    </row>
    <row r="667" spans="1:6" x14ac:dyDescent="0.3">
      <c r="A667" s="2" t="s">
        <v>1702</v>
      </c>
      <c r="B667" s="19" t="str">
        <f>_xlfn.XLOOKUP(A667,CATÁLOGO!$A$2:$A$846,CATÁLOGO!$B$2:$B$846,"FORA DO CATÁLOGO")</f>
        <v>CAL027P44</v>
      </c>
      <c r="C667" s="13">
        <v>4</v>
      </c>
      <c r="D667" s="13" t="str">
        <f>_xlfn.XLOOKUP(A667,CATÁLOGO!$A$2:$A$846,CATÁLOGO!$E$2:$E$846,"FORA DO CATÁLOGO")</f>
        <v>Ativo</v>
      </c>
      <c r="E667" s="2" t="s">
        <v>1401</v>
      </c>
      <c r="F667" s="62">
        <f>SUMIFS('AVARIA ESTIMADA'!$H$18:$H$40,'AVARIA ESTIMADA'!$A$18:$A$40,A667)</f>
        <v>0</v>
      </c>
    </row>
    <row r="668" spans="1:6" x14ac:dyDescent="0.3">
      <c r="A668" s="2" t="s">
        <v>489</v>
      </c>
      <c r="B668" s="19" t="str">
        <f>_xlfn.XLOOKUP(A668,CATÁLOGO!$A$2:$A$846,CATÁLOGO!$B$2:$B$846,"FORA DO CATÁLOGO")</f>
        <v>MOL019VP</v>
      </c>
      <c r="C668" s="13">
        <v>5</v>
      </c>
      <c r="D668" s="13" t="str">
        <f>_xlfn.XLOOKUP(A668,CATÁLOGO!$A$2:$A$846,CATÁLOGO!$E$2:$E$846,"FORA DO CATÁLOGO")</f>
        <v>Ativo</v>
      </c>
      <c r="E668" s="2" t="s">
        <v>1401</v>
      </c>
      <c r="F668" s="62">
        <f>SUMIFS('AVARIA ESTIMADA'!$H$18:$H$40,'AVARIA ESTIMADA'!$A$18:$A$40,A668)</f>
        <v>0</v>
      </c>
    </row>
    <row r="669" spans="1:6" x14ac:dyDescent="0.3">
      <c r="A669" s="2" t="s">
        <v>490</v>
      </c>
      <c r="B669" s="19" t="str">
        <f>_xlfn.XLOOKUP(A669,CATÁLOGO!$A$2:$A$846,CATÁLOGO!$B$2:$B$846,"FORA DO CATÁLOGO")</f>
        <v>MOL019VGG</v>
      </c>
      <c r="C669" s="13">
        <v>4</v>
      </c>
      <c r="D669" s="13" t="str">
        <f>_xlfn.XLOOKUP(A669,CATÁLOGO!$A$2:$A$846,CATÁLOGO!$E$2:$E$846,"FORA DO CATÁLOGO")</f>
        <v>Ativo</v>
      </c>
      <c r="E669" s="2" t="s">
        <v>1401</v>
      </c>
      <c r="F669" s="62">
        <f>SUMIFS('AVARIA ESTIMADA'!$H$18:$H$40,'AVARIA ESTIMADA'!$A$18:$A$40,A669)</f>
        <v>2</v>
      </c>
    </row>
    <row r="670" spans="1:6" x14ac:dyDescent="0.3">
      <c r="A670" s="2" t="s">
        <v>491</v>
      </c>
      <c r="B670" s="19" t="str">
        <f>_xlfn.XLOOKUP(A670,CATÁLOGO!$A$2:$A$846,CATÁLOGO!$B$2:$B$846,"FORA DO CATÁLOGO")</f>
        <v>CAM024LP</v>
      </c>
      <c r="C670" s="13">
        <v>2</v>
      </c>
      <c r="D670" s="13" t="str">
        <f>_xlfn.XLOOKUP(A670,CATÁLOGO!$A$2:$A$846,CATÁLOGO!$E$2:$E$846,"FORA DO CATÁLOGO")</f>
        <v>Ativo</v>
      </c>
      <c r="E670" s="2" t="s">
        <v>1401</v>
      </c>
      <c r="F670" s="62">
        <f>SUMIFS('AVARIA ESTIMADA'!$H$18:$H$40,'AVARIA ESTIMADA'!$A$18:$A$40,A670)</f>
        <v>0</v>
      </c>
    </row>
    <row r="671" spans="1:6" x14ac:dyDescent="0.3">
      <c r="A671" s="2" t="s">
        <v>492</v>
      </c>
      <c r="B671" s="19" t="str">
        <f>_xlfn.XLOOKUP(A671,CATÁLOGO!$A$2:$A$846,CATÁLOGO!$B$2:$B$846,"FORA DO CATÁLOGO")</f>
        <v>CAM024LM</v>
      </c>
      <c r="C671" s="13">
        <v>3</v>
      </c>
      <c r="D671" s="13" t="str">
        <f>_xlfn.XLOOKUP(A671,CATÁLOGO!$A$2:$A$846,CATÁLOGO!$E$2:$E$846,"FORA DO CATÁLOGO")</f>
        <v>Ativo</v>
      </c>
      <c r="E671" s="2" t="s">
        <v>1401</v>
      </c>
      <c r="F671" s="62">
        <f>SUMIFS('AVARIA ESTIMADA'!$H$18:$H$40,'AVARIA ESTIMADA'!$A$18:$A$40,A671)</f>
        <v>0</v>
      </c>
    </row>
    <row r="672" spans="1:6" x14ac:dyDescent="0.3">
      <c r="A672" s="2" t="s">
        <v>493</v>
      </c>
      <c r="B672" s="19" t="str">
        <f>_xlfn.XLOOKUP(A672,CATÁLOGO!$A$2:$A$846,CATÁLOGO!$B$2:$B$846,"FORA DO CATÁLOGO")</f>
        <v>CAM024LG</v>
      </c>
      <c r="C672" s="13">
        <v>3</v>
      </c>
      <c r="D672" s="13" t="str">
        <f>_xlfn.XLOOKUP(A672,CATÁLOGO!$A$2:$A$846,CATÁLOGO!$E$2:$E$846,"FORA DO CATÁLOGO")</f>
        <v>Ativo</v>
      </c>
      <c r="E672" s="2" t="s">
        <v>1401</v>
      </c>
      <c r="F672" s="62">
        <f>SUMIFS('AVARIA ESTIMADA'!$H$18:$H$40,'AVARIA ESTIMADA'!$A$18:$A$40,A672)</f>
        <v>0</v>
      </c>
    </row>
    <row r="673" spans="1:6" x14ac:dyDescent="0.3">
      <c r="A673" s="2" t="s">
        <v>494</v>
      </c>
      <c r="B673" s="19" t="str">
        <f>_xlfn.XLOOKUP(A673,CATÁLOGO!$A$2:$A$846,CATÁLOGO!$B$2:$B$846,"FORA DO CATÁLOGO")</f>
        <v>CAM024LGG</v>
      </c>
      <c r="C673" s="13">
        <v>2</v>
      </c>
      <c r="D673" s="13" t="str">
        <f>_xlfn.XLOOKUP(A673,CATÁLOGO!$A$2:$A$846,CATÁLOGO!$E$2:$E$846,"FORA DO CATÁLOGO")</f>
        <v>Ativo</v>
      </c>
      <c r="E673" s="2" t="s">
        <v>1401</v>
      </c>
      <c r="F673" s="62">
        <f>SUMIFS('AVARIA ESTIMADA'!$H$18:$H$40,'AVARIA ESTIMADA'!$A$18:$A$40,A673)</f>
        <v>0</v>
      </c>
    </row>
    <row r="674" spans="1:6" x14ac:dyDescent="0.3">
      <c r="A674" s="2" t="s">
        <v>495</v>
      </c>
      <c r="B674" s="19" t="str">
        <f>_xlfn.XLOOKUP(A674,CATÁLOGO!$A$2:$A$846,CATÁLOGO!$B$2:$B$846,"FORA DO CATÁLOGO")</f>
        <v>CAM024YP</v>
      </c>
      <c r="C674" s="13">
        <v>1</v>
      </c>
      <c r="D674" s="13" t="str">
        <f>_xlfn.XLOOKUP(A674,CATÁLOGO!$A$2:$A$846,CATÁLOGO!$E$2:$E$846,"FORA DO CATÁLOGO")</f>
        <v>Ativo</v>
      </c>
      <c r="E674" s="2" t="s">
        <v>1401</v>
      </c>
      <c r="F674" s="62">
        <f>SUMIFS('AVARIA ESTIMADA'!$H$18:$H$40,'AVARIA ESTIMADA'!$A$18:$A$40,A674)</f>
        <v>0</v>
      </c>
    </row>
    <row r="675" spans="1:6" x14ac:dyDescent="0.3">
      <c r="A675" s="2" t="s">
        <v>496</v>
      </c>
      <c r="B675" s="19" t="str">
        <f>_xlfn.XLOOKUP(A675,CATÁLOGO!$A$2:$A$846,CATÁLOGO!$B$2:$B$846,"FORA DO CATÁLOGO")</f>
        <v>CAM024YM</v>
      </c>
      <c r="C675" s="13">
        <v>2</v>
      </c>
      <c r="D675" s="13" t="str">
        <f>_xlfn.XLOOKUP(A675,CATÁLOGO!$A$2:$A$846,CATÁLOGO!$E$2:$E$846,"FORA DO CATÁLOGO")</f>
        <v>Ativo</v>
      </c>
      <c r="E675" s="2" t="s">
        <v>1401</v>
      </c>
      <c r="F675" s="62">
        <f>SUMIFS('AVARIA ESTIMADA'!$H$18:$H$40,'AVARIA ESTIMADA'!$A$18:$A$40,A675)</f>
        <v>0</v>
      </c>
    </row>
    <row r="676" spans="1:6" x14ac:dyDescent="0.3">
      <c r="A676" s="2" t="s">
        <v>497</v>
      </c>
      <c r="B676" s="19" t="str">
        <f>_xlfn.XLOOKUP(A676,CATÁLOGO!$A$2:$A$846,CATÁLOGO!$B$2:$B$846,"FORA DO CATÁLOGO")</f>
        <v>CAM024YG</v>
      </c>
      <c r="C676" s="13">
        <v>1</v>
      </c>
      <c r="D676" s="13" t="str">
        <f>_xlfn.XLOOKUP(A676,CATÁLOGO!$A$2:$A$846,CATÁLOGO!$E$2:$E$846,"FORA DO CATÁLOGO")</f>
        <v>Ativo</v>
      </c>
      <c r="E676" s="2" t="s">
        <v>1401</v>
      </c>
      <c r="F676" s="62">
        <f>SUMIFS('AVARIA ESTIMADA'!$H$18:$H$40,'AVARIA ESTIMADA'!$A$18:$A$40,A676)</f>
        <v>0</v>
      </c>
    </row>
    <row r="677" spans="1:6" x14ac:dyDescent="0.3">
      <c r="A677" s="2" t="s">
        <v>498</v>
      </c>
      <c r="B677" s="19" t="str">
        <f>_xlfn.XLOOKUP(A677,CATÁLOGO!$A$2:$A$846,CATÁLOGO!$B$2:$B$846,"FORA DO CATÁLOGO")</f>
        <v>CAM024YGG</v>
      </c>
      <c r="C677" s="13">
        <v>1</v>
      </c>
      <c r="D677" s="13" t="str">
        <f>_xlfn.XLOOKUP(A677,CATÁLOGO!$A$2:$A$846,CATÁLOGO!$E$2:$E$846,"FORA DO CATÁLOGO")</f>
        <v>Ativo</v>
      </c>
      <c r="E677" s="2" t="s">
        <v>1401</v>
      </c>
      <c r="F677" s="62">
        <f>SUMIFS('AVARIA ESTIMADA'!$H$18:$H$40,'AVARIA ESTIMADA'!$A$18:$A$40,A677)</f>
        <v>0</v>
      </c>
    </row>
    <row r="678" spans="1:6" x14ac:dyDescent="0.3">
      <c r="A678" s="2" t="s">
        <v>1856</v>
      </c>
      <c r="B678" s="19" t="str">
        <f>_xlfn.XLOOKUP(A678,CATÁLOGO!$A$2:$A$846,CATÁLOGO!$B$2:$B$846,"FORA DO CATÁLOGO")</f>
        <v>MOL020HPP</v>
      </c>
      <c r="C678" s="13">
        <v>1</v>
      </c>
      <c r="D678" s="13" t="str">
        <f>_xlfn.XLOOKUP(A678,CATÁLOGO!$A$2:$A$846,CATÁLOGO!$E$2:$E$846,"FORA DO CATÁLOGO")</f>
        <v>Ativo</v>
      </c>
      <c r="E678" s="2" t="s">
        <v>1401</v>
      </c>
      <c r="F678" s="62">
        <f>SUMIFS('AVARIA ESTIMADA'!$H$18:$H$40,'AVARIA ESTIMADA'!$A$18:$A$40,A678)</f>
        <v>0</v>
      </c>
    </row>
    <row r="679" spans="1:6" x14ac:dyDescent="0.3">
      <c r="A679" s="2" t="s">
        <v>499</v>
      </c>
      <c r="B679" s="19" t="str">
        <f>_xlfn.XLOOKUP(A679,CATÁLOGO!$A$2:$A$846,CATÁLOGO!$B$2:$B$846,"FORA DO CATÁLOGO")</f>
        <v>MOL020HP</v>
      </c>
      <c r="C679" s="13">
        <v>2</v>
      </c>
      <c r="D679" s="13" t="str">
        <f>_xlfn.XLOOKUP(A679,CATÁLOGO!$A$2:$A$846,CATÁLOGO!$E$2:$E$846,"FORA DO CATÁLOGO")</f>
        <v>Ativo</v>
      </c>
      <c r="E679" s="2" t="s">
        <v>1401</v>
      </c>
      <c r="F679" s="62">
        <f>SUMIFS('AVARIA ESTIMADA'!$H$18:$H$40,'AVARIA ESTIMADA'!$A$18:$A$40,A679)</f>
        <v>0</v>
      </c>
    </row>
    <row r="680" spans="1:6" x14ac:dyDescent="0.3">
      <c r="A680" s="2" t="s">
        <v>500</v>
      </c>
      <c r="B680" s="19" t="str">
        <f>_xlfn.XLOOKUP(A680,CATÁLOGO!$A$2:$A$846,CATÁLOGO!$B$2:$B$846,"FORA DO CATÁLOGO")</f>
        <v>MOL020HM</v>
      </c>
      <c r="C680" s="13">
        <v>3</v>
      </c>
      <c r="D680" s="13" t="str">
        <f>_xlfn.XLOOKUP(A680,CATÁLOGO!$A$2:$A$846,CATÁLOGO!$E$2:$E$846,"FORA DO CATÁLOGO")</f>
        <v>Ativo</v>
      </c>
      <c r="E680" s="2" t="s">
        <v>1401</v>
      </c>
      <c r="F680" s="62">
        <f>SUMIFS('AVARIA ESTIMADA'!$H$18:$H$40,'AVARIA ESTIMADA'!$A$18:$A$40,A680)</f>
        <v>0</v>
      </c>
    </row>
    <row r="681" spans="1:6" x14ac:dyDescent="0.3">
      <c r="A681" s="2" t="s">
        <v>501</v>
      </c>
      <c r="B681" s="19" t="str">
        <f>_xlfn.XLOOKUP(A681,CATÁLOGO!$A$2:$A$846,CATÁLOGO!$B$2:$B$846,"FORA DO CATÁLOGO")</f>
        <v>MOL020HG</v>
      </c>
      <c r="C681" s="13">
        <v>2</v>
      </c>
      <c r="D681" s="13" t="str">
        <f>_xlfn.XLOOKUP(A681,CATÁLOGO!$A$2:$A$846,CATÁLOGO!$E$2:$E$846,"FORA DO CATÁLOGO")</f>
        <v>Ativo</v>
      </c>
      <c r="E681" s="2" t="s">
        <v>1401</v>
      </c>
      <c r="F681" s="62">
        <f>SUMIFS('AVARIA ESTIMADA'!$H$18:$H$40,'AVARIA ESTIMADA'!$A$18:$A$40,A681)</f>
        <v>0</v>
      </c>
    </row>
    <row r="682" spans="1:6" x14ac:dyDescent="0.3">
      <c r="A682" s="2" t="s">
        <v>502</v>
      </c>
      <c r="B682" s="19" t="str">
        <f>_xlfn.XLOOKUP(A682,CATÁLOGO!$A$2:$A$846,CATÁLOGO!$B$2:$B$846,"FORA DO CATÁLOGO")</f>
        <v>MOL020HGG</v>
      </c>
      <c r="C682" s="13">
        <v>1</v>
      </c>
      <c r="D682" s="13" t="str">
        <f>_xlfn.XLOOKUP(A682,CATÁLOGO!$A$2:$A$846,CATÁLOGO!$E$2:$E$846,"FORA DO CATÁLOGO")</f>
        <v>Ativo</v>
      </c>
      <c r="E682" s="2" t="s">
        <v>1401</v>
      </c>
      <c r="F682" s="62">
        <f>SUMIFS('AVARIA ESTIMADA'!$H$18:$H$40,'AVARIA ESTIMADA'!$A$18:$A$40,A682)</f>
        <v>0</v>
      </c>
    </row>
    <row r="683" spans="1:6" x14ac:dyDescent="0.3">
      <c r="A683" s="2" t="s">
        <v>503</v>
      </c>
      <c r="B683" s="19" t="str">
        <f>_xlfn.XLOOKUP(A683,CATÁLOGO!$A$2:$A$846,CATÁLOGO!$B$2:$B$846,"FORA DO CATÁLOGO")</f>
        <v>CAM025MP</v>
      </c>
      <c r="C683" s="13">
        <v>6</v>
      </c>
      <c r="D683" s="13" t="str">
        <f>_xlfn.XLOOKUP(A683,CATÁLOGO!$A$2:$A$846,CATÁLOGO!$E$2:$E$846,"FORA DO CATÁLOGO")</f>
        <v>Ativo</v>
      </c>
      <c r="E683" s="2" t="s">
        <v>1401</v>
      </c>
      <c r="F683" s="62">
        <f>SUMIFS('AVARIA ESTIMADA'!$H$18:$H$40,'AVARIA ESTIMADA'!$A$18:$A$40,A683)</f>
        <v>0</v>
      </c>
    </row>
    <row r="684" spans="1:6" x14ac:dyDescent="0.3">
      <c r="A684" s="2" t="s">
        <v>504</v>
      </c>
      <c r="B684" s="19" t="str">
        <f>_xlfn.XLOOKUP(A684,CATÁLOGO!$A$2:$A$846,CATÁLOGO!$B$2:$B$846,"FORA DO CATÁLOGO")</f>
        <v>CAM025MM</v>
      </c>
      <c r="C684" s="13">
        <v>5</v>
      </c>
      <c r="D684" s="13" t="str">
        <f>_xlfn.XLOOKUP(A684,CATÁLOGO!$A$2:$A$846,CATÁLOGO!$E$2:$E$846,"FORA DO CATÁLOGO")</f>
        <v>Ativo</v>
      </c>
      <c r="E684" s="2" t="s">
        <v>1401</v>
      </c>
      <c r="F684" s="62">
        <f>SUMIFS('AVARIA ESTIMADA'!$H$18:$H$40,'AVARIA ESTIMADA'!$A$18:$A$40,A684)</f>
        <v>0</v>
      </c>
    </row>
    <row r="685" spans="1:6" x14ac:dyDescent="0.3">
      <c r="A685" s="2" t="s">
        <v>505</v>
      </c>
      <c r="B685" s="19" t="str">
        <f>_xlfn.XLOOKUP(A685,CATÁLOGO!$A$2:$A$846,CATÁLOGO!$B$2:$B$846,"FORA DO CATÁLOGO")</f>
        <v>CAM025MG</v>
      </c>
      <c r="C685" s="13">
        <v>5</v>
      </c>
      <c r="D685" s="13" t="str">
        <f>_xlfn.XLOOKUP(A685,CATÁLOGO!$A$2:$A$846,CATÁLOGO!$E$2:$E$846,"FORA DO CATÁLOGO")</f>
        <v>Ativo</v>
      </c>
      <c r="E685" s="2" t="s">
        <v>1401</v>
      </c>
      <c r="F685" s="62">
        <f>SUMIFS('AVARIA ESTIMADA'!$H$18:$H$40,'AVARIA ESTIMADA'!$A$18:$A$40,A685)</f>
        <v>0</v>
      </c>
    </row>
    <row r="686" spans="1:6" x14ac:dyDescent="0.3">
      <c r="A686" s="2" t="s">
        <v>506</v>
      </c>
      <c r="B686" s="19" t="str">
        <f>_xlfn.XLOOKUP(A686,CATÁLOGO!$A$2:$A$846,CATÁLOGO!$B$2:$B$846,"FORA DO CATÁLOGO")</f>
        <v>CAM025MGG</v>
      </c>
      <c r="C686" s="13">
        <v>4</v>
      </c>
      <c r="D686" s="13" t="str">
        <f>_xlfn.XLOOKUP(A686,CATÁLOGO!$A$2:$A$846,CATÁLOGO!$E$2:$E$846,"FORA DO CATÁLOGO")</f>
        <v>Ativo</v>
      </c>
      <c r="E686" s="2" t="s">
        <v>1401</v>
      </c>
      <c r="F686" s="62">
        <f>SUMIFS('AVARIA ESTIMADA'!$H$18:$H$40,'AVARIA ESTIMADA'!$A$18:$A$40,A686)</f>
        <v>0</v>
      </c>
    </row>
    <row r="687" spans="1:6" x14ac:dyDescent="0.3">
      <c r="A687" s="2" t="s">
        <v>507</v>
      </c>
      <c r="B687" s="19" t="str">
        <f>_xlfn.XLOOKUP(A687,CATÁLOGO!$A$2:$A$846,CATÁLOGO!$B$2:$B$846,"FORA DO CATÁLOGO")</f>
        <v>TRI015VP</v>
      </c>
      <c r="C687" s="13">
        <v>3</v>
      </c>
      <c r="D687" s="13" t="str">
        <f>_xlfn.XLOOKUP(A687,CATÁLOGO!$A$2:$A$846,CATÁLOGO!$E$2:$E$846,"FORA DO CATÁLOGO")</f>
        <v>Ativo</v>
      </c>
      <c r="E687" s="2" t="s">
        <v>1401</v>
      </c>
      <c r="F687" s="62">
        <f>SUMIFS('AVARIA ESTIMADA'!$H$18:$H$40,'AVARIA ESTIMADA'!$A$18:$A$40,A687)</f>
        <v>0</v>
      </c>
    </row>
    <row r="688" spans="1:6" x14ac:dyDescent="0.3">
      <c r="A688" s="2" t="s">
        <v>508</v>
      </c>
      <c r="B688" s="19" t="str">
        <f>_xlfn.XLOOKUP(A688,CATÁLOGO!$A$2:$A$846,CATÁLOGO!$B$2:$B$846,"FORA DO CATÁLOGO")</f>
        <v>TRI015VM</v>
      </c>
      <c r="C688" s="13">
        <v>4</v>
      </c>
      <c r="D688" s="13" t="str">
        <f>_xlfn.XLOOKUP(A688,CATÁLOGO!$A$2:$A$846,CATÁLOGO!$E$2:$E$846,"FORA DO CATÁLOGO")</f>
        <v>Ativo</v>
      </c>
      <c r="E688" s="2" t="s">
        <v>1401</v>
      </c>
      <c r="F688" s="62">
        <f>SUMIFS('AVARIA ESTIMADA'!$H$18:$H$40,'AVARIA ESTIMADA'!$A$18:$A$40,A688)</f>
        <v>0</v>
      </c>
    </row>
    <row r="689" spans="1:6" x14ac:dyDescent="0.3">
      <c r="A689" s="2" t="s">
        <v>509</v>
      </c>
      <c r="B689" s="19" t="str">
        <f>_xlfn.XLOOKUP(A689,CATÁLOGO!$A$2:$A$846,CATÁLOGO!$B$2:$B$846,"FORA DO CATÁLOGO")</f>
        <v>TRI015VG</v>
      </c>
      <c r="C689" s="13">
        <v>4</v>
      </c>
      <c r="D689" s="13" t="str">
        <f>_xlfn.XLOOKUP(A689,CATÁLOGO!$A$2:$A$846,CATÁLOGO!$E$2:$E$846,"FORA DO CATÁLOGO")</f>
        <v>Ativo</v>
      </c>
      <c r="E689" s="2" t="s">
        <v>1401</v>
      </c>
      <c r="F689" s="62">
        <f>SUMIFS('AVARIA ESTIMADA'!$H$18:$H$40,'AVARIA ESTIMADA'!$A$18:$A$40,A689)</f>
        <v>0</v>
      </c>
    </row>
    <row r="690" spans="1:6" x14ac:dyDescent="0.3">
      <c r="A690" s="2" t="s">
        <v>510</v>
      </c>
      <c r="B690" s="19" t="str">
        <f>_xlfn.XLOOKUP(A690,CATÁLOGO!$A$2:$A$846,CATÁLOGO!$B$2:$B$846,"FORA DO CATÁLOGO")</f>
        <v>TRI015VGG</v>
      </c>
      <c r="C690" s="13">
        <v>1</v>
      </c>
      <c r="D690" s="13" t="str">
        <f>_xlfn.XLOOKUP(A690,CATÁLOGO!$A$2:$A$846,CATÁLOGO!$E$2:$E$846,"FORA DO CATÁLOGO")</f>
        <v>Ativo</v>
      </c>
      <c r="E690" s="2" t="s">
        <v>1401</v>
      </c>
      <c r="F690" s="62">
        <f>SUMIFS('AVARIA ESTIMADA'!$H$18:$H$40,'AVARIA ESTIMADA'!$A$18:$A$40,A690)</f>
        <v>0</v>
      </c>
    </row>
    <row r="691" spans="1:6" x14ac:dyDescent="0.3">
      <c r="A691" s="2" t="s">
        <v>1711</v>
      </c>
      <c r="B691" s="19" t="str">
        <f>_xlfn.XLOOKUP(A691,CATÁLOGO!$A$2:$A$846,CATÁLOGO!$B$2:$B$846,"FORA DO CATÁLOGO")</f>
        <v>CAL028A36</v>
      </c>
      <c r="C691" s="13">
        <v>1</v>
      </c>
      <c r="D691" s="13" t="str">
        <f>_xlfn.XLOOKUP(A691,CATÁLOGO!$A$2:$A$846,CATÁLOGO!$E$2:$E$846,"FORA DO CATÁLOGO")</f>
        <v>Ativo</v>
      </c>
      <c r="E691" s="2" t="s">
        <v>1401</v>
      </c>
      <c r="F691" s="62">
        <f>SUMIFS('AVARIA ESTIMADA'!$H$18:$H$40,'AVARIA ESTIMADA'!$A$18:$A$40,A691)</f>
        <v>0</v>
      </c>
    </row>
    <row r="692" spans="1:6" x14ac:dyDescent="0.3">
      <c r="A692" s="2" t="s">
        <v>1710</v>
      </c>
      <c r="B692" s="19" t="str">
        <f>_xlfn.XLOOKUP(A692,CATÁLOGO!$A$2:$A$846,CATÁLOGO!$B$2:$B$846,"FORA DO CATÁLOGO")</f>
        <v>CAL028A38</v>
      </c>
      <c r="C692" s="13">
        <v>2</v>
      </c>
      <c r="D692" s="13" t="str">
        <f>_xlfn.XLOOKUP(A692,CATÁLOGO!$A$2:$A$846,CATÁLOGO!$E$2:$E$846,"FORA DO CATÁLOGO")</f>
        <v>Ativo</v>
      </c>
      <c r="E692" s="2" t="s">
        <v>1401</v>
      </c>
      <c r="F692" s="62">
        <f>SUMIFS('AVARIA ESTIMADA'!$H$18:$H$40,'AVARIA ESTIMADA'!$A$18:$A$40,A692)</f>
        <v>0</v>
      </c>
    </row>
    <row r="693" spans="1:6" x14ac:dyDescent="0.3">
      <c r="A693" s="2" t="s">
        <v>1709</v>
      </c>
      <c r="B693" s="19" t="str">
        <f>_xlfn.XLOOKUP(A693,CATÁLOGO!$A$2:$A$846,CATÁLOGO!$B$2:$B$846,"FORA DO CATÁLOGO")</f>
        <v>CAL028A40</v>
      </c>
      <c r="C693" s="13">
        <v>2</v>
      </c>
      <c r="D693" s="13" t="str">
        <f>_xlfn.XLOOKUP(A693,CATÁLOGO!$A$2:$A$846,CATÁLOGO!$E$2:$E$846,"FORA DO CATÁLOGO")</f>
        <v>Ativo</v>
      </c>
      <c r="E693" s="2" t="s">
        <v>1401</v>
      </c>
      <c r="F693" s="62">
        <f>SUMIFS('AVARIA ESTIMADA'!$H$18:$H$40,'AVARIA ESTIMADA'!$A$18:$A$40,A693)</f>
        <v>0</v>
      </c>
    </row>
    <row r="694" spans="1:6" x14ac:dyDescent="0.3">
      <c r="A694" s="2" t="s">
        <v>1706</v>
      </c>
      <c r="B694" s="19" t="str">
        <f>_xlfn.XLOOKUP(A694,CATÁLOGO!$A$2:$A$846,CATÁLOGO!$B$2:$B$846,"FORA DO CATÁLOGO")</f>
        <v>CAL028A42</v>
      </c>
      <c r="C694" s="13">
        <v>1</v>
      </c>
      <c r="D694" s="13" t="str">
        <f>_xlfn.XLOOKUP(A694,CATÁLOGO!$A$2:$A$846,CATÁLOGO!$E$2:$E$846,"FORA DO CATÁLOGO")</f>
        <v>Ativo</v>
      </c>
      <c r="E694" s="2" t="s">
        <v>1401</v>
      </c>
      <c r="F694" s="62">
        <f>SUMIFS('AVARIA ESTIMADA'!$H$18:$H$40,'AVARIA ESTIMADA'!$A$18:$A$40,A694)</f>
        <v>0</v>
      </c>
    </row>
    <row r="695" spans="1:6" x14ac:dyDescent="0.3">
      <c r="A695" s="2" t="s">
        <v>1708</v>
      </c>
      <c r="B695" s="19" t="str">
        <f>_xlfn.XLOOKUP(A695,CATÁLOGO!$A$2:$A$846,CATÁLOGO!$B$2:$B$846,"FORA DO CATÁLOGO")</f>
        <v>CAL028A44</v>
      </c>
      <c r="C695" s="13">
        <v>1</v>
      </c>
      <c r="D695" s="13" t="str">
        <f>_xlfn.XLOOKUP(A695,CATÁLOGO!$A$2:$A$846,CATÁLOGO!$E$2:$E$846,"FORA DO CATÁLOGO")</f>
        <v>Ativo</v>
      </c>
      <c r="E695" s="2" t="s">
        <v>1401</v>
      </c>
      <c r="F695" s="62">
        <f>SUMIFS('AVARIA ESTIMADA'!$H$18:$H$40,'AVARIA ESTIMADA'!$A$18:$A$40,A695)</f>
        <v>0</v>
      </c>
    </row>
    <row r="696" spans="1:6" x14ac:dyDescent="0.3">
      <c r="A696" s="2" t="s">
        <v>1813</v>
      </c>
      <c r="B696" s="19" t="str">
        <f>_xlfn.XLOOKUP(A696,CATÁLOGO!$A$2:$A$846,CATÁLOGO!$B$2:$B$846,"FORA DO CATÁLOGO")</f>
        <v>MOL001MPP</v>
      </c>
      <c r="C696" s="13">
        <v>2</v>
      </c>
      <c r="D696" s="13" t="str">
        <f>_xlfn.XLOOKUP(A696,CATÁLOGO!$A$2:$A$846,CATÁLOGO!$E$2:$E$846,"FORA DO CATÁLOGO")</f>
        <v>Ativo</v>
      </c>
      <c r="E696" s="2" t="s">
        <v>1401</v>
      </c>
      <c r="F696" s="62">
        <f>SUMIFS('AVARIA ESTIMADA'!$H$18:$H$40,'AVARIA ESTIMADA'!$A$18:$A$40,A696)</f>
        <v>0</v>
      </c>
    </row>
    <row r="697" spans="1:6" x14ac:dyDescent="0.3">
      <c r="A697" s="2" t="s">
        <v>511</v>
      </c>
      <c r="B697" s="19" t="str">
        <f>_xlfn.XLOOKUP(A697,CATÁLOGO!$A$2:$A$846,CATÁLOGO!$B$2:$B$846,"FORA DO CATÁLOGO")</f>
        <v>MOL001MP</v>
      </c>
      <c r="C697" s="13">
        <v>3</v>
      </c>
      <c r="D697" s="13" t="str">
        <f>_xlfn.XLOOKUP(A697,CATÁLOGO!$A$2:$A$846,CATÁLOGO!$E$2:$E$846,"FORA DO CATÁLOGO")</f>
        <v>Ativo</v>
      </c>
      <c r="E697" s="2" t="s">
        <v>1401</v>
      </c>
      <c r="F697" s="62">
        <f>SUMIFS('AVARIA ESTIMADA'!$H$18:$H$40,'AVARIA ESTIMADA'!$A$18:$A$40,A697)</f>
        <v>0</v>
      </c>
    </row>
    <row r="698" spans="1:6" x14ac:dyDescent="0.3">
      <c r="A698" s="2" t="s">
        <v>512</v>
      </c>
      <c r="B698" s="19" t="str">
        <f>_xlfn.XLOOKUP(A698,CATÁLOGO!$A$2:$A$846,CATÁLOGO!$B$2:$B$846,"FORA DO CATÁLOGO")</f>
        <v>MOL001MM</v>
      </c>
      <c r="C698" s="13">
        <v>4</v>
      </c>
      <c r="D698" s="13" t="str">
        <f>_xlfn.XLOOKUP(A698,CATÁLOGO!$A$2:$A$846,CATÁLOGO!$E$2:$E$846,"FORA DO CATÁLOGO")</f>
        <v>Ativo</v>
      </c>
      <c r="E698" s="2" t="s">
        <v>1401</v>
      </c>
      <c r="F698" s="62">
        <f>SUMIFS('AVARIA ESTIMADA'!$H$18:$H$40,'AVARIA ESTIMADA'!$A$18:$A$40,A698)</f>
        <v>0</v>
      </c>
    </row>
    <row r="699" spans="1:6" x14ac:dyDescent="0.3">
      <c r="A699" s="2" t="s">
        <v>1273</v>
      </c>
      <c r="B699" s="19" t="str">
        <f>_xlfn.XLOOKUP(A699,CATÁLOGO!$A$2:$A$846,CATÁLOGO!$B$2:$B$846,"FORA DO CATÁLOGO")</f>
        <v>MOL001MG</v>
      </c>
      <c r="C699" s="13">
        <v>4</v>
      </c>
      <c r="D699" s="13" t="str">
        <f>_xlfn.XLOOKUP(A699,CATÁLOGO!$A$2:$A$846,CATÁLOGO!$E$2:$E$846,"FORA DO CATÁLOGO")</f>
        <v>Ativo</v>
      </c>
      <c r="E699" s="2" t="s">
        <v>1401</v>
      </c>
      <c r="F699" s="62">
        <f>SUMIFS('AVARIA ESTIMADA'!$H$18:$H$40,'AVARIA ESTIMADA'!$A$18:$A$40,A699)</f>
        <v>0</v>
      </c>
    </row>
    <row r="700" spans="1:6" x14ac:dyDescent="0.3">
      <c r="A700" s="2" t="s">
        <v>513</v>
      </c>
      <c r="B700" s="19" t="str">
        <f>_xlfn.XLOOKUP(A700,CATÁLOGO!$A$2:$A$846,CATÁLOGO!$B$2:$B$846,"FORA DO CATÁLOGO")</f>
        <v>MOL001MGG</v>
      </c>
      <c r="C700" s="13">
        <v>2</v>
      </c>
      <c r="D700" s="13" t="str">
        <f>_xlfn.XLOOKUP(A700,CATÁLOGO!$A$2:$A$846,CATÁLOGO!$E$2:$E$846,"FORA DO CATÁLOGO")</f>
        <v>Ativo</v>
      </c>
      <c r="E700" s="2" t="s">
        <v>1401</v>
      </c>
      <c r="F700" s="62">
        <f>SUMIFS('AVARIA ESTIMADA'!$H$18:$H$40,'AVARIA ESTIMADA'!$A$18:$A$40,A700)</f>
        <v>0</v>
      </c>
    </row>
    <row r="701" spans="1:6" x14ac:dyDescent="0.3">
      <c r="A701" s="2" t="s">
        <v>1798</v>
      </c>
      <c r="B701" s="19" t="str">
        <f>_xlfn.XLOOKUP(A701,CATÁLOGO!$A$2:$A$846,CATÁLOGO!$B$2:$B$846,"FORA DO CATÁLOGO")</f>
        <v>CMS016HPP</v>
      </c>
      <c r="C701" s="13">
        <v>1</v>
      </c>
      <c r="D701" s="13" t="str">
        <f>_xlfn.XLOOKUP(A701,CATÁLOGO!$A$2:$A$846,CATÁLOGO!$E$2:$E$846,"FORA DO CATÁLOGO")</f>
        <v>Ativo</v>
      </c>
      <c r="E701" s="2" t="s">
        <v>1401</v>
      </c>
      <c r="F701" s="62">
        <f>SUMIFS('AVARIA ESTIMADA'!$H$18:$H$40,'AVARIA ESTIMADA'!$A$18:$A$40,A701)</f>
        <v>0</v>
      </c>
    </row>
    <row r="702" spans="1:6" x14ac:dyDescent="0.3">
      <c r="A702" s="2" t="s">
        <v>514</v>
      </c>
      <c r="B702" s="19" t="str">
        <f>_xlfn.XLOOKUP(A702,CATÁLOGO!$A$2:$A$846,CATÁLOGO!$B$2:$B$846,"FORA DO CATÁLOGO")</f>
        <v>CMS016HP</v>
      </c>
      <c r="C702" s="13">
        <v>2</v>
      </c>
      <c r="D702" s="13" t="str">
        <f>_xlfn.XLOOKUP(A702,CATÁLOGO!$A$2:$A$846,CATÁLOGO!$E$2:$E$846,"FORA DO CATÁLOGO")</f>
        <v>Ativo</v>
      </c>
      <c r="E702" s="2" t="s">
        <v>1401</v>
      </c>
      <c r="F702" s="62">
        <f>SUMIFS('AVARIA ESTIMADA'!$H$18:$H$40,'AVARIA ESTIMADA'!$A$18:$A$40,A702)</f>
        <v>0</v>
      </c>
    </row>
    <row r="703" spans="1:6" x14ac:dyDescent="0.3">
      <c r="A703" s="2" t="s">
        <v>515</v>
      </c>
      <c r="B703" s="19" t="str">
        <f>_xlfn.XLOOKUP(A703,CATÁLOGO!$A$2:$A$846,CATÁLOGO!$B$2:$B$846,"FORA DO CATÁLOGO")</f>
        <v>CMS016HM</v>
      </c>
      <c r="C703" s="13">
        <v>2</v>
      </c>
      <c r="D703" s="13" t="str">
        <f>_xlfn.XLOOKUP(A703,CATÁLOGO!$A$2:$A$846,CATÁLOGO!$E$2:$E$846,"FORA DO CATÁLOGO")</f>
        <v>Ativo</v>
      </c>
      <c r="E703" s="2" t="s">
        <v>1401</v>
      </c>
      <c r="F703" s="62">
        <f>SUMIFS('AVARIA ESTIMADA'!$H$18:$H$40,'AVARIA ESTIMADA'!$A$18:$A$40,A703)</f>
        <v>0</v>
      </c>
    </row>
    <row r="704" spans="1:6" x14ac:dyDescent="0.3">
      <c r="A704" s="2" t="s">
        <v>516</v>
      </c>
      <c r="B704" s="19" t="str">
        <f>_xlfn.XLOOKUP(A704,CATÁLOGO!$A$2:$A$846,CATÁLOGO!$B$2:$B$846,"FORA DO CATÁLOGO")</f>
        <v>CMS016HG</v>
      </c>
      <c r="C704" s="13">
        <v>1</v>
      </c>
      <c r="D704" s="13" t="str">
        <f>_xlfn.XLOOKUP(A704,CATÁLOGO!$A$2:$A$846,CATÁLOGO!$E$2:$E$846,"FORA DO CATÁLOGO")</f>
        <v>Ativo</v>
      </c>
      <c r="E704" s="2" t="s">
        <v>1401</v>
      </c>
      <c r="F704" s="62">
        <f>SUMIFS('AVARIA ESTIMADA'!$H$18:$H$40,'AVARIA ESTIMADA'!$A$18:$A$40,A704)</f>
        <v>0</v>
      </c>
    </row>
    <row r="705" spans="1:6" x14ac:dyDescent="0.3">
      <c r="A705" s="2" t="s">
        <v>517</v>
      </c>
      <c r="B705" s="19" t="str">
        <f>_xlfn.XLOOKUP(A705,CATÁLOGO!$A$2:$A$846,CATÁLOGO!$B$2:$B$846,"FORA DO CATÁLOGO")</f>
        <v>CMS016HGG</v>
      </c>
      <c r="C705" s="13">
        <v>1</v>
      </c>
      <c r="D705" s="13" t="str">
        <f>_xlfn.XLOOKUP(A705,CATÁLOGO!$A$2:$A$846,CATÁLOGO!$E$2:$E$846,"FORA DO CATÁLOGO")</f>
        <v>Ativo</v>
      </c>
      <c r="E705" s="2" t="s">
        <v>1401</v>
      </c>
      <c r="F705" s="62">
        <f>SUMIFS('AVARIA ESTIMADA'!$H$18:$H$40,'AVARIA ESTIMADA'!$A$18:$A$40,A705)</f>
        <v>0</v>
      </c>
    </row>
    <row r="706" spans="1:6" x14ac:dyDescent="0.3">
      <c r="A706" s="2" t="s">
        <v>1797</v>
      </c>
      <c r="B706" s="19" t="str">
        <f>_xlfn.XLOOKUP(A706,CATÁLOGO!$A$2:$A$846,CATÁLOGO!$B$2:$B$846,"FORA DO CATÁLOGO")</f>
        <v>CMS016BPP</v>
      </c>
      <c r="C706" s="13">
        <v>1</v>
      </c>
      <c r="D706" s="13" t="str">
        <f>_xlfn.XLOOKUP(A706,CATÁLOGO!$A$2:$A$846,CATÁLOGO!$E$2:$E$846,"FORA DO CATÁLOGO")</f>
        <v>Ativo</v>
      </c>
      <c r="E706" s="2" t="s">
        <v>1401</v>
      </c>
      <c r="F706" s="62">
        <f>SUMIFS('AVARIA ESTIMADA'!$H$18:$H$40,'AVARIA ESTIMADA'!$A$18:$A$40,A706)</f>
        <v>0</v>
      </c>
    </row>
    <row r="707" spans="1:6" x14ac:dyDescent="0.3">
      <c r="A707" s="2" t="s">
        <v>518</v>
      </c>
      <c r="B707" s="19" t="str">
        <f>_xlfn.XLOOKUP(A707,CATÁLOGO!$A$2:$A$846,CATÁLOGO!$B$2:$B$846,"FORA DO CATÁLOGO")</f>
        <v>CMS016BM</v>
      </c>
      <c r="C707" s="13">
        <v>1</v>
      </c>
      <c r="D707" s="13" t="str">
        <f>_xlfn.XLOOKUP(A707,CATÁLOGO!$A$2:$A$846,CATÁLOGO!$E$2:$E$846,"FORA DO CATÁLOGO")</f>
        <v>Ativo</v>
      </c>
      <c r="E707" s="2" t="s">
        <v>1401</v>
      </c>
      <c r="F707" s="62">
        <f>SUMIFS('AVARIA ESTIMADA'!$H$18:$H$40,'AVARIA ESTIMADA'!$A$18:$A$40,A707)</f>
        <v>0</v>
      </c>
    </row>
    <row r="708" spans="1:6" x14ac:dyDescent="0.3">
      <c r="A708" s="2" t="s">
        <v>519</v>
      </c>
      <c r="B708" s="19" t="str">
        <f>_xlfn.XLOOKUP(A708,CATÁLOGO!$A$2:$A$846,CATÁLOGO!$B$2:$B$846,"FORA DO CATÁLOGO")</f>
        <v>CMS016BG</v>
      </c>
      <c r="C708" s="13">
        <v>1</v>
      </c>
      <c r="D708" s="13" t="str">
        <f>_xlfn.XLOOKUP(A708,CATÁLOGO!$A$2:$A$846,CATÁLOGO!$E$2:$E$846,"FORA DO CATÁLOGO")</f>
        <v>Ativo</v>
      </c>
      <c r="E708" s="2" t="s">
        <v>1401</v>
      </c>
      <c r="F708" s="62">
        <f>SUMIFS('AVARIA ESTIMADA'!$H$18:$H$40,'AVARIA ESTIMADA'!$A$18:$A$40,A708)</f>
        <v>0</v>
      </c>
    </row>
    <row r="709" spans="1:6" x14ac:dyDescent="0.3">
      <c r="A709" s="2" t="s">
        <v>520</v>
      </c>
      <c r="B709" s="19" t="str">
        <f>_xlfn.XLOOKUP(A709,CATÁLOGO!$A$2:$A$846,CATÁLOGO!$B$2:$B$846,"FORA DO CATÁLOGO")</f>
        <v>CMS016BGG</v>
      </c>
      <c r="C709" s="13">
        <v>1</v>
      </c>
      <c r="D709" s="13" t="str">
        <f>_xlfn.XLOOKUP(A709,CATÁLOGO!$A$2:$A$846,CATÁLOGO!$E$2:$E$846,"FORA DO CATÁLOGO")</f>
        <v>Ativo</v>
      </c>
      <c r="E709" s="2" t="s">
        <v>1401</v>
      </c>
      <c r="F709" s="62">
        <f>SUMIFS('AVARIA ESTIMADA'!$H$18:$H$40,'AVARIA ESTIMADA'!$A$18:$A$40,A709)</f>
        <v>0</v>
      </c>
    </row>
    <row r="710" spans="1:6" x14ac:dyDescent="0.3">
      <c r="A710" s="2" t="s">
        <v>521</v>
      </c>
      <c r="B710" s="19" t="str">
        <f>_xlfn.XLOOKUP(A710,CATÁLOGO!$A$2:$A$846,CATÁLOGO!$B$2:$B$846,"FORA DO CATÁLOGO")</f>
        <v>MOL022YP</v>
      </c>
      <c r="C710" s="13">
        <v>3</v>
      </c>
      <c r="D710" s="13" t="str">
        <f>_xlfn.XLOOKUP(A710,CATÁLOGO!$A$2:$A$846,CATÁLOGO!$E$2:$E$846,"FORA DO CATÁLOGO")</f>
        <v>Ativo</v>
      </c>
      <c r="E710" s="2" t="s">
        <v>1401</v>
      </c>
      <c r="F710" s="62">
        <f>SUMIFS('AVARIA ESTIMADA'!$H$18:$H$40,'AVARIA ESTIMADA'!$A$18:$A$40,A710)</f>
        <v>0</v>
      </c>
    </row>
    <row r="711" spans="1:6" x14ac:dyDescent="0.3">
      <c r="A711" s="2" t="s">
        <v>522</v>
      </c>
      <c r="B711" s="19" t="str">
        <f>_xlfn.XLOOKUP(A711,CATÁLOGO!$A$2:$A$846,CATÁLOGO!$B$2:$B$846,"FORA DO CATÁLOGO")</f>
        <v>MOL022YM</v>
      </c>
      <c r="C711" s="13">
        <v>4</v>
      </c>
      <c r="D711" s="13" t="str">
        <f>_xlfn.XLOOKUP(A711,CATÁLOGO!$A$2:$A$846,CATÁLOGO!$E$2:$E$846,"FORA DO CATÁLOGO")</f>
        <v>Ativo</v>
      </c>
      <c r="E711" s="2" t="s">
        <v>1401</v>
      </c>
      <c r="F711" s="62">
        <f>SUMIFS('AVARIA ESTIMADA'!$H$18:$H$40,'AVARIA ESTIMADA'!$A$18:$A$40,A711)</f>
        <v>0</v>
      </c>
    </row>
    <row r="712" spans="1:6" x14ac:dyDescent="0.3">
      <c r="A712" s="2" t="s">
        <v>523</v>
      </c>
      <c r="B712" s="19" t="str">
        <f>_xlfn.XLOOKUP(A712,CATÁLOGO!$A$2:$A$846,CATÁLOGO!$B$2:$B$846,"FORA DO CATÁLOGO")</f>
        <v>MOL022YG</v>
      </c>
      <c r="C712" s="13">
        <v>4</v>
      </c>
      <c r="D712" s="13" t="str">
        <f>_xlfn.XLOOKUP(A712,CATÁLOGO!$A$2:$A$846,CATÁLOGO!$E$2:$E$846,"FORA DO CATÁLOGO")</f>
        <v>Ativo</v>
      </c>
      <c r="E712" s="2" t="s">
        <v>1401</v>
      </c>
      <c r="F712" s="62">
        <f>SUMIFS('AVARIA ESTIMADA'!$H$18:$H$40,'AVARIA ESTIMADA'!$A$18:$A$40,A712)</f>
        <v>0</v>
      </c>
    </row>
    <row r="713" spans="1:6" x14ac:dyDescent="0.3">
      <c r="A713" s="2" t="s">
        <v>524</v>
      </c>
      <c r="B713" s="19" t="str">
        <f>_xlfn.XLOOKUP(A713,CATÁLOGO!$A$2:$A$846,CATÁLOGO!$B$2:$B$846,"FORA DO CATÁLOGO")</f>
        <v>MOL022YGG</v>
      </c>
      <c r="C713" s="13">
        <v>1</v>
      </c>
      <c r="D713" s="13" t="str">
        <f>_xlfn.XLOOKUP(A713,CATÁLOGO!$A$2:$A$846,CATÁLOGO!$E$2:$E$846,"FORA DO CATÁLOGO")</f>
        <v>Ativo</v>
      </c>
      <c r="E713" s="2" t="s">
        <v>1401</v>
      </c>
      <c r="F713" s="62">
        <f>SUMIFS('AVARIA ESTIMADA'!$H$18:$H$40,'AVARIA ESTIMADA'!$A$18:$A$40,A713)</f>
        <v>0</v>
      </c>
    </row>
    <row r="714" spans="1:6" x14ac:dyDescent="0.3">
      <c r="A714" s="2" t="s">
        <v>525</v>
      </c>
      <c r="B714" s="19" t="str">
        <f>_xlfn.XLOOKUP(A714,CATÁLOGO!$A$2:$A$846,CATÁLOGO!$B$2:$B$846,"FORA DO CATÁLOGO")</f>
        <v>JAQ011VP</v>
      </c>
      <c r="C714" s="13">
        <v>5</v>
      </c>
      <c r="D714" s="13" t="str">
        <f>_xlfn.XLOOKUP(A714,CATÁLOGO!$A$2:$A$846,CATÁLOGO!$E$2:$E$846,"FORA DO CATÁLOGO")</f>
        <v>Ativo</v>
      </c>
      <c r="E714" s="2" t="s">
        <v>1401</v>
      </c>
      <c r="F714" s="62">
        <f>SUMIFS('AVARIA ESTIMADA'!$H$18:$H$40,'AVARIA ESTIMADA'!$A$18:$A$40,A714)</f>
        <v>0</v>
      </c>
    </row>
    <row r="715" spans="1:6" x14ac:dyDescent="0.3">
      <c r="A715" s="2" t="s">
        <v>526</v>
      </c>
      <c r="B715" s="19" t="str">
        <f>_xlfn.XLOOKUP(A715,CATÁLOGO!$A$2:$A$846,CATÁLOGO!$B$2:$B$846,"FORA DO CATÁLOGO")</f>
        <v>JAQ011VM</v>
      </c>
      <c r="C715" s="13">
        <v>5</v>
      </c>
      <c r="D715" s="13" t="str">
        <f>_xlfn.XLOOKUP(A715,CATÁLOGO!$A$2:$A$846,CATÁLOGO!$E$2:$E$846,"FORA DO CATÁLOGO")</f>
        <v>Ativo</v>
      </c>
      <c r="E715" s="2" t="s">
        <v>1401</v>
      </c>
      <c r="F715" s="62">
        <f>SUMIFS('AVARIA ESTIMADA'!$H$18:$H$40,'AVARIA ESTIMADA'!$A$18:$A$40,A715)</f>
        <v>0</v>
      </c>
    </row>
    <row r="716" spans="1:6" x14ac:dyDescent="0.3">
      <c r="A716" s="2" t="s">
        <v>527</v>
      </c>
      <c r="B716" s="19" t="str">
        <f>_xlfn.XLOOKUP(A716,CATÁLOGO!$A$2:$A$846,CATÁLOGO!$B$2:$B$846,"FORA DO CATÁLOGO")</f>
        <v>JAQ011VG</v>
      </c>
      <c r="C716" s="13">
        <v>6</v>
      </c>
      <c r="D716" s="13" t="str">
        <f>_xlfn.XLOOKUP(A716,CATÁLOGO!$A$2:$A$846,CATÁLOGO!$E$2:$E$846,"FORA DO CATÁLOGO")</f>
        <v>Ativo</v>
      </c>
      <c r="E716" s="2" t="s">
        <v>1401</v>
      </c>
      <c r="F716" s="62">
        <f>SUMIFS('AVARIA ESTIMADA'!$H$18:$H$40,'AVARIA ESTIMADA'!$A$18:$A$40,A716)</f>
        <v>0</v>
      </c>
    </row>
    <row r="717" spans="1:6" x14ac:dyDescent="0.3">
      <c r="A717" s="2" t="s">
        <v>528</v>
      </c>
      <c r="B717" s="19" t="str">
        <f>_xlfn.XLOOKUP(A717,CATÁLOGO!$A$2:$A$846,CATÁLOGO!$B$2:$B$846,"FORA DO CATÁLOGO")</f>
        <v>JAQ011VGG</v>
      </c>
      <c r="C717" s="13">
        <v>3</v>
      </c>
      <c r="D717" s="13" t="str">
        <f>_xlfn.XLOOKUP(A717,CATÁLOGO!$A$2:$A$846,CATÁLOGO!$E$2:$E$846,"FORA DO CATÁLOGO")</f>
        <v>Ativo</v>
      </c>
      <c r="E717" s="2" t="s">
        <v>1401</v>
      </c>
      <c r="F717" s="62">
        <f>SUMIFS('AVARIA ESTIMADA'!$H$18:$H$40,'AVARIA ESTIMADA'!$A$18:$A$40,A717)</f>
        <v>0</v>
      </c>
    </row>
    <row r="718" spans="1:6" x14ac:dyDescent="0.3">
      <c r="A718" s="2" t="s">
        <v>1313</v>
      </c>
      <c r="B718" s="19" t="str">
        <f>_xlfn.XLOOKUP(A718,CATÁLOGO!$A$2:$A$846,CATÁLOGO!$B$2:$B$846,"FORA DO CATÁLOGO")</f>
        <v>CMS006YM</v>
      </c>
      <c r="C718" s="13">
        <v>5</v>
      </c>
      <c r="D718" s="13" t="str">
        <f>_xlfn.XLOOKUP(A718,CATÁLOGO!$A$2:$A$846,CATÁLOGO!$E$2:$E$846,"FORA DO CATÁLOGO")</f>
        <v>Descontinuado</v>
      </c>
      <c r="E718" s="2" t="s">
        <v>1401</v>
      </c>
      <c r="F718" s="62">
        <f>SUMIFS('AVARIA ESTIMADA'!$H$18:$H$40,'AVARIA ESTIMADA'!$A$18:$A$40,A718)</f>
        <v>0</v>
      </c>
    </row>
    <row r="719" spans="1:6" x14ac:dyDescent="0.3">
      <c r="A719" s="2" t="s">
        <v>1254</v>
      </c>
      <c r="B719" s="19" t="str">
        <f>_xlfn.XLOOKUP(A719,CATÁLOGO!$A$2:$A$846,CATÁLOGO!$B$2:$B$846,"FORA DO CATÁLOGO")</f>
        <v>CMS006YGG</v>
      </c>
      <c r="C719" s="13">
        <v>3</v>
      </c>
      <c r="D719" s="13" t="str">
        <f>_xlfn.XLOOKUP(A719,CATÁLOGO!$A$2:$A$846,CATÁLOGO!$E$2:$E$846,"FORA DO CATÁLOGO")</f>
        <v>Descontinuado</v>
      </c>
      <c r="E719" s="2" t="s">
        <v>1401</v>
      </c>
      <c r="F719" s="62">
        <f>SUMIFS('AVARIA ESTIMADA'!$H$18:$H$40,'AVARIA ESTIMADA'!$A$18:$A$40,A719)</f>
        <v>0</v>
      </c>
    </row>
    <row r="720" spans="1:6" x14ac:dyDescent="0.3">
      <c r="A720" s="2" t="s">
        <v>1316</v>
      </c>
      <c r="B720" s="19" t="str">
        <f>_xlfn.XLOOKUP(A720,CATÁLOGO!$A$2:$A$846,CATÁLOGO!$B$2:$B$846,"FORA DO CATÁLOGO")</f>
        <v>ACE007GU</v>
      </c>
      <c r="C720" s="13">
        <v>5</v>
      </c>
      <c r="D720" s="13" t="str">
        <f>_xlfn.XLOOKUP(A720,CATÁLOGO!$A$2:$A$846,CATÁLOGO!$E$2:$E$846,"FORA DO CATÁLOGO")</f>
        <v>Descontinuado</v>
      </c>
      <c r="E720" s="2" t="s">
        <v>1401</v>
      </c>
      <c r="F720" s="62">
        <f>SUMIFS('AVARIA ESTIMADA'!$H$18:$H$40,'AVARIA ESTIMADA'!$A$18:$A$40,A720)</f>
        <v>0</v>
      </c>
    </row>
  </sheetData>
  <conditionalFormatting sqref="D2:D720">
    <cfRule type="containsText" dxfId="15" priority="1" operator="containsText" text="Descontinuado">
      <formula>NOT(ISERROR(SEARCH("Descontinuado",D2)))</formula>
    </cfRule>
    <cfRule type="containsText" dxfId="14" priority="2" operator="containsText" text="Fora do catálogo">
      <formula>NOT(ISERROR(SEARCH("Fora do catálogo",D2)))</formula>
    </cfRule>
    <cfRule type="containsText" dxfId="13" priority="3" operator="containsText" text="FORA DO CATÁLOGO">
      <formula>NOT(ISERROR(SEARCH("FORA DO CATÁLOGO",D2)))</formula>
    </cfRule>
  </conditionalFormatting>
  <conditionalFormatting sqref="F2:F720">
    <cfRule type="cellIs" dxfId="1" priority="4" operator="greaterThan">
      <formula>0</formula>
    </cfRule>
  </conditionalFormatting>
  <conditionalFormatting sqref="I12:I40">
    <cfRule type="dataBar" priority="5">
      <dataBar>
        <cfvo type="num" val="0"/>
        <cfvo type="max"/>
        <color rgb="FFF4B183"/>
      </dataBar>
      <extLst>
        <ext xmlns:x14="http://schemas.microsoft.com/office/spreadsheetml/2009/9/main" uri="{B025F937-C7B1-47D3-B67F-A62EFF666E3E}">
          <x14:id>{37ABC9E6-9458-4A20-B3C8-A5E1A7172A9A}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BC9E6-9458-4A20-B3C8-A5E1A7172A9A}">
            <x14:dataBar minLength="0" maxLength="100" gradient="0" direction="leftToRight" negativeBarColorSameAsPositive="1" axisPosition="none">
              <x14:cfvo type="num">
                <xm:f>0</xm:f>
              </x14:cfvo>
              <x14:cfvo type="max"/>
            </x14:dataBar>
          </x14:cfRule>
          <xm:sqref>I12:I40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1"/>
  <sheetViews>
    <sheetView tabSelected="1" workbookViewId="0">
      <pane ySplit="1" topLeftCell="A2" activePane="bottomLeft" state="frozen"/>
      <selection pane="bottomLeft" activeCell="B146" sqref="B146"/>
    </sheetView>
  </sheetViews>
  <sheetFormatPr defaultRowHeight="14.4" x14ac:dyDescent="0.3"/>
  <cols>
    <col min="1" max="1" width="27.77734375" customWidth="1"/>
    <col min="2" max="2" width="16.6640625" customWidth="1"/>
    <col min="3" max="3" width="11.109375" customWidth="1"/>
    <col min="4" max="4" width="24.109375" customWidth="1"/>
    <col min="5" max="5" width="55.5546875" customWidth="1"/>
    <col min="6" max="6" width="14.77734375" customWidth="1"/>
    <col min="7" max="7" width="3.6640625" customWidth="1"/>
    <col min="8" max="8" width="35.21875" customWidth="1"/>
    <col min="9" max="9" width="27.77734375" customWidth="1"/>
  </cols>
  <sheetData>
    <row r="1" spans="1:9" x14ac:dyDescent="0.3">
      <c r="A1" s="12" t="s">
        <v>0</v>
      </c>
      <c r="B1" s="12" t="s">
        <v>1413</v>
      </c>
      <c r="C1" s="12" t="s">
        <v>1</v>
      </c>
      <c r="D1" s="12" t="s">
        <v>1416</v>
      </c>
      <c r="E1" s="12" t="s">
        <v>2</v>
      </c>
      <c r="F1" s="12" t="s">
        <v>2059</v>
      </c>
      <c r="H1" s="22" t="s">
        <v>2062</v>
      </c>
      <c r="I1" s="22"/>
    </row>
    <row r="2" spans="1:9" x14ac:dyDescent="0.3">
      <c r="A2" s="2" t="s">
        <v>1957</v>
      </c>
      <c r="B2" s="19" t="str">
        <f>_xlfn.XLOOKUP(A2,CATÁLOGO!$A$2:$A$846,CATÁLOGO!$B$2:$B$846,"FORA DO CATÁLOGO")</f>
        <v>CAL001V38</v>
      </c>
      <c r="C2" s="13">
        <v>1</v>
      </c>
      <c r="D2" s="13" t="str">
        <f>_xlfn.XLOOKUP(A2,CATÁLOGO!$A$2:$A$846,CATÁLOGO!$E$2:$E$846,"FORA DO CATÁLOGO")</f>
        <v>Fora do catálogo 2026</v>
      </c>
      <c r="E2" s="2" t="s">
        <v>1333</v>
      </c>
      <c r="F2" s="62">
        <f>SUMIFS('AVARIA ESTIMADA'!$J$18:$J$40,'AVARIA ESTIMADA'!$A$18:$A$40,A2)</f>
        <v>0</v>
      </c>
      <c r="H2" s="54" t="s">
        <v>2050</v>
      </c>
      <c r="I2" s="63" t="s">
        <v>2064</v>
      </c>
    </row>
    <row r="3" spans="1:9" x14ac:dyDescent="0.3">
      <c r="A3" s="2" t="s">
        <v>1948</v>
      </c>
      <c r="B3" s="19" t="str">
        <f>_xlfn.XLOOKUP(A3,CATÁLOGO!$A$2:$A$846,CATÁLOGO!$B$2:$B$846,"FORA DO CATÁLOGO")</f>
        <v>CAL001H36</v>
      </c>
      <c r="C3" s="13">
        <v>2</v>
      </c>
      <c r="D3" s="13" t="str">
        <f>_xlfn.XLOOKUP(A3,CATÁLOGO!$A$2:$A$846,CATÁLOGO!$E$2:$E$846,"FORA DO CATÁLOGO")</f>
        <v>Fora do catálogo 2026</v>
      </c>
      <c r="E3" s="2"/>
      <c r="F3" s="62">
        <f>SUMIFS('AVARIA ESTIMADA'!$J$18:$J$40,'AVARIA ESTIMADA'!$A$18:$A$40,A3)</f>
        <v>0</v>
      </c>
      <c r="H3" s="54" t="s">
        <v>2051</v>
      </c>
      <c r="I3" s="55">
        <f>SUM(C2:C721)</f>
        <v>1904</v>
      </c>
    </row>
    <row r="4" spans="1:9" x14ac:dyDescent="0.3">
      <c r="A4" s="2" t="s">
        <v>1950</v>
      </c>
      <c r="B4" s="19" t="str">
        <f>_xlfn.XLOOKUP(A4,CATÁLOGO!$A$2:$A$846,CATÁLOGO!$B$2:$B$846,"FORA DO CATÁLOGO")</f>
        <v>CAL001H38</v>
      </c>
      <c r="C4" s="13">
        <v>1</v>
      </c>
      <c r="D4" s="13" t="str">
        <f>_xlfn.XLOOKUP(A4,CATÁLOGO!$A$2:$A$846,CATÁLOGO!$E$2:$E$846,"FORA DO CATÁLOGO")</f>
        <v>Fora do catálogo 2026</v>
      </c>
      <c r="E4" s="2"/>
      <c r="F4" s="62">
        <f>SUMIFS('AVARIA ESTIMADA'!$J$18:$J$40,'AVARIA ESTIMADA'!$A$18:$A$40,A4)</f>
        <v>0</v>
      </c>
      <c r="H4" s="56" t="s">
        <v>2052</v>
      </c>
      <c r="I4" s="57">
        <f>SUM(F2:F721)</f>
        <v>49</v>
      </c>
    </row>
    <row r="5" spans="1:9" x14ac:dyDescent="0.3">
      <c r="A5" s="2" t="s">
        <v>1955</v>
      </c>
      <c r="B5" s="19" t="str">
        <f>_xlfn.XLOOKUP(A5,CATÁLOGO!$A$2:$A$846,CATÁLOGO!$B$2:$B$846,"FORA DO CATÁLOGO")</f>
        <v>CAL001H44</v>
      </c>
      <c r="C5" s="13">
        <v>1</v>
      </c>
      <c r="D5" s="13" t="str">
        <f>_xlfn.XLOOKUP(A5,CATÁLOGO!$A$2:$A$846,CATÁLOGO!$E$2:$E$846,"FORA DO CATÁLOGO")</f>
        <v>Fora do catálogo 2026</v>
      </c>
      <c r="E5" s="2"/>
      <c r="F5" s="62">
        <f>SUMIFS('AVARIA ESTIMADA'!$J$18:$J$40,'AVARIA ESTIMADA'!$A$18:$A$40,A5)</f>
        <v>0</v>
      </c>
      <c r="H5" s="58" t="s">
        <v>2053</v>
      </c>
      <c r="I5" s="59">
        <f>I3-I4</f>
        <v>1855</v>
      </c>
    </row>
    <row r="6" spans="1:9" x14ac:dyDescent="0.3">
      <c r="A6" s="2" t="s">
        <v>1322</v>
      </c>
      <c r="B6" s="19" t="str">
        <f>_xlfn.XLOOKUP(A6,CATÁLOGO!$A$2:$A$846,CATÁLOGO!$B$2:$B$846,"FORA DO CATÁLOGO")</f>
        <v>TRI003GG</v>
      </c>
      <c r="C6" s="13">
        <v>1</v>
      </c>
      <c r="D6" s="13" t="str">
        <f>_xlfn.XLOOKUP(A6,CATÁLOGO!$A$2:$A$846,CATÁLOGO!$E$2:$E$846,"FORA DO CATÁLOGO")</f>
        <v>Fora do catálogo 2026</v>
      </c>
      <c r="E6" s="2"/>
      <c r="F6" s="62">
        <f>SUMIFS('AVARIA ESTIMADA'!$J$18:$J$40,'AVARIA ESTIMADA'!$A$18:$A$40,A6)</f>
        <v>0</v>
      </c>
      <c r="H6" s="54" t="s">
        <v>2054</v>
      </c>
      <c r="I6" s="60">
        <f>I4/I3</f>
        <v>2.5735294117647058E-2</v>
      </c>
    </row>
    <row r="7" spans="1:9" x14ac:dyDescent="0.3">
      <c r="A7" s="2" t="s">
        <v>16</v>
      </c>
      <c r="B7" s="19" t="str">
        <f>_xlfn.XLOOKUP(A7,CATÁLOGO!$A$2:$A$846,CATÁLOGO!$B$2:$B$846,"FORA DO CATÁLOGO")</f>
        <v>TRI003MG</v>
      </c>
      <c r="C7" s="13">
        <v>1</v>
      </c>
      <c r="D7" s="13" t="str">
        <f>_xlfn.XLOOKUP(A7,CATÁLOGO!$A$2:$A$846,CATÁLOGO!$E$2:$E$846,"FORA DO CATÁLOGO")</f>
        <v>Fora do catálogo 2026</v>
      </c>
      <c r="E7" s="2"/>
      <c r="F7" s="62">
        <f>SUMIFS('AVARIA ESTIMADA'!$J$18:$J$40,'AVARIA ESTIMADA'!$A$18:$A$40,A7)</f>
        <v>0</v>
      </c>
      <c r="H7" s="54" t="s">
        <v>2055</v>
      </c>
      <c r="I7" s="61">
        <f>COUNTIF(F2:F721,"&gt;0")</f>
        <v>20</v>
      </c>
    </row>
    <row r="8" spans="1:9" x14ac:dyDescent="0.3">
      <c r="A8" s="2" t="s">
        <v>1323</v>
      </c>
      <c r="B8" s="19" t="str">
        <f>_xlfn.XLOOKUP(A8,CATÁLOGO!$A$2:$A$846,CATÁLOGO!$B$2:$B$846,"FORA DO CATÁLOGO")</f>
        <v>SAI001PGG</v>
      </c>
      <c r="C8" s="13">
        <v>1</v>
      </c>
      <c r="D8" s="13" t="str">
        <f>_xlfn.XLOOKUP(A8,CATÁLOGO!$A$2:$A$846,CATÁLOGO!$E$2:$E$846,"FORA DO CATÁLOGO")</f>
        <v>Fora do catálogo 2026</v>
      </c>
      <c r="E8" s="2"/>
      <c r="F8" s="62">
        <f>SUMIFS('AVARIA ESTIMADA'!$J$18:$J$40,'AVARIA ESTIMADA'!$A$18:$A$40,A8)</f>
        <v>0</v>
      </c>
      <c r="H8" s="54" t="s">
        <v>2056</v>
      </c>
      <c r="I8" s="60">
        <f>'AVARIA ESTIMADA'!F14</f>
        <v>2.995785396970042E-2</v>
      </c>
    </row>
    <row r="9" spans="1:9" x14ac:dyDescent="0.3">
      <c r="A9" s="2" t="s">
        <v>1247</v>
      </c>
      <c r="B9" s="19" t="str">
        <f>_xlfn.XLOOKUP(A9,CATÁLOGO!$A$2:$A$846,CATÁLOGO!$B$2:$B$846,"FORA DO CATÁLOGO")</f>
        <v>SAI001GGG</v>
      </c>
      <c r="C9" s="13">
        <v>1</v>
      </c>
      <c r="D9" s="13" t="str">
        <f>_xlfn.XLOOKUP(A9,CATÁLOGO!$A$2:$A$846,CATÁLOGO!$E$2:$E$846,"FORA DO CATÁLOGO")</f>
        <v>Fora do catálogo 2026</v>
      </c>
      <c r="E9" s="2"/>
      <c r="F9" s="62">
        <f>SUMIFS('AVARIA ESTIMADA'!$J$18:$J$40,'AVARIA ESTIMADA'!$A$18:$A$40,A9)</f>
        <v>0</v>
      </c>
    </row>
    <row r="10" spans="1:9" x14ac:dyDescent="0.3">
      <c r="A10" s="2" t="s">
        <v>1448</v>
      </c>
      <c r="B10" s="19" t="str">
        <f>_xlfn.XLOOKUP(A10,CATÁLOGO!$A$2:$A$846,CATÁLOGO!$B$2:$B$846,"FORA DO CATÁLOGO")</f>
        <v>BER001B40</v>
      </c>
      <c r="C10" s="13">
        <v>6</v>
      </c>
      <c r="D10" s="13" t="str">
        <f>_xlfn.XLOOKUP(A10,CATÁLOGO!$A$2:$A$846,CATÁLOGO!$E$2:$E$846,"FORA DO CATÁLOGO")</f>
        <v>Ativo</v>
      </c>
      <c r="E10" s="2" t="s">
        <v>1333</v>
      </c>
      <c r="F10" s="62">
        <f>SUMIFS('AVARIA ESTIMADA'!$J$18:$J$40,'AVARIA ESTIMADA'!$A$18:$A$40,A10)</f>
        <v>0</v>
      </c>
      <c r="H10" s="22" t="s">
        <v>2057</v>
      </c>
      <c r="I10" s="22"/>
    </row>
    <row r="11" spans="1:9" x14ac:dyDescent="0.3">
      <c r="A11" s="2" t="s">
        <v>1445</v>
      </c>
      <c r="B11" s="19" t="str">
        <f>_xlfn.XLOOKUP(A11,CATÁLOGO!$A$2:$A$846,CATÁLOGO!$B$2:$B$846,"FORA DO CATÁLOGO")</f>
        <v>BER001B42</v>
      </c>
      <c r="C11" s="13">
        <v>4</v>
      </c>
      <c r="D11" s="13" t="str">
        <f>_xlfn.XLOOKUP(A11,CATÁLOGO!$A$2:$A$846,CATÁLOGO!$E$2:$E$846,"FORA DO CATÁLOGO")</f>
        <v>Ativo</v>
      </c>
      <c r="E11" s="2"/>
      <c r="F11" s="62">
        <f>SUMIFS('AVARIA ESTIMADA'!$J$18:$J$40,'AVARIA ESTIMADA'!$A$18:$A$40,A11)</f>
        <v>0</v>
      </c>
      <c r="H11" s="53" t="s">
        <v>0</v>
      </c>
      <c r="I11" s="53" t="s">
        <v>2058</v>
      </c>
    </row>
    <row r="12" spans="1:9" x14ac:dyDescent="0.3">
      <c r="A12" s="2" t="s">
        <v>1447</v>
      </c>
      <c r="B12" s="19" t="str">
        <f>_xlfn.XLOOKUP(A12,CATÁLOGO!$A$2:$A$846,CATÁLOGO!$B$2:$B$846,"FORA DO CATÁLOGO")</f>
        <v>BER001B44</v>
      </c>
      <c r="C12" s="13">
        <v>3</v>
      </c>
      <c r="D12" s="13" t="str">
        <f>_xlfn.XLOOKUP(A12,CATÁLOGO!$A$2:$A$846,CATÁLOGO!$E$2:$E$846,"FORA DO CATÁLOGO")</f>
        <v>Ativo</v>
      </c>
      <c r="E12" s="2"/>
      <c r="F12" s="62">
        <f>SUMIFS('AVARIA ESTIMADA'!$J$18:$J$40,'AVARIA ESTIMADA'!$A$18:$A$40,A12)</f>
        <v>0</v>
      </c>
      <c r="H12" t="str" cm="1">
        <f t="array" ref="H12:I31">_xlfn._xlws.SORT(_xlfn._xlws.FILTER(_xlfn.HSTACK(A2:A721,F2:F721),F2:F721&gt;0,"sem avaria"),2,-1)</f>
        <v>VLT-CAL-023-LIL-M</v>
      </c>
      <c r="I12" s="27">
        <v>5</v>
      </c>
    </row>
    <row r="13" spans="1:9" x14ac:dyDescent="0.3">
      <c r="A13" s="2" t="s">
        <v>1517</v>
      </c>
      <c r="B13" s="19" t="str">
        <f>_xlfn.XLOOKUP(A13,CATÁLOGO!$A$2:$A$846,CATÁLOGO!$B$2:$B$846,"FORA DO CATÁLOGO")</f>
        <v>CAL003P38</v>
      </c>
      <c r="C13" s="13">
        <v>6</v>
      </c>
      <c r="D13" s="13" t="str">
        <f>_xlfn.XLOOKUP(A13,CATÁLOGO!$A$2:$A$846,CATÁLOGO!$E$2:$E$846,"FORA DO CATÁLOGO")</f>
        <v>Ativo</v>
      </c>
      <c r="E13" s="2" t="s">
        <v>1335</v>
      </c>
      <c r="F13" s="62">
        <f>SUMIFS('AVARIA ESTIMADA'!$J$18:$J$40,'AVARIA ESTIMADA'!$A$18:$A$40,A13)</f>
        <v>0</v>
      </c>
      <c r="H13" t="str">
        <v>VLT-CAL-003-PRE-G</v>
      </c>
      <c r="I13" s="27">
        <v>4</v>
      </c>
    </row>
    <row r="14" spans="1:9" x14ac:dyDescent="0.3">
      <c r="A14" s="2" t="s">
        <v>1516</v>
      </c>
      <c r="B14" s="19" t="str">
        <f>_xlfn.XLOOKUP(A14,CATÁLOGO!$A$2:$A$846,CATÁLOGO!$B$2:$B$846,"FORA DO CATÁLOGO")</f>
        <v>CAL003P40</v>
      </c>
      <c r="C14" s="13">
        <v>5</v>
      </c>
      <c r="D14" s="13" t="str">
        <f>_xlfn.XLOOKUP(A14,CATÁLOGO!$A$2:$A$846,CATÁLOGO!$E$2:$E$846,"FORA DO CATÁLOGO")</f>
        <v>Ativo</v>
      </c>
      <c r="E14" s="2"/>
      <c r="F14" s="62">
        <f>SUMIFS('AVARIA ESTIMADA'!$J$18:$J$40,'AVARIA ESTIMADA'!$A$18:$A$40,A14)</f>
        <v>0</v>
      </c>
      <c r="H14" t="str">
        <v>VLT-CAL-011-LIL-P</v>
      </c>
      <c r="I14" s="27">
        <v>4</v>
      </c>
    </row>
    <row r="15" spans="1:9" x14ac:dyDescent="0.3">
      <c r="A15" s="2" t="s">
        <v>1513</v>
      </c>
      <c r="B15" s="19" t="str">
        <f>_xlfn.XLOOKUP(A15,CATÁLOGO!$A$2:$A$846,CATÁLOGO!$B$2:$B$846,"FORA DO CATÁLOGO")</f>
        <v>CAL003P42</v>
      </c>
      <c r="C15" s="13">
        <v>4</v>
      </c>
      <c r="D15" s="13" t="str">
        <f>_xlfn.XLOOKUP(A15,CATÁLOGO!$A$2:$A$846,CATÁLOGO!$E$2:$E$846,"FORA DO CATÁLOGO")</f>
        <v>Ativo</v>
      </c>
      <c r="E15" s="2"/>
      <c r="F15" s="62">
        <f>SUMIFS('AVARIA ESTIMADA'!$J$18:$J$40,'AVARIA ESTIMADA'!$A$18:$A$40,A15)</f>
        <v>4</v>
      </c>
      <c r="H15" t="str">
        <v>VLT-CAL-024-AZM-P</v>
      </c>
      <c r="I15" s="27">
        <v>4</v>
      </c>
    </row>
    <row r="16" spans="1:9" x14ac:dyDescent="0.3">
      <c r="A16" s="2" t="s">
        <v>1515</v>
      </c>
      <c r="B16" s="19" t="str">
        <f>_xlfn.XLOOKUP(A16,CATÁLOGO!$A$2:$A$846,CATÁLOGO!$B$2:$B$846,"FORA DO CATÁLOGO")</f>
        <v>CAL003P44</v>
      </c>
      <c r="C16" s="13">
        <v>2</v>
      </c>
      <c r="D16" s="13" t="str">
        <f>_xlfn.XLOOKUP(A16,CATÁLOGO!$A$2:$A$846,CATÁLOGO!$E$2:$E$846,"FORA DO CATÁLOGO")</f>
        <v>Ativo</v>
      </c>
      <c r="E16" s="2"/>
      <c r="F16" s="62">
        <f>SUMIFS('AVARIA ESTIMADA'!$J$18:$J$40,'AVARIA ESTIMADA'!$A$18:$A$40,A16)</f>
        <v>0</v>
      </c>
      <c r="H16" t="str">
        <v>VLT-TOP-001-AMA-G</v>
      </c>
      <c r="I16" s="27">
        <v>4</v>
      </c>
    </row>
    <row r="17" spans="1:9" x14ac:dyDescent="0.3">
      <c r="A17" s="2" t="s">
        <v>1532</v>
      </c>
      <c r="B17" s="19" t="str">
        <f>_xlfn.XLOOKUP(A17,CATÁLOGO!$A$2:$A$846,CATÁLOGO!$B$2:$B$846,"FORA DO CATÁLOGO")</f>
        <v>CAL004C36</v>
      </c>
      <c r="C17" s="13">
        <v>1</v>
      </c>
      <c r="D17" s="13" t="str">
        <f>_xlfn.XLOOKUP(A17,CATÁLOGO!$A$2:$A$846,CATÁLOGO!$E$2:$E$846,"FORA DO CATÁLOGO")</f>
        <v>Ativo</v>
      </c>
      <c r="E17" s="2"/>
      <c r="F17" s="62">
        <f>SUMIFS('AVARIA ESTIMADA'!$J$18:$J$40,'AVARIA ESTIMADA'!$A$18:$A$40,A17)</f>
        <v>0</v>
      </c>
      <c r="H17" t="str">
        <v>VLT-TOP-006-MRR-G</v>
      </c>
      <c r="I17" s="27">
        <v>3</v>
      </c>
    </row>
    <row r="18" spans="1:9" x14ac:dyDescent="0.3">
      <c r="A18" s="2" t="s">
        <v>1530</v>
      </c>
      <c r="B18" s="19" t="str">
        <f>_xlfn.XLOOKUP(A18,CATÁLOGO!$A$2:$A$846,CATÁLOGO!$B$2:$B$846,"FORA DO CATÁLOGO")</f>
        <v>CAL004C38</v>
      </c>
      <c r="C18" s="13">
        <v>1</v>
      </c>
      <c r="D18" s="13" t="str">
        <f>_xlfn.XLOOKUP(A18,CATÁLOGO!$A$2:$A$846,CATÁLOGO!$E$2:$E$846,"FORA DO CATÁLOGO")</f>
        <v>Ativo</v>
      </c>
      <c r="E18" s="2"/>
      <c r="F18" s="62">
        <f>SUMIFS('AVARIA ESTIMADA'!$J$18:$J$40,'AVARIA ESTIMADA'!$A$18:$A$40,A18)</f>
        <v>0</v>
      </c>
      <c r="H18" t="str">
        <v>VLT-VES-006-MRR-G</v>
      </c>
      <c r="I18" s="27">
        <v>3</v>
      </c>
    </row>
    <row r="19" spans="1:9" x14ac:dyDescent="0.3">
      <c r="A19" s="2" t="s">
        <v>1529</v>
      </c>
      <c r="B19" s="19" t="str">
        <f>_xlfn.XLOOKUP(A19,CATÁLOGO!$A$2:$A$846,CATÁLOGO!$B$2:$B$846,"FORA DO CATÁLOGO")</f>
        <v>CAL004C40</v>
      </c>
      <c r="C19" s="13">
        <v>3</v>
      </c>
      <c r="D19" s="13" t="str">
        <f>_xlfn.XLOOKUP(A19,CATÁLOGO!$A$2:$A$846,CATÁLOGO!$E$2:$E$846,"FORA DO CATÁLOGO")</f>
        <v>Ativo</v>
      </c>
      <c r="E19" s="2"/>
      <c r="F19" s="62">
        <f>SUMIFS('AVARIA ESTIMADA'!$J$18:$J$40,'AVARIA ESTIMADA'!$A$18:$A$40,A19)</f>
        <v>0</v>
      </c>
      <c r="H19" t="str">
        <v>VLT-CAM-017-AMA-G</v>
      </c>
      <c r="I19" s="27">
        <v>3</v>
      </c>
    </row>
    <row r="20" spans="1:9" x14ac:dyDescent="0.3">
      <c r="A20" s="2" t="s">
        <v>1527</v>
      </c>
      <c r="B20" s="19" t="str">
        <f>_xlfn.XLOOKUP(A20,CATÁLOGO!$A$2:$A$846,CATÁLOGO!$B$2:$B$846,"FORA DO CATÁLOGO")</f>
        <v>CAL004C42</v>
      </c>
      <c r="C20" s="13">
        <v>1</v>
      </c>
      <c r="D20" s="13" t="str">
        <f>_xlfn.XLOOKUP(A20,CATÁLOGO!$A$2:$A$846,CATÁLOGO!$E$2:$E$846,"FORA DO CATÁLOGO")</f>
        <v>Ativo</v>
      </c>
      <c r="E20" s="2" t="s">
        <v>1333</v>
      </c>
      <c r="F20" s="62">
        <f>SUMIFS('AVARIA ESTIMADA'!$J$18:$J$40,'AVARIA ESTIMADA'!$A$18:$A$40,A20)</f>
        <v>0</v>
      </c>
      <c r="H20" t="str">
        <v>VLT-CAM-020-AMA-G</v>
      </c>
      <c r="I20" s="27">
        <v>3</v>
      </c>
    </row>
    <row r="21" spans="1:9" x14ac:dyDescent="0.3">
      <c r="A21" s="2" t="s">
        <v>1528</v>
      </c>
      <c r="B21" s="19" t="str">
        <f>_xlfn.XLOOKUP(A21,CATÁLOGO!$A$2:$A$846,CATÁLOGO!$B$2:$B$846,"FORA DO CATÁLOGO")</f>
        <v>CAL004C44</v>
      </c>
      <c r="C21" s="13">
        <v>1</v>
      </c>
      <c r="D21" s="13" t="str">
        <f>_xlfn.XLOOKUP(A21,CATÁLOGO!$A$2:$A$846,CATÁLOGO!$E$2:$E$846,"FORA DO CATÁLOGO")</f>
        <v>Ativo</v>
      </c>
      <c r="E21" s="2"/>
      <c r="F21" s="62">
        <f>SUMIFS('AVARIA ESTIMADA'!$J$18:$J$40,'AVARIA ESTIMADA'!$A$18:$A$40,A21)</f>
        <v>0</v>
      </c>
      <c r="H21" t="str">
        <v>VLT-CAM-004-PRE-M</v>
      </c>
      <c r="I21" s="27">
        <v>2</v>
      </c>
    </row>
    <row r="22" spans="1:9" x14ac:dyDescent="0.3">
      <c r="A22" s="2" t="s">
        <v>1531</v>
      </c>
      <c r="B22" s="19" t="str">
        <f>_xlfn.XLOOKUP(A22,CATÁLOGO!$A$2:$A$846,CATÁLOGO!$B$2:$B$846,"FORA DO CATÁLOGO")</f>
        <v>CAL004C46</v>
      </c>
      <c r="C22" s="13">
        <v>1</v>
      </c>
      <c r="D22" s="13" t="str">
        <f>_xlfn.XLOOKUP(A22,CATÁLOGO!$A$2:$A$846,CATÁLOGO!$E$2:$E$846,"FORA DO CATÁLOGO")</f>
        <v>Ativo</v>
      </c>
      <c r="E22" s="2" t="s">
        <v>1333</v>
      </c>
      <c r="F22" s="62">
        <f>SUMIFS('AVARIA ESTIMADA'!$J$18:$J$40,'AVARIA ESTIMADA'!$A$18:$A$40,A22)</f>
        <v>0</v>
      </c>
      <c r="H22" t="str">
        <v>VLT-VES-007-OLI-GG</v>
      </c>
      <c r="I22" s="27">
        <v>2</v>
      </c>
    </row>
    <row r="23" spans="1:9" x14ac:dyDescent="0.3">
      <c r="A23" s="2" t="s">
        <v>1526</v>
      </c>
      <c r="B23" s="19" t="str">
        <f>_xlfn.XLOOKUP(A23,CATÁLOGO!$A$2:$A$846,CATÁLOGO!$B$2:$B$846,"FORA DO CATÁLOGO")</f>
        <v>CAL004G36</v>
      </c>
      <c r="C23" s="13">
        <v>1</v>
      </c>
      <c r="D23" s="13" t="str">
        <f>_xlfn.XLOOKUP(A23,CATÁLOGO!$A$2:$A$846,CATÁLOGO!$E$2:$E$846,"FORA DO CATÁLOGO")</f>
        <v>Ativo</v>
      </c>
      <c r="E23" s="2"/>
      <c r="F23" s="62">
        <f>SUMIFS('AVARIA ESTIMADA'!$J$18:$J$40,'AVARIA ESTIMADA'!$A$18:$A$40,A23)</f>
        <v>0</v>
      </c>
      <c r="H23" t="str">
        <v>VLT-CAL-016-OLI-P</v>
      </c>
      <c r="I23" s="27">
        <v>2</v>
      </c>
    </row>
    <row r="24" spans="1:9" x14ac:dyDescent="0.3">
      <c r="A24" s="2" t="s">
        <v>1524</v>
      </c>
      <c r="B24" s="19" t="str">
        <f>_xlfn.XLOOKUP(A24,CATÁLOGO!$A$2:$A$846,CATÁLOGO!$B$2:$B$846,"FORA DO CATÁLOGO")</f>
        <v>CAL004G38</v>
      </c>
      <c r="C24" s="13">
        <v>1</v>
      </c>
      <c r="D24" s="13" t="str">
        <f>_xlfn.XLOOKUP(A24,CATÁLOGO!$A$2:$A$846,CATÁLOGO!$E$2:$E$846,"FORA DO CATÁLOGO")</f>
        <v>Ativo</v>
      </c>
      <c r="E24" s="2"/>
      <c r="F24" s="62">
        <f>SUMIFS('AVARIA ESTIMADA'!$J$18:$J$40,'AVARIA ESTIMADA'!$A$18:$A$40,A24)</f>
        <v>0</v>
      </c>
      <c r="H24" t="str">
        <v>VLT-BER-007-AZM-G</v>
      </c>
      <c r="I24" s="27">
        <v>2</v>
      </c>
    </row>
    <row r="25" spans="1:9" x14ac:dyDescent="0.3">
      <c r="A25" s="2" t="s">
        <v>1518</v>
      </c>
      <c r="B25" s="19" t="str">
        <f>_xlfn.XLOOKUP(A25,CATÁLOGO!$A$2:$A$846,CATÁLOGO!$B$2:$B$846,"FORA DO CATÁLOGO")</f>
        <v>CAL004G42</v>
      </c>
      <c r="C25" s="13">
        <v>1</v>
      </c>
      <c r="D25" s="13" t="str">
        <f>_xlfn.XLOOKUP(A25,CATÁLOGO!$A$2:$A$846,CATÁLOGO!$E$2:$E$846,"FORA DO CATÁLOGO")</f>
        <v>Ativo</v>
      </c>
      <c r="E25" s="2" t="s">
        <v>1336</v>
      </c>
      <c r="F25" s="62">
        <f>SUMIFS('AVARIA ESTIMADA'!$J$18:$J$40,'AVARIA ESTIMADA'!$A$18:$A$40,A25)</f>
        <v>0</v>
      </c>
      <c r="H25" t="str">
        <v>VLT-VES-009-BEG-G</v>
      </c>
      <c r="I25" s="27">
        <v>2</v>
      </c>
    </row>
    <row r="26" spans="1:9" x14ac:dyDescent="0.3">
      <c r="A26" s="2" t="s">
        <v>1521</v>
      </c>
      <c r="B26" s="19" t="str">
        <f>_xlfn.XLOOKUP(A26,CATÁLOGO!$A$2:$A$846,CATÁLOGO!$B$2:$B$846,"FORA DO CATÁLOGO")</f>
        <v>CAL004G44</v>
      </c>
      <c r="C26" s="13">
        <v>1</v>
      </c>
      <c r="D26" s="13" t="str">
        <f>_xlfn.XLOOKUP(A26,CATÁLOGO!$A$2:$A$846,CATÁLOGO!$E$2:$E$846,"FORA DO CATÁLOGO")</f>
        <v>Ativo</v>
      </c>
      <c r="E26" s="2"/>
      <c r="F26" s="62">
        <f>SUMIFS('AVARIA ESTIMADA'!$J$18:$J$40,'AVARIA ESTIMADA'!$A$18:$A$40,A26)</f>
        <v>0</v>
      </c>
      <c r="H26" t="str">
        <v>VLT-MOL-008-VIN-GG</v>
      </c>
      <c r="I26" s="27">
        <v>1</v>
      </c>
    </row>
    <row r="27" spans="1:9" x14ac:dyDescent="0.3">
      <c r="A27" s="2" t="s">
        <v>1525</v>
      </c>
      <c r="B27" s="19" t="str">
        <f>_xlfn.XLOOKUP(A27,CATÁLOGO!$A$2:$A$846,CATÁLOGO!$B$2:$B$846,"FORA DO CATÁLOGO")</f>
        <v>CAL004G46</v>
      </c>
      <c r="C27" s="13">
        <v>1</v>
      </c>
      <c r="D27" s="13" t="str">
        <f>_xlfn.XLOOKUP(A27,CATÁLOGO!$A$2:$A$846,CATÁLOGO!$E$2:$E$846,"FORA DO CATÁLOGO")</f>
        <v>Ativo</v>
      </c>
      <c r="E27" s="2"/>
      <c r="F27" s="62">
        <f>SUMIFS('AVARIA ESTIMADA'!$J$18:$J$40,'AVARIA ESTIMADA'!$A$18:$A$40,A27)</f>
        <v>0</v>
      </c>
      <c r="H27" t="str">
        <v>VLT-TOP-010-AMA-M</v>
      </c>
      <c r="I27" s="27">
        <v>1</v>
      </c>
    </row>
    <row r="28" spans="1:9" x14ac:dyDescent="0.3">
      <c r="A28" s="2" t="s">
        <v>1538</v>
      </c>
      <c r="B28" s="19" t="str">
        <f>_xlfn.XLOOKUP(A28,CATÁLOGO!$A$2:$A$846,CATÁLOGO!$B$2:$B$846,"FORA DO CATÁLOGO")</f>
        <v>CAL005P36</v>
      </c>
      <c r="C28" s="13">
        <v>3</v>
      </c>
      <c r="D28" s="13" t="str">
        <f>_xlfn.XLOOKUP(A28,CATÁLOGO!$A$2:$A$846,CATÁLOGO!$E$2:$E$846,"FORA DO CATÁLOGO")</f>
        <v>Ativo</v>
      </c>
      <c r="E28" s="2"/>
      <c r="F28" s="62">
        <f>SUMIFS('AVARIA ESTIMADA'!$J$18:$J$40,'AVARIA ESTIMADA'!$A$18:$A$40,A28)</f>
        <v>0</v>
      </c>
      <c r="H28" t="str">
        <v>VLT-BER-006-LIL-G</v>
      </c>
      <c r="I28" s="27">
        <v>1</v>
      </c>
    </row>
    <row r="29" spans="1:9" x14ac:dyDescent="0.3">
      <c r="A29" s="2" t="s">
        <v>1537</v>
      </c>
      <c r="B29" s="19" t="str">
        <f>_xlfn.XLOOKUP(A29,CATÁLOGO!$A$2:$A$846,CATÁLOGO!$B$2:$B$846,"FORA DO CATÁLOGO")</f>
        <v>CAL005P38</v>
      </c>
      <c r="C29" s="13">
        <v>5</v>
      </c>
      <c r="D29" s="13" t="str">
        <f>_xlfn.XLOOKUP(A29,CATÁLOGO!$A$2:$A$846,CATÁLOGO!$E$2:$E$846,"FORA DO CATÁLOGO")</f>
        <v>Ativo</v>
      </c>
      <c r="E29" s="2"/>
      <c r="F29" s="62">
        <f>SUMIFS('AVARIA ESTIMADA'!$J$18:$J$40,'AVARIA ESTIMADA'!$A$18:$A$40,A29)</f>
        <v>0</v>
      </c>
      <c r="H29" t="str">
        <v>VLT-CAL-016-OLI-M</v>
      </c>
      <c r="I29" s="27">
        <v>1</v>
      </c>
    </row>
    <row r="30" spans="1:9" x14ac:dyDescent="0.3">
      <c r="A30" s="2" t="s">
        <v>1536</v>
      </c>
      <c r="B30" s="19" t="str">
        <f>_xlfn.XLOOKUP(A30,CATÁLOGO!$A$2:$A$846,CATÁLOGO!$B$2:$B$846,"FORA DO CATÁLOGO")</f>
        <v>CAL005P40</v>
      </c>
      <c r="C30" s="13">
        <v>6</v>
      </c>
      <c r="D30" s="13" t="str">
        <f>_xlfn.XLOOKUP(A30,CATÁLOGO!$A$2:$A$846,CATÁLOGO!$E$2:$E$846,"FORA DO CATÁLOGO")</f>
        <v>Ativo</v>
      </c>
      <c r="E30" s="2"/>
      <c r="F30" s="62">
        <f>SUMIFS('AVARIA ESTIMADA'!$J$18:$J$40,'AVARIA ESTIMADA'!$A$18:$A$40,A30)</f>
        <v>0</v>
      </c>
      <c r="H30" t="str">
        <v>VLT-SAI-009-BRA-P</v>
      </c>
      <c r="I30" s="27">
        <v>1</v>
      </c>
    </row>
    <row r="31" spans="1:9" x14ac:dyDescent="0.3">
      <c r="A31" s="2" t="s">
        <v>1533</v>
      </c>
      <c r="B31" s="19" t="str">
        <f>_xlfn.XLOOKUP(A31,CATÁLOGO!$A$2:$A$846,CATÁLOGO!$B$2:$B$846,"FORA DO CATÁLOGO")</f>
        <v>CAL005P42</v>
      </c>
      <c r="C31" s="13">
        <v>4</v>
      </c>
      <c r="D31" s="13" t="str">
        <f>_xlfn.XLOOKUP(A31,CATÁLOGO!$A$2:$A$846,CATÁLOGO!$E$2:$E$846,"FORA DO CATÁLOGO")</f>
        <v>Ativo</v>
      </c>
      <c r="E31" s="2"/>
      <c r="F31" s="62">
        <f>SUMIFS('AVARIA ESTIMADA'!$J$18:$J$40,'AVARIA ESTIMADA'!$A$18:$A$40,A31)</f>
        <v>0</v>
      </c>
      <c r="H31" t="str">
        <v>VLT-MOL-019-OLI-GG</v>
      </c>
      <c r="I31" s="27">
        <v>1</v>
      </c>
    </row>
    <row r="32" spans="1:9" x14ac:dyDescent="0.3">
      <c r="A32" s="2" t="s">
        <v>1535</v>
      </c>
      <c r="B32" s="19" t="str">
        <f>_xlfn.XLOOKUP(A32,CATÁLOGO!$A$2:$A$846,CATÁLOGO!$B$2:$B$846,"FORA DO CATÁLOGO")</f>
        <v>CAL005P44</v>
      </c>
      <c r="C32" s="13">
        <v>3</v>
      </c>
      <c r="D32" s="13" t="str">
        <f>_xlfn.XLOOKUP(A32,CATÁLOGO!$A$2:$A$846,CATÁLOGO!$E$2:$E$846,"FORA DO CATÁLOGO")</f>
        <v>Ativo</v>
      </c>
      <c r="E32" s="2"/>
      <c r="F32" s="62">
        <f>SUMIFS('AVARIA ESTIMADA'!$J$18:$J$40,'AVARIA ESTIMADA'!$A$18:$A$40,A32)</f>
        <v>0</v>
      </c>
      <c r="I32" s="27"/>
    </row>
    <row r="33" spans="1:9" x14ac:dyDescent="0.3">
      <c r="A33" s="2" t="s">
        <v>17</v>
      </c>
      <c r="B33" s="19" t="str">
        <f>_xlfn.XLOOKUP(A33,CATÁLOGO!$A$2:$A$846,CATÁLOGO!$B$2:$B$846,"FORA DO CATÁLOGO")</f>
        <v>TOP002AP</v>
      </c>
      <c r="C33" s="13">
        <v>3</v>
      </c>
      <c r="D33" s="13" t="str">
        <f>_xlfn.XLOOKUP(A33,CATÁLOGO!$A$2:$A$846,CATÁLOGO!$E$2:$E$846,"FORA DO CATÁLOGO")</f>
        <v>Ativo</v>
      </c>
      <c r="E33" s="2"/>
      <c r="F33" s="62">
        <f>SUMIFS('AVARIA ESTIMADA'!$J$18:$J$40,'AVARIA ESTIMADA'!$A$18:$A$40,A33)</f>
        <v>0</v>
      </c>
      <c r="I33" s="27"/>
    </row>
    <row r="34" spans="1:9" x14ac:dyDescent="0.3">
      <c r="A34" s="2" t="s">
        <v>18</v>
      </c>
      <c r="B34" s="19" t="str">
        <f>_xlfn.XLOOKUP(A34,CATÁLOGO!$A$2:$A$846,CATÁLOGO!$B$2:$B$846,"FORA DO CATÁLOGO")</f>
        <v>TOP002AM</v>
      </c>
      <c r="C34" s="13">
        <v>2</v>
      </c>
      <c r="D34" s="13" t="str">
        <f>_xlfn.XLOOKUP(A34,CATÁLOGO!$A$2:$A$846,CATÁLOGO!$E$2:$E$846,"FORA DO CATÁLOGO")</f>
        <v>Ativo</v>
      </c>
      <c r="E34" s="2"/>
      <c r="F34" s="62">
        <f>SUMIFS('AVARIA ESTIMADA'!$J$18:$J$40,'AVARIA ESTIMADA'!$A$18:$A$40,A34)</f>
        <v>0</v>
      </c>
      <c r="I34" s="27"/>
    </row>
    <row r="35" spans="1:9" x14ac:dyDescent="0.3">
      <c r="A35" s="2" t="s">
        <v>19</v>
      </c>
      <c r="B35" s="19" t="str">
        <f>_xlfn.XLOOKUP(A35,CATÁLOGO!$A$2:$A$846,CATÁLOGO!$B$2:$B$846,"FORA DO CATÁLOGO")</f>
        <v>TOP002AG</v>
      </c>
      <c r="C35" s="13">
        <v>4</v>
      </c>
      <c r="D35" s="13" t="str">
        <f>_xlfn.XLOOKUP(A35,CATÁLOGO!$A$2:$A$846,CATÁLOGO!$E$2:$E$846,"FORA DO CATÁLOGO")</f>
        <v>Ativo</v>
      </c>
      <c r="E35" s="2"/>
      <c r="F35" s="62">
        <f>SUMIFS('AVARIA ESTIMADA'!$J$18:$J$40,'AVARIA ESTIMADA'!$A$18:$A$40,A35)</f>
        <v>0</v>
      </c>
      <c r="I35" s="27"/>
    </row>
    <row r="36" spans="1:9" x14ac:dyDescent="0.3">
      <c r="A36" s="2" t="s">
        <v>20</v>
      </c>
      <c r="B36" s="19" t="str">
        <f>_xlfn.XLOOKUP(A36,CATÁLOGO!$A$2:$A$846,CATÁLOGO!$B$2:$B$846,"FORA DO CATÁLOGO")</f>
        <v>TOP002AGG</v>
      </c>
      <c r="C36" s="13">
        <v>2</v>
      </c>
      <c r="D36" s="13" t="str">
        <f>_xlfn.XLOOKUP(A36,CATÁLOGO!$A$2:$A$846,CATÁLOGO!$E$2:$E$846,"FORA DO CATÁLOGO")</f>
        <v>Ativo</v>
      </c>
      <c r="E36" s="2"/>
      <c r="F36" s="62">
        <f>SUMIFS('AVARIA ESTIMADA'!$J$18:$J$40,'AVARIA ESTIMADA'!$A$18:$A$40,A36)</f>
        <v>0</v>
      </c>
      <c r="I36" s="27"/>
    </row>
    <row r="37" spans="1:9" x14ac:dyDescent="0.3">
      <c r="A37" s="2" t="s">
        <v>1455</v>
      </c>
      <c r="B37" s="19" t="str">
        <f>_xlfn.XLOOKUP(A37,CATÁLOGO!$A$2:$A$846,CATÁLOGO!$B$2:$B$846,"FORA DO CATÁLOGO")</f>
        <v>BER002C36</v>
      </c>
      <c r="C37" s="13">
        <v>1</v>
      </c>
      <c r="D37" s="13" t="str">
        <f>_xlfn.XLOOKUP(A37,CATÁLOGO!$A$2:$A$846,CATÁLOGO!$E$2:$E$846,"FORA DO CATÁLOGO")</f>
        <v>Ativo</v>
      </c>
      <c r="E37" s="2"/>
      <c r="F37" s="62">
        <f>SUMIFS('AVARIA ESTIMADA'!$J$18:$J$40,'AVARIA ESTIMADA'!$A$18:$A$40,A37)</f>
        <v>0</v>
      </c>
      <c r="I37" s="27"/>
    </row>
    <row r="38" spans="1:9" x14ac:dyDescent="0.3">
      <c r="A38" s="2" t="s">
        <v>1454</v>
      </c>
      <c r="B38" s="19" t="str">
        <f>_xlfn.XLOOKUP(A38,CATÁLOGO!$A$2:$A$846,CATÁLOGO!$B$2:$B$846,"FORA DO CATÁLOGO")</f>
        <v>BER002C38</v>
      </c>
      <c r="C38" s="13">
        <v>2</v>
      </c>
      <c r="D38" s="13" t="str">
        <f>_xlfn.XLOOKUP(A38,CATÁLOGO!$A$2:$A$846,CATÁLOGO!$E$2:$E$846,"FORA DO CATÁLOGO")</f>
        <v>Ativo</v>
      </c>
      <c r="E38" s="2"/>
      <c r="F38" s="62">
        <f>SUMIFS('AVARIA ESTIMADA'!$J$18:$J$40,'AVARIA ESTIMADA'!$A$18:$A$40,A38)</f>
        <v>0</v>
      </c>
      <c r="I38" s="27"/>
    </row>
    <row r="39" spans="1:9" x14ac:dyDescent="0.3">
      <c r="A39" s="2" t="s">
        <v>1453</v>
      </c>
      <c r="B39" s="19" t="str">
        <f>_xlfn.XLOOKUP(A39,CATÁLOGO!$A$2:$A$846,CATÁLOGO!$B$2:$B$846,"FORA DO CATÁLOGO")</f>
        <v>BER002C40</v>
      </c>
      <c r="C39" s="13">
        <v>2</v>
      </c>
      <c r="D39" s="13" t="str">
        <f>_xlfn.XLOOKUP(A39,CATÁLOGO!$A$2:$A$846,CATÁLOGO!$E$2:$E$846,"FORA DO CATÁLOGO")</f>
        <v>Ativo</v>
      </c>
      <c r="E39" s="2"/>
      <c r="F39" s="62">
        <f>SUMIFS('AVARIA ESTIMADA'!$J$18:$J$40,'AVARIA ESTIMADA'!$A$18:$A$40,A39)</f>
        <v>0</v>
      </c>
      <c r="I39" s="27"/>
    </row>
    <row r="40" spans="1:9" x14ac:dyDescent="0.3">
      <c r="A40" s="2" t="s">
        <v>1450</v>
      </c>
      <c r="B40" s="19" t="str">
        <f>_xlfn.XLOOKUP(A40,CATÁLOGO!$A$2:$A$846,CATÁLOGO!$B$2:$B$846,"FORA DO CATÁLOGO")</f>
        <v>BER002C42</v>
      </c>
      <c r="C40" s="13">
        <v>1</v>
      </c>
      <c r="D40" s="13" t="str">
        <f>_xlfn.XLOOKUP(A40,CATÁLOGO!$A$2:$A$846,CATÁLOGO!$E$2:$E$846,"FORA DO CATÁLOGO")</f>
        <v>Ativo</v>
      </c>
      <c r="E40" s="2"/>
      <c r="F40" s="62">
        <f>SUMIFS('AVARIA ESTIMADA'!$J$18:$J$40,'AVARIA ESTIMADA'!$A$18:$A$40,A40)</f>
        <v>0</v>
      </c>
      <c r="I40" s="27"/>
    </row>
    <row r="41" spans="1:9" x14ac:dyDescent="0.3">
      <c r="A41" s="2" t="s">
        <v>1452</v>
      </c>
      <c r="B41" s="19" t="str">
        <f>_xlfn.XLOOKUP(A41,CATÁLOGO!$A$2:$A$846,CATÁLOGO!$B$2:$B$846,"FORA DO CATÁLOGO")</f>
        <v>BER002C44</v>
      </c>
      <c r="C41" s="13">
        <v>1</v>
      </c>
      <c r="D41" s="13" t="str">
        <f>_xlfn.XLOOKUP(A41,CATÁLOGO!$A$2:$A$846,CATÁLOGO!$E$2:$E$846,"FORA DO CATÁLOGO")</f>
        <v>Ativo</v>
      </c>
      <c r="E41" s="2"/>
      <c r="F41" s="62">
        <f>SUMIFS('AVARIA ESTIMADA'!$J$18:$J$40,'AVARIA ESTIMADA'!$A$18:$A$40,A41)</f>
        <v>0</v>
      </c>
    </row>
    <row r="42" spans="1:9" x14ac:dyDescent="0.3">
      <c r="A42" s="2" t="s">
        <v>1462</v>
      </c>
      <c r="B42" s="19" t="str">
        <f>_xlfn.XLOOKUP(A42,CATÁLOGO!$A$2:$A$846,CATÁLOGO!$B$2:$B$846,"FORA DO CATÁLOGO")</f>
        <v>BER003B36</v>
      </c>
      <c r="C42" s="13">
        <v>2</v>
      </c>
      <c r="D42" s="13" t="str">
        <f>_xlfn.XLOOKUP(A42,CATÁLOGO!$A$2:$A$846,CATÁLOGO!$E$2:$E$846,"FORA DO CATÁLOGO")</f>
        <v>Ativo</v>
      </c>
      <c r="E42" s="2"/>
      <c r="F42" s="62">
        <f>SUMIFS('AVARIA ESTIMADA'!$J$18:$J$40,'AVARIA ESTIMADA'!$A$18:$A$40,A42)</f>
        <v>0</v>
      </c>
    </row>
    <row r="43" spans="1:9" x14ac:dyDescent="0.3">
      <c r="A43" s="2" t="s">
        <v>1460</v>
      </c>
      <c r="B43" s="19" t="str">
        <f>_xlfn.XLOOKUP(A43,CATÁLOGO!$A$2:$A$846,CATÁLOGO!$B$2:$B$846,"FORA DO CATÁLOGO")</f>
        <v>BER003B38</v>
      </c>
      <c r="C43" s="13">
        <v>5</v>
      </c>
      <c r="D43" s="13" t="str">
        <f>_xlfn.XLOOKUP(A43,CATÁLOGO!$A$2:$A$846,CATÁLOGO!$E$2:$E$846,"FORA DO CATÁLOGO")</f>
        <v>Ativo</v>
      </c>
      <c r="E43" s="2"/>
      <c r="F43" s="62">
        <f>SUMIFS('AVARIA ESTIMADA'!$J$18:$J$40,'AVARIA ESTIMADA'!$A$18:$A$40,A43)</f>
        <v>0</v>
      </c>
    </row>
    <row r="44" spans="1:9" x14ac:dyDescent="0.3">
      <c r="A44" s="2" t="s">
        <v>1459</v>
      </c>
      <c r="B44" s="19" t="str">
        <f>_xlfn.XLOOKUP(A44,CATÁLOGO!$A$2:$A$846,CATÁLOGO!$B$2:$B$846,"FORA DO CATÁLOGO")</f>
        <v>BER003B40</v>
      </c>
      <c r="C44" s="13">
        <v>3</v>
      </c>
      <c r="D44" s="13" t="str">
        <f>_xlfn.XLOOKUP(A44,CATÁLOGO!$A$2:$A$846,CATÁLOGO!$E$2:$E$846,"FORA DO CATÁLOGO")</f>
        <v>Ativo</v>
      </c>
      <c r="E44" s="2"/>
      <c r="F44" s="62">
        <f>SUMIFS('AVARIA ESTIMADA'!$J$18:$J$40,'AVARIA ESTIMADA'!$A$18:$A$40,A44)</f>
        <v>0</v>
      </c>
    </row>
    <row r="45" spans="1:9" x14ac:dyDescent="0.3">
      <c r="A45" s="2" t="s">
        <v>1456</v>
      </c>
      <c r="B45" s="19" t="str">
        <f>_xlfn.XLOOKUP(A45,CATÁLOGO!$A$2:$A$846,CATÁLOGO!$B$2:$B$846,"FORA DO CATÁLOGO")</f>
        <v>BER003B42</v>
      </c>
      <c r="C45" s="13">
        <v>4</v>
      </c>
      <c r="D45" s="13" t="str">
        <f>_xlfn.XLOOKUP(A45,CATÁLOGO!$A$2:$A$846,CATÁLOGO!$E$2:$E$846,"FORA DO CATÁLOGO")</f>
        <v>Ativo</v>
      </c>
      <c r="E45" s="2"/>
      <c r="F45" s="62">
        <f>SUMIFS('AVARIA ESTIMADA'!$J$18:$J$40,'AVARIA ESTIMADA'!$A$18:$A$40,A45)</f>
        <v>0</v>
      </c>
    </row>
    <row r="46" spans="1:9" x14ac:dyDescent="0.3">
      <c r="A46" s="2" t="s">
        <v>1458</v>
      </c>
      <c r="B46" s="19" t="str">
        <f>_xlfn.XLOOKUP(A46,CATÁLOGO!$A$2:$A$846,CATÁLOGO!$B$2:$B$846,"FORA DO CATÁLOGO")</f>
        <v>BER003B44</v>
      </c>
      <c r="C46" s="13">
        <v>2</v>
      </c>
      <c r="D46" s="13" t="str">
        <f>_xlfn.XLOOKUP(A46,CATÁLOGO!$A$2:$A$846,CATÁLOGO!$E$2:$E$846,"FORA DO CATÁLOGO")</f>
        <v>Ativo</v>
      </c>
      <c r="E46" s="2"/>
      <c r="F46" s="62">
        <f>SUMIFS('AVARIA ESTIMADA'!$J$18:$J$40,'AVARIA ESTIMADA'!$A$18:$A$40,A46)</f>
        <v>0</v>
      </c>
    </row>
    <row r="47" spans="1:9" x14ac:dyDescent="0.3">
      <c r="A47" s="2" t="s">
        <v>1461</v>
      </c>
      <c r="B47" s="19" t="str">
        <f>_xlfn.XLOOKUP(A47,CATÁLOGO!$A$2:$A$846,CATÁLOGO!$B$2:$B$846,"FORA DO CATÁLOGO")</f>
        <v>BER003B46</v>
      </c>
      <c r="C47" s="13">
        <v>1</v>
      </c>
      <c r="D47" s="13" t="str">
        <f>_xlfn.XLOOKUP(A47,CATÁLOGO!$A$2:$A$846,CATÁLOGO!$E$2:$E$846,"FORA DO CATÁLOGO")</f>
        <v>Ativo</v>
      </c>
      <c r="E47" s="2" t="s">
        <v>1336</v>
      </c>
      <c r="F47" s="62">
        <f>SUMIFS('AVARIA ESTIMADA'!$J$18:$J$40,'AVARIA ESTIMADA'!$A$18:$A$40,A47)</f>
        <v>0</v>
      </c>
    </row>
    <row r="48" spans="1:9" x14ac:dyDescent="0.3">
      <c r="A48" s="2" t="s">
        <v>24</v>
      </c>
      <c r="B48" s="19" t="str">
        <f>_xlfn.XLOOKUP(A48,CATÁLOGO!$A$2:$A$846,CATÁLOGO!$B$2:$B$846,"FORA DO CATÁLOGO")</f>
        <v>ACE003GU</v>
      </c>
      <c r="C48" s="13">
        <v>5</v>
      </c>
      <c r="D48" s="13" t="str">
        <f>_xlfn.XLOOKUP(A48,CATÁLOGO!$A$2:$A$846,CATÁLOGO!$E$2:$E$846,"FORA DO CATÁLOGO")</f>
        <v>Ativo</v>
      </c>
      <c r="E48" s="2"/>
      <c r="F48" s="62">
        <f>SUMIFS('AVARIA ESTIMADA'!$J$18:$J$40,'AVARIA ESTIMADA'!$A$18:$A$40,A48)</f>
        <v>0</v>
      </c>
    </row>
    <row r="49" spans="1:6" x14ac:dyDescent="0.3">
      <c r="A49" s="2" t="s">
        <v>1248</v>
      </c>
      <c r="B49" s="19" t="str">
        <f>_xlfn.XLOOKUP(A49,CATÁLOGO!$A$2:$A$846,CATÁLOGO!$B$2:$B$846,"FORA DO CATÁLOGO")</f>
        <v>ACE003OU</v>
      </c>
      <c r="C49" s="13">
        <v>4</v>
      </c>
      <c r="D49" s="13" t="str">
        <f>_xlfn.XLOOKUP(A49,CATÁLOGO!$A$2:$A$846,CATÁLOGO!$E$2:$E$846,"FORA DO CATÁLOGO")</f>
        <v>Descontinuado</v>
      </c>
      <c r="E49" s="2"/>
      <c r="F49" s="62">
        <f>SUMIFS('AVARIA ESTIMADA'!$J$18:$J$40,'AVARIA ESTIMADA'!$A$18:$A$40,A49)</f>
        <v>0</v>
      </c>
    </row>
    <row r="50" spans="1:6" x14ac:dyDescent="0.3">
      <c r="A50" s="2" t="s">
        <v>25</v>
      </c>
      <c r="B50" s="19" t="str">
        <f>_xlfn.XLOOKUP(A50,CATÁLOGO!$A$2:$A$846,CATÁLOGO!$B$2:$B$846,"FORA DO CATÁLOGO")</f>
        <v>CAM001CP</v>
      </c>
      <c r="C50" s="13">
        <v>4</v>
      </c>
      <c r="D50" s="13" t="str">
        <f>_xlfn.XLOOKUP(A50,CATÁLOGO!$A$2:$A$846,CATÁLOGO!$E$2:$E$846,"FORA DO CATÁLOGO")</f>
        <v>Ativo</v>
      </c>
      <c r="E50" s="2"/>
      <c r="F50" s="62">
        <f>SUMIFS('AVARIA ESTIMADA'!$J$18:$J$40,'AVARIA ESTIMADA'!$A$18:$A$40,A50)</f>
        <v>0</v>
      </c>
    </row>
    <row r="51" spans="1:6" x14ac:dyDescent="0.3">
      <c r="A51" s="2" t="s">
        <v>27</v>
      </c>
      <c r="B51" s="19" t="str">
        <f>_xlfn.XLOOKUP(A51,CATÁLOGO!$A$2:$A$846,CATÁLOGO!$B$2:$B$846,"FORA DO CATÁLOGO")</f>
        <v>CAM001CG</v>
      </c>
      <c r="C51" s="13">
        <v>5</v>
      </c>
      <c r="D51" s="13" t="str">
        <f>_xlfn.XLOOKUP(A51,CATÁLOGO!$A$2:$A$846,CATÁLOGO!$E$2:$E$846,"FORA DO CATÁLOGO")</f>
        <v>Ativo</v>
      </c>
      <c r="E51" s="2"/>
      <c r="F51" s="62">
        <f>SUMIFS('AVARIA ESTIMADA'!$J$18:$J$40,'AVARIA ESTIMADA'!$A$18:$A$40,A51)</f>
        <v>0</v>
      </c>
    </row>
    <row r="52" spans="1:6" x14ac:dyDescent="0.3">
      <c r="A52" s="2" t="s">
        <v>1249</v>
      </c>
      <c r="B52" s="19" t="str">
        <f>_xlfn.XLOOKUP(A52,CATÁLOGO!$A$2:$A$846,CATÁLOGO!$B$2:$B$846,"FORA DO CATÁLOGO")</f>
        <v>CAM001CGG</v>
      </c>
      <c r="C52" s="13">
        <v>2</v>
      </c>
      <c r="D52" s="13" t="str">
        <f>_xlfn.XLOOKUP(A52,CATÁLOGO!$A$2:$A$846,CATÁLOGO!$E$2:$E$846,"FORA DO CATÁLOGO")</f>
        <v>Ativo</v>
      </c>
      <c r="E52" s="2"/>
      <c r="F52" s="62">
        <f>SUMIFS('AVARIA ESTIMADA'!$J$18:$J$40,'AVARIA ESTIMADA'!$A$18:$A$40,A52)</f>
        <v>0</v>
      </c>
    </row>
    <row r="53" spans="1:6" x14ac:dyDescent="0.3">
      <c r="A53" s="2" t="s">
        <v>28</v>
      </c>
      <c r="B53" s="19" t="str">
        <f>_xlfn.XLOOKUP(A53,CATÁLOGO!$A$2:$A$846,CATÁLOGO!$B$2:$B$846,"FORA DO CATÁLOGO")</f>
        <v>ACE004CU</v>
      </c>
      <c r="C53" s="13">
        <v>5</v>
      </c>
      <c r="D53" s="13" t="str">
        <f>_xlfn.XLOOKUP(A53,CATÁLOGO!$A$2:$A$846,CATÁLOGO!$E$2:$E$846,"FORA DO CATÁLOGO")</f>
        <v>Ativo</v>
      </c>
      <c r="E53" s="2"/>
      <c r="F53" s="62">
        <f>SUMIFS('AVARIA ESTIMADA'!$J$18:$J$40,'AVARIA ESTIMADA'!$A$18:$A$40,A53)</f>
        <v>0</v>
      </c>
    </row>
    <row r="54" spans="1:6" x14ac:dyDescent="0.3">
      <c r="A54" s="2" t="s">
        <v>31</v>
      </c>
      <c r="B54" s="19" t="str">
        <f>_xlfn.XLOOKUP(A54,CATÁLOGO!$A$2:$A$846,CATÁLOGO!$B$2:$B$846,"FORA DO CATÁLOGO")</f>
        <v>MOL003AM</v>
      </c>
      <c r="C54" s="13">
        <v>3</v>
      </c>
      <c r="D54" s="13" t="str">
        <f>_xlfn.XLOOKUP(A54,CATÁLOGO!$A$2:$A$846,CATÁLOGO!$E$2:$E$846,"FORA DO CATÁLOGO")</f>
        <v>Ativo</v>
      </c>
      <c r="E54" s="2"/>
      <c r="F54" s="62">
        <f>SUMIFS('AVARIA ESTIMADA'!$J$18:$J$40,'AVARIA ESTIMADA'!$A$18:$A$40,A54)</f>
        <v>0</v>
      </c>
    </row>
    <row r="55" spans="1:6" x14ac:dyDescent="0.3">
      <c r="A55" s="2" t="s">
        <v>32</v>
      </c>
      <c r="B55" s="19" t="str">
        <f>_xlfn.XLOOKUP(A55,CATÁLOGO!$A$2:$A$846,CATÁLOGO!$B$2:$B$846,"FORA DO CATÁLOGO")</f>
        <v>MOL003AG</v>
      </c>
      <c r="C55" s="13">
        <v>2</v>
      </c>
      <c r="D55" s="13" t="str">
        <f>_xlfn.XLOOKUP(A55,CATÁLOGO!$A$2:$A$846,CATÁLOGO!$E$2:$E$846,"FORA DO CATÁLOGO")</f>
        <v>Ativo</v>
      </c>
      <c r="E55" s="2"/>
      <c r="F55" s="62">
        <f>SUMIFS('AVARIA ESTIMADA'!$J$18:$J$40,'AVARIA ESTIMADA'!$A$18:$A$40,A55)</f>
        <v>0</v>
      </c>
    </row>
    <row r="56" spans="1:6" x14ac:dyDescent="0.3">
      <c r="A56" s="2" t="s">
        <v>33</v>
      </c>
      <c r="B56" s="19" t="str">
        <f>_xlfn.XLOOKUP(A56,CATÁLOGO!$A$2:$A$846,CATÁLOGO!$B$2:$B$846,"FORA DO CATÁLOGO")</f>
        <v>MOL003AGG</v>
      </c>
      <c r="C56" s="13">
        <v>1</v>
      </c>
      <c r="D56" s="13" t="str">
        <f>_xlfn.XLOOKUP(A56,CATÁLOGO!$A$2:$A$846,CATÁLOGO!$E$2:$E$846,"FORA DO CATÁLOGO")</f>
        <v>Ativo</v>
      </c>
      <c r="E56" s="2"/>
      <c r="F56" s="62">
        <f>SUMIFS('AVARIA ESTIMADA'!$J$18:$J$40,'AVARIA ESTIMADA'!$A$18:$A$40,A56)</f>
        <v>0</v>
      </c>
    </row>
    <row r="57" spans="1:6" x14ac:dyDescent="0.3">
      <c r="A57" s="2" t="s">
        <v>34</v>
      </c>
      <c r="B57" s="19" t="str">
        <f>_xlfn.XLOOKUP(A57,CATÁLOGO!$A$2:$A$846,CATÁLOGO!$B$2:$B$846,"FORA DO CATÁLOGO")</f>
        <v>MOL003GM</v>
      </c>
      <c r="C57" s="13">
        <v>1</v>
      </c>
      <c r="D57" s="13" t="str">
        <f>_xlfn.XLOOKUP(A57,CATÁLOGO!$A$2:$A$846,CATÁLOGO!$E$2:$E$846,"FORA DO CATÁLOGO")</f>
        <v>Ativo</v>
      </c>
      <c r="E57" s="2"/>
      <c r="F57" s="62">
        <f>SUMIFS('AVARIA ESTIMADA'!$J$18:$J$40,'AVARIA ESTIMADA'!$A$18:$A$40,A57)</f>
        <v>0</v>
      </c>
    </row>
    <row r="58" spans="1:6" x14ac:dyDescent="0.3">
      <c r="A58" s="2" t="s">
        <v>36</v>
      </c>
      <c r="B58" s="19" t="str">
        <f>_xlfn.XLOOKUP(A58,CATÁLOGO!$A$2:$A$846,CATÁLOGO!$B$2:$B$846,"FORA DO CATÁLOGO")</f>
        <v>MOL003GGG</v>
      </c>
      <c r="C58" s="13">
        <v>2</v>
      </c>
      <c r="D58" s="13" t="str">
        <f>_xlfn.XLOOKUP(A58,CATÁLOGO!$A$2:$A$846,CATÁLOGO!$E$2:$E$846,"FORA DO CATÁLOGO")</f>
        <v>Ativo</v>
      </c>
      <c r="E58" s="2"/>
      <c r="F58" s="62">
        <f>SUMIFS('AVARIA ESTIMADA'!$J$18:$J$40,'AVARIA ESTIMADA'!$A$18:$A$40,A58)</f>
        <v>0</v>
      </c>
    </row>
    <row r="59" spans="1:6" x14ac:dyDescent="0.3">
      <c r="A59" s="2" t="s">
        <v>37</v>
      </c>
      <c r="B59" s="19" t="str">
        <f>_xlfn.XLOOKUP(A59,CATÁLOGO!$A$2:$A$846,CATÁLOGO!$B$2:$B$846,"FORA DO CATÁLOGO")</f>
        <v>SAI002BP</v>
      </c>
      <c r="C59" s="13">
        <v>1</v>
      </c>
      <c r="D59" s="13" t="str">
        <f>_xlfn.XLOOKUP(A59,CATÁLOGO!$A$2:$A$846,CATÁLOGO!$E$2:$E$846,"FORA DO CATÁLOGO")</f>
        <v>Ativo</v>
      </c>
      <c r="E59" s="2"/>
      <c r="F59" s="62">
        <f>SUMIFS('AVARIA ESTIMADA'!$J$18:$J$40,'AVARIA ESTIMADA'!$A$18:$A$40,A59)</f>
        <v>0</v>
      </c>
    </row>
    <row r="60" spans="1:6" x14ac:dyDescent="0.3">
      <c r="A60" s="2" t="s">
        <v>38</v>
      </c>
      <c r="B60" s="19" t="str">
        <f>_xlfn.XLOOKUP(A60,CATÁLOGO!$A$2:$A$846,CATÁLOGO!$B$2:$B$846,"FORA DO CATÁLOGO")</f>
        <v>SAI002BM</v>
      </c>
      <c r="C60" s="13">
        <v>2</v>
      </c>
      <c r="D60" s="13" t="str">
        <f>_xlfn.XLOOKUP(A60,CATÁLOGO!$A$2:$A$846,CATÁLOGO!$E$2:$E$846,"FORA DO CATÁLOGO")</f>
        <v>Ativo</v>
      </c>
      <c r="E60" s="2"/>
      <c r="F60" s="62">
        <f>SUMIFS('AVARIA ESTIMADA'!$J$18:$J$40,'AVARIA ESTIMADA'!$A$18:$A$40,A60)</f>
        <v>0</v>
      </c>
    </row>
    <row r="61" spans="1:6" x14ac:dyDescent="0.3">
      <c r="A61" s="2" t="s">
        <v>39</v>
      </c>
      <c r="B61" s="19" t="str">
        <f>_xlfn.XLOOKUP(A61,CATÁLOGO!$A$2:$A$846,CATÁLOGO!$B$2:$B$846,"FORA DO CATÁLOGO")</f>
        <v>SAI002BG</v>
      </c>
      <c r="C61" s="13">
        <v>2</v>
      </c>
      <c r="D61" s="13" t="str">
        <f>_xlfn.XLOOKUP(A61,CATÁLOGO!$A$2:$A$846,CATÁLOGO!$E$2:$E$846,"FORA DO CATÁLOGO")</f>
        <v>Ativo</v>
      </c>
      <c r="E61" s="2"/>
      <c r="F61" s="62">
        <f>SUMIFS('AVARIA ESTIMADA'!$J$18:$J$40,'AVARIA ESTIMADA'!$A$18:$A$40,A61)</f>
        <v>0</v>
      </c>
    </row>
    <row r="62" spans="1:6" x14ac:dyDescent="0.3">
      <c r="A62" s="2" t="s">
        <v>40</v>
      </c>
      <c r="B62" s="19" t="str">
        <f>_xlfn.XLOOKUP(A62,CATÁLOGO!$A$2:$A$846,CATÁLOGO!$B$2:$B$846,"FORA DO CATÁLOGO")</f>
        <v>SAI002BGG</v>
      </c>
      <c r="C62" s="13">
        <v>1</v>
      </c>
      <c r="D62" s="13" t="str">
        <f>_xlfn.XLOOKUP(A62,CATÁLOGO!$A$2:$A$846,CATÁLOGO!$E$2:$E$846,"FORA DO CATÁLOGO")</f>
        <v>Ativo</v>
      </c>
      <c r="E62" s="2"/>
      <c r="F62" s="62">
        <f>SUMIFS('AVARIA ESTIMADA'!$J$18:$J$40,'AVARIA ESTIMADA'!$A$18:$A$40,A62)</f>
        <v>0</v>
      </c>
    </row>
    <row r="63" spans="1:6" x14ac:dyDescent="0.3">
      <c r="A63" s="2" t="s">
        <v>1552</v>
      </c>
      <c r="B63" s="19" t="str">
        <f>_xlfn.XLOOKUP(A63,CATÁLOGO!$A$2:$A$846,CATÁLOGO!$B$2:$B$846,"FORA DO CATÁLOGO")</f>
        <v>CAL006J36</v>
      </c>
      <c r="C63" s="13">
        <v>1</v>
      </c>
      <c r="D63" s="13" t="str">
        <f>_xlfn.XLOOKUP(A63,CATÁLOGO!$A$2:$A$846,CATÁLOGO!$E$2:$E$846,"FORA DO CATÁLOGO")</f>
        <v>Ativo</v>
      </c>
      <c r="E63" s="2"/>
      <c r="F63" s="62">
        <f>SUMIFS('AVARIA ESTIMADA'!$J$18:$J$40,'AVARIA ESTIMADA'!$A$18:$A$40,A63)</f>
        <v>0</v>
      </c>
    </row>
    <row r="64" spans="1:6" x14ac:dyDescent="0.3">
      <c r="A64" s="2" t="s">
        <v>1551</v>
      </c>
      <c r="B64" s="19" t="str">
        <f>_xlfn.XLOOKUP(A64,CATÁLOGO!$A$2:$A$846,CATÁLOGO!$B$2:$B$846,"FORA DO CATÁLOGO")</f>
        <v>CAL006J38</v>
      </c>
      <c r="C64" s="13">
        <v>1</v>
      </c>
      <c r="D64" s="13" t="str">
        <f>_xlfn.XLOOKUP(A64,CATÁLOGO!$A$2:$A$846,CATÁLOGO!$E$2:$E$846,"FORA DO CATÁLOGO")</f>
        <v>Ativo</v>
      </c>
      <c r="E64" s="2"/>
      <c r="F64" s="62">
        <f>SUMIFS('AVARIA ESTIMADA'!$J$18:$J$40,'AVARIA ESTIMADA'!$A$18:$A$40,A64)</f>
        <v>0</v>
      </c>
    </row>
    <row r="65" spans="1:6" x14ac:dyDescent="0.3">
      <c r="A65" s="2" t="s">
        <v>1550</v>
      </c>
      <c r="B65" s="19" t="str">
        <f>_xlfn.XLOOKUP(A65,CATÁLOGO!$A$2:$A$846,CATÁLOGO!$B$2:$B$846,"FORA DO CATÁLOGO")</f>
        <v>CAL006J40</v>
      </c>
      <c r="C65" s="13">
        <v>2</v>
      </c>
      <c r="D65" s="13" t="str">
        <f>_xlfn.XLOOKUP(A65,CATÁLOGO!$A$2:$A$846,CATÁLOGO!$E$2:$E$846,"FORA DO CATÁLOGO")</f>
        <v>Ativo</v>
      </c>
      <c r="E65" s="2"/>
      <c r="F65" s="62">
        <f>SUMIFS('AVARIA ESTIMADA'!$J$18:$J$40,'AVARIA ESTIMADA'!$A$18:$A$40,A65)</f>
        <v>0</v>
      </c>
    </row>
    <row r="66" spans="1:6" x14ac:dyDescent="0.3">
      <c r="A66" s="2" t="s">
        <v>1548</v>
      </c>
      <c r="B66" s="19" t="str">
        <f>_xlfn.XLOOKUP(A66,CATÁLOGO!$A$2:$A$846,CATÁLOGO!$B$2:$B$846,"FORA DO CATÁLOGO")</f>
        <v>CAL006J42</v>
      </c>
      <c r="C66" s="13">
        <v>1</v>
      </c>
      <c r="D66" s="13" t="str">
        <f>_xlfn.XLOOKUP(A66,CATÁLOGO!$A$2:$A$846,CATÁLOGO!$E$2:$E$846,"FORA DO CATÁLOGO")</f>
        <v>Ativo</v>
      </c>
      <c r="E66" s="2"/>
      <c r="F66" s="62">
        <f>SUMIFS('AVARIA ESTIMADA'!$J$18:$J$40,'AVARIA ESTIMADA'!$A$18:$A$40,A66)</f>
        <v>0</v>
      </c>
    </row>
    <row r="67" spans="1:6" x14ac:dyDescent="0.3">
      <c r="A67" s="2" t="s">
        <v>1549</v>
      </c>
      <c r="B67" s="19" t="str">
        <f>_xlfn.XLOOKUP(A67,CATÁLOGO!$A$2:$A$846,CATÁLOGO!$B$2:$B$846,"FORA DO CATÁLOGO")</f>
        <v>CAL006J44</v>
      </c>
      <c r="C67" s="13">
        <v>1</v>
      </c>
      <c r="D67" s="13" t="str">
        <f>_xlfn.XLOOKUP(A67,CATÁLOGO!$A$2:$A$846,CATÁLOGO!$E$2:$E$846,"FORA DO CATÁLOGO")</f>
        <v>Ativo</v>
      </c>
      <c r="E67" s="2"/>
      <c r="F67" s="62">
        <f>SUMIFS('AVARIA ESTIMADA'!$J$18:$J$40,'AVARIA ESTIMADA'!$A$18:$A$40,A67)</f>
        <v>0</v>
      </c>
    </row>
    <row r="68" spans="1:6" x14ac:dyDescent="0.3">
      <c r="A68" s="2" t="s">
        <v>1547</v>
      </c>
      <c r="B68" s="19" t="str">
        <f>_xlfn.XLOOKUP(A68,CATÁLOGO!$A$2:$A$846,CATÁLOGO!$B$2:$B$846,"FORA DO CATÁLOGO")</f>
        <v>CAL006G36</v>
      </c>
      <c r="C68" s="13">
        <v>1</v>
      </c>
      <c r="D68" s="13" t="str">
        <f>_xlfn.XLOOKUP(A68,CATÁLOGO!$A$2:$A$846,CATÁLOGO!$E$2:$E$846,"FORA DO CATÁLOGO")</f>
        <v>Descontinuado</v>
      </c>
      <c r="E68" s="2"/>
      <c r="F68" s="62">
        <f>SUMIFS('AVARIA ESTIMADA'!$J$18:$J$40,'AVARIA ESTIMADA'!$A$18:$A$40,A68)</f>
        <v>0</v>
      </c>
    </row>
    <row r="69" spans="1:6" x14ac:dyDescent="0.3">
      <c r="A69" s="2" t="s">
        <v>1544</v>
      </c>
      <c r="B69" s="19" t="str">
        <f>_xlfn.XLOOKUP(A69,CATÁLOGO!$A$2:$A$846,CATÁLOGO!$B$2:$B$846,"FORA DO CATÁLOGO")</f>
        <v>CAL006G40</v>
      </c>
      <c r="C69" s="13">
        <v>1</v>
      </c>
      <c r="D69" s="13" t="str">
        <f>_xlfn.XLOOKUP(A69,CATÁLOGO!$A$2:$A$846,CATÁLOGO!$E$2:$E$846,"FORA DO CATÁLOGO")</f>
        <v>Descontinuado</v>
      </c>
      <c r="E69" s="2"/>
      <c r="F69" s="62">
        <f>SUMIFS('AVARIA ESTIMADA'!$J$18:$J$40,'AVARIA ESTIMADA'!$A$18:$A$40,A69)</f>
        <v>0</v>
      </c>
    </row>
    <row r="70" spans="1:6" x14ac:dyDescent="0.3">
      <c r="A70" s="2" t="s">
        <v>1557</v>
      </c>
      <c r="B70" s="19" t="str">
        <f>_xlfn.XLOOKUP(A70,CATÁLOGO!$A$2:$A$846,CATÁLOGO!$B$2:$B$846,"FORA DO CATÁLOGO")</f>
        <v>CAL007A38</v>
      </c>
      <c r="C70" s="13">
        <v>6</v>
      </c>
      <c r="D70" s="13" t="str">
        <f>_xlfn.XLOOKUP(A70,CATÁLOGO!$A$2:$A$846,CATÁLOGO!$E$2:$E$846,"FORA DO CATÁLOGO")</f>
        <v>Ativo</v>
      </c>
      <c r="E70" s="2"/>
      <c r="F70" s="62">
        <f>SUMIFS('AVARIA ESTIMADA'!$J$18:$J$40,'AVARIA ESTIMADA'!$A$18:$A$40,A70)</f>
        <v>0</v>
      </c>
    </row>
    <row r="71" spans="1:6" x14ac:dyDescent="0.3">
      <c r="A71" s="2" t="s">
        <v>1556</v>
      </c>
      <c r="B71" s="19" t="str">
        <f>_xlfn.XLOOKUP(A71,CATÁLOGO!$A$2:$A$846,CATÁLOGO!$B$2:$B$846,"FORA DO CATÁLOGO")</f>
        <v>CAL007A40</v>
      </c>
      <c r="C71" s="13">
        <v>6</v>
      </c>
      <c r="D71" s="13" t="str">
        <f>_xlfn.XLOOKUP(A71,CATÁLOGO!$A$2:$A$846,CATÁLOGO!$E$2:$E$846,"FORA DO CATÁLOGO")</f>
        <v>Ativo</v>
      </c>
      <c r="E71" s="2" t="s">
        <v>1333</v>
      </c>
      <c r="F71" s="62">
        <f>SUMIFS('AVARIA ESTIMADA'!$J$18:$J$40,'AVARIA ESTIMADA'!$A$18:$A$40,A71)</f>
        <v>0</v>
      </c>
    </row>
    <row r="72" spans="1:6" x14ac:dyDescent="0.3">
      <c r="A72" s="2" t="s">
        <v>1553</v>
      </c>
      <c r="B72" s="19" t="str">
        <f>_xlfn.XLOOKUP(A72,CATÁLOGO!$A$2:$A$846,CATÁLOGO!$B$2:$B$846,"FORA DO CATÁLOGO")</f>
        <v>CAL007A42</v>
      </c>
      <c r="C72" s="13">
        <v>4</v>
      </c>
      <c r="D72" s="13" t="str">
        <f>_xlfn.XLOOKUP(A72,CATÁLOGO!$A$2:$A$846,CATÁLOGO!$E$2:$E$846,"FORA DO CATÁLOGO")</f>
        <v>Ativo</v>
      </c>
      <c r="E72" s="2"/>
      <c r="F72" s="62">
        <f>SUMIFS('AVARIA ESTIMADA'!$J$18:$J$40,'AVARIA ESTIMADA'!$A$18:$A$40,A72)</f>
        <v>0</v>
      </c>
    </row>
    <row r="73" spans="1:6" x14ac:dyDescent="0.3">
      <c r="A73" s="2" t="s">
        <v>1555</v>
      </c>
      <c r="B73" s="19" t="str">
        <f>_xlfn.XLOOKUP(A73,CATÁLOGO!$A$2:$A$846,CATÁLOGO!$B$2:$B$846,"FORA DO CATÁLOGO")</f>
        <v>CAL007A44</v>
      </c>
      <c r="C73" s="13">
        <v>3</v>
      </c>
      <c r="D73" s="13" t="str">
        <f>_xlfn.XLOOKUP(A73,CATÁLOGO!$A$2:$A$846,CATÁLOGO!$E$2:$E$846,"FORA DO CATÁLOGO")</f>
        <v>Ativo</v>
      </c>
      <c r="E73" s="2"/>
      <c r="F73" s="62">
        <f>SUMIFS('AVARIA ESTIMADA'!$J$18:$J$40,'AVARIA ESTIMADA'!$A$18:$A$40,A73)</f>
        <v>0</v>
      </c>
    </row>
    <row r="74" spans="1:6" x14ac:dyDescent="0.3">
      <c r="A74" s="2" t="s">
        <v>43</v>
      </c>
      <c r="B74" s="19" t="str">
        <f>_xlfn.XLOOKUP(A74,CATÁLOGO!$A$2:$A$846,CATÁLOGO!$B$2:$B$846,"FORA DO CATÁLOGO")</f>
        <v>TRI004BP</v>
      </c>
      <c r="C74" s="13">
        <v>6</v>
      </c>
      <c r="D74" s="13" t="str">
        <f>_xlfn.XLOOKUP(A74,CATÁLOGO!$A$2:$A$846,CATÁLOGO!$E$2:$E$846,"FORA DO CATÁLOGO")</f>
        <v>Ativo</v>
      </c>
      <c r="E74" s="2"/>
      <c r="F74" s="62">
        <f>SUMIFS('AVARIA ESTIMADA'!$J$18:$J$40,'AVARIA ESTIMADA'!$A$18:$A$40,A74)</f>
        <v>0</v>
      </c>
    </row>
    <row r="75" spans="1:6" x14ac:dyDescent="0.3">
      <c r="A75" s="2" t="s">
        <v>44</v>
      </c>
      <c r="B75" s="19" t="str">
        <f>_xlfn.XLOOKUP(A75,CATÁLOGO!$A$2:$A$846,CATÁLOGO!$B$2:$B$846,"FORA DO CATÁLOGO")</f>
        <v>TRI004BM</v>
      </c>
      <c r="C75" s="13">
        <v>5</v>
      </c>
      <c r="D75" s="13" t="str">
        <f>_xlfn.XLOOKUP(A75,CATÁLOGO!$A$2:$A$846,CATÁLOGO!$E$2:$E$846,"FORA DO CATÁLOGO")</f>
        <v>Ativo</v>
      </c>
      <c r="E75" s="2"/>
      <c r="F75" s="62">
        <f>SUMIFS('AVARIA ESTIMADA'!$J$18:$J$40,'AVARIA ESTIMADA'!$A$18:$A$40,A75)</f>
        <v>0</v>
      </c>
    </row>
    <row r="76" spans="1:6" x14ac:dyDescent="0.3">
      <c r="A76" s="2" t="s">
        <v>45</v>
      </c>
      <c r="B76" s="19" t="str">
        <f>_xlfn.XLOOKUP(A76,CATÁLOGO!$A$2:$A$846,CATÁLOGO!$B$2:$B$846,"FORA DO CATÁLOGO")</f>
        <v>TRI004BG</v>
      </c>
      <c r="C76" s="13">
        <v>4</v>
      </c>
      <c r="D76" s="13" t="str">
        <f>_xlfn.XLOOKUP(A76,CATÁLOGO!$A$2:$A$846,CATÁLOGO!$E$2:$E$846,"FORA DO CATÁLOGO")</f>
        <v>Ativo</v>
      </c>
      <c r="E76" s="2"/>
      <c r="F76" s="62">
        <f>SUMIFS('AVARIA ESTIMADA'!$J$18:$J$40,'AVARIA ESTIMADA'!$A$18:$A$40,A76)</f>
        <v>0</v>
      </c>
    </row>
    <row r="77" spans="1:6" x14ac:dyDescent="0.3">
      <c r="A77" s="2" t="s">
        <v>46</v>
      </c>
      <c r="B77" s="19" t="str">
        <f>_xlfn.XLOOKUP(A77,CATÁLOGO!$A$2:$A$846,CATÁLOGO!$B$2:$B$846,"FORA DO CATÁLOGO")</f>
        <v>TRI004BGG</v>
      </c>
      <c r="C77" s="13">
        <v>2</v>
      </c>
      <c r="D77" s="13" t="str">
        <f>_xlfn.XLOOKUP(A77,CATÁLOGO!$A$2:$A$846,CATÁLOGO!$E$2:$E$846,"FORA DO CATÁLOGO")</f>
        <v>Ativo</v>
      </c>
      <c r="E77" s="2"/>
      <c r="F77" s="62">
        <f>SUMIFS('AVARIA ESTIMADA'!$J$18:$J$40,'AVARIA ESTIMADA'!$A$18:$A$40,A77)</f>
        <v>0</v>
      </c>
    </row>
    <row r="78" spans="1:6" x14ac:dyDescent="0.3">
      <c r="A78" s="2" t="s">
        <v>47</v>
      </c>
      <c r="B78" s="19" t="str">
        <f>_xlfn.XLOOKUP(A78,CATÁLOGO!$A$2:$A$846,CATÁLOGO!$B$2:$B$846,"FORA DO CATÁLOGO")</f>
        <v>CMS001GP</v>
      </c>
      <c r="C78" s="13">
        <v>5</v>
      </c>
      <c r="D78" s="13" t="str">
        <f>_xlfn.XLOOKUP(A78,CATÁLOGO!$A$2:$A$846,CATÁLOGO!$E$2:$E$846,"FORA DO CATÁLOGO")</f>
        <v>Ativo</v>
      </c>
      <c r="E78" s="2"/>
      <c r="F78" s="62">
        <f>SUMIFS('AVARIA ESTIMADA'!$J$18:$J$40,'AVARIA ESTIMADA'!$A$18:$A$40,A78)</f>
        <v>0</v>
      </c>
    </row>
    <row r="79" spans="1:6" x14ac:dyDescent="0.3">
      <c r="A79" s="2" t="s">
        <v>48</v>
      </c>
      <c r="B79" s="19" t="str">
        <f>_xlfn.XLOOKUP(A79,CATÁLOGO!$A$2:$A$846,CATÁLOGO!$B$2:$B$846,"FORA DO CATÁLOGO")</f>
        <v>CMS001GM</v>
      </c>
      <c r="C79" s="13">
        <v>6</v>
      </c>
      <c r="D79" s="13" t="str">
        <f>_xlfn.XLOOKUP(A79,CATÁLOGO!$A$2:$A$846,CATÁLOGO!$E$2:$E$846,"FORA DO CATÁLOGO")</f>
        <v>Ativo</v>
      </c>
      <c r="E79" s="2"/>
      <c r="F79" s="62">
        <f>SUMIFS('AVARIA ESTIMADA'!$J$18:$J$40,'AVARIA ESTIMADA'!$A$18:$A$40,A79)</f>
        <v>0</v>
      </c>
    </row>
    <row r="80" spans="1:6" x14ac:dyDescent="0.3">
      <c r="A80" s="2" t="s">
        <v>49</v>
      </c>
      <c r="B80" s="19" t="str">
        <f>_xlfn.XLOOKUP(A80,CATÁLOGO!$A$2:$A$846,CATÁLOGO!$B$2:$B$846,"FORA DO CATÁLOGO")</f>
        <v>CMS001GG</v>
      </c>
      <c r="C80" s="13">
        <v>5</v>
      </c>
      <c r="D80" s="13" t="str">
        <f>_xlfn.XLOOKUP(A80,CATÁLOGO!$A$2:$A$846,CATÁLOGO!$E$2:$E$846,"FORA DO CATÁLOGO")</f>
        <v>Ativo</v>
      </c>
      <c r="E80" s="2"/>
      <c r="F80" s="62">
        <f>SUMIFS('AVARIA ESTIMADA'!$J$18:$J$40,'AVARIA ESTIMADA'!$A$18:$A$40,A80)</f>
        <v>0</v>
      </c>
    </row>
    <row r="81" spans="1:6" x14ac:dyDescent="0.3">
      <c r="A81" s="2" t="s">
        <v>50</v>
      </c>
      <c r="B81" s="19" t="str">
        <f>_xlfn.XLOOKUP(A81,CATÁLOGO!$A$2:$A$846,CATÁLOGO!$B$2:$B$846,"FORA DO CATÁLOGO")</f>
        <v>CMS001GGG</v>
      </c>
      <c r="C81" s="13">
        <v>1</v>
      </c>
      <c r="D81" s="13" t="str">
        <f>_xlfn.XLOOKUP(A81,CATÁLOGO!$A$2:$A$846,CATÁLOGO!$E$2:$E$846,"FORA DO CATÁLOGO")</f>
        <v>Ativo</v>
      </c>
      <c r="E81" s="2"/>
      <c r="F81" s="62">
        <f>SUMIFS('AVARIA ESTIMADA'!$J$18:$J$40,'AVARIA ESTIMADA'!$A$18:$A$40,A81)</f>
        <v>0</v>
      </c>
    </row>
    <row r="82" spans="1:6" x14ac:dyDescent="0.3">
      <c r="A82" s="2" t="s">
        <v>1714</v>
      </c>
      <c r="B82" s="19" t="str">
        <f>_xlfn.XLOOKUP(A82,CATÁLOGO!$A$2:$A$846,CATÁLOGO!$B$2:$B$846,"FORA DO CATÁLOGO")</f>
        <v>CAM002APP</v>
      </c>
      <c r="C82" s="13">
        <v>1</v>
      </c>
      <c r="D82" s="13" t="str">
        <f>_xlfn.XLOOKUP(A82,CATÁLOGO!$A$2:$A$846,CATÁLOGO!$E$2:$E$846,"FORA DO CATÁLOGO")</f>
        <v>Ativo</v>
      </c>
      <c r="E82" s="2"/>
      <c r="F82" s="62">
        <f>SUMIFS('AVARIA ESTIMADA'!$J$18:$J$40,'AVARIA ESTIMADA'!$A$18:$A$40,A82)</f>
        <v>0</v>
      </c>
    </row>
    <row r="83" spans="1:6" x14ac:dyDescent="0.3">
      <c r="A83" s="2" t="s">
        <v>51</v>
      </c>
      <c r="B83" s="19" t="str">
        <f>_xlfn.XLOOKUP(A83,CATÁLOGO!$A$2:$A$846,CATÁLOGO!$B$2:$B$846,"FORA DO CATÁLOGO")</f>
        <v>CAM002AP</v>
      </c>
      <c r="C83" s="13">
        <v>2</v>
      </c>
      <c r="D83" s="13" t="str">
        <f>_xlfn.XLOOKUP(A83,CATÁLOGO!$A$2:$A$846,CATÁLOGO!$E$2:$E$846,"FORA DO CATÁLOGO")</f>
        <v>Ativo</v>
      </c>
      <c r="E83" s="2"/>
      <c r="F83" s="62">
        <f>SUMIFS('AVARIA ESTIMADA'!$J$18:$J$40,'AVARIA ESTIMADA'!$A$18:$A$40,A83)</f>
        <v>0</v>
      </c>
    </row>
    <row r="84" spans="1:6" x14ac:dyDescent="0.3">
      <c r="A84" s="2" t="s">
        <v>52</v>
      </c>
      <c r="B84" s="19" t="str">
        <f>_xlfn.XLOOKUP(A84,CATÁLOGO!$A$2:$A$846,CATÁLOGO!$B$2:$B$846,"FORA DO CATÁLOGO")</f>
        <v>CAM002AM</v>
      </c>
      <c r="C84" s="13">
        <v>3</v>
      </c>
      <c r="D84" s="13" t="str">
        <f>_xlfn.XLOOKUP(A84,CATÁLOGO!$A$2:$A$846,CATÁLOGO!$E$2:$E$846,"FORA DO CATÁLOGO")</f>
        <v>Ativo</v>
      </c>
      <c r="E84" s="2"/>
      <c r="F84" s="62">
        <f>SUMIFS('AVARIA ESTIMADA'!$J$18:$J$40,'AVARIA ESTIMADA'!$A$18:$A$40,A84)</f>
        <v>0</v>
      </c>
    </row>
    <row r="85" spans="1:6" x14ac:dyDescent="0.3">
      <c r="A85" s="2" t="s">
        <v>53</v>
      </c>
      <c r="B85" s="19" t="str">
        <f>_xlfn.XLOOKUP(A85,CATÁLOGO!$A$2:$A$846,CATÁLOGO!$B$2:$B$846,"FORA DO CATÁLOGO")</f>
        <v>CAM002AG</v>
      </c>
      <c r="C85" s="13">
        <v>3</v>
      </c>
      <c r="D85" s="13" t="str">
        <f>_xlfn.XLOOKUP(A85,CATÁLOGO!$A$2:$A$846,CATÁLOGO!$E$2:$E$846,"FORA DO CATÁLOGO")</f>
        <v>Ativo</v>
      </c>
      <c r="E85" s="2"/>
      <c r="F85" s="62">
        <f>SUMIFS('AVARIA ESTIMADA'!$J$18:$J$40,'AVARIA ESTIMADA'!$A$18:$A$40,A85)</f>
        <v>0</v>
      </c>
    </row>
    <row r="86" spans="1:6" x14ac:dyDescent="0.3">
      <c r="A86" s="2" t="s">
        <v>54</v>
      </c>
      <c r="B86" s="19" t="str">
        <f>_xlfn.XLOOKUP(A86,CATÁLOGO!$A$2:$A$846,CATÁLOGO!$B$2:$B$846,"FORA DO CATÁLOGO")</f>
        <v>CAM002AGG</v>
      </c>
      <c r="C86" s="13">
        <v>1</v>
      </c>
      <c r="D86" s="13" t="str">
        <f>_xlfn.XLOOKUP(A86,CATÁLOGO!$A$2:$A$846,CATÁLOGO!$E$2:$E$846,"FORA DO CATÁLOGO")</f>
        <v>Ativo</v>
      </c>
      <c r="E86" s="2"/>
      <c r="F86" s="62">
        <f>SUMIFS('AVARIA ESTIMADA'!$J$18:$J$40,'AVARIA ESTIMADA'!$A$18:$A$40,A86)</f>
        <v>0</v>
      </c>
    </row>
    <row r="87" spans="1:6" x14ac:dyDescent="0.3">
      <c r="A87" s="2" t="s">
        <v>56</v>
      </c>
      <c r="B87" s="19" t="str">
        <f>_xlfn.XLOOKUP(A87,CATÁLOGO!$A$2:$A$846,CATÁLOGO!$B$2:$B$846,"FORA DO CATÁLOGO")</f>
        <v>CMS002GM</v>
      </c>
      <c r="C87" s="13">
        <v>6</v>
      </c>
      <c r="D87" s="13" t="str">
        <f>_xlfn.XLOOKUP(A87,CATÁLOGO!$A$2:$A$846,CATÁLOGO!$E$2:$E$846,"FORA DO CATÁLOGO")</f>
        <v>Ativo</v>
      </c>
      <c r="E87" s="2"/>
      <c r="F87" s="62">
        <f>SUMIFS('AVARIA ESTIMADA'!$J$18:$J$40,'AVARIA ESTIMADA'!$A$18:$A$40,A87)</f>
        <v>0</v>
      </c>
    </row>
    <row r="88" spans="1:6" x14ac:dyDescent="0.3">
      <c r="A88" s="2" t="s">
        <v>57</v>
      </c>
      <c r="B88" s="19" t="str">
        <f>_xlfn.XLOOKUP(A88,CATÁLOGO!$A$2:$A$846,CATÁLOGO!$B$2:$B$846,"FORA DO CATÁLOGO")</f>
        <v>CMS002GG</v>
      </c>
      <c r="C88" s="13">
        <v>5</v>
      </c>
      <c r="D88" s="13" t="str">
        <f>_xlfn.XLOOKUP(A88,CATÁLOGO!$A$2:$A$846,CATÁLOGO!$E$2:$E$846,"FORA DO CATÁLOGO")</f>
        <v>Ativo</v>
      </c>
      <c r="E88" s="2"/>
      <c r="F88" s="62">
        <f>SUMIFS('AVARIA ESTIMADA'!$J$18:$J$40,'AVARIA ESTIMADA'!$A$18:$A$40,A88)</f>
        <v>0</v>
      </c>
    </row>
    <row r="89" spans="1:6" x14ac:dyDescent="0.3">
      <c r="A89" s="2" t="s">
        <v>58</v>
      </c>
      <c r="B89" s="19" t="str">
        <f>_xlfn.XLOOKUP(A89,CATÁLOGO!$A$2:$A$846,CATÁLOGO!$B$2:$B$846,"FORA DO CATÁLOGO")</f>
        <v>CMS002GGG</v>
      </c>
      <c r="C89" s="13">
        <v>3</v>
      </c>
      <c r="D89" s="13" t="str">
        <f>_xlfn.XLOOKUP(A89,CATÁLOGO!$A$2:$A$846,CATÁLOGO!$E$2:$E$846,"FORA DO CATÁLOGO")</f>
        <v>Ativo</v>
      </c>
      <c r="E89" s="2"/>
      <c r="F89" s="62">
        <f>SUMIFS('AVARIA ESTIMADA'!$J$18:$J$40,'AVARIA ESTIMADA'!$A$18:$A$40,A89)</f>
        <v>0</v>
      </c>
    </row>
    <row r="90" spans="1:6" x14ac:dyDescent="0.3">
      <c r="A90" s="2" t="s">
        <v>59</v>
      </c>
      <c r="B90" s="19" t="str">
        <f>_xlfn.XLOOKUP(A90,CATÁLOGO!$A$2:$A$846,CATÁLOGO!$B$2:$B$846,"FORA DO CATÁLOGO")</f>
        <v>CAM003CP</v>
      </c>
      <c r="C90" s="13">
        <v>1</v>
      </c>
      <c r="D90" s="13" t="str">
        <f>_xlfn.XLOOKUP(A90,CATÁLOGO!$A$2:$A$846,CATÁLOGO!$E$2:$E$846,"FORA DO CATÁLOGO")</f>
        <v>Ativo</v>
      </c>
      <c r="E90" s="2"/>
      <c r="F90" s="62">
        <f>SUMIFS('AVARIA ESTIMADA'!$J$18:$J$40,'AVARIA ESTIMADA'!$A$18:$A$40,A90)</f>
        <v>0</v>
      </c>
    </row>
    <row r="91" spans="1:6" x14ac:dyDescent="0.3">
      <c r="A91" s="2" t="s">
        <v>60</v>
      </c>
      <c r="B91" s="19" t="str">
        <f>_xlfn.XLOOKUP(A91,CATÁLOGO!$A$2:$A$846,CATÁLOGO!$B$2:$B$846,"FORA DO CATÁLOGO")</f>
        <v>CAM003CM</v>
      </c>
      <c r="C91" s="13">
        <v>2</v>
      </c>
      <c r="D91" s="13" t="str">
        <f>_xlfn.XLOOKUP(A91,CATÁLOGO!$A$2:$A$846,CATÁLOGO!$E$2:$E$846,"FORA DO CATÁLOGO")</f>
        <v>Ativo</v>
      </c>
      <c r="E91" s="2"/>
      <c r="F91" s="62">
        <f>SUMIFS('AVARIA ESTIMADA'!$J$18:$J$40,'AVARIA ESTIMADA'!$A$18:$A$40,A91)</f>
        <v>0</v>
      </c>
    </row>
    <row r="92" spans="1:6" x14ac:dyDescent="0.3">
      <c r="A92" s="2" t="s">
        <v>61</v>
      </c>
      <c r="B92" s="19" t="str">
        <f>_xlfn.XLOOKUP(A92,CATÁLOGO!$A$2:$A$846,CATÁLOGO!$B$2:$B$846,"FORA DO CATÁLOGO")</f>
        <v>CAM003CG</v>
      </c>
      <c r="C92" s="13">
        <v>2</v>
      </c>
      <c r="D92" s="13" t="str">
        <f>_xlfn.XLOOKUP(A92,CATÁLOGO!$A$2:$A$846,CATÁLOGO!$E$2:$E$846,"FORA DO CATÁLOGO")</f>
        <v>Ativo</v>
      </c>
      <c r="E92" s="2"/>
      <c r="F92" s="62">
        <f>SUMIFS('AVARIA ESTIMADA'!$J$18:$J$40,'AVARIA ESTIMADA'!$A$18:$A$40,A92)</f>
        <v>0</v>
      </c>
    </row>
    <row r="93" spans="1:6" x14ac:dyDescent="0.3">
      <c r="A93" s="2" t="s">
        <v>62</v>
      </c>
      <c r="B93" s="19" t="str">
        <f>_xlfn.XLOOKUP(A93,CATÁLOGO!$A$2:$A$846,CATÁLOGO!$B$2:$B$846,"FORA DO CATÁLOGO")</f>
        <v>CAM003CGG</v>
      </c>
      <c r="C93" s="13">
        <v>1</v>
      </c>
      <c r="D93" s="13" t="str">
        <f>_xlfn.XLOOKUP(A93,CATÁLOGO!$A$2:$A$846,CATÁLOGO!$E$2:$E$846,"FORA DO CATÁLOGO")</f>
        <v>Ativo</v>
      </c>
      <c r="E93" s="2"/>
      <c r="F93" s="62">
        <f>SUMIFS('AVARIA ESTIMADA'!$J$18:$J$40,'AVARIA ESTIMADA'!$A$18:$A$40,A93)</f>
        <v>0</v>
      </c>
    </row>
    <row r="94" spans="1:6" x14ac:dyDescent="0.3">
      <c r="A94" s="2" t="s">
        <v>63</v>
      </c>
      <c r="B94" s="19" t="str">
        <f>_xlfn.XLOOKUP(A94,CATÁLOGO!$A$2:$A$846,CATÁLOGO!$B$2:$B$846,"FORA DO CATÁLOGO")</f>
        <v>CAM003AP</v>
      </c>
      <c r="C94" s="13">
        <v>1</v>
      </c>
      <c r="D94" s="13" t="str">
        <f>_xlfn.XLOOKUP(A94,CATÁLOGO!$A$2:$A$846,CATÁLOGO!$E$2:$E$846,"FORA DO CATÁLOGO")</f>
        <v>Ativo</v>
      </c>
      <c r="E94" s="2" t="s">
        <v>1336</v>
      </c>
      <c r="F94" s="62">
        <f>SUMIFS('AVARIA ESTIMADA'!$J$18:$J$40,'AVARIA ESTIMADA'!$A$18:$A$40,A94)</f>
        <v>0</v>
      </c>
    </row>
    <row r="95" spans="1:6" x14ac:dyDescent="0.3">
      <c r="A95" s="2" t="s">
        <v>64</v>
      </c>
      <c r="B95" s="19" t="str">
        <f>_xlfn.XLOOKUP(A95,CATÁLOGO!$A$2:$A$846,CATÁLOGO!$B$2:$B$846,"FORA DO CATÁLOGO")</f>
        <v>CAM003AM</v>
      </c>
      <c r="C95" s="13">
        <v>1</v>
      </c>
      <c r="D95" s="13" t="str">
        <f>_xlfn.XLOOKUP(A95,CATÁLOGO!$A$2:$A$846,CATÁLOGO!$E$2:$E$846,"FORA DO CATÁLOGO")</f>
        <v>Ativo</v>
      </c>
      <c r="E95" s="2"/>
      <c r="F95" s="62">
        <f>SUMIFS('AVARIA ESTIMADA'!$J$18:$J$40,'AVARIA ESTIMADA'!$A$18:$A$40,A95)</f>
        <v>0</v>
      </c>
    </row>
    <row r="96" spans="1:6" x14ac:dyDescent="0.3">
      <c r="A96" s="2" t="s">
        <v>65</v>
      </c>
      <c r="B96" s="19" t="str">
        <f>_xlfn.XLOOKUP(A96,CATÁLOGO!$A$2:$A$846,CATÁLOGO!$B$2:$B$846,"FORA DO CATÁLOGO")</f>
        <v>CAM003AG</v>
      </c>
      <c r="C96" s="13">
        <v>0</v>
      </c>
      <c r="D96" s="13" t="str">
        <f>_xlfn.XLOOKUP(A96,CATÁLOGO!$A$2:$A$846,CATÁLOGO!$E$2:$E$846,"FORA DO CATÁLOGO")</f>
        <v>Ativo</v>
      </c>
      <c r="E96" s="2"/>
      <c r="F96" s="62">
        <f>SUMIFS('AVARIA ESTIMADA'!$J$18:$J$40,'AVARIA ESTIMADA'!$A$18:$A$40,A96)</f>
        <v>0</v>
      </c>
    </row>
    <row r="97" spans="1:6" x14ac:dyDescent="0.3">
      <c r="A97" s="2" t="s">
        <v>66</v>
      </c>
      <c r="B97" s="19" t="str">
        <f>_xlfn.XLOOKUP(A97,CATÁLOGO!$A$2:$A$846,CATÁLOGO!$B$2:$B$846,"FORA DO CATÁLOGO")</f>
        <v>CAM003AGG</v>
      </c>
      <c r="C97" s="13">
        <v>1</v>
      </c>
      <c r="D97" s="13" t="str">
        <f>_xlfn.XLOOKUP(A97,CATÁLOGO!$A$2:$A$846,CATÁLOGO!$E$2:$E$846,"FORA DO CATÁLOGO")</f>
        <v>Ativo</v>
      </c>
      <c r="E97" s="2" t="s">
        <v>1336</v>
      </c>
      <c r="F97" s="62">
        <f>SUMIFS('AVARIA ESTIMADA'!$J$18:$J$40,'AVARIA ESTIMADA'!$A$18:$A$40,A97)</f>
        <v>0</v>
      </c>
    </row>
    <row r="98" spans="1:6" x14ac:dyDescent="0.3">
      <c r="A98" s="2" t="s">
        <v>67</v>
      </c>
      <c r="B98" s="19" t="str">
        <f>_xlfn.XLOOKUP(A98,CATÁLOGO!$A$2:$A$846,CATÁLOGO!$B$2:$B$846,"FORA DO CATÁLOGO")</f>
        <v>MOL004BP</v>
      </c>
      <c r="C98" s="13">
        <v>5</v>
      </c>
      <c r="D98" s="13" t="str">
        <f>_xlfn.XLOOKUP(A98,CATÁLOGO!$A$2:$A$846,CATÁLOGO!$E$2:$E$846,"FORA DO CATÁLOGO")</f>
        <v>Ativo</v>
      </c>
      <c r="E98" s="2"/>
      <c r="F98" s="62">
        <f>SUMIFS('AVARIA ESTIMADA'!$J$18:$J$40,'AVARIA ESTIMADA'!$A$18:$A$40,A98)</f>
        <v>0</v>
      </c>
    </row>
    <row r="99" spans="1:6" x14ac:dyDescent="0.3">
      <c r="A99" s="2" t="s">
        <v>68</v>
      </c>
      <c r="B99" s="19" t="str">
        <f>_xlfn.XLOOKUP(A99,CATÁLOGO!$A$2:$A$846,CATÁLOGO!$B$2:$B$846,"FORA DO CATÁLOGO")</f>
        <v>MOL004BM</v>
      </c>
      <c r="C99" s="13">
        <v>4</v>
      </c>
      <c r="D99" s="13" t="str">
        <f>_xlfn.XLOOKUP(A99,CATÁLOGO!$A$2:$A$846,CATÁLOGO!$E$2:$E$846,"FORA DO CATÁLOGO")</f>
        <v>Ativo</v>
      </c>
      <c r="E99" s="2"/>
      <c r="F99" s="62">
        <f>SUMIFS('AVARIA ESTIMADA'!$J$18:$J$40,'AVARIA ESTIMADA'!$A$18:$A$40,A99)</f>
        <v>0</v>
      </c>
    </row>
    <row r="100" spans="1:6" x14ac:dyDescent="0.3">
      <c r="A100" s="2" t="s">
        <v>69</v>
      </c>
      <c r="B100" s="19" t="str">
        <f>_xlfn.XLOOKUP(A100,CATÁLOGO!$A$2:$A$846,CATÁLOGO!$B$2:$B$846,"FORA DO CATÁLOGO")</f>
        <v>MOL004BG</v>
      </c>
      <c r="C100" s="13">
        <v>2</v>
      </c>
      <c r="D100" s="13" t="str">
        <f>_xlfn.XLOOKUP(A100,CATÁLOGO!$A$2:$A$846,CATÁLOGO!$E$2:$E$846,"FORA DO CATÁLOGO")</f>
        <v>Ativo</v>
      </c>
      <c r="E100" s="2"/>
      <c r="F100" s="62">
        <f>SUMIFS('AVARIA ESTIMADA'!$J$18:$J$40,'AVARIA ESTIMADA'!$A$18:$A$40,A100)</f>
        <v>0</v>
      </c>
    </row>
    <row r="101" spans="1:6" x14ac:dyDescent="0.3">
      <c r="A101" s="2" t="s">
        <v>70</v>
      </c>
      <c r="B101" s="19" t="str">
        <f>_xlfn.XLOOKUP(A101,CATÁLOGO!$A$2:$A$846,CATÁLOGO!$B$2:$B$846,"FORA DO CATÁLOGO")</f>
        <v>MOL004BGG</v>
      </c>
      <c r="C101" s="13">
        <v>2</v>
      </c>
      <c r="D101" s="13" t="str">
        <f>_xlfn.XLOOKUP(A101,CATÁLOGO!$A$2:$A$846,CATÁLOGO!$E$2:$E$846,"FORA DO CATÁLOGO")</f>
        <v>Ativo</v>
      </c>
      <c r="E101" s="2"/>
      <c r="F101" s="62">
        <f>SUMIFS('AVARIA ESTIMADA'!$J$18:$J$40,'AVARIA ESTIMADA'!$A$18:$A$40,A101)</f>
        <v>0</v>
      </c>
    </row>
    <row r="102" spans="1:6" x14ac:dyDescent="0.3">
      <c r="A102" s="2" t="s">
        <v>71</v>
      </c>
      <c r="B102" s="19" t="str">
        <f>_xlfn.XLOOKUP(A102,CATÁLOGO!$A$2:$A$846,CATÁLOGO!$B$2:$B$846,"FORA DO CATÁLOGO")</f>
        <v>CAM004BP</v>
      </c>
      <c r="C102" s="13">
        <v>2</v>
      </c>
      <c r="D102" s="13" t="str">
        <f>_xlfn.XLOOKUP(A102,CATÁLOGO!$A$2:$A$846,CATÁLOGO!$E$2:$E$846,"FORA DO CATÁLOGO")</f>
        <v>Ativo</v>
      </c>
      <c r="E102" s="2"/>
      <c r="F102" s="62">
        <f>SUMIFS('AVARIA ESTIMADA'!$J$18:$J$40,'AVARIA ESTIMADA'!$A$18:$A$40,A102)</f>
        <v>0</v>
      </c>
    </row>
    <row r="103" spans="1:6" x14ac:dyDescent="0.3">
      <c r="A103" s="2" t="s">
        <v>72</v>
      </c>
      <c r="B103" s="19" t="str">
        <f>_xlfn.XLOOKUP(A103,CATÁLOGO!$A$2:$A$846,CATÁLOGO!$B$2:$B$846,"FORA DO CATÁLOGO")</f>
        <v>CAM004BM</v>
      </c>
      <c r="C103" s="13">
        <v>3</v>
      </c>
      <c r="D103" s="13" t="str">
        <f>_xlfn.XLOOKUP(A103,CATÁLOGO!$A$2:$A$846,CATÁLOGO!$E$2:$E$846,"FORA DO CATÁLOGO")</f>
        <v>Ativo</v>
      </c>
      <c r="E103" s="2"/>
      <c r="F103" s="62">
        <f>SUMIFS('AVARIA ESTIMADA'!$J$18:$J$40,'AVARIA ESTIMADA'!$A$18:$A$40,A103)</f>
        <v>0</v>
      </c>
    </row>
    <row r="104" spans="1:6" x14ac:dyDescent="0.3">
      <c r="A104" s="2" t="s">
        <v>73</v>
      </c>
      <c r="B104" s="19" t="str">
        <f>_xlfn.XLOOKUP(A104,CATÁLOGO!$A$2:$A$846,CATÁLOGO!$B$2:$B$846,"FORA DO CATÁLOGO")</f>
        <v>CAM004BG</v>
      </c>
      <c r="C104" s="13">
        <v>2</v>
      </c>
      <c r="D104" s="13" t="str">
        <f>_xlfn.XLOOKUP(A104,CATÁLOGO!$A$2:$A$846,CATÁLOGO!$E$2:$E$846,"FORA DO CATÁLOGO")</f>
        <v>Ativo</v>
      </c>
      <c r="E104" s="2"/>
      <c r="F104" s="62">
        <f>SUMIFS('AVARIA ESTIMADA'!$J$18:$J$40,'AVARIA ESTIMADA'!$A$18:$A$40,A104)</f>
        <v>0</v>
      </c>
    </row>
    <row r="105" spans="1:6" x14ac:dyDescent="0.3">
      <c r="A105" s="2" t="s">
        <v>1250</v>
      </c>
      <c r="B105" s="19" t="str">
        <f>_xlfn.XLOOKUP(A105,CATÁLOGO!$A$2:$A$846,CATÁLOGO!$B$2:$B$846,"FORA DO CATÁLOGO")</f>
        <v>CAM004BGG</v>
      </c>
      <c r="C105" s="13">
        <v>1</v>
      </c>
      <c r="D105" s="13" t="str">
        <f>_xlfn.XLOOKUP(A105,CATÁLOGO!$A$2:$A$846,CATÁLOGO!$E$2:$E$846,"FORA DO CATÁLOGO")</f>
        <v>Ativo</v>
      </c>
      <c r="E105" s="2"/>
      <c r="F105" s="62">
        <f>SUMIFS('AVARIA ESTIMADA'!$J$18:$J$40,'AVARIA ESTIMADA'!$A$18:$A$40,A105)</f>
        <v>0</v>
      </c>
    </row>
    <row r="106" spans="1:6" x14ac:dyDescent="0.3">
      <c r="A106" s="2" t="s">
        <v>74</v>
      </c>
      <c r="B106" s="19" t="str">
        <f>_xlfn.XLOOKUP(A106,CATÁLOGO!$A$2:$A$846,CATÁLOGO!$B$2:$B$846,"FORA DO CATÁLOGO")</f>
        <v>CAM004CP</v>
      </c>
      <c r="C106" s="13">
        <v>1</v>
      </c>
      <c r="D106" s="13" t="str">
        <f>_xlfn.XLOOKUP(A106,CATÁLOGO!$A$2:$A$846,CATÁLOGO!$E$2:$E$846,"FORA DO CATÁLOGO")</f>
        <v>Ativo</v>
      </c>
      <c r="E106" s="2"/>
      <c r="F106" s="62">
        <f>SUMIFS('AVARIA ESTIMADA'!$J$18:$J$40,'AVARIA ESTIMADA'!$A$18:$A$40,A106)</f>
        <v>0</v>
      </c>
    </row>
    <row r="107" spans="1:6" x14ac:dyDescent="0.3">
      <c r="A107" s="2" t="s">
        <v>75</v>
      </c>
      <c r="B107" s="19" t="str">
        <f>_xlfn.XLOOKUP(A107,CATÁLOGO!$A$2:$A$846,CATÁLOGO!$B$2:$B$846,"FORA DO CATÁLOGO")</f>
        <v>CAM004CM</v>
      </c>
      <c r="C107" s="13">
        <v>3</v>
      </c>
      <c r="D107" s="13" t="str">
        <f>_xlfn.XLOOKUP(A107,CATÁLOGO!$A$2:$A$846,CATÁLOGO!$E$2:$E$846,"FORA DO CATÁLOGO")</f>
        <v>Ativo</v>
      </c>
      <c r="E107" s="2" t="s">
        <v>1337</v>
      </c>
      <c r="F107" s="62">
        <f>SUMIFS('AVARIA ESTIMADA'!$J$18:$J$40,'AVARIA ESTIMADA'!$A$18:$A$40,A107)</f>
        <v>0</v>
      </c>
    </row>
    <row r="108" spans="1:6" x14ac:dyDescent="0.3">
      <c r="A108" s="2" t="s">
        <v>77</v>
      </c>
      <c r="B108" s="19" t="str">
        <f>_xlfn.XLOOKUP(A108,CATÁLOGO!$A$2:$A$846,CATÁLOGO!$B$2:$B$846,"FORA DO CATÁLOGO")</f>
        <v>CAM004CGG</v>
      </c>
      <c r="C108" s="13">
        <v>1</v>
      </c>
      <c r="D108" s="13" t="str">
        <f>_xlfn.XLOOKUP(A108,CATÁLOGO!$A$2:$A$846,CATÁLOGO!$E$2:$E$846,"FORA DO CATÁLOGO")</f>
        <v>Ativo</v>
      </c>
      <c r="E108" s="2"/>
      <c r="F108" s="62">
        <f>SUMIFS('AVARIA ESTIMADA'!$J$18:$J$40,'AVARIA ESTIMADA'!$A$18:$A$40,A108)</f>
        <v>0</v>
      </c>
    </row>
    <row r="109" spans="1:6" x14ac:dyDescent="0.3">
      <c r="A109" s="2" t="s">
        <v>78</v>
      </c>
      <c r="B109" s="19" t="str">
        <f>_xlfn.XLOOKUP(A109,CATÁLOGO!$A$2:$A$846,CATÁLOGO!$B$2:$B$846,"FORA DO CATÁLOGO")</f>
        <v>CAM004PP</v>
      </c>
      <c r="C109" s="13">
        <v>2</v>
      </c>
      <c r="D109" s="13" t="str">
        <f>_xlfn.XLOOKUP(A109,CATÁLOGO!$A$2:$A$846,CATÁLOGO!$E$2:$E$846,"FORA DO CATÁLOGO")</f>
        <v>Ativo</v>
      </c>
      <c r="E109" s="2"/>
      <c r="F109" s="62">
        <f>SUMIFS('AVARIA ESTIMADA'!$J$18:$J$40,'AVARIA ESTIMADA'!$A$18:$A$40,A109)</f>
        <v>0</v>
      </c>
    </row>
    <row r="110" spans="1:6" x14ac:dyDescent="0.3">
      <c r="A110" s="2" t="s">
        <v>79</v>
      </c>
      <c r="B110" s="19" t="str">
        <f>_xlfn.XLOOKUP(A110,CATÁLOGO!$A$2:$A$846,CATÁLOGO!$B$2:$B$846,"FORA DO CATÁLOGO")</f>
        <v>CAM004PM</v>
      </c>
      <c r="C110" s="13">
        <v>3</v>
      </c>
      <c r="D110" s="13" t="str">
        <f>_xlfn.XLOOKUP(A110,CATÁLOGO!$A$2:$A$846,CATÁLOGO!$E$2:$E$846,"FORA DO CATÁLOGO")</f>
        <v>Ativo</v>
      </c>
      <c r="E110" s="2"/>
      <c r="F110" s="62">
        <f>SUMIFS('AVARIA ESTIMADA'!$J$18:$J$40,'AVARIA ESTIMADA'!$A$18:$A$40,A110)</f>
        <v>2</v>
      </c>
    </row>
    <row r="111" spans="1:6" x14ac:dyDescent="0.3">
      <c r="A111" s="2" t="s">
        <v>80</v>
      </c>
      <c r="B111" s="19" t="str">
        <f>_xlfn.XLOOKUP(A111,CATÁLOGO!$A$2:$A$846,CATÁLOGO!$B$2:$B$846,"FORA DO CATÁLOGO")</f>
        <v>CAM004PG</v>
      </c>
      <c r="C111" s="13">
        <v>2</v>
      </c>
      <c r="D111" s="13" t="str">
        <f>_xlfn.XLOOKUP(A111,CATÁLOGO!$A$2:$A$846,CATÁLOGO!$E$2:$E$846,"FORA DO CATÁLOGO")</f>
        <v>Ativo</v>
      </c>
      <c r="E111" s="2"/>
      <c r="F111" s="62">
        <f>SUMIFS('AVARIA ESTIMADA'!$J$18:$J$40,'AVARIA ESTIMADA'!$A$18:$A$40,A111)</f>
        <v>0</v>
      </c>
    </row>
    <row r="112" spans="1:6" x14ac:dyDescent="0.3">
      <c r="A112" s="2" t="s">
        <v>81</v>
      </c>
      <c r="B112" s="19" t="str">
        <f>_xlfn.XLOOKUP(A112,CATÁLOGO!$A$2:$A$846,CATÁLOGO!$B$2:$B$846,"FORA DO CATÁLOGO")</f>
        <v>CAM004PGG</v>
      </c>
      <c r="C112" s="13">
        <v>2</v>
      </c>
      <c r="D112" s="13" t="str">
        <f>_xlfn.XLOOKUP(A112,CATÁLOGO!$A$2:$A$846,CATÁLOGO!$E$2:$E$846,"FORA DO CATÁLOGO")</f>
        <v>Ativo</v>
      </c>
      <c r="E112" s="2"/>
      <c r="F112" s="62">
        <f>SUMIFS('AVARIA ESTIMADA'!$J$18:$J$40,'AVARIA ESTIMADA'!$A$18:$A$40,A112)</f>
        <v>0</v>
      </c>
    </row>
    <row r="113" spans="1:6" x14ac:dyDescent="0.3">
      <c r="A113" s="2" t="s">
        <v>82</v>
      </c>
      <c r="B113" s="19" t="str">
        <f>_xlfn.XLOOKUP(A113,CATÁLOGO!$A$2:$A$846,CATÁLOGO!$B$2:$B$846,"FORA DO CATÁLOGO")</f>
        <v>TOP003BP</v>
      </c>
      <c r="C113" s="13">
        <v>5</v>
      </c>
      <c r="D113" s="13" t="str">
        <f>_xlfn.XLOOKUP(A113,CATÁLOGO!$A$2:$A$846,CATÁLOGO!$E$2:$E$846,"FORA DO CATÁLOGO")</f>
        <v>Ativo</v>
      </c>
      <c r="E113" s="2"/>
      <c r="F113" s="62">
        <f>SUMIFS('AVARIA ESTIMADA'!$J$18:$J$40,'AVARIA ESTIMADA'!$A$18:$A$40,A113)</f>
        <v>0</v>
      </c>
    </row>
    <row r="114" spans="1:6" x14ac:dyDescent="0.3">
      <c r="A114" s="2" t="s">
        <v>83</v>
      </c>
      <c r="B114" s="19" t="str">
        <f>_xlfn.XLOOKUP(A114,CATÁLOGO!$A$2:$A$846,CATÁLOGO!$B$2:$B$846,"FORA DO CATÁLOGO")</f>
        <v>TOP003BM</v>
      </c>
      <c r="C114" s="13">
        <v>7</v>
      </c>
      <c r="D114" s="13" t="str">
        <f>_xlfn.XLOOKUP(A114,CATÁLOGO!$A$2:$A$846,CATÁLOGO!$E$2:$E$846,"FORA DO CATÁLOGO")</f>
        <v>Ativo</v>
      </c>
      <c r="E114" s="2"/>
      <c r="F114" s="62">
        <f>SUMIFS('AVARIA ESTIMADA'!$J$18:$J$40,'AVARIA ESTIMADA'!$A$18:$A$40,A114)</f>
        <v>0</v>
      </c>
    </row>
    <row r="115" spans="1:6" x14ac:dyDescent="0.3">
      <c r="A115" s="2" t="s">
        <v>84</v>
      </c>
      <c r="B115" s="19" t="str">
        <f>_xlfn.XLOOKUP(A115,CATÁLOGO!$A$2:$A$846,CATÁLOGO!$B$2:$B$846,"FORA DO CATÁLOGO")</f>
        <v>TOP003BG</v>
      </c>
      <c r="C115" s="13">
        <v>4</v>
      </c>
      <c r="D115" s="13" t="str">
        <f>_xlfn.XLOOKUP(A115,CATÁLOGO!$A$2:$A$846,CATÁLOGO!$E$2:$E$846,"FORA DO CATÁLOGO")</f>
        <v>Ativo</v>
      </c>
      <c r="E115" s="2"/>
      <c r="F115" s="62">
        <f>SUMIFS('AVARIA ESTIMADA'!$J$18:$J$40,'AVARIA ESTIMADA'!$A$18:$A$40,A115)</f>
        <v>0</v>
      </c>
    </row>
    <row r="116" spans="1:6" x14ac:dyDescent="0.3">
      <c r="A116" s="2" t="s">
        <v>85</v>
      </c>
      <c r="B116" s="19" t="str">
        <f>_xlfn.XLOOKUP(A116,CATÁLOGO!$A$2:$A$846,CATÁLOGO!$B$2:$B$846,"FORA DO CATÁLOGO")</f>
        <v>TOP003BGG</v>
      </c>
      <c r="C116" s="13">
        <v>2</v>
      </c>
      <c r="D116" s="13" t="str">
        <f>_xlfn.XLOOKUP(A116,CATÁLOGO!$A$2:$A$846,CATÁLOGO!$E$2:$E$846,"FORA DO CATÁLOGO")</f>
        <v>Ativo</v>
      </c>
      <c r="E116" s="2"/>
      <c r="F116" s="62">
        <f>SUMIFS('AVARIA ESTIMADA'!$J$18:$J$40,'AVARIA ESTIMADA'!$A$18:$A$40,A116)</f>
        <v>0</v>
      </c>
    </row>
    <row r="117" spans="1:6" x14ac:dyDescent="0.3">
      <c r="A117" s="2" t="s">
        <v>1767</v>
      </c>
      <c r="B117" s="19" t="str">
        <f>_xlfn.XLOOKUP(A117,CATÁLOGO!$A$2:$A$846,CATÁLOGO!$B$2:$B$846,"FORA DO CATÁLOGO")</f>
        <v>CMS003BPP</v>
      </c>
      <c r="C117" s="13">
        <v>2</v>
      </c>
      <c r="D117" s="13" t="str">
        <f>_xlfn.XLOOKUP(A117,CATÁLOGO!$A$2:$A$846,CATÁLOGO!$E$2:$E$846,"FORA DO CATÁLOGO")</f>
        <v>Ativo</v>
      </c>
      <c r="E117" s="2"/>
      <c r="F117" s="62">
        <f>SUMIFS('AVARIA ESTIMADA'!$J$18:$J$40,'AVARIA ESTIMADA'!$A$18:$A$40,A117)</f>
        <v>0</v>
      </c>
    </row>
    <row r="118" spans="1:6" x14ac:dyDescent="0.3">
      <c r="A118" s="2" t="s">
        <v>86</v>
      </c>
      <c r="B118" s="19" t="str">
        <f>_xlfn.XLOOKUP(A118,CATÁLOGO!$A$2:$A$846,CATÁLOGO!$B$2:$B$846,"FORA DO CATÁLOGO")</f>
        <v>CMS003BP</v>
      </c>
      <c r="C118" s="13">
        <v>3</v>
      </c>
      <c r="D118" s="13" t="str">
        <f>_xlfn.XLOOKUP(A118,CATÁLOGO!$A$2:$A$846,CATÁLOGO!$E$2:$E$846,"FORA DO CATÁLOGO")</f>
        <v>Ativo</v>
      </c>
      <c r="E118" s="2"/>
      <c r="F118" s="62">
        <f>SUMIFS('AVARIA ESTIMADA'!$J$18:$J$40,'AVARIA ESTIMADA'!$A$18:$A$40,A118)</f>
        <v>0</v>
      </c>
    </row>
    <row r="119" spans="1:6" x14ac:dyDescent="0.3">
      <c r="A119" s="2" t="s">
        <v>87</v>
      </c>
      <c r="B119" s="19" t="str">
        <f>_xlfn.XLOOKUP(A119,CATÁLOGO!$A$2:$A$846,CATÁLOGO!$B$2:$B$846,"FORA DO CATÁLOGO")</f>
        <v>CMS003BM</v>
      </c>
      <c r="C119" s="13">
        <v>5</v>
      </c>
      <c r="D119" s="13" t="str">
        <f>_xlfn.XLOOKUP(A119,CATÁLOGO!$A$2:$A$846,CATÁLOGO!$E$2:$E$846,"FORA DO CATÁLOGO")</f>
        <v>Ativo</v>
      </c>
      <c r="E119" s="2"/>
      <c r="F119" s="62">
        <f>SUMIFS('AVARIA ESTIMADA'!$J$18:$J$40,'AVARIA ESTIMADA'!$A$18:$A$40,A119)</f>
        <v>0</v>
      </c>
    </row>
    <row r="120" spans="1:6" x14ac:dyDescent="0.3">
      <c r="A120" s="2" t="s">
        <v>88</v>
      </c>
      <c r="B120" s="19" t="str">
        <f>_xlfn.XLOOKUP(A120,CATÁLOGO!$A$2:$A$846,CATÁLOGO!$B$2:$B$846,"FORA DO CATÁLOGO")</f>
        <v>CMS003BG</v>
      </c>
      <c r="C120" s="13">
        <v>4</v>
      </c>
      <c r="D120" s="13" t="str">
        <f>_xlfn.XLOOKUP(A120,CATÁLOGO!$A$2:$A$846,CATÁLOGO!$E$2:$E$846,"FORA DO CATÁLOGO")</f>
        <v>Ativo</v>
      </c>
      <c r="E120" s="2"/>
      <c r="F120" s="62">
        <f>SUMIFS('AVARIA ESTIMADA'!$J$18:$J$40,'AVARIA ESTIMADA'!$A$18:$A$40,A120)</f>
        <v>0</v>
      </c>
    </row>
    <row r="121" spans="1:6" x14ac:dyDescent="0.3">
      <c r="A121" s="2" t="s">
        <v>1251</v>
      </c>
      <c r="B121" s="19" t="str">
        <f>_xlfn.XLOOKUP(A121,CATÁLOGO!$A$2:$A$846,CATÁLOGO!$B$2:$B$846,"FORA DO CATÁLOGO")</f>
        <v>CMS003BGG</v>
      </c>
      <c r="C121" s="13">
        <v>2</v>
      </c>
      <c r="D121" s="13" t="str">
        <f>_xlfn.XLOOKUP(A121,CATÁLOGO!$A$2:$A$846,CATÁLOGO!$E$2:$E$846,"FORA DO CATÁLOGO")</f>
        <v>Ativo</v>
      </c>
      <c r="E121" s="2"/>
      <c r="F121" s="62">
        <f>SUMIFS('AVARIA ESTIMADA'!$J$18:$J$40,'AVARIA ESTIMADA'!$A$18:$A$40,A121)</f>
        <v>0</v>
      </c>
    </row>
    <row r="122" spans="1:6" x14ac:dyDescent="0.3">
      <c r="A122" s="2" t="s">
        <v>1829</v>
      </c>
      <c r="B122" s="19" t="str">
        <f>_xlfn.XLOOKUP(A122,CATÁLOGO!$A$2:$A$846,CATÁLOGO!$B$2:$B$846,"FORA DO CATÁLOGO")</f>
        <v>MOL005OPP</v>
      </c>
      <c r="C122" s="13">
        <v>2</v>
      </c>
      <c r="D122" s="13" t="str">
        <f>_xlfn.XLOOKUP(A122,CATÁLOGO!$A$2:$A$846,CATÁLOGO!$E$2:$E$846,"FORA DO CATÁLOGO")</f>
        <v>Ativo</v>
      </c>
      <c r="E122" s="2"/>
      <c r="F122" s="62">
        <f>SUMIFS('AVARIA ESTIMADA'!$J$18:$J$40,'AVARIA ESTIMADA'!$A$18:$A$40,A122)</f>
        <v>0</v>
      </c>
    </row>
    <row r="123" spans="1:6" x14ac:dyDescent="0.3">
      <c r="A123" s="2" t="s">
        <v>89</v>
      </c>
      <c r="B123" s="19" t="str">
        <f>_xlfn.XLOOKUP(A123,CATÁLOGO!$A$2:$A$846,CATÁLOGO!$B$2:$B$846,"FORA DO CATÁLOGO")</f>
        <v>MOL005OP</v>
      </c>
      <c r="C123" s="13">
        <v>2</v>
      </c>
      <c r="D123" s="13" t="str">
        <f>_xlfn.XLOOKUP(A123,CATÁLOGO!$A$2:$A$846,CATÁLOGO!$E$2:$E$846,"FORA DO CATÁLOGO")</f>
        <v>Ativo</v>
      </c>
      <c r="E123" s="2"/>
      <c r="F123" s="62">
        <f>SUMIFS('AVARIA ESTIMADA'!$J$18:$J$40,'AVARIA ESTIMADA'!$A$18:$A$40,A123)</f>
        <v>0</v>
      </c>
    </row>
    <row r="124" spans="1:6" x14ac:dyDescent="0.3">
      <c r="A124" s="2" t="s">
        <v>90</v>
      </c>
      <c r="B124" s="19" t="str">
        <f>_xlfn.XLOOKUP(A124,CATÁLOGO!$A$2:$A$846,CATÁLOGO!$B$2:$B$846,"FORA DO CATÁLOGO")</f>
        <v>MOL005OM</v>
      </c>
      <c r="C124" s="13">
        <v>6</v>
      </c>
      <c r="D124" s="13" t="str">
        <f>_xlfn.XLOOKUP(A124,CATÁLOGO!$A$2:$A$846,CATÁLOGO!$E$2:$E$846,"FORA DO CATÁLOGO")</f>
        <v>Ativo</v>
      </c>
      <c r="E124" s="2"/>
      <c r="F124" s="62">
        <f>SUMIFS('AVARIA ESTIMADA'!$J$18:$J$40,'AVARIA ESTIMADA'!$A$18:$A$40,A124)</f>
        <v>0</v>
      </c>
    </row>
    <row r="125" spans="1:6" x14ac:dyDescent="0.3">
      <c r="A125" s="2" t="s">
        <v>91</v>
      </c>
      <c r="B125" s="19" t="str">
        <f>_xlfn.XLOOKUP(A125,CATÁLOGO!$A$2:$A$846,CATÁLOGO!$B$2:$B$846,"FORA DO CATÁLOGO")</f>
        <v>MOL005OG</v>
      </c>
      <c r="C125" s="13">
        <v>4</v>
      </c>
      <c r="D125" s="13" t="str">
        <f>_xlfn.XLOOKUP(A125,CATÁLOGO!$A$2:$A$846,CATÁLOGO!$E$2:$E$846,"FORA DO CATÁLOGO")</f>
        <v>Ativo</v>
      </c>
      <c r="E125" s="2"/>
      <c r="F125" s="62">
        <f>SUMIFS('AVARIA ESTIMADA'!$J$18:$J$40,'AVARIA ESTIMADA'!$A$18:$A$40,A125)</f>
        <v>0</v>
      </c>
    </row>
    <row r="126" spans="1:6" x14ac:dyDescent="0.3">
      <c r="A126" s="2" t="s">
        <v>92</v>
      </c>
      <c r="B126" s="19" t="str">
        <f>_xlfn.XLOOKUP(A126,CATÁLOGO!$A$2:$A$846,CATÁLOGO!$B$2:$B$846,"FORA DO CATÁLOGO")</f>
        <v>MOL005OGG</v>
      </c>
      <c r="C126" s="13">
        <v>1</v>
      </c>
      <c r="D126" s="13" t="str">
        <f>_xlfn.XLOOKUP(A126,CATÁLOGO!$A$2:$A$846,CATÁLOGO!$E$2:$E$846,"FORA DO CATÁLOGO")</f>
        <v>Ativo</v>
      </c>
      <c r="E126" s="2"/>
      <c r="F126" s="62">
        <f>SUMIFS('AVARIA ESTIMADA'!$J$18:$J$40,'AVARIA ESTIMADA'!$A$18:$A$40,A126)</f>
        <v>0</v>
      </c>
    </row>
    <row r="127" spans="1:6" x14ac:dyDescent="0.3">
      <c r="A127" s="2" t="s">
        <v>93</v>
      </c>
      <c r="B127" s="19" t="str">
        <f>_xlfn.XLOOKUP(A127,CATÁLOGO!$A$2:$A$846,CATÁLOGO!$B$2:$B$846,"FORA DO CATÁLOGO")</f>
        <v>CAM005OP</v>
      </c>
      <c r="C127" s="13">
        <v>4</v>
      </c>
      <c r="D127" s="13" t="str">
        <f>_xlfn.XLOOKUP(A127,CATÁLOGO!$A$2:$A$846,CATÁLOGO!$E$2:$E$846,"FORA DO CATÁLOGO")</f>
        <v>Ativo</v>
      </c>
      <c r="E127" s="2"/>
      <c r="F127" s="62">
        <f>SUMIFS('AVARIA ESTIMADA'!$J$18:$J$40,'AVARIA ESTIMADA'!$A$18:$A$40,A127)</f>
        <v>0</v>
      </c>
    </row>
    <row r="128" spans="1:6" x14ac:dyDescent="0.3">
      <c r="A128" s="2" t="s">
        <v>94</v>
      </c>
      <c r="B128" s="19" t="str">
        <f>_xlfn.XLOOKUP(A128,CATÁLOGO!$A$2:$A$846,CATÁLOGO!$B$2:$B$846,"FORA DO CATÁLOGO")</f>
        <v>CAM005OM</v>
      </c>
      <c r="C128" s="13">
        <v>6</v>
      </c>
      <c r="D128" s="13" t="str">
        <f>_xlfn.XLOOKUP(A128,CATÁLOGO!$A$2:$A$846,CATÁLOGO!$E$2:$E$846,"FORA DO CATÁLOGO")</f>
        <v>Ativo</v>
      </c>
      <c r="E128" s="2"/>
      <c r="F128" s="62">
        <f>SUMIFS('AVARIA ESTIMADA'!$J$18:$J$40,'AVARIA ESTIMADA'!$A$18:$A$40,A128)</f>
        <v>0</v>
      </c>
    </row>
    <row r="129" spans="1:6" x14ac:dyDescent="0.3">
      <c r="A129" s="2" t="s">
        <v>95</v>
      </c>
      <c r="B129" s="19" t="str">
        <f>_xlfn.XLOOKUP(A129,CATÁLOGO!$A$2:$A$846,CATÁLOGO!$B$2:$B$846,"FORA DO CATÁLOGO")</f>
        <v>CAM005OG</v>
      </c>
      <c r="C129" s="13">
        <v>5</v>
      </c>
      <c r="D129" s="13" t="str">
        <f>_xlfn.XLOOKUP(A129,CATÁLOGO!$A$2:$A$846,CATÁLOGO!$E$2:$E$846,"FORA DO CATÁLOGO")</f>
        <v>Ativo</v>
      </c>
      <c r="E129" s="2"/>
      <c r="F129" s="62">
        <f>SUMIFS('AVARIA ESTIMADA'!$J$18:$J$40,'AVARIA ESTIMADA'!$A$18:$A$40,A129)</f>
        <v>0</v>
      </c>
    </row>
    <row r="130" spans="1:6" x14ac:dyDescent="0.3">
      <c r="A130" s="2" t="s">
        <v>96</v>
      </c>
      <c r="B130" s="19" t="str">
        <f>_xlfn.XLOOKUP(A130,CATÁLOGO!$A$2:$A$846,CATÁLOGO!$B$2:$B$846,"FORA DO CATÁLOGO")</f>
        <v>CAM005OGG</v>
      </c>
      <c r="C130" s="13">
        <v>2</v>
      </c>
      <c r="D130" s="13" t="str">
        <f>_xlfn.XLOOKUP(A130,CATÁLOGO!$A$2:$A$846,CATÁLOGO!$E$2:$E$846,"FORA DO CATÁLOGO")</f>
        <v>Ativo</v>
      </c>
      <c r="E130" s="2" t="s">
        <v>1290</v>
      </c>
      <c r="F130" s="62">
        <f>SUMIFS('AVARIA ESTIMADA'!$J$18:$J$40,'AVARIA ESTIMADA'!$A$18:$A$40,A130)</f>
        <v>0</v>
      </c>
    </row>
    <row r="131" spans="1:6" x14ac:dyDescent="0.3">
      <c r="A131" s="2" t="s">
        <v>1566</v>
      </c>
      <c r="B131" s="19" t="str">
        <f>_xlfn.XLOOKUP(A131,CATÁLOGO!$A$2:$A$846,CATÁLOGO!$B$2:$B$846,"FORA DO CATÁLOGO")</f>
        <v>CAL008B38</v>
      </c>
      <c r="C131" s="13">
        <v>3</v>
      </c>
      <c r="D131" s="13" t="str">
        <f>_xlfn.XLOOKUP(A131,CATÁLOGO!$A$2:$A$846,CATÁLOGO!$E$2:$E$846,"FORA DO CATÁLOGO")</f>
        <v>Ativo</v>
      </c>
      <c r="E131" s="2"/>
      <c r="F131" s="62">
        <f>SUMIFS('AVARIA ESTIMADA'!$J$18:$J$40,'AVARIA ESTIMADA'!$A$18:$A$40,A131)</f>
        <v>0</v>
      </c>
    </row>
    <row r="132" spans="1:6" x14ac:dyDescent="0.3">
      <c r="A132" s="2" t="s">
        <v>1565</v>
      </c>
      <c r="B132" s="19" t="str">
        <f>_xlfn.XLOOKUP(A132,CATÁLOGO!$A$2:$A$846,CATÁLOGO!$B$2:$B$846,"FORA DO CATÁLOGO")</f>
        <v>CAL008B40</v>
      </c>
      <c r="C132" s="13">
        <v>3</v>
      </c>
      <c r="D132" s="13" t="str">
        <f>_xlfn.XLOOKUP(A132,CATÁLOGO!$A$2:$A$846,CATÁLOGO!$E$2:$E$846,"FORA DO CATÁLOGO")</f>
        <v>Ativo</v>
      </c>
      <c r="E132" s="2" t="s">
        <v>1333</v>
      </c>
      <c r="F132" s="62">
        <f>SUMIFS('AVARIA ESTIMADA'!$J$18:$J$40,'AVARIA ESTIMADA'!$A$18:$A$40,A132)</f>
        <v>0</v>
      </c>
    </row>
    <row r="133" spans="1:6" x14ac:dyDescent="0.3">
      <c r="A133" s="2" t="s">
        <v>1563</v>
      </c>
      <c r="B133" s="19" t="str">
        <f>_xlfn.XLOOKUP(A133,CATÁLOGO!$A$2:$A$846,CATÁLOGO!$B$2:$B$846,"FORA DO CATÁLOGO")</f>
        <v>CAL008B42</v>
      </c>
      <c r="C133" s="13">
        <v>2</v>
      </c>
      <c r="D133" s="13" t="str">
        <f>_xlfn.XLOOKUP(A133,CATÁLOGO!$A$2:$A$846,CATÁLOGO!$E$2:$E$846,"FORA DO CATÁLOGO")</f>
        <v>Ativo</v>
      </c>
      <c r="E133" s="2"/>
      <c r="F133" s="62">
        <f>SUMIFS('AVARIA ESTIMADA'!$J$18:$J$40,'AVARIA ESTIMADA'!$A$18:$A$40,A133)</f>
        <v>0</v>
      </c>
    </row>
    <row r="134" spans="1:6" x14ac:dyDescent="0.3">
      <c r="A134" s="2" t="s">
        <v>1564</v>
      </c>
      <c r="B134" s="19" t="str">
        <f>_xlfn.XLOOKUP(A134,CATÁLOGO!$A$2:$A$846,CATÁLOGO!$B$2:$B$846,"FORA DO CATÁLOGO")</f>
        <v>CAL008B44</v>
      </c>
      <c r="C134" s="13">
        <v>1</v>
      </c>
      <c r="D134" s="13" t="str">
        <f>_xlfn.XLOOKUP(A134,CATÁLOGO!$A$2:$A$846,CATÁLOGO!$E$2:$E$846,"FORA DO CATÁLOGO")</f>
        <v>Ativo</v>
      </c>
      <c r="E134" s="2"/>
      <c r="F134" s="62">
        <f>SUMIFS('AVARIA ESTIMADA'!$J$18:$J$40,'AVARIA ESTIMADA'!$A$18:$A$40,A134)</f>
        <v>0</v>
      </c>
    </row>
    <row r="135" spans="1:6" x14ac:dyDescent="0.3">
      <c r="A135" s="2" t="s">
        <v>1562</v>
      </c>
      <c r="B135" s="19" t="str">
        <f>_xlfn.XLOOKUP(A135,CATÁLOGO!$A$2:$A$846,CATÁLOGO!$B$2:$B$846,"FORA DO CATÁLOGO")</f>
        <v>CAL008A38</v>
      </c>
      <c r="C135" s="13">
        <v>2</v>
      </c>
      <c r="D135" s="13" t="str">
        <f>_xlfn.XLOOKUP(A135,CATÁLOGO!$A$2:$A$846,CATÁLOGO!$E$2:$E$846,"FORA DO CATÁLOGO")</f>
        <v>Ativo</v>
      </c>
      <c r="E135" s="2"/>
      <c r="F135" s="62">
        <f>SUMIFS('AVARIA ESTIMADA'!$J$18:$J$40,'AVARIA ESTIMADA'!$A$18:$A$40,A135)</f>
        <v>0</v>
      </c>
    </row>
    <row r="136" spans="1:6" x14ac:dyDescent="0.3">
      <c r="A136" s="2" t="s">
        <v>1561</v>
      </c>
      <c r="B136" s="19" t="str">
        <f>_xlfn.XLOOKUP(A136,CATÁLOGO!$A$2:$A$846,CATÁLOGO!$B$2:$B$846,"FORA DO CATÁLOGO")</f>
        <v>CAL008A40</v>
      </c>
      <c r="C136" s="13">
        <v>1</v>
      </c>
      <c r="D136" s="13" t="str">
        <f>_xlfn.XLOOKUP(A136,CATÁLOGO!$A$2:$A$846,CATÁLOGO!$E$2:$E$846,"FORA DO CATÁLOGO")</f>
        <v>Ativo</v>
      </c>
      <c r="E136" s="2"/>
      <c r="F136" s="62">
        <f>SUMIFS('AVARIA ESTIMADA'!$J$18:$J$40,'AVARIA ESTIMADA'!$A$18:$A$40,A136)</f>
        <v>0</v>
      </c>
    </row>
    <row r="137" spans="1:6" x14ac:dyDescent="0.3">
      <c r="A137" s="2" t="s">
        <v>1558</v>
      </c>
      <c r="B137" s="19" t="str">
        <f>_xlfn.XLOOKUP(A137,CATÁLOGO!$A$2:$A$846,CATÁLOGO!$B$2:$B$846,"FORA DO CATÁLOGO")</f>
        <v>CAL008A42</v>
      </c>
      <c r="C137" s="13">
        <v>1</v>
      </c>
      <c r="D137" s="13" t="str">
        <f>_xlfn.XLOOKUP(A137,CATÁLOGO!$A$2:$A$846,CATÁLOGO!$E$2:$E$846,"FORA DO CATÁLOGO")</f>
        <v>Ativo</v>
      </c>
      <c r="E137" s="2"/>
      <c r="F137" s="62">
        <f>SUMIFS('AVARIA ESTIMADA'!$J$18:$J$40,'AVARIA ESTIMADA'!$A$18:$A$40,A137)</f>
        <v>0</v>
      </c>
    </row>
    <row r="138" spans="1:6" x14ac:dyDescent="0.3">
      <c r="A138" s="2" t="s">
        <v>1560</v>
      </c>
      <c r="B138" s="19" t="str">
        <f>_xlfn.XLOOKUP(A138,CATÁLOGO!$A$2:$A$846,CATÁLOGO!$B$2:$B$846,"FORA DO CATÁLOGO")</f>
        <v>CAL008A44</v>
      </c>
      <c r="C138" s="13">
        <v>0</v>
      </c>
      <c r="D138" s="13" t="str">
        <f>_xlfn.XLOOKUP(A138,CATÁLOGO!$A$2:$A$846,CATÁLOGO!$E$2:$E$846,"FORA DO CATÁLOGO")</f>
        <v>Ativo</v>
      </c>
      <c r="E138" s="2"/>
      <c r="F138" s="62">
        <f>SUMIFS('AVARIA ESTIMADA'!$J$18:$J$40,'AVARIA ESTIMADA'!$A$18:$A$40,A138)</f>
        <v>0</v>
      </c>
    </row>
    <row r="139" spans="1:6" x14ac:dyDescent="0.3">
      <c r="A139" s="2" t="s">
        <v>1570</v>
      </c>
      <c r="B139" s="19" t="str">
        <f>_xlfn.XLOOKUP(A139,CATÁLOGO!$A$2:$A$846,CATÁLOGO!$B$2:$B$846,"FORA DO CATÁLOGO")</f>
        <v>CAL008O38</v>
      </c>
      <c r="C139" s="13">
        <v>2</v>
      </c>
      <c r="D139" s="13" t="str">
        <f>_xlfn.XLOOKUP(A139,CATÁLOGO!$A$2:$A$846,CATÁLOGO!$E$2:$E$846,"FORA DO CATÁLOGO")</f>
        <v>Ativo</v>
      </c>
      <c r="E139" s="2"/>
      <c r="F139" s="62">
        <f>SUMIFS('AVARIA ESTIMADA'!$J$18:$J$40,'AVARIA ESTIMADA'!$A$18:$A$40,A139)</f>
        <v>0</v>
      </c>
    </row>
    <row r="140" spans="1:6" x14ac:dyDescent="0.3">
      <c r="A140" s="2" t="s">
        <v>1569</v>
      </c>
      <c r="B140" s="19" t="str">
        <f>_xlfn.XLOOKUP(A140,CATÁLOGO!$A$2:$A$846,CATÁLOGO!$B$2:$B$846,"FORA DO CATÁLOGO")</f>
        <v>CAL008O40</v>
      </c>
      <c r="C140" s="13">
        <v>2</v>
      </c>
      <c r="D140" s="13" t="str">
        <f>_xlfn.XLOOKUP(A140,CATÁLOGO!$A$2:$A$846,CATÁLOGO!$E$2:$E$846,"FORA DO CATÁLOGO")</f>
        <v>Ativo</v>
      </c>
      <c r="E140" s="2"/>
      <c r="F140" s="62">
        <f>SUMIFS('AVARIA ESTIMADA'!$J$18:$J$40,'AVARIA ESTIMADA'!$A$18:$A$40,A140)</f>
        <v>0</v>
      </c>
    </row>
    <row r="141" spans="1:6" x14ac:dyDescent="0.3">
      <c r="A141" s="2" t="s">
        <v>1567</v>
      </c>
      <c r="B141" s="19" t="str">
        <f>_xlfn.XLOOKUP(A141,CATÁLOGO!$A$2:$A$846,CATÁLOGO!$B$2:$B$846,"FORA DO CATÁLOGO")</f>
        <v>CAL008O42</v>
      </c>
      <c r="C141" s="13">
        <v>1</v>
      </c>
      <c r="D141" s="13" t="str">
        <f>_xlfn.XLOOKUP(A141,CATÁLOGO!$A$2:$A$846,CATÁLOGO!$E$2:$E$846,"FORA DO CATÁLOGO")</f>
        <v>Ativo</v>
      </c>
      <c r="E141" s="2"/>
      <c r="F141" s="62">
        <f>SUMIFS('AVARIA ESTIMADA'!$J$18:$J$40,'AVARIA ESTIMADA'!$A$18:$A$40,A141)</f>
        <v>0</v>
      </c>
    </row>
    <row r="142" spans="1:6" x14ac:dyDescent="0.3">
      <c r="A142" s="2" t="s">
        <v>1568</v>
      </c>
      <c r="B142" s="19" t="str">
        <f>_xlfn.XLOOKUP(A142,CATÁLOGO!$A$2:$A$846,CATÁLOGO!$B$2:$B$846,"FORA DO CATÁLOGO")</f>
        <v>CAL008O44</v>
      </c>
      <c r="C142" s="13">
        <v>1</v>
      </c>
      <c r="D142" s="13" t="str">
        <f>_xlfn.XLOOKUP(A142,CATÁLOGO!$A$2:$A$846,CATÁLOGO!$E$2:$E$846,"FORA DO CATÁLOGO")</f>
        <v>Ativo</v>
      </c>
      <c r="E142" s="2"/>
      <c r="F142" s="62">
        <f>SUMIFS('AVARIA ESTIMADA'!$J$18:$J$40,'AVARIA ESTIMADA'!$A$18:$A$40,A142)</f>
        <v>0</v>
      </c>
    </row>
    <row r="143" spans="1:6" x14ac:dyDescent="0.3">
      <c r="A143" s="2" t="s">
        <v>1576</v>
      </c>
      <c r="B143" s="19" t="str">
        <f>_xlfn.XLOOKUP(A143,CATÁLOGO!$A$2:$A$846,CATÁLOGO!$B$2:$B$846,"FORA DO CATÁLOGO")</f>
        <v>CAL009O36</v>
      </c>
      <c r="C143" s="13">
        <v>2</v>
      </c>
      <c r="D143" s="13" t="str">
        <f>_xlfn.XLOOKUP(A143,CATÁLOGO!$A$2:$A$846,CATÁLOGO!$E$2:$E$846,"FORA DO CATÁLOGO")</f>
        <v>Ativo</v>
      </c>
      <c r="E143" s="2"/>
      <c r="F143" s="62">
        <f>SUMIFS('AVARIA ESTIMADA'!$J$18:$J$40,'AVARIA ESTIMADA'!$A$18:$A$40,A143)</f>
        <v>0</v>
      </c>
    </row>
    <row r="144" spans="1:6" x14ac:dyDescent="0.3">
      <c r="A144" s="2" t="s">
        <v>1575</v>
      </c>
      <c r="B144" s="19" t="str">
        <f>_xlfn.XLOOKUP(A144,CATÁLOGO!$A$2:$A$846,CATÁLOGO!$B$2:$B$846,"FORA DO CATÁLOGO")</f>
        <v>CAL009O38</v>
      </c>
      <c r="C144" s="13">
        <v>5</v>
      </c>
      <c r="D144" s="13" t="str">
        <f>_xlfn.XLOOKUP(A144,CATÁLOGO!$A$2:$A$846,CATÁLOGO!$E$2:$E$846,"FORA DO CATÁLOGO")</f>
        <v>Ativo</v>
      </c>
      <c r="E144" s="2"/>
      <c r="F144" s="62">
        <f>SUMIFS('AVARIA ESTIMADA'!$J$18:$J$40,'AVARIA ESTIMADA'!$A$18:$A$40,A144)</f>
        <v>0</v>
      </c>
    </row>
    <row r="145" spans="1:6" x14ac:dyDescent="0.3">
      <c r="A145" s="2" t="s">
        <v>1574</v>
      </c>
      <c r="B145" s="19" t="str">
        <f>_xlfn.XLOOKUP(A145,CATÁLOGO!$A$2:$A$846,CATÁLOGO!$B$2:$B$846,"FORA DO CATÁLOGO")</f>
        <v>CAL009O40</v>
      </c>
      <c r="C145" s="13">
        <v>5</v>
      </c>
      <c r="D145" s="13" t="str">
        <f>_xlfn.XLOOKUP(A145,CATÁLOGO!$A$2:$A$846,CATÁLOGO!$E$2:$E$846,"FORA DO CATÁLOGO")</f>
        <v>Ativo</v>
      </c>
      <c r="E145" s="2"/>
      <c r="F145" s="62">
        <f>SUMIFS('AVARIA ESTIMADA'!$J$18:$J$40,'AVARIA ESTIMADA'!$A$18:$A$40,A145)</f>
        <v>0</v>
      </c>
    </row>
    <row r="146" spans="1:6" x14ac:dyDescent="0.3">
      <c r="A146" s="2" t="s">
        <v>1571</v>
      </c>
      <c r="B146" s="19" t="str">
        <f>_xlfn.XLOOKUP(A146,CATÁLOGO!$A$2:$A$846,CATÁLOGO!$B$2:$B$846,"FORA DO CATÁLOGO")</f>
        <v>CAL009O42</v>
      </c>
      <c r="C146" s="13">
        <v>4</v>
      </c>
      <c r="D146" s="13" t="str">
        <f>_xlfn.XLOOKUP(A146,CATÁLOGO!$A$2:$A$846,CATÁLOGO!$E$2:$E$846,"FORA DO CATÁLOGO")</f>
        <v>Ativo</v>
      </c>
      <c r="E146" s="2" t="s">
        <v>1291</v>
      </c>
      <c r="F146" s="62">
        <f>SUMIFS('AVARIA ESTIMADA'!$J$18:$J$40,'AVARIA ESTIMADA'!$A$18:$A$40,A146)</f>
        <v>0</v>
      </c>
    </row>
    <row r="147" spans="1:6" x14ac:dyDescent="0.3">
      <c r="A147" s="2" t="s">
        <v>1573</v>
      </c>
      <c r="B147" s="19" t="str">
        <f>_xlfn.XLOOKUP(A147,CATÁLOGO!$A$2:$A$846,CATÁLOGO!$B$2:$B$846,"FORA DO CATÁLOGO")</f>
        <v>CAL009O44</v>
      </c>
      <c r="C147" s="13">
        <v>2</v>
      </c>
      <c r="D147" s="13" t="str">
        <f>_xlfn.XLOOKUP(A147,CATÁLOGO!$A$2:$A$846,CATÁLOGO!$E$2:$E$846,"FORA DO CATÁLOGO")</f>
        <v>Ativo</v>
      </c>
      <c r="E147" s="2"/>
      <c r="F147" s="62">
        <f>SUMIFS('AVARIA ESTIMADA'!$J$18:$J$40,'AVARIA ESTIMADA'!$A$18:$A$40,A147)</f>
        <v>0</v>
      </c>
    </row>
    <row r="148" spans="1:6" x14ac:dyDescent="0.3">
      <c r="A148" s="2" t="s">
        <v>1468</v>
      </c>
      <c r="B148" s="19" t="str">
        <f>_xlfn.XLOOKUP(A148,CATÁLOGO!$A$2:$A$846,CATÁLOGO!$B$2:$B$846,"FORA DO CATÁLOGO")</f>
        <v>BER004E36</v>
      </c>
      <c r="C148" s="13">
        <v>2</v>
      </c>
      <c r="D148" s="13" t="str">
        <f>_xlfn.XLOOKUP(A148,CATÁLOGO!$A$2:$A$846,CATÁLOGO!$E$2:$E$846,"FORA DO CATÁLOGO")</f>
        <v>Ativo</v>
      </c>
      <c r="E148" s="2"/>
      <c r="F148" s="62">
        <f>SUMIFS('AVARIA ESTIMADA'!$J$18:$J$40,'AVARIA ESTIMADA'!$A$18:$A$40,A148)</f>
        <v>0</v>
      </c>
    </row>
    <row r="149" spans="1:6" x14ac:dyDescent="0.3">
      <c r="A149" s="2" t="s">
        <v>1467</v>
      </c>
      <c r="B149" s="19" t="str">
        <f>_xlfn.XLOOKUP(A149,CATÁLOGO!$A$2:$A$846,CATÁLOGO!$B$2:$B$846,"FORA DO CATÁLOGO")</f>
        <v>BER004E38</v>
      </c>
      <c r="C149" s="13">
        <v>4</v>
      </c>
      <c r="D149" s="13" t="str">
        <f>_xlfn.XLOOKUP(A149,CATÁLOGO!$A$2:$A$846,CATÁLOGO!$E$2:$E$846,"FORA DO CATÁLOGO")</f>
        <v>Ativo</v>
      </c>
      <c r="E149" s="2"/>
      <c r="F149" s="62">
        <f>SUMIFS('AVARIA ESTIMADA'!$J$18:$J$40,'AVARIA ESTIMADA'!$A$18:$A$40,A149)</f>
        <v>0</v>
      </c>
    </row>
    <row r="150" spans="1:6" x14ac:dyDescent="0.3">
      <c r="A150" s="2" t="s">
        <v>1466</v>
      </c>
      <c r="B150" s="19" t="str">
        <f>_xlfn.XLOOKUP(A150,CATÁLOGO!$A$2:$A$846,CATÁLOGO!$B$2:$B$846,"FORA DO CATÁLOGO")</f>
        <v>BER004E40</v>
      </c>
      <c r="C150" s="13">
        <v>2</v>
      </c>
      <c r="D150" s="13" t="str">
        <f>_xlfn.XLOOKUP(A150,CATÁLOGO!$A$2:$A$846,CATÁLOGO!$E$2:$E$846,"FORA DO CATÁLOGO")</f>
        <v>Ativo</v>
      </c>
      <c r="E150" s="2"/>
      <c r="F150" s="62">
        <f>SUMIFS('AVARIA ESTIMADA'!$J$18:$J$40,'AVARIA ESTIMADA'!$A$18:$A$40,A150)</f>
        <v>0</v>
      </c>
    </row>
    <row r="151" spans="1:6" x14ac:dyDescent="0.3">
      <c r="A151" s="2" t="s">
        <v>1465</v>
      </c>
      <c r="B151" s="19" t="str">
        <f>_xlfn.XLOOKUP(A151,CATÁLOGO!$A$2:$A$846,CATÁLOGO!$B$2:$B$846,"FORA DO CATÁLOGO")</f>
        <v>BER004E44</v>
      </c>
      <c r="C151" s="13">
        <v>2</v>
      </c>
      <c r="D151" s="13" t="str">
        <f>_xlfn.XLOOKUP(A151,CATÁLOGO!$A$2:$A$846,CATÁLOGO!$E$2:$E$846,"FORA DO CATÁLOGO")</f>
        <v>Ativo</v>
      </c>
      <c r="E151" s="2"/>
      <c r="F151" s="62">
        <f>SUMIFS('AVARIA ESTIMADA'!$J$18:$J$40,'AVARIA ESTIMADA'!$A$18:$A$40,A151)</f>
        <v>0</v>
      </c>
    </row>
    <row r="152" spans="1:6" x14ac:dyDescent="0.3">
      <c r="A152" s="2" t="s">
        <v>97</v>
      </c>
      <c r="B152" s="19" t="str">
        <f>_xlfn.XLOOKUP(A152,CATÁLOGO!$A$2:$A$846,CATÁLOGO!$B$2:$B$846,"FORA DO CATÁLOGO")</f>
        <v>CMS004AP</v>
      </c>
      <c r="C152" s="13">
        <v>1</v>
      </c>
      <c r="D152" s="13" t="str">
        <f>_xlfn.XLOOKUP(A152,CATÁLOGO!$A$2:$A$846,CATÁLOGO!$E$2:$E$846,"FORA DO CATÁLOGO")</f>
        <v>Descontinuado</v>
      </c>
      <c r="E152" s="2"/>
      <c r="F152" s="62">
        <f>SUMIFS('AVARIA ESTIMADA'!$J$18:$J$40,'AVARIA ESTIMADA'!$A$18:$A$40,A152)</f>
        <v>0</v>
      </c>
    </row>
    <row r="153" spans="1:6" x14ac:dyDescent="0.3">
      <c r="A153" s="2" t="s">
        <v>98</v>
      </c>
      <c r="B153" s="19" t="str">
        <f>_xlfn.XLOOKUP(A153,CATÁLOGO!$A$2:$A$846,CATÁLOGO!$B$2:$B$846,"FORA DO CATÁLOGO")</f>
        <v>CMS004AM</v>
      </c>
      <c r="C153" s="13">
        <v>1</v>
      </c>
      <c r="D153" s="13" t="str">
        <f>_xlfn.XLOOKUP(A153,CATÁLOGO!$A$2:$A$846,CATÁLOGO!$E$2:$E$846,"FORA DO CATÁLOGO")</f>
        <v>Descontinuado</v>
      </c>
      <c r="E153" s="2"/>
      <c r="F153" s="62">
        <f>SUMIFS('AVARIA ESTIMADA'!$J$18:$J$40,'AVARIA ESTIMADA'!$A$18:$A$40,A153)</f>
        <v>0</v>
      </c>
    </row>
    <row r="154" spans="1:6" x14ac:dyDescent="0.3">
      <c r="A154" s="2" t="s">
        <v>99</v>
      </c>
      <c r="B154" s="19" t="str">
        <f>_xlfn.XLOOKUP(A154,CATÁLOGO!$A$2:$A$846,CATÁLOGO!$B$2:$B$846,"FORA DO CATÁLOGO")</f>
        <v>CMS004AG</v>
      </c>
      <c r="C154" s="13">
        <v>2</v>
      </c>
      <c r="D154" s="13" t="str">
        <f>_xlfn.XLOOKUP(A154,CATÁLOGO!$A$2:$A$846,CATÁLOGO!$E$2:$E$846,"FORA DO CATÁLOGO")</f>
        <v>Descontinuado</v>
      </c>
      <c r="E154" s="2"/>
      <c r="F154" s="62">
        <f>SUMIFS('AVARIA ESTIMADA'!$J$18:$J$40,'AVARIA ESTIMADA'!$A$18:$A$40,A154)</f>
        <v>0</v>
      </c>
    </row>
    <row r="155" spans="1:6" x14ac:dyDescent="0.3">
      <c r="A155" s="2" t="s">
        <v>100</v>
      </c>
      <c r="B155" s="19" t="str">
        <f>_xlfn.XLOOKUP(A155,CATÁLOGO!$A$2:$A$846,CATÁLOGO!$B$2:$B$846,"FORA DO CATÁLOGO")</f>
        <v>CMS004AGG</v>
      </c>
      <c r="C155" s="13">
        <v>1</v>
      </c>
      <c r="D155" s="13" t="str">
        <f>_xlfn.XLOOKUP(A155,CATÁLOGO!$A$2:$A$846,CATÁLOGO!$E$2:$E$846,"FORA DO CATÁLOGO")</f>
        <v>Descontinuado</v>
      </c>
      <c r="E155" s="2"/>
      <c r="F155" s="62">
        <f>SUMIFS('AVARIA ESTIMADA'!$J$18:$J$40,'AVARIA ESTIMADA'!$A$18:$A$40,A155)</f>
        <v>0</v>
      </c>
    </row>
    <row r="156" spans="1:6" x14ac:dyDescent="0.3">
      <c r="A156" s="2" t="s">
        <v>101</v>
      </c>
      <c r="B156" s="19" t="str">
        <f>_xlfn.XLOOKUP(A156,CATÁLOGO!$A$2:$A$846,CATÁLOGO!$B$2:$B$846,"FORA DO CATÁLOGO")</f>
        <v>CMS005BP</v>
      </c>
      <c r="C156" s="13">
        <v>2</v>
      </c>
      <c r="D156" s="13" t="str">
        <f>_xlfn.XLOOKUP(A156,CATÁLOGO!$A$2:$A$846,CATÁLOGO!$E$2:$E$846,"FORA DO CATÁLOGO")</f>
        <v>Descontinuado</v>
      </c>
      <c r="E156" s="2"/>
      <c r="F156" s="62">
        <f>SUMIFS('AVARIA ESTIMADA'!$J$18:$J$40,'AVARIA ESTIMADA'!$A$18:$A$40,A156)</f>
        <v>0</v>
      </c>
    </row>
    <row r="157" spans="1:6" x14ac:dyDescent="0.3">
      <c r="A157" s="2" t="s">
        <v>1252</v>
      </c>
      <c r="B157" s="19" t="str">
        <f>_xlfn.XLOOKUP(A157,CATÁLOGO!$A$2:$A$846,CATÁLOGO!$B$2:$B$846,"FORA DO CATÁLOGO")</f>
        <v>CMS005BM</v>
      </c>
      <c r="C157" s="13">
        <v>4</v>
      </c>
      <c r="D157" s="13" t="str">
        <f>_xlfn.XLOOKUP(A157,CATÁLOGO!$A$2:$A$846,CATÁLOGO!$E$2:$E$846,"FORA DO CATÁLOGO")</f>
        <v>Descontinuado</v>
      </c>
      <c r="E157" s="2"/>
      <c r="F157" s="62">
        <f>SUMIFS('AVARIA ESTIMADA'!$J$18:$J$40,'AVARIA ESTIMADA'!$A$18:$A$40,A157)</f>
        <v>0</v>
      </c>
    </row>
    <row r="158" spans="1:6" x14ac:dyDescent="0.3">
      <c r="A158" s="2" t="s">
        <v>1253</v>
      </c>
      <c r="B158" s="19" t="str">
        <f>_xlfn.XLOOKUP(A158,CATÁLOGO!$A$2:$A$846,CATÁLOGO!$B$2:$B$846,"FORA DO CATÁLOGO")</f>
        <v>CMS005BG</v>
      </c>
      <c r="C158" s="13">
        <v>3</v>
      </c>
      <c r="D158" s="13" t="str">
        <f>_xlfn.XLOOKUP(A158,CATÁLOGO!$A$2:$A$846,CATÁLOGO!$E$2:$E$846,"FORA DO CATÁLOGO")</f>
        <v>Descontinuado</v>
      </c>
      <c r="E158" s="2"/>
      <c r="F158" s="62">
        <f>SUMIFS('AVARIA ESTIMADA'!$J$18:$J$40,'AVARIA ESTIMADA'!$A$18:$A$40,A158)</f>
        <v>0</v>
      </c>
    </row>
    <row r="159" spans="1:6" x14ac:dyDescent="0.3">
      <c r="A159" s="2" t="s">
        <v>102</v>
      </c>
      <c r="B159" s="19" t="str">
        <f>_xlfn.XLOOKUP(A159,CATÁLOGO!$A$2:$A$846,CATÁLOGO!$B$2:$B$846,"FORA DO CATÁLOGO")</f>
        <v>CMS005BGG</v>
      </c>
      <c r="C159" s="13">
        <v>2</v>
      </c>
      <c r="D159" s="13" t="str">
        <f>_xlfn.XLOOKUP(A159,CATÁLOGO!$A$2:$A$846,CATÁLOGO!$E$2:$E$846,"FORA DO CATÁLOGO")</f>
        <v>Descontinuado</v>
      </c>
      <c r="E159" s="2"/>
      <c r="F159" s="62">
        <f>SUMIFS('AVARIA ESTIMADA'!$J$18:$J$40,'AVARIA ESTIMADA'!$A$18:$A$40,A159)</f>
        <v>0</v>
      </c>
    </row>
    <row r="160" spans="1:6" x14ac:dyDescent="0.3">
      <c r="A160" s="2" t="s">
        <v>1582</v>
      </c>
      <c r="B160" s="19" t="str">
        <f>_xlfn.XLOOKUP(A160,CATÁLOGO!$A$2:$A$846,CATÁLOGO!$B$2:$B$846,"FORA DO CATÁLOGO")</f>
        <v>CAL010M38</v>
      </c>
      <c r="C160" s="13">
        <v>5</v>
      </c>
      <c r="D160" s="13" t="str">
        <f>_xlfn.XLOOKUP(A160,CATÁLOGO!$A$2:$A$846,CATÁLOGO!$E$2:$E$846,"FORA DO CATÁLOGO")</f>
        <v>Ativo</v>
      </c>
      <c r="E160" s="2"/>
      <c r="F160" s="62">
        <f>SUMIFS('AVARIA ESTIMADA'!$J$18:$J$40,'AVARIA ESTIMADA'!$A$18:$A$40,A160)</f>
        <v>0</v>
      </c>
    </row>
    <row r="161" spans="1:6" x14ac:dyDescent="0.3">
      <c r="A161" s="2" t="s">
        <v>1580</v>
      </c>
      <c r="B161" s="19" t="str">
        <f>_xlfn.XLOOKUP(A161,CATÁLOGO!$A$2:$A$846,CATÁLOGO!$B$2:$B$846,"FORA DO CATÁLOGO")</f>
        <v>CAL010M40</v>
      </c>
      <c r="C161" s="13">
        <v>6</v>
      </c>
      <c r="D161" s="13" t="str">
        <f>_xlfn.XLOOKUP(A161,CATÁLOGO!$A$2:$A$846,CATÁLOGO!$E$2:$E$846,"FORA DO CATÁLOGO")</f>
        <v>Ativo</v>
      </c>
      <c r="E161" s="2"/>
      <c r="F161" s="62">
        <f>SUMIFS('AVARIA ESTIMADA'!$J$18:$J$40,'AVARIA ESTIMADA'!$A$18:$A$40,A161)</f>
        <v>0</v>
      </c>
    </row>
    <row r="162" spans="1:6" x14ac:dyDescent="0.3">
      <c r="A162" s="2" t="s">
        <v>1577</v>
      </c>
      <c r="B162" s="19" t="str">
        <f>_xlfn.XLOOKUP(A162,CATÁLOGO!$A$2:$A$846,CATÁLOGO!$B$2:$B$846,"FORA DO CATÁLOGO")</f>
        <v>CAL010M42</v>
      </c>
      <c r="C162" s="13">
        <v>4</v>
      </c>
      <c r="D162" s="13" t="str">
        <f>_xlfn.XLOOKUP(A162,CATÁLOGO!$A$2:$A$846,CATÁLOGO!$E$2:$E$846,"FORA DO CATÁLOGO")</f>
        <v>Ativo</v>
      </c>
      <c r="E162" s="2"/>
      <c r="F162" s="62">
        <f>SUMIFS('AVARIA ESTIMADA'!$J$18:$J$40,'AVARIA ESTIMADA'!$A$18:$A$40,A162)</f>
        <v>0</v>
      </c>
    </row>
    <row r="163" spans="1:6" x14ac:dyDescent="0.3">
      <c r="A163" s="2" t="s">
        <v>1579</v>
      </c>
      <c r="B163" s="19" t="str">
        <f>_xlfn.XLOOKUP(A163,CATÁLOGO!$A$2:$A$846,CATÁLOGO!$B$2:$B$846,"FORA DO CATÁLOGO")</f>
        <v>CAL010M44</v>
      </c>
      <c r="C163" s="13">
        <v>3</v>
      </c>
      <c r="D163" s="13" t="str">
        <f>_xlfn.XLOOKUP(A163,CATÁLOGO!$A$2:$A$846,CATÁLOGO!$E$2:$E$846,"FORA DO CATÁLOGO")</f>
        <v>Ativo</v>
      </c>
      <c r="E163" s="2"/>
      <c r="F163" s="62">
        <f>SUMIFS('AVARIA ESTIMADA'!$J$18:$J$40,'AVARIA ESTIMADA'!$A$18:$A$40,A163)</f>
        <v>0</v>
      </c>
    </row>
    <row r="164" spans="1:6" x14ac:dyDescent="0.3">
      <c r="A164" s="2" t="s">
        <v>103</v>
      </c>
      <c r="B164" s="19" t="str">
        <f>_xlfn.XLOOKUP(A164,CATÁLOGO!$A$2:$A$846,CATÁLOGO!$B$2:$B$846,"FORA DO CATÁLOGO")</f>
        <v>MOL006YP</v>
      </c>
      <c r="C164" s="13">
        <v>1</v>
      </c>
      <c r="D164" s="13" t="str">
        <f>_xlfn.XLOOKUP(A164,CATÁLOGO!$A$2:$A$846,CATÁLOGO!$E$2:$E$846,"FORA DO CATÁLOGO")</f>
        <v>Descontinuado</v>
      </c>
      <c r="E164" s="2"/>
      <c r="F164" s="62">
        <f>SUMIFS('AVARIA ESTIMADA'!$J$18:$J$40,'AVARIA ESTIMADA'!$A$18:$A$40,A164)</f>
        <v>0</v>
      </c>
    </row>
    <row r="165" spans="1:6" x14ac:dyDescent="0.3">
      <c r="A165" s="2" t="s">
        <v>104</v>
      </c>
      <c r="B165" s="19" t="str">
        <f>_xlfn.XLOOKUP(A165,CATÁLOGO!$A$2:$A$846,CATÁLOGO!$B$2:$B$846,"FORA DO CATÁLOGO")</f>
        <v>MOL006YM</v>
      </c>
      <c r="C165" s="13">
        <v>2</v>
      </c>
      <c r="D165" s="13" t="str">
        <f>_xlfn.XLOOKUP(A165,CATÁLOGO!$A$2:$A$846,CATÁLOGO!$E$2:$E$846,"FORA DO CATÁLOGO")</f>
        <v>Descontinuado</v>
      </c>
      <c r="E165" s="2"/>
      <c r="F165" s="62">
        <f>SUMIFS('AVARIA ESTIMADA'!$J$18:$J$40,'AVARIA ESTIMADA'!$A$18:$A$40,A165)</f>
        <v>0</v>
      </c>
    </row>
    <row r="166" spans="1:6" x14ac:dyDescent="0.3">
      <c r="A166" s="2" t="s">
        <v>105</v>
      </c>
      <c r="B166" s="19" t="str">
        <f>_xlfn.XLOOKUP(A166,CATÁLOGO!$A$2:$A$846,CATÁLOGO!$B$2:$B$846,"FORA DO CATÁLOGO")</f>
        <v>MOL006YG</v>
      </c>
      <c r="C166" s="13">
        <v>1</v>
      </c>
      <c r="D166" s="13" t="str">
        <f>_xlfn.XLOOKUP(A166,CATÁLOGO!$A$2:$A$846,CATÁLOGO!$E$2:$E$846,"FORA DO CATÁLOGO")</f>
        <v>Descontinuado</v>
      </c>
      <c r="E166" s="2"/>
      <c r="F166" s="62">
        <f>SUMIFS('AVARIA ESTIMADA'!$J$18:$J$40,'AVARIA ESTIMADA'!$A$18:$A$40,A166)</f>
        <v>0</v>
      </c>
    </row>
    <row r="167" spans="1:6" x14ac:dyDescent="0.3">
      <c r="A167" s="2" t="s">
        <v>106</v>
      </c>
      <c r="B167" s="19" t="str">
        <f>_xlfn.XLOOKUP(A167,CATÁLOGO!$A$2:$A$846,CATÁLOGO!$B$2:$B$846,"FORA DO CATÁLOGO")</f>
        <v>MOL006YGG</v>
      </c>
      <c r="C167" s="13">
        <v>1</v>
      </c>
      <c r="D167" s="13" t="str">
        <f>_xlfn.XLOOKUP(A167,CATÁLOGO!$A$2:$A$846,CATÁLOGO!$E$2:$E$846,"FORA DO CATÁLOGO")</f>
        <v>Descontinuado</v>
      </c>
      <c r="E167" s="2" t="s">
        <v>1333</v>
      </c>
      <c r="F167" s="62">
        <f>SUMIFS('AVARIA ESTIMADA'!$J$18:$J$40,'AVARIA ESTIMADA'!$A$18:$A$40,A167)</f>
        <v>0</v>
      </c>
    </row>
    <row r="168" spans="1:6" x14ac:dyDescent="0.3">
      <c r="A168" s="2" t="s">
        <v>107</v>
      </c>
      <c r="B168" s="19" t="str">
        <f>_xlfn.XLOOKUP(A168,CATÁLOGO!$A$2:$A$846,CATÁLOGO!$B$2:$B$846,"FORA DO CATÁLOGO")</f>
        <v>VES001AP</v>
      </c>
      <c r="C168" s="13">
        <v>2</v>
      </c>
      <c r="D168" s="13" t="str">
        <f>_xlfn.XLOOKUP(A168,CATÁLOGO!$A$2:$A$846,CATÁLOGO!$E$2:$E$846,"FORA DO CATÁLOGO")</f>
        <v>Descontinuado</v>
      </c>
      <c r="E168" s="2"/>
      <c r="F168" s="62">
        <f>SUMIFS('AVARIA ESTIMADA'!$J$18:$J$40,'AVARIA ESTIMADA'!$A$18:$A$40,A168)</f>
        <v>0</v>
      </c>
    </row>
    <row r="169" spans="1:6" x14ac:dyDescent="0.3">
      <c r="A169" s="2" t="s">
        <v>109</v>
      </c>
      <c r="B169" s="19" t="str">
        <f>_xlfn.XLOOKUP(A169,CATÁLOGO!$A$2:$A$846,CATÁLOGO!$B$2:$B$846,"FORA DO CATÁLOGO")</f>
        <v>VES001AG</v>
      </c>
      <c r="C169" s="13">
        <v>2</v>
      </c>
      <c r="D169" s="13" t="str">
        <f>_xlfn.XLOOKUP(A169,CATÁLOGO!$A$2:$A$846,CATÁLOGO!$E$2:$E$846,"FORA DO CATÁLOGO")</f>
        <v>Descontinuado</v>
      </c>
      <c r="E169" s="2"/>
      <c r="F169" s="62">
        <f>SUMIFS('AVARIA ESTIMADA'!$J$18:$J$40,'AVARIA ESTIMADA'!$A$18:$A$40,A169)</f>
        <v>0</v>
      </c>
    </row>
    <row r="170" spans="1:6" x14ac:dyDescent="0.3">
      <c r="A170" s="2" t="s">
        <v>111</v>
      </c>
      <c r="B170" s="19" t="str">
        <f>_xlfn.XLOOKUP(A170,CATÁLOGO!$A$2:$A$846,CATÁLOGO!$B$2:$B$846,"FORA DO CATÁLOGO")</f>
        <v>SAI003OP</v>
      </c>
      <c r="C170" s="13">
        <v>2</v>
      </c>
      <c r="D170" s="13" t="str">
        <f>_xlfn.XLOOKUP(A170,CATÁLOGO!$A$2:$A$846,CATÁLOGO!$E$2:$E$846,"FORA DO CATÁLOGO")</f>
        <v>Ativo</v>
      </c>
      <c r="E170" s="2"/>
      <c r="F170" s="62">
        <f>SUMIFS('AVARIA ESTIMADA'!$J$18:$J$40,'AVARIA ESTIMADA'!$A$18:$A$40,A170)</f>
        <v>0</v>
      </c>
    </row>
    <row r="171" spans="1:6" x14ac:dyDescent="0.3">
      <c r="A171" s="2" t="s">
        <v>112</v>
      </c>
      <c r="B171" s="19" t="str">
        <f>_xlfn.XLOOKUP(A171,CATÁLOGO!$A$2:$A$846,CATÁLOGO!$B$2:$B$846,"FORA DO CATÁLOGO")</f>
        <v>SAI003OM</v>
      </c>
      <c r="C171" s="13">
        <v>4</v>
      </c>
      <c r="D171" s="13" t="str">
        <f>_xlfn.XLOOKUP(A171,CATÁLOGO!$A$2:$A$846,CATÁLOGO!$E$2:$E$846,"FORA DO CATÁLOGO")</f>
        <v>Ativo</v>
      </c>
      <c r="E171" s="2"/>
      <c r="F171" s="62">
        <f>SUMIFS('AVARIA ESTIMADA'!$J$18:$J$40,'AVARIA ESTIMADA'!$A$18:$A$40,A171)</f>
        <v>0</v>
      </c>
    </row>
    <row r="172" spans="1:6" x14ac:dyDescent="0.3">
      <c r="A172" s="2" t="s">
        <v>113</v>
      </c>
      <c r="B172" s="19" t="str">
        <f>_xlfn.XLOOKUP(A172,CATÁLOGO!$A$2:$A$846,CATÁLOGO!$B$2:$B$846,"FORA DO CATÁLOGO")</f>
        <v>SAI003OG</v>
      </c>
      <c r="C172" s="13">
        <v>3</v>
      </c>
      <c r="D172" s="13" t="str">
        <f>_xlfn.XLOOKUP(A172,CATÁLOGO!$A$2:$A$846,CATÁLOGO!$E$2:$E$846,"FORA DO CATÁLOGO")</f>
        <v>Ativo</v>
      </c>
      <c r="E172" s="2"/>
      <c r="F172" s="62">
        <f>SUMIFS('AVARIA ESTIMADA'!$J$18:$J$40,'AVARIA ESTIMADA'!$A$18:$A$40,A172)</f>
        <v>0</v>
      </c>
    </row>
    <row r="173" spans="1:6" x14ac:dyDescent="0.3">
      <c r="A173" s="2" t="s">
        <v>114</v>
      </c>
      <c r="B173" s="19" t="str">
        <f>_xlfn.XLOOKUP(A173,CATÁLOGO!$A$2:$A$846,CATÁLOGO!$B$2:$B$846,"FORA DO CATÁLOGO")</f>
        <v>SAI003OGG</v>
      </c>
      <c r="C173" s="13">
        <v>1</v>
      </c>
      <c r="D173" s="13" t="str">
        <f>_xlfn.XLOOKUP(A173,CATÁLOGO!$A$2:$A$846,CATÁLOGO!$E$2:$E$846,"FORA DO CATÁLOGO")</f>
        <v>Ativo</v>
      </c>
      <c r="E173" s="2"/>
      <c r="F173" s="62">
        <f>SUMIFS('AVARIA ESTIMADA'!$J$18:$J$40,'AVARIA ESTIMADA'!$A$18:$A$40,A173)</f>
        <v>0</v>
      </c>
    </row>
    <row r="174" spans="1:6" x14ac:dyDescent="0.3">
      <c r="A174" s="2" t="s">
        <v>115</v>
      </c>
      <c r="B174" s="19" t="str">
        <f>_xlfn.XLOOKUP(A174,CATÁLOGO!$A$2:$A$846,CATÁLOGO!$B$2:$B$846,"FORA DO CATÁLOGO")</f>
        <v>SAI004MP</v>
      </c>
      <c r="C174" s="13">
        <v>6</v>
      </c>
      <c r="D174" s="13" t="str">
        <f>_xlfn.XLOOKUP(A174,CATÁLOGO!$A$2:$A$846,CATÁLOGO!$E$2:$E$846,"FORA DO CATÁLOGO")</f>
        <v>Ativo</v>
      </c>
      <c r="E174" s="2"/>
      <c r="F174" s="62">
        <f>SUMIFS('AVARIA ESTIMADA'!$J$18:$J$40,'AVARIA ESTIMADA'!$A$18:$A$40,A174)</f>
        <v>0</v>
      </c>
    </row>
    <row r="175" spans="1:6" x14ac:dyDescent="0.3">
      <c r="A175" s="2" t="s">
        <v>116</v>
      </c>
      <c r="B175" s="19" t="str">
        <f>_xlfn.XLOOKUP(A175,CATÁLOGO!$A$2:$A$846,CATÁLOGO!$B$2:$B$846,"FORA DO CATÁLOGO")</f>
        <v>SAI004MM</v>
      </c>
      <c r="C175" s="13">
        <v>6</v>
      </c>
      <c r="D175" s="13" t="str">
        <f>_xlfn.XLOOKUP(A175,CATÁLOGO!$A$2:$A$846,CATÁLOGO!$E$2:$E$846,"FORA DO CATÁLOGO")</f>
        <v>Ativo</v>
      </c>
      <c r="E175" s="2" t="s">
        <v>1338</v>
      </c>
      <c r="F175" s="62">
        <f>SUMIFS('AVARIA ESTIMADA'!$J$18:$J$40,'AVARIA ESTIMADA'!$A$18:$A$40,A175)</f>
        <v>0</v>
      </c>
    </row>
    <row r="176" spans="1:6" x14ac:dyDescent="0.3">
      <c r="A176" s="2" t="s">
        <v>117</v>
      </c>
      <c r="B176" s="19" t="str">
        <f>_xlfn.XLOOKUP(A176,CATÁLOGO!$A$2:$A$846,CATÁLOGO!$B$2:$B$846,"FORA DO CATÁLOGO")</f>
        <v>SAI004MG</v>
      </c>
      <c r="C176" s="13">
        <v>5</v>
      </c>
      <c r="D176" s="13" t="str">
        <f>_xlfn.XLOOKUP(A176,CATÁLOGO!$A$2:$A$846,CATÁLOGO!$E$2:$E$846,"FORA DO CATÁLOGO")</f>
        <v>Ativo</v>
      </c>
      <c r="E176" s="2" t="s">
        <v>1324</v>
      </c>
      <c r="F176" s="62">
        <f>SUMIFS('AVARIA ESTIMADA'!$J$18:$J$40,'AVARIA ESTIMADA'!$A$18:$A$40,A176)</f>
        <v>0</v>
      </c>
    </row>
    <row r="177" spans="1:6" x14ac:dyDescent="0.3">
      <c r="A177" s="2" t="s">
        <v>118</v>
      </c>
      <c r="B177" s="19" t="str">
        <f>_xlfn.XLOOKUP(A177,CATÁLOGO!$A$2:$A$846,CATÁLOGO!$B$2:$B$846,"FORA DO CATÁLOGO")</f>
        <v>SAI004MGG</v>
      </c>
      <c r="C177" s="13">
        <v>3</v>
      </c>
      <c r="D177" s="13" t="str">
        <f>_xlfn.XLOOKUP(A177,CATÁLOGO!$A$2:$A$846,CATÁLOGO!$E$2:$E$846,"FORA DO CATÁLOGO")</f>
        <v>Ativo</v>
      </c>
      <c r="E177" s="2" t="s">
        <v>1333</v>
      </c>
      <c r="F177" s="62">
        <f>SUMIFS('AVARIA ESTIMADA'!$J$18:$J$40,'AVARIA ESTIMADA'!$A$18:$A$40,A177)</f>
        <v>0</v>
      </c>
    </row>
    <row r="178" spans="1:6" x14ac:dyDescent="0.3">
      <c r="A178" s="2" t="s">
        <v>119</v>
      </c>
      <c r="B178" s="19" t="str">
        <f>_xlfn.XLOOKUP(A178,CATÁLOGO!$A$2:$A$846,CATÁLOGO!$B$2:$B$846,"FORA DO CATÁLOGO")</f>
        <v>SAI005OP</v>
      </c>
      <c r="C178" s="13">
        <v>3</v>
      </c>
      <c r="D178" s="13" t="str">
        <f>_xlfn.XLOOKUP(A178,CATÁLOGO!$A$2:$A$846,CATÁLOGO!$E$2:$E$846,"FORA DO CATÁLOGO")</f>
        <v>Ativo</v>
      </c>
      <c r="E178" s="2"/>
      <c r="F178" s="62">
        <f>SUMIFS('AVARIA ESTIMADA'!$J$18:$J$40,'AVARIA ESTIMADA'!$A$18:$A$40,A178)</f>
        <v>0</v>
      </c>
    </row>
    <row r="179" spans="1:6" x14ac:dyDescent="0.3">
      <c r="A179" s="2" t="s">
        <v>120</v>
      </c>
      <c r="B179" s="19" t="str">
        <f>_xlfn.XLOOKUP(A179,CATÁLOGO!$A$2:$A$846,CATÁLOGO!$B$2:$B$846,"FORA DO CATÁLOGO")</f>
        <v>SAI005OM</v>
      </c>
      <c r="C179" s="13">
        <v>5</v>
      </c>
      <c r="D179" s="13" t="str">
        <f>_xlfn.XLOOKUP(A179,CATÁLOGO!$A$2:$A$846,CATÁLOGO!$E$2:$E$846,"FORA DO CATÁLOGO")</f>
        <v>Ativo</v>
      </c>
      <c r="E179" s="2"/>
      <c r="F179" s="62">
        <f>SUMIFS('AVARIA ESTIMADA'!$J$18:$J$40,'AVARIA ESTIMADA'!$A$18:$A$40,A179)</f>
        <v>0</v>
      </c>
    </row>
    <row r="180" spans="1:6" x14ac:dyDescent="0.3">
      <c r="A180" s="2" t="s">
        <v>121</v>
      </c>
      <c r="B180" s="19" t="str">
        <f>_xlfn.XLOOKUP(A180,CATÁLOGO!$A$2:$A$846,CATÁLOGO!$B$2:$B$846,"FORA DO CATÁLOGO")</f>
        <v>SAI005OG</v>
      </c>
      <c r="C180" s="13">
        <v>4</v>
      </c>
      <c r="D180" s="13" t="str">
        <f>_xlfn.XLOOKUP(A180,CATÁLOGO!$A$2:$A$846,CATÁLOGO!$E$2:$E$846,"FORA DO CATÁLOGO")</f>
        <v>Ativo</v>
      </c>
      <c r="E180" s="2"/>
      <c r="F180" s="62">
        <f>SUMIFS('AVARIA ESTIMADA'!$J$18:$J$40,'AVARIA ESTIMADA'!$A$18:$A$40,A180)</f>
        <v>0</v>
      </c>
    </row>
    <row r="181" spans="1:6" x14ac:dyDescent="0.3">
      <c r="A181" s="2" t="s">
        <v>1254</v>
      </c>
      <c r="B181" s="19" t="str">
        <f>_xlfn.XLOOKUP(A181,CATÁLOGO!$A$2:$A$846,CATÁLOGO!$B$2:$B$846,"FORA DO CATÁLOGO")</f>
        <v>CMS006YGG</v>
      </c>
      <c r="C181" s="13">
        <v>1</v>
      </c>
      <c r="D181" s="13" t="str">
        <f>_xlfn.XLOOKUP(A181,CATÁLOGO!$A$2:$A$846,CATÁLOGO!$E$2:$E$846,"FORA DO CATÁLOGO")</f>
        <v>Descontinuado</v>
      </c>
      <c r="E181" s="2"/>
      <c r="F181" s="62">
        <f>SUMIFS('AVARIA ESTIMADA'!$J$18:$J$40,'AVARIA ESTIMADA'!$A$18:$A$40,A181)</f>
        <v>0</v>
      </c>
    </row>
    <row r="182" spans="1:6" x14ac:dyDescent="0.3">
      <c r="A182" s="2" t="s">
        <v>122</v>
      </c>
      <c r="B182" s="19" t="str">
        <f>_xlfn.XLOOKUP(A182,CATÁLOGO!$A$2:$A$846,CATÁLOGO!$B$2:$B$846,"FORA DO CATÁLOGO")</f>
        <v>CAM007CM</v>
      </c>
      <c r="C182" s="13">
        <v>1</v>
      </c>
      <c r="D182" s="13" t="str">
        <f>_xlfn.XLOOKUP(A182,CATÁLOGO!$A$2:$A$846,CATÁLOGO!$E$2:$E$846,"FORA DO CATÁLOGO")</f>
        <v>Descontinuado</v>
      </c>
      <c r="E182" s="2"/>
      <c r="F182" s="62">
        <f>SUMIFS('AVARIA ESTIMADA'!$J$18:$J$40,'AVARIA ESTIMADA'!$A$18:$A$40,A182)</f>
        <v>0</v>
      </c>
    </row>
    <row r="183" spans="1:6" x14ac:dyDescent="0.3">
      <c r="A183" s="2" t="s">
        <v>123</v>
      </c>
      <c r="B183" s="19" t="str">
        <f>_xlfn.XLOOKUP(A183,CATÁLOGO!$A$2:$A$846,CATÁLOGO!$B$2:$B$846,"FORA DO CATÁLOGO")</f>
        <v>CAM007CG</v>
      </c>
      <c r="C183" s="13">
        <v>1</v>
      </c>
      <c r="D183" s="13" t="str">
        <f>_xlfn.XLOOKUP(A183,CATÁLOGO!$A$2:$A$846,CATÁLOGO!$E$2:$E$846,"FORA DO CATÁLOGO")</f>
        <v>Descontinuado</v>
      </c>
      <c r="E183" s="2"/>
      <c r="F183" s="62">
        <f>SUMIFS('AVARIA ESTIMADA'!$J$18:$J$40,'AVARIA ESTIMADA'!$A$18:$A$40,A183)</f>
        <v>0</v>
      </c>
    </row>
    <row r="184" spans="1:6" x14ac:dyDescent="0.3">
      <c r="A184" s="2" t="s">
        <v>1476</v>
      </c>
      <c r="B184" s="19" t="str">
        <f>_xlfn.XLOOKUP(A184,CATÁLOGO!$A$2:$A$846,CATÁLOGO!$B$2:$B$846,"FORA DO CATÁLOGO")</f>
        <v>BER005H36</v>
      </c>
      <c r="C184" s="13">
        <v>2</v>
      </c>
      <c r="D184" s="13" t="str">
        <f>_xlfn.XLOOKUP(A184,CATÁLOGO!$A$2:$A$846,CATÁLOGO!$E$2:$E$846,"FORA DO CATÁLOGO")</f>
        <v>Descontinuado</v>
      </c>
      <c r="E184" s="2"/>
      <c r="F184" s="62">
        <f>SUMIFS('AVARIA ESTIMADA'!$J$18:$J$40,'AVARIA ESTIMADA'!$A$18:$A$40,A184)</f>
        <v>0</v>
      </c>
    </row>
    <row r="185" spans="1:6" x14ac:dyDescent="0.3">
      <c r="A185" s="2" t="s">
        <v>1475</v>
      </c>
      <c r="B185" s="19" t="str">
        <f>_xlfn.XLOOKUP(A185,CATÁLOGO!$A$2:$A$846,CATÁLOGO!$B$2:$B$846,"FORA DO CATÁLOGO")</f>
        <v>BER005H38</v>
      </c>
      <c r="C185" s="13">
        <v>2</v>
      </c>
      <c r="D185" s="13" t="str">
        <f>_xlfn.XLOOKUP(A185,CATÁLOGO!$A$2:$A$846,CATÁLOGO!$E$2:$E$846,"FORA DO CATÁLOGO")</f>
        <v>Descontinuado</v>
      </c>
      <c r="E185" s="2"/>
      <c r="F185" s="62">
        <f>SUMIFS('AVARIA ESTIMADA'!$J$18:$J$40,'AVARIA ESTIMADA'!$A$18:$A$40,A185)</f>
        <v>0</v>
      </c>
    </row>
    <row r="186" spans="1:6" x14ac:dyDescent="0.3">
      <c r="A186" s="2" t="s">
        <v>1474</v>
      </c>
      <c r="B186" s="19" t="str">
        <f>_xlfn.XLOOKUP(A186,CATÁLOGO!$A$2:$A$846,CATÁLOGO!$B$2:$B$846,"FORA DO CATÁLOGO")</f>
        <v>BER005H40</v>
      </c>
      <c r="C186" s="13">
        <v>5</v>
      </c>
      <c r="D186" s="13" t="str">
        <f>_xlfn.XLOOKUP(A186,CATÁLOGO!$A$2:$A$846,CATÁLOGO!$E$2:$E$846,"FORA DO CATÁLOGO")</f>
        <v>Descontinuado</v>
      </c>
      <c r="E186" s="2"/>
      <c r="F186" s="62">
        <f>SUMIFS('AVARIA ESTIMADA'!$J$18:$J$40,'AVARIA ESTIMADA'!$A$18:$A$40,A186)</f>
        <v>0</v>
      </c>
    </row>
    <row r="187" spans="1:6" x14ac:dyDescent="0.3">
      <c r="A187" s="2" t="s">
        <v>1472</v>
      </c>
      <c r="B187" s="19" t="str">
        <f>_xlfn.XLOOKUP(A187,CATÁLOGO!$A$2:$A$846,CATÁLOGO!$B$2:$B$846,"FORA DO CATÁLOGO")</f>
        <v>BER005H44</v>
      </c>
      <c r="C187" s="13">
        <v>1</v>
      </c>
      <c r="D187" s="13" t="str">
        <f>_xlfn.XLOOKUP(A187,CATÁLOGO!$A$2:$A$846,CATÁLOGO!$E$2:$E$846,"FORA DO CATÁLOGO")</f>
        <v>Descontinuado</v>
      </c>
      <c r="E187" s="2"/>
      <c r="F187" s="62">
        <f>SUMIFS('AVARIA ESTIMADA'!$J$18:$J$40,'AVARIA ESTIMADA'!$A$18:$A$40,A187)</f>
        <v>0</v>
      </c>
    </row>
    <row r="188" spans="1:6" x14ac:dyDescent="0.3">
      <c r="A188" s="2" t="s">
        <v>124</v>
      </c>
      <c r="B188" s="19" t="str">
        <f>_xlfn.XLOOKUP(A188,CATÁLOGO!$A$2:$A$846,CATÁLOGO!$B$2:$B$846,"FORA DO CATÁLOGO")</f>
        <v>TOP004VP</v>
      </c>
      <c r="C188" s="13">
        <v>3</v>
      </c>
      <c r="D188" s="13" t="str">
        <f>_xlfn.XLOOKUP(A188,CATÁLOGO!$A$2:$A$846,CATÁLOGO!$E$2:$E$846,"FORA DO CATÁLOGO")</f>
        <v>Ativo</v>
      </c>
      <c r="E188" s="2"/>
      <c r="F188" s="62">
        <f>SUMIFS('AVARIA ESTIMADA'!$J$18:$J$40,'AVARIA ESTIMADA'!$A$18:$A$40,A188)</f>
        <v>0</v>
      </c>
    </row>
    <row r="189" spans="1:6" x14ac:dyDescent="0.3">
      <c r="A189" s="2" t="s">
        <v>125</v>
      </c>
      <c r="B189" s="19" t="str">
        <f>_xlfn.XLOOKUP(A189,CATÁLOGO!$A$2:$A$846,CATÁLOGO!$B$2:$B$846,"FORA DO CATÁLOGO")</f>
        <v>TOP004VM</v>
      </c>
      <c r="C189" s="13">
        <v>4</v>
      </c>
      <c r="D189" s="13" t="str">
        <f>_xlfn.XLOOKUP(A189,CATÁLOGO!$A$2:$A$846,CATÁLOGO!$E$2:$E$846,"FORA DO CATÁLOGO")</f>
        <v>Ativo</v>
      </c>
      <c r="E189" s="2" t="s">
        <v>1333</v>
      </c>
      <c r="F189" s="62">
        <f>SUMIFS('AVARIA ESTIMADA'!$J$18:$J$40,'AVARIA ESTIMADA'!$A$18:$A$40,A189)</f>
        <v>0</v>
      </c>
    </row>
    <row r="190" spans="1:6" x14ac:dyDescent="0.3">
      <c r="A190" s="2" t="s">
        <v>126</v>
      </c>
      <c r="B190" s="19" t="str">
        <f>_xlfn.XLOOKUP(A190,CATÁLOGO!$A$2:$A$846,CATÁLOGO!$B$2:$B$846,"FORA DO CATÁLOGO")</f>
        <v>TOP004VG</v>
      </c>
      <c r="C190" s="13">
        <v>3</v>
      </c>
      <c r="D190" s="13" t="str">
        <f>_xlfn.XLOOKUP(A190,CATÁLOGO!$A$2:$A$846,CATÁLOGO!$E$2:$E$846,"FORA DO CATÁLOGO")</f>
        <v>Ativo</v>
      </c>
      <c r="E190" s="2" t="s">
        <v>1325</v>
      </c>
      <c r="F190" s="62">
        <f>SUMIFS('AVARIA ESTIMADA'!$J$18:$J$40,'AVARIA ESTIMADA'!$A$18:$A$40,A190)</f>
        <v>0</v>
      </c>
    </row>
    <row r="191" spans="1:6" x14ac:dyDescent="0.3">
      <c r="A191" s="2" t="s">
        <v>127</v>
      </c>
      <c r="B191" s="19" t="str">
        <f>_xlfn.XLOOKUP(A191,CATÁLOGO!$A$2:$A$846,CATÁLOGO!$B$2:$B$846,"FORA DO CATÁLOGO")</f>
        <v>TOP004VGG</v>
      </c>
      <c r="C191" s="13">
        <v>2</v>
      </c>
      <c r="D191" s="13" t="str">
        <f>_xlfn.XLOOKUP(A191,CATÁLOGO!$A$2:$A$846,CATÁLOGO!$E$2:$E$846,"FORA DO CATÁLOGO")</f>
        <v>Ativo</v>
      </c>
      <c r="E191" s="2"/>
      <c r="F191" s="62">
        <f>SUMIFS('AVARIA ESTIMADA'!$J$18:$J$40,'AVARIA ESTIMADA'!$A$18:$A$40,A191)</f>
        <v>0</v>
      </c>
    </row>
    <row r="192" spans="1:6" x14ac:dyDescent="0.3">
      <c r="A192" s="2" t="s">
        <v>1255</v>
      </c>
      <c r="B192" s="19" t="str">
        <f>_xlfn.XLOOKUP(A192,CATÁLOGO!$A$2:$A$846,CATÁLOGO!$B$2:$B$846,"FORA DO CATÁLOGO")</f>
        <v>MOL007CG</v>
      </c>
      <c r="C192" s="13">
        <v>2</v>
      </c>
      <c r="D192" s="13" t="str">
        <f>_xlfn.XLOOKUP(A192,CATÁLOGO!$A$2:$A$846,CATÁLOGO!$E$2:$E$846,"FORA DO CATÁLOGO")</f>
        <v>Descontinuado</v>
      </c>
      <c r="E192" s="2"/>
      <c r="F192" s="62">
        <f>SUMIFS('AVARIA ESTIMADA'!$J$18:$J$40,'AVARIA ESTIMADA'!$A$18:$A$40,A192)</f>
        <v>0</v>
      </c>
    </row>
    <row r="193" spans="1:6" x14ac:dyDescent="0.3">
      <c r="A193" s="2" t="s">
        <v>1256</v>
      </c>
      <c r="B193" s="19" t="str">
        <f>_xlfn.XLOOKUP(A193,CATÁLOGO!$A$2:$A$846,CATÁLOGO!$B$2:$B$846,"FORA DO CATÁLOGO")</f>
        <v>MOL008HP</v>
      </c>
      <c r="C193" s="13">
        <v>1</v>
      </c>
      <c r="D193" s="13" t="str">
        <f>_xlfn.XLOOKUP(A193,CATÁLOGO!$A$2:$A$846,CATÁLOGO!$E$2:$E$846,"FORA DO CATÁLOGO")</f>
        <v>Descontinuado</v>
      </c>
      <c r="E193" s="2"/>
      <c r="F193" s="62">
        <f>SUMIFS('AVARIA ESTIMADA'!$J$18:$J$40,'AVARIA ESTIMADA'!$A$18:$A$40,A193)</f>
        <v>0</v>
      </c>
    </row>
    <row r="194" spans="1:6" x14ac:dyDescent="0.3">
      <c r="A194" s="2" t="s">
        <v>133</v>
      </c>
      <c r="B194" s="19" t="str">
        <f>_xlfn.XLOOKUP(A194,CATÁLOGO!$A$2:$A$846,CATÁLOGO!$B$2:$B$846,"FORA DO CATÁLOGO")</f>
        <v>MOL008HGG</v>
      </c>
      <c r="C194" s="13">
        <v>1</v>
      </c>
      <c r="D194" s="13" t="str">
        <f>_xlfn.XLOOKUP(A194,CATÁLOGO!$A$2:$A$846,CATÁLOGO!$E$2:$E$846,"FORA DO CATÁLOGO")</f>
        <v>Descontinuado</v>
      </c>
      <c r="E194" s="2"/>
      <c r="F194" s="62">
        <f>SUMIFS('AVARIA ESTIMADA'!$J$18:$J$40,'AVARIA ESTIMADA'!$A$18:$A$40,A194)</f>
        <v>1</v>
      </c>
    </row>
    <row r="195" spans="1:6" x14ac:dyDescent="0.3">
      <c r="A195" s="2" t="s">
        <v>134</v>
      </c>
      <c r="B195" s="19" t="str">
        <f>_xlfn.XLOOKUP(A195,CATÁLOGO!$A$2:$A$846,CATÁLOGO!$B$2:$B$846,"FORA DO CATÁLOGO")</f>
        <v>MOL008LM</v>
      </c>
      <c r="C195" s="13">
        <v>1</v>
      </c>
      <c r="D195" s="13" t="str">
        <f>_xlfn.XLOOKUP(A195,CATÁLOGO!$A$2:$A$846,CATÁLOGO!$E$2:$E$846,"FORA DO CATÁLOGO")</f>
        <v>Descontinuado</v>
      </c>
      <c r="E195" s="2"/>
      <c r="F195" s="62">
        <f>SUMIFS('AVARIA ESTIMADA'!$J$18:$J$40,'AVARIA ESTIMADA'!$A$18:$A$40,A195)</f>
        <v>0</v>
      </c>
    </row>
    <row r="196" spans="1:6" x14ac:dyDescent="0.3">
      <c r="A196" s="2" t="s">
        <v>136</v>
      </c>
      <c r="B196" s="19" t="str">
        <f>_xlfn.XLOOKUP(A196,CATÁLOGO!$A$2:$A$846,CATÁLOGO!$B$2:$B$846,"FORA DO CATÁLOGO")</f>
        <v>MOL008LGG</v>
      </c>
      <c r="C196" s="13">
        <v>1</v>
      </c>
      <c r="D196" s="13" t="str">
        <f>_xlfn.XLOOKUP(A196,CATÁLOGO!$A$2:$A$846,CATÁLOGO!$E$2:$E$846,"FORA DO CATÁLOGO")</f>
        <v>Descontinuado</v>
      </c>
      <c r="E196" s="2"/>
      <c r="F196" s="62">
        <f>SUMIFS('AVARIA ESTIMADA'!$J$18:$J$40,'AVARIA ESTIMADA'!$A$18:$A$40,A196)</f>
        <v>0</v>
      </c>
    </row>
    <row r="197" spans="1:6" x14ac:dyDescent="0.3">
      <c r="A197" s="2" t="s">
        <v>137</v>
      </c>
      <c r="B197" s="19" t="str">
        <f>_xlfn.XLOOKUP(A197,CATÁLOGO!$A$2:$A$846,CATÁLOGO!$B$2:$B$846,"FORA DO CATÁLOGO")</f>
        <v>VES002MP</v>
      </c>
      <c r="C197" s="13">
        <v>5</v>
      </c>
      <c r="D197" s="13" t="str">
        <f>_xlfn.XLOOKUP(A197,CATÁLOGO!$A$2:$A$846,CATÁLOGO!$E$2:$E$846,"FORA DO CATÁLOGO")</f>
        <v>Ativo</v>
      </c>
      <c r="E197" s="2"/>
      <c r="F197" s="62">
        <f>SUMIFS('AVARIA ESTIMADA'!$J$18:$J$40,'AVARIA ESTIMADA'!$A$18:$A$40,A197)</f>
        <v>0</v>
      </c>
    </row>
    <row r="198" spans="1:6" x14ac:dyDescent="0.3">
      <c r="A198" s="2" t="s">
        <v>138</v>
      </c>
      <c r="B198" s="19" t="str">
        <f>_xlfn.XLOOKUP(A198,CATÁLOGO!$A$2:$A$846,CATÁLOGO!$B$2:$B$846,"FORA DO CATÁLOGO")</f>
        <v>VES002MM</v>
      </c>
      <c r="C198" s="13">
        <v>6</v>
      </c>
      <c r="D198" s="13" t="str">
        <f>_xlfn.XLOOKUP(A198,CATÁLOGO!$A$2:$A$846,CATÁLOGO!$E$2:$E$846,"FORA DO CATÁLOGO")</f>
        <v>Ativo</v>
      </c>
      <c r="E198" s="2"/>
      <c r="F198" s="62">
        <f>SUMIFS('AVARIA ESTIMADA'!$J$18:$J$40,'AVARIA ESTIMADA'!$A$18:$A$40,A198)</f>
        <v>0</v>
      </c>
    </row>
    <row r="199" spans="1:6" x14ac:dyDescent="0.3">
      <c r="A199" s="2" t="s">
        <v>139</v>
      </c>
      <c r="B199" s="19" t="str">
        <f>_xlfn.XLOOKUP(A199,CATÁLOGO!$A$2:$A$846,CATÁLOGO!$B$2:$B$846,"FORA DO CATÁLOGO")</f>
        <v>VES002MG</v>
      </c>
      <c r="C199" s="13">
        <v>5</v>
      </c>
      <c r="D199" s="13" t="str">
        <f>_xlfn.XLOOKUP(A199,CATÁLOGO!$A$2:$A$846,CATÁLOGO!$E$2:$E$846,"FORA DO CATÁLOGO")</f>
        <v>Ativo</v>
      </c>
      <c r="E199" s="2"/>
      <c r="F199" s="62">
        <f>SUMIFS('AVARIA ESTIMADA'!$J$18:$J$40,'AVARIA ESTIMADA'!$A$18:$A$40,A199)</f>
        <v>0</v>
      </c>
    </row>
    <row r="200" spans="1:6" x14ac:dyDescent="0.3">
      <c r="A200" s="2" t="s">
        <v>140</v>
      </c>
      <c r="B200" s="19" t="str">
        <f>_xlfn.XLOOKUP(A200,CATÁLOGO!$A$2:$A$846,CATÁLOGO!$B$2:$B$846,"FORA DO CATÁLOGO")</f>
        <v>VES002MGG</v>
      </c>
      <c r="C200" s="13">
        <v>3</v>
      </c>
      <c r="D200" s="13" t="str">
        <f>_xlfn.XLOOKUP(A200,CATÁLOGO!$A$2:$A$846,CATÁLOGO!$E$2:$E$846,"FORA DO CATÁLOGO")</f>
        <v>Ativo</v>
      </c>
      <c r="E200" s="2"/>
      <c r="F200" s="62">
        <f>SUMIFS('AVARIA ESTIMADA'!$J$18:$J$40,'AVARIA ESTIMADA'!$A$18:$A$40,A200)</f>
        <v>0</v>
      </c>
    </row>
    <row r="201" spans="1:6" x14ac:dyDescent="0.3">
      <c r="A201" s="2" t="s">
        <v>141</v>
      </c>
      <c r="B201" s="19" t="str">
        <f>_xlfn.XLOOKUP(A201,CATÁLOGO!$A$2:$A$846,CATÁLOGO!$B$2:$B$846,"FORA DO CATÁLOGO")</f>
        <v>TOP005OP</v>
      </c>
      <c r="C201" s="13">
        <v>2</v>
      </c>
      <c r="D201" s="13" t="str">
        <f>_xlfn.XLOOKUP(A201,CATÁLOGO!$A$2:$A$846,CATÁLOGO!$E$2:$E$846,"FORA DO CATÁLOGO")</f>
        <v>Ativo</v>
      </c>
      <c r="E201" s="2" t="s">
        <v>1336</v>
      </c>
      <c r="F201" s="62">
        <f>SUMIFS('AVARIA ESTIMADA'!$J$18:$J$40,'AVARIA ESTIMADA'!$A$18:$A$40,A201)</f>
        <v>0</v>
      </c>
    </row>
    <row r="202" spans="1:6" x14ac:dyDescent="0.3">
      <c r="A202" s="2" t="s">
        <v>142</v>
      </c>
      <c r="B202" s="19" t="str">
        <f>_xlfn.XLOOKUP(A202,CATÁLOGO!$A$2:$A$846,CATÁLOGO!$B$2:$B$846,"FORA DO CATÁLOGO")</f>
        <v>TOP005OM</v>
      </c>
      <c r="C202" s="13">
        <v>2</v>
      </c>
      <c r="D202" s="13" t="str">
        <f>_xlfn.XLOOKUP(A202,CATÁLOGO!$A$2:$A$846,CATÁLOGO!$E$2:$E$846,"FORA DO CATÁLOGO")</f>
        <v>Ativo</v>
      </c>
      <c r="E202" s="2" t="s">
        <v>1333</v>
      </c>
      <c r="F202" s="62">
        <f>SUMIFS('AVARIA ESTIMADA'!$J$18:$J$40,'AVARIA ESTIMADA'!$A$18:$A$40,A202)</f>
        <v>0</v>
      </c>
    </row>
    <row r="203" spans="1:6" x14ac:dyDescent="0.3">
      <c r="A203" s="2" t="s">
        <v>143</v>
      </c>
      <c r="B203" s="19" t="str">
        <f>_xlfn.XLOOKUP(A203,CATÁLOGO!$A$2:$A$846,CATÁLOGO!$B$2:$B$846,"FORA DO CATÁLOGO")</f>
        <v>TOP005OG</v>
      </c>
      <c r="C203" s="13">
        <v>1</v>
      </c>
      <c r="D203" s="13" t="str">
        <f>_xlfn.XLOOKUP(A203,CATÁLOGO!$A$2:$A$846,CATÁLOGO!$E$2:$E$846,"FORA DO CATÁLOGO")</f>
        <v>Ativo</v>
      </c>
      <c r="E203" s="2"/>
      <c r="F203" s="62">
        <f>SUMIFS('AVARIA ESTIMADA'!$J$18:$J$40,'AVARIA ESTIMADA'!$A$18:$A$40,A203)</f>
        <v>0</v>
      </c>
    </row>
    <row r="204" spans="1:6" x14ac:dyDescent="0.3">
      <c r="A204" s="2" t="s">
        <v>144</v>
      </c>
      <c r="B204" s="19" t="str">
        <f>_xlfn.XLOOKUP(A204,CATÁLOGO!$A$2:$A$846,CATÁLOGO!$B$2:$B$846,"FORA DO CATÁLOGO")</f>
        <v>TOP005OGG</v>
      </c>
      <c r="C204" s="13">
        <v>1</v>
      </c>
      <c r="D204" s="13" t="str">
        <f>_xlfn.XLOOKUP(A204,CATÁLOGO!$A$2:$A$846,CATÁLOGO!$E$2:$E$846,"FORA DO CATÁLOGO")</f>
        <v>Ativo</v>
      </c>
      <c r="E204" s="2"/>
      <c r="F204" s="62">
        <f>SUMIFS('AVARIA ESTIMADA'!$J$18:$J$40,'AVARIA ESTIMADA'!$A$18:$A$40,A204)</f>
        <v>0</v>
      </c>
    </row>
    <row r="205" spans="1:6" x14ac:dyDescent="0.3">
      <c r="A205" s="2" t="s">
        <v>1281</v>
      </c>
      <c r="B205" s="19" t="str">
        <f>_xlfn.XLOOKUP(A205,CATÁLOGO!$A$2:$A$846,CATÁLOGO!$B$2:$B$846,"FORA DO CATÁLOGO")</f>
        <v>VES003YM</v>
      </c>
      <c r="C205" s="13">
        <v>2</v>
      </c>
      <c r="D205" s="13" t="str">
        <f>_xlfn.XLOOKUP(A205,CATÁLOGO!$A$2:$A$846,CATÁLOGO!$E$2:$E$846,"FORA DO CATÁLOGO")</f>
        <v>Descontinuado</v>
      </c>
      <c r="E205" s="2"/>
      <c r="F205" s="62">
        <f>SUMIFS('AVARIA ESTIMADA'!$J$18:$J$40,'AVARIA ESTIMADA'!$A$18:$A$40,A205)</f>
        <v>0</v>
      </c>
    </row>
    <row r="206" spans="1:6" x14ac:dyDescent="0.3">
      <c r="A206" s="2" t="s">
        <v>148</v>
      </c>
      <c r="B206" s="19" t="str">
        <f>_xlfn.XLOOKUP(A206,CATÁLOGO!$A$2:$A$846,CATÁLOGO!$B$2:$B$846,"FORA DO CATÁLOGO")</f>
        <v>VES003YG</v>
      </c>
      <c r="C206" s="13">
        <v>1</v>
      </c>
      <c r="D206" s="13" t="str">
        <f>_xlfn.XLOOKUP(A206,CATÁLOGO!$A$2:$A$846,CATÁLOGO!$E$2:$E$846,"FORA DO CATÁLOGO")</f>
        <v>Descontinuado</v>
      </c>
      <c r="E206" s="2"/>
      <c r="F206" s="62">
        <f>SUMIFS('AVARIA ESTIMADA'!$J$18:$J$40,'AVARIA ESTIMADA'!$A$18:$A$40,A206)</f>
        <v>0</v>
      </c>
    </row>
    <row r="207" spans="1:6" x14ac:dyDescent="0.3">
      <c r="A207" s="2" t="s">
        <v>1929</v>
      </c>
      <c r="B207" s="19" t="str">
        <f>_xlfn.XLOOKUP(A207,CATÁLOGO!$A$2:$A$846,CATÁLOGO!$B$2:$B$846,"FORA DO CATÁLOGO")</f>
        <v>VES004YPP</v>
      </c>
      <c r="C207" s="13">
        <v>1</v>
      </c>
      <c r="D207" s="13" t="str">
        <f>_xlfn.XLOOKUP(A207,CATÁLOGO!$A$2:$A$846,CATÁLOGO!$E$2:$E$846,"FORA DO CATÁLOGO")</f>
        <v>Descontinuado</v>
      </c>
      <c r="E207" s="2"/>
      <c r="F207" s="62">
        <f>SUMIFS('AVARIA ESTIMADA'!$J$18:$J$40,'AVARIA ESTIMADA'!$A$18:$A$40,A207)</f>
        <v>0</v>
      </c>
    </row>
    <row r="208" spans="1:6" x14ac:dyDescent="0.3">
      <c r="A208" s="2" t="s">
        <v>149</v>
      </c>
      <c r="B208" s="19" t="str">
        <f>_xlfn.XLOOKUP(A208,CATÁLOGO!$A$2:$A$846,CATÁLOGO!$B$2:$B$846,"FORA DO CATÁLOGO")</f>
        <v>VES004YP</v>
      </c>
      <c r="C208" s="13">
        <v>1</v>
      </c>
      <c r="D208" s="13" t="str">
        <f>_xlfn.XLOOKUP(A208,CATÁLOGO!$A$2:$A$846,CATÁLOGO!$E$2:$E$846,"FORA DO CATÁLOGO")</f>
        <v>Descontinuado</v>
      </c>
      <c r="E208" s="2"/>
      <c r="F208" s="62">
        <f>SUMIFS('AVARIA ESTIMADA'!$J$18:$J$40,'AVARIA ESTIMADA'!$A$18:$A$40,A208)</f>
        <v>0</v>
      </c>
    </row>
    <row r="209" spans="1:6" x14ac:dyDescent="0.3">
      <c r="A209" s="2" t="s">
        <v>150</v>
      </c>
      <c r="B209" s="19" t="str">
        <f>_xlfn.XLOOKUP(A209,CATÁLOGO!$A$2:$A$846,CATÁLOGO!$B$2:$B$846,"FORA DO CATÁLOGO")</f>
        <v>VES004YM</v>
      </c>
      <c r="C209" s="13">
        <v>1</v>
      </c>
      <c r="D209" s="13" t="str">
        <f>_xlfn.XLOOKUP(A209,CATÁLOGO!$A$2:$A$846,CATÁLOGO!$E$2:$E$846,"FORA DO CATÁLOGO")</f>
        <v>Descontinuado</v>
      </c>
      <c r="E209" s="2"/>
      <c r="F209" s="62">
        <f>SUMIFS('AVARIA ESTIMADA'!$J$18:$J$40,'AVARIA ESTIMADA'!$A$18:$A$40,A209)</f>
        <v>0</v>
      </c>
    </row>
    <row r="210" spans="1:6" x14ac:dyDescent="0.3">
      <c r="A210" s="2" t="s">
        <v>1257</v>
      </c>
      <c r="B210" s="19" t="str">
        <f>_xlfn.XLOOKUP(A210,CATÁLOGO!$A$2:$A$846,CATÁLOGO!$B$2:$B$846,"FORA DO CATÁLOGO")</f>
        <v>VES004YG</v>
      </c>
      <c r="C210" s="13">
        <v>2</v>
      </c>
      <c r="D210" s="13" t="str">
        <f>_xlfn.XLOOKUP(A210,CATÁLOGO!$A$2:$A$846,CATÁLOGO!$E$2:$E$846,"FORA DO CATÁLOGO")</f>
        <v>Descontinuado</v>
      </c>
      <c r="E210" s="2" t="s">
        <v>1333</v>
      </c>
      <c r="F210" s="62">
        <f>SUMIFS('AVARIA ESTIMADA'!$J$18:$J$40,'AVARIA ESTIMADA'!$A$18:$A$40,A210)</f>
        <v>0</v>
      </c>
    </row>
    <row r="211" spans="1:6" x14ac:dyDescent="0.3">
      <c r="A211" s="2" t="s">
        <v>151</v>
      </c>
      <c r="B211" s="19" t="str">
        <f>_xlfn.XLOOKUP(A211,CATÁLOGO!$A$2:$A$846,CATÁLOGO!$B$2:$B$846,"FORA DO CATÁLOGO")</f>
        <v>VES004YGG</v>
      </c>
      <c r="C211" s="13">
        <v>1</v>
      </c>
      <c r="D211" s="13" t="str">
        <f>_xlfn.XLOOKUP(A211,CATÁLOGO!$A$2:$A$846,CATÁLOGO!$E$2:$E$846,"FORA DO CATÁLOGO")</f>
        <v>Descontinuado</v>
      </c>
      <c r="E211" s="2"/>
      <c r="F211" s="62">
        <f>SUMIFS('AVARIA ESTIMADA'!$J$18:$J$40,'AVARIA ESTIMADA'!$A$18:$A$40,A211)</f>
        <v>0</v>
      </c>
    </row>
    <row r="212" spans="1:6" x14ac:dyDescent="0.3">
      <c r="A212" s="2" t="s">
        <v>152</v>
      </c>
      <c r="B212" s="19" t="str">
        <f>_xlfn.XLOOKUP(A212,CATÁLOGO!$A$2:$A$846,CATÁLOGO!$B$2:$B$846,"FORA DO CATÁLOGO")</f>
        <v>VES005PP</v>
      </c>
      <c r="C212" s="13">
        <v>4</v>
      </c>
      <c r="D212" s="13" t="str">
        <f>_xlfn.XLOOKUP(A212,CATÁLOGO!$A$2:$A$846,CATÁLOGO!$E$2:$E$846,"FORA DO CATÁLOGO")</f>
        <v>Descontinuado</v>
      </c>
      <c r="E212" s="2"/>
      <c r="F212" s="62">
        <f>SUMIFS('AVARIA ESTIMADA'!$J$18:$J$40,'AVARIA ESTIMADA'!$A$18:$A$40,A212)</f>
        <v>0</v>
      </c>
    </row>
    <row r="213" spans="1:6" x14ac:dyDescent="0.3">
      <c r="A213" s="2" t="s">
        <v>153</v>
      </c>
      <c r="B213" s="19" t="str">
        <f>_xlfn.XLOOKUP(A213,CATÁLOGO!$A$2:$A$846,CATÁLOGO!$B$2:$B$846,"FORA DO CATÁLOGO")</f>
        <v>VES005PM</v>
      </c>
      <c r="C213" s="13">
        <v>2</v>
      </c>
      <c r="D213" s="13" t="str">
        <f>_xlfn.XLOOKUP(A213,CATÁLOGO!$A$2:$A$846,CATÁLOGO!$E$2:$E$846,"FORA DO CATÁLOGO")</f>
        <v>Descontinuado</v>
      </c>
      <c r="E213" s="2"/>
      <c r="F213" s="62">
        <f>SUMIFS('AVARIA ESTIMADA'!$J$18:$J$40,'AVARIA ESTIMADA'!$A$18:$A$40,A213)</f>
        <v>0</v>
      </c>
    </row>
    <row r="214" spans="1:6" x14ac:dyDescent="0.3">
      <c r="A214" s="2" t="s">
        <v>155</v>
      </c>
      <c r="B214" s="19" t="str">
        <f>_xlfn.XLOOKUP(A214,CATÁLOGO!$A$2:$A$846,CATÁLOGO!$B$2:$B$846,"FORA DO CATÁLOGO")</f>
        <v>VES005PGG</v>
      </c>
      <c r="C214" s="13">
        <v>3</v>
      </c>
      <c r="D214" s="13" t="str">
        <f>_xlfn.XLOOKUP(A214,CATÁLOGO!$A$2:$A$846,CATÁLOGO!$E$2:$E$846,"FORA DO CATÁLOGO")</f>
        <v>Descontinuado</v>
      </c>
      <c r="E214" s="2"/>
      <c r="F214" s="62">
        <f>SUMIFS('AVARIA ESTIMADA'!$J$18:$J$40,'AVARIA ESTIMADA'!$A$18:$A$40,A214)</f>
        <v>0</v>
      </c>
    </row>
    <row r="215" spans="1:6" x14ac:dyDescent="0.3">
      <c r="A215" s="2" t="s">
        <v>156</v>
      </c>
      <c r="B215" s="19" t="str">
        <f>_xlfn.XLOOKUP(A215,CATÁLOGO!$A$2:$A$846,CATÁLOGO!$B$2:$B$846,"FORA DO CATÁLOGO")</f>
        <v>TOP006MP</v>
      </c>
      <c r="C215" s="13">
        <v>3</v>
      </c>
      <c r="D215" s="13" t="str">
        <f>_xlfn.XLOOKUP(A215,CATÁLOGO!$A$2:$A$846,CATÁLOGO!$E$2:$E$846,"FORA DO CATÁLOGO")</f>
        <v>Ativo</v>
      </c>
      <c r="E215" s="2"/>
      <c r="F215" s="62">
        <f>SUMIFS('AVARIA ESTIMADA'!$J$18:$J$40,'AVARIA ESTIMADA'!$A$18:$A$40,A215)</f>
        <v>0</v>
      </c>
    </row>
    <row r="216" spans="1:6" x14ac:dyDescent="0.3">
      <c r="A216" s="2" t="s">
        <v>157</v>
      </c>
      <c r="B216" s="19" t="str">
        <f>_xlfn.XLOOKUP(A216,CATÁLOGO!$A$2:$A$846,CATÁLOGO!$B$2:$B$846,"FORA DO CATÁLOGO")</f>
        <v>TOP006MM</v>
      </c>
      <c r="C216" s="13">
        <v>5</v>
      </c>
      <c r="D216" s="13" t="str">
        <f>_xlfn.XLOOKUP(A216,CATÁLOGO!$A$2:$A$846,CATÁLOGO!$E$2:$E$846,"FORA DO CATÁLOGO")</f>
        <v>Ativo</v>
      </c>
      <c r="E216" s="2"/>
      <c r="F216" s="62">
        <f>SUMIFS('AVARIA ESTIMADA'!$J$18:$J$40,'AVARIA ESTIMADA'!$A$18:$A$40,A216)</f>
        <v>0</v>
      </c>
    </row>
    <row r="217" spans="1:6" x14ac:dyDescent="0.3">
      <c r="A217" s="2" t="s">
        <v>158</v>
      </c>
      <c r="B217" s="19" t="str">
        <f>_xlfn.XLOOKUP(A217,CATÁLOGO!$A$2:$A$846,CATÁLOGO!$B$2:$B$846,"FORA DO CATÁLOGO")</f>
        <v>TOP006MG</v>
      </c>
      <c r="C217" s="13">
        <v>3</v>
      </c>
      <c r="D217" s="13" t="str">
        <f>_xlfn.XLOOKUP(A217,CATÁLOGO!$A$2:$A$846,CATÁLOGO!$E$2:$E$846,"FORA DO CATÁLOGO")</f>
        <v>Ativo</v>
      </c>
      <c r="E217" s="2"/>
      <c r="F217" s="62">
        <f>SUMIFS('AVARIA ESTIMADA'!$J$18:$J$40,'AVARIA ESTIMADA'!$A$18:$A$40,A217)</f>
        <v>3</v>
      </c>
    </row>
    <row r="218" spans="1:6" x14ac:dyDescent="0.3">
      <c r="A218" s="2" t="s">
        <v>159</v>
      </c>
      <c r="B218" s="19" t="str">
        <f>_xlfn.XLOOKUP(A218,CATÁLOGO!$A$2:$A$846,CATÁLOGO!$B$2:$B$846,"FORA DO CATÁLOGO")</f>
        <v>TOP006MGG</v>
      </c>
      <c r="C218" s="13">
        <v>2</v>
      </c>
      <c r="D218" s="13" t="str">
        <f>_xlfn.XLOOKUP(A218,CATÁLOGO!$A$2:$A$846,CATÁLOGO!$E$2:$E$846,"FORA DO CATÁLOGO")</f>
        <v>Ativo</v>
      </c>
      <c r="E218" s="2" t="s">
        <v>1290</v>
      </c>
      <c r="F218" s="62">
        <f>SUMIFS('AVARIA ESTIMADA'!$J$18:$J$40,'AVARIA ESTIMADA'!$A$18:$A$40,A218)</f>
        <v>0</v>
      </c>
    </row>
    <row r="219" spans="1:6" x14ac:dyDescent="0.3">
      <c r="A219" s="2" t="s">
        <v>1326</v>
      </c>
      <c r="B219" s="19" t="str">
        <f>_xlfn.XLOOKUP(A219,CATÁLOGO!$A$2:$A$846,CATÁLOGO!$B$2:$B$846,"FORA DO CATÁLOGO")</f>
        <v>CAM008HP</v>
      </c>
      <c r="C219" s="13">
        <v>3</v>
      </c>
      <c r="D219" s="13" t="str">
        <f>_xlfn.XLOOKUP(A219,CATÁLOGO!$A$2:$A$846,CATÁLOGO!$E$2:$E$846,"FORA DO CATÁLOGO")</f>
        <v>Descontinuado</v>
      </c>
      <c r="E219" s="2" t="s">
        <v>1334</v>
      </c>
      <c r="F219" s="62">
        <f>SUMIFS('AVARIA ESTIMADA'!$J$18:$J$40,'AVARIA ESTIMADA'!$A$18:$A$40,A219)</f>
        <v>0</v>
      </c>
    </row>
    <row r="220" spans="1:6" x14ac:dyDescent="0.3">
      <c r="A220" s="2" t="s">
        <v>160</v>
      </c>
      <c r="B220" s="19" t="str">
        <f>_xlfn.XLOOKUP(A220,CATÁLOGO!$A$2:$A$846,CATÁLOGO!$B$2:$B$846,"FORA DO CATÁLOGO")</f>
        <v>CAM008HM</v>
      </c>
      <c r="C220" s="13">
        <v>3</v>
      </c>
      <c r="D220" s="13" t="str">
        <f>_xlfn.XLOOKUP(A220,CATÁLOGO!$A$2:$A$846,CATÁLOGO!$E$2:$E$846,"FORA DO CATÁLOGO")</f>
        <v>Descontinuado</v>
      </c>
      <c r="E220" s="2"/>
      <c r="F220" s="62">
        <f>SUMIFS('AVARIA ESTIMADA'!$J$18:$J$40,'AVARIA ESTIMADA'!$A$18:$A$40,A220)</f>
        <v>0</v>
      </c>
    </row>
    <row r="221" spans="1:6" x14ac:dyDescent="0.3">
      <c r="A221" s="2" t="s">
        <v>161</v>
      </c>
      <c r="B221" s="19" t="str">
        <f>_xlfn.XLOOKUP(A221,CATÁLOGO!$A$2:$A$846,CATÁLOGO!$B$2:$B$846,"FORA DO CATÁLOGO")</f>
        <v>CAM008HG</v>
      </c>
      <c r="C221" s="13">
        <v>1</v>
      </c>
      <c r="D221" s="13" t="str">
        <f>_xlfn.XLOOKUP(A221,CATÁLOGO!$A$2:$A$846,CATÁLOGO!$E$2:$E$846,"FORA DO CATÁLOGO")</f>
        <v>Descontinuado</v>
      </c>
      <c r="E221" s="2"/>
      <c r="F221" s="62">
        <f>SUMIFS('AVARIA ESTIMADA'!$J$18:$J$40,'AVARIA ESTIMADA'!$A$18:$A$40,A221)</f>
        <v>0</v>
      </c>
    </row>
    <row r="222" spans="1:6" x14ac:dyDescent="0.3">
      <c r="A222" s="2" t="s">
        <v>162</v>
      </c>
      <c r="B222" s="19" t="str">
        <f>_xlfn.XLOOKUP(A222,CATÁLOGO!$A$2:$A$846,CATÁLOGO!$B$2:$B$846,"FORA DO CATÁLOGO")</f>
        <v>MOL009MP</v>
      </c>
      <c r="C222" s="13">
        <v>2</v>
      </c>
      <c r="D222" s="13" t="str">
        <f>_xlfn.XLOOKUP(A222,CATÁLOGO!$A$2:$A$846,CATÁLOGO!$E$2:$E$846,"FORA DO CATÁLOGO")</f>
        <v>Ativo</v>
      </c>
      <c r="E222" s="2"/>
      <c r="F222" s="62">
        <f>SUMIFS('AVARIA ESTIMADA'!$J$18:$J$40,'AVARIA ESTIMADA'!$A$18:$A$40,A222)</f>
        <v>0</v>
      </c>
    </row>
    <row r="223" spans="1:6" x14ac:dyDescent="0.3">
      <c r="A223" s="2" t="s">
        <v>163</v>
      </c>
      <c r="B223" s="19" t="str">
        <f>_xlfn.XLOOKUP(A223,CATÁLOGO!$A$2:$A$846,CATÁLOGO!$B$2:$B$846,"FORA DO CATÁLOGO")</f>
        <v>MOL009MM</v>
      </c>
      <c r="C223" s="13">
        <v>3</v>
      </c>
      <c r="D223" s="13" t="str">
        <f>_xlfn.XLOOKUP(A223,CATÁLOGO!$A$2:$A$846,CATÁLOGO!$E$2:$E$846,"FORA DO CATÁLOGO")</f>
        <v>Ativo</v>
      </c>
      <c r="E223" s="2"/>
      <c r="F223" s="62">
        <f>SUMIFS('AVARIA ESTIMADA'!$J$18:$J$40,'AVARIA ESTIMADA'!$A$18:$A$40,A223)</f>
        <v>0</v>
      </c>
    </row>
    <row r="224" spans="1:6" x14ac:dyDescent="0.3">
      <c r="A224" s="2" t="s">
        <v>164</v>
      </c>
      <c r="B224" s="19" t="str">
        <f>_xlfn.XLOOKUP(A224,CATÁLOGO!$A$2:$A$846,CATÁLOGO!$B$2:$B$846,"FORA DO CATÁLOGO")</f>
        <v>MOL009MG</v>
      </c>
      <c r="C224" s="13">
        <v>2</v>
      </c>
      <c r="D224" s="13" t="str">
        <f>_xlfn.XLOOKUP(A224,CATÁLOGO!$A$2:$A$846,CATÁLOGO!$E$2:$E$846,"FORA DO CATÁLOGO")</f>
        <v>Ativo</v>
      </c>
      <c r="E224" s="2"/>
      <c r="F224" s="62">
        <f>SUMIFS('AVARIA ESTIMADA'!$J$18:$J$40,'AVARIA ESTIMADA'!$A$18:$A$40,A224)</f>
        <v>0</v>
      </c>
    </row>
    <row r="225" spans="1:6" x14ac:dyDescent="0.3">
      <c r="A225" s="2" t="s">
        <v>165</v>
      </c>
      <c r="B225" s="19" t="str">
        <f>_xlfn.XLOOKUP(A225,CATÁLOGO!$A$2:$A$846,CATÁLOGO!$B$2:$B$846,"FORA DO CATÁLOGO")</f>
        <v>MOL009MGG</v>
      </c>
      <c r="C225" s="13">
        <v>1</v>
      </c>
      <c r="D225" s="13" t="str">
        <f>_xlfn.XLOOKUP(A225,CATÁLOGO!$A$2:$A$846,CATÁLOGO!$E$2:$E$846,"FORA DO CATÁLOGO")</f>
        <v>Ativo</v>
      </c>
      <c r="E225" s="2"/>
      <c r="F225" s="62">
        <f>SUMIFS('AVARIA ESTIMADA'!$J$18:$J$40,'AVARIA ESTIMADA'!$A$18:$A$40,A225)</f>
        <v>0</v>
      </c>
    </row>
    <row r="226" spans="1:6" x14ac:dyDescent="0.3">
      <c r="A226" s="2" t="s">
        <v>166</v>
      </c>
      <c r="B226" s="19" t="str">
        <f>_xlfn.XLOOKUP(A226,CATÁLOGO!$A$2:$A$846,CATÁLOGO!$B$2:$B$846,"FORA DO CATÁLOGO")</f>
        <v>TOP008GP</v>
      </c>
      <c r="C226" s="13">
        <v>4</v>
      </c>
      <c r="D226" s="13" t="str">
        <f>_xlfn.XLOOKUP(A226,CATÁLOGO!$A$2:$A$846,CATÁLOGO!$E$2:$E$846,"FORA DO CATÁLOGO")</f>
        <v>Ativo</v>
      </c>
      <c r="E226" s="2"/>
      <c r="F226" s="62">
        <f>SUMIFS('AVARIA ESTIMADA'!$J$18:$J$40,'AVARIA ESTIMADA'!$A$18:$A$40,A226)</f>
        <v>0</v>
      </c>
    </row>
    <row r="227" spans="1:6" x14ac:dyDescent="0.3">
      <c r="A227" s="2" t="s">
        <v>167</v>
      </c>
      <c r="B227" s="19" t="str">
        <f>_xlfn.XLOOKUP(A227,CATÁLOGO!$A$2:$A$846,CATÁLOGO!$B$2:$B$846,"FORA DO CATÁLOGO")</f>
        <v>TOP008GM</v>
      </c>
      <c r="C227" s="13">
        <v>5</v>
      </c>
      <c r="D227" s="13" t="str">
        <f>_xlfn.XLOOKUP(A227,CATÁLOGO!$A$2:$A$846,CATÁLOGO!$E$2:$E$846,"FORA DO CATÁLOGO")</f>
        <v>Ativo</v>
      </c>
      <c r="E227" s="2"/>
      <c r="F227" s="62">
        <f>SUMIFS('AVARIA ESTIMADA'!$J$18:$J$40,'AVARIA ESTIMADA'!$A$18:$A$40,A227)</f>
        <v>0</v>
      </c>
    </row>
    <row r="228" spans="1:6" x14ac:dyDescent="0.3">
      <c r="A228" s="2" t="s">
        <v>168</v>
      </c>
      <c r="B228" s="19" t="str">
        <f>_xlfn.XLOOKUP(A228,CATÁLOGO!$A$2:$A$846,CATÁLOGO!$B$2:$B$846,"FORA DO CATÁLOGO")</f>
        <v>TOP008GG</v>
      </c>
      <c r="C228" s="13">
        <v>4</v>
      </c>
      <c r="D228" s="13" t="str">
        <f>_xlfn.XLOOKUP(A228,CATÁLOGO!$A$2:$A$846,CATÁLOGO!$E$2:$E$846,"FORA DO CATÁLOGO")</f>
        <v>Ativo</v>
      </c>
      <c r="E228" s="2"/>
      <c r="F228" s="62">
        <f>SUMIFS('AVARIA ESTIMADA'!$J$18:$J$40,'AVARIA ESTIMADA'!$A$18:$A$40,A228)</f>
        <v>0</v>
      </c>
    </row>
    <row r="229" spans="1:6" x14ac:dyDescent="0.3">
      <c r="A229" s="2" t="s">
        <v>169</v>
      </c>
      <c r="B229" s="19" t="str">
        <f>_xlfn.XLOOKUP(A229,CATÁLOGO!$A$2:$A$846,CATÁLOGO!$B$2:$B$846,"FORA DO CATÁLOGO")</f>
        <v>CAM009HP</v>
      </c>
      <c r="C229" s="13">
        <v>5</v>
      </c>
      <c r="D229" s="13" t="str">
        <f>_xlfn.XLOOKUP(A229,CATÁLOGO!$A$2:$A$846,CATÁLOGO!$E$2:$E$846,"FORA DO CATÁLOGO")</f>
        <v>Ativo</v>
      </c>
      <c r="E229" s="2"/>
      <c r="F229" s="62">
        <f>SUMIFS('AVARIA ESTIMADA'!$J$18:$J$40,'AVARIA ESTIMADA'!$A$18:$A$40,A229)</f>
        <v>0</v>
      </c>
    </row>
    <row r="230" spans="1:6" x14ac:dyDescent="0.3">
      <c r="A230" s="2" t="s">
        <v>170</v>
      </c>
      <c r="B230" s="19" t="str">
        <f>_xlfn.XLOOKUP(A230,CATÁLOGO!$A$2:$A$846,CATÁLOGO!$B$2:$B$846,"FORA DO CATÁLOGO")</f>
        <v>CAM009HM</v>
      </c>
      <c r="C230" s="13">
        <v>6</v>
      </c>
      <c r="D230" s="13" t="str">
        <f>_xlfn.XLOOKUP(A230,CATÁLOGO!$A$2:$A$846,CATÁLOGO!$E$2:$E$846,"FORA DO CATÁLOGO")</f>
        <v>Ativo</v>
      </c>
      <c r="E230" s="2"/>
      <c r="F230" s="62">
        <f>SUMIFS('AVARIA ESTIMADA'!$J$18:$J$40,'AVARIA ESTIMADA'!$A$18:$A$40,A230)</f>
        <v>0</v>
      </c>
    </row>
    <row r="231" spans="1:6" x14ac:dyDescent="0.3">
      <c r="A231" s="2" t="s">
        <v>172</v>
      </c>
      <c r="B231" s="19" t="str">
        <f>_xlfn.XLOOKUP(A231,CATÁLOGO!$A$2:$A$846,CATÁLOGO!$B$2:$B$846,"FORA DO CATÁLOGO")</f>
        <v>CAM009HGG</v>
      </c>
      <c r="C231" s="13">
        <v>3</v>
      </c>
      <c r="D231" s="13" t="str">
        <f>_xlfn.XLOOKUP(A231,CATÁLOGO!$A$2:$A$846,CATÁLOGO!$E$2:$E$846,"FORA DO CATÁLOGO")</f>
        <v>Ativo</v>
      </c>
      <c r="E231" s="2"/>
      <c r="F231" s="62">
        <f>SUMIFS('AVARIA ESTIMADA'!$J$18:$J$40,'AVARIA ESTIMADA'!$A$18:$A$40,A231)</f>
        <v>0</v>
      </c>
    </row>
    <row r="232" spans="1:6" x14ac:dyDescent="0.3">
      <c r="A232" s="2" t="s">
        <v>1316</v>
      </c>
      <c r="B232" s="19" t="str">
        <f>_xlfn.XLOOKUP(A232,CATÁLOGO!$A$2:$A$846,CATÁLOGO!$B$2:$B$846,"FORA DO CATÁLOGO")</f>
        <v>ACE007GU</v>
      </c>
      <c r="C232" s="13">
        <v>1</v>
      </c>
      <c r="D232" s="13" t="str">
        <f>_xlfn.XLOOKUP(A232,CATÁLOGO!$A$2:$A$846,CATÁLOGO!$E$2:$E$846,"FORA DO CATÁLOGO")</f>
        <v>Descontinuado</v>
      </c>
      <c r="E232" s="2" t="s">
        <v>1339</v>
      </c>
      <c r="F232" s="62">
        <f>SUMIFS('AVARIA ESTIMADA'!$J$18:$J$40,'AVARIA ESTIMADA'!$A$18:$A$40,A232)</f>
        <v>0</v>
      </c>
    </row>
    <row r="233" spans="1:6" x14ac:dyDescent="0.3">
      <c r="A233" s="2" t="s">
        <v>173</v>
      </c>
      <c r="B233" s="19" t="str">
        <f>_xlfn.XLOOKUP(A233,CATÁLOGO!$A$2:$A$846,CATÁLOGO!$B$2:$B$846,"FORA DO CATÁLOGO")</f>
        <v>TOP009GP</v>
      </c>
      <c r="C233" s="13">
        <v>2</v>
      </c>
      <c r="D233" s="13" t="str">
        <f>_xlfn.XLOOKUP(A233,CATÁLOGO!$A$2:$A$846,CATÁLOGO!$E$2:$E$846,"FORA DO CATÁLOGO")</f>
        <v>Descontinuado</v>
      </c>
      <c r="E233" s="2"/>
      <c r="F233" s="62">
        <f>SUMIFS('AVARIA ESTIMADA'!$J$18:$J$40,'AVARIA ESTIMADA'!$A$18:$A$40,A233)</f>
        <v>0</v>
      </c>
    </row>
    <row r="234" spans="1:6" x14ac:dyDescent="0.3">
      <c r="A234" s="2" t="s">
        <v>175</v>
      </c>
      <c r="B234" s="19" t="str">
        <f>_xlfn.XLOOKUP(A234,CATÁLOGO!$A$2:$A$846,CATÁLOGO!$B$2:$B$846,"FORA DO CATÁLOGO")</f>
        <v>TOP009GG</v>
      </c>
      <c r="C234" s="13">
        <v>2</v>
      </c>
      <c r="D234" s="13" t="str">
        <f>_xlfn.XLOOKUP(A234,CATÁLOGO!$A$2:$A$846,CATÁLOGO!$E$2:$E$846,"FORA DO CATÁLOGO")</f>
        <v>Descontinuado</v>
      </c>
      <c r="E234" s="2" t="s">
        <v>1336</v>
      </c>
      <c r="F234" s="62">
        <f>SUMIFS('AVARIA ESTIMADA'!$J$18:$J$40,'AVARIA ESTIMADA'!$A$18:$A$40,A234)</f>
        <v>0</v>
      </c>
    </row>
    <row r="235" spans="1:6" x14ac:dyDescent="0.3">
      <c r="A235" s="2" t="s">
        <v>177</v>
      </c>
      <c r="B235" s="19" t="str">
        <f>_xlfn.XLOOKUP(A235,CATÁLOGO!$A$2:$A$846,CATÁLOGO!$B$2:$B$846,"FORA DO CATÁLOGO")</f>
        <v>TOP010YP</v>
      </c>
      <c r="C235" s="13">
        <v>1</v>
      </c>
      <c r="D235" s="13" t="str">
        <f>_xlfn.XLOOKUP(A235,CATÁLOGO!$A$2:$A$846,CATÁLOGO!$E$2:$E$846,"FORA DO CATÁLOGO")</f>
        <v>Descontinuado</v>
      </c>
      <c r="E235" s="2"/>
      <c r="F235" s="62">
        <f>SUMIFS('AVARIA ESTIMADA'!$J$18:$J$40,'AVARIA ESTIMADA'!$A$18:$A$40,A235)</f>
        <v>0</v>
      </c>
    </row>
    <row r="236" spans="1:6" x14ac:dyDescent="0.3">
      <c r="A236" s="2" t="s">
        <v>178</v>
      </c>
      <c r="B236" s="19" t="str">
        <f>_xlfn.XLOOKUP(A236,CATÁLOGO!$A$2:$A$846,CATÁLOGO!$B$2:$B$846,"FORA DO CATÁLOGO")</f>
        <v>TOP010YM</v>
      </c>
      <c r="C236" s="13">
        <v>1</v>
      </c>
      <c r="D236" s="13" t="str">
        <f>_xlfn.XLOOKUP(A236,CATÁLOGO!$A$2:$A$846,CATÁLOGO!$E$2:$E$846,"FORA DO CATÁLOGO")</f>
        <v>Descontinuado</v>
      </c>
      <c r="E236" s="2"/>
      <c r="F236" s="62">
        <f>SUMIFS('AVARIA ESTIMADA'!$J$18:$J$40,'AVARIA ESTIMADA'!$A$18:$A$40,A236)</f>
        <v>1</v>
      </c>
    </row>
    <row r="237" spans="1:6" x14ac:dyDescent="0.3">
      <c r="A237" s="2" t="s">
        <v>1258</v>
      </c>
      <c r="B237" s="19" t="str">
        <f>_xlfn.XLOOKUP(A237,CATÁLOGO!$A$2:$A$846,CATÁLOGO!$B$2:$B$846,"FORA DO CATÁLOGO")</f>
        <v>TOP010HP</v>
      </c>
      <c r="C237" s="13">
        <v>1</v>
      </c>
      <c r="D237" s="13" t="str">
        <f>_xlfn.XLOOKUP(A237,CATÁLOGO!$A$2:$A$846,CATÁLOGO!$E$2:$E$846,"FORA DO CATÁLOGO")</f>
        <v>Descontinuado</v>
      </c>
      <c r="E237" s="2"/>
      <c r="F237" s="62">
        <f>SUMIFS('AVARIA ESTIMADA'!$J$18:$J$40,'AVARIA ESTIMADA'!$A$18:$A$40,A237)</f>
        <v>0</v>
      </c>
    </row>
    <row r="238" spans="1:6" x14ac:dyDescent="0.3">
      <c r="A238" s="2" t="s">
        <v>180</v>
      </c>
      <c r="B238" s="19" t="str">
        <f>_xlfn.XLOOKUP(A238,CATÁLOGO!$A$2:$A$846,CATÁLOGO!$B$2:$B$846,"FORA DO CATÁLOGO")</f>
        <v>TOP010HM</v>
      </c>
      <c r="C238" s="13">
        <v>1</v>
      </c>
      <c r="D238" s="13" t="str">
        <f>_xlfn.XLOOKUP(A238,CATÁLOGO!$A$2:$A$846,CATÁLOGO!$E$2:$E$846,"FORA DO CATÁLOGO")</f>
        <v>Descontinuado</v>
      </c>
      <c r="E238" s="2"/>
      <c r="F238" s="62">
        <f>SUMIFS('AVARIA ESTIMADA'!$J$18:$J$40,'AVARIA ESTIMADA'!$A$18:$A$40,A238)</f>
        <v>0</v>
      </c>
    </row>
    <row r="239" spans="1:6" x14ac:dyDescent="0.3">
      <c r="A239" s="2" t="s">
        <v>181</v>
      </c>
      <c r="B239" s="19" t="str">
        <f>_xlfn.XLOOKUP(A239,CATÁLOGO!$A$2:$A$846,CATÁLOGO!$B$2:$B$846,"FORA DO CATÁLOGO")</f>
        <v>TOP010HG</v>
      </c>
      <c r="C239" s="13">
        <v>1</v>
      </c>
      <c r="D239" s="13" t="str">
        <f>_xlfn.XLOOKUP(A239,CATÁLOGO!$A$2:$A$846,CATÁLOGO!$E$2:$E$846,"FORA DO CATÁLOGO")</f>
        <v>Descontinuado</v>
      </c>
      <c r="E239" s="2"/>
      <c r="F239" s="62">
        <f>SUMIFS('AVARIA ESTIMADA'!$J$18:$J$40,'AVARIA ESTIMADA'!$A$18:$A$40,A239)</f>
        <v>0</v>
      </c>
    </row>
    <row r="240" spans="1:6" x14ac:dyDescent="0.3">
      <c r="A240" s="2" t="s">
        <v>183</v>
      </c>
      <c r="B240" s="19" t="str">
        <f>_xlfn.XLOOKUP(A240,CATÁLOGO!$A$2:$A$846,CATÁLOGO!$B$2:$B$846,"FORA DO CATÁLOGO")</f>
        <v>CAM010VM</v>
      </c>
      <c r="C240" s="13">
        <v>2</v>
      </c>
      <c r="D240" s="13" t="str">
        <f>_xlfn.XLOOKUP(A240,CATÁLOGO!$A$2:$A$846,CATÁLOGO!$E$2:$E$846,"FORA DO CATÁLOGO")</f>
        <v>Descontinuado</v>
      </c>
      <c r="E240" s="2" t="s">
        <v>1340</v>
      </c>
      <c r="F240" s="62">
        <f>SUMIFS('AVARIA ESTIMADA'!$J$18:$J$40,'AVARIA ESTIMADA'!$A$18:$A$40,A240)</f>
        <v>0</v>
      </c>
    </row>
    <row r="241" spans="1:6" x14ac:dyDescent="0.3">
      <c r="A241" s="2" t="s">
        <v>184</v>
      </c>
      <c r="B241" s="19" t="str">
        <f>_xlfn.XLOOKUP(A241,CATÁLOGO!$A$2:$A$846,CATÁLOGO!$B$2:$B$846,"FORA DO CATÁLOGO")</f>
        <v>CAM010VG</v>
      </c>
      <c r="C241" s="13">
        <v>1</v>
      </c>
      <c r="D241" s="13" t="str">
        <f>_xlfn.XLOOKUP(A241,CATÁLOGO!$A$2:$A$846,CATÁLOGO!$E$2:$E$846,"FORA DO CATÁLOGO")</f>
        <v>Descontinuado</v>
      </c>
      <c r="E241" s="2"/>
      <c r="F241" s="62">
        <f>SUMIFS('AVARIA ESTIMADA'!$J$18:$J$40,'AVARIA ESTIMADA'!$A$18:$A$40,A241)</f>
        <v>0</v>
      </c>
    </row>
    <row r="242" spans="1:6" x14ac:dyDescent="0.3">
      <c r="A242" s="2" t="s">
        <v>185</v>
      </c>
      <c r="B242" s="19" t="str">
        <f>_xlfn.XLOOKUP(A242,CATÁLOGO!$A$2:$A$846,CATÁLOGO!$B$2:$B$846,"FORA DO CATÁLOGO")</f>
        <v>CAM010VGG</v>
      </c>
      <c r="C242" s="13">
        <v>1</v>
      </c>
      <c r="D242" s="13" t="str">
        <f>_xlfn.XLOOKUP(A242,CATÁLOGO!$A$2:$A$846,CATÁLOGO!$E$2:$E$846,"FORA DO CATÁLOGO")</f>
        <v>Descontinuado</v>
      </c>
      <c r="E242" s="2"/>
      <c r="F242" s="62">
        <f>SUMIFS('AVARIA ESTIMADA'!$J$18:$J$40,'AVARIA ESTIMADA'!$A$18:$A$40,A242)</f>
        <v>0</v>
      </c>
    </row>
    <row r="243" spans="1:6" x14ac:dyDescent="0.3">
      <c r="A243" s="2" t="s">
        <v>1283</v>
      </c>
      <c r="B243" s="19" t="str">
        <f>_xlfn.XLOOKUP(A243,CATÁLOGO!$A$2:$A$846,CATÁLOGO!$B$2:$B$846,"FORA DO CATÁLOGO")</f>
        <v>CAM010HP</v>
      </c>
      <c r="C243" s="13">
        <v>1</v>
      </c>
      <c r="D243" s="13" t="str">
        <f>_xlfn.XLOOKUP(A243,CATÁLOGO!$A$2:$A$846,CATÁLOGO!$E$2:$E$846,"FORA DO CATÁLOGO")</f>
        <v>Descontinuado</v>
      </c>
      <c r="E243" s="2"/>
      <c r="F243" s="62">
        <f>SUMIFS('AVARIA ESTIMADA'!$J$18:$J$40,'AVARIA ESTIMADA'!$A$18:$A$40,A243)</f>
        <v>0</v>
      </c>
    </row>
    <row r="244" spans="1:6" x14ac:dyDescent="0.3">
      <c r="A244" s="2" t="s">
        <v>1259</v>
      </c>
      <c r="B244" s="19" t="str">
        <f>_xlfn.XLOOKUP(A244,CATÁLOGO!$A$2:$A$846,CATÁLOGO!$B$2:$B$846,"FORA DO CATÁLOGO")</f>
        <v>CAM010HM</v>
      </c>
      <c r="C244" s="13">
        <v>1</v>
      </c>
      <c r="D244" s="13" t="str">
        <f>_xlfn.XLOOKUP(A244,CATÁLOGO!$A$2:$A$846,CATÁLOGO!$E$2:$E$846,"FORA DO CATÁLOGO")</f>
        <v>Descontinuado</v>
      </c>
      <c r="E244" s="2"/>
      <c r="F244" s="62">
        <f>SUMIFS('AVARIA ESTIMADA'!$J$18:$J$40,'AVARIA ESTIMADA'!$A$18:$A$40,A244)</f>
        <v>0</v>
      </c>
    </row>
    <row r="245" spans="1:6" x14ac:dyDescent="0.3">
      <c r="A245" s="2" t="s">
        <v>186</v>
      </c>
      <c r="B245" s="19" t="str">
        <f>_xlfn.XLOOKUP(A245,CATÁLOGO!$A$2:$A$846,CATÁLOGO!$B$2:$B$846,"FORA DO CATÁLOGO")</f>
        <v>CAM010HG</v>
      </c>
      <c r="C245" s="13">
        <v>1</v>
      </c>
      <c r="D245" s="13" t="str">
        <f>_xlfn.XLOOKUP(A245,CATÁLOGO!$A$2:$A$846,CATÁLOGO!$E$2:$E$846,"FORA DO CATÁLOGO")</f>
        <v>Descontinuado</v>
      </c>
      <c r="E245" s="2"/>
      <c r="F245" s="62">
        <f>SUMIFS('AVARIA ESTIMADA'!$J$18:$J$40,'AVARIA ESTIMADA'!$A$18:$A$40,A245)</f>
        <v>0</v>
      </c>
    </row>
    <row r="246" spans="1:6" x14ac:dyDescent="0.3">
      <c r="A246" s="2" t="s">
        <v>187</v>
      </c>
      <c r="B246" s="19" t="str">
        <f>_xlfn.XLOOKUP(A246,CATÁLOGO!$A$2:$A$846,CATÁLOGO!$B$2:$B$846,"FORA DO CATÁLOGO")</f>
        <v>CAM011HP</v>
      </c>
      <c r="C246" s="13">
        <v>1</v>
      </c>
      <c r="D246" s="13" t="str">
        <f>_xlfn.XLOOKUP(A246,CATÁLOGO!$A$2:$A$846,CATÁLOGO!$E$2:$E$846,"FORA DO CATÁLOGO")</f>
        <v>Descontinuado</v>
      </c>
      <c r="E246" s="2"/>
      <c r="F246" s="62">
        <f>SUMIFS('AVARIA ESTIMADA'!$J$18:$J$40,'AVARIA ESTIMADA'!$A$18:$A$40,A246)</f>
        <v>0</v>
      </c>
    </row>
    <row r="247" spans="1:6" x14ac:dyDescent="0.3">
      <c r="A247" s="2" t="s">
        <v>188</v>
      </c>
      <c r="B247" s="19" t="str">
        <f>_xlfn.XLOOKUP(A247,CATÁLOGO!$A$2:$A$846,CATÁLOGO!$B$2:$B$846,"FORA DO CATÁLOGO")</f>
        <v>CAM011HM</v>
      </c>
      <c r="C247" s="13">
        <v>1</v>
      </c>
      <c r="D247" s="13" t="str">
        <f>_xlfn.XLOOKUP(A247,CATÁLOGO!$A$2:$A$846,CATÁLOGO!$E$2:$E$846,"FORA DO CATÁLOGO")</f>
        <v>Descontinuado</v>
      </c>
      <c r="E247" s="2"/>
      <c r="F247" s="62">
        <f>SUMIFS('AVARIA ESTIMADA'!$J$18:$J$40,'AVARIA ESTIMADA'!$A$18:$A$40,A247)</f>
        <v>0</v>
      </c>
    </row>
    <row r="248" spans="1:6" x14ac:dyDescent="0.3">
      <c r="A248" s="2" t="s">
        <v>189</v>
      </c>
      <c r="B248" s="19" t="str">
        <f>_xlfn.XLOOKUP(A248,CATÁLOGO!$A$2:$A$846,CATÁLOGO!$B$2:$B$846,"FORA DO CATÁLOGO")</f>
        <v>CAM011HG</v>
      </c>
      <c r="C248" s="13">
        <v>1</v>
      </c>
      <c r="D248" s="13" t="str">
        <f>_xlfn.XLOOKUP(A248,CATÁLOGO!$A$2:$A$846,CATÁLOGO!$E$2:$E$846,"FORA DO CATÁLOGO")</f>
        <v>Descontinuado</v>
      </c>
      <c r="E248" s="2"/>
      <c r="F248" s="62">
        <f>SUMIFS('AVARIA ESTIMADA'!$J$18:$J$40,'AVARIA ESTIMADA'!$A$18:$A$40,A248)</f>
        <v>0</v>
      </c>
    </row>
    <row r="249" spans="1:6" x14ac:dyDescent="0.3">
      <c r="A249" s="2" t="s">
        <v>190</v>
      </c>
      <c r="B249" s="19" t="str">
        <f>_xlfn.XLOOKUP(A249,CATÁLOGO!$A$2:$A$846,CATÁLOGO!$B$2:$B$846,"FORA DO CATÁLOGO")</f>
        <v>CAM011LM</v>
      </c>
      <c r="C249" s="13">
        <v>1</v>
      </c>
      <c r="D249" s="13" t="str">
        <f>_xlfn.XLOOKUP(A249,CATÁLOGO!$A$2:$A$846,CATÁLOGO!$E$2:$E$846,"FORA DO CATÁLOGO")</f>
        <v>Descontinuado</v>
      </c>
      <c r="E249" s="2"/>
      <c r="F249" s="62">
        <f>SUMIFS('AVARIA ESTIMADA'!$J$18:$J$40,'AVARIA ESTIMADA'!$A$18:$A$40,A249)</f>
        <v>0</v>
      </c>
    </row>
    <row r="250" spans="1:6" x14ac:dyDescent="0.3">
      <c r="A250" s="2" t="s">
        <v>1260</v>
      </c>
      <c r="B250" s="19" t="str">
        <f>_xlfn.XLOOKUP(A250,CATÁLOGO!$A$2:$A$846,CATÁLOGO!$B$2:$B$846,"FORA DO CATÁLOGO")</f>
        <v>CAM011LG</v>
      </c>
      <c r="C250" s="13">
        <v>1</v>
      </c>
      <c r="D250" s="13" t="str">
        <f>_xlfn.XLOOKUP(A250,CATÁLOGO!$A$2:$A$846,CATÁLOGO!$E$2:$E$846,"FORA DO CATÁLOGO")</f>
        <v>Descontinuado</v>
      </c>
      <c r="E250" s="2"/>
      <c r="F250" s="62">
        <f>SUMIFS('AVARIA ESTIMADA'!$J$18:$J$40,'AVARIA ESTIMADA'!$A$18:$A$40,A250)</f>
        <v>0</v>
      </c>
    </row>
    <row r="251" spans="1:6" x14ac:dyDescent="0.3">
      <c r="A251" s="2" t="s">
        <v>1286</v>
      </c>
      <c r="B251" s="19" t="str">
        <f>_xlfn.XLOOKUP(A251,CATÁLOGO!$A$2:$A$846,CATÁLOGO!$B$2:$B$846,"FORA DO CATÁLOGO")</f>
        <v>CMS007LP</v>
      </c>
      <c r="C251" s="13">
        <v>2</v>
      </c>
      <c r="D251" s="13" t="str">
        <f>_xlfn.XLOOKUP(A251,CATÁLOGO!$A$2:$A$846,CATÁLOGO!$E$2:$E$846,"FORA DO CATÁLOGO")</f>
        <v>Descontinuado</v>
      </c>
      <c r="E251" s="2"/>
      <c r="F251" s="62">
        <f>SUMIFS('AVARIA ESTIMADA'!$J$18:$J$40,'AVARIA ESTIMADA'!$A$18:$A$40,A251)</f>
        <v>0</v>
      </c>
    </row>
    <row r="252" spans="1:6" x14ac:dyDescent="0.3">
      <c r="A252" s="2" t="s">
        <v>191</v>
      </c>
      <c r="B252" s="19" t="str">
        <f>_xlfn.XLOOKUP(A252,CATÁLOGO!$A$2:$A$846,CATÁLOGO!$B$2:$B$846,"FORA DO CATÁLOGO")</f>
        <v>CMS007LM</v>
      </c>
      <c r="C252" s="13">
        <v>1</v>
      </c>
      <c r="D252" s="13" t="str">
        <f>_xlfn.XLOOKUP(A252,CATÁLOGO!$A$2:$A$846,CATÁLOGO!$E$2:$E$846,"FORA DO CATÁLOGO")</f>
        <v>Descontinuado</v>
      </c>
      <c r="E252" s="2"/>
      <c r="F252" s="62">
        <f>SUMIFS('AVARIA ESTIMADA'!$J$18:$J$40,'AVARIA ESTIMADA'!$A$18:$A$40,A252)</f>
        <v>0</v>
      </c>
    </row>
    <row r="253" spans="1:6" x14ac:dyDescent="0.3">
      <c r="A253" s="2" t="s">
        <v>192</v>
      </c>
      <c r="B253" s="19" t="str">
        <f>_xlfn.XLOOKUP(A253,CATÁLOGO!$A$2:$A$846,CATÁLOGO!$B$2:$B$846,"FORA DO CATÁLOGO")</f>
        <v>CMS007LG</v>
      </c>
      <c r="C253" s="13">
        <v>3</v>
      </c>
      <c r="D253" s="13" t="str">
        <f>_xlfn.XLOOKUP(A253,CATÁLOGO!$A$2:$A$846,CATÁLOGO!$E$2:$E$846,"FORA DO CATÁLOGO")</f>
        <v>Descontinuado</v>
      </c>
      <c r="E253" s="2"/>
      <c r="F253" s="62">
        <f>SUMIFS('AVARIA ESTIMADA'!$J$18:$J$40,'AVARIA ESTIMADA'!$A$18:$A$40,A253)</f>
        <v>0</v>
      </c>
    </row>
    <row r="254" spans="1:6" x14ac:dyDescent="0.3">
      <c r="A254" s="2" t="s">
        <v>194</v>
      </c>
      <c r="B254" s="19" t="str">
        <f>_xlfn.XLOOKUP(A254,CATÁLOGO!$A$2:$A$846,CATÁLOGO!$B$2:$B$846,"FORA DO CATÁLOGO")</f>
        <v>CMS007BP</v>
      </c>
      <c r="C254" s="13">
        <v>1</v>
      </c>
      <c r="D254" s="13" t="str">
        <f>_xlfn.XLOOKUP(A254,CATÁLOGO!$A$2:$A$846,CATÁLOGO!$E$2:$E$846,"FORA DO CATÁLOGO")</f>
        <v>Descontinuado</v>
      </c>
      <c r="E254" s="2"/>
      <c r="F254" s="62">
        <f>SUMIFS('AVARIA ESTIMADA'!$J$18:$J$40,'AVARIA ESTIMADA'!$A$18:$A$40,A254)</f>
        <v>0</v>
      </c>
    </row>
    <row r="255" spans="1:6" x14ac:dyDescent="0.3">
      <c r="A255" s="2" t="s">
        <v>195</v>
      </c>
      <c r="B255" s="19" t="str">
        <f>_xlfn.XLOOKUP(A255,CATÁLOGO!$A$2:$A$846,CATÁLOGO!$B$2:$B$846,"FORA DO CATÁLOGO")</f>
        <v>CMS007BM</v>
      </c>
      <c r="C255" s="13">
        <v>1</v>
      </c>
      <c r="D255" s="13" t="str">
        <f>_xlfn.XLOOKUP(A255,CATÁLOGO!$A$2:$A$846,CATÁLOGO!$E$2:$E$846,"FORA DO CATÁLOGO")</f>
        <v>Descontinuado</v>
      </c>
      <c r="E255" s="2"/>
      <c r="F255" s="62">
        <f>SUMIFS('AVARIA ESTIMADA'!$J$18:$J$40,'AVARIA ESTIMADA'!$A$18:$A$40,A255)</f>
        <v>0</v>
      </c>
    </row>
    <row r="256" spans="1:6" x14ac:dyDescent="0.3">
      <c r="A256" s="2" t="s">
        <v>196</v>
      </c>
      <c r="B256" s="19" t="str">
        <f>_xlfn.XLOOKUP(A256,CATÁLOGO!$A$2:$A$846,CATÁLOGO!$B$2:$B$846,"FORA DO CATÁLOGO")</f>
        <v>CMS007BG</v>
      </c>
      <c r="C256" s="13">
        <v>1</v>
      </c>
      <c r="D256" s="13" t="str">
        <f>_xlfn.XLOOKUP(A256,CATÁLOGO!$A$2:$A$846,CATÁLOGO!$E$2:$E$846,"FORA DO CATÁLOGO")</f>
        <v>Descontinuado</v>
      </c>
      <c r="E256" s="2"/>
      <c r="F256" s="62">
        <f>SUMIFS('AVARIA ESTIMADA'!$J$18:$J$40,'AVARIA ESTIMADA'!$A$18:$A$40,A256)</f>
        <v>0</v>
      </c>
    </row>
    <row r="257" spans="1:6" x14ac:dyDescent="0.3">
      <c r="A257" s="2" t="s">
        <v>198</v>
      </c>
      <c r="B257" s="19" t="str">
        <f>_xlfn.XLOOKUP(A257,CATÁLOGO!$A$2:$A$846,CATÁLOGO!$B$2:$B$846,"FORA DO CATÁLOGO")</f>
        <v>CAM012VP</v>
      </c>
      <c r="C257" s="13">
        <v>5</v>
      </c>
      <c r="D257" s="13" t="str">
        <f>_xlfn.XLOOKUP(A257,CATÁLOGO!$A$2:$A$846,CATÁLOGO!$E$2:$E$846,"FORA DO CATÁLOGO")</f>
        <v>Ativo</v>
      </c>
      <c r="E257" s="2"/>
      <c r="F257" s="62">
        <f>SUMIFS('AVARIA ESTIMADA'!$J$18:$J$40,'AVARIA ESTIMADA'!$A$18:$A$40,A257)</f>
        <v>0</v>
      </c>
    </row>
    <row r="258" spans="1:6" x14ac:dyDescent="0.3">
      <c r="A258" s="2" t="s">
        <v>199</v>
      </c>
      <c r="B258" s="19" t="str">
        <f>_xlfn.XLOOKUP(A258,CATÁLOGO!$A$2:$A$846,CATÁLOGO!$B$2:$B$846,"FORA DO CATÁLOGO")</f>
        <v>CAM012VM</v>
      </c>
      <c r="C258" s="13">
        <v>6</v>
      </c>
      <c r="D258" s="13" t="str">
        <f>_xlfn.XLOOKUP(A258,CATÁLOGO!$A$2:$A$846,CATÁLOGO!$E$2:$E$846,"FORA DO CATÁLOGO")</f>
        <v>Ativo</v>
      </c>
      <c r="E258" s="2"/>
      <c r="F258" s="62">
        <f>SUMIFS('AVARIA ESTIMADA'!$J$18:$J$40,'AVARIA ESTIMADA'!$A$18:$A$40,A258)</f>
        <v>0</v>
      </c>
    </row>
    <row r="259" spans="1:6" x14ac:dyDescent="0.3">
      <c r="A259" s="2" t="s">
        <v>200</v>
      </c>
      <c r="B259" s="19" t="str">
        <f>_xlfn.XLOOKUP(A259,CATÁLOGO!$A$2:$A$846,CATÁLOGO!$B$2:$B$846,"FORA DO CATÁLOGO")</f>
        <v>CAM012VG</v>
      </c>
      <c r="C259" s="13">
        <v>5</v>
      </c>
      <c r="D259" s="13" t="str">
        <f>_xlfn.XLOOKUP(A259,CATÁLOGO!$A$2:$A$846,CATÁLOGO!$E$2:$E$846,"FORA DO CATÁLOGO")</f>
        <v>Ativo</v>
      </c>
      <c r="E259" s="2"/>
      <c r="F259" s="62">
        <f>SUMIFS('AVARIA ESTIMADA'!$J$18:$J$40,'AVARIA ESTIMADA'!$A$18:$A$40,A259)</f>
        <v>0</v>
      </c>
    </row>
    <row r="260" spans="1:6" x14ac:dyDescent="0.3">
      <c r="A260" s="2" t="s">
        <v>201</v>
      </c>
      <c r="B260" s="19" t="str">
        <f>_xlfn.XLOOKUP(A260,CATÁLOGO!$A$2:$A$846,CATÁLOGO!$B$2:$B$846,"FORA DO CATÁLOGO")</f>
        <v>CAM012VGG</v>
      </c>
      <c r="C260" s="13">
        <v>3</v>
      </c>
      <c r="D260" s="13" t="str">
        <f>_xlfn.XLOOKUP(A260,CATÁLOGO!$A$2:$A$846,CATÁLOGO!$E$2:$E$846,"FORA DO CATÁLOGO")</f>
        <v>Ativo</v>
      </c>
      <c r="E260" s="2"/>
      <c r="F260" s="62">
        <f>SUMIFS('AVARIA ESTIMADA'!$J$18:$J$40,'AVARIA ESTIMADA'!$A$18:$A$40,A260)</f>
        <v>0</v>
      </c>
    </row>
    <row r="261" spans="1:6" x14ac:dyDescent="0.3">
      <c r="A261" s="2" t="s">
        <v>202</v>
      </c>
      <c r="B261" s="19" t="str">
        <f>_xlfn.XLOOKUP(A261,CATÁLOGO!$A$2:$A$846,CATÁLOGO!$B$2:$B$846,"FORA DO CATÁLOGO")</f>
        <v>MOL010YP</v>
      </c>
      <c r="C261" s="13">
        <v>6</v>
      </c>
      <c r="D261" s="13" t="str">
        <f>_xlfn.XLOOKUP(A261,CATÁLOGO!$A$2:$A$846,CATÁLOGO!$E$2:$E$846,"FORA DO CATÁLOGO")</f>
        <v>Ativo</v>
      </c>
      <c r="E261" s="2" t="s">
        <v>1341</v>
      </c>
      <c r="F261" s="62">
        <f>SUMIFS('AVARIA ESTIMADA'!$J$18:$J$40,'AVARIA ESTIMADA'!$A$18:$A$40,A261)</f>
        <v>0</v>
      </c>
    </row>
    <row r="262" spans="1:6" x14ac:dyDescent="0.3">
      <c r="A262" s="2" t="s">
        <v>203</v>
      </c>
      <c r="B262" s="19" t="str">
        <f>_xlfn.XLOOKUP(A262,CATÁLOGO!$A$2:$A$846,CATÁLOGO!$B$2:$B$846,"FORA DO CATÁLOGO")</f>
        <v>MOL010YM</v>
      </c>
      <c r="C262" s="13">
        <v>6</v>
      </c>
      <c r="D262" s="13" t="str">
        <f>_xlfn.XLOOKUP(A262,CATÁLOGO!$A$2:$A$846,CATÁLOGO!$E$2:$E$846,"FORA DO CATÁLOGO")</f>
        <v>Ativo</v>
      </c>
      <c r="E262" s="2"/>
      <c r="F262" s="62">
        <f>SUMIFS('AVARIA ESTIMADA'!$J$18:$J$40,'AVARIA ESTIMADA'!$A$18:$A$40,A262)</f>
        <v>0</v>
      </c>
    </row>
    <row r="263" spans="1:6" x14ac:dyDescent="0.3">
      <c r="A263" s="2" t="s">
        <v>204</v>
      </c>
      <c r="B263" s="19" t="str">
        <f>_xlfn.XLOOKUP(A263,CATÁLOGO!$A$2:$A$846,CATÁLOGO!$B$2:$B$846,"FORA DO CATÁLOGO")</f>
        <v>MOL010YG</v>
      </c>
      <c r="C263" s="13">
        <v>4</v>
      </c>
      <c r="D263" s="13" t="str">
        <f>_xlfn.XLOOKUP(A263,CATÁLOGO!$A$2:$A$846,CATÁLOGO!$E$2:$E$846,"FORA DO CATÁLOGO")</f>
        <v>Ativo</v>
      </c>
      <c r="E263" s="2" t="s">
        <v>1333</v>
      </c>
      <c r="F263" s="62">
        <f>SUMIFS('AVARIA ESTIMADA'!$J$18:$J$40,'AVARIA ESTIMADA'!$A$18:$A$40,A263)</f>
        <v>0</v>
      </c>
    </row>
    <row r="264" spans="1:6" x14ac:dyDescent="0.3">
      <c r="A264" s="2" t="s">
        <v>205</v>
      </c>
      <c r="B264" s="19" t="str">
        <f>_xlfn.XLOOKUP(A264,CATÁLOGO!$A$2:$A$846,CATÁLOGO!$B$2:$B$846,"FORA DO CATÁLOGO")</f>
        <v>JAQ004HP</v>
      </c>
      <c r="C264" s="13">
        <v>4</v>
      </c>
      <c r="D264" s="13" t="str">
        <f>_xlfn.XLOOKUP(A264,CATÁLOGO!$A$2:$A$846,CATÁLOGO!$E$2:$E$846,"FORA DO CATÁLOGO")</f>
        <v>Ativo</v>
      </c>
      <c r="E264" s="2" t="s">
        <v>1327</v>
      </c>
      <c r="F264" s="62">
        <f>SUMIFS('AVARIA ESTIMADA'!$J$18:$J$40,'AVARIA ESTIMADA'!$A$18:$A$40,A264)</f>
        <v>0</v>
      </c>
    </row>
    <row r="265" spans="1:6" x14ac:dyDescent="0.3">
      <c r="A265" s="2" t="s">
        <v>206</v>
      </c>
      <c r="B265" s="19" t="str">
        <f>_xlfn.XLOOKUP(A265,CATÁLOGO!$A$2:$A$846,CATÁLOGO!$B$2:$B$846,"FORA DO CATÁLOGO")</f>
        <v>JAQ004HM</v>
      </c>
      <c r="C265" s="13">
        <v>5</v>
      </c>
      <c r="D265" s="13" t="str">
        <f>_xlfn.XLOOKUP(A265,CATÁLOGO!$A$2:$A$846,CATÁLOGO!$E$2:$E$846,"FORA DO CATÁLOGO")</f>
        <v>Ativo</v>
      </c>
      <c r="E265" s="2" t="s">
        <v>1333</v>
      </c>
      <c r="F265" s="62">
        <f>SUMIFS('AVARIA ESTIMADA'!$J$18:$J$40,'AVARIA ESTIMADA'!$A$18:$A$40,A265)</f>
        <v>0</v>
      </c>
    </row>
    <row r="266" spans="1:6" x14ac:dyDescent="0.3">
      <c r="A266" s="2" t="s">
        <v>207</v>
      </c>
      <c r="B266" s="19" t="str">
        <f>_xlfn.XLOOKUP(A266,CATÁLOGO!$A$2:$A$846,CATÁLOGO!$B$2:$B$846,"FORA DO CATÁLOGO")</f>
        <v>JAQ004HG</v>
      </c>
      <c r="C266" s="13">
        <v>4</v>
      </c>
      <c r="D266" s="13" t="str">
        <f>_xlfn.XLOOKUP(A266,CATÁLOGO!$A$2:$A$846,CATÁLOGO!$E$2:$E$846,"FORA DO CATÁLOGO")</f>
        <v>Ativo</v>
      </c>
      <c r="E266" s="2" t="s">
        <v>1333</v>
      </c>
      <c r="F266" s="62">
        <f>SUMIFS('AVARIA ESTIMADA'!$J$18:$J$40,'AVARIA ESTIMADA'!$A$18:$A$40,A266)</f>
        <v>0</v>
      </c>
    </row>
    <row r="267" spans="1:6" x14ac:dyDescent="0.3">
      <c r="A267" s="2" t="s">
        <v>208</v>
      </c>
      <c r="B267" s="19" t="str">
        <f>_xlfn.XLOOKUP(A267,CATÁLOGO!$A$2:$A$846,CATÁLOGO!$B$2:$B$846,"FORA DO CATÁLOGO")</f>
        <v>JAQ004HGG</v>
      </c>
      <c r="C267" s="13">
        <v>2</v>
      </c>
      <c r="D267" s="13" t="str">
        <f>_xlfn.XLOOKUP(A267,CATÁLOGO!$A$2:$A$846,CATÁLOGO!$E$2:$E$846,"FORA DO CATÁLOGO")</f>
        <v>Ativo</v>
      </c>
      <c r="E267" s="2"/>
      <c r="F267" s="62">
        <f>SUMIFS('AVARIA ESTIMADA'!$J$18:$J$40,'AVARIA ESTIMADA'!$A$18:$A$40,A267)</f>
        <v>0</v>
      </c>
    </row>
    <row r="268" spans="1:6" x14ac:dyDescent="0.3">
      <c r="A268" s="2" t="s">
        <v>1588</v>
      </c>
      <c r="B268" s="19" t="str">
        <f>_xlfn.XLOOKUP(A268,CATÁLOGO!$A$2:$A$846,CATÁLOGO!$B$2:$B$846,"FORA DO CATÁLOGO")</f>
        <v>CAL011L36</v>
      </c>
      <c r="C268" s="13">
        <v>2</v>
      </c>
      <c r="D268" s="13" t="str">
        <f>_xlfn.XLOOKUP(A268,CATÁLOGO!$A$2:$A$846,CATÁLOGO!$E$2:$E$846,"FORA DO CATÁLOGO")</f>
        <v>Ativo</v>
      </c>
      <c r="E268" s="2"/>
      <c r="F268" s="62">
        <f>SUMIFS('AVARIA ESTIMADA'!$J$18:$J$40,'AVARIA ESTIMADA'!$A$18:$A$40,A268)</f>
        <v>0</v>
      </c>
    </row>
    <row r="269" spans="1:6" x14ac:dyDescent="0.3">
      <c r="A269" s="2" t="s">
        <v>1587</v>
      </c>
      <c r="B269" s="19" t="str">
        <f>_xlfn.XLOOKUP(A269,CATÁLOGO!$A$2:$A$846,CATÁLOGO!$B$2:$B$846,"FORA DO CATÁLOGO")</f>
        <v>CAL011L38</v>
      </c>
      <c r="C269" s="13">
        <v>4</v>
      </c>
      <c r="D269" s="13" t="str">
        <f>_xlfn.XLOOKUP(A269,CATÁLOGO!$A$2:$A$846,CATÁLOGO!$E$2:$E$846,"FORA DO CATÁLOGO")</f>
        <v>Ativo</v>
      </c>
      <c r="E269" s="2"/>
      <c r="F269" s="62">
        <f>SUMIFS('AVARIA ESTIMADA'!$J$18:$J$40,'AVARIA ESTIMADA'!$A$18:$A$40,A269)</f>
        <v>4</v>
      </c>
    </row>
    <row r="270" spans="1:6" x14ac:dyDescent="0.3">
      <c r="A270" s="2" t="s">
        <v>1586</v>
      </c>
      <c r="B270" s="19" t="str">
        <f>_xlfn.XLOOKUP(A270,CATÁLOGO!$A$2:$A$846,CATÁLOGO!$B$2:$B$846,"FORA DO CATÁLOGO")</f>
        <v>CAL011L40</v>
      </c>
      <c r="C270" s="13">
        <v>5</v>
      </c>
      <c r="D270" s="13" t="str">
        <f>_xlfn.XLOOKUP(A270,CATÁLOGO!$A$2:$A$846,CATÁLOGO!$E$2:$E$846,"FORA DO CATÁLOGO")</f>
        <v>Ativo</v>
      </c>
      <c r="E270" s="2" t="s">
        <v>1333</v>
      </c>
      <c r="F270" s="62">
        <f>SUMIFS('AVARIA ESTIMADA'!$J$18:$J$40,'AVARIA ESTIMADA'!$A$18:$A$40,A270)</f>
        <v>0</v>
      </c>
    </row>
    <row r="271" spans="1:6" x14ac:dyDescent="0.3">
      <c r="A271" s="2" t="s">
        <v>1583</v>
      </c>
      <c r="B271" s="19" t="str">
        <f>_xlfn.XLOOKUP(A271,CATÁLOGO!$A$2:$A$846,CATÁLOGO!$B$2:$B$846,"FORA DO CATÁLOGO")</f>
        <v>CAL011L42</v>
      </c>
      <c r="C271" s="13">
        <v>4</v>
      </c>
      <c r="D271" s="13" t="str">
        <f>_xlfn.XLOOKUP(A271,CATÁLOGO!$A$2:$A$846,CATÁLOGO!$E$2:$E$846,"FORA DO CATÁLOGO")</f>
        <v>Ativo</v>
      </c>
      <c r="E271" s="2"/>
      <c r="F271" s="62">
        <f>SUMIFS('AVARIA ESTIMADA'!$J$18:$J$40,'AVARIA ESTIMADA'!$A$18:$A$40,A271)</f>
        <v>0</v>
      </c>
    </row>
    <row r="272" spans="1:6" x14ac:dyDescent="0.3">
      <c r="A272" s="2" t="s">
        <v>1585</v>
      </c>
      <c r="B272" s="19" t="str">
        <f>_xlfn.XLOOKUP(A272,CATÁLOGO!$A$2:$A$846,CATÁLOGO!$B$2:$B$846,"FORA DO CATÁLOGO")</f>
        <v>CAL011L44</v>
      </c>
      <c r="C272" s="13">
        <v>2</v>
      </c>
      <c r="D272" s="13" t="str">
        <f>_xlfn.XLOOKUP(A272,CATÁLOGO!$A$2:$A$846,CATÁLOGO!$E$2:$E$846,"FORA DO CATÁLOGO")</f>
        <v>Ativo</v>
      </c>
      <c r="E272" s="2"/>
      <c r="F272" s="62">
        <f>SUMIFS('AVARIA ESTIMADA'!$J$18:$J$40,'AVARIA ESTIMADA'!$A$18:$A$40,A272)</f>
        <v>0</v>
      </c>
    </row>
    <row r="273" spans="1:6" x14ac:dyDescent="0.3">
      <c r="A273" s="2" t="s">
        <v>209</v>
      </c>
      <c r="B273" s="19" t="str">
        <f>_xlfn.XLOOKUP(A273,CATÁLOGO!$A$2:$A$846,CATÁLOGO!$B$2:$B$846,"FORA DO CATÁLOGO")</f>
        <v>ACE008VU</v>
      </c>
      <c r="C273" s="13">
        <v>6</v>
      </c>
      <c r="D273" s="13" t="str">
        <f>_xlfn.XLOOKUP(A273,CATÁLOGO!$A$2:$A$846,CATÁLOGO!$E$2:$E$846,"FORA DO CATÁLOGO")</f>
        <v>Ativo</v>
      </c>
      <c r="E273" s="2"/>
      <c r="F273" s="62">
        <f>SUMIFS('AVARIA ESTIMADA'!$J$18:$J$40,'AVARIA ESTIMADA'!$A$18:$A$40,A273)</f>
        <v>0</v>
      </c>
    </row>
    <row r="274" spans="1:6" x14ac:dyDescent="0.3">
      <c r="A274" s="2" t="s">
        <v>210</v>
      </c>
      <c r="B274" s="19" t="str">
        <f>_xlfn.XLOOKUP(A274,CATÁLOGO!$A$2:$A$846,CATÁLOGO!$B$2:$B$846,"FORA DO CATÁLOGO")</f>
        <v>VES006MP</v>
      </c>
      <c r="C274" s="13">
        <v>3</v>
      </c>
      <c r="D274" s="13" t="str">
        <f>_xlfn.XLOOKUP(A274,CATÁLOGO!$A$2:$A$846,CATÁLOGO!$E$2:$E$846,"FORA DO CATÁLOGO")</f>
        <v>Ativo</v>
      </c>
      <c r="E274" s="2" t="s">
        <v>1333</v>
      </c>
      <c r="F274" s="62">
        <f>SUMIFS('AVARIA ESTIMADA'!$J$18:$J$40,'AVARIA ESTIMADA'!$A$18:$A$40,A274)</f>
        <v>0</v>
      </c>
    </row>
    <row r="275" spans="1:6" x14ac:dyDescent="0.3">
      <c r="A275" s="2" t="s">
        <v>211</v>
      </c>
      <c r="B275" s="19" t="str">
        <f>_xlfn.XLOOKUP(A275,CATÁLOGO!$A$2:$A$846,CATÁLOGO!$B$2:$B$846,"FORA DO CATÁLOGO")</f>
        <v>VES006MM</v>
      </c>
      <c r="C275" s="13">
        <v>4</v>
      </c>
      <c r="D275" s="13" t="str">
        <f>_xlfn.XLOOKUP(A275,CATÁLOGO!$A$2:$A$846,CATÁLOGO!$E$2:$E$846,"FORA DO CATÁLOGO")</f>
        <v>Ativo</v>
      </c>
      <c r="E275" s="2"/>
      <c r="F275" s="62">
        <f>SUMIFS('AVARIA ESTIMADA'!$J$18:$J$40,'AVARIA ESTIMADA'!$A$18:$A$40,A275)</f>
        <v>0</v>
      </c>
    </row>
    <row r="276" spans="1:6" x14ac:dyDescent="0.3">
      <c r="A276" s="2" t="s">
        <v>212</v>
      </c>
      <c r="B276" s="19" t="str">
        <f>_xlfn.XLOOKUP(A276,CATÁLOGO!$A$2:$A$846,CATÁLOGO!$B$2:$B$846,"FORA DO CATÁLOGO")</f>
        <v>VES006MG</v>
      </c>
      <c r="C276" s="13">
        <v>3</v>
      </c>
      <c r="D276" s="13" t="str">
        <f>_xlfn.XLOOKUP(A276,CATÁLOGO!$A$2:$A$846,CATÁLOGO!$E$2:$E$846,"FORA DO CATÁLOGO")</f>
        <v>Ativo</v>
      </c>
      <c r="E276" s="2"/>
      <c r="F276" s="62">
        <f>SUMIFS('AVARIA ESTIMADA'!$J$18:$J$40,'AVARIA ESTIMADA'!$A$18:$A$40,A276)</f>
        <v>3</v>
      </c>
    </row>
    <row r="277" spans="1:6" x14ac:dyDescent="0.3">
      <c r="A277" s="2" t="s">
        <v>213</v>
      </c>
      <c r="B277" s="19" t="str">
        <f>_xlfn.XLOOKUP(A277,CATÁLOGO!$A$2:$A$846,CATÁLOGO!$B$2:$B$846,"FORA DO CATÁLOGO")</f>
        <v>VES006MGG</v>
      </c>
      <c r="C277" s="13">
        <v>1</v>
      </c>
      <c r="D277" s="13" t="str">
        <f>_xlfn.XLOOKUP(A277,CATÁLOGO!$A$2:$A$846,CATÁLOGO!$E$2:$E$846,"FORA DO CATÁLOGO")</f>
        <v>Ativo</v>
      </c>
      <c r="E277" s="2"/>
      <c r="F277" s="62">
        <f>SUMIFS('AVARIA ESTIMADA'!$J$18:$J$40,'AVARIA ESTIMADA'!$A$18:$A$40,A277)</f>
        <v>0</v>
      </c>
    </row>
    <row r="278" spans="1:6" x14ac:dyDescent="0.3">
      <c r="A278" s="2" t="s">
        <v>214</v>
      </c>
      <c r="B278" s="19" t="str">
        <f>_xlfn.XLOOKUP(A278,CATÁLOGO!$A$2:$A$846,CATÁLOGO!$B$2:$B$846,"FORA DO CATÁLOGO")</f>
        <v>VES006HP</v>
      </c>
      <c r="C278" s="13">
        <v>2</v>
      </c>
      <c r="D278" s="13" t="str">
        <f>_xlfn.XLOOKUP(A278,CATÁLOGO!$A$2:$A$846,CATÁLOGO!$E$2:$E$846,"FORA DO CATÁLOGO")</f>
        <v>Ativo</v>
      </c>
      <c r="E278" s="2"/>
      <c r="F278" s="62">
        <f>SUMIFS('AVARIA ESTIMADA'!$J$18:$J$40,'AVARIA ESTIMADA'!$A$18:$A$40,A278)</f>
        <v>0</v>
      </c>
    </row>
    <row r="279" spans="1:6" x14ac:dyDescent="0.3">
      <c r="A279" s="2" t="s">
        <v>215</v>
      </c>
      <c r="B279" s="19" t="str">
        <f>_xlfn.XLOOKUP(A279,CATÁLOGO!$A$2:$A$846,CATÁLOGO!$B$2:$B$846,"FORA DO CATÁLOGO")</f>
        <v>VES006HM</v>
      </c>
      <c r="C279" s="13">
        <v>4</v>
      </c>
      <c r="D279" s="13" t="str">
        <f>_xlfn.XLOOKUP(A279,CATÁLOGO!$A$2:$A$846,CATÁLOGO!$E$2:$E$846,"FORA DO CATÁLOGO")</f>
        <v>Ativo</v>
      </c>
      <c r="E279" s="2"/>
      <c r="F279" s="62">
        <f>SUMIFS('AVARIA ESTIMADA'!$J$18:$J$40,'AVARIA ESTIMADA'!$A$18:$A$40,A279)</f>
        <v>0</v>
      </c>
    </row>
    <row r="280" spans="1:6" x14ac:dyDescent="0.3">
      <c r="A280" s="2" t="s">
        <v>216</v>
      </c>
      <c r="B280" s="19" t="str">
        <f>_xlfn.XLOOKUP(A280,CATÁLOGO!$A$2:$A$846,CATÁLOGO!$B$2:$B$846,"FORA DO CATÁLOGO")</f>
        <v>VES006HG</v>
      </c>
      <c r="C280" s="13">
        <v>2</v>
      </c>
      <c r="D280" s="13" t="str">
        <f>_xlfn.XLOOKUP(A280,CATÁLOGO!$A$2:$A$846,CATÁLOGO!$E$2:$E$846,"FORA DO CATÁLOGO")</f>
        <v>Ativo</v>
      </c>
      <c r="E280" s="2"/>
      <c r="F280" s="62">
        <f>SUMIFS('AVARIA ESTIMADA'!$J$18:$J$40,'AVARIA ESTIMADA'!$A$18:$A$40,A280)</f>
        <v>0</v>
      </c>
    </row>
    <row r="281" spans="1:6" x14ac:dyDescent="0.3">
      <c r="A281" s="2" t="s">
        <v>217</v>
      </c>
      <c r="B281" s="19" t="str">
        <f>_xlfn.XLOOKUP(A281,CATÁLOGO!$A$2:$A$846,CATÁLOGO!$B$2:$B$846,"FORA DO CATÁLOGO")</f>
        <v>VES006HGG</v>
      </c>
      <c r="C281" s="13">
        <v>1</v>
      </c>
      <c r="D281" s="13" t="str">
        <f>_xlfn.XLOOKUP(A281,CATÁLOGO!$A$2:$A$846,CATÁLOGO!$E$2:$E$846,"FORA DO CATÁLOGO")</f>
        <v>Ativo</v>
      </c>
      <c r="E281" s="2"/>
      <c r="F281" s="62">
        <f>SUMIFS('AVARIA ESTIMADA'!$J$18:$J$40,'AVARIA ESTIMADA'!$A$18:$A$40,A281)</f>
        <v>0</v>
      </c>
    </row>
    <row r="282" spans="1:6" x14ac:dyDescent="0.3">
      <c r="A282" s="2" t="s">
        <v>218</v>
      </c>
      <c r="B282" s="19" t="str">
        <f>_xlfn.XLOOKUP(A282,CATÁLOGO!$A$2:$A$846,CATÁLOGO!$B$2:$B$846,"FORA DO CATÁLOGO")</f>
        <v>TRI005VP</v>
      </c>
      <c r="C282" s="13">
        <v>4</v>
      </c>
      <c r="D282" s="13" t="str">
        <f>_xlfn.XLOOKUP(A282,CATÁLOGO!$A$2:$A$846,CATÁLOGO!$E$2:$E$846,"FORA DO CATÁLOGO")</f>
        <v>Ativo</v>
      </c>
      <c r="E282" s="2"/>
      <c r="F282" s="62">
        <f>SUMIFS('AVARIA ESTIMADA'!$J$18:$J$40,'AVARIA ESTIMADA'!$A$18:$A$40,A282)</f>
        <v>0</v>
      </c>
    </row>
    <row r="283" spans="1:6" x14ac:dyDescent="0.3">
      <c r="A283" s="2" t="s">
        <v>219</v>
      </c>
      <c r="B283" s="19" t="str">
        <f>_xlfn.XLOOKUP(A283,CATÁLOGO!$A$2:$A$846,CATÁLOGO!$B$2:$B$846,"FORA DO CATÁLOGO")</f>
        <v>TRI005VM</v>
      </c>
      <c r="C283" s="13">
        <v>6</v>
      </c>
      <c r="D283" s="13" t="str">
        <f>_xlfn.XLOOKUP(A283,CATÁLOGO!$A$2:$A$846,CATÁLOGO!$E$2:$E$846,"FORA DO CATÁLOGO")</f>
        <v>Ativo</v>
      </c>
      <c r="E283" s="2"/>
      <c r="F283" s="62">
        <f>SUMIFS('AVARIA ESTIMADA'!$J$18:$J$40,'AVARIA ESTIMADA'!$A$18:$A$40,A283)</f>
        <v>0</v>
      </c>
    </row>
    <row r="284" spans="1:6" x14ac:dyDescent="0.3">
      <c r="A284" s="2" t="s">
        <v>220</v>
      </c>
      <c r="B284" s="19" t="str">
        <f>_xlfn.XLOOKUP(A284,CATÁLOGO!$A$2:$A$846,CATÁLOGO!$B$2:$B$846,"FORA DO CATÁLOGO")</f>
        <v>TRI005VG</v>
      </c>
      <c r="C284" s="13">
        <v>5</v>
      </c>
      <c r="D284" s="13" t="str">
        <f>_xlfn.XLOOKUP(A284,CATÁLOGO!$A$2:$A$846,CATÁLOGO!$E$2:$E$846,"FORA DO CATÁLOGO")</f>
        <v>Ativo</v>
      </c>
      <c r="E284" s="2"/>
      <c r="F284" s="62">
        <f>SUMIFS('AVARIA ESTIMADA'!$J$18:$J$40,'AVARIA ESTIMADA'!$A$18:$A$40,A284)</f>
        <v>0</v>
      </c>
    </row>
    <row r="285" spans="1:6" x14ac:dyDescent="0.3">
      <c r="A285" s="2" t="s">
        <v>221</v>
      </c>
      <c r="B285" s="19" t="str">
        <f>_xlfn.XLOOKUP(A285,CATÁLOGO!$A$2:$A$846,CATÁLOGO!$B$2:$B$846,"FORA DO CATÁLOGO")</f>
        <v>TRI005VGG</v>
      </c>
      <c r="C285" s="13">
        <v>4</v>
      </c>
      <c r="D285" s="13" t="str">
        <f>_xlfn.XLOOKUP(A285,CATÁLOGO!$A$2:$A$846,CATÁLOGO!$E$2:$E$846,"FORA DO CATÁLOGO")</f>
        <v>Ativo</v>
      </c>
      <c r="E285" s="2"/>
      <c r="F285" s="62">
        <f>SUMIFS('AVARIA ESTIMADA'!$J$18:$J$40,'AVARIA ESTIMADA'!$A$18:$A$40,A285)</f>
        <v>0</v>
      </c>
    </row>
    <row r="286" spans="1:6" x14ac:dyDescent="0.3">
      <c r="A286" s="2" t="s">
        <v>1742</v>
      </c>
      <c r="B286" s="19" t="str">
        <f>_xlfn.XLOOKUP(A286,CATÁLOGO!$A$2:$A$846,CATÁLOGO!$B$2:$B$846,"FORA DO CATÁLOGO")</f>
        <v>CAM013VPP</v>
      </c>
      <c r="C286" s="13">
        <v>2</v>
      </c>
      <c r="D286" s="13" t="str">
        <f>_xlfn.XLOOKUP(A286,CATÁLOGO!$A$2:$A$846,CATÁLOGO!$E$2:$E$846,"FORA DO CATÁLOGO")</f>
        <v>Ativo</v>
      </c>
      <c r="E286" s="2"/>
      <c r="F286" s="62">
        <f>SUMIFS('AVARIA ESTIMADA'!$J$18:$J$40,'AVARIA ESTIMADA'!$A$18:$A$40,A286)</f>
        <v>0</v>
      </c>
    </row>
    <row r="287" spans="1:6" x14ac:dyDescent="0.3">
      <c r="A287" s="2" t="s">
        <v>222</v>
      </c>
      <c r="B287" s="19" t="str">
        <f>_xlfn.XLOOKUP(A287,CATÁLOGO!$A$2:$A$846,CATÁLOGO!$B$2:$B$846,"FORA DO CATÁLOGO")</f>
        <v>CAM013VP</v>
      </c>
      <c r="C287" s="13">
        <v>4</v>
      </c>
      <c r="D287" s="13" t="str">
        <f>_xlfn.XLOOKUP(A287,CATÁLOGO!$A$2:$A$846,CATÁLOGO!$E$2:$E$846,"FORA DO CATÁLOGO")</f>
        <v>Ativo</v>
      </c>
      <c r="E287" s="2"/>
      <c r="F287" s="62">
        <f>SUMIFS('AVARIA ESTIMADA'!$J$18:$J$40,'AVARIA ESTIMADA'!$A$18:$A$40,A287)</f>
        <v>0</v>
      </c>
    </row>
    <row r="288" spans="1:6" x14ac:dyDescent="0.3">
      <c r="A288" s="2" t="s">
        <v>223</v>
      </c>
      <c r="B288" s="19" t="str">
        <f>_xlfn.XLOOKUP(A288,CATÁLOGO!$A$2:$A$846,CATÁLOGO!$B$2:$B$846,"FORA DO CATÁLOGO")</f>
        <v>CAM013VM</v>
      </c>
      <c r="C288" s="13">
        <v>6</v>
      </c>
      <c r="D288" s="13" t="str">
        <f>_xlfn.XLOOKUP(A288,CATÁLOGO!$A$2:$A$846,CATÁLOGO!$E$2:$E$846,"FORA DO CATÁLOGO")</f>
        <v>Ativo</v>
      </c>
      <c r="E288" s="2"/>
      <c r="F288" s="62">
        <f>SUMIFS('AVARIA ESTIMADA'!$J$18:$J$40,'AVARIA ESTIMADA'!$A$18:$A$40,A288)</f>
        <v>0</v>
      </c>
    </row>
    <row r="289" spans="1:6" x14ac:dyDescent="0.3">
      <c r="A289" s="2" t="s">
        <v>224</v>
      </c>
      <c r="B289" s="19" t="str">
        <f>_xlfn.XLOOKUP(A289,CATÁLOGO!$A$2:$A$846,CATÁLOGO!$B$2:$B$846,"FORA DO CATÁLOGO")</f>
        <v>CAM013VG</v>
      </c>
      <c r="C289" s="13">
        <v>5</v>
      </c>
      <c r="D289" s="13" t="str">
        <f>_xlfn.XLOOKUP(A289,CATÁLOGO!$A$2:$A$846,CATÁLOGO!$E$2:$E$846,"FORA DO CATÁLOGO")</f>
        <v>Ativo</v>
      </c>
      <c r="E289" s="2"/>
      <c r="F289" s="62">
        <f>SUMIFS('AVARIA ESTIMADA'!$J$18:$J$40,'AVARIA ESTIMADA'!$A$18:$A$40,A289)</f>
        <v>0</v>
      </c>
    </row>
    <row r="290" spans="1:6" x14ac:dyDescent="0.3">
      <c r="A290" s="2" t="s">
        <v>225</v>
      </c>
      <c r="B290" s="19" t="str">
        <f>_xlfn.XLOOKUP(A290,CATÁLOGO!$A$2:$A$846,CATÁLOGO!$B$2:$B$846,"FORA DO CATÁLOGO")</f>
        <v>CAM013VGG</v>
      </c>
      <c r="C290" s="13">
        <v>3</v>
      </c>
      <c r="D290" s="13" t="str">
        <f>_xlfn.XLOOKUP(A290,CATÁLOGO!$A$2:$A$846,CATÁLOGO!$E$2:$E$846,"FORA DO CATÁLOGO")</f>
        <v>Ativo</v>
      </c>
      <c r="E290" s="2"/>
      <c r="F290" s="62">
        <f>SUMIFS('AVARIA ESTIMADA'!$J$18:$J$40,'AVARIA ESTIMADA'!$A$18:$A$40,A290)</f>
        <v>0</v>
      </c>
    </row>
    <row r="291" spans="1:6" x14ac:dyDescent="0.3">
      <c r="A291" s="2" t="s">
        <v>226</v>
      </c>
      <c r="B291" s="19" t="str">
        <f>_xlfn.XLOOKUP(A291,CATÁLOGO!$A$2:$A$846,CATÁLOGO!$B$2:$B$846,"FORA DO CATÁLOGO")</f>
        <v>CAM014LP</v>
      </c>
      <c r="C291" s="13">
        <v>1</v>
      </c>
      <c r="D291" s="13" t="str">
        <f>_xlfn.XLOOKUP(A291,CATÁLOGO!$A$2:$A$846,CATÁLOGO!$E$2:$E$846,"FORA DO CATÁLOGO")</f>
        <v>Descontinuado</v>
      </c>
      <c r="E291" s="2"/>
      <c r="F291" s="62">
        <f>SUMIFS('AVARIA ESTIMADA'!$J$18:$J$40,'AVARIA ESTIMADA'!$A$18:$A$40,A291)</f>
        <v>0</v>
      </c>
    </row>
    <row r="292" spans="1:6" x14ac:dyDescent="0.3">
      <c r="A292" s="2" t="s">
        <v>227</v>
      </c>
      <c r="B292" s="19" t="str">
        <f>_xlfn.XLOOKUP(A292,CATÁLOGO!$A$2:$A$846,CATÁLOGO!$B$2:$B$846,"FORA DO CATÁLOGO")</f>
        <v>CAM014LM</v>
      </c>
      <c r="C292" s="13">
        <v>2</v>
      </c>
      <c r="D292" s="13" t="str">
        <f>_xlfn.XLOOKUP(A292,CATÁLOGO!$A$2:$A$846,CATÁLOGO!$E$2:$E$846,"FORA DO CATÁLOGO")</f>
        <v>Descontinuado</v>
      </c>
      <c r="E292" s="2"/>
      <c r="F292" s="62">
        <f>SUMIFS('AVARIA ESTIMADA'!$J$18:$J$40,'AVARIA ESTIMADA'!$A$18:$A$40,A292)</f>
        <v>0</v>
      </c>
    </row>
    <row r="293" spans="1:6" x14ac:dyDescent="0.3">
      <c r="A293" s="2" t="s">
        <v>228</v>
      </c>
      <c r="B293" s="19" t="str">
        <f>_xlfn.XLOOKUP(A293,CATÁLOGO!$A$2:$A$846,CATÁLOGO!$B$2:$B$846,"FORA DO CATÁLOGO")</f>
        <v>CAM014LG</v>
      </c>
      <c r="C293" s="13">
        <v>2</v>
      </c>
      <c r="D293" s="13" t="str">
        <f>_xlfn.XLOOKUP(A293,CATÁLOGO!$A$2:$A$846,CATÁLOGO!$E$2:$E$846,"FORA DO CATÁLOGO")</f>
        <v>Descontinuado</v>
      </c>
      <c r="E293" s="2"/>
      <c r="F293" s="62">
        <f>SUMIFS('AVARIA ESTIMADA'!$J$18:$J$40,'AVARIA ESTIMADA'!$A$18:$A$40,A293)</f>
        <v>0</v>
      </c>
    </row>
    <row r="294" spans="1:6" x14ac:dyDescent="0.3">
      <c r="A294" s="2" t="s">
        <v>1261</v>
      </c>
      <c r="B294" s="19" t="str">
        <f>_xlfn.XLOOKUP(A294,CATÁLOGO!$A$2:$A$846,CATÁLOGO!$B$2:$B$846,"FORA DO CATÁLOGO")</f>
        <v>CAM014CP</v>
      </c>
      <c r="C294" s="13">
        <v>1</v>
      </c>
      <c r="D294" s="13" t="str">
        <f>_xlfn.XLOOKUP(A294,CATÁLOGO!$A$2:$A$846,CATÁLOGO!$E$2:$E$846,"FORA DO CATÁLOGO")</f>
        <v>Descontinuado</v>
      </c>
      <c r="E294" s="2"/>
      <c r="F294" s="62">
        <f>SUMIFS('AVARIA ESTIMADA'!$J$18:$J$40,'AVARIA ESTIMADA'!$A$18:$A$40,A294)</f>
        <v>0</v>
      </c>
    </row>
    <row r="295" spans="1:6" x14ac:dyDescent="0.3">
      <c r="A295" s="2" t="s">
        <v>230</v>
      </c>
      <c r="B295" s="19" t="str">
        <f>_xlfn.XLOOKUP(A295,CATÁLOGO!$A$2:$A$846,CATÁLOGO!$B$2:$B$846,"FORA DO CATÁLOGO")</f>
        <v>CAM014CG</v>
      </c>
      <c r="C295" s="13">
        <v>1</v>
      </c>
      <c r="D295" s="13" t="str">
        <f>_xlfn.XLOOKUP(A295,CATÁLOGO!$A$2:$A$846,CATÁLOGO!$E$2:$E$846,"FORA DO CATÁLOGO")</f>
        <v>Descontinuado</v>
      </c>
      <c r="E295" s="2"/>
      <c r="F295" s="62">
        <f>SUMIFS('AVARIA ESTIMADA'!$J$18:$J$40,'AVARIA ESTIMADA'!$A$18:$A$40,A295)</f>
        <v>0</v>
      </c>
    </row>
    <row r="296" spans="1:6" x14ac:dyDescent="0.3">
      <c r="A296" s="2" t="s">
        <v>1864</v>
      </c>
      <c r="B296" s="19" t="str">
        <f>_xlfn.XLOOKUP(A296,CATÁLOGO!$A$2:$A$846,CATÁLOGO!$B$2:$B$846,"FORA DO CATÁLOGO")</f>
        <v>SAI006PPP</v>
      </c>
      <c r="C296" s="13">
        <v>1</v>
      </c>
      <c r="D296" s="13" t="str">
        <f>_xlfn.XLOOKUP(A296,CATÁLOGO!$A$2:$A$846,CATÁLOGO!$E$2:$E$846,"FORA DO CATÁLOGO")</f>
        <v>Ativo</v>
      </c>
      <c r="E296" s="2"/>
      <c r="F296" s="62">
        <f>SUMIFS('AVARIA ESTIMADA'!$J$18:$J$40,'AVARIA ESTIMADA'!$A$18:$A$40,A296)</f>
        <v>0</v>
      </c>
    </row>
    <row r="297" spans="1:6" x14ac:dyDescent="0.3">
      <c r="A297" s="2" t="s">
        <v>231</v>
      </c>
      <c r="B297" s="19" t="str">
        <f>_xlfn.XLOOKUP(A297,CATÁLOGO!$A$2:$A$846,CATÁLOGO!$B$2:$B$846,"FORA DO CATÁLOGO")</f>
        <v>SAI006PP</v>
      </c>
      <c r="C297" s="13">
        <v>3</v>
      </c>
      <c r="D297" s="13" t="str">
        <f>_xlfn.XLOOKUP(A297,CATÁLOGO!$A$2:$A$846,CATÁLOGO!$E$2:$E$846,"FORA DO CATÁLOGO")</f>
        <v>Ativo</v>
      </c>
      <c r="E297" s="2"/>
      <c r="F297" s="62">
        <f>SUMIFS('AVARIA ESTIMADA'!$J$18:$J$40,'AVARIA ESTIMADA'!$A$18:$A$40,A297)</f>
        <v>0</v>
      </c>
    </row>
    <row r="298" spans="1:6" x14ac:dyDescent="0.3">
      <c r="A298" s="2" t="s">
        <v>232</v>
      </c>
      <c r="B298" s="19" t="str">
        <f>_xlfn.XLOOKUP(A298,CATÁLOGO!$A$2:$A$846,CATÁLOGO!$B$2:$B$846,"FORA DO CATÁLOGO")</f>
        <v>SAI006PM</v>
      </c>
      <c r="C298" s="13">
        <v>4</v>
      </c>
      <c r="D298" s="13" t="str">
        <f>_xlfn.XLOOKUP(A298,CATÁLOGO!$A$2:$A$846,CATÁLOGO!$E$2:$E$846,"FORA DO CATÁLOGO")</f>
        <v>Ativo</v>
      </c>
      <c r="E298" s="2"/>
      <c r="F298" s="62">
        <f>SUMIFS('AVARIA ESTIMADA'!$J$18:$J$40,'AVARIA ESTIMADA'!$A$18:$A$40,A298)</f>
        <v>0</v>
      </c>
    </row>
    <row r="299" spans="1:6" x14ac:dyDescent="0.3">
      <c r="A299" s="2" t="s">
        <v>233</v>
      </c>
      <c r="B299" s="19" t="str">
        <f>_xlfn.XLOOKUP(A299,CATÁLOGO!$A$2:$A$846,CATÁLOGO!$B$2:$B$846,"FORA DO CATÁLOGO")</f>
        <v>SAI006PG</v>
      </c>
      <c r="C299" s="13">
        <v>3</v>
      </c>
      <c r="D299" s="13" t="str">
        <f>_xlfn.XLOOKUP(A299,CATÁLOGO!$A$2:$A$846,CATÁLOGO!$E$2:$E$846,"FORA DO CATÁLOGO")</f>
        <v>Ativo</v>
      </c>
      <c r="E299" s="2"/>
      <c r="F299" s="62">
        <f>SUMIFS('AVARIA ESTIMADA'!$J$18:$J$40,'AVARIA ESTIMADA'!$A$18:$A$40,A299)</f>
        <v>0</v>
      </c>
    </row>
    <row r="300" spans="1:6" x14ac:dyDescent="0.3">
      <c r="A300" s="2" t="s">
        <v>234</v>
      </c>
      <c r="B300" s="19" t="str">
        <f>_xlfn.XLOOKUP(A300,CATÁLOGO!$A$2:$A$846,CATÁLOGO!$B$2:$B$846,"FORA DO CATÁLOGO")</f>
        <v>SAI006PGG</v>
      </c>
      <c r="C300" s="13">
        <v>2</v>
      </c>
      <c r="D300" s="13" t="str">
        <f>_xlfn.XLOOKUP(A300,CATÁLOGO!$A$2:$A$846,CATÁLOGO!$E$2:$E$846,"FORA DO CATÁLOGO")</f>
        <v>Ativo</v>
      </c>
      <c r="E300" s="2"/>
      <c r="F300" s="62">
        <f>SUMIFS('AVARIA ESTIMADA'!$J$18:$J$40,'AVARIA ESTIMADA'!$A$18:$A$40,A300)</f>
        <v>0</v>
      </c>
    </row>
    <row r="301" spans="1:6" x14ac:dyDescent="0.3">
      <c r="A301" s="2" t="s">
        <v>235</v>
      </c>
      <c r="B301" s="19" t="str">
        <f>_xlfn.XLOOKUP(A301,CATÁLOGO!$A$2:$A$846,CATÁLOGO!$B$2:$B$846,"FORA DO CATÁLOGO")</f>
        <v>TRI006GP</v>
      </c>
      <c r="C301" s="13">
        <v>1</v>
      </c>
      <c r="D301" s="13" t="str">
        <f>_xlfn.XLOOKUP(A301,CATÁLOGO!$A$2:$A$846,CATÁLOGO!$E$2:$E$846,"FORA DO CATÁLOGO")</f>
        <v>Descontinuado</v>
      </c>
      <c r="E301" s="2"/>
      <c r="F301" s="62">
        <f>SUMIFS('AVARIA ESTIMADA'!$J$18:$J$40,'AVARIA ESTIMADA'!$A$18:$A$40,A301)</f>
        <v>0</v>
      </c>
    </row>
    <row r="302" spans="1:6" x14ac:dyDescent="0.3">
      <c r="A302" s="2" t="s">
        <v>237</v>
      </c>
      <c r="B302" s="19" t="str">
        <f>_xlfn.XLOOKUP(A302,CATÁLOGO!$A$2:$A$846,CATÁLOGO!$B$2:$B$846,"FORA DO CATÁLOGO")</f>
        <v>TRI006GG</v>
      </c>
      <c r="C302" s="13">
        <v>2</v>
      </c>
      <c r="D302" s="13" t="str">
        <f>_xlfn.XLOOKUP(A302,CATÁLOGO!$A$2:$A$846,CATÁLOGO!$E$2:$E$846,"FORA DO CATÁLOGO")</f>
        <v>Descontinuado</v>
      </c>
      <c r="E302" s="2"/>
      <c r="F302" s="62">
        <f>SUMIFS('AVARIA ESTIMADA'!$J$18:$J$40,'AVARIA ESTIMADA'!$A$18:$A$40,A302)</f>
        <v>0</v>
      </c>
    </row>
    <row r="303" spans="1:6" x14ac:dyDescent="0.3">
      <c r="A303" s="2" t="s">
        <v>238</v>
      </c>
      <c r="B303" s="19" t="str">
        <f>_xlfn.XLOOKUP(A303,CATÁLOGO!$A$2:$A$846,CATÁLOGO!$B$2:$B$846,"FORA DO CATÁLOGO")</f>
        <v>TRI006GGG</v>
      </c>
      <c r="C303" s="13">
        <v>1</v>
      </c>
      <c r="D303" s="13" t="str">
        <f>_xlfn.XLOOKUP(A303,CATÁLOGO!$A$2:$A$846,CATÁLOGO!$E$2:$E$846,"FORA DO CATÁLOGO")</f>
        <v>Descontinuado</v>
      </c>
      <c r="E303" s="2"/>
      <c r="F303" s="62">
        <f>SUMIFS('AVARIA ESTIMADA'!$J$18:$J$40,'AVARIA ESTIMADA'!$A$18:$A$40,A303)</f>
        <v>0</v>
      </c>
    </row>
    <row r="304" spans="1:6" x14ac:dyDescent="0.3">
      <c r="A304" s="2" t="s">
        <v>1593</v>
      </c>
      <c r="B304" s="19" t="str">
        <f>_xlfn.XLOOKUP(A304,CATÁLOGO!$A$2:$A$846,CATÁLOGO!$B$2:$B$846,"FORA DO CATÁLOGO")</f>
        <v>CAL012P38</v>
      </c>
      <c r="C304" s="13">
        <v>6</v>
      </c>
      <c r="D304" s="13" t="str">
        <f>_xlfn.XLOOKUP(A304,CATÁLOGO!$A$2:$A$846,CATÁLOGO!$E$2:$E$846,"FORA DO CATÁLOGO")</f>
        <v>Ativo</v>
      </c>
      <c r="E304" s="2"/>
      <c r="F304" s="62">
        <f>SUMIFS('AVARIA ESTIMADA'!$J$18:$J$40,'AVARIA ESTIMADA'!$A$18:$A$40,A304)</f>
        <v>0</v>
      </c>
    </row>
    <row r="305" spans="1:6" x14ac:dyDescent="0.3">
      <c r="A305" s="2" t="s">
        <v>1592</v>
      </c>
      <c r="B305" s="19" t="str">
        <f>_xlfn.XLOOKUP(A305,CATÁLOGO!$A$2:$A$846,CATÁLOGO!$B$2:$B$846,"FORA DO CATÁLOGO")</f>
        <v>CAL012P40</v>
      </c>
      <c r="C305" s="13">
        <v>6</v>
      </c>
      <c r="D305" s="13" t="str">
        <f>_xlfn.XLOOKUP(A305,CATÁLOGO!$A$2:$A$846,CATÁLOGO!$E$2:$E$846,"FORA DO CATÁLOGO")</f>
        <v>Ativo</v>
      </c>
      <c r="E305" s="2"/>
      <c r="F305" s="62">
        <f>SUMIFS('AVARIA ESTIMADA'!$J$18:$J$40,'AVARIA ESTIMADA'!$A$18:$A$40,A305)</f>
        <v>0</v>
      </c>
    </row>
    <row r="306" spans="1:6" x14ac:dyDescent="0.3">
      <c r="A306" s="2" t="s">
        <v>1589</v>
      </c>
      <c r="B306" s="19" t="str">
        <f>_xlfn.XLOOKUP(A306,CATÁLOGO!$A$2:$A$846,CATÁLOGO!$B$2:$B$846,"FORA DO CATÁLOGO")</f>
        <v>CAL012P42</v>
      </c>
      <c r="C306" s="13">
        <v>5</v>
      </c>
      <c r="D306" s="13" t="str">
        <f>_xlfn.XLOOKUP(A306,CATÁLOGO!$A$2:$A$846,CATÁLOGO!$E$2:$E$846,"FORA DO CATÁLOGO")</f>
        <v>Ativo</v>
      </c>
      <c r="E306" s="2"/>
      <c r="F306" s="62">
        <f>SUMIFS('AVARIA ESTIMADA'!$J$18:$J$40,'AVARIA ESTIMADA'!$A$18:$A$40,A306)</f>
        <v>0</v>
      </c>
    </row>
    <row r="307" spans="1:6" x14ac:dyDescent="0.3">
      <c r="A307" s="2" t="s">
        <v>1591</v>
      </c>
      <c r="B307" s="19" t="str">
        <f>_xlfn.XLOOKUP(A307,CATÁLOGO!$A$2:$A$846,CATÁLOGO!$B$2:$B$846,"FORA DO CATÁLOGO")</f>
        <v>CAL012P44</v>
      </c>
      <c r="C307" s="13">
        <v>3</v>
      </c>
      <c r="D307" s="13" t="str">
        <f>_xlfn.XLOOKUP(A307,CATÁLOGO!$A$2:$A$846,CATÁLOGO!$E$2:$E$846,"FORA DO CATÁLOGO")</f>
        <v>Ativo</v>
      </c>
      <c r="E307" s="2"/>
      <c r="F307" s="62">
        <f>SUMIFS('AVARIA ESTIMADA'!$J$18:$J$40,'AVARIA ESTIMADA'!$A$18:$A$40,A307)</f>
        <v>0</v>
      </c>
    </row>
    <row r="308" spans="1:6" x14ac:dyDescent="0.3">
      <c r="A308" s="2" t="s">
        <v>1910</v>
      </c>
      <c r="B308" s="19" t="str">
        <f>_xlfn.XLOOKUP(A308,CATÁLOGO!$A$2:$A$846,CATÁLOGO!$B$2:$B$846,"FORA DO CATÁLOGO")</f>
        <v>TRI007LPP</v>
      </c>
      <c r="C308" s="13">
        <v>1</v>
      </c>
      <c r="D308" s="13" t="str">
        <f>_xlfn.XLOOKUP(A308,CATÁLOGO!$A$2:$A$846,CATÁLOGO!$E$2:$E$846,"FORA DO CATÁLOGO")</f>
        <v>Ativo</v>
      </c>
      <c r="E308" s="2"/>
      <c r="F308" s="62">
        <f>SUMIFS('AVARIA ESTIMADA'!$J$18:$J$40,'AVARIA ESTIMADA'!$A$18:$A$40,A308)</f>
        <v>0</v>
      </c>
    </row>
    <row r="309" spans="1:6" x14ac:dyDescent="0.3">
      <c r="A309" s="2" t="s">
        <v>239</v>
      </c>
      <c r="B309" s="19" t="str">
        <f>_xlfn.XLOOKUP(A309,CATÁLOGO!$A$2:$A$846,CATÁLOGO!$B$2:$B$846,"FORA DO CATÁLOGO")</f>
        <v>TRI007LP</v>
      </c>
      <c r="C309" s="13">
        <v>5</v>
      </c>
      <c r="D309" s="13" t="str">
        <f>_xlfn.XLOOKUP(A309,CATÁLOGO!$A$2:$A$846,CATÁLOGO!$E$2:$E$846,"FORA DO CATÁLOGO")</f>
        <v>Ativo</v>
      </c>
      <c r="E309" s="2"/>
      <c r="F309" s="62">
        <f>SUMIFS('AVARIA ESTIMADA'!$J$18:$J$40,'AVARIA ESTIMADA'!$A$18:$A$40,A309)</f>
        <v>0</v>
      </c>
    </row>
    <row r="310" spans="1:6" x14ac:dyDescent="0.3">
      <c r="A310" s="2" t="s">
        <v>240</v>
      </c>
      <c r="B310" s="19" t="str">
        <f>_xlfn.XLOOKUP(A310,CATÁLOGO!$A$2:$A$846,CATÁLOGO!$B$2:$B$846,"FORA DO CATÁLOGO")</f>
        <v>TRI007LM</v>
      </c>
      <c r="C310" s="13">
        <v>6</v>
      </c>
      <c r="D310" s="13" t="str">
        <f>_xlfn.XLOOKUP(A310,CATÁLOGO!$A$2:$A$846,CATÁLOGO!$E$2:$E$846,"FORA DO CATÁLOGO")</f>
        <v>Ativo</v>
      </c>
      <c r="E310" s="2"/>
      <c r="F310" s="62">
        <f>SUMIFS('AVARIA ESTIMADA'!$J$18:$J$40,'AVARIA ESTIMADA'!$A$18:$A$40,A310)</f>
        <v>0</v>
      </c>
    </row>
    <row r="311" spans="1:6" x14ac:dyDescent="0.3">
      <c r="A311" s="2" t="s">
        <v>241</v>
      </c>
      <c r="B311" s="19" t="str">
        <f>_xlfn.XLOOKUP(A311,CATÁLOGO!$A$2:$A$846,CATÁLOGO!$B$2:$B$846,"FORA DO CATÁLOGO")</f>
        <v>TRI007LG</v>
      </c>
      <c r="C311" s="13">
        <v>5</v>
      </c>
      <c r="D311" s="13" t="str">
        <f>_xlfn.XLOOKUP(A311,CATÁLOGO!$A$2:$A$846,CATÁLOGO!$E$2:$E$846,"FORA DO CATÁLOGO")</f>
        <v>Ativo</v>
      </c>
      <c r="E311" s="2"/>
      <c r="F311" s="62">
        <f>SUMIFS('AVARIA ESTIMADA'!$J$18:$J$40,'AVARIA ESTIMADA'!$A$18:$A$40,A311)</f>
        <v>0</v>
      </c>
    </row>
    <row r="312" spans="1:6" x14ac:dyDescent="0.3">
      <c r="A312" s="2" t="s">
        <v>242</v>
      </c>
      <c r="B312" s="19" t="str">
        <f>_xlfn.XLOOKUP(A312,CATÁLOGO!$A$2:$A$846,CATÁLOGO!$B$2:$B$846,"FORA DO CATÁLOGO")</f>
        <v>TRI007LGG</v>
      </c>
      <c r="C312" s="13">
        <v>4</v>
      </c>
      <c r="D312" s="13" t="str">
        <f>_xlfn.XLOOKUP(A312,CATÁLOGO!$A$2:$A$846,CATÁLOGO!$E$2:$E$846,"FORA DO CATÁLOGO")</f>
        <v>Ativo</v>
      </c>
      <c r="E312" s="2" t="s">
        <v>1337</v>
      </c>
      <c r="F312" s="62">
        <f>SUMIFS('AVARIA ESTIMADA'!$J$18:$J$40,'AVARIA ESTIMADA'!$A$18:$A$40,A312)</f>
        <v>0</v>
      </c>
    </row>
    <row r="313" spans="1:6" x14ac:dyDescent="0.3">
      <c r="A313" s="2" t="s">
        <v>1482</v>
      </c>
      <c r="B313" s="19" t="str">
        <f>_xlfn.XLOOKUP(A313,CATÁLOGO!$A$2:$A$846,CATÁLOGO!$B$2:$B$846,"FORA DO CATÁLOGO")</f>
        <v>BER006L36</v>
      </c>
      <c r="C313" s="13">
        <v>1</v>
      </c>
      <c r="D313" s="13" t="str">
        <f>_xlfn.XLOOKUP(A313,CATÁLOGO!$A$2:$A$846,CATÁLOGO!$E$2:$E$846,"FORA DO CATÁLOGO")</f>
        <v>Ativo</v>
      </c>
      <c r="E313" s="2"/>
      <c r="F313" s="62">
        <f>SUMIFS('AVARIA ESTIMADA'!$J$18:$J$40,'AVARIA ESTIMADA'!$A$18:$A$40,A313)</f>
        <v>0</v>
      </c>
    </row>
    <row r="314" spans="1:6" x14ac:dyDescent="0.3">
      <c r="A314" s="2" t="s">
        <v>1481</v>
      </c>
      <c r="B314" s="19" t="str">
        <f>_xlfn.XLOOKUP(A314,CATÁLOGO!$A$2:$A$846,CATÁLOGO!$B$2:$B$846,"FORA DO CATÁLOGO")</f>
        <v>BER006L38</v>
      </c>
      <c r="C314" s="13">
        <v>2</v>
      </c>
      <c r="D314" s="13" t="str">
        <f>_xlfn.XLOOKUP(A314,CATÁLOGO!$A$2:$A$846,CATÁLOGO!$E$2:$E$846,"FORA DO CATÁLOGO")</f>
        <v>Ativo</v>
      </c>
      <c r="E314" s="2"/>
      <c r="F314" s="62">
        <f>SUMIFS('AVARIA ESTIMADA'!$J$18:$J$40,'AVARIA ESTIMADA'!$A$18:$A$40,A314)</f>
        <v>0</v>
      </c>
    </row>
    <row r="315" spans="1:6" x14ac:dyDescent="0.3">
      <c r="A315" s="2" t="s">
        <v>1477</v>
      </c>
      <c r="B315" s="19" t="str">
        <f>_xlfn.XLOOKUP(A315,CATÁLOGO!$A$2:$A$846,CATÁLOGO!$B$2:$B$846,"FORA DO CATÁLOGO")</f>
        <v>BER006L42</v>
      </c>
      <c r="C315" s="13">
        <v>1</v>
      </c>
      <c r="D315" s="13" t="str">
        <f>_xlfn.XLOOKUP(A315,CATÁLOGO!$A$2:$A$846,CATÁLOGO!$E$2:$E$846,"FORA DO CATÁLOGO")</f>
        <v>Ativo</v>
      </c>
      <c r="E315" s="2"/>
      <c r="F315" s="62">
        <f>SUMIFS('AVARIA ESTIMADA'!$J$18:$J$40,'AVARIA ESTIMADA'!$A$18:$A$40,A315)</f>
        <v>1</v>
      </c>
    </row>
    <row r="316" spans="1:6" x14ac:dyDescent="0.3">
      <c r="A316" s="2" t="s">
        <v>1479</v>
      </c>
      <c r="B316" s="19" t="str">
        <f>_xlfn.XLOOKUP(A316,CATÁLOGO!$A$2:$A$846,CATÁLOGO!$B$2:$B$846,"FORA DO CATÁLOGO")</f>
        <v>BER006L44</v>
      </c>
      <c r="C316" s="13">
        <v>1</v>
      </c>
      <c r="D316" s="13" t="str">
        <f>_xlfn.XLOOKUP(A316,CATÁLOGO!$A$2:$A$846,CATÁLOGO!$E$2:$E$846,"FORA DO CATÁLOGO")</f>
        <v>Ativo</v>
      </c>
      <c r="E316" s="2"/>
      <c r="F316" s="62">
        <f>SUMIFS('AVARIA ESTIMADA'!$J$18:$J$40,'AVARIA ESTIMADA'!$A$18:$A$40,A316)</f>
        <v>0</v>
      </c>
    </row>
    <row r="317" spans="1:6" x14ac:dyDescent="0.3">
      <c r="A317" s="2" t="s">
        <v>1599</v>
      </c>
      <c r="B317" s="19" t="str">
        <f>_xlfn.XLOOKUP(A317,CATÁLOGO!$A$2:$A$846,CATÁLOGO!$B$2:$B$846,"FORA DO CATÁLOGO")</f>
        <v>CAL013M36</v>
      </c>
      <c r="C317" s="13">
        <v>2</v>
      </c>
      <c r="D317" s="13" t="str">
        <f>_xlfn.XLOOKUP(A317,CATÁLOGO!$A$2:$A$846,CATÁLOGO!$E$2:$E$846,"FORA DO CATÁLOGO")</f>
        <v>Descontinuado</v>
      </c>
      <c r="E317" s="2"/>
      <c r="F317" s="62">
        <f>SUMIFS('AVARIA ESTIMADA'!$J$18:$J$40,'AVARIA ESTIMADA'!$A$18:$A$40,A317)</f>
        <v>0</v>
      </c>
    </row>
    <row r="318" spans="1:6" x14ac:dyDescent="0.3">
      <c r="A318" s="2" t="s">
        <v>1598</v>
      </c>
      <c r="B318" s="19" t="str">
        <f>_xlfn.XLOOKUP(A318,CATÁLOGO!$A$2:$A$846,CATÁLOGO!$B$2:$B$846,"FORA DO CATÁLOGO")</f>
        <v>CAL013M38</v>
      </c>
      <c r="C318" s="13">
        <v>4</v>
      </c>
      <c r="D318" s="13" t="str">
        <f>_xlfn.XLOOKUP(A318,CATÁLOGO!$A$2:$A$846,CATÁLOGO!$E$2:$E$846,"FORA DO CATÁLOGO")</f>
        <v>Descontinuado</v>
      </c>
      <c r="E318" s="2"/>
      <c r="F318" s="62">
        <f>SUMIFS('AVARIA ESTIMADA'!$J$18:$J$40,'AVARIA ESTIMADA'!$A$18:$A$40,A318)</f>
        <v>0</v>
      </c>
    </row>
    <row r="319" spans="1:6" x14ac:dyDescent="0.3">
      <c r="A319" s="2" t="s">
        <v>1597</v>
      </c>
      <c r="B319" s="19" t="str">
        <f>_xlfn.XLOOKUP(A319,CATÁLOGO!$A$2:$A$846,CATÁLOGO!$B$2:$B$846,"FORA DO CATÁLOGO")</f>
        <v>CAL013M40</v>
      </c>
      <c r="C319" s="13">
        <v>5</v>
      </c>
      <c r="D319" s="13" t="str">
        <f>_xlfn.XLOOKUP(A319,CATÁLOGO!$A$2:$A$846,CATÁLOGO!$E$2:$E$846,"FORA DO CATÁLOGO")</f>
        <v>Descontinuado</v>
      </c>
      <c r="E319" s="2"/>
      <c r="F319" s="62">
        <f>SUMIFS('AVARIA ESTIMADA'!$J$18:$J$40,'AVARIA ESTIMADA'!$A$18:$A$40,A319)</f>
        <v>0</v>
      </c>
    </row>
    <row r="320" spans="1:6" x14ac:dyDescent="0.3">
      <c r="A320" s="2" t="s">
        <v>1594</v>
      </c>
      <c r="B320" s="19" t="str">
        <f>_xlfn.XLOOKUP(A320,CATÁLOGO!$A$2:$A$846,CATÁLOGO!$B$2:$B$846,"FORA DO CATÁLOGO")</f>
        <v>CAL013M42</v>
      </c>
      <c r="C320" s="13">
        <v>2</v>
      </c>
      <c r="D320" s="13" t="str">
        <f>_xlfn.XLOOKUP(A320,CATÁLOGO!$A$2:$A$846,CATÁLOGO!$E$2:$E$846,"FORA DO CATÁLOGO")</f>
        <v>Descontinuado</v>
      </c>
      <c r="E320" s="2" t="s">
        <v>1339</v>
      </c>
      <c r="F320" s="62">
        <f>SUMIFS('AVARIA ESTIMADA'!$J$18:$J$40,'AVARIA ESTIMADA'!$A$18:$A$40,A320)</f>
        <v>0</v>
      </c>
    </row>
    <row r="321" spans="1:6" x14ac:dyDescent="0.3">
      <c r="A321" s="2" t="s">
        <v>1596</v>
      </c>
      <c r="B321" s="19" t="str">
        <f>_xlfn.XLOOKUP(A321,CATÁLOGO!$A$2:$A$846,CATÁLOGO!$B$2:$B$846,"FORA DO CATÁLOGO")</f>
        <v>CAL013M44</v>
      </c>
      <c r="C321" s="13">
        <v>2</v>
      </c>
      <c r="D321" s="13" t="str">
        <f>_xlfn.XLOOKUP(A321,CATÁLOGO!$A$2:$A$846,CATÁLOGO!$E$2:$E$846,"FORA DO CATÁLOGO")</f>
        <v>Descontinuado</v>
      </c>
      <c r="E321" s="2"/>
      <c r="F321" s="62">
        <f>SUMIFS('AVARIA ESTIMADA'!$J$18:$J$40,'AVARIA ESTIMADA'!$A$18:$A$40,A321)</f>
        <v>0</v>
      </c>
    </row>
    <row r="322" spans="1:6" x14ac:dyDescent="0.3">
      <c r="A322" s="2" t="s">
        <v>243</v>
      </c>
      <c r="B322" s="19" t="str">
        <f>_xlfn.XLOOKUP(A322,CATÁLOGO!$A$2:$A$846,CATÁLOGO!$B$2:$B$846,"FORA DO CATÁLOGO")</f>
        <v>VES007VP</v>
      </c>
      <c r="C322" s="13">
        <v>3</v>
      </c>
      <c r="D322" s="13" t="str">
        <f>_xlfn.XLOOKUP(A322,CATÁLOGO!$A$2:$A$846,CATÁLOGO!$E$2:$E$846,"FORA DO CATÁLOGO")</f>
        <v>Ativo</v>
      </c>
      <c r="E322" s="2"/>
      <c r="F322" s="62">
        <f>SUMIFS('AVARIA ESTIMADA'!$J$18:$J$40,'AVARIA ESTIMADA'!$A$18:$A$40,A322)</f>
        <v>0</v>
      </c>
    </row>
    <row r="323" spans="1:6" x14ac:dyDescent="0.3">
      <c r="A323" s="2" t="s">
        <v>245</v>
      </c>
      <c r="B323" s="19" t="str">
        <f>_xlfn.XLOOKUP(A323,CATÁLOGO!$A$2:$A$846,CATÁLOGO!$B$2:$B$846,"FORA DO CATÁLOGO")</f>
        <v>VES007VG</v>
      </c>
      <c r="C323" s="13">
        <v>5</v>
      </c>
      <c r="D323" s="13" t="str">
        <f>_xlfn.XLOOKUP(A323,CATÁLOGO!$A$2:$A$846,CATÁLOGO!$E$2:$E$846,"FORA DO CATÁLOGO")</f>
        <v>Ativo</v>
      </c>
      <c r="E323" s="2" t="s">
        <v>1341</v>
      </c>
      <c r="F323" s="62">
        <f>SUMIFS('AVARIA ESTIMADA'!$J$18:$J$40,'AVARIA ESTIMADA'!$A$18:$A$40,A323)</f>
        <v>0</v>
      </c>
    </row>
    <row r="324" spans="1:6" x14ac:dyDescent="0.3">
      <c r="A324" s="2" t="s">
        <v>246</v>
      </c>
      <c r="B324" s="19" t="str">
        <f>_xlfn.XLOOKUP(A324,CATÁLOGO!$A$2:$A$846,CATÁLOGO!$B$2:$B$846,"FORA DO CATÁLOGO")</f>
        <v>VES007VGG</v>
      </c>
      <c r="C324" s="13">
        <v>2</v>
      </c>
      <c r="D324" s="13" t="str">
        <f>_xlfn.XLOOKUP(A324,CATÁLOGO!$A$2:$A$846,CATÁLOGO!$E$2:$E$846,"FORA DO CATÁLOGO")</f>
        <v>Ativo</v>
      </c>
      <c r="E324" s="2"/>
      <c r="F324" s="62">
        <f>SUMIFS('AVARIA ESTIMADA'!$J$18:$J$40,'AVARIA ESTIMADA'!$A$18:$A$40,A324)</f>
        <v>2</v>
      </c>
    </row>
    <row r="325" spans="1:6" x14ac:dyDescent="0.3">
      <c r="A325" s="2" t="s">
        <v>247</v>
      </c>
      <c r="B325" s="19" t="str">
        <f>_xlfn.XLOOKUP(A325,CATÁLOGO!$A$2:$A$846,CATÁLOGO!$B$2:$B$846,"FORA DO CATÁLOGO")</f>
        <v>TRI008LP</v>
      </c>
      <c r="C325" s="13">
        <v>5</v>
      </c>
      <c r="D325" s="13" t="str">
        <f>_xlfn.XLOOKUP(A325,CATÁLOGO!$A$2:$A$846,CATÁLOGO!$E$2:$E$846,"FORA DO CATÁLOGO")</f>
        <v>Ativo</v>
      </c>
      <c r="E325" s="2"/>
      <c r="F325" s="62">
        <f>SUMIFS('AVARIA ESTIMADA'!$J$18:$J$40,'AVARIA ESTIMADA'!$A$18:$A$40,A325)</f>
        <v>0</v>
      </c>
    </row>
    <row r="326" spans="1:6" x14ac:dyDescent="0.3">
      <c r="A326" s="2" t="s">
        <v>248</v>
      </c>
      <c r="B326" s="19" t="str">
        <f>_xlfn.XLOOKUP(A326,CATÁLOGO!$A$2:$A$846,CATÁLOGO!$B$2:$B$846,"FORA DO CATÁLOGO")</f>
        <v>TRI008LM</v>
      </c>
      <c r="C326" s="13">
        <v>6</v>
      </c>
      <c r="D326" s="13" t="str">
        <f>_xlfn.XLOOKUP(A326,CATÁLOGO!$A$2:$A$846,CATÁLOGO!$E$2:$E$846,"FORA DO CATÁLOGO")</f>
        <v>Ativo</v>
      </c>
      <c r="E326" s="2"/>
      <c r="F326" s="62">
        <f>SUMIFS('AVARIA ESTIMADA'!$J$18:$J$40,'AVARIA ESTIMADA'!$A$18:$A$40,A326)</f>
        <v>0</v>
      </c>
    </row>
    <row r="327" spans="1:6" x14ac:dyDescent="0.3">
      <c r="A327" s="2" t="s">
        <v>249</v>
      </c>
      <c r="B327" s="19" t="str">
        <f>_xlfn.XLOOKUP(A327,CATÁLOGO!$A$2:$A$846,CATÁLOGO!$B$2:$B$846,"FORA DO CATÁLOGO")</f>
        <v>TRI008LG</v>
      </c>
      <c r="C327" s="13">
        <v>7</v>
      </c>
      <c r="D327" s="13" t="str">
        <f>_xlfn.XLOOKUP(A327,CATÁLOGO!$A$2:$A$846,CATÁLOGO!$E$2:$E$846,"FORA DO CATÁLOGO")</f>
        <v>Ativo</v>
      </c>
      <c r="E327" s="2" t="s">
        <v>1338</v>
      </c>
      <c r="F327" s="62">
        <f>SUMIFS('AVARIA ESTIMADA'!$J$18:$J$40,'AVARIA ESTIMADA'!$A$18:$A$40,A327)</f>
        <v>0</v>
      </c>
    </row>
    <row r="328" spans="1:6" x14ac:dyDescent="0.3">
      <c r="A328" s="2" t="s">
        <v>250</v>
      </c>
      <c r="B328" s="19" t="str">
        <f>_xlfn.XLOOKUP(A328,CATÁLOGO!$A$2:$A$846,CATÁLOGO!$B$2:$B$846,"FORA DO CATÁLOGO")</f>
        <v>ACE009VU</v>
      </c>
      <c r="C328" s="13">
        <v>3</v>
      </c>
      <c r="D328" s="13" t="str">
        <f>_xlfn.XLOOKUP(A328,CATÁLOGO!$A$2:$A$846,CATÁLOGO!$E$2:$E$846,"FORA DO CATÁLOGO")</f>
        <v>Descontinuado</v>
      </c>
      <c r="E328" s="2"/>
      <c r="F328" s="62">
        <f>SUMIFS('AVARIA ESTIMADA'!$J$18:$J$40,'AVARIA ESTIMADA'!$A$18:$A$40,A328)</f>
        <v>0</v>
      </c>
    </row>
    <row r="329" spans="1:6" x14ac:dyDescent="0.3">
      <c r="A329" s="2" t="s">
        <v>251</v>
      </c>
      <c r="B329" s="19" t="str">
        <f>_xlfn.XLOOKUP(A329,CATÁLOGO!$A$2:$A$846,CATÁLOGO!$B$2:$B$846,"FORA DO CATÁLOGO")</f>
        <v>ACE009BU</v>
      </c>
      <c r="C329" s="13">
        <v>1</v>
      </c>
      <c r="D329" s="13" t="str">
        <f>_xlfn.XLOOKUP(A329,CATÁLOGO!$A$2:$A$846,CATÁLOGO!$E$2:$E$846,"FORA DO CATÁLOGO")</f>
        <v>Descontinuado</v>
      </c>
      <c r="E329" s="2"/>
      <c r="F329" s="62">
        <f>SUMIFS('AVARIA ESTIMADA'!$J$18:$J$40,'AVARIA ESTIMADA'!$A$18:$A$40,A329)</f>
        <v>0</v>
      </c>
    </row>
    <row r="330" spans="1:6" x14ac:dyDescent="0.3">
      <c r="A330" s="2" t="s">
        <v>1607</v>
      </c>
      <c r="B330" s="19" t="str">
        <f>_xlfn.XLOOKUP(A330,CATÁLOGO!$A$2:$A$846,CATÁLOGO!$B$2:$B$846,"FORA DO CATÁLOGO")</f>
        <v>CAL014A36</v>
      </c>
      <c r="C330" s="13">
        <v>2</v>
      </c>
      <c r="D330" s="13" t="str">
        <f>_xlfn.XLOOKUP(A330,CATÁLOGO!$A$2:$A$846,CATÁLOGO!$E$2:$E$846,"FORA DO CATÁLOGO")</f>
        <v>Descontinuado</v>
      </c>
      <c r="E330" s="2" t="s">
        <v>1333</v>
      </c>
      <c r="F330" s="62">
        <f>SUMIFS('AVARIA ESTIMADA'!$J$18:$J$40,'AVARIA ESTIMADA'!$A$18:$A$40,A330)</f>
        <v>0</v>
      </c>
    </row>
    <row r="331" spans="1:6" x14ac:dyDescent="0.3">
      <c r="A331" s="2" t="s">
        <v>1604</v>
      </c>
      <c r="B331" s="19" t="str">
        <f>_xlfn.XLOOKUP(A331,CATÁLOGO!$A$2:$A$846,CATÁLOGO!$B$2:$B$846,"FORA DO CATÁLOGO")</f>
        <v>CAL014A38</v>
      </c>
      <c r="C331" s="13">
        <v>2</v>
      </c>
      <c r="D331" s="13" t="str">
        <f>_xlfn.XLOOKUP(A331,CATÁLOGO!$A$2:$A$846,CATÁLOGO!$E$2:$E$846,"FORA DO CATÁLOGO")</f>
        <v>Descontinuado</v>
      </c>
      <c r="E331" s="2"/>
      <c r="F331" s="62">
        <f>SUMIFS('AVARIA ESTIMADA'!$J$18:$J$40,'AVARIA ESTIMADA'!$A$18:$A$40,A331)</f>
        <v>0</v>
      </c>
    </row>
    <row r="332" spans="1:6" x14ac:dyDescent="0.3">
      <c r="A332" s="2" t="s">
        <v>1603</v>
      </c>
      <c r="B332" s="19" t="str">
        <f>_xlfn.XLOOKUP(A332,CATÁLOGO!$A$2:$A$846,CATÁLOGO!$B$2:$B$846,"FORA DO CATÁLOGO")</f>
        <v>CAL014A40</v>
      </c>
      <c r="C332" s="13">
        <v>3</v>
      </c>
      <c r="D332" s="13" t="str">
        <f>_xlfn.XLOOKUP(A332,CATÁLOGO!$A$2:$A$846,CATÁLOGO!$E$2:$E$846,"FORA DO CATÁLOGO")</f>
        <v>Descontinuado</v>
      </c>
      <c r="E332" s="2"/>
      <c r="F332" s="62">
        <f>SUMIFS('AVARIA ESTIMADA'!$J$18:$J$40,'AVARIA ESTIMADA'!$A$18:$A$40,A332)</f>
        <v>0</v>
      </c>
    </row>
    <row r="333" spans="1:6" x14ac:dyDescent="0.3">
      <c r="A333" s="2" t="s">
        <v>1600</v>
      </c>
      <c r="B333" s="19" t="str">
        <f>_xlfn.XLOOKUP(A333,CATÁLOGO!$A$2:$A$846,CATÁLOGO!$B$2:$B$846,"FORA DO CATÁLOGO")</f>
        <v>CAL014A42</v>
      </c>
      <c r="C333" s="13">
        <v>3</v>
      </c>
      <c r="D333" s="13" t="str">
        <f>_xlfn.XLOOKUP(A333,CATÁLOGO!$A$2:$A$846,CATÁLOGO!$E$2:$E$846,"FORA DO CATÁLOGO")</f>
        <v>Descontinuado</v>
      </c>
      <c r="E333" s="2"/>
      <c r="F333" s="62">
        <f>SUMIFS('AVARIA ESTIMADA'!$J$18:$J$40,'AVARIA ESTIMADA'!$A$18:$A$40,A333)</f>
        <v>0</v>
      </c>
    </row>
    <row r="334" spans="1:6" x14ac:dyDescent="0.3">
      <c r="A334" s="2" t="s">
        <v>1602</v>
      </c>
      <c r="B334" s="19" t="str">
        <f>_xlfn.XLOOKUP(A334,CATÁLOGO!$A$2:$A$846,CATÁLOGO!$B$2:$B$846,"FORA DO CATÁLOGO")</f>
        <v>CAL014A44</v>
      </c>
      <c r="C334" s="13">
        <v>1</v>
      </c>
      <c r="D334" s="13" t="str">
        <f>_xlfn.XLOOKUP(A334,CATÁLOGO!$A$2:$A$846,CATÁLOGO!$E$2:$E$846,"FORA DO CATÁLOGO")</f>
        <v>Descontinuado</v>
      </c>
      <c r="E334" s="2"/>
      <c r="F334" s="62">
        <f>SUMIFS('AVARIA ESTIMADA'!$J$18:$J$40,'AVARIA ESTIMADA'!$A$18:$A$40,A334)</f>
        <v>0</v>
      </c>
    </row>
    <row r="335" spans="1:6" x14ac:dyDescent="0.3">
      <c r="A335" s="2" t="s">
        <v>252</v>
      </c>
      <c r="B335" s="19" t="str">
        <f>_xlfn.XLOOKUP(A335,CATÁLOGO!$A$2:$A$846,CATÁLOGO!$B$2:$B$846,"FORA DO CATÁLOGO")</f>
        <v>CAM015CP</v>
      </c>
      <c r="C335" s="13">
        <v>1</v>
      </c>
      <c r="D335" s="13" t="str">
        <f>_xlfn.XLOOKUP(A335,CATÁLOGO!$A$2:$A$846,CATÁLOGO!$E$2:$E$846,"FORA DO CATÁLOGO")</f>
        <v>Descontinuado</v>
      </c>
      <c r="E335" s="2"/>
      <c r="F335" s="62">
        <f>SUMIFS('AVARIA ESTIMADA'!$J$18:$J$40,'AVARIA ESTIMADA'!$A$18:$A$40,A335)</f>
        <v>0</v>
      </c>
    </row>
    <row r="336" spans="1:6" x14ac:dyDescent="0.3">
      <c r="A336" s="2" t="s">
        <v>253</v>
      </c>
      <c r="B336" s="19" t="str">
        <f>_xlfn.XLOOKUP(A336,CATÁLOGO!$A$2:$A$846,CATÁLOGO!$B$2:$B$846,"FORA DO CATÁLOGO")</f>
        <v>CAM015CM</v>
      </c>
      <c r="C336" s="13">
        <v>2</v>
      </c>
      <c r="D336" s="13" t="str">
        <f>_xlfn.XLOOKUP(A336,CATÁLOGO!$A$2:$A$846,CATÁLOGO!$E$2:$E$846,"FORA DO CATÁLOGO")</f>
        <v>Descontinuado</v>
      </c>
      <c r="E336" s="2"/>
      <c r="F336" s="62">
        <f>SUMIFS('AVARIA ESTIMADA'!$J$18:$J$40,'AVARIA ESTIMADA'!$A$18:$A$40,A336)</f>
        <v>0</v>
      </c>
    </row>
    <row r="337" spans="1:6" x14ac:dyDescent="0.3">
      <c r="A337" s="2" t="s">
        <v>1287</v>
      </c>
      <c r="B337" s="19" t="str">
        <f>_xlfn.XLOOKUP(A337,CATÁLOGO!$A$2:$A$846,CATÁLOGO!$B$2:$B$846,"FORA DO CATÁLOGO")</f>
        <v>CAM015CG</v>
      </c>
      <c r="C337" s="13">
        <v>2</v>
      </c>
      <c r="D337" s="13" t="str">
        <f>_xlfn.XLOOKUP(A337,CATÁLOGO!$A$2:$A$846,CATÁLOGO!$E$2:$E$846,"FORA DO CATÁLOGO")</f>
        <v>Descontinuado</v>
      </c>
      <c r="E337" s="2"/>
      <c r="F337" s="62">
        <f>SUMIFS('AVARIA ESTIMADA'!$J$18:$J$40,'AVARIA ESTIMADA'!$A$18:$A$40,A337)</f>
        <v>0</v>
      </c>
    </row>
    <row r="338" spans="1:6" x14ac:dyDescent="0.3">
      <c r="A338" s="2" t="s">
        <v>254</v>
      </c>
      <c r="B338" s="19" t="str">
        <f>_xlfn.XLOOKUP(A338,CATÁLOGO!$A$2:$A$846,CATÁLOGO!$B$2:$B$846,"FORA DO CATÁLOGO")</f>
        <v>SAI007HP</v>
      </c>
      <c r="C338" s="13">
        <v>2</v>
      </c>
      <c r="D338" s="13" t="str">
        <f>_xlfn.XLOOKUP(A338,CATÁLOGO!$A$2:$A$846,CATÁLOGO!$E$2:$E$846,"FORA DO CATÁLOGO")</f>
        <v>Descontinuado</v>
      </c>
      <c r="E338" s="2"/>
      <c r="F338" s="62">
        <f>SUMIFS('AVARIA ESTIMADA'!$J$18:$J$40,'AVARIA ESTIMADA'!$A$18:$A$40,A338)</f>
        <v>0</v>
      </c>
    </row>
    <row r="339" spans="1:6" x14ac:dyDescent="0.3">
      <c r="A339" s="2" t="s">
        <v>1262</v>
      </c>
      <c r="B339" s="19" t="str">
        <f>_xlfn.XLOOKUP(A339,CATÁLOGO!$A$2:$A$846,CATÁLOGO!$B$2:$B$846,"FORA DO CATÁLOGO")</f>
        <v>SAI007HM</v>
      </c>
      <c r="C339" s="13">
        <v>2</v>
      </c>
      <c r="D339" s="13" t="str">
        <f>_xlfn.XLOOKUP(A339,CATÁLOGO!$A$2:$A$846,CATÁLOGO!$E$2:$E$846,"FORA DO CATÁLOGO")</f>
        <v>Descontinuado</v>
      </c>
      <c r="E339" s="2"/>
      <c r="F339" s="62">
        <f>SUMIFS('AVARIA ESTIMADA'!$J$18:$J$40,'AVARIA ESTIMADA'!$A$18:$A$40,A339)</f>
        <v>0</v>
      </c>
    </row>
    <row r="340" spans="1:6" x14ac:dyDescent="0.3">
      <c r="A340" s="2" t="s">
        <v>255</v>
      </c>
      <c r="B340" s="19" t="str">
        <f>_xlfn.XLOOKUP(A340,CATÁLOGO!$A$2:$A$846,CATÁLOGO!$B$2:$B$846,"FORA DO CATÁLOGO")</f>
        <v>SAI007HG</v>
      </c>
      <c r="C340" s="13">
        <v>1</v>
      </c>
      <c r="D340" s="13" t="str">
        <f>_xlfn.XLOOKUP(A340,CATÁLOGO!$A$2:$A$846,CATÁLOGO!$E$2:$E$846,"FORA DO CATÁLOGO")</f>
        <v>Descontinuado</v>
      </c>
      <c r="E340" s="2" t="s">
        <v>1333</v>
      </c>
      <c r="F340" s="62">
        <f>SUMIFS('AVARIA ESTIMADA'!$J$18:$J$40,'AVARIA ESTIMADA'!$A$18:$A$40,A340)</f>
        <v>0</v>
      </c>
    </row>
    <row r="341" spans="1:6" x14ac:dyDescent="0.3">
      <c r="A341" s="2" t="s">
        <v>256</v>
      </c>
      <c r="B341" s="19" t="str">
        <f>_xlfn.XLOOKUP(A341,CATÁLOGO!$A$2:$A$846,CATÁLOGO!$B$2:$B$846,"FORA DO CATÁLOGO")</f>
        <v>SAI007HGG</v>
      </c>
      <c r="C341" s="13">
        <v>2</v>
      </c>
      <c r="D341" s="13" t="str">
        <f>_xlfn.XLOOKUP(A341,CATÁLOGO!$A$2:$A$846,CATÁLOGO!$E$2:$E$846,"FORA DO CATÁLOGO")</f>
        <v>Descontinuado</v>
      </c>
      <c r="E341" s="2"/>
      <c r="F341" s="62">
        <f>SUMIFS('AVARIA ESTIMADA'!$J$18:$J$40,'AVARIA ESTIMADA'!$A$18:$A$40,A341)</f>
        <v>0</v>
      </c>
    </row>
    <row r="342" spans="1:6" x14ac:dyDescent="0.3">
      <c r="A342" s="2" t="s">
        <v>257</v>
      </c>
      <c r="B342" s="19" t="str">
        <f>_xlfn.XLOOKUP(A342,CATÁLOGO!$A$2:$A$846,CATÁLOGO!$B$2:$B$846,"FORA DO CATÁLOGO")</f>
        <v>TRI009YP</v>
      </c>
      <c r="C342" s="13">
        <v>2</v>
      </c>
      <c r="D342" s="13" t="str">
        <f>_xlfn.XLOOKUP(A342,CATÁLOGO!$A$2:$A$846,CATÁLOGO!$E$2:$E$846,"FORA DO CATÁLOGO")</f>
        <v>Ativo</v>
      </c>
      <c r="E342" s="2"/>
      <c r="F342" s="62">
        <f>SUMIFS('AVARIA ESTIMADA'!$J$18:$J$40,'AVARIA ESTIMADA'!$A$18:$A$40,A342)</f>
        <v>0</v>
      </c>
    </row>
    <row r="343" spans="1:6" x14ac:dyDescent="0.3">
      <c r="A343" s="2" t="s">
        <v>258</v>
      </c>
      <c r="B343" s="19" t="str">
        <f>_xlfn.XLOOKUP(A343,CATÁLOGO!$A$2:$A$846,CATÁLOGO!$B$2:$B$846,"FORA DO CATÁLOGO")</f>
        <v>TRI009YM</v>
      </c>
      <c r="C343" s="13">
        <v>2</v>
      </c>
      <c r="D343" s="13" t="str">
        <f>_xlfn.XLOOKUP(A343,CATÁLOGO!$A$2:$A$846,CATÁLOGO!$E$2:$E$846,"FORA DO CATÁLOGO")</f>
        <v>Ativo</v>
      </c>
      <c r="E343" s="2"/>
      <c r="F343" s="62">
        <f>SUMIFS('AVARIA ESTIMADA'!$J$18:$J$40,'AVARIA ESTIMADA'!$A$18:$A$40,A343)</f>
        <v>0</v>
      </c>
    </row>
    <row r="344" spans="1:6" x14ac:dyDescent="0.3">
      <c r="A344" s="2" t="s">
        <v>259</v>
      </c>
      <c r="B344" s="19" t="str">
        <f>_xlfn.XLOOKUP(A344,CATÁLOGO!$A$2:$A$846,CATÁLOGO!$B$2:$B$846,"FORA DO CATÁLOGO")</f>
        <v>TRI009YG</v>
      </c>
      <c r="C344" s="13">
        <v>2</v>
      </c>
      <c r="D344" s="13" t="str">
        <f>_xlfn.XLOOKUP(A344,CATÁLOGO!$A$2:$A$846,CATÁLOGO!$E$2:$E$846,"FORA DO CATÁLOGO")</f>
        <v>Ativo</v>
      </c>
      <c r="E344" s="2"/>
      <c r="F344" s="62">
        <f>SUMIFS('AVARIA ESTIMADA'!$J$18:$J$40,'AVARIA ESTIMADA'!$A$18:$A$40,A344)</f>
        <v>0</v>
      </c>
    </row>
    <row r="345" spans="1:6" x14ac:dyDescent="0.3">
      <c r="A345" s="2" t="s">
        <v>260</v>
      </c>
      <c r="B345" s="19" t="str">
        <f>_xlfn.XLOOKUP(A345,CATÁLOGO!$A$2:$A$846,CATÁLOGO!$B$2:$B$846,"FORA DO CATÁLOGO")</f>
        <v>TRI009YGG</v>
      </c>
      <c r="C345" s="13">
        <v>1</v>
      </c>
      <c r="D345" s="13" t="str">
        <f>_xlfn.XLOOKUP(A345,CATÁLOGO!$A$2:$A$846,CATÁLOGO!$E$2:$E$846,"FORA DO CATÁLOGO")</f>
        <v>Ativo</v>
      </c>
      <c r="E345" s="2"/>
      <c r="F345" s="62">
        <f>SUMIFS('AVARIA ESTIMADA'!$J$18:$J$40,'AVARIA ESTIMADA'!$A$18:$A$40,A345)</f>
        <v>0</v>
      </c>
    </row>
    <row r="346" spans="1:6" x14ac:dyDescent="0.3">
      <c r="A346" s="2" t="s">
        <v>261</v>
      </c>
      <c r="B346" s="19" t="str">
        <f>_xlfn.XLOOKUP(A346,CATÁLOGO!$A$2:$A$846,CATÁLOGO!$B$2:$B$846,"FORA DO CATÁLOGO")</f>
        <v>MOL012OP</v>
      </c>
      <c r="C346" s="13">
        <v>4</v>
      </c>
      <c r="D346" s="13" t="str">
        <f>_xlfn.XLOOKUP(A346,CATÁLOGO!$A$2:$A$846,CATÁLOGO!$E$2:$E$846,"FORA DO CATÁLOGO")</f>
        <v>Ativo</v>
      </c>
      <c r="E346" s="2"/>
      <c r="F346" s="62">
        <f>SUMIFS('AVARIA ESTIMADA'!$J$18:$J$40,'AVARIA ESTIMADA'!$A$18:$A$40,A346)</f>
        <v>0</v>
      </c>
    </row>
    <row r="347" spans="1:6" x14ac:dyDescent="0.3">
      <c r="A347" s="2" t="s">
        <v>262</v>
      </c>
      <c r="B347" s="19" t="str">
        <f>_xlfn.XLOOKUP(A347,CATÁLOGO!$A$2:$A$846,CATÁLOGO!$B$2:$B$846,"FORA DO CATÁLOGO")</f>
        <v>MOL012OM</v>
      </c>
      <c r="C347" s="13">
        <v>7</v>
      </c>
      <c r="D347" s="13" t="str">
        <f>_xlfn.XLOOKUP(A347,CATÁLOGO!$A$2:$A$846,CATÁLOGO!$E$2:$E$846,"FORA DO CATÁLOGO")</f>
        <v>Ativo</v>
      </c>
      <c r="E347" s="2"/>
      <c r="F347" s="62">
        <f>SUMIFS('AVARIA ESTIMADA'!$J$18:$J$40,'AVARIA ESTIMADA'!$A$18:$A$40,A347)</f>
        <v>0</v>
      </c>
    </row>
    <row r="348" spans="1:6" x14ac:dyDescent="0.3">
      <c r="A348" s="2" t="s">
        <v>263</v>
      </c>
      <c r="B348" s="19" t="str">
        <f>_xlfn.XLOOKUP(A348,CATÁLOGO!$A$2:$A$846,CATÁLOGO!$B$2:$B$846,"FORA DO CATÁLOGO")</f>
        <v>MOL012OG</v>
      </c>
      <c r="C348" s="13">
        <v>5</v>
      </c>
      <c r="D348" s="13" t="str">
        <f>_xlfn.XLOOKUP(A348,CATÁLOGO!$A$2:$A$846,CATÁLOGO!$E$2:$E$846,"FORA DO CATÁLOGO")</f>
        <v>Ativo</v>
      </c>
      <c r="E348" s="2"/>
      <c r="F348" s="62">
        <f>SUMIFS('AVARIA ESTIMADA'!$J$18:$J$40,'AVARIA ESTIMADA'!$A$18:$A$40,A348)</f>
        <v>0</v>
      </c>
    </row>
    <row r="349" spans="1:6" x14ac:dyDescent="0.3">
      <c r="A349" s="2" t="s">
        <v>264</v>
      </c>
      <c r="B349" s="19" t="str">
        <f>_xlfn.XLOOKUP(A349,CATÁLOGO!$A$2:$A$846,CATÁLOGO!$B$2:$B$846,"FORA DO CATÁLOGO")</f>
        <v>MOL012OGG</v>
      </c>
      <c r="C349" s="13">
        <v>3</v>
      </c>
      <c r="D349" s="13" t="str">
        <f>_xlfn.XLOOKUP(A349,CATÁLOGO!$A$2:$A$846,CATÁLOGO!$E$2:$E$846,"FORA DO CATÁLOGO")</f>
        <v>Ativo</v>
      </c>
      <c r="E349" s="2"/>
      <c r="F349" s="62">
        <f>SUMIFS('AVARIA ESTIMADA'!$J$18:$J$40,'AVARIA ESTIMADA'!$A$18:$A$40,A349)</f>
        <v>0</v>
      </c>
    </row>
    <row r="350" spans="1:6" x14ac:dyDescent="0.3">
      <c r="A350" s="2" t="s">
        <v>1613</v>
      </c>
      <c r="B350" s="19" t="str">
        <f>_xlfn.XLOOKUP(A350,CATÁLOGO!$A$2:$A$846,CATÁLOGO!$B$2:$B$846,"FORA DO CATÁLOGO")</f>
        <v>CAL015G36</v>
      </c>
      <c r="C350" s="13">
        <v>2</v>
      </c>
      <c r="D350" s="13" t="str">
        <f>_xlfn.XLOOKUP(A350,CATÁLOGO!$A$2:$A$846,CATÁLOGO!$E$2:$E$846,"FORA DO CATÁLOGO")</f>
        <v>Descontinuado</v>
      </c>
      <c r="E350" s="2"/>
      <c r="F350" s="62">
        <f>SUMIFS('AVARIA ESTIMADA'!$J$18:$J$40,'AVARIA ESTIMADA'!$A$18:$A$40,A350)</f>
        <v>0</v>
      </c>
    </row>
    <row r="351" spans="1:6" x14ac:dyDescent="0.3">
      <c r="A351" s="2" t="s">
        <v>1612</v>
      </c>
      <c r="B351" s="19" t="str">
        <f>_xlfn.XLOOKUP(A351,CATÁLOGO!$A$2:$A$846,CATÁLOGO!$B$2:$B$846,"FORA DO CATÁLOGO")</f>
        <v>CAL015G38</v>
      </c>
      <c r="C351" s="13">
        <v>3</v>
      </c>
      <c r="D351" s="13" t="str">
        <f>_xlfn.XLOOKUP(A351,CATÁLOGO!$A$2:$A$846,CATÁLOGO!$E$2:$E$846,"FORA DO CATÁLOGO")</f>
        <v>Descontinuado</v>
      </c>
      <c r="E351" s="2"/>
      <c r="F351" s="62">
        <f>SUMIFS('AVARIA ESTIMADA'!$J$18:$J$40,'AVARIA ESTIMADA'!$A$18:$A$40,A351)</f>
        <v>0</v>
      </c>
    </row>
    <row r="352" spans="1:6" x14ac:dyDescent="0.3">
      <c r="A352" s="2" t="s">
        <v>1611</v>
      </c>
      <c r="B352" s="19" t="str">
        <f>_xlfn.XLOOKUP(A352,CATÁLOGO!$A$2:$A$846,CATÁLOGO!$B$2:$B$846,"FORA DO CATÁLOGO")</f>
        <v>CAL015G40</v>
      </c>
      <c r="C352" s="13">
        <v>3</v>
      </c>
      <c r="D352" s="13" t="str">
        <f>_xlfn.XLOOKUP(A352,CATÁLOGO!$A$2:$A$846,CATÁLOGO!$E$2:$E$846,"FORA DO CATÁLOGO")</f>
        <v>Descontinuado</v>
      </c>
      <c r="E352" s="2"/>
      <c r="F352" s="62">
        <f>SUMIFS('AVARIA ESTIMADA'!$J$18:$J$40,'AVARIA ESTIMADA'!$A$18:$A$40,A352)</f>
        <v>0</v>
      </c>
    </row>
    <row r="353" spans="1:6" x14ac:dyDescent="0.3">
      <c r="A353" s="2" t="s">
        <v>1608</v>
      </c>
      <c r="B353" s="19" t="str">
        <f>_xlfn.XLOOKUP(A353,CATÁLOGO!$A$2:$A$846,CATÁLOGO!$B$2:$B$846,"FORA DO CATÁLOGO")</f>
        <v>CAL015G42</v>
      </c>
      <c r="C353" s="13">
        <v>3</v>
      </c>
      <c r="D353" s="13" t="str">
        <f>_xlfn.XLOOKUP(A353,CATÁLOGO!$A$2:$A$846,CATÁLOGO!$E$2:$E$846,"FORA DO CATÁLOGO")</f>
        <v>Descontinuado</v>
      </c>
      <c r="E353" s="2"/>
      <c r="F353" s="62">
        <f>SUMIFS('AVARIA ESTIMADA'!$J$18:$J$40,'AVARIA ESTIMADA'!$A$18:$A$40,A353)</f>
        <v>0</v>
      </c>
    </row>
    <row r="354" spans="1:6" x14ac:dyDescent="0.3">
      <c r="A354" s="2" t="s">
        <v>1610</v>
      </c>
      <c r="B354" s="19" t="str">
        <f>_xlfn.XLOOKUP(A354,CATÁLOGO!$A$2:$A$846,CATÁLOGO!$B$2:$B$846,"FORA DO CATÁLOGO")</f>
        <v>CAL015G44</v>
      </c>
      <c r="C354" s="13">
        <v>2</v>
      </c>
      <c r="D354" s="13" t="str">
        <f>_xlfn.XLOOKUP(A354,CATÁLOGO!$A$2:$A$846,CATÁLOGO!$E$2:$E$846,"FORA DO CATÁLOGO")</f>
        <v>Descontinuado</v>
      </c>
      <c r="E354" s="2" t="s">
        <v>1333</v>
      </c>
      <c r="F354" s="62">
        <f>SUMIFS('AVARIA ESTIMADA'!$J$18:$J$40,'AVARIA ESTIMADA'!$A$18:$A$40,A354)</f>
        <v>0</v>
      </c>
    </row>
    <row r="355" spans="1:6" x14ac:dyDescent="0.3">
      <c r="A355" s="2" t="s">
        <v>1619</v>
      </c>
      <c r="B355" s="19" t="str">
        <f>_xlfn.XLOOKUP(A355,CATÁLOGO!$A$2:$A$846,CATÁLOGO!$B$2:$B$846,"FORA DO CATÁLOGO")</f>
        <v>CAL016V36</v>
      </c>
      <c r="C355" s="13">
        <v>1</v>
      </c>
      <c r="D355" s="13" t="str">
        <f>_xlfn.XLOOKUP(A355,CATÁLOGO!$A$2:$A$846,CATÁLOGO!$E$2:$E$846,"FORA DO CATÁLOGO")</f>
        <v>Descontinuado</v>
      </c>
      <c r="E355" s="2"/>
      <c r="F355" s="62">
        <f>SUMIFS('AVARIA ESTIMADA'!$J$18:$J$40,'AVARIA ESTIMADA'!$A$18:$A$40,A355)</f>
        <v>0</v>
      </c>
    </row>
    <row r="356" spans="1:6" x14ac:dyDescent="0.3">
      <c r="A356" s="2" t="s">
        <v>1618</v>
      </c>
      <c r="B356" s="19" t="str">
        <f>_xlfn.XLOOKUP(A356,CATÁLOGO!$A$2:$A$846,CATÁLOGO!$B$2:$B$846,"FORA DO CATÁLOGO")</f>
        <v>CAL016V38</v>
      </c>
      <c r="C356" s="13">
        <v>2</v>
      </c>
      <c r="D356" s="13" t="str">
        <f>_xlfn.XLOOKUP(A356,CATÁLOGO!$A$2:$A$846,CATÁLOGO!$E$2:$E$846,"FORA DO CATÁLOGO")</f>
        <v>Descontinuado</v>
      </c>
      <c r="E356" s="2"/>
      <c r="F356" s="62">
        <f>SUMIFS('AVARIA ESTIMADA'!$J$18:$J$40,'AVARIA ESTIMADA'!$A$18:$A$40,A356)</f>
        <v>2</v>
      </c>
    </row>
    <row r="357" spans="1:6" x14ac:dyDescent="0.3">
      <c r="A357" s="2" t="s">
        <v>1617</v>
      </c>
      <c r="B357" s="19" t="str">
        <f>_xlfn.XLOOKUP(A357,CATÁLOGO!$A$2:$A$846,CATÁLOGO!$B$2:$B$846,"FORA DO CATÁLOGO")</f>
        <v>CAL016V40</v>
      </c>
      <c r="C357" s="13">
        <v>1</v>
      </c>
      <c r="D357" s="13" t="str">
        <f>_xlfn.XLOOKUP(A357,CATÁLOGO!$A$2:$A$846,CATÁLOGO!$E$2:$E$846,"FORA DO CATÁLOGO")</f>
        <v>Descontinuado</v>
      </c>
      <c r="E357" s="2" t="s">
        <v>1339</v>
      </c>
      <c r="F357" s="62">
        <f>SUMIFS('AVARIA ESTIMADA'!$J$18:$J$40,'AVARIA ESTIMADA'!$A$18:$A$40,A357)</f>
        <v>1</v>
      </c>
    </row>
    <row r="358" spans="1:6" x14ac:dyDescent="0.3">
      <c r="A358" s="2" t="s">
        <v>1614</v>
      </c>
      <c r="B358" s="19" t="str">
        <f>_xlfn.XLOOKUP(A358,CATÁLOGO!$A$2:$A$846,CATÁLOGO!$B$2:$B$846,"FORA DO CATÁLOGO")</f>
        <v>CAL016V42</v>
      </c>
      <c r="C358" s="13">
        <v>1</v>
      </c>
      <c r="D358" s="13" t="str">
        <f>_xlfn.XLOOKUP(A358,CATÁLOGO!$A$2:$A$846,CATÁLOGO!$E$2:$E$846,"FORA DO CATÁLOGO")</f>
        <v>Descontinuado</v>
      </c>
      <c r="E358" s="2"/>
      <c r="F358" s="62">
        <f>SUMIFS('AVARIA ESTIMADA'!$J$18:$J$40,'AVARIA ESTIMADA'!$A$18:$A$40,A358)</f>
        <v>0</v>
      </c>
    </row>
    <row r="359" spans="1:6" x14ac:dyDescent="0.3">
      <c r="A359" s="2" t="s">
        <v>1616</v>
      </c>
      <c r="B359" s="19" t="str">
        <f>_xlfn.XLOOKUP(A359,CATÁLOGO!$A$2:$A$846,CATÁLOGO!$B$2:$B$846,"FORA DO CATÁLOGO")</f>
        <v>CAL016V44</v>
      </c>
      <c r="C359" s="13">
        <v>2</v>
      </c>
      <c r="D359" s="13" t="str">
        <f>_xlfn.XLOOKUP(A359,CATÁLOGO!$A$2:$A$846,CATÁLOGO!$E$2:$E$846,"FORA DO CATÁLOGO")</f>
        <v>Descontinuado</v>
      </c>
      <c r="E359" s="2"/>
      <c r="F359" s="62">
        <f>SUMIFS('AVARIA ESTIMADA'!$J$18:$J$40,'AVARIA ESTIMADA'!$A$18:$A$40,A359)</f>
        <v>0</v>
      </c>
    </row>
    <row r="360" spans="1:6" x14ac:dyDescent="0.3">
      <c r="A360" s="2" t="s">
        <v>1625</v>
      </c>
      <c r="B360" s="19" t="str">
        <f>_xlfn.XLOOKUP(A360,CATÁLOGO!$A$2:$A$846,CATÁLOGO!$B$2:$B$846,"FORA DO CATÁLOGO")</f>
        <v>CAL017H38</v>
      </c>
      <c r="C360" s="13">
        <v>2</v>
      </c>
      <c r="D360" s="13" t="str">
        <f>_xlfn.XLOOKUP(A360,CATÁLOGO!$A$2:$A$846,CATÁLOGO!$E$2:$E$846,"FORA DO CATÁLOGO")</f>
        <v>Descontinuado</v>
      </c>
      <c r="E360" s="2"/>
      <c r="F360" s="62">
        <f>SUMIFS('AVARIA ESTIMADA'!$J$18:$J$40,'AVARIA ESTIMADA'!$A$18:$A$40,A360)</f>
        <v>0</v>
      </c>
    </row>
    <row r="361" spans="1:6" x14ac:dyDescent="0.3">
      <c r="A361" s="2" t="s">
        <v>1620</v>
      </c>
      <c r="B361" s="19" t="str">
        <f>_xlfn.XLOOKUP(A361,CATÁLOGO!$A$2:$A$846,CATÁLOGO!$B$2:$B$846,"FORA DO CATÁLOGO")</f>
        <v>CAL017H42</v>
      </c>
      <c r="C361" s="13">
        <v>1</v>
      </c>
      <c r="D361" s="13" t="str">
        <f>_xlfn.XLOOKUP(A361,CATÁLOGO!$A$2:$A$846,CATÁLOGO!$E$2:$E$846,"FORA DO CATÁLOGO")</f>
        <v>Descontinuado</v>
      </c>
      <c r="E361" s="2"/>
      <c r="F361" s="62">
        <f>SUMIFS('AVARIA ESTIMADA'!$J$18:$J$40,'AVARIA ESTIMADA'!$A$18:$A$40,A361)</f>
        <v>0</v>
      </c>
    </row>
    <row r="362" spans="1:6" x14ac:dyDescent="0.3">
      <c r="A362" s="2" t="s">
        <v>265</v>
      </c>
      <c r="B362" s="19" t="str">
        <f>_xlfn.XLOOKUP(A362,CATÁLOGO!$A$2:$A$846,CATÁLOGO!$B$2:$B$846,"FORA DO CATÁLOGO")</f>
        <v>TRI010VP</v>
      </c>
      <c r="C362" s="13">
        <v>2</v>
      </c>
      <c r="D362" s="13" t="str">
        <f>_xlfn.XLOOKUP(A362,CATÁLOGO!$A$2:$A$846,CATÁLOGO!$E$2:$E$846,"FORA DO CATÁLOGO")</f>
        <v>Descontinuado</v>
      </c>
      <c r="E362" s="2"/>
      <c r="F362" s="62">
        <f>SUMIFS('AVARIA ESTIMADA'!$J$18:$J$40,'AVARIA ESTIMADA'!$A$18:$A$40,A362)</f>
        <v>0</v>
      </c>
    </row>
    <row r="363" spans="1:6" x14ac:dyDescent="0.3">
      <c r="A363" s="2" t="s">
        <v>267</v>
      </c>
      <c r="B363" s="19" t="str">
        <f>_xlfn.XLOOKUP(A363,CATÁLOGO!$A$2:$A$846,CATÁLOGO!$B$2:$B$846,"FORA DO CATÁLOGO")</f>
        <v>TRI010VG</v>
      </c>
      <c r="C363" s="13">
        <v>4</v>
      </c>
      <c r="D363" s="13" t="str">
        <f>_xlfn.XLOOKUP(A363,CATÁLOGO!$A$2:$A$846,CATÁLOGO!$E$2:$E$846,"FORA DO CATÁLOGO")</f>
        <v>Descontinuado</v>
      </c>
      <c r="E363" s="2"/>
      <c r="F363" s="62">
        <f>SUMIFS('AVARIA ESTIMADA'!$J$18:$J$40,'AVARIA ESTIMADA'!$A$18:$A$40,A363)</f>
        <v>0</v>
      </c>
    </row>
    <row r="364" spans="1:6" x14ac:dyDescent="0.3">
      <c r="A364" s="2" t="s">
        <v>268</v>
      </c>
      <c r="B364" s="19" t="str">
        <f>_xlfn.XLOOKUP(A364,CATÁLOGO!$A$2:$A$846,CATÁLOGO!$B$2:$B$846,"FORA DO CATÁLOGO")</f>
        <v>TRI011GP</v>
      </c>
      <c r="C364" s="13">
        <v>4</v>
      </c>
      <c r="D364" s="13" t="str">
        <f>_xlfn.XLOOKUP(A364,CATÁLOGO!$A$2:$A$846,CATÁLOGO!$E$2:$E$846,"FORA DO CATÁLOGO")</f>
        <v>Ativo</v>
      </c>
      <c r="E364" s="2"/>
      <c r="F364" s="62">
        <f>SUMIFS('AVARIA ESTIMADA'!$J$18:$J$40,'AVARIA ESTIMADA'!$A$18:$A$40,A364)</f>
        <v>0</v>
      </c>
    </row>
    <row r="365" spans="1:6" x14ac:dyDescent="0.3">
      <c r="A365" s="2" t="s">
        <v>269</v>
      </c>
      <c r="B365" s="19" t="str">
        <f>_xlfn.XLOOKUP(A365,CATÁLOGO!$A$2:$A$846,CATÁLOGO!$B$2:$B$846,"FORA DO CATÁLOGO")</f>
        <v>TRI011GM</v>
      </c>
      <c r="C365" s="13">
        <v>6</v>
      </c>
      <c r="D365" s="13" t="str">
        <f>_xlfn.XLOOKUP(A365,CATÁLOGO!$A$2:$A$846,CATÁLOGO!$E$2:$E$846,"FORA DO CATÁLOGO")</f>
        <v>Ativo</v>
      </c>
      <c r="E365" s="2"/>
      <c r="F365" s="62">
        <f>SUMIFS('AVARIA ESTIMADA'!$J$18:$J$40,'AVARIA ESTIMADA'!$A$18:$A$40,A365)</f>
        <v>0</v>
      </c>
    </row>
    <row r="366" spans="1:6" x14ac:dyDescent="0.3">
      <c r="A366" s="2" t="s">
        <v>270</v>
      </c>
      <c r="B366" s="19" t="str">
        <f>_xlfn.XLOOKUP(A366,CATÁLOGO!$A$2:$A$846,CATÁLOGO!$B$2:$B$846,"FORA DO CATÁLOGO")</f>
        <v>TRI011GG</v>
      </c>
      <c r="C366" s="13">
        <v>4</v>
      </c>
      <c r="D366" s="13" t="str">
        <f>_xlfn.XLOOKUP(A366,CATÁLOGO!$A$2:$A$846,CATÁLOGO!$E$2:$E$846,"FORA DO CATÁLOGO")</f>
        <v>Ativo</v>
      </c>
      <c r="E366" s="2"/>
      <c r="F366" s="62">
        <f>SUMIFS('AVARIA ESTIMADA'!$J$18:$J$40,'AVARIA ESTIMADA'!$A$18:$A$40,A366)</f>
        <v>0</v>
      </c>
    </row>
    <row r="367" spans="1:6" x14ac:dyDescent="0.3">
      <c r="A367" s="2" t="s">
        <v>1631</v>
      </c>
      <c r="B367" s="19" t="str">
        <f>_xlfn.XLOOKUP(A367,CATÁLOGO!$A$2:$A$846,CATÁLOGO!$B$2:$B$846,"FORA DO CATÁLOGO")</f>
        <v>CAL018G36</v>
      </c>
      <c r="C367" s="13">
        <v>3</v>
      </c>
      <c r="D367" s="13" t="str">
        <f>_xlfn.XLOOKUP(A367,CATÁLOGO!$A$2:$A$846,CATÁLOGO!$E$2:$E$846,"FORA DO CATÁLOGO")</f>
        <v>Ativo</v>
      </c>
      <c r="E367" s="2"/>
      <c r="F367" s="62">
        <f>SUMIFS('AVARIA ESTIMADA'!$J$18:$J$40,'AVARIA ESTIMADA'!$A$18:$A$40,A367)</f>
        <v>0</v>
      </c>
    </row>
    <row r="368" spans="1:6" x14ac:dyDescent="0.3">
      <c r="A368" s="2" t="s">
        <v>1630</v>
      </c>
      <c r="B368" s="19" t="str">
        <f>_xlfn.XLOOKUP(A368,CATÁLOGO!$A$2:$A$846,CATÁLOGO!$B$2:$B$846,"FORA DO CATÁLOGO")</f>
        <v>CAL018G38</v>
      </c>
      <c r="C368" s="13">
        <v>5</v>
      </c>
      <c r="D368" s="13" t="str">
        <f>_xlfn.XLOOKUP(A368,CATÁLOGO!$A$2:$A$846,CATÁLOGO!$E$2:$E$846,"FORA DO CATÁLOGO")</f>
        <v>Ativo</v>
      </c>
      <c r="E368" s="2"/>
      <c r="F368" s="62">
        <f>SUMIFS('AVARIA ESTIMADA'!$J$18:$J$40,'AVARIA ESTIMADA'!$A$18:$A$40,A368)</f>
        <v>0</v>
      </c>
    </row>
    <row r="369" spans="1:6" x14ac:dyDescent="0.3">
      <c r="A369" s="2" t="s">
        <v>1629</v>
      </c>
      <c r="B369" s="19" t="str">
        <f>_xlfn.XLOOKUP(A369,CATÁLOGO!$A$2:$A$846,CATÁLOGO!$B$2:$B$846,"FORA DO CATÁLOGO")</f>
        <v>CAL018G40</v>
      </c>
      <c r="C369" s="13">
        <v>6</v>
      </c>
      <c r="D369" s="13" t="str">
        <f>_xlfn.XLOOKUP(A369,CATÁLOGO!$A$2:$A$846,CATÁLOGO!$E$2:$E$846,"FORA DO CATÁLOGO")</f>
        <v>Ativo</v>
      </c>
      <c r="E369" s="2"/>
      <c r="F369" s="62">
        <f>SUMIFS('AVARIA ESTIMADA'!$J$18:$J$40,'AVARIA ESTIMADA'!$A$18:$A$40,A369)</f>
        <v>0</v>
      </c>
    </row>
    <row r="370" spans="1:6" x14ac:dyDescent="0.3">
      <c r="A370" s="2" t="s">
        <v>1626</v>
      </c>
      <c r="B370" s="19" t="str">
        <f>_xlfn.XLOOKUP(A370,CATÁLOGO!$A$2:$A$846,CATÁLOGO!$B$2:$B$846,"FORA DO CATÁLOGO")</f>
        <v>CAL018G42</v>
      </c>
      <c r="C370" s="13">
        <v>4</v>
      </c>
      <c r="D370" s="13" t="str">
        <f>_xlfn.XLOOKUP(A370,CATÁLOGO!$A$2:$A$846,CATÁLOGO!$E$2:$E$846,"FORA DO CATÁLOGO")</f>
        <v>Ativo</v>
      </c>
      <c r="E370" s="2"/>
      <c r="F370" s="62">
        <f>SUMIFS('AVARIA ESTIMADA'!$J$18:$J$40,'AVARIA ESTIMADA'!$A$18:$A$40,A370)</f>
        <v>0</v>
      </c>
    </row>
    <row r="371" spans="1:6" x14ac:dyDescent="0.3">
      <c r="A371" s="2" t="s">
        <v>1628</v>
      </c>
      <c r="B371" s="19" t="str">
        <f>_xlfn.XLOOKUP(A371,CATÁLOGO!$A$2:$A$846,CATÁLOGO!$B$2:$B$846,"FORA DO CATÁLOGO")</f>
        <v>CAL018G44</v>
      </c>
      <c r="C371" s="13">
        <v>3</v>
      </c>
      <c r="D371" s="13" t="str">
        <f>_xlfn.XLOOKUP(A371,CATÁLOGO!$A$2:$A$846,CATÁLOGO!$E$2:$E$846,"FORA DO CATÁLOGO")</f>
        <v>Ativo</v>
      </c>
      <c r="E371" s="2" t="s">
        <v>1333</v>
      </c>
      <c r="F371" s="62">
        <f>SUMIFS('AVARIA ESTIMADA'!$J$18:$J$40,'AVARIA ESTIMADA'!$A$18:$A$40,A371)</f>
        <v>0</v>
      </c>
    </row>
    <row r="372" spans="1:6" x14ac:dyDescent="0.3">
      <c r="A372" s="2" t="s">
        <v>271</v>
      </c>
      <c r="B372" s="19" t="str">
        <f>_xlfn.XLOOKUP(A372,CATÁLOGO!$A$2:$A$846,CATÁLOGO!$B$2:$B$846,"FORA DO CATÁLOGO")</f>
        <v>TOP011CP</v>
      </c>
      <c r="C372" s="13">
        <v>2</v>
      </c>
      <c r="D372" s="13" t="str">
        <f>_xlfn.XLOOKUP(A372,CATÁLOGO!$A$2:$A$846,CATÁLOGO!$E$2:$E$846,"FORA DO CATÁLOGO")</f>
        <v>Descontinuado</v>
      </c>
      <c r="E372" s="2"/>
      <c r="F372" s="62">
        <f>SUMIFS('AVARIA ESTIMADA'!$J$18:$J$40,'AVARIA ESTIMADA'!$A$18:$A$40,A372)</f>
        <v>0</v>
      </c>
    </row>
    <row r="373" spans="1:6" x14ac:dyDescent="0.3">
      <c r="A373" s="2" t="s">
        <v>272</v>
      </c>
      <c r="B373" s="19" t="str">
        <f>_xlfn.XLOOKUP(A373,CATÁLOGO!$A$2:$A$846,CATÁLOGO!$B$2:$B$846,"FORA DO CATÁLOGO")</f>
        <v>TOP011CM</v>
      </c>
      <c r="C373" s="13">
        <v>2</v>
      </c>
      <c r="D373" s="13" t="str">
        <f>_xlfn.XLOOKUP(A373,CATÁLOGO!$A$2:$A$846,CATÁLOGO!$E$2:$E$846,"FORA DO CATÁLOGO")</f>
        <v>Descontinuado</v>
      </c>
      <c r="E373" s="2"/>
      <c r="F373" s="62">
        <f>SUMIFS('AVARIA ESTIMADA'!$J$18:$J$40,'AVARIA ESTIMADA'!$A$18:$A$40,A373)</f>
        <v>0</v>
      </c>
    </row>
    <row r="374" spans="1:6" x14ac:dyDescent="0.3">
      <c r="A374" s="2" t="s">
        <v>273</v>
      </c>
      <c r="B374" s="19" t="str">
        <f>_xlfn.XLOOKUP(A374,CATÁLOGO!$A$2:$A$846,CATÁLOGO!$B$2:$B$846,"FORA DO CATÁLOGO")</f>
        <v>TOP011CG</v>
      </c>
      <c r="C374" s="13">
        <v>3</v>
      </c>
      <c r="D374" s="13" t="str">
        <f>_xlfn.XLOOKUP(A374,CATÁLOGO!$A$2:$A$846,CATÁLOGO!$E$2:$E$846,"FORA DO CATÁLOGO")</f>
        <v>Descontinuado</v>
      </c>
      <c r="E374" s="2"/>
      <c r="F374" s="62">
        <f>SUMIFS('AVARIA ESTIMADA'!$J$18:$J$40,'AVARIA ESTIMADA'!$A$18:$A$40,A374)</f>
        <v>0</v>
      </c>
    </row>
    <row r="375" spans="1:6" x14ac:dyDescent="0.3">
      <c r="A375" s="2" t="s">
        <v>275</v>
      </c>
      <c r="B375" s="19" t="str">
        <f>_xlfn.XLOOKUP(A375,CATÁLOGO!$A$2:$A$846,CATÁLOGO!$B$2:$B$846,"FORA DO CATÁLOGO")</f>
        <v>JAQ005YP</v>
      </c>
      <c r="C375" s="13">
        <v>4</v>
      </c>
      <c r="D375" s="13" t="str">
        <f>_xlfn.XLOOKUP(A375,CATÁLOGO!$A$2:$A$846,CATÁLOGO!$E$2:$E$846,"FORA DO CATÁLOGO")</f>
        <v>Ativo</v>
      </c>
      <c r="E375" s="2"/>
      <c r="F375" s="62">
        <f>SUMIFS('AVARIA ESTIMADA'!$J$18:$J$40,'AVARIA ESTIMADA'!$A$18:$A$40,A375)</f>
        <v>0</v>
      </c>
    </row>
    <row r="376" spans="1:6" x14ac:dyDescent="0.3">
      <c r="A376" s="2" t="s">
        <v>276</v>
      </c>
      <c r="B376" s="19" t="str">
        <f>_xlfn.XLOOKUP(A376,CATÁLOGO!$A$2:$A$846,CATÁLOGO!$B$2:$B$846,"FORA DO CATÁLOGO")</f>
        <v>JAQ005YM</v>
      </c>
      <c r="C376" s="13">
        <v>6</v>
      </c>
      <c r="D376" s="13" t="str">
        <f>_xlfn.XLOOKUP(A376,CATÁLOGO!$A$2:$A$846,CATÁLOGO!$E$2:$E$846,"FORA DO CATÁLOGO")</f>
        <v>Ativo</v>
      </c>
      <c r="E376" s="2"/>
      <c r="F376" s="62">
        <f>SUMIFS('AVARIA ESTIMADA'!$J$18:$J$40,'AVARIA ESTIMADA'!$A$18:$A$40,A376)</f>
        <v>0</v>
      </c>
    </row>
    <row r="377" spans="1:6" x14ac:dyDescent="0.3">
      <c r="A377" s="2" t="s">
        <v>277</v>
      </c>
      <c r="B377" s="19" t="str">
        <f>_xlfn.XLOOKUP(A377,CATÁLOGO!$A$2:$A$846,CATÁLOGO!$B$2:$B$846,"FORA DO CATÁLOGO")</f>
        <v>JAQ005YG</v>
      </c>
      <c r="C377" s="13">
        <v>5</v>
      </c>
      <c r="D377" s="13" t="str">
        <f>_xlfn.XLOOKUP(A377,CATÁLOGO!$A$2:$A$846,CATÁLOGO!$E$2:$E$846,"FORA DO CATÁLOGO")</f>
        <v>Ativo</v>
      </c>
      <c r="E377" s="2"/>
      <c r="F377" s="62">
        <f>SUMIFS('AVARIA ESTIMADA'!$J$18:$J$40,'AVARIA ESTIMADA'!$A$18:$A$40,A377)</f>
        <v>0</v>
      </c>
    </row>
    <row r="378" spans="1:6" x14ac:dyDescent="0.3">
      <c r="A378" s="2" t="s">
        <v>278</v>
      </c>
      <c r="B378" s="19" t="str">
        <f>_xlfn.XLOOKUP(A378,CATÁLOGO!$A$2:$A$846,CATÁLOGO!$B$2:$B$846,"FORA DO CATÁLOGO")</f>
        <v>JAQ005YGG</v>
      </c>
      <c r="C378" s="13">
        <v>3</v>
      </c>
      <c r="D378" s="13" t="str">
        <f>_xlfn.XLOOKUP(A378,CATÁLOGO!$A$2:$A$846,CATÁLOGO!$E$2:$E$846,"FORA DO CATÁLOGO")</f>
        <v>Ativo</v>
      </c>
      <c r="E378" s="2"/>
      <c r="F378" s="62">
        <f>SUMIFS('AVARIA ESTIMADA'!$J$18:$J$40,'AVARIA ESTIMADA'!$A$18:$A$40,A378)</f>
        <v>0</v>
      </c>
    </row>
    <row r="379" spans="1:6" x14ac:dyDescent="0.3">
      <c r="A379" s="2" t="s">
        <v>1639</v>
      </c>
      <c r="B379" s="19" t="str">
        <f>_xlfn.XLOOKUP(A379,CATÁLOGO!$A$2:$A$846,CATÁLOGO!$B$2:$B$846,"FORA DO CATÁLOGO")</f>
        <v>CAL019B38</v>
      </c>
      <c r="C379" s="13">
        <v>3</v>
      </c>
      <c r="D379" s="13" t="str">
        <f>_xlfn.XLOOKUP(A379,CATÁLOGO!$A$2:$A$846,CATÁLOGO!$E$2:$E$846,"FORA DO CATÁLOGO")</f>
        <v>Descontinuado</v>
      </c>
      <c r="E379" s="2"/>
      <c r="F379" s="62">
        <f>SUMIFS('AVARIA ESTIMADA'!$J$18:$J$40,'AVARIA ESTIMADA'!$A$18:$A$40,A379)</f>
        <v>0</v>
      </c>
    </row>
    <row r="380" spans="1:6" x14ac:dyDescent="0.3">
      <c r="A380" s="2" t="s">
        <v>1637</v>
      </c>
      <c r="B380" s="19" t="str">
        <f>_xlfn.XLOOKUP(A380,CATÁLOGO!$A$2:$A$846,CATÁLOGO!$B$2:$B$846,"FORA DO CATÁLOGO")</f>
        <v>CAL019B40</v>
      </c>
      <c r="C380" s="13">
        <v>2</v>
      </c>
      <c r="D380" s="13" t="str">
        <f>_xlfn.XLOOKUP(A380,CATÁLOGO!$A$2:$A$846,CATÁLOGO!$E$2:$E$846,"FORA DO CATÁLOGO")</f>
        <v>Descontinuado</v>
      </c>
      <c r="E380" s="2"/>
      <c r="F380" s="62">
        <f>SUMIFS('AVARIA ESTIMADA'!$J$18:$J$40,'AVARIA ESTIMADA'!$A$18:$A$40,A380)</f>
        <v>0</v>
      </c>
    </row>
    <row r="381" spans="1:6" x14ac:dyDescent="0.3">
      <c r="A381" s="2" t="s">
        <v>1632</v>
      </c>
      <c r="B381" s="19" t="str">
        <f>_xlfn.XLOOKUP(A381,CATÁLOGO!$A$2:$A$846,CATÁLOGO!$B$2:$B$846,"FORA DO CATÁLOGO")</f>
        <v>CAL019B42</v>
      </c>
      <c r="C381" s="13">
        <v>4</v>
      </c>
      <c r="D381" s="13" t="str">
        <f>_xlfn.XLOOKUP(A381,CATÁLOGO!$A$2:$A$846,CATÁLOGO!$E$2:$E$846,"FORA DO CATÁLOGO")</f>
        <v>Descontinuado</v>
      </c>
      <c r="E381" s="2"/>
      <c r="F381" s="62">
        <f>SUMIFS('AVARIA ESTIMADA'!$J$18:$J$40,'AVARIA ESTIMADA'!$A$18:$A$40,A381)</f>
        <v>0</v>
      </c>
    </row>
    <row r="382" spans="1:6" x14ac:dyDescent="0.3">
      <c r="A382" s="2" t="s">
        <v>1646</v>
      </c>
      <c r="B382" s="19" t="str">
        <f>_xlfn.XLOOKUP(A382,CATÁLOGO!$A$2:$A$846,CATÁLOGO!$B$2:$B$846,"FORA DO CATÁLOGO")</f>
        <v>CAL020Y36</v>
      </c>
      <c r="C382" s="13">
        <v>2</v>
      </c>
      <c r="D382" s="13" t="str">
        <f>_xlfn.XLOOKUP(A382,CATÁLOGO!$A$2:$A$846,CATÁLOGO!$E$2:$E$846,"FORA DO CATÁLOGO")</f>
        <v>Ativo</v>
      </c>
      <c r="E382" s="2"/>
      <c r="F382" s="62">
        <f>SUMIFS('AVARIA ESTIMADA'!$J$18:$J$40,'AVARIA ESTIMADA'!$A$18:$A$40,A382)</f>
        <v>0</v>
      </c>
    </row>
    <row r="383" spans="1:6" x14ac:dyDescent="0.3">
      <c r="A383" s="2" t="s">
        <v>1645</v>
      </c>
      <c r="B383" s="19" t="str">
        <f>_xlfn.XLOOKUP(A383,CATÁLOGO!$A$2:$A$846,CATÁLOGO!$B$2:$B$846,"FORA DO CATÁLOGO")</f>
        <v>CAL020Y38</v>
      </c>
      <c r="C383" s="13">
        <v>4</v>
      </c>
      <c r="D383" s="13" t="str">
        <f>_xlfn.XLOOKUP(A383,CATÁLOGO!$A$2:$A$846,CATÁLOGO!$E$2:$E$846,"FORA DO CATÁLOGO")</f>
        <v>Ativo</v>
      </c>
      <c r="E383" s="2"/>
      <c r="F383" s="62">
        <f>SUMIFS('AVARIA ESTIMADA'!$J$18:$J$40,'AVARIA ESTIMADA'!$A$18:$A$40,A383)</f>
        <v>0</v>
      </c>
    </row>
    <row r="384" spans="1:6" x14ac:dyDescent="0.3">
      <c r="A384" s="2" t="s">
        <v>1643</v>
      </c>
      <c r="B384" s="19" t="str">
        <f>_xlfn.XLOOKUP(A384,CATÁLOGO!$A$2:$A$846,CATÁLOGO!$B$2:$B$846,"FORA DO CATÁLOGO")</f>
        <v>CAL020Y40</v>
      </c>
      <c r="C384" s="13">
        <v>6</v>
      </c>
      <c r="D384" s="13" t="str">
        <f>_xlfn.XLOOKUP(A384,CATÁLOGO!$A$2:$A$846,CATÁLOGO!$E$2:$E$846,"FORA DO CATÁLOGO")</f>
        <v>Ativo</v>
      </c>
      <c r="E384" s="2" t="s">
        <v>1337</v>
      </c>
      <c r="F384" s="62">
        <f>SUMIFS('AVARIA ESTIMADA'!$J$18:$J$40,'AVARIA ESTIMADA'!$A$18:$A$40,A384)</f>
        <v>0</v>
      </c>
    </row>
    <row r="385" spans="1:6" x14ac:dyDescent="0.3">
      <c r="A385" s="2" t="s">
        <v>1642</v>
      </c>
      <c r="B385" s="19" t="str">
        <f>_xlfn.XLOOKUP(A385,CATÁLOGO!$A$2:$A$846,CATÁLOGO!$B$2:$B$846,"FORA DO CATÁLOGO")</f>
        <v>CAL020Y44</v>
      </c>
      <c r="C385" s="13">
        <v>2</v>
      </c>
      <c r="D385" s="13" t="str">
        <f>_xlfn.XLOOKUP(A385,CATÁLOGO!$A$2:$A$846,CATÁLOGO!$E$2:$E$846,"FORA DO CATÁLOGO")</f>
        <v>Ativo</v>
      </c>
      <c r="E385" s="2"/>
      <c r="F385" s="62">
        <f>SUMIFS('AVARIA ESTIMADA'!$J$18:$J$40,'AVARIA ESTIMADA'!$A$18:$A$40,A385)</f>
        <v>0</v>
      </c>
    </row>
    <row r="386" spans="1:6" x14ac:dyDescent="0.3">
      <c r="A386" s="2" t="s">
        <v>279</v>
      </c>
      <c r="B386" s="19" t="str">
        <f>_xlfn.XLOOKUP(A386,CATÁLOGO!$A$2:$A$846,CATÁLOGO!$B$2:$B$846,"FORA DO CATÁLOGO")</f>
        <v>CAM016GP</v>
      </c>
      <c r="C386" s="13">
        <v>3</v>
      </c>
      <c r="D386" s="13" t="str">
        <f>_xlfn.XLOOKUP(A386,CATÁLOGO!$A$2:$A$846,CATÁLOGO!$E$2:$E$846,"FORA DO CATÁLOGO")</f>
        <v>Ativo</v>
      </c>
      <c r="E386" s="2"/>
      <c r="F386" s="62">
        <f>SUMIFS('AVARIA ESTIMADA'!$J$18:$J$40,'AVARIA ESTIMADA'!$A$18:$A$40,A386)</f>
        <v>0</v>
      </c>
    </row>
    <row r="387" spans="1:6" x14ac:dyDescent="0.3">
      <c r="A387" s="2" t="s">
        <v>280</v>
      </c>
      <c r="B387" s="19" t="str">
        <f>_xlfn.XLOOKUP(A387,CATÁLOGO!$A$2:$A$846,CATÁLOGO!$B$2:$B$846,"FORA DO CATÁLOGO")</f>
        <v>CAM016GM</v>
      </c>
      <c r="C387" s="13">
        <v>5</v>
      </c>
      <c r="D387" s="13" t="str">
        <f>_xlfn.XLOOKUP(A387,CATÁLOGO!$A$2:$A$846,CATÁLOGO!$E$2:$E$846,"FORA DO CATÁLOGO")</f>
        <v>Ativo</v>
      </c>
      <c r="E387" s="2"/>
      <c r="F387" s="62">
        <f>SUMIFS('AVARIA ESTIMADA'!$J$18:$J$40,'AVARIA ESTIMADA'!$A$18:$A$40,A387)</f>
        <v>0</v>
      </c>
    </row>
    <row r="388" spans="1:6" x14ac:dyDescent="0.3">
      <c r="A388" s="2" t="s">
        <v>281</v>
      </c>
      <c r="B388" s="19" t="str">
        <f>_xlfn.XLOOKUP(A388,CATÁLOGO!$A$2:$A$846,CATÁLOGO!$B$2:$B$846,"FORA DO CATÁLOGO")</f>
        <v>CAM016GG</v>
      </c>
      <c r="C388" s="13">
        <v>4</v>
      </c>
      <c r="D388" s="13" t="str">
        <f>_xlfn.XLOOKUP(A388,CATÁLOGO!$A$2:$A$846,CATÁLOGO!$E$2:$E$846,"FORA DO CATÁLOGO")</f>
        <v>Ativo</v>
      </c>
      <c r="E388" s="2"/>
      <c r="F388" s="62">
        <f>SUMIFS('AVARIA ESTIMADA'!$J$18:$J$40,'AVARIA ESTIMADA'!$A$18:$A$40,A388)</f>
        <v>0</v>
      </c>
    </row>
    <row r="389" spans="1:6" x14ac:dyDescent="0.3">
      <c r="A389" s="2" t="s">
        <v>282</v>
      </c>
      <c r="B389" s="19" t="str">
        <f>_xlfn.XLOOKUP(A389,CATÁLOGO!$A$2:$A$846,CATÁLOGO!$B$2:$B$846,"FORA DO CATÁLOGO")</f>
        <v>CMS008VP</v>
      </c>
      <c r="C389" s="13">
        <v>3</v>
      </c>
      <c r="D389" s="13" t="str">
        <f>_xlfn.XLOOKUP(A389,CATÁLOGO!$A$2:$A$846,CATÁLOGO!$E$2:$E$846,"FORA DO CATÁLOGO")</f>
        <v>Ativo</v>
      </c>
      <c r="E389" s="2" t="s">
        <v>1333</v>
      </c>
      <c r="F389" s="62">
        <f>SUMIFS('AVARIA ESTIMADA'!$J$18:$J$40,'AVARIA ESTIMADA'!$A$18:$A$40,A389)</f>
        <v>0</v>
      </c>
    </row>
    <row r="390" spans="1:6" x14ac:dyDescent="0.3">
      <c r="A390" s="2" t="s">
        <v>283</v>
      </c>
      <c r="B390" s="19" t="str">
        <f>_xlfn.XLOOKUP(A390,CATÁLOGO!$A$2:$A$846,CATÁLOGO!$B$2:$B$846,"FORA DO CATÁLOGO")</f>
        <v>CMS008VM</v>
      </c>
      <c r="C390" s="13">
        <v>4</v>
      </c>
      <c r="D390" s="13" t="str">
        <f>_xlfn.XLOOKUP(A390,CATÁLOGO!$A$2:$A$846,CATÁLOGO!$E$2:$E$846,"FORA DO CATÁLOGO")</f>
        <v>Ativo</v>
      </c>
      <c r="E390" s="2" t="s">
        <v>1333</v>
      </c>
      <c r="F390" s="62">
        <f>SUMIFS('AVARIA ESTIMADA'!$J$18:$J$40,'AVARIA ESTIMADA'!$A$18:$A$40,A390)</f>
        <v>0</v>
      </c>
    </row>
    <row r="391" spans="1:6" x14ac:dyDescent="0.3">
      <c r="A391" s="2" t="s">
        <v>284</v>
      </c>
      <c r="B391" s="19" t="str">
        <f>_xlfn.XLOOKUP(A391,CATÁLOGO!$A$2:$A$846,CATÁLOGO!$B$2:$B$846,"FORA DO CATÁLOGO")</f>
        <v>CMS008VG</v>
      </c>
      <c r="C391" s="13">
        <v>5</v>
      </c>
      <c r="D391" s="13" t="str">
        <f>_xlfn.XLOOKUP(A391,CATÁLOGO!$A$2:$A$846,CATÁLOGO!$E$2:$E$846,"FORA DO CATÁLOGO")</f>
        <v>Ativo</v>
      </c>
      <c r="E391" s="2"/>
      <c r="F391" s="62">
        <f>SUMIFS('AVARIA ESTIMADA'!$J$18:$J$40,'AVARIA ESTIMADA'!$A$18:$A$40,A391)</f>
        <v>0</v>
      </c>
    </row>
    <row r="392" spans="1:6" x14ac:dyDescent="0.3">
      <c r="A392" s="2" t="s">
        <v>285</v>
      </c>
      <c r="B392" s="19" t="str">
        <f>_xlfn.XLOOKUP(A392,CATÁLOGO!$A$2:$A$846,CATÁLOGO!$B$2:$B$846,"FORA DO CATÁLOGO")</f>
        <v>CMS008VGG</v>
      </c>
      <c r="C392" s="13">
        <v>2</v>
      </c>
      <c r="D392" s="13" t="str">
        <f>_xlfn.XLOOKUP(A392,CATÁLOGO!$A$2:$A$846,CATÁLOGO!$E$2:$E$846,"FORA DO CATÁLOGO")</f>
        <v>Ativo</v>
      </c>
      <c r="E392" s="2" t="s">
        <v>1333</v>
      </c>
      <c r="F392" s="62">
        <f>SUMIFS('AVARIA ESTIMADA'!$J$18:$J$40,'AVARIA ESTIMADA'!$A$18:$A$40,A392)</f>
        <v>0</v>
      </c>
    </row>
    <row r="393" spans="1:6" x14ac:dyDescent="0.3">
      <c r="A393" s="2" t="s">
        <v>286</v>
      </c>
      <c r="B393" s="19" t="str">
        <f>_xlfn.XLOOKUP(A393,CATÁLOGO!$A$2:$A$846,CATÁLOGO!$B$2:$B$846,"FORA DO CATÁLOGO")</f>
        <v>ACE010GU</v>
      </c>
      <c r="C393" s="13">
        <v>4</v>
      </c>
      <c r="D393" s="13" t="str">
        <f>_xlfn.XLOOKUP(A393,CATÁLOGO!$A$2:$A$846,CATÁLOGO!$E$2:$E$846,"FORA DO CATÁLOGO")</f>
        <v>Ativo</v>
      </c>
      <c r="E393" s="2" t="s">
        <v>1333</v>
      </c>
      <c r="F393" s="62">
        <f>SUMIFS('AVARIA ESTIMADA'!$J$18:$J$40,'AVARIA ESTIMADA'!$A$18:$A$40,A393)</f>
        <v>0</v>
      </c>
    </row>
    <row r="394" spans="1:6" x14ac:dyDescent="0.3">
      <c r="A394" s="2" t="s">
        <v>287</v>
      </c>
      <c r="B394" s="19" t="str">
        <f>_xlfn.XLOOKUP(A394,CATÁLOGO!$A$2:$A$846,CATÁLOGO!$B$2:$B$846,"FORA DO CATÁLOGO")</f>
        <v>ACE010LU</v>
      </c>
      <c r="C394" s="13">
        <v>2</v>
      </c>
      <c r="D394" s="13" t="str">
        <f>_xlfn.XLOOKUP(A394,CATÁLOGO!$A$2:$A$846,CATÁLOGO!$E$2:$E$846,"FORA DO CATÁLOGO")</f>
        <v>Ativo</v>
      </c>
      <c r="E394" s="2"/>
      <c r="F394" s="62">
        <f>SUMIFS('AVARIA ESTIMADA'!$J$18:$J$40,'AVARIA ESTIMADA'!$A$18:$A$40,A394)</f>
        <v>0</v>
      </c>
    </row>
    <row r="395" spans="1:6" x14ac:dyDescent="0.3">
      <c r="A395" s="2" t="s">
        <v>288</v>
      </c>
      <c r="B395" s="19" t="str">
        <f>_xlfn.XLOOKUP(A395,CATÁLOGO!$A$2:$A$846,CATÁLOGO!$B$2:$B$846,"FORA DO CATÁLOGO")</f>
        <v>ACE010YU</v>
      </c>
      <c r="C395" s="13">
        <v>2</v>
      </c>
      <c r="D395" s="13" t="str">
        <f>_xlfn.XLOOKUP(A395,CATÁLOGO!$A$2:$A$846,CATÁLOGO!$E$2:$E$846,"FORA DO CATÁLOGO")</f>
        <v>Ativo</v>
      </c>
      <c r="E395" s="2" t="s">
        <v>1290</v>
      </c>
      <c r="F395" s="62">
        <f>SUMIFS('AVARIA ESTIMADA'!$J$18:$J$40,'AVARIA ESTIMADA'!$A$18:$A$40,A395)</f>
        <v>0</v>
      </c>
    </row>
    <row r="396" spans="1:6" x14ac:dyDescent="0.3">
      <c r="A396" s="2" t="s">
        <v>289</v>
      </c>
      <c r="B396" s="19" t="str">
        <f>_xlfn.XLOOKUP(A396,CATÁLOGO!$A$2:$A$846,CATÁLOGO!$B$2:$B$846,"FORA DO CATÁLOGO")</f>
        <v>TOP012VP</v>
      </c>
      <c r="C396" s="13">
        <v>3</v>
      </c>
      <c r="D396" s="13" t="str">
        <f>_xlfn.XLOOKUP(A396,CATÁLOGO!$A$2:$A$846,CATÁLOGO!$E$2:$E$846,"FORA DO CATÁLOGO")</f>
        <v>Ativo</v>
      </c>
      <c r="E396" s="2"/>
      <c r="F396" s="62">
        <f>SUMIFS('AVARIA ESTIMADA'!$J$18:$J$40,'AVARIA ESTIMADA'!$A$18:$A$40,A396)</f>
        <v>0</v>
      </c>
    </row>
    <row r="397" spans="1:6" x14ac:dyDescent="0.3">
      <c r="A397" s="2" t="s">
        <v>1263</v>
      </c>
      <c r="B397" s="19" t="str">
        <f>_xlfn.XLOOKUP(A397,CATÁLOGO!$A$2:$A$846,CATÁLOGO!$B$2:$B$846,"FORA DO CATÁLOGO")</f>
        <v>TOP012VM</v>
      </c>
      <c r="C397" s="13">
        <v>4</v>
      </c>
      <c r="D397" s="13" t="str">
        <f>_xlfn.XLOOKUP(A397,CATÁLOGO!$A$2:$A$846,CATÁLOGO!$E$2:$E$846,"FORA DO CATÁLOGO")</f>
        <v>Ativo</v>
      </c>
      <c r="E397" s="2"/>
      <c r="F397" s="62">
        <f>SUMIFS('AVARIA ESTIMADA'!$J$18:$J$40,'AVARIA ESTIMADA'!$A$18:$A$40,A397)</f>
        <v>0</v>
      </c>
    </row>
    <row r="398" spans="1:6" x14ac:dyDescent="0.3">
      <c r="A398" s="2" t="s">
        <v>290</v>
      </c>
      <c r="B398" s="19" t="str">
        <f>_xlfn.XLOOKUP(A398,CATÁLOGO!$A$2:$A$846,CATÁLOGO!$B$2:$B$846,"FORA DO CATÁLOGO")</f>
        <v>TOP012VG</v>
      </c>
      <c r="C398" s="13">
        <v>3</v>
      </c>
      <c r="D398" s="13" t="str">
        <f>_xlfn.XLOOKUP(A398,CATÁLOGO!$A$2:$A$846,CATÁLOGO!$E$2:$E$846,"FORA DO CATÁLOGO")</f>
        <v>Ativo</v>
      </c>
      <c r="E398" s="2"/>
      <c r="F398" s="62">
        <f>SUMIFS('AVARIA ESTIMADA'!$J$18:$J$40,'AVARIA ESTIMADA'!$A$18:$A$40,A398)</f>
        <v>0</v>
      </c>
    </row>
    <row r="399" spans="1:6" x14ac:dyDescent="0.3">
      <c r="A399" s="2" t="s">
        <v>291</v>
      </c>
      <c r="B399" s="19" t="str">
        <f>_xlfn.XLOOKUP(A399,CATÁLOGO!$A$2:$A$846,CATÁLOGO!$B$2:$B$846,"FORA DO CATÁLOGO")</f>
        <v>TOP012VGG</v>
      </c>
      <c r="C399" s="13">
        <v>2</v>
      </c>
      <c r="D399" s="13" t="str">
        <f>_xlfn.XLOOKUP(A399,CATÁLOGO!$A$2:$A$846,CATÁLOGO!$E$2:$E$846,"FORA DO CATÁLOGO")</f>
        <v>Ativo</v>
      </c>
      <c r="E399" s="2"/>
      <c r="F399" s="62">
        <f>SUMIFS('AVARIA ESTIMADA'!$J$18:$J$40,'AVARIA ESTIMADA'!$A$18:$A$40,A399)</f>
        <v>0</v>
      </c>
    </row>
    <row r="400" spans="1:6" x14ac:dyDescent="0.3">
      <c r="A400" s="2" t="s">
        <v>292</v>
      </c>
      <c r="B400" s="19" t="str">
        <f>_xlfn.XLOOKUP(A400,CATÁLOGO!$A$2:$A$846,CATÁLOGO!$B$2:$B$846,"FORA DO CATÁLOGO")</f>
        <v>TOP012PP</v>
      </c>
      <c r="C400" s="13">
        <v>2</v>
      </c>
      <c r="D400" s="13" t="str">
        <f>_xlfn.XLOOKUP(A400,CATÁLOGO!$A$2:$A$846,CATÁLOGO!$E$2:$E$846,"FORA DO CATÁLOGO")</f>
        <v>Ativo</v>
      </c>
      <c r="E400" s="2"/>
      <c r="F400" s="62">
        <f>SUMIFS('AVARIA ESTIMADA'!$J$18:$J$40,'AVARIA ESTIMADA'!$A$18:$A$40,A400)</f>
        <v>0</v>
      </c>
    </row>
    <row r="401" spans="1:6" x14ac:dyDescent="0.3">
      <c r="A401" s="2" t="s">
        <v>293</v>
      </c>
      <c r="B401" s="19" t="str">
        <f>_xlfn.XLOOKUP(A401,CATÁLOGO!$A$2:$A$846,CATÁLOGO!$B$2:$B$846,"FORA DO CATÁLOGO")</f>
        <v>TOP012PM</v>
      </c>
      <c r="C401" s="13">
        <v>3</v>
      </c>
      <c r="D401" s="13" t="str">
        <f>_xlfn.XLOOKUP(A401,CATÁLOGO!$A$2:$A$846,CATÁLOGO!$E$2:$E$846,"FORA DO CATÁLOGO")</f>
        <v>Ativo</v>
      </c>
      <c r="E401" s="2"/>
      <c r="F401" s="62">
        <f>SUMIFS('AVARIA ESTIMADA'!$J$18:$J$40,'AVARIA ESTIMADA'!$A$18:$A$40,A401)</f>
        <v>0</v>
      </c>
    </row>
    <row r="402" spans="1:6" x14ac:dyDescent="0.3">
      <c r="A402" s="2" t="s">
        <v>294</v>
      </c>
      <c r="B402" s="19" t="str">
        <f>_xlfn.XLOOKUP(A402,CATÁLOGO!$A$2:$A$846,CATÁLOGO!$B$2:$B$846,"FORA DO CATÁLOGO")</f>
        <v>TOP012PG</v>
      </c>
      <c r="C402" s="13">
        <v>2</v>
      </c>
      <c r="D402" s="13" t="str">
        <f>_xlfn.XLOOKUP(A402,CATÁLOGO!$A$2:$A$846,CATÁLOGO!$E$2:$E$846,"FORA DO CATÁLOGO")</f>
        <v>Ativo</v>
      </c>
      <c r="E402" s="2"/>
      <c r="F402" s="62">
        <f>SUMIFS('AVARIA ESTIMADA'!$J$18:$J$40,'AVARIA ESTIMADA'!$A$18:$A$40,A402)</f>
        <v>0</v>
      </c>
    </row>
    <row r="403" spans="1:6" x14ac:dyDescent="0.3">
      <c r="A403" s="2" t="s">
        <v>295</v>
      </c>
      <c r="B403" s="19" t="str">
        <f>_xlfn.XLOOKUP(A403,CATÁLOGO!$A$2:$A$846,CATÁLOGO!$B$2:$B$846,"FORA DO CATÁLOGO")</f>
        <v>TOP012PGG</v>
      </c>
      <c r="C403" s="13">
        <v>1</v>
      </c>
      <c r="D403" s="13" t="str">
        <f>_xlfn.XLOOKUP(A403,CATÁLOGO!$A$2:$A$846,CATÁLOGO!$E$2:$E$846,"FORA DO CATÁLOGO")</f>
        <v>Ativo</v>
      </c>
      <c r="E403" s="2"/>
      <c r="F403" s="62">
        <f>SUMIFS('AVARIA ESTIMADA'!$J$18:$J$40,'AVARIA ESTIMADA'!$A$18:$A$40,A403)</f>
        <v>0</v>
      </c>
    </row>
    <row r="404" spans="1:6" x14ac:dyDescent="0.3">
      <c r="A404" s="2" t="s">
        <v>296</v>
      </c>
      <c r="B404" s="19" t="str">
        <f>_xlfn.XLOOKUP(A404,CATÁLOGO!$A$2:$A$846,CATÁLOGO!$B$2:$B$846,"FORA DO CATÁLOGO")</f>
        <v>SAI008HP</v>
      </c>
      <c r="C404" s="13">
        <v>3</v>
      </c>
      <c r="D404" s="13" t="str">
        <f>_xlfn.XLOOKUP(A404,CATÁLOGO!$A$2:$A$846,CATÁLOGO!$E$2:$E$846,"FORA DO CATÁLOGO")</f>
        <v>Ativo</v>
      </c>
      <c r="E404" s="2"/>
      <c r="F404" s="62">
        <f>SUMIFS('AVARIA ESTIMADA'!$J$18:$J$40,'AVARIA ESTIMADA'!$A$18:$A$40,A404)</f>
        <v>0</v>
      </c>
    </row>
    <row r="405" spans="1:6" x14ac:dyDescent="0.3">
      <c r="A405" s="2" t="s">
        <v>297</v>
      </c>
      <c r="B405" s="19" t="str">
        <f>_xlfn.XLOOKUP(A405,CATÁLOGO!$A$2:$A$846,CATÁLOGO!$B$2:$B$846,"FORA DO CATÁLOGO")</f>
        <v>SAI008HM</v>
      </c>
      <c r="C405" s="13">
        <v>4</v>
      </c>
      <c r="D405" s="13" t="str">
        <f>_xlfn.XLOOKUP(A405,CATÁLOGO!$A$2:$A$846,CATÁLOGO!$E$2:$E$846,"FORA DO CATÁLOGO")</f>
        <v>Ativo</v>
      </c>
      <c r="E405" s="2"/>
      <c r="F405" s="62">
        <f>SUMIFS('AVARIA ESTIMADA'!$J$18:$J$40,'AVARIA ESTIMADA'!$A$18:$A$40,A405)</f>
        <v>0</v>
      </c>
    </row>
    <row r="406" spans="1:6" x14ac:dyDescent="0.3">
      <c r="A406" s="2" t="s">
        <v>298</v>
      </c>
      <c r="B406" s="19" t="str">
        <f>_xlfn.XLOOKUP(A406,CATÁLOGO!$A$2:$A$846,CATÁLOGO!$B$2:$B$846,"FORA DO CATÁLOGO")</f>
        <v>SAI008HG</v>
      </c>
      <c r="C406" s="13">
        <v>4</v>
      </c>
      <c r="D406" s="13" t="str">
        <f>_xlfn.XLOOKUP(A406,CATÁLOGO!$A$2:$A$846,CATÁLOGO!$E$2:$E$846,"FORA DO CATÁLOGO")</f>
        <v>Ativo</v>
      </c>
      <c r="E406" s="2" t="s">
        <v>1327</v>
      </c>
      <c r="F406" s="62">
        <f>SUMIFS('AVARIA ESTIMADA'!$J$18:$J$40,'AVARIA ESTIMADA'!$A$18:$A$40,A406)</f>
        <v>0</v>
      </c>
    </row>
    <row r="407" spans="1:6" x14ac:dyDescent="0.3">
      <c r="A407" s="2" t="s">
        <v>299</v>
      </c>
      <c r="B407" s="19" t="str">
        <f>_xlfn.XLOOKUP(A407,CATÁLOGO!$A$2:$A$846,CATÁLOGO!$B$2:$B$846,"FORA DO CATÁLOGO")</f>
        <v>SAI008HGG</v>
      </c>
      <c r="C407" s="13">
        <v>2</v>
      </c>
      <c r="D407" s="13" t="str">
        <f>_xlfn.XLOOKUP(A407,CATÁLOGO!$A$2:$A$846,CATÁLOGO!$E$2:$E$846,"FORA DO CATÁLOGO")</f>
        <v>Ativo</v>
      </c>
      <c r="E407" s="2"/>
      <c r="F407" s="62">
        <f>SUMIFS('AVARIA ESTIMADA'!$J$18:$J$40,'AVARIA ESTIMADA'!$A$18:$A$40,A407)</f>
        <v>0</v>
      </c>
    </row>
    <row r="408" spans="1:6" x14ac:dyDescent="0.3">
      <c r="A408" s="2" t="s">
        <v>1653</v>
      </c>
      <c r="B408" s="19" t="str">
        <f>_xlfn.XLOOKUP(A408,CATÁLOGO!$A$2:$A$846,CATÁLOGO!$B$2:$B$846,"FORA DO CATÁLOGO")</f>
        <v>CAL021P36</v>
      </c>
      <c r="C408" s="13">
        <v>3</v>
      </c>
      <c r="D408" s="13" t="str">
        <f>_xlfn.XLOOKUP(A408,CATÁLOGO!$A$2:$A$846,CATÁLOGO!$E$2:$E$846,"FORA DO CATÁLOGO")</f>
        <v>Ativo</v>
      </c>
      <c r="E408" s="2" t="s">
        <v>1333</v>
      </c>
      <c r="F408" s="62">
        <f>SUMIFS('AVARIA ESTIMADA'!$J$18:$J$40,'AVARIA ESTIMADA'!$A$18:$A$40,A408)</f>
        <v>0</v>
      </c>
    </row>
    <row r="409" spans="1:6" x14ac:dyDescent="0.3">
      <c r="A409" s="2" t="s">
        <v>1651</v>
      </c>
      <c r="B409" s="19" t="str">
        <f>_xlfn.XLOOKUP(A409,CATÁLOGO!$A$2:$A$846,CATÁLOGO!$B$2:$B$846,"FORA DO CATÁLOGO")</f>
        <v>CAL021P38</v>
      </c>
      <c r="C409" s="13">
        <v>4</v>
      </c>
      <c r="D409" s="13" t="str">
        <f>_xlfn.XLOOKUP(A409,CATÁLOGO!$A$2:$A$846,CATÁLOGO!$E$2:$E$846,"FORA DO CATÁLOGO")</f>
        <v>Ativo</v>
      </c>
      <c r="E409" s="2"/>
      <c r="F409" s="62">
        <f>SUMIFS('AVARIA ESTIMADA'!$J$18:$J$40,'AVARIA ESTIMADA'!$A$18:$A$40,A409)</f>
        <v>0</v>
      </c>
    </row>
    <row r="410" spans="1:6" x14ac:dyDescent="0.3">
      <c r="A410" s="2" t="s">
        <v>1650</v>
      </c>
      <c r="B410" s="19" t="str">
        <f>_xlfn.XLOOKUP(A410,CATÁLOGO!$A$2:$A$846,CATÁLOGO!$B$2:$B$846,"FORA DO CATÁLOGO")</f>
        <v>CAL021P40</v>
      </c>
      <c r="C410" s="13">
        <v>4</v>
      </c>
      <c r="D410" s="13" t="str">
        <f>_xlfn.XLOOKUP(A410,CATÁLOGO!$A$2:$A$846,CATÁLOGO!$E$2:$E$846,"FORA DO CATÁLOGO")</f>
        <v>Ativo</v>
      </c>
      <c r="E410" s="2"/>
      <c r="F410" s="62">
        <f>SUMIFS('AVARIA ESTIMADA'!$J$18:$J$40,'AVARIA ESTIMADA'!$A$18:$A$40,A410)</f>
        <v>0</v>
      </c>
    </row>
    <row r="411" spans="1:6" x14ac:dyDescent="0.3">
      <c r="A411" s="2" t="s">
        <v>1647</v>
      </c>
      <c r="B411" s="19" t="str">
        <f>_xlfn.XLOOKUP(A411,CATÁLOGO!$A$2:$A$846,CATÁLOGO!$B$2:$B$846,"FORA DO CATÁLOGO")</f>
        <v>CAL021P42</v>
      </c>
      <c r="C411" s="13">
        <v>2</v>
      </c>
      <c r="D411" s="13" t="str">
        <f>_xlfn.XLOOKUP(A411,CATÁLOGO!$A$2:$A$846,CATÁLOGO!$E$2:$E$846,"FORA DO CATÁLOGO")</f>
        <v>Ativo</v>
      </c>
      <c r="E411" s="2"/>
      <c r="F411" s="62">
        <f>SUMIFS('AVARIA ESTIMADA'!$J$18:$J$40,'AVARIA ESTIMADA'!$A$18:$A$40,A411)</f>
        <v>0</v>
      </c>
    </row>
    <row r="412" spans="1:6" x14ac:dyDescent="0.3">
      <c r="A412" s="2" t="s">
        <v>1649</v>
      </c>
      <c r="B412" s="19" t="str">
        <f>_xlfn.XLOOKUP(A412,CATÁLOGO!$A$2:$A$846,CATÁLOGO!$B$2:$B$846,"FORA DO CATÁLOGO")</f>
        <v>CAL021P44</v>
      </c>
      <c r="C412" s="13">
        <v>2</v>
      </c>
      <c r="D412" s="13" t="str">
        <f>_xlfn.XLOOKUP(A412,CATÁLOGO!$A$2:$A$846,CATÁLOGO!$E$2:$E$846,"FORA DO CATÁLOGO")</f>
        <v>Ativo</v>
      </c>
      <c r="E412" s="2"/>
      <c r="F412" s="62">
        <f>SUMIFS('AVARIA ESTIMADA'!$J$18:$J$40,'AVARIA ESTIMADA'!$A$18:$A$40,A412)</f>
        <v>0</v>
      </c>
    </row>
    <row r="413" spans="1:6" x14ac:dyDescent="0.3">
      <c r="A413" s="2" t="s">
        <v>1785</v>
      </c>
      <c r="B413" s="19" t="str">
        <f>_xlfn.XLOOKUP(A413,CATÁLOGO!$A$2:$A$846,CATÁLOGO!$B$2:$B$846,"FORA DO CATÁLOGO")</f>
        <v>CMS009LPP</v>
      </c>
      <c r="C413" s="13">
        <v>2</v>
      </c>
      <c r="D413" s="13" t="str">
        <f>_xlfn.XLOOKUP(A413,CATÁLOGO!$A$2:$A$846,CATÁLOGO!$E$2:$E$846,"FORA DO CATÁLOGO")</f>
        <v>Ativo</v>
      </c>
      <c r="E413" s="2"/>
      <c r="F413" s="62">
        <f>SUMIFS('AVARIA ESTIMADA'!$J$18:$J$40,'AVARIA ESTIMADA'!$A$18:$A$40,A413)</f>
        <v>0</v>
      </c>
    </row>
    <row r="414" spans="1:6" x14ac:dyDescent="0.3">
      <c r="A414" s="2" t="s">
        <v>300</v>
      </c>
      <c r="B414" s="19" t="str">
        <f>_xlfn.XLOOKUP(A414,CATÁLOGO!$A$2:$A$846,CATÁLOGO!$B$2:$B$846,"FORA DO CATÁLOGO")</f>
        <v>CMS009LP</v>
      </c>
      <c r="C414" s="13">
        <v>4</v>
      </c>
      <c r="D414" s="13" t="str">
        <f>_xlfn.XLOOKUP(A414,CATÁLOGO!$A$2:$A$846,CATÁLOGO!$E$2:$E$846,"FORA DO CATÁLOGO")</f>
        <v>Ativo</v>
      </c>
      <c r="E414" s="2"/>
      <c r="F414" s="62">
        <f>SUMIFS('AVARIA ESTIMADA'!$J$18:$J$40,'AVARIA ESTIMADA'!$A$18:$A$40,A414)</f>
        <v>0</v>
      </c>
    </row>
    <row r="415" spans="1:6" x14ac:dyDescent="0.3">
      <c r="A415" s="2" t="s">
        <v>301</v>
      </c>
      <c r="B415" s="19" t="str">
        <f>_xlfn.XLOOKUP(A415,CATÁLOGO!$A$2:$A$846,CATÁLOGO!$B$2:$B$846,"FORA DO CATÁLOGO")</f>
        <v>CMS009LM</v>
      </c>
      <c r="C415" s="13">
        <v>6</v>
      </c>
      <c r="D415" s="13" t="str">
        <f>_xlfn.XLOOKUP(A415,CATÁLOGO!$A$2:$A$846,CATÁLOGO!$E$2:$E$846,"FORA DO CATÁLOGO")</f>
        <v>Ativo</v>
      </c>
      <c r="E415" s="2"/>
      <c r="F415" s="62">
        <f>SUMIFS('AVARIA ESTIMADA'!$J$18:$J$40,'AVARIA ESTIMADA'!$A$18:$A$40,A415)</f>
        <v>0</v>
      </c>
    </row>
    <row r="416" spans="1:6" x14ac:dyDescent="0.3">
      <c r="A416" s="2" t="s">
        <v>302</v>
      </c>
      <c r="B416" s="19" t="str">
        <f>_xlfn.XLOOKUP(A416,CATÁLOGO!$A$2:$A$846,CATÁLOGO!$B$2:$B$846,"FORA DO CATÁLOGO")</f>
        <v>CMS009LG</v>
      </c>
      <c r="C416" s="13">
        <v>5</v>
      </c>
      <c r="D416" s="13" t="str">
        <f>_xlfn.XLOOKUP(A416,CATÁLOGO!$A$2:$A$846,CATÁLOGO!$E$2:$E$846,"FORA DO CATÁLOGO")</f>
        <v>Ativo</v>
      </c>
      <c r="E416" s="2" t="s">
        <v>1333</v>
      </c>
      <c r="F416" s="62">
        <f>SUMIFS('AVARIA ESTIMADA'!$J$18:$J$40,'AVARIA ESTIMADA'!$A$18:$A$40,A416)</f>
        <v>0</v>
      </c>
    </row>
    <row r="417" spans="1:6" x14ac:dyDescent="0.3">
      <c r="A417" s="2" t="s">
        <v>303</v>
      </c>
      <c r="B417" s="19" t="str">
        <f>_xlfn.XLOOKUP(A417,CATÁLOGO!$A$2:$A$846,CATÁLOGO!$B$2:$B$846,"FORA DO CATÁLOGO")</f>
        <v>CMS009LGG</v>
      </c>
      <c r="C417" s="13">
        <v>3</v>
      </c>
      <c r="D417" s="13" t="str">
        <f>_xlfn.XLOOKUP(A417,CATÁLOGO!$A$2:$A$846,CATÁLOGO!$E$2:$E$846,"FORA DO CATÁLOGO")</f>
        <v>Ativo</v>
      </c>
      <c r="E417" s="2"/>
      <c r="F417" s="62">
        <f>SUMIFS('AVARIA ESTIMADA'!$J$18:$J$40,'AVARIA ESTIMADA'!$A$18:$A$40,A417)</f>
        <v>0</v>
      </c>
    </row>
    <row r="418" spans="1:6" x14ac:dyDescent="0.3">
      <c r="A418" s="2" t="s">
        <v>304</v>
      </c>
      <c r="B418" s="19" t="str">
        <f>_xlfn.XLOOKUP(A418,CATÁLOGO!$A$2:$A$846,CATÁLOGO!$B$2:$B$846,"FORA DO CATÁLOGO")</f>
        <v>VES008AP</v>
      </c>
      <c r="C418" s="13">
        <v>3</v>
      </c>
      <c r="D418" s="13" t="str">
        <f>_xlfn.XLOOKUP(A418,CATÁLOGO!$A$2:$A$846,CATÁLOGO!$E$2:$E$846,"FORA DO CATÁLOGO")</f>
        <v>Ativo</v>
      </c>
      <c r="E418" s="2" t="s">
        <v>1325</v>
      </c>
      <c r="F418" s="62">
        <f>SUMIFS('AVARIA ESTIMADA'!$J$18:$J$40,'AVARIA ESTIMADA'!$A$18:$A$40,A418)</f>
        <v>0</v>
      </c>
    </row>
    <row r="419" spans="1:6" x14ac:dyDescent="0.3">
      <c r="A419" s="2" t="s">
        <v>305</v>
      </c>
      <c r="B419" s="19" t="str">
        <f>_xlfn.XLOOKUP(A419,CATÁLOGO!$A$2:$A$846,CATÁLOGO!$B$2:$B$846,"FORA DO CATÁLOGO")</f>
        <v>VES008AM</v>
      </c>
      <c r="C419" s="13">
        <v>3</v>
      </c>
      <c r="D419" s="13" t="str">
        <f>_xlfn.XLOOKUP(A419,CATÁLOGO!$A$2:$A$846,CATÁLOGO!$E$2:$E$846,"FORA DO CATÁLOGO")</f>
        <v>Ativo</v>
      </c>
      <c r="E419" s="2"/>
      <c r="F419" s="62">
        <f>SUMIFS('AVARIA ESTIMADA'!$J$18:$J$40,'AVARIA ESTIMADA'!$A$18:$A$40,A419)</f>
        <v>0</v>
      </c>
    </row>
    <row r="420" spans="1:6" x14ac:dyDescent="0.3">
      <c r="A420" s="2" t="s">
        <v>306</v>
      </c>
      <c r="B420" s="19" t="str">
        <f>_xlfn.XLOOKUP(A420,CATÁLOGO!$A$2:$A$846,CATÁLOGO!$B$2:$B$846,"FORA DO CATÁLOGO")</f>
        <v>VES008AG</v>
      </c>
      <c r="C420" s="13">
        <v>3</v>
      </c>
      <c r="D420" s="13" t="str">
        <f>_xlfn.XLOOKUP(A420,CATÁLOGO!$A$2:$A$846,CATÁLOGO!$E$2:$E$846,"FORA DO CATÁLOGO")</f>
        <v>Ativo</v>
      </c>
      <c r="E420" s="2"/>
      <c r="F420" s="62">
        <f>SUMIFS('AVARIA ESTIMADA'!$J$18:$J$40,'AVARIA ESTIMADA'!$A$18:$A$40,A420)</f>
        <v>0</v>
      </c>
    </row>
    <row r="421" spans="1:6" x14ac:dyDescent="0.3">
      <c r="A421" s="2" t="s">
        <v>307</v>
      </c>
      <c r="B421" s="19" t="str">
        <f>_xlfn.XLOOKUP(A421,CATÁLOGO!$A$2:$A$846,CATÁLOGO!$B$2:$B$846,"FORA DO CATÁLOGO")</f>
        <v>VES008AGG</v>
      </c>
      <c r="C421" s="13">
        <v>2</v>
      </c>
      <c r="D421" s="13" t="str">
        <f>_xlfn.XLOOKUP(A421,CATÁLOGO!$A$2:$A$846,CATÁLOGO!$E$2:$E$846,"FORA DO CATÁLOGO")</f>
        <v>Ativo</v>
      </c>
      <c r="E421" s="2" t="s">
        <v>1333</v>
      </c>
      <c r="F421" s="62">
        <f>SUMIFS('AVARIA ESTIMADA'!$J$18:$J$40,'AVARIA ESTIMADA'!$A$18:$A$40,A421)</f>
        <v>0</v>
      </c>
    </row>
    <row r="422" spans="1:6" x14ac:dyDescent="0.3">
      <c r="A422" s="2" t="s">
        <v>308</v>
      </c>
      <c r="B422" s="19" t="str">
        <f>_xlfn.XLOOKUP(A422,CATÁLOGO!$A$2:$A$846,CATÁLOGO!$B$2:$B$846,"FORA DO CATÁLOGO")</f>
        <v>VES008OP</v>
      </c>
      <c r="C422" s="13">
        <v>2</v>
      </c>
      <c r="D422" s="13" t="str">
        <f>_xlfn.XLOOKUP(A422,CATÁLOGO!$A$2:$A$846,CATÁLOGO!$E$2:$E$846,"FORA DO CATÁLOGO")</f>
        <v>Ativo</v>
      </c>
      <c r="E422" s="2"/>
      <c r="F422" s="62">
        <f>SUMIFS('AVARIA ESTIMADA'!$J$18:$J$40,'AVARIA ESTIMADA'!$A$18:$A$40,A422)</f>
        <v>0</v>
      </c>
    </row>
    <row r="423" spans="1:6" x14ac:dyDescent="0.3">
      <c r="A423" s="2" t="s">
        <v>309</v>
      </c>
      <c r="B423" s="19" t="str">
        <f>_xlfn.XLOOKUP(A423,CATÁLOGO!$A$2:$A$846,CATÁLOGO!$B$2:$B$846,"FORA DO CATÁLOGO")</f>
        <v>VES008OM</v>
      </c>
      <c r="C423" s="13">
        <v>2</v>
      </c>
      <c r="D423" s="13" t="str">
        <f>_xlfn.XLOOKUP(A423,CATÁLOGO!$A$2:$A$846,CATÁLOGO!$E$2:$E$846,"FORA DO CATÁLOGO")</f>
        <v>Ativo</v>
      </c>
      <c r="E423" s="2"/>
      <c r="F423" s="62">
        <f>SUMIFS('AVARIA ESTIMADA'!$J$18:$J$40,'AVARIA ESTIMADA'!$A$18:$A$40,A423)</f>
        <v>0</v>
      </c>
    </row>
    <row r="424" spans="1:6" x14ac:dyDescent="0.3">
      <c r="A424" s="2" t="s">
        <v>310</v>
      </c>
      <c r="B424" s="19" t="str">
        <f>_xlfn.XLOOKUP(A424,CATÁLOGO!$A$2:$A$846,CATÁLOGO!$B$2:$B$846,"FORA DO CATÁLOGO")</f>
        <v>VES008OG</v>
      </c>
      <c r="C424" s="13">
        <v>2</v>
      </c>
      <c r="D424" s="13" t="str">
        <f>_xlfn.XLOOKUP(A424,CATÁLOGO!$A$2:$A$846,CATÁLOGO!$E$2:$E$846,"FORA DO CATÁLOGO")</f>
        <v>Ativo</v>
      </c>
      <c r="E424" s="2"/>
      <c r="F424" s="62">
        <f>SUMIFS('AVARIA ESTIMADA'!$J$18:$J$40,'AVARIA ESTIMADA'!$A$18:$A$40,A424)</f>
        <v>0</v>
      </c>
    </row>
    <row r="425" spans="1:6" x14ac:dyDescent="0.3">
      <c r="A425" s="2" t="s">
        <v>311</v>
      </c>
      <c r="B425" s="19" t="str">
        <f>_xlfn.XLOOKUP(A425,CATÁLOGO!$A$2:$A$846,CATÁLOGO!$B$2:$B$846,"FORA DO CATÁLOGO")</f>
        <v>VES008OGG</v>
      </c>
      <c r="C425" s="13">
        <v>1</v>
      </c>
      <c r="D425" s="13" t="str">
        <f>_xlfn.XLOOKUP(A425,CATÁLOGO!$A$2:$A$846,CATÁLOGO!$E$2:$E$846,"FORA DO CATÁLOGO")</f>
        <v>Ativo</v>
      </c>
      <c r="E425" s="2"/>
      <c r="F425" s="62">
        <f>SUMIFS('AVARIA ESTIMADA'!$J$18:$J$40,'AVARIA ESTIMADA'!$A$18:$A$40,A425)</f>
        <v>0</v>
      </c>
    </row>
    <row r="426" spans="1:6" x14ac:dyDescent="0.3">
      <c r="A426" s="2" t="s">
        <v>1661</v>
      </c>
      <c r="B426" s="19" t="str">
        <f>_xlfn.XLOOKUP(A426,CATÁLOGO!$A$2:$A$846,CATÁLOGO!$B$2:$B$846,"FORA DO CATÁLOGO")</f>
        <v>CAL022G38</v>
      </c>
      <c r="C426" s="13">
        <v>3</v>
      </c>
      <c r="D426" s="13" t="str">
        <f>_xlfn.XLOOKUP(A426,CATÁLOGO!$A$2:$A$846,CATÁLOGO!$E$2:$E$846,"FORA DO CATÁLOGO")</f>
        <v>Descontinuado</v>
      </c>
      <c r="E426" s="2"/>
      <c r="F426" s="62">
        <f>SUMIFS('AVARIA ESTIMADA'!$J$18:$J$40,'AVARIA ESTIMADA'!$A$18:$A$40,A426)</f>
        <v>0</v>
      </c>
    </row>
    <row r="427" spans="1:6" x14ac:dyDescent="0.3">
      <c r="A427" s="2" t="s">
        <v>1659</v>
      </c>
      <c r="B427" s="19" t="str">
        <f>_xlfn.XLOOKUP(A427,CATÁLOGO!$A$2:$A$846,CATÁLOGO!$B$2:$B$846,"FORA DO CATÁLOGO")</f>
        <v>CAL022G40</v>
      </c>
      <c r="C427" s="13">
        <v>2</v>
      </c>
      <c r="D427" s="13" t="str">
        <f>_xlfn.XLOOKUP(A427,CATÁLOGO!$A$2:$A$846,CATÁLOGO!$E$2:$E$846,"FORA DO CATÁLOGO")</f>
        <v>Descontinuado</v>
      </c>
      <c r="E427" s="2" t="s">
        <v>1290</v>
      </c>
      <c r="F427" s="62">
        <f>SUMIFS('AVARIA ESTIMADA'!$J$18:$J$40,'AVARIA ESTIMADA'!$A$18:$A$40,A427)</f>
        <v>0</v>
      </c>
    </row>
    <row r="428" spans="1:6" x14ac:dyDescent="0.3">
      <c r="A428" s="2" t="s">
        <v>1657</v>
      </c>
      <c r="B428" s="19" t="str">
        <f>_xlfn.XLOOKUP(A428,CATÁLOGO!$A$2:$A$846,CATÁLOGO!$B$2:$B$846,"FORA DO CATÁLOGO")</f>
        <v>CAL022G44</v>
      </c>
      <c r="C428" s="13">
        <v>2</v>
      </c>
      <c r="D428" s="13" t="str">
        <f>_xlfn.XLOOKUP(A428,CATÁLOGO!$A$2:$A$846,CATÁLOGO!$E$2:$E$846,"FORA DO CATÁLOGO")</f>
        <v>Descontinuado</v>
      </c>
      <c r="E428" s="2" t="s">
        <v>1333</v>
      </c>
      <c r="F428" s="62">
        <f>SUMIFS('AVARIA ESTIMADA'!$J$18:$J$40,'AVARIA ESTIMADA'!$A$18:$A$40,A428)</f>
        <v>0</v>
      </c>
    </row>
    <row r="429" spans="1:6" x14ac:dyDescent="0.3">
      <c r="A429" s="2" t="s">
        <v>1671</v>
      </c>
      <c r="B429" s="19" t="str">
        <f>_xlfn.XLOOKUP(A429,CATÁLOGO!$A$2:$A$846,CATÁLOGO!$B$2:$B$846,"FORA DO CATÁLOGO")</f>
        <v>CAL022O38</v>
      </c>
      <c r="C429" s="13">
        <v>2</v>
      </c>
      <c r="D429" s="13" t="str">
        <f>_xlfn.XLOOKUP(A429,CATÁLOGO!$A$2:$A$846,CATÁLOGO!$E$2:$E$846,"FORA DO CATÁLOGO")</f>
        <v>Descontinuado</v>
      </c>
      <c r="E429" s="2"/>
      <c r="F429" s="62">
        <f>SUMIFS('AVARIA ESTIMADA'!$J$18:$J$40,'AVARIA ESTIMADA'!$A$18:$A$40,A429)</f>
        <v>0</v>
      </c>
    </row>
    <row r="430" spans="1:6" x14ac:dyDescent="0.3">
      <c r="A430" s="2" t="s">
        <v>1669</v>
      </c>
      <c r="B430" s="19" t="str">
        <f>_xlfn.XLOOKUP(A430,CATÁLOGO!$A$2:$A$846,CATÁLOGO!$B$2:$B$846,"FORA DO CATÁLOGO")</f>
        <v>CAL022O40</v>
      </c>
      <c r="C430" s="13">
        <v>3</v>
      </c>
      <c r="D430" s="13" t="str">
        <f>_xlfn.XLOOKUP(A430,CATÁLOGO!$A$2:$A$846,CATÁLOGO!$E$2:$E$846,"FORA DO CATÁLOGO")</f>
        <v>Descontinuado</v>
      </c>
      <c r="E430" s="2"/>
      <c r="F430" s="62">
        <f>SUMIFS('AVARIA ESTIMADA'!$J$18:$J$40,'AVARIA ESTIMADA'!$A$18:$A$40,A430)</f>
        <v>0</v>
      </c>
    </row>
    <row r="431" spans="1:6" x14ac:dyDescent="0.3">
      <c r="A431" s="2" t="s">
        <v>1667</v>
      </c>
      <c r="B431" s="19" t="str">
        <f>_xlfn.XLOOKUP(A431,CATÁLOGO!$A$2:$A$846,CATÁLOGO!$B$2:$B$846,"FORA DO CATÁLOGO")</f>
        <v>CAL022O44</v>
      </c>
      <c r="C431" s="13">
        <v>0</v>
      </c>
      <c r="D431" s="13" t="str">
        <f>_xlfn.XLOOKUP(A431,CATÁLOGO!$A$2:$A$846,CATÁLOGO!$E$2:$E$846,"FORA DO CATÁLOGO")</f>
        <v>Descontinuado</v>
      </c>
      <c r="E431" s="2"/>
      <c r="F431" s="62">
        <f>SUMIFS('AVARIA ESTIMADA'!$J$18:$J$40,'AVARIA ESTIMADA'!$A$18:$A$40,A431)</f>
        <v>0</v>
      </c>
    </row>
    <row r="432" spans="1:6" x14ac:dyDescent="0.3">
      <c r="A432" s="2" t="s">
        <v>1680</v>
      </c>
      <c r="B432" s="19" t="str">
        <f>_xlfn.XLOOKUP(A432,CATÁLOGO!$A$2:$A$846,CATÁLOGO!$B$2:$B$846,"FORA DO CATÁLOGO")</f>
        <v>CAL023L36</v>
      </c>
      <c r="C432" s="13">
        <v>3</v>
      </c>
      <c r="D432" s="13" t="str">
        <f>_xlfn.XLOOKUP(A432,CATÁLOGO!$A$2:$A$846,CATÁLOGO!$E$2:$E$846,"FORA DO CATÁLOGO")</f>
        <v>Ativo</v>
      </c>
      <c r="E432" s="2"/>
      <c r="F432" s="62">
        <f>SUMIFS('AVARIA ESTIMADA'!$J$18:$J$40,'AVARIA ESTIMADA'!$A$18:$A$40,A432)</f>
        <v>0</v>
      </c>
    </row>
    <row r="433" spans="1:6" x14ac:dyDescent="0.3">
      <c r="A433" s="2" t="s">
        <v>1679</v>
      </c>
      <c r="B433" s="19" t="str">
        <f>_xlfn.XLOOKUP(A433,CATÁLOGO!$A$2:$A$846,CATÁLOGO!$B$2:$B$846,"FORA DO CATÁLOGO")</f>
        <v>CAL023L38</v>
      </c>
      <c r="C433" s="13">
        <v>5</v>
      </c>
      <c r="D433" s="13" t="str">
        <f>_xlfn.XLOOKUP(A433,CATÁLOGO!$A$2:$A$846,CATÁLOGO!$E$2:$E$846,"FORA DO CATÁLOGO")</f>
        <v>Ativo</v>
      </c>
      <c r="E433" s="2"/>
      <c r="F433" s="62">
        <f>SUMIFS('AVARIA ESTIMADA'!$J$18:$J$40,'AVARIA ESTIMADA'!$A$18:$A$40,A433)</f>
        <v>0</v>
      </c>
    </row>
    <row r="434" spans="1:6" x14ac:dyDescent="0.3">
      <c r="A434" s="2" t="s">
        <v>1678</v>
      </c>
      <c r="B434" s="19" t="str">
        <f>_xlfn.XLOOKUP(A434,CATÁLOGO!$A$2:$A$846,CATÁLOGO!$B$2:$B$846,"FORA DO CATÁLOGO")</f>
        <v>CAL023L40</v>
      </c>
      <c r="C434" s="13">
        <v>7</v>
      </c>
      <c r="D434" s="13" t="str">
        <f>_xlfn.XLOOKUP(A434,CATÁLOGO!$A$2:$A$846,CATÁLOGO!$E$2:$E$846,"FORA DO CATÁLOGO")</f>
        <v>Ativo</v>
      </c>
      <c r="E434" s="2"/>
      <c r="F434" s="62">
        <f>SUMIFS('AVARIA ESTIMADA'!$J$18:$J$40,'AVARIA ESTIMADA'!$A$18:$A$40,A434)</f>
        <v>5</v>
      </c>
    </row>
    <row r="435" spans="1:6" x14ac:dyDescent="0.3">
      <c r="A435" s="2" t="s">
        <v>1675</v>
      </c>
      <c r="B435" s="19" t="str">
        <f>_xlfn.XLOOKUP(A435,CATÁLOGO!$A$2:$A$846,CATÁLOGO!$B$2:$B$846,"FORA DO CATÁLOGO")</f>
        <v>CAL023L42</v>
      </c>
      <c r="C435" s="13">
        <v>4</v>
      </c>
      <c r="D435" s="13" t="str">
        <f>_xlfn.XLOOKUP(A435,CATÁLOGO!$A$2:$A$846,CATÁLOGO!$E$2:$E$846,"FORA DO CATÁLOGO")</f>
        <v>Ativo</v>
      </c>
      <c r="E435" s="2"/>
      <c r="F435" s="62">
        <f>SUMIFS('AVARIA ESTIMADA'!$J$18:$J$40,'AVARIA ESTIMADA'!$A$18:$A$40,A435)</f>
        <v>0</v>
      </c>
    </row>
    <row r="436" spans="1:6" x14ac:dyDescent="0.3">
      <c r="A436" s="2" t="s">
        <v>1677</v>
      </c>
      <c r="B436" s="19" t="str">
        <f>_xlfn.XLOOKUP(A436,CATÁLOGO!$A$2:$A$846,CATÁLOGO!$B$2:$B$846,"FORA DO CATÁLOGO")</f>
        <v>CAL023L44</v>
      </c>
      <c r="C436" s="13">
        <v>1</v>
      </c>
      <c r="D436" s="13" t="str">
        <f>_xlfn.XLOOKUP(A436,CATÁLOGO!$A$2:$A$846,CATÁLOGO!$E$2:$E$846,"FORA DO CATÁLOGO")</f>
        <v>Ativo</v>
      </c>
      <c r="E436" s="2"/>
      <c r="F436" s="62">
        <f>SUMIFS('AVARIA ESTIMADA'!$J$18:$J$40,'AVARIA ESTIMADA'!$A$18:$A$40,A436)</f>
        <v>0</v>
      </c>
    </row>
    <row r="437" spans="1:6" x14ac:dyDescent="0.3">
      <c r="A437" s="2" t="s">
        <v>1487</v>
      </c>
      <c r="B437" s="19" t="str">
        <f>_xlfn.XLOOKUP(A437,CATÁLOGO!$A$2:$A$846,CATÁLOGO!$B$2:$B$846,"FORA DO CATÁLOGO")</f>
        <v>BER007A38</v>
      </c>
      <c r="C437" s="13">
        <v>3</v>
      </c>
      <c r="D437" s="13" t="str">
        <f>_xlfn.XLOOKUP(A437,CATÁLOGO!$A$2:$A$846,CATÁLOGO!$E$2:$E$846,"FORA DO CATÁLOGO")</f>
        <v>Ativo</v>
      </c>
      <c r="E437" s="2"/>
      <c r="F437" s="62">
        <f>SUMIFS('AVARIA ESTIMADA'!$J$18:$J$40,'AVARIA ESTIMADA'!$A$18:$A$40,A437)</f>
        <v>0</v>
      </c>
    </row>
    <row r="438" spans="1:6" x14ac:dyDescent="0.3">
      <c r="A438" s="2" t="s">
        <v>1486</v>
      </c>
      <c r="B438" s="19" t="str">
        <f>_xlfn.XLOOKUP(A438,CATÁLOGO!$A$2:$A$846,CATÁLOGO!$B$2:$B$846,"FORA DO CATÁLOGO")</f>
        <v>BER007A40</v>
      </c>
      <c r="C438" s="13">
        <v>4</v>
      </c>
      <c r="D438" s="13" t="str">
        <f>_xlfn.XLOOKUP(A438,CATÁLOGO!$A$2:$A$846,CATÁLOGO!$E$2:$E$846,"FORA DO CATÁLOGO")</f>
        <v>Ativo</v>
      </c>
      <c r="E438" s="2"/>
      <c r="F438" s="62">
        <f>SUMIFS('AVARIA ESTIMADA'!$J$18:$J$40,'AVARIA ESTIMADA'!$A$18:$A$40,A438)</f>
        <v>0</v>
      </c>
    </row>
    <row r="439" spans="1:6" x14ac:dyDescent="0.3">
      <c r="A439" s="2" t="s">
        <v>1483</v>
      </c>
      <c r="B439" s="19" t="str">
        <f>_xlfn.XLOOKUP(A439,CATÁLOGO!$A$2:$A$846,CATÁLOGO!$B$2:$B$846,"FORA DO CATÁLOGO")</f>
        <v>BER007A42</v>
      </c>
      <c r="C439" s="13">
        <v>2</v>
      </c>
      <c r="D439" s="13" t="str">
        <f>_xlfn.XLOOKUP(A439,CATÁLOGO!$A$2:$A$846,CATÁLOGO!$E$2:$E$846,"FORA DO CATÁLOGO")</f>
        <v>Ativo</v>
      </c>
      <c r="E439" s="2"/>
      <c r="F439" s="62">
        <f>SUMIFS('AVARIA ESTIMADA'!$J$18:$J$40,'AVARIA ESTIMADA'!$A$18:$A$40,A439)</f>
        <v>2</v>
      </c>
    </row>
    <row r="440" spans="1:6" x14ac:dyDescent="0.3">
      <c r="A440" s="2" t="s">
        <v>1485</v>
      </c>
      <c r="B440" s="19" t="str">
        <f>_xlfn.XLOOKUP(A440,CATÁLOGO!$A$2:$A$846,CATÁLOGO!$B$2:$B$846,"FORA DO CATÁLOGO")</f>
        <v>BER007A44</v>
      </c>
      <c r="C440" s="13">
        <v>1</v>
      </c>
      <c r="D440" s="13" t="str">
        <f>_xlfn.XLOOKUP(A440,CATÁLOGO!$A$2:$A$846,CATÁLOGO!$E$2:$E$846,"FORA DO CATÁLOGO")</f>
        <v>Ativo</v>
      </c>
      <c r="E440" s="2" t="s">
        <v>1337</v>
      </c>
      <c r="F440" s="62">
        <f>SUMIFS('AVARIA ESTIMADA'!$J$18:$J$40,'AVARIA ESTIMADA'!$A$18:$A$40,A440)</f>
        <v>0</v>
      </c>
    </row>
    <row r="441" spans="1:6" x14ac:dyDescent="0.3">
      <c r="A441" s="2" t="s">
        <v>312</v>
      </c>
      <c r="B441" s="19" t="str">
        <f>_xlfn.XLOOKUP(A441,CATÁLOGO!$A$2:$A$846,CATÁLOGO!$B$2:$B$846,"FORA DO CATÁLOGO")</f>
        <v>CMS010MP</v>
      </c>
      <c r="C441" s="13">
        <v>4</v>
      </c>
      <c r="D441" s="13" t="str">
        <f>_xlfn.XLOOKUP(A441,CATÁLOGO!$A$2:$A$846,CATÁLOGO!$E$2:$E$846,"FORA DO CATÁLOGO")</f>
        <v>Ativo</v>
      </c>
      <c r="E441" s="2"/>
      <c r="F441" s="62">
        <f>SUMIFS('AVARIA ESTIMADA'!$J$18:$J$40,'AVARIA ESTIMADA'!$A$18:$A$40,A441)</f>
        <v>0</v>
      </c>
    </row>
    <row r="442" spans="1:6" x14ac:dyDescent="0.3">
      <c r="A442" s="2" t="s">
        <v>313</v>
      </c>
      <c r="B442" s="19" t="str">
        <f>_xlfn.XLOOKUP(A442,CATÁLOGO!$A$2:$A$846,CATÁLOGO!$B$2:$B$846,"FORA DO CATÁLOGO")</f>
        <v>CMS010MM</v>
      </c>
      <c r="C442" s="13">
        <v>2</v>
      </c>
      <c r="D442" s="13" t="str">
        <f>_xlfn.XLOOKUP(A442,CATÁLOGO!$A$2:$A$846,CATÁLOGO!$E$2:$E$846,"FORA DO CATÁLOGO")</f>
        <v>Ativo</v>
      </c>
      <c r="E442" s="2"/>
      <c r="F442" s="62">
        <f>SUMIFS('AVARIA ESTIMADA'!$J$18:$J$40,'AVARIA ESTIMADA'!$A$18:$A$40,A442)</f>
        <v>0</v>
      </c>
    </row>
    <row r="443" spans="1:6" x14ac:dyDescent="0.3">
      <c r="A443" s="2" t="s">
        <v>314</v>
      </c>
      <c r="B443" s="19" t="str">
        <f>_xlfn.XLOOKUP(A443,CATÁLOGO!$A$2:$A$846,CATÁLOGO!$B$2:$B$846,"FORA DO CATÁLOGO")</f>
        <v>CMS010MG</v>
      </c>
      <c r="C443" s="13">
        <v>2</v>
      </c>
      <c r="D443" s="13" t="str">
        <f>_xlfn.XLOOKUP(A443,CATÁLOGO!$A$2:$A$846,CATÁLOGO!$E$2:$E$846,"FORA DO CATÁLOGO")</f>
        <v>Ativo</v>
      </c>
      <c r="E443" s="2"/>
      <c r="F443" s="62">
        <f>SUMIFS('AVARIA ESTIMADA'!$J$18:$J$40,'AVARIA ESTIMADA'!$A$18:$A$40,A443)</f>
        <v>0</v>
      </c>
    </row>
    <row r="444" spans="1:6" x14ac:dyDescent="0.3">
      <c r="A444" s="2" t="s">
        <v>1264</v>
      </c>
      <c r="B444" s="19" t="str">
        <f>_xlfn.XLOOKUP(A444,CATÁLOGO!$A$2:$A$846,CATÁLOGO!$B$2:$B$846,"FORA DO CATÁLOGO")</f>
        <v>CMS010MGG</v>
      </c>
      <c r="C444" s="13">
        <v>2</v>
      </c>
      <c r="D444" s="13" t="str">
        <f>_xlfn.XLOOKUP(A444,CATÁLOGO!$A$2:$A$846,CATÁLOGO!$E$2:$E$846,"FORA DO CATÁLOGO")</f>
        <v>Ativo</v>
      </c>
      <c r="E444" s="2"/>
      <c r="F444" s="62">
        <f>SUMIFS('AVARIA ESTIMADA'!$J$18:$J$40,'AVARIA ESTIMADA'!$A$18:$A$40,A444)</f>
        <v>0</v>
      </c>
    </row>
    <row r="445" spans="1:6" x14ac:dyDescent="0.3">
      <c r="A445" s="2" t="s">
        <v>315</v>
      </c>
      <c r="B445" s="19" t="str">
        <f>_xlfn.XLOOKUP(A445,CATÁLOGO!$A$2:$A$846,CATÁLOGO!$B$2:$B$846,"FORA DO CATÁLOGO")</f>
        <v>CMS011EP</v>
      </c>
      <c r="C445" s="13">
        <v>1</v>
      </c>
      <c r="D445" s="13" t="str">
        <f>_xlfn.XLOOKUP(A445,CATÁLOGO!$A$2:$A$846,CATÁLOGO!$E$2:$E$846,"FORA DO CATÁLOGO")</f>
        <v>Ativo</v>
      </c>
      <c r="E445" s="2"/>
      <c r="F445" s="62">
        <f>SUMIFS('AVARIA ESTIMADA'!$J$18:$J$40,'AVARIA ESTIMADA'!$A$18:$A$40,A445)</f>
        <v>0</v>
      </c>
    </row>
    <row r="446" spans="1:6" x14ac:dyDescent="0.3">
      <c r="A446" s="2" t="s">
        <v>316</v>
      </c>
      <c r="B446" s="19" t="str">
        <f>_xlfn.XLOOKUP(A446,CATÁLOGO!$A$2:$A$846,CATÁLOGO!$B$2:$B$846,"FORA DO CATÁLOGO")</f>
        <v>CMS011EM</v>
      </c>
      <c r="C446" s="13">
        <v>2</v>
      </c>
      <c r="D446" s="13" t="str">
        <f>_xlfn.XLOOKUP(A446,CATÁLOGO!$A$2:$A$846,CATÁLOGO!$E$2:$E$846,"FORA DO CATÁLOGO")</f>
        <v>Ativo</v>
      </c>
      <c r="E446" s="2"/>
      <c r="F446" s="62">
        <f>SUMIFS('AVARIA ESTIMADA'!$J$18:$J$40,'AVARIA ESTIMADA'!$A$18:$A$40,A446)</f>
        <v>0</v>
      </c>
    </row>
    <row r="447" spans="1:6" x14ac:dyDescent="0.3">
      <c r="A447" s="2" t="s">
        <v>317</v>
      </c>
      <c r="B447" s="19" t="str">
        <f>_xlfn.XLOOKUP(A447,CATÁLOGO!$A$2:$A$846,CATÁLOGO!$B$2:$B$846,"FORA DO CATÁLOGO")</f>
        <v>CMS011EG</v>
      </c>
      <c r="C447" s="13">
        <v>2</v>
      </c>
      <c r="D447" s="13" t="str">
        <f>_xlfn.XLOOKUP(A447,CATÁLOGO!$A$2:$A$846,CATÁLOGO!$E$2:$E$846,"FORA DO CATÁLOGO")</f>
        <v>Ativo</v>
      </c>
      <c r="E447" s="2"/>
      <c r="F447" s="62">
        <f>SUMIFS('AVARIA ESTIMADA'!$J$18:$J$40,'AVARIA ESTIMADA'!$A$18:$A$40,A447)</f>
        <v>0</v>
      </c>
    </row>
    <row r="448" spans="1:6" x14ac:dyDescent="0.3">
      <c r="A448" s="2" t="s">
        <v>318</v>
      </c>
      <c r="B448" s="19" t="str">
        <f>_xlfn.XLOOKUP(A448,CATÁLOGO!$A$2:$A$846,CATÁLOGO!$B$2:$B$846,"FORA DO CATÁLOGO")</f>
        <v>CMS011EGG</v>
      </c>
      <c r="C448" s="13">
        <v>1</v>
      </c>
      <c r="D448" s="13" t="str">
        <f>_xlfn.XLOOKUP(A448,CATÁLOGO!$A$2:$A$846,CATÁLOGO!$E$2:$E$846,"FORA DO CATÁLOGO")</f>
        <v>Ativo</v>
      </c>
      <c r="E448" s="2"/>
      <c r="F448" s="62">
        <f>SUMIFS('AVARIA ESTIMADA'!$J$18:$J$40,'AVARIA ESTIMADA'!$A$18:$A$40,A448)</f>
        <v>0</v>
      </c>
    </row>
    <row r="449" spans="1:6" x14ac:dyDescent="0.3">
      <c r="A449" s="2" t="s">
        <v>319</v>
      </c>
      <c r="B449" s="19" t="str">
        <f>_xlfn.XLOOKUP(A449,CATÁLOGO!$A$2:$A$846,CATÁLOGO!$B$2:$B$846,"FORA DO CATÁLOGO")</f>
        <v>CMS011JP</v>
      </c>
      <c r="C449" s="13">
        <v>1</v>
      </c>
      <c r="D449" s="13" t="str">
        <f>_xlfn.XLOOKUP(A449,CATÁLOGO!$A$2:$A$846,CATÁLOGO!$E$2:$E$846,"FORA DO CATÁLOGO")</f>
        <v>Ativo</v>
      </c>
      <c r="E449" s="2"/>
      <c r="F449" s="62">
        <f>SUMIFS('AVARIA ESTIMADA'!$J$18:$J$40,'AVARIA ESTIMADA'!$A$18:$A$40,A449)</f>
        <v>0</v>
      </c>
    </row>
    <row r="450" spans="1:6" x14ac:dyDescent="0.3">
      <c r="A450" s="2" t="s">
        <v>320</v>
      </c>
      <c r="B450" s="19" t="str">
        <f>_xlfn.XLOOKUP(A450,CATÁLOGO!$A$2:$A$846,CATÁLOGO!$B$2:$B$846,"FORA DO CATÁLOGO")</f>
        <v>CMS011JM</v>
      </c>
      <c r="C450" s="13">
        <v>1</v>
      </c>
      <c r="D450" s="13" t="str">
        <f>_xlfn.XLOOKUP(A450,CATÁLOGO!$A$2:$A$846,CATÁLOGO!$E$2:$E$846,"FORA DO CATÁLOGO")</f>
        <v>Ativo</v>
      </c>
      <c r="E450" s="2"/>
      <c r="F450" s="62">
        <f>SUMIFS('AVARIA ESTIMADA'!$J$18:$J$40,'AVARIA ESTIMADA'!$A$18:$A$40,A450)</f>
        <v>0</v>
      </c>
    </row>
    <row r="451" spans="1:6" x14ac:dyDescent="0.3">
      <c r="A451" s="2" t="s">
        <v>321</v>
      </c>
      <c r="B451" s="19" t="str">
        <f>_xlfn.XLOOKUP(A451,CATÁLOGO!$A$2:$A$846,CATÁLOGO!$B$2:$B$846,"FORA DO CATÁLOGO")</f>
        <v>CMS011JG</v>
      </c>
      <c r="C451" s="13">
        <v>1</v>
      </c>
      <c r="D451" s="13" t="str">
        <f>_xlfn.XLOOKUP(A451,CATÁLOGO!$A$2:$A$846,CATÁLOGO!$E$2:$E$846,"FORA DO CATÁLOGO")</f>
        <v>Ativo</v>
      </c>
      <c r="E451" s="2"/>
      <c r="F451" s="62">
        <f>SUMIFS('AVARIA ESTIMADA'!$J$18:$J$40,'AVARIA ESTIMADA'!$A$18:$A$40,A451)</f>
        <v>0</v>
      </c>
    </row>
    <row r="452" spans="1:6" x14ac:dyDescent="0.3">
      <c r="A452" s="2" t="s">
        <v>322</v>
      </c>
      <c r="B452" s="19" t="str">
        <f>_xlfn.XLOOKUP(A452,CATÁLOGO!$A$2:$A$846,CATÁLOGO!$B$2:$B$846,"FORA DO CATÁLOGO")</f>
        <v>CMS011JGG</v>
      </c>
      <c r="C452" s="13">
        <v>1</v>
      </c>
      <c r="D452" s="13" t="str">
        <f>_xlfn.XLOOKUP(A452,CATÁLOGO!$A$2:$A$846,CATÁLOGO!$E$2:$E$846,"FORA DO CATÁLOGO")</f>
        <v>Ativo</v>
      </c>
      <c r="E452" s="2"/>
      <c r="F452" s="62">
        <f>SUMIFS('AVARIA ESTIMADA'!$J$18:$J$40,'AVARIA ESTIMADA'!$A$18:$A$40,A452)</f>
        <v>0</v>
      </c>
    </row>
    <row r="453" spans="1:6" x14ac:dyDescent="0.3">
      <c r="A453" s="2" t="s">
        <v>323</v>
      </c>
      <c r="B453" s="19" t="str">
        <f>_xlfn.XLOOKUP(A453,CATÁLOGO!$A$2:$A$846,CATÁLOGO!$B$2:$B$846,"FORA DO CATÁLOGO")</f>
        <v>SAI009BP</v>
      </c>
      <c r="C453" s="13">
        <v>1</v>
      </c>
      <c r="D453" s="13" t="str">
        <f>_xlfn.XLOOKUP(A453,CATÁLOGO!$A$2:$A$846,CATÁLOGO!$E$2:$E$846,"FORA DO CATÁLOGO")</f>
        <v>Ativo</v>
      </c>
      <c r="E453" s="2"/>
      <c r="F453" s="62">
        <f>SUMIFS('AVARIA ESTIMADA'!$J$18:$J$40,'AVARIA ESTIMADA'!$A$18:$A$40,A453)</f>
        <v>1</v>
      </c>
    </row>
    <row r="454" spans="1:6" x14ac:dyDescent="0.3">
      <c r="A454" s="2" t="s">
        <v>324</v>
      </c>
      <c r="B454" s="19" t="str">
        <f>_xlfn.XLOOKUP(A454,CATÁLOGO!$A$2:$A$846,CATÁLOGO!$B$2:$B$846,"FORA DO CATÁLOGO")</f>
        <v>SAI009BM</v>
      </c>
      <c r="C454" s="13">
        <v>2</v>
      </c>
      <c r="D454" s="13" t="str">
        <f>_xlfn.XLOOKUP(A454,CATÁLOGO!$A$2:$A$846,CATÁLOGO!$E$2:$E$846,"FORA DO CATÁLOGO")</f>
        <v>Ativo</v>
      </c>
      <c r="E454" s="2"/>
      <c r="F454" s="62">
        <f>SUMIFS('AVARIA ESTIMADA'!$J$18:$J$40,'AVARIA ESTIMADA'!$A$18:$A$40,A454)</f>
        <v>0</v>
      </c>
    </row>
    <row r="455" spans="1:6" x14ac:dyDescent="0.3">
      <c r="A455" s="2" t="s">
        <v>325</v>
      </c>
      <c r="B455" s="19" t="str">
        <f>_xlfn.XLOOKUP(A455,CATÁLOGO!$A$2:$A$846,CATÁLOGO!$B$2:$B$846,"FORA DO CATÁLOGO")</f>
        <v>SAI009BG</v>
      </c>
      <c r="C455" s="13">
        <v>3</v>
      </c>
      <c r="D455" s="13" t="str">
        <f>_xlfn.XLOOKUP(A455,CATÁLOGO!$A$2:$A$846,CATÁLOGO!$E$2:$E$846,"FORA DO CATÁLOGO")</f>
        <v>Ativo</v>
      </c>
      <c r="E455" s="2" t="s">
        <v>1336</v>
      </c>
      <c r="F455" s="62">
        <f>SUMIFS('AVARIA ESTIMADA'!$J$18:$J$40,'AVARIA ESTIMADA'!$A$18:$A$40,A455)</f>
        <v>0</v>
      </c>
    </row>
    <row r="456" spans="1:6" x14ac:dyDescent="0.3">
      <c r="A456" s="2" t="s">
        <v>326</v>
      </c>
      <c r="B456" s="19" t="str">
        <f>_xlfn.XLOOKUP(A456,CATÁLOGO!$A$2:$A$846,CATÁLOGO!$B$2:$B$846,"FORA DO CATÁLOGO")</f>
        <v>SAI009BGG</v>
      </c>
      <c r="C456" s="13">
        <v>1</v>
      </c>
      <c r="D456" s="13" t="str">
        <f>_xlfn.XLOOKUP(A456,CATÁLOGO!$A$2:$A$846,CATÁLOGO!$E$2:$E$846,"FORA DO CATÁLOGO")</f>
        <v>Ativo</v>
      </c>
      <c r="E456" s="2"/>
      <c r="F456" s="62">
        <f>SUMIFS('AVARIA ESTIMADA'!$J$18:$J$40,'AVARIA ESTIMADA'!$A$18:$A$40,A456)</f>
        <v>0</v>
      </c>
    </row>
    <row r="457" spans="1:6" x14ac:dyDescent="0.3">
      <c r="A457" s="2" t="s">
        <v>328</v>
      </c>
      <c r="B457" s="19" t="str">
        <f>_xlfn.XLOOKUP(A457,CATÁLOGO!$A$2:$A$846,CATÁLOGO!$B$2:$B$846,"FORA DO CATÁLOGO")</f>
        <v>SAI009GM</v>
      </c>
      <c r="C457" s="13">
        <v>1</v>
      </c>
      <c r="D457" s="13" t="str">
        <f>_xlfn.XLOOKUP(A457,CATÁLOGO!$A$2:$A$846,CATÁLOGO!$E$2:$E$846,"FORA DO CATÁLOGO")</f>
        <v>Ativo</v>
      </c>
      <c r="E457" s="2"/>
      <c r="F457" s="62">
        <f>SUMIFS('AVARIA ESTIMADA'!$J$18:$J$40,'AVARIA ESTIMADA'!$A$18:$A$40,A457)</f>
        <v>0</v>
      </c>
    </row>
    <row r="458" spans="1:6" x14ac:dyDescent="0.3">
      <c r="A458" s="2" t="s">
        <v>329</v>
      </c>
      <c r="B458" s="19" t="str">
        <f>_xlfn.XLOOKUP(A458,CATÁLOGO!$A$2:$A$846,CATÁLOGO!$B$2:$B$846,"FORA DO CATÁLOGO")</f>
        <v>SAI009GG</v>
      </c>
      <c r="C458" s="13">
        <v>1</v>
      </c>
      <c r="D458" s="13" t="str">
        <f>_xlfn.XLOOKUP(A458,CATÁLOGO!$A$2:$A$846,CATÁLOGO!$E$2:$E$846,"FORA DO CATÁLOGO")</f>
        <v>Ativo</v>
      </c>
      <c r="E458" s="2"/>
      <c r="F458" s="62">
        <f>SUMIFS('AVARIA ESTIMADA'!$J$18:$J$40,'AVARIA ESTIMADA'!$A$18:$A$40,A458)</f>
        <v>0</v>
      </c>
    </row>
    <row r="459" spans="1:6" x14ac:dyDescent="0.3">
      <c r="A459" s="2" t="s">
        <v>330</v>
      </c>
      <c r="B459" s="19" t="str">
        <f>_xlfn.XLOOKUP(A459,CATÁLOGO!$A$2:$A$846,CATÁLOGO!$B$2:$B$846,"FORA DO CATÁLOGO")</f>
        <v>SAI009GGG</v>
      </c>
      <c r="C459" s="13">
        <v>1</v>
      </c>
      <c r="D459" s="13" t="str">
        <f>_xlfn.XLOOKUP(A459,CATÁLOGO!$A$2:$A$846,CATÁLOGO!$E$2:$E$846,"FORA DO CATÁLOGO")</f>
        <v>Ativo</v>
      </c>
      <c r="E459" s="2"/>
      <c r="F459" s="62">
        <f>SUMIFS('AVARIA ESTIMADA'!$J$18:$J$40,'AVARIA ESTIMADA'!$A$18:$A$40,A459)</f>
        <v>0</v>
      </c>
    </row>
    <row r="460" spans="1:6" x14ac:dyDescent="0.3">
      <c r="A460" s="2" t="s">
        <v>331</v>
      </c>
      <c r="B460" s="19" t="str">
        <f>_xlfn.XLOOKUP(A460,CATÁLOGO!$A$2:$A$846,CATÁLOGO!$B$2:$B$846,"FORA DO CATÁLOGO")</f>
        <v>TOP013VP</v>
      </c>
      <c r="C460" s="13">
        <v>3</v>
      </c>
      <c r="D460" s="13" t="str">
        <f>_xlfn.XLOOKUP(A460,CATÁLOGO!$A$2:$A$846,CATÁLOGO!$E$2:$E$846,"FORA DO CATÁLOGO")</f>
        <v>Ativo</v>
      </c>
      <c r="E460" s="2"/>
      <c r="F460" s="62">
        <f>SUMIFS('AVARIA ESTIMADA'!$J$18:$J$40,'AVARIA ESTIMADA'!$A$18:$A$40,A460)</f>
        <v>0</v>
      </c>
    </row>
    <row r="461" spans="1:6" x14ac:dyDescent="0.3">
      <c r="A461" s="2" t="s">
        <v>332</v>
      </c>
      <c r="B461" s="19" t="str">
        <f>_xlfn.XLOOKUP(A461,CATÁLOGO!$A$2:$A$846,CATÁLOGO!$B$2:$B$846,"FORA DO CATÁLOGO")</f>
        <v>TOP013VM</v>
      </c>
      <c r="C461" s="13">
        <v>2</v>
      </c>
      <c r="D461" s="13" t="str">
        <f>_xlfn.XLOOKUP(A461,CATÁLOGO!$A$2:$A$846,CATÁLOGO!$E$2:$E$846,"FORA DO CATÁLOGO")</f>
        <v>Ativo</v>
      </c>
      <c r="E461" s="2"/>
      <c r="F461" s="62">
        <f>SUMIFS('AVARIA ESTIMADA'!$J$18:$J$40,'AVARIA ESTIMADA'!$A$18:$A$40,A461)</f>
        <v>0</v>
      </c>
    </row>
    <row r="462" spans="1:6" x14ac:dyDescent="0.3">
      <c r="A462" s="2" t="s">
        <v>333</v>
      </c>
      <c r="B462" s="19" t="str">
        <f>_xlfn.XLOOKUP(A462,CATÁLOGO!$A$2:$A$846,CATÁLOGO!$B$2:$B$846,"FORA DO CATÁLOGO")</f>
        <v>TOP013VG</v>
      </c>
      <c r="C462" s="13">
        <v>3</v>
      </c>
      <c r="D462" s="13" t="str">
        <f>_xlfn.XLOOKUP(A462,CATÁLOGO!$A$2:$A$846,CATÁLOGO!$E$2:$E$846,"FORA DO CATÁLOGO")</f>
        <v>Ativo</v>
      </c>
      <c r="E462" s="2"/>
      <c r="F462" s="62">
        <f>SUMIFS('AVARIA ESTIMADA'!$J$18:$J$40,'AVARIA ESTIMADA'!$A$18:$A$40,A462)</f>
        <v>0</v>
      </c>
    </row>
    <row r="463" spans="1:6" x14ac:dyDescent="0.3">
      <c r="A463" s="2" t="s">
        <v>334</v>
      </c>
      <c r="B463" s="19" t="str">
        <f>_xlfn.XLOOKUP(A463,CATÁLOGO!$A$2:$A$846,CATÁLOGO!$B$2:$B$846,"FORA DO CATÁLOGO")</f>
        <v>TOP013VGG</v>
      </c>
      <c r="C463" s="13">
        <v>2</v>
      </c>
      <c r="D463" s="13" t="str">
        <f>_xlfn.XLOOKUP(A463,CATÁLOGO!$A$2:$A$846,CATÁLOGO!$E$2:$E$846,"FORA DO CATÁLOGO")</f>
        <v>Ativo</v>
      </c>
      <c r="E463" s="2"/>
      <c r="F463" s="62">
        <f>SUMIFS('AVARIA ESTIMADA'!$J$18:$J$40,'AVARIA ESTIMADA'!$A$18:$A$40,A463)</f>
        <v>0</v>
      </c>
    </row>
    <row r="464" spans="1:6" x14ac:dyDescent="0.3">
      <c r="A464" s="2" t="s">
        <v>1494</v>
      </c>
      <c r="B464" s="19" t="str">
        <f>_xlfn.XLOOKUP(A464,CATÁLOGO!$A$2:$A$846,CATÁLOGO!$B$2:$B$846,"FORA DO CATÁLOGO")</f>
        <v>BER008G36</v>
      </c>
      <c r="C464" s="13">
        <v>1</v>
      </c>
      <c r="D464" s="13" t="str">
        <f>_xlfn.XLOOKUP(A464,CATÁLOGO!$A$2:$A$846,CATÁLOGO!$E$2:$E$846,"FORA DO CATÁLOGO")</f>
        <v>Ativo</v>
      </c>
      <c r="E464" s="2"/>
      <c r="F464" s="62">
        <f>SUMIFS('AVARIA ESTIMADA'!$J$18:$J$40,'AVARIA ESTIMADA'!$A$18:$A$40,A464)</f>
        <v>0</v>
      </c>
    </row>
    <row r="465" spans="1:6" x14ac:dyDescent="0.3">
      <c r="A465" s="2" t="s">
        <v>1492</v>
      </c>
      <c r="B465" s="19" t="str">
        <f>_xlfn.XLOOKUP(A465,CATÁLOGO!$A$2:$A$846,CATÁLOGO!$B$2:$B$846,"FORA DO CATÁLOGO")</f>
        <v>BER008G38</v>
      </c>
      <c r="C465" s="13">
        <v>2</v>
      </c>
      <c r="D465" s="13" t="str">
        <f>_xlfn.XLOOKUP(A465,CATÁLOGO!$A$2:$A$846,CATÁLOGO!$E$2:$E$846,"FORA DO CATÁLOGO")</f>
        <v>Ativo</v>
      </c>
      <c r="E465" s="2"/>
      <c r="F465" s="62">
        <f>SUMIFS('AVARIA ESTIMADA'!$J$18:$J$40,'AVARIA ESTIMADA'!$A$18:$A$40,A465)</f>
        <v>0</v>
      </c>
    </row>
    <row r="466" spans="1:6" x14ac:dyDescent="0.3">
      <c r="A466" s="2" t="s">
        <v>1491</v>
      </c>
      <c r="B466" s="19" t="str">
        <f>_xlfn.XLOOKUP(A466,CATÁLOGO!$A$2:$A$846,CATÁLOGO!$B$2:$B$846,"FORA DO CATÁLOGO")</f>
        <v>BER008G40</v>
      </c>
      <c r="C466" s="13">
        <v>1</v>
      </c>
      <c r="D466" s="13" t="str">
        <f>_xlfn.XLOOKUP(A466,CATÁLOGO!$A$2:$A$846,CATÁLOGO!$E$2:$E$846,"FORA DO CATÁLOGO")</f>
        <v>Ativo</v>
      </c>
      <c r="E466" s="2"/>
      <c r="F466" s="62">
        <f>SUMIFS('AVARIA ESTIMADA'!$J$18:$J$40,'AVARIA ESTIMADA'!$A$18:$A$40,A466)</f>
        <v>0</v>
      </c>
    </row>
    <row r="467" spans="1:6" x14ac:dyDescent="0.3">
      <c r="A467" s="2" t="s">
        <v>1488</v>
      </c>
      <c r="B467" s="19" t="str">
        <f>_xlfn.XLOOKUP(A467,CATÁLOGO!$A$2:$A$846,CATÁLOGO!$B$2:$B$846,"FORA DO CATÁLOGO")</f>
        <v>BER008G42</v>
      </c>
      <c r="C467" s="13">
        <v>1</v>
      </c>
      <c r="D467" s="13" t="str">
        <f>_xlfn.XLOOKUP(A467,CATÁLOGO!$A$2:$A$846,CATÁLOGO!$E$2:$E$846,"FORA DO CATÁLOGO")</f>
        <v>Ativo</v>
      </c>
      <c r="E467" s="2"/>
      <c r="F467" s="62">
        <f>SUMIFS('AVARIA ESTIMADA'!$J$18:$J$40,'AVARIA ESTIMADA'!$A$18:$A$40,A467)</f>
        <v>0</v>
      </c>
    </row>
    <row r="468" spans="1:6" x14ac:dyDescent="0.3">
      <c r="A468" s="2" t="s">
        <v>1490</v>
      </c>
      <c r="B468" s="19" t="str">
        <f>_xlfn.XLOOKUP(A468,CATÁLOGO!$A$2:$A$846,CATÁLOGO!$B$2:$B$846,"FORA DO CATÁLOGO")</f>
        <v>BER008G44</v>
      </c>
      <c r="C468" s="13">
        <v>1</v>
      </c>
      <c r="D468" s="13" t="str">
        <f>_xlfn.XLOOKUP(A468,CATÁLOGO!$A$2:$A$846,CATÁLOGO!$E$2:$E$846,"FORA DO CATÁLOGO")</f>
        <v>Ativo</v>
      </c>
      <c r="E468" s="2"/>
      <c r="F468" s="62">
        <f>SUMIFS('AVARIA ESTIMADA'!$J$18:$J$40,'AVARIA ESTIMADA'!$A$18:$A$40,A468)</f>
        <v>0</v>
      </c>
    </row>
    <row r="469" spans="1:6" x14ac:dyDescent="0.3">
      <c r="A469" s="2" t="s">
        <v>1493</v>
      </c>
      <c r="B469" s="19" t="str">
        <f>_xlfn.XLOOKUP(A469,CATÁLOGO!$A$2:$A$846,CATÁLOGO!$B$2:$B$846,"FORA DO CATÁLOGO")</f>
        <v>BER008G46</v>
      </c>
      <c r="C469" s="13">
        <v>1</v>
      </c>
      <c r="D469" s="13" t="str">
        <f>_xlfn.XLOOKUP(A469,CATÁLOGO!$A$2:$A$846,CATÁLOGO!$E$2:$E$846,"FORA DO CATÁLOGO")</f>
        <v>Ativo</v>
      </c>
      <c r="E469" s="2"/>
      <c r="F469" s="62">
        <f>SUMIFS('AVARIA ESTIMADA'!$J$18:$J$40,'AVARIA ESTIMADA'!$A$18:$A$40,A469)</f>
        <v>0</v>
      </c>
    </row>
    <row r="470" spans="1:6" x14ac:dyDescent="0.3">
      <c r="A470" s="2" t="s">
        <v>335</v>
      </c>
      <c r="B470" s="19" t="str">
        <f>_xlfn.XLOOKUP(A470,CATÁLOGO!$A$2:$A$846,CATÁLOGO!$B$2:$B$846,"FORA DO CATÁLOGO")</f>
        <v>TOP014YP</v>
      </c>
      <c r="C470" s="13">
        <v>2</v>
      </c>
      <c r="D470" s="13" t="str">
        <f>_xlfn.XLOOKUP(A470,CATÁLOGO!$A$2:$A$846,CATÁLOGO!$E$2:$E$846,"FORA DO CATÁLOGO")</f>
        <v>Ativo</v>
      </c>
      <c r="E470" s="2"/>
      <c r="F470" s="62">
        <f>SUMIFS('AVARIA ESTIMADA'!$J$18:$J$40,'AVARIA ESTIMADA'!$A$18:$A$40,A470)</f>
        <v>0</v>
      </c>
    </row>
    <row r="471" spans="1:6" x14ac:dyDescent="0.3">
      <c r="A471" s="2" t="s">
        <v>336</v>
      </c>
      <c r="B471" s="19" t="str">
        <f>_xlfn.XLOOKUP(A471,CATÁLOGO!$A$2:$A$846,CATÁLOGO!$B$2:$B$846,"FORA DO CATÁLOGO")</f>
        <v>TOP014YM</v>
      </c>
      <c r="C471" s="13">
        <v>2</v>
      </c>
      <c r="D471" s="13" t="str">
        <f>_xlfn.XLOOKUP(A471,CATÁLOGO!$A$2:$A$846,CATÁLOGO!$E$2:$E$846,"FORA DO CATÁLOGO")</f>
        <v>Ativo</v>
      </c>
      <c r="E471" s="2"/>
      <c r="F471" s="62">
        <f>SUMIFS('AVARIA ESTIMADA'!$J$18:$J$40,'AVARIA ESTIMADA'!$A$18:$A$40,A471)</f>
        <v>0</v>
      </c>
    </row>
    <row r="472" spans="1:6" x14ac:dyDescent="0.3">
      <c r="A472" s="2" t="s">
        <v>337</v>
      </c>
      <c r="B472" s="19" t="str">
        <f>_xlfn.XLOOKUP(A472,CATÁLOGO!$A$2:$A$846,CATÁLOGO!$B$2:$B$846,"FORA DO CATÁLOGO")</f>
        <v>TOP014YG</v>
      </c>
      <c r="C472" s="13">
        <v>3</v>
      </c>
      <c r="D472" s="13" t="str">
        <f>_xlfn.XLOOKUP(A472,CATÁLOGO!$A$2:$A$846,CATÁLOGO!$E$2:$E$846,"FORA DO CATÁLOGO")</f>
        <v>Ativo</v>
      </c>
      <c r="E472" s="2"/>
      <c r="F472" s="62">
        <f>SUMIFS('AVARIA ESTIMADA'!$J$18:$J$40,'AVARIA ESTIMADA'!$A$18:$A$40,A472)</f>
        <v>0</v>
      </c>
    </row>
    <row r="473" spans="1:6" x14ac:dyDescent="0.3">
      <c r="A473" s="2" t="s">
        <v>338</v>
      </c>
      <c r="B473" s="19" t="str">
        <f>_xlfn.XLOOKUP(A473,CATÁLOGO!$A$2:$A$846,CATÁLOGO!$B$2:$B$846,"FORA DO CATÁLOGO")</f>
        <v>CAM017YP</v>
      </c>
      <c r="C473" s="13">
        <v>4</v>
      </c>
      <c r="D473" s="13" t="str">
        <f>_xlfn.XLOOKUP(A473,CATÁLOGO!$A$2:$A$846,CATÁLOGO!$E$2:$E$846,"FORA DO CATÁLOGO")</f>
        <v>Descontinuado</v>
      </c>
      <c r="E473" s="2" t="s">
        <v>1333</v>
      </c>
      <c r="F473" s="62">
        <f>SUMIFS('AVARIA ESTIMADA'!$J$18:$J$40,'AVARIA ESTIMADA'!$A$18:$A$40,A473)</f>
        <v>0</v>
      </c>
    </row>
    <row r="474" spans="1:6" x14ac:dyDescent="0.3">
      <c r="A474" s="2" t="s">
        <v>339</v>
      </c>
      <c r="B474" s="19" t="str">
        <f>_xlfn.XLOOKUP(A474,CATÁLOGO!$A$2:$A$846,CATÁLOGO!$B$2:$B$846,"FORA DO CATÁLOGO")</f>
        <v>CAM017YM</v>
      </c>
      <c r="C474" s="13">
        <v>5</v>
      </c>
      <c r="D474" s="13" t="str">
        <f>_xlfn.XLOOKUP(A474,CATÁLOGO!$A$2:$A$846,CATÁLOGO!$E$2:$E$846,"FORA DO CATÁLOGO")</f>
        <v>Descontinuado</v>
      </c>
      <c r="E474" s="2"/>
      <c r="F474" s="62">
        <f>SUMIFS('AVARIA ESTIMADA'!$J$18:$J$40,'AVARIA ESTIMADA'!$A$18:$A$40,A474)</f>
        <v>0</v>
      </c>
    </row>
    <row r="475" spans="1:6" x14ac:dyDescent="0.3">
      <c r="A475" s="2" t="s">
        <v>340</v>
      </c>
      <c r="B475" s="19" t="str">
        <f>_xlfn.XLOOKUP(A475,CATÁLOGO!$A$2:$A$846,CATÁLOGO!$B$2:$B$846,"FORA DO CATÁLOGO")</f>
        <v>CAM017YG</v>
      </c>
      <c r="C475" s="13">
        <v>3</v>
      </c>
      <c r="D475" s="13" t="str">
        <f>_xlfn.XLOOKUP(A475,CATÁLOGO!$A$2:$A$846,CATÁLOGO!$E$2:$E$846,"FORA DO CATÁLOGO")</f>
        <v>Descontinuado</v>
      </c>
      <c r="E475" s="2"/>
      <c r="F475" s="62">
        <f>SUMIFS('AVARIA ESTIMADA'!$J$18:$J$40,'AVARIA ESTIMADA'!$A$18:$A$40,A475)</f>
        <v>3</v>
      </c>
    </row>
    <row r="476" spans="1:6" x14ac:dyDescent="0.3">
      <c r="A476" s="2" t="s">
        <v>341</v>
      </c>
      <c r="B476" s="19" t="str">
        <f>_xlfn.XLOOKUP(A476,CATÁLOGO!$A$2:$A$846,CATÁLOGO!$B$2:$B$846,"FORA DO CATÁLOGO")</f>
        <v>CAM017YGG</v>
      </c>
      <c r="C476" s="13">
        <v>2</v>
      </c>
      <c r="D476" s="13" t="str">
        <f>_xlfn.XLOOKUP(A476,CATÁLOGO!$A$2:$A$846,CATÁLOGO!$E$2:$E$846,"FORA DO CATÁLOGO")</f>
        <v>Descontinuado</v>
      </c>
      <c r="E476" s="2"/>
      <c r="F476" s="62">
        <f>SUMIFS('AVARIA ESTIMADA'!$J$18:$J$40,'AVARIA ESTIMADA'!$A$18:$A$40,A476)</f>
        <v>0</v>
      </c>
    </row>
    <row r="477" spans="1:6" x14ac:dyDescent="0.3">
      <c r="A477" s="2" t="s">
        <v>342</v>
      </c>
      <c r="B477" s="19" t="str">
        <f>_xlfn.XLOOKUP(A477,CATÁLOGO!$A$2:$A$846,CATÁLOGO!$B$2:$B$846,"FORA DO CATÁLOGO")</f>
        <v>CAM018LP</v>
      </c>
      <c r="C477" s="13">
        <v>5</v>
      </c>
      <c r="D477" s="13" t="str">
        <f>_xlfn.XLOOKUP(A477,CATÁLOGO!$A$2:$A$846,CATÁLOGO!$E$2:$E$846,"FORA DO CATÁLOGO")</f>
        <v>Ativo</v>
      </c>
      <c r="E477" s="2"/>
      <c r="F477" s="62">
        <f>SUMIFS('AVARIA ESTIMADA'!$J$18:$J$40,'AVARIA ESTIMADA'!$A$18:$A$40,A477)</f>
        <v>0</v>
      </c>
    </row>
    <row r="478" spans="1:6" x14ac:dyDescent="0.3">
      <c r="A478" s="2" t="s">
        <v>343</v>
      </c>
      <c r="B478" s="19" t="str">
        <f>_xlfn.XLOOKUP(A478,CATÁLOGO!$A$2:$A$846,CATÁLOGO!$B$2:$B$846,"FORA DO CATÁLOGO")</f>
        <v>CAM018LM</v>
      </c>
      <c r="C478" s="13">
        <v>3</v>
      </c>
      <c r="D478" s="13" t="str">
        <f>_xlfn.XLOOKUP(A478,CATÁLOGO!$A$2:$A$846,CATÁLOGO!$E$2:$E$846,"FORA DO CATÁLOGO")</f>
        <v>Ativo</v>
      </c>
      <c r="E478" s="2"/>
      <c r="F478" s="62">
        <f>SUMIFS('AVARIA ESTIMADA'!$J$18:$J$40,'AVARIA ESTIMADA'!$A$18:$A$40,A478)</f>
        <v>0</v>
      </c>
    </row>
    <row r="479" spans="1:6" x14ac:dyDescent="0.3">
      <c r="A479" s="2" t="s">
        <v>344</v>
      </c>
      <c r="B479" s="19" t="str">
        <f>_xlfn.XLOOKUP(A479,CATÁLOGO!$A$2:$A$846,CATÁLOGO!$B$2:$B$846,"FORA DO CATÁLOGO")</f>
        <v>CAM018LG</v>
      </c>
      <c r="C479" s="13">
        <v>5</v>
      </c>
      <c r="D479" s="13" t="str">
        <f>_xlfn.XLOOKUP(A479,CATÁLOGO!$A$2:$A$846,CATÁLOGO!$E$2:$E$846,"FORA DO CATÁLOGO")</f>
        <v>Ativo</v>
      </c>
      <c r="E479" s="2"/>
      <c r="F479" s="62">
        <f>SUMIFS('AVARIA ESTIMADA'!$J$18:$J$40,'AVARIA ESTIMADA'!$A$18:$A$40,A479)</f>
        <v>0</v>
      </c>
    </row>
    <row r="480" spans="1:6" x14ac:dyDescent="0.3">
      <c r="A480" s="2" t="s">
        <v>345</v>
      </c>
      <c r="B480" s="19" t="str">
        <f>_xlfn.XLOOKUP(A480,CATÁLOGO!$A$2:$A$846,CATÁLOGO!$B$2:$B$846,"FORA DO CATÁLOGO")</f>
        <v>CAM018LGG</v>
      </c>
      <c r="C480" s="13">
        <v>3</v>
      </c>
      <c r="D480" s="13" t="str">
        <f>_xlfn.XLOOKUP(A480,CATÁLOGO!$A$2:$A$846,CATÁLOGO!$E$2:$E$846,"FORA DO CATÁLOGO")</f>
        <v>Ativo</v>
      </c>
      <c r="E480" s="2"/>
      <c r="F480" s="62">
        <f>SUMIFS('AVARIA ESTIMADA'!$J$18:$J$40,'AVARIA ESTIMADA'!$A$18:$A$40,A480)</f>
        <v>0</v>
      </c>
    </row>
    <row r="481" spans="1:6" x14ac:dyDescent="0.3">
      <c r="A481" s="2" t="s">
        <v>346</v>
      </c>
      <c r="B481" s="19" t="str">
        <f>_xlfn.XLOOKUP(A481,CATÁLOGO!$A$2:$A$846,CATÁLOGO!$B$2:$B$846,"FORA DO CATÁLOGO")</f>
        <v>VES009GP</v>
      </c>
      <c r="C481" s="13">
        <v>3</v>
      </c>
      <c r="D481" s="13" t="str">
        <f>_xlfn.XLOOKUP(A481,CATÁLOGO!$A$2:$A$846,CATÁLOGO!$E$2:$E$846,"FORA DO CATÁLOGO")</f>
        <v>Descontinuado</v>
      </c>
      <c r="E481" s="2"/>
      <c r="F481" s="62">
        <f>SUMIFS('AVARIA ESTIMADA'!$J$18:$J$40,'AVARIA ESTIMADA'!$A$18:$A$40,A481)</f>
        <v>0</v>
      </c>
    </row>
    <row r="482" spans="1:6" x14ac:dyDescent="0.3">
      <c r="A482" s="2" t="s">
        <v>347</v>
      </c>
      <c r="B482" s="19" t="str">
        <f>_xlfn.XLOOKUP(A482,CATÁLOGO!$A$2:$A$846,CATÁLOGO!$B$2:$B$846,"FORA DO CATÁLOGO")</f>
        <v>VES009GM</v>
      </c>
      <c r="C482" s="13">
        <v>4</v>
      </c>
      <c r="D482" s="13" t="str">
        <f>_xlfn.XLOOKUP(A482,CATÁLOGO!$A$2:$A$846,CATÁLOGO!$E$2:$E$846,"FORA DO CATÁLOGO")</f>
        <v>Descontinuado</v>
      </c>
      <c r="E482" s="2"/>
      <c r="F482" s="62">
        <f>SUMIFS('AVARIA ESTIMADA'!$J$18:$J$40,'AVARIA ESTIMADA'!$A$18:$A$40,A482)</f>
        <v>0</v>
      </c>
    </row>
    <row r="483" spans="1:6" x14ac:dyDescent="0.3">
      <c r="A483" s="2" t="s">
        <v>348</v>
      </c>
      <c r="B483" s="19" t="str">
        <f>_xlfn.XLOOKUP(A483,CATÁLOGO!$A$2:$A$846,CATÁLOGO!$B$2:$B$846,"FORA DO CATÁLOGO")</f>
        <v>VES009GG</v>
      </c>
      <c r="C483" s="13">
        <v>3</v>
      </c>
      <c r="D483" s="13" t="str">
        <f>_xlfn.XLOOKUP(A483,CATÁLOGO!$A$2:$A$846,CATÁLOGO!$E$2:$E$846,"FORA DO CATÁLOGO")</f>
        <v>Descontinuado</v>
      </c>
      <c r="E483" s="2"/>
      <c r="F483" s="62">
        <f>SUMIFS('AVARIA ESTIMADA'!$J$18:$J$40,'AVARIA ESTIMADA'!$A$18:$A$40,A483)</f>
        <v>2</v>
      </c>
    </row>
    <row r="484" spans="1:6" x14ac:dyDescent="0.3">
      <c r="A484" s="2" t="s">
        <v>349</v>
      </c>
      <c r="B484" s="19" t="str">
        <f>_xlfn.XLOOKUP(A484,CATÁLOGO!$A$2:$A$846,CATÁLOGO!$B$2:$B$846,"FORA DO CATÁLOGO")</f>
        <v>VES009PP</v>
      </c>
      <c r="C484" s="13">
        <v>3</v>
      </c>
      <c r="D484" s="13" t="str">
        <f>_xlfn.XLOOKUP(A484,CATÁLOGO!$A$2:$A$846,CATÁLOGO!$E$2:$E$846,"FORA DO CATÁLOGO")</f>
        <v>Descontinuado</v>
      </c>
      <c r="E484" s="2" t="s">
        <v>1337</v>
      </c>
      <c r="F484" s="62">
        <f>SUMIFS('AVARIA ESTIMADA'!$J$18:$J$40,'AVARIA ESTIMADA'!$A$18:$A$40,A484)</f>
        <v>0</v>
      </c>
    </row>
    <row r="485" spans="1:6" x14ac:dyDescent="0.3">
      <c r="A485" s="2" t="s">
        <v>350</v>
      </c>
      <c r="B485" s="19" t="str">
        <f>_xlfn.XLOOKUP(A485,CATÁLOGO!$A$2:$A$846,CATÁLOGO!$B$2:$B$846,"FORA DO CATÁLOGO")</f>
        <v>VES009PM</v>
      </c>
      <c r="C485" s="13">
        <v>4</v>
      </c>
      <c r="D485" s="13" t="str">
        <f>_xlfn.XLOOKUP(A485,CATÁLOGO!$A$2:$A$846,CATÁLOGO!$E$2:$E$846,"FORA DO CATÁLOGO")</f>
        <v>Descontinuado</v>
      </c>
      <c r="E485" s="2" t="s">
        <v>1339</v>
      </c>
      <c r="F485" s="62">
        <f>SUMIFS('AVARIA ESTIMADA'!$J$18:$J$40,'AVARIA ESTIMADA'!$A$18:$A$40,A485)</f>
        <v>0</v>
      </c>
    </row>
    <row r="486" spans="1:6" x14ac:dyDescent="0.3">
      <c r="A486" s="2" t="s">
        <v>351</v>
      </c>
      <c r="B486" s="19" t="str">
        <f>_xlfn.XLOOKUP(A486,CATÁLOGO!$A$2:$A$846,CATÁLOGO!$B$2:$B$846,"FORA DO CATÁLOGO")</f>
        <v>VES009PG</v>
      </c>
      <c r="C486" s="13">
        <v>2</v>
      </c>
      <c r="D486" s="13" t="str">
        <f>_xlfn.XLOOKUP(A486,CATÁLOGO!$A$2:$A$846,CATÁLOGO!$E$2:$E$846,"FORA DO CATÁLOGO")</f>
        <v>Descontinuado</v>
      </c>
      <c r="E486" s="2"/>
      <c r="F486" s="62">
        <f>SUMIFS('AVARIA ESTIMADA'!$J$18:$J$40,'AVARIA ESTIMADA'!$A$18:$A$40,A486)</f>
        <v>0</v>
      </c>
    </row>
    <row r="487" spans="1:6" x14ac:dyDescent="0.3">
      <c r="A487" s="2" t="s">
        <v>352</v>
      </c>
      <c r="B487" s="19" t="str">
        <f>_xlfn.XLOOKUP(A487,CATÁLOGO!$A$2:$A$846,CATÁLOGO!$B$2:$B$846,"FORA DO CATÁLOGO")</f>
        <v>VES010CP</v>
      </c>
      <c r="C487" s="13">
        <v>2</v>
      </c>
      <c r="D487" s="13" t="str">
        <f>_xlfn.XLOOKUP(A487,CATÁLOGO!$A$2:$A$846,CATÁLOGO!$E$2:$E$846,"FORA DO CATÁLOGO")</f>
        <v>Ativo</v>
      </c>
      <c r="E487" s="2"/>
      <c r="F487" s="62">
        <f>SUMIFS('AVARIA ESTIMADA'!$J$18:$J$40,'AVARIA ESTIMADA'!$A$18:$A$40,A487)</f>
        <v>0</v>
      </c>
    </row>
    <row r="488" spans="1:6" x14ac:dyDescent="0.3">
      <c r="A488" s="2" t="s">
        <v>353</v>
      </c>
      <c r="B488" s="19" t="str">
        <f>_xlfn.XLOOKUP(A488,CATÁLOGO!$A$2:$A$846,CATÁLOGO!$B$2:$B$846,"FORA DO CATÁLOGO")</f>
        <v>VES010CM</v>
      </c>
      <c r="C488" s="13">
        <v>3</v>
      </c>
      <c r="D488" s="13" t="str">
        <f>_xlfn.XLOOKUP(A488,CATÁLOGO!$A$2:$A$846,CATÁLOGO!$E$2:$E$846,"FORA DO CATÁLOGO")</f>
        <v>Ativo</v>
      </c>
      <c r="E488" s="2"/>
      <c r="F488" s="62">
        <f>SUMIFS('AVARIA ESTIMADA'!$J$18:$J$40,'AVARIA ESTIMADA'!$A$18:$A$40,A488)</f>
        <v>0</v>
      </c>
    </row>
    <row r="489" spans="1:6" x14ac:dyDescent="0.3">
      <c r="A489" s="2" t="s">
        <v>354</v>
      </c>
      <c r="B489" s="19" t="str">
        <f>_xlfn.XLOOKUP(A489,CATÁLOGO!$A$2:$A$846,CATÁLOGO!$B$2:$B$846,"FORA DO CATÁLOGO")</f>
        <v>VES010CG</v>
      </c>
      <c r="C489" s="13">
        <v>2</v>
      </c>
      <c r="D489" s="13" t="str">
        <f>_xlfn.XLOOKUP(A489,CATÁLOGO!$A$2:$A$846,CATÁLOGO!$E$2:$E$846,"FORA DO CATÁLOGO")</f>
        <v>Ativo</v>
      </c>
      <c r="E489" s="2"/>
      <c r="F489" s="62">
        <f>SUMIFS('AVARIA ESTIMADA'!$J$18:$J$40,'AVARIA ESTIMADA'!$A$18:$A$40,A489)</f>
        <v>0</v>
      </c>
    </row>
    <row r="490" spans="1:6" x14ac:dyDescent="0.3">
      <c r="A490" s="2" t="s">
        <v>355</v>
      </c>
      <c r="B490" s="19" t="str">
        <f>_xlfn.XLOOKUP(A490,CATÁLOGO!$A$2:$A$846,CATÁLOGO!$B$2:$B$846,"FORA DO CATÁLOGO")</f>
        <v>VES010CGG</v>
      </c>
      <c r="C490" s="13">
        <v>1</v>
      </c>
      <c r="D490" s="13" t="str">
        <f>_xlfn.XLOOKUP(A490,CATÁLOGO!$A$2:$A$846,CATÁLOGO!$E$2:$E$846,"FORA DO CATÁLOGO")</f>
        <v>Ativo</v>
      </c>
      <c r="E490" s="2"/>
      <c r="F490" s="62">
        <f>SUMIFS('AVARIA ESTIMADA'!$J$18:$J$40,'AVARIA ESTIMADA'!$A$18:$A$40,A490)</f>
        <v>0</v>
      </c>
    </row>
    <row r="491" spans="1:6" x14ac:dyDescent="0.3">
      <c r="A491" s="2" t="s">
        <v>356</v>
      </c>
      <c r="B491" s="19" t="str">
        <f>_xlfn.XLOOKUP(A491,CATÁLOGO!$A$2:$A$846,CATÁLOGO!$B$2:$B$846,"FORA DO CATÁLOGO")</f>
        <v>VES010OP</v>
      </c>
      <c r="C491" s="13">
        <v>1</v>
      </c>
      <c r="D491" s="13" t="str">
        <f>_xlfn.XLOOKUP(A491,CATÁLOGO!$A$2:$A$846,CATÁLOGO!$E$2:$E$846,"FORA DO CATÁLOGO")</f>
        <v>Ativo</v>
      </c>
      <c r="E491" s="2"/>
      <c r="F491" s="62">
        <f>SUMIFS('AVARIA ESTIMADA'!$J$18:$J$40,'AVARIA ESTIMADA'!$A$18:$A$40,A491)</f>
        <v>0</v>
      </c>
    </row>
    <row r="492" spans="1:6" x14ac:dyDescent="0.3">
      <c r="A492" s="2" t="s">
        <v>357</v>
      </c>
      <c r="B492" s="19" t="str">
        <f>_xlfn.XLOOKUP(A492,CATÁLOGO!$A$2:$A$846,CATÁLOGO!$B$2:$B$846,"FORA DO CATÁLOGO")</f>
        <v>VES010OM</v>
      </c>
      <c r="C492" s="13">
        <v>3</v>
      </c>
      <c r="D492" s="13" t="str">
        <f>_xlfn.XLOOKUP(A492,CATÁLOGO!$A$2:$A$846,CATÁLOGO!$E$2:$E$846,"FORA DO CATÁLOGO")</f>
        <v>Ativo</v>
      </c>
      <c r="E492" s="2"/>
      <c r="F492" s="62">
        <f>SUMIFS('AVARIA ESTIMADA'!$J$18:$J$40,'AVARIA ESTIMADA'!$A$18:$A$40,A492)</f>
        <v>0</v>
      </c>
    </row>
    <row r="493" spans="1:6" x14ac:dyDescent="0.3">
      <c r="A493" s="2" t="s">
        <v>358</v>
      </c>
      <c r="B493" s="19" t="str">
        <f>_xlfn.XLOOKUP(A493,CATÁLOGO!$A$2:$A$846,CATÁLOGO!$B$2:$B$846,"FORA DO CATÁLOGO")</f>
        <v>VES010OG</v>
      </c>
      <c r="C493" s="13">
        <v>1</v>
      </c>
      <c r="D493" s="13" t="str">
        <f>_xlfn.XLOOKUP(A493,CATÁLOGO!$A$2:$A$846,CATÁLOGO!$E$2:$E$846,"FORA DO CATÁLOGO")</f>
        <v>Ativo</v>
      </c>
      <c r="E493" s="2"/>
      <c r="F493" s="62">
        <f>SUMIFS('AVARIA ESTIMADA'!$J$18:$J$40,'AVARIA ESTIMADA'!$A$18:$A$40,A493)</f>
        <v>0</v>
      </c>
    </row>
    <row r="494" spans="1:6" x14ac:dyDescent="0.3">
      <c r="A494" s="2" t="s">
        <v>359</v>
      </c>
      <c r="B494" s="19" t="str">
        <f>_xlfn.XLOOKUP(A494,CATÁLOGO!$A$2:$A$846,CATÁLOGO!$B$2:$B$846,"FORA DO CATÁLOGO")</f>
        <v>VES010OGG</v>
      </c>
      <c r="C494" s="13">
        <v>1</v>
      </c>
      <c r="D494" s="13" t="str">
        <f>_xlfn.XLOOKUP(A494,CATÁLOGO!$A$2:$A$846,CATÁLOGO!$E$2:$E$846,"FORA DO CATÁLOGO")</f>
        <v>Ativo</v>
      </c>
      <c r="E494" s="2"/>
      <c r="F494" s="62">
        <f>SUMIFS('AVARIA ESTIMADA'!$J$18:$J$40,'AVARIA ESTIMADA'!$A$18:$A$40,A494)</f>
        <v>0</v>
      </c>
    </row>
    <row r="495" spans="1:6" x14ac:dyDescent="0.3">
      <c r="A495" s="2" t="s">
        <v>360</v>
      </c>
      <c r="B495" s="19" t="str">
        <f>_xlfn.XLOOKUP(A495,CATÁLOGO!$A$2:$A$846,CATÁLOGO!$B$2:$B$846,"FORA DO CATÁLOGO")</f>
        <v>VES010MP</v>
      </c>
      <c r="C495" s="13">
        <v>1</v>
      </c>
      <c r="D495" s="13" t="str">
        <f>_xlfn.XLOOKUP(A495,CATÁLOGO!$A$2:$A$846,CATÁLOGO!$E$2:$E$846,"FORA DO CATÁLOGO")</f>
        <v>Ativo</v>
      </c>
      <c r="E495" s="2"/>
      <c r="F495" s="62">
        <f>SUMIFS('AVARIA ESTIMADA'!$J$18:$J$40,'AVARIA ESTIMADA'!$A$18:$A$40,A495)</f>
        <v>0</v>
      </c>
    </row>
    <row r="496" spans="1:6" x14ac:dyDescent="0.3">
      <c r="A496" s="2" t="s">
        <v>361</v>
      </c>
      <c r="B496" s="19" t="str">
        <f>_xlfn.XLOOKUP(A496,CATÁLOGO!$A$2:$A$846,CATÁLOGO!$B$2:$B$846,"FORA DO CATÁLOGO")</f>
        <v>VES010MM</v>
      </c>
      <c r="C496" s="13">
        <v>2</v>
      </c>
      <c r="D496" s="13" t="str">
        <f>_xlfn.XLOOKUP(A496,CATÁLOGO!$A$2:$A$846,CATÁLOGO!$E$2:$E$846,"FORA DO CATÁLOGO")</f>
        <v>Ativo</v>
      </c>
      <c r="E496" s="2"/>
      <c r="F496" s="62">
        <f>SUMIFS('AVARIA ESTIMADA'!$J$18:$J$40,'AVARIA ESTIMADA'!$A$18:$A$40,A496)</f>
        <v>0</v>
      </c>
    </row>
    <row r="497" spans="1:6" x14ac:dyDescent="0.3">
      <c r="A497" s="2" t="s">
        <v>362</v>
      </c>
      <c r="B497" s="19" t="str">
        <f>_xlfn.XLOOKUP(A497,CATÁLOGO!$A$2:$A$846,CATÁLOGO!$B$2:$B$846,"FORA DO CATÁLOGO")</f>
        <v>VES010MG</v>
      </c>
      <c r="C497" s="13">
        <v>1</v>
      </c>
      <c r="D497" s="13" t="str">
        <f>_xlfn.XLOOKUP(A497,CATÁLOGO!$A$2:$A$846,CATÁLOGO!$E$2:$E$846,"FORA DO CATÁLOGO")</f>
        <v>Ativo</v>
      </c>
      <c r="E497" s="2"/>
      <c r="F497" s="62">
        <f>SUMIFS('AVARIA ESTIMADA'!$J$18:$J$40,'AVARIA ESTIMADA'!$A$18:$A$40,A497)</f>
        <v>0</v>
      </c>
    </row>
    <row r="498" spans="1:6" x14ac:dyDescent="0.3">
      <c r="A498" s="2" t="s">
        <v>363</v>
      </c>
      <c r="B498" s="19" t="str">
        <f>_xlfn.XLOOKUP(A498,CATÁLOGO!$A$2:$A$846,CATÁLOGO!$B$2:$B$846,"FORA DO CATÁLOGO")</f>
        <v>VES010MGG</v>
      </c>
      <c r="C498" s="13">
        <v>1</v>
      </c>
      <c r="D498" s="13" t="str">
        <f>_xlfn.XLOOKUP(A498,CATÁLOGO!$A$2:$A$846,CATÁLOGO!$E$2:$E$846,"FORA DO CATÁLOGO")</f>
        <v>Ativo</v>
      </c>
      <c r="E498" s="2"/>
      <c r="F498" s="62">
        <f>SUMIFS('AVARIA ESTIMADA'!$J$18:$J$40,'AVARIA ESTIMADA'!$A$18:$A$40,A498)</f>
        <v>0</v>
      </c>
    </row>
    <row r="499" spans="1:6" x14ac:dyDescent="0.3">
      <c r="A499" s="2" t="s">
        <v>1501</v>
      </c>
      <c r="B499" s="19" t="str">
        <f>_xlfn.XLOOKUP(A499,CATÁLOGO!$A$2:$A$846,CATÁLOGO!$B$2:$B$846,"FORA DO CATÁLOGO")</f>
        <v>BER009J36</v>
      </c>
      <c r="C499" s="13">
        <v>0</v>
      </c>
      <c r="D499" s="13" t="str">
        <f>_xlfn.XLOOKUP(A499,CATÁLOGO!$A$2:$A$846,CATÁLOGO!$E$2:$E$846,"FORA DO CATÁLOGO")</f>
        <v>Ativo</v>
      </c>
      <c r="E499" s="2" t="s">
        <v>1342</v>
      </c>
      <c r="F499" s="62">
        <f>SUMIFS('AVARIA ESTIMADA'!$J$18:$J$40,'AVARIA ESTIMADA'!$A$18:$A$40,A499)</f>
        <v>0</v>
      </c>
    </row>
    <row r="500" spans="1:6" x14ac:dyDescent="0.3">
      <c r="A500" s="2" t="s">
        <v>1499</v>
      </c>
      <c r="B500" s="19" t="str">
        <f>_xlfn.XLOOKUP(A500,CATÁLOGO!$A$2:$A$846,CATÁLOGO!$B$2:$B$846,"FORA DO CATÁLOGO")</f>
        <v>BER009J38</v>
      </c>
      <c r="C500" s="13">
        <v>5</v>
      </c>
      <c r="D500" s="13" t="str">
        <f>_xlfn.XLOOKUP(A500,CATÁLOGO!$A$2:$A$846,CATÁLOGO!$E$2:$E$846,"FORA DO CATÁLOGO")</f>
        <v>Ativo</v>
      </c>
      <c r="E500" s="2"/>
      <c r="F500" s="62">
        <f>SUMIFS('AVARIA ESTIMADA'!$J$18:$J$40,'AVARIA ESTIMADA'!$A$18:$A$40,A500)</f>
        <v>0</v>
      </c>
    </row>
    <row r="501" spans="1:6" x14ac:dyDescent="0.3">
      <c r="A501" s="2" t="s">
        <v>1498</v>
      </c>
      <c r="B501" s="19" t="str">
        <f>_xlfn.XLOOKUP(A501,CATÁLOGO!$A$2:$A$846,CATÁLOGO!$B$2:$B$846,"FORA DO CATÁLOGO")</f>
        <v>BER009J40</v>
      </c>
      <c r="C501" s="13">
        <v>5</v>
      </c>
      <c r="D501" s="13" t="str">
        <f>_xlfn.XLOOKUP(A501,CATÁLOGO!$A$2:$A$846,CATÁLOGO!$E$2:$E$846,"FORA DO CATÁLOGO")</f>
        <v>Ativo</v>
      </c>
      <c r="E501" s="2"/>
      <c r="F501" s="62">
        <f>SUMIFS('AVARIA ESTIMADA'!$J$18:$J$40,'AVARIA ESTIMADA'!$A$18:$A$40,A501)</f>
        <v>0</v>
      </c>
    </row>
    <row r="502" spans="1:6" x14ac:dyDescent="0.3">
      <c r="A502" s="2" t="s">
        <v>1495</v>
      </c>
      <c r="B502" s="19" t="str">
        <f>_xlfn.XLOOKUP(A502,CATÁLOGO!$A$2:$A$846,CATÁLOGO!$B$2:$B$846,"FORA DO CATÁLOGO")</f>
        <v>BER009J42</v>
      </c>
      <c r="C502" s="13">
        <v>2</v>
      </c>
      <c r="D502" s="13" t="str">
        <f>_xlfn.XLOOKUP(A502,CATÁLOGO!$A$2:$A$846,CATÁLOGO!$E$2:$E$846,"FORA DO CATÁLOGO")</f>
        <v>Ativo</v>
      </c>
      <c r="E502" s="2"/>
      <c r="F502" s="62">
        <f>SUMIFS('AVARIA ESTIMADA'!$J$18:$J$40,'AVARIA ESTIMADA'!$A$18:$A$40,A502)</f>
        <v>0</v>
      </c>
    </row>
    <row r="503" spans="1:6" x14ac:dyDescent="0.3">
      <c r="A503" s="2" t="s">
        <v>1497</v>
      </c>
      <c r="B503" s="19" t="str">
        <f>_xlfn.XLOOKUP(A503,CATÁLOGO!$A$2:$A$846,CATÁLOGO!$B$2:$B$846,"FORA DO CATÁLOGO")</f>
        <v>BER009J44</v>
      </c>
      <c r="C503" s="13">
        <v>2</v>
      </c>
      <c r="D503" s="13" t="str">
        <f>_xlfn.XLOOKUP(A503,CATÁLOGO!$A$2:$A$846,CATÁLOGO!$E$2:$E$846,"FORA DO CATÁLOGO")</f>
        <v>Ativo</v>
      </c>
      <c r="E503" s="2"/>
      <c r="F503" s="62">
        <f>SUMIFS('AVARIA ESTIMADA'!$J$18:$J$40,'AVARIA ESTIMADA'!$A$18:$A$40,A503)</f>
        <v>0</v>
      </c>
    </row>
    <row r="504" spans="1:6" x14ac:dyDescent="0.3">
      <c r="A504" s="2" t="s">
        <v>1500</v>
      </c>
      <c r="B504" s="19" t="str">
        <f>_xlfn.XLOOKUP(A504,CATÁLOGO!$A$2:$A$846,CATÁLOGO!$B$2:$B$846,"FORA DO CATÁLOGO")</f>
        <v>BER009J46</v>
      </c>
      <c r="C504" s="13">
        <v>1</v>
      </c>
      <c r="D504" s="13" t="str">
        <f>_xlfn.XLOOKUP(A504,CATÁLOGO!$A$2:$A$846,CATÁLOGO!$E$2:$E$846,"FORA DO CATÁLOGO")</f>
        <v>Ativo</v>
      </c>
      <c r="E504" s="2"/>
      <c r="F504" s="62">
        <f>SUMIFS('AVARIA ESTIMADA'!$J$18:$J$40,'AVARIA ESTIMADA'!$A$18:$A$40,A504)</f>
        <v>0</v>
      </c>
    </row>
    <row r="505" spans="1:6" x14ac:dyDescent="0.3">
      <c r="A505" s="2" t="s">
        <v>364</v>
      </c>
      <c r="B505" s="19" t="str">
        <f>_xlfn.XLOOKUP(A505,CATÁLOGO!$A$2:$A$846,CATÁLOGO!$B$2:$B$846,"FORA DO CATÁLOGO")</f>
        <v>TOP015HP</v>
      </c>
      <c r="C505" s="13">
        <v>1</v>
      </c>
      <c r="D505" s="13" t="str">
        <f>_xlfn.XLOOKUP(A505,CATÁLOGO!$A$2:$A$846,CATÁLOGO!$E$2:$E$846,"FORA DO CATÁLOGO")</f>
        <v>Ativo</v>
      </c>
      <c r="E505" s="2"/>
      <c r="F505" s="62">
        <f>SUMIFS('AVARIA ESTIMADA'!$J$18:$J$40,'AVARIA ESTIMADA'!$A$18:$A$40,A505)</f>
        <v>0</v>
      </c>
    </row>
    <row r="506" spans="1:6" x14ac:dyDescent="0.3">
      <c r="A506" s="2" t="s">
        <v>365</v>
      </c>
      <c r="B506" s="19" t="str">
        <f>_xlfn.XLOOKUP(A506,CATÁLOGO!$A$2:$A$846,CATÁLOGO!$B$2:$B$846,"FORA DO CATÁLOGO")</f>
        <v>TOP015HM</v>
      </c>
      <c r="C506" s="13">
        <v>2</v>
      </c>
      <c r="D506" s="13" t="str">
        <f>_xlfn.XLOOKUP(A506,CATÁLOGO!$A$2:$A$846,CATÁLOGO!$E$2:$E$846,"FORA DO CATÁLOGO")</f>
        <v>Ativo</v>
      </c>
      <c r="E506" s="2"/>
      <c r="F506" s="62">
        <f>SUMIFS('AVARIA ESTIMADA'!$J$18:$J$40,'AVARIA ESTIMADA'!$A$18:$A$40,A506)</f>
        <v>0</v>
      </c>
    </row>
    <row r="507" spans="1:6" x14ac:dyDescent="0.3">
      <c r="A507" s="2" t="s">
        <v>366</v>
      </c>
      <c r="B507" s="19" t="str">
        <f>_xlfn.XLOOKUP(A507,CATÁLOGO!$A$2:$A$846,CATÁLOGO!$B$2:$B$846,"FORA DO CATÁLOGO")</f>
        <v>TOP015HG</v>
      </c>
      <c r="C507" s="13">
        <v>4</v>
      </c>
      <c r="D507" s="13" t="str">
        <f>_xlfn.XLOOKUP(A507,CATÁLOGO!$A$2:$A$846,CATÁLOGO!$E$2:$E$846,"FORA DO CATÁLOGO")</f>
        <v>Ativo</v>
      </c>
      <c r="E507" s="2"/>
      <c r="F507" s="62">
        <f>SUMIFS('AVARIA ESTIMADA'!$J$18:$J$40,'AVARIA ESTIMADA'!$A$18:$A$40,A507)</f>
        <v>0</v>
      </c>
    </row>
    <row r="508" spans="1:6" x14ac:dyDescent="0.3">
      <c r="A508" s="2" t="s">
        <v>367</v>
      </c>
      <c r="B508" s="19" t="str">
        <f>_xlfn.XLOOKUP(A508,CATÁLOGO!$A$2:$A$846,CATÁLOGO!$B$2:$B$846,"FORA DO CATÁLOGO")</f>
        <v>TOP015HGG</v>
      </c>
      <c r="C508" s="13">
        <v>1</v>
      </c>
      <c r="D508" s="13" t="str">
        <f>_xlfn.XLOOKUP(A508,CATÁLOGO!$A$2:$A$846,CATÁLOGO!$E$2:$E$846,"FORA DO CATÁLOGO")</f>
        <v>Ativo</v>
      </c>
      <c r="E508" s="2" t="s">
        <v>1333</v>
      </c>
      <c r="F508" s="62">
        <f>SUMIFS('AVARIA ESTIMADA'!$J$18:$J$40,'AVARIA ESTIMADA'!$A$18:$A$40,A508)</f>
        <v>0</v>
      </c>
    </row>
    <row r="509" spans="1:6" x14ac:dyDescent="0.3">
      <c r="A509" s="2" t="s">
        <v>1790</v>
      </c>
      <c r="B509" s="19" t="str">
        <f>_xlfn.XLOOKUP(A509,CATÁLOGO!$A$2:$A$846,CATÁLOGO!$B$2:$B$846,"FORA DO CATÁLOGO")</f>
        <v>CMS012VPP</v>
      </c>
      <c r="C509" s="13">
        <v>1</v>
      </c>
      <c r="D509" s="13" t="str">
        <f>_xlfn.XLOOKUP(A509,CATÁLOGO!$A$2:$A$846,CATÁLOGO!$E$2:$E$846,"FORA DO CATÁLOGO")</f>
        <v>Ativo</v>
      </c>
      <c r="E509" s="2"/>
      <c r="F509" s="62">
        <f>SUMIFS('AVARIA ESTIMADA'!$J$18:$J$40,'AVARIA ESTIMADA'!$A$18:$A$40,A509)</f>
        <v>0</v>
      </c>
    </row>
    <row r="510" spans="1:6" x14ac:dyDescent="0.3">
      <c r="A510" s="2" t="s">
        <v>368</v>
      </c>
      <c r="B510" s="19" t="str">
        <f>_xlfn.XLOOKUP(A510,CATÁLOGO!$A$2:$A$846,CATÁLOGO!$B$2:$B$846,"FORA DO CATÁLOGO")</f>
        <v>CMS012VP</v>
      </c>
      <c r="C510" s="13">
        <v>2</v>
      </c>
      <c r="D510" s="13" t="str">
        <f>_xlfn.XLOOKUP(A510,CATÁLOGO!$A$2:$A$846,CATÁLOGO!$E$2:$E$846,"FORA DO CATÁLOGO")</f>
        <v>Ativo</v>
      </c>
      <c r="E510" s="2"/>
      <c r="F510" s="62">
        <f>SUMIFS('AVARIA ESTIMADA'!$J$18:$J$40,'AVARIA ESTIMADA'!$A$18:$A$40,A510)</f>
        <v>0</v>
      </c>
    </row>
    <row r="511" spans="1:6" x14ac:dyDescent="0.3">
      <c r="A511" s="2" t="s">
        <v>369</v>
      </c>
      <c r="B511" s="19" t="str">
        <f>_xlfn.XLOOKUP(A511,CATÁLOGO!$A$2:$A$846,CATÁLOGO!$B$2:$B$846,"FORA DO CATÁLOGO")</f>
        <v>CMS012VM</v>
      </c>
      <c r="C511" s="13">
        <v>3</v>
      </c>
      <c r="D511" s="13" t="str">
        <f>_xlfn.XLOOKUP(A511,CATÁLOGO!$A$2:$A$846,CATÁLOGO!$E$2:$E$846,"FORA DO CATÁLOGO")</f>
        <v>Ativo</v>
      </c>
      <c r="E511" s="2"/>
      <c r="F511" s="62">
        <f>SUMIFS('AVARIA ESTIMADA'!$J$18:$J$40,'AVARIA ESTIMADA'!$A$18:$A$40,A511)</f>
        <v>0</v>
      </c>
    </row>
    <row r="512" spans="1:6" x14ac:dyDescent="0.3">
      <c r="A512" s="2" t="s">
        <v>370</v>
      </c>
      <c r="B512" s="19" t="str">
        <f>_xlfn.XLOOKUP(A512,CATÁLOGO!$A$2:$A$846,CATÁLOGO!$B$2:$B$846,"FORA DO CATÁLOGO")</f>
        <v>CMS012VG</v>
      </c>
      <c r="C512" s="13">
        <v>2</v>
      </c>
      <c r="D512" s="13" t="str">
        <f>_xlfn.XLOOKUP(A512,CATÁLOGO!$A$2:$A$846,CATÁLOGO!$E$2:$E$846,"FORA DO CATÁLOGO")</f>
        <v>Ativo</v>
      </c>
      <c r="E512" s="2"/>
      <c r="F512" s="62">
        <f>SUMIFS('AVARIA ESTIMADA'!$J$18:$J$40,'AVARIA ESTIMADA'!$A$18:$A$40,A512)</f>
        <v>0</v>
      </c>
    </row>
    <row r="513" spans="1:6" x14ac:dyDescent="0.3">
      <c r="A513" s="2" t="s">
        <v>371</v>
      </c>
      <c r="B513" s="19" t="str">
        <f>_xlfn.XLOOKUP(A513,CATÁLOGO!$A$2:$A$846,CATÁLOGO!$B$2:$B$846,"FORA DO CATÁLOGO")</f>
        <v>CMS012VGG</v>
      </c>
      <c r="C513" s="13">
        <v>0</v>
      </c>
      <c r="D513" s="13" t="str">
        <f>_xlfn.XLOOKUP(A513,CATÁLOGO!$A$2:$A$846,CATÁLOGO!$E$2:$E$846,"FORA DO CATÁLOGO")</f>
        <v>Ativo</v>
      </c>
      <c r="E513" s="2"/>
      <c r="F513" s="62">
        <f>SUMIFS('AVARIA ESTIMADA'!$J$18:$J$40,'AVARIA ESTIMADA'!$A$18:$A$40,A513)</f>
        <v>0</v>
      </c>
    </row>
    <row r="514" spans="1:6" x14ac:dyDescent="0.3">
      <c r="A514" s="2" t="s">
        <v>1789</v>
      </c>
      <c r="B514" s="19" t="str">
        <f>_xlfn.XLOOKUP(A514,CATÁLOGO!$A$2:$A$846,CATÁLOGO!$B$2:$B$846,"FORA DO CATÁLOGO")</f>
        <v>CMS012YPP</v>
      </c>
      <c r="C514" s="13">
        <v>1</v>
      </c>
      <c r="D514" s="13" t="str">
        <f>_xlfn.XLOOKUP(A514,CATÁLOGO!$A$2:$A$846,CATÁLOGO!$E$2:$E$846,"FORA DO CATÁLOGO")</f>
        <v>Ativo</v>
      </c>
      <c r="E514" s="2"/>
      <c r="F514" s="62">
        <f>SUMIFS('AVARIA ESTIMADA'!$J$18:$J$40,'AVARIA ESTIMADA'!$A$18:$A$40,A514)</f>
        <v>0</v>
      </c>
    </row>
    <row r="515" spans="1:6" x14ac:dyDescent="0.3">
      <c r="A515" s="2" t="s">
        <v>372</v>
      </c>
      <c r="B515" s="19" t="str">
        <f>_xlfn.XLOOKUP(A515,CATÁLOGO!$A$2:$A$846,CATÁLOGO!$B$2:$B$846,"FORA DO CATÁLOGO")</f>
        <v>CMS012YP</v>
      </c>
      <c r="C515" s="13">
        <v>1</v>
      </c>
      <c r="D515" s="13" t="str">
        <f>_xlfn.XLOOKUP(A515,CATÁLOGO!$A$2:$A$846,CATÁLOGO!$E$2:$E$846,"FORA DO CATÁLOGO")</f>
        <v>Ativo</v>
      </c>
      <c r="E515" s="2"/>
      <c r="F515" s="62">
        <f>SUMIFS('AVARIA ESTIMADA'!$J$18:$J$40,'AVARIA ESTIMADA'!$A$18:$A$40,A515)</f>
        <v>0</v>
      </c>
    </row>
    <row r="516" spans="1:6" x14ac:dyDescent="0.3">
      <c r="A516" s="2" t="s">
        <v>373</v>
      </c>
      <c r="B516" s="19" t="str">
        <f>_xlfn.XLOOKUP(A516,CATÁLOGO!$A$2:$A$846,CATÁLOGO!$B$2:$B$846,"FORA DO CATÁLOGO")</f>
        <v>CMS012YM</v>
      </c>
      <c r="C516" s="13">
        <v>2</v>
      </c>
      <c r="D516" s="13" t="str">
        <f>_xlfn.XLOOKUP(A516,CATÁLOGO!$A$2:$A$846,CATÁLOGO!$E$2:$E$846,"FORA DO CATÁLOGO")</f>
        <v>Ativo</v>
      </c>
      <c r="E516" s="2"/>
      <c r="F516" s="62">
        <f>SUMIFS('AVARIA ESTIMADA'!$J$18:$J$40,'AVARIA ESTIMADA'!$A$18:$A$40,A516)</f>
        <v>0</v>
      </c>
    </row>
    <row r="517" spans="1:6" x14ac:dyDescent="0.3">
      <c r="A517" s="2" t="s">
        <v>374</v>
      </c>
      <c r="B517" s="19" t="str">
        <f>_xlfn.XLOOKUP(A517,CATÁLOGO!$A$2:$A$846,CATÁLOGO!$B$2:$B$846,"FORA DO CATÁLOGO")</f>
        <v>CMS012YG</v>
      </c>
      <c r="C517" s="13">
        <v>1</v>
      </c>
      <c r="D517" s="13" t="str">
        <f>_xlfn.XLOOKUP(A517,CATÁLOGO!$A$2:$A$846,CATÁLOGO!$E$2:$E$846,"FORA DO CATÁLOGO")</f>
        <v>Ativo</v>
      </c>
      <c r="E517" s="2"/>
      <c r="F517" s="62">
        <f>SUMIFS('AVARIA ESTIMADA'!$J$18:$J$40,'AVARIA ESTIMADA'!$A$18:$A$40,A517)</f>
        <v>0</v>
      </c>
    </row>
    <row r="518" spans="1:6" x14ac:dyDescent="0.3">
      <c r="A518" s="2" t="s">
        <v>375</v>
      </c>
      <c r="B518" s="19" t="str">
        <f>_xlfn.XLOOKUP(A518,CATÁLOGO!$A$2:$A$846,CATÁLOGO!$B$2:$B$846,"FORA DO CATÁLOGO")</f>
        <v>CMS012YGG</v>
      </c>
      <c r="C518" s="13">
        <v>1</v>
      </c>
      <c r="D518" s="13" t="str">
        <f>_xlfn.XLOOKUP(A518,CATÁLOGO!$A$2:$A$846,CATÁLOGO!$E$2:$E$846,"FORA DO CATÁLOGO")</f>
        <v>Ativo</v>
      </c>
      <c r="E518" s="2"/>
      <c r="F518" s="62">
        <f>SUMIFS('AVARIA ESTIMADA'!$J$18:$J$40,'AVARIA ESTIMADA'!$A$18:$A$40,A518)</f>
        <v>0</v>
      </c>
    </row>
    <row r="519" spans="1:6" x14ac:dyDescent="0.3">
      <c r="A519" s="2" t="s">
        <v>1685</v>
      </c>
      <c r="B519" s="19" t="str">
        <f>_xlfn.XLOOKUP(A519,CATÁLOGO!$A$2:$A$846,CATÁLOGO!$B$2:$B$846,"FORA DO CATÁLOGO")</f>
        <v>CAL024A38</v>
      </c>
      <c r="C519" s="13">
        <v>5</v>
      </c>
      <c r="D519" s="13" t="str">
        <f>_xlfn.XLOOKUP(A519,CATÁLOGO!$A$2:$A$846,CATÁLOGO!$E$2:$E$846,"FORA DO CATÁLOGO")</f>
        <v>Ativo</v>
      </c>
      <c r="E519" s="2"/>
      <c r="F519" s="62">
        <f>SUMIFS('AVARIA ESTIMADA'!$J$18:$J$40,'AVARIA ESTIMADA'!$A$18:$A$40,A519)</f>
        <v>4</v>
      </c>
    </row>
    <row r="520" spans="1:6" x14ac:dyDescent="0.3">
      <c r="A520" s="2" t="s">
        <v>1684</v>
      </c>
      <c r="B520" s="19" t="str">
        <f>_xlfn.XLOOKUP(A520,CATÁLOGO!$A$2:$A$846,CATÁLOGO!$B$2:$B$846,"FORA DO CATÁLOGO")</f>
        <v>CAL024A40</v>
      </c>
      <c r="C520" s="13">
        <v>3</v>
      </c>
      <c r="D520" s="13" t="str">
        <f>_xlfn.XLOOKUP(A520,CATÁLOGO!$A$2:$A$846,CATÁLOGO!$E$2:$E$846,"FORA DO CATÁLOGO")</f>
        <v>Ativo</v>
      </c>
      <c r="E520" s="2"/>
      <c r="F520" s="62">
        <f>SUMIFS('AVARIA ESTIMADA'!$J$18:$J$40,'AVARIA ESTIMADA'!$A$18:$A$40,A520)</f>
        <v>0</v>
      </c>
    </row>
    <row r="521" spans="1:6" x14ac:dyDescent="0.3">
      <c r="A521" s="2" t="s">
        <v>1681</v>
      </c>
      <c r="B521" s="19" t="str">
        <f>_xlfn.XLOOKUP(A521,CATÁLOGO!$A$2:$A$846,CATÁLOGO!$B$2:$B$846,"FORA DO CATÁLOGO")</f>
        <v>CAL024A42</v>
      </c>
      <c r="C521" s="13">
        <v>4</v>
      </c>
      <c r="D521" s="13" t="str">
        <f>_xlfn.XLOOKUP(A521,CATÁLOGO!$A$2:$A$846,CATÁLOGO!$E$2:$E$846,"FORA DO CATÁLOGO")</f>
        <v>Ativo</v>
      </c>
      <c r="E521" s="2"/>
      <c r="F521" s="62">
        <f>SUMIFS('AVARIA ESTIMADA'!$J$18:$J$40,'AVARIA ESTIMADA'!$A$18:$A$40,A521)</f>
        <v>0</v>
      </c>
    </row>
    <row r="522" spans="1:6" x14ac:dyDescent="0.3">
      <c r="A522" s="2" t="s">
        <v>1683</v>
      </c>
      <c r="B522" s="19" t="str">
        <f>_xlfn.XLOOKUP(A522,CATÁLOGO!$A$2:$A$846,CATÁLOGO!$B$2:$B$846,"FORA DO CATÁLOGO")</f>
        <v>CAL024A44</v>
      </c>
      <c r="C522" s="13">
        <v>3</v>
      </c>
      <c r="D522" s="13" t="str">
        <f>_xlfn.XLOOKUP(A522,CATÁLOGO!$A$2:$A$846,CATÁLOGO!$E$2:$E$846,"FORA DO CATÁLOGO")</f>
        <v>Ativo</v>
      </c>
      <c r="E522" s="2"/>
      <c r="F522" s="62">
        <f>SUMIFS('AVARIA ESTIMADA'!$J$18:$J$40,'AVARIA ESTIMADA'!$A$18:$A$40,A522)</f>
        <v>0</v>
      </c>
    </row>
    <row r="523" spans="1:6" x14ac:dyDescent="0.3">
      <c r="A523" s="2" t="s">
        <v>376</v>
      </c>
      <c r="B523" s="19" t="str">
        <f>_xlfn.XLOOKUP(A523,CATÁLOGO!$A$2:$A$846,CATÁLOGO!$B$2:$B$846,"FORA DO CATÁLOGO")</f>
        <v>TRI012CP</v>
      </c>
      <c r="C523" s="13">
        <v>2</v>
      </c>
      <c r="D523" s="13" t="str">
        <f>_xlfn.XLOOKUP(A523,CATÁLOGO!$A$2:$A$846,CATÁLOGO!$E$2:$E$846,"FORA DO CATÁLOGO")</f>
        <v>Ativo</v>
      </c>
      <c r="E523" s="2" t="s">
        <v>1336</v>
      </c>
      <c r="F523" s="62">
        <f>SUMIFS('AVARIA ESTIMADA'!$J$18:$J$40,'AVARIA ESTIMADA'!$A$18:$A$40,A523)</f>
        <v>0</v>
      </c>
    </row>
    <row r="524" spans="1:6" x14ac:dyDescent="0.3">
      <c r="A524" s="2" t="s">
        <v>377</v>
      </c>
      <c r="B524" s="19" t="str">
        <f>_xlfn.XLOOKUP(A524,CATÁLOGO!$A$2:$A$846,CATÁLOGO!$B$2:$B$846,"FORA DO CATÁLOGO")</f>
        <v>TRI012CM</v>
      </c>
      <c r="C524" s="13">
        <v>0</v>
      </c>
      <c r="D524" s="13" t="str">
        <f>_xlfn.XLOOKUP(A524,CATÁLOGO!$A$2:$A$846,CATÁLOGO!$E$2:$E$846,"FORA DO CATÁLOGO")</f>
        <v>Ativo</v>
      </c>
      <c r="E524" s="2" t="s">
        <v>1333</v>
      </c>
      <c r="F524" s="62">
        <f>SUMIFS('AVARIA ESTIMADA'!$J$18:$J$40,'AVARIA ESTIMADA'!$A$18:$A$40,A524)</f>
        <v>0</v>
      </c>
    </row>
    <row r="525" spans="1:6" x14ac:dyDescent="0.3">
      <c r="A525" s="2" t="s">
        <v>378</v>
      </c>
      <c r="B525" s="19" t="str">
        <f>_xlfn.XLOOKUP(A525,CATÁLOGO!$A$2:$A$846,CATÁLOGO!$B$2:$B$846,"FORA DO CATÁLOGO")</f>
        <v>TRI012CG</v>
      </c>
      <c r="C525" s="13">
        <v>1</v>
      </c>
      <c r="D525" s="13" t="str">
        <f>_xlfn.XLOOKUP(A525,CATÁLOGO!$A$2:$A$846,CATÁLOGO!$E$2:$E$846,"FORA DO CATÁLOGO")</f>
        <v>Ativo</v>
      </c>
      <c r="E525" s="2" t="s">
        <v>1333</v>
      </c>
      <c r="F525" s="62">
        <f>SUMIFS('AVARIA ESTIMADA'!$J$18:$J$40,'AVARIA ESTIMADA'!$A$18:$A$40,A525)</f>
        <v>0</v>
      </c>
    </row>
    <row r="526" spans="1:6" x14ac:dyDescent="0.3">
      <c r="A526" s="2" t="s">
        <v>379</v>
      </c>
      <c r="B526" s="19" t="str">
        <f>_xlfn.XLOOKUP(A526,CATÁLOGO!$A$2:$A$846,CATÁLOGO!$B$2:$B$846,"FORA DO CATÁLOGO")</f>
        <v>TRI012CGG</v>
      </c>
      <c r="C526" s="13">
        <v>1</v>
      </c>
      <c r="D526" s="13" t="str">
        <f>_xlfn.XLOOKUP(A526,CATÁLOGO!$A$2:$A$846,CATÁLOGO!$E$2:$E$846,"FORA DO CATÁLOGO")</f>
        <v>Ativo</v>
      </c>
      <c r="E526" s="2"/>
      <c r="F526" s="62">
        <f>SUMIFS('AVARIA ESTIMADA'!$J$18:$J$40,'AVARIA ESTIMADA'!$A$18:$A$40,A526)</f>
        <v>0</v>
      </c>
    </row>
    <row r="527" spans="1:6" x14ac:dyDescent="0.3">
      <c r="A527" s="2" t="s">
        <v>380</v>
      </c>
      <c r="B527" s="19" t="str">
        <f>_xlfn.XLOOKUP(A527,CATÁLOGO!$A$2:$A$846,CATÁLOGO!$B$2:$B$846,"FORA DO CATÁLOGO")</f>
        <v>CMS013BP</v>
      </c>
      <c r="C527" s="13">
        <v>2</v>
      </c>
      <c r="D527" s="13" t="str">
        <f>_xlfn.XLOOKUP(A527,CATÁLOGO!$A$2:$A$846,CATÁLOGO!$E$2:$E$846,"FORA DO CATÁLOGO")</f>
        <v>Ativo</v>
      </c>
      <c r="E527" s="2"/>
      <c r="F527" s="62">
        <f>SUMIFS('AVARIA ESTIMADA'!$J$18:$J$40,'AVARIA ESTIMADA'!$A$18:$A$40,A527)</f>
        <v>0</v>
      </c>
    </row>
    <row r="528" spans="1:6" x14ac:dyDescent="0.3">
      <c r="A528" s="2" t="s">
        <v>381</v>
      </c>
      <c r="B528" s="19" t="str">
        <f>_xlfn.XLOOKUP(A528,CATÁLOGO!$A$2:$A$846,CATÁLOGO!$B$2:$B$846,"FORA DO CATÁLOGO")</f>
        <v>CMS013BM</v>
      </c>
      <c r="C528" s="13">
        <v>3</v>
      </c>
      <c r="D528" s="13" t="str">
        <f>_xlfn.XLOOKUP(A528,CATÁLOGO!$A$2:$A$846,CATÁLOGO!$E$2:$E$846,"FORA DO CATÁLOGO")</f>
        <v>Ativo</v>
      </c>
      <c r="E528" s="2"/>
      <c r="F528" s="62">
        <f>SUMIFS('AVARIA ESTIMADA'!$J$18:$J$40,'AVARIA ESTIMADA'!$A$18:$A$40,A528)</f>
        <v>0</v>
      </c>
    </row>
    <row r="529" spans="1:6" x14ac:dyDescent="0.3">
      <c r="A529" s="2" t="s">
        <v>382</v>
      </c>
      <c r="B529" s="19" t="str">
        <f>_xlfn.XLOOKUP(A529,CATÁLOGO!$A$2:$A$846,CATÁLOGO!$B$2:$B$846,"FORA DO CATÁLOGO")</f>
        <v>CMS013BG</v>
      </c>
      <c r="C529" s="13">
        <v>2</v>
      </c>
      <c r="D529" s="13" t="str">
        <f>_xlfn.XLOOKUP(A529,CATÁLOGO!$A$2:$A$846,CATÁLOGO!$E$2:$E$846,"FORA DO CATÁLOGO")</f>
        <v>Ativo</v>
      </c>
      <c r="E529" s="2"/>
      <c r="F529" s="62">
        <f>SUMIFS('AVARIA ESTIMADA'!$J$18:$J$40,'AVARIA ESTIMADA'!$A$18:$A$40,A529)</f>
        <v>0</v>
      </c>
    </row>
    <row r="530" spans="1:6" x14ac:dyDescent="0.3">
      <c r="A530" s="2" t="s">
        <v>1874</v>
      </c>
      <c r="B530" s="19" t="str">
        <f>_xlfn.XLOOKUP(A530,CATÁLOGO!$A$2:$A$846,CATÁLOGO!$B$2:$B$846,"FORA DO CATÁLOGO")</f>
        <v>TOP001YPP</v>
      </c>
      <c r="C530" s="13">
        <v>2</v>
      </c>
      <c r="D530" s="13" t="str">
        <f>_xlfn.XLOOKUP(A530,CATÁLOGO!$A$2:$A$846,CATÁLOGO!$E$2:$E$846,"FORA DO CATÁLOGO")</f>
        <v>Ativo</v>
      </c>
      <c r="E530" s="2"/>
      <c r="F530" s="62">
        <f>SUMIFS('AVARIA ESTIMADA'!$J$18:$J$40,'AVARIA ESTIMADA'!$A$18:$A$40,A530)</f>
        <v>0</v>
      </c>
    </row>
    <row r="531" spans="1:6" x14ac:dyDescent="0.3">
      <c r="A531" s="2" t="s">
        <v>383</v>
      </c>
      <c r="B531" s="19" t="str">
        <f>_xlfn.XLOOKUP(A531,CATÁLOGO!$A$2:$A$846,CATÁLOGO!$B$2:$B$846,"FORA DO CATÁLOGO")</f>
        <v>TOP001YP</v>
      </c>
      <c r="C531" s="13">
        <v>4</v>
      </c>
      <c r="D531" s="13" t="str">
        <f>_xlfn.XLOOKUP(A531,CATÁLOGO!$A$2:$A$846,CATÁLOGO!$E$2:$E$846,"FORA DO CATÁLOGO")</f>
        <v>Ativo</v>
      </c>
      <c r="E531" s="2"/>
      <c r="F531" s="62">
        <f>SUMIFS('AVARIA ESTIMADA'!$J$18:$J$40,'AVARIA ESTIMADA'!$A$18:$A$40,A531)</f>
        <v>0</v>
      </c>
    </row>
    <row r="532" spans="1:6" x14ac:dyDescent="0.3">
      <c r="A532" s="2" t="s">
        <v>384</v>
      </c>
      <c r="B532" s="19" t="str">
        <f>_xlfn.XLOOKUP(A532,CATÁLOGO!$A$2:$A$846,CATÁLOGO!$B$2:$B$846,"FORA DO CATÁLOGO")</f>
        <v>TOP001YM</v>
      </c>
      <c r="C532" s="13">
        <v>6</v>
      </c>
      <c r="D532" s="13" t="str">
        <f>_xlfn.XLOOKUP(A532,CATÁLOGO!$A$2:$A$846,CATÁLOGO!$E$2:$E$846,"FORA DO CATÁLOGO")</f>
        <v>Ativo</v>
      </c>
      <c r="E532" s="2" t="s">
        <v>1333</v>
      </c>
      <c r="F532" s="62">
        <f>SUMIFS('AVARIA ESTIMADA'!$J$18:$J$40,'AVARIA ESTIMADA'!$A$18:$A$40,A532)</f>
        <v>0</v>
      </c>
    </row>
    <row r="533" spans="1:6" x14ac:dyDescent="0.3">
      <c r="A533" s="2" t="s">
        <v>385</v>
      </c>
      <c r="B533" s="19" t="str">
        <f>_xlfn.XLOOKUP(A533,CATÁLOGO!$A$2:$A$846,CATÁLOGO!$B$2:$B$846,"FORA DO CATÁLOGO")</f>
        <v>TOP001YG</v>
      </c>
      <c r="C533" s="13">
        <v>5</v>
      </c>
      <c r="D533" s="13" t="str">
        <f>_xlfn.XLOOKUP(A533,CATÁLOGO!$A$2:$A$846,CATÁLOGO!$E$2:$E$846,"FORA DO CATÁLOGO")</f>
        <v>Ativo</v>
      </c>
      <c r="E533" s="2"/>
      <c r="F533" s="62">
        <f>SUMIFS('AVARIA ESTIMADA'!$J$18:$J$40,'AVARIA ESTIMADA'!$A$18:$A$40,A533)</f>
        <v>4</v>
      </c>
    </row>
    <row r="534" spans="1:6" x14ac:dyDescent="0.3">
      <c r="A534" s="2" t="s">
        <v>386</v>
      </c>
      <c r="B534" s="19" t="str">
        <f>_xlfn.XLOOKUP(A534,CATÁLOGO!$A$2:$A$846,CATÁLOGO!$B$2:$B$846,"FORA DO CATÁLOGO")</f>
        <v>TOP001YGG</v>
      </c>
      <c r="C534" s="13">
        <v>3</v>
      </c>
      <c r="D534" s="13" t="str">
        <f>_xlfn.XLOOKUP(A534,CATÁLOGO!$A$2:$A$846,CATÁLOGO!$E$2:$E$846,"FORA DO CATÁLOGO")</f>
        <v>Ativo</v>
      </c>
      <c r="E534" s="2"/>
      <c r="F534" s="62">
        <f>SUMIFS('AVARIA ESTIMADA'!$J$18:$J$40,'AVARIA ESTIMADA'!$A$18:$A$40,A534)</f>
        <v>0</v>
      </c>
    </row>
    <row r="535" spans="1:6" x14ac:dyDescent="0.3">
      <c r="A535" s="2" t="s">
        <v>9</v>
      </c>
      <c r="B535" s="19" t="str">
        <f>_xlfn.XLOOKUP(A535,CATÁLOGO!$A$2:$A$846,CATÁLOGO!$B$2:$B$846,"FORA DO CATÁLOGO")</f>
        <v>JAQ002MP</v>
      </c>
      <c r="C535" s="13">
        <v>2</v>
      </c>
      <c r="D535" s="13" t="str">
        <f>_xlfn.XLOOKUP(A535,CATÁLOGO!$A$2:$A$846,CATÁLOGO!$E$2:$E$846,"FORA DO CATÁLOGO")</f>
        <v>Descontinuado</v>
      </c>
      <c r="E535" s="2"/>
      <c r="F535" s="62">
        <f>SUMIFS('AVARIA ESTIMADA'!$J$18:$J$40,'AVARIA ESTIMADA'!$A$18:$A$40,A535)</f>
        <v>0</v>
      </c>
    </row>
    <row r="536" spans="1:6" x14ac:dyDescent="0.3">
      <c r="A536" s="2" t="s">
        <v>387</v>
      </c>
      <c r="B536" s="19" t="str">
        <f>_xlfn.XLOOKUP(A536,CATÁLOGO!$A$2:$A$846,CATÁLOGO!$B$2:$B$846,"FORA DO CATÁLOGO")</f>
        <v>JAQ002MM</v>
      </c>
      <c r="C536" s="13">
        <v>7</v>
      </c>
      <c r="D536" s="13" t="str">
        <f>_xlfn.XLOOKUP(A536,CATÁLOGO!$A$2:$A$846,CATÁLOGO!$E$2:$E$846,"FORA DO CATÁLOGO")</f>
        <v>Descontinuado</v>
      </c>
      <c r="E536" s="2"/>
      <c r="F536" s="62">
        <f>SUMIFS('AVARIA ESTIMADA'!$J$18:$J$40,'AVARIA ESTIMADA'!$A$18:$A$40,A536)</f>
        <v>0</v>
      </c>
    </row>
    <row r="537" spans="1:6" x14ac:dyDescent="0.3">
      <c r="A537" s="2" t="s">
        <v>388</v>
      </c>
      <c r="B537" s="19" t="str">
        <f>_xlfn.XLOOKUP(A537,CATÁLOGO!$A$2:$A$846,CATÁLOGO!$B$2:$B$846,"FORA DO CATÁLOGO")</f>
        <v>JAQ002MG</v>
      </c>
      <c r="C537" s="13">
        <v>4</v>
      </c>
      <c r="D537" s="13" t="str">
        <f>_xlfn.XLOOKUP(A537,CATÁLOGO!$A$2:$A$846,CATÁLOGO!$E$2:$E$846,"FORA DO CATÁLOGO")</f>
        <v>Descontinuado</v>
      </c>
      <c r="E537" s="2" t="s">
        <v>1333</v>
      </c>
      <c r="F537" s="62">
        <f>SUMIFS('AVARIA ESTIMADA'!$J$18:$J$40,'AVARIA ESTIMADA'!$A$18:$A$40,A537)</f>
        <v>0</v>
      </c>
    </row>
    <row r="538" spans="1:6" x14ac:dyDescent="0.3">
      <c r="A538" s="2" t="s">
        <v>10</v>
      </c>
      <c r="B538" s="19" t="str">
        <f>_xlfn.XLOOKUP(A538,CATÁLOGO!$A$2:$A$846,CATÁLOGO!$B$2:$B$846,"FORA DO CATÁLOGO")</f>
        <v>JAQ002MGG</v>
      </c>
      <c r="C538" s="13">
        <v>2</v>
      </c>
      <c r="D538" s="13" t="str">
        <f>_xlfn.XLOOKUP(A538,CATÁLOGO!$A$2:$A$846,CATÁLOGO!$E$2:$E$846,"FORA DO CATÁLOGO")</f>
        <v>Descontinuado</v>
      </c>
      <c r="E538" s="2"/>
      <c r="F538" s="62">
        <f>SUMIFS('AVARIA ESTIMADA'!$J$18:$J$40,'AVARIA ESTIMADA'!$A$18:$A$40,A538)</f>
        <v>0</v>
      </c>
    </row>
    <row r="539" spans="1:6" x14ac:dyDescent="0.3">
      <c r="A539" s="2" t="s">
        <v>389</v>
      </c>
      <c r="B539" s="19" t="str">
        <f>_xlfn.XLOOKUP(A539,CATÁLOGO!$A$2:$A$846,CATÁLOGO!$B$2:$B$846,"FORA DO CATÁLOGO")</f>
        <v>CAM019VP</v>
      </c>
      <c r="C539" s="13">
        <v>2</v>
      </c>
      <c r="D539" s="13" t="str">
        <f>_xlfn.XLOOKUP(A539,CATÁLOGO!$A$2:$A$846,CATÁLOGO!$E$2:$E$846,"FORA DO CATÁLOGO")</f>
        <v>Ativo</v>
      </c>
      <c r="E539" s="2"/>
      <c r="F539" s="62">
        <f>SUMIFS('AVARIA ESTIMADA'!$J$18:$J$40,'AVARIA ESTIMADA'!$A$18:$A$40,A539)</f>
        <v>0</v>
      </c>
    </row>
    <row r="540" spans="1:6" x14ac:dyDescent="0.3">
      <c r="A540" s="2" t="s">
        <v>390</v>
      </c>
      <c r="B540" s="19" t="str">
        <f>_xlfn.XLOOKUP(A540,CATÁLOGO!$A$2:$A$846,CATÁLOGO!$B$2:$B$846,"FORA DO CATÁLOGO")</f>
        <v>CAM019VM</v>
      </c>
      <c r="C540" s="13">
        <v>5</v>
      </c>
      <c r="D540" s="13" t="str">
        <f>_xlfn.XLOOKUP(A540,CATÁLOGO!$A$2:$A$846,CATÁLOGO!$E$2:$E$846,"FORA DO CATÁLOGO")</f>
        <v>Ativo</v>
      </c>
      <c r="E540" s="2" t="s">
        <v>1341</v>
      </c>
      <c r="F540" s="62">
        <f>SUMIFS('AVARIA ESTIMADA'!$J$18:$J$40,'AVARIA ESTIMADA'!$A$18:$A$40,A540)</f>
        <v>0</v>
      </c>
    </row>
    <row r="541" spans="1:6" x14ac:dyDescent="0.3">
      <c r="A541" s="2" t="s">
        <v>391</v>
      </c>
      <c r="B541" s="19" t="str">
        <f>_xlfn.XLOOKUP(A541,CATÁLOGO!$A$2:$A$846,CATÁLOGO!$B$2:$B$846,"FORA DO CATÁLOGO")</f>
        <v>CAM019VG</v>
      </c>
      <c r="C541" s="13">
        <v>3</v>
      </c>
      <c r="D541" s="13" t="str">
        <f>_xlfn.XLOOKUP(A541,CATÁLOGO!$A$2:$A$846,CATÁLOGO!$E$2:$E$846,"FORA DO CATÁLOGO")</f>
        <v>Ativo</v>
      </c>
      <c r="E541" s="2"/>
      <c r="F541" s="62">
        <f>SUMIFS('AVARIA ESTIMADA'!$J$18:$J$40,'AVARIA ESTIMADA'!$A$18:$A$40,A541)</f>
        <v>0</v>
      </c>
    </row>
    <row r="542" spans="1:6" x14ac:dyDescent="0.3">
      <c r="A542" s="2" t="s">
        <v>392</v>
      </c>
      <c r="B542" s="19" t="str">
        <f>_xlfn.XLOOKUP(A542,CATÁLOGO!$A$2:$A$846,CATÁLOGO!$B$2:$B$846,"FORA DO CATÁLOGO")</f>
        <v>CAM019VGG</v>
      </c>
      <c r="C542" s="13">
        <v>2</v>
      </c>
      <c r="D542" s="13" t="str">
        <f>_xlfn.XLOOKUP(A542,CATÁLOGO!$A$2:$A$846,CATÁLOGO!$E$2:$E$846,"FORA DO CATÁLOGO")</f>
        <v>Ativo</v>
      </c>
      <c r="E542" s="2"/>
      <c r="F542" s="62">
        <f>SUMIFS('AVARIA ESTIMADA'!$J$18:$J$40,'AVARIA ESTIMADA'!$A$18:$A$40,A542)</f>
        <v>0</v>
      </c>
    </row>
    <row r="543" spans="1:6" x14ac:dyDescent="0.3">
      <c r="A543" s="2" t="s">
        <v>1804</v>
      </c>
      <c r="B543" s="19" t="str">
        <f>_xlfn.XLOOKUP(A543,CATÁLOGO!$A$2:$A$846,CATÁLOGO!$B$2:$B$846,"FORA DO CATÁLOGO")</f>
        <v>JAQ007OPP</v>
      </c>
      <c r="C543" s="13">
        <v>1</v>
      </c>
      <c r="D543" s="13" t="str">
        <f>_xlfn.XLOOKUP(A543,CATÁLOGO!$A$2:$A$846,CATÁLOGO!$E$2:$E$846,"FORA DO CATÁLOGO")</f>
        <v>Ativo</v>
      </c>
      <c r="E543" s="2"/>
      <c r="F543" s="62">
        <f>SUMIFS('AVARIA ESTIMADA'!$J$18:$J$40,'AVARIA ESTIMADA'!$A$18:$A$40,A543)</f>
        <v>0</v>
      </c>
    </row>
    <row r="544" spans="1:6" x14ac:dyDescent="0.3">
      <c r="A544" s="2" t="s">
        <v>393</v>
      </c>
      <c r="B544" s="19" t="str">
        <f>_xlfn.XLOOKUP(A544,CATÁLOGO!$A$2:$A$846,CATÁLOGO!$B$2:$B$846,"FORA DO CATÁLOGO")</f>
        <v>JAQ007OP</v>
      </c>
      <c r="C544" s="13">
        <v>2</v>
      </c>
      <c r="D544" s="13" t="str">
        <f>_xlfn.XLOOKUP(A544,CATÁLOGO!$A$2:$A$846,CATÁLOGO!$E$2:$E$846,"FORA DO CATÁLOGO")</f>
        <v>Ativo</v>
      </c>
      <c r="E544" s="2"/>
      <c r="F544" s="62">
        <f>SUMIFS('AVARIA ESTIMADA'!$J$18:$J$40,'AVARIA ESTIMADA'!$A$18:$A$40,A544)</f>
        <v>0</v>
      </c>
    </row>
    <row r="545" spans="1:6" x14ac:dyDescent="0.3">
      <c r="A545" s="2" t="s">
        <v>394</v>
      </c>
      <c r="B545" s="19" t="str">
        <f>_xlfn.XLOOKUP(A545,CATÁLOGO!$A$2:$A$846,CATÁLOGO!$B$2:$B$846,"FORA DO CATÁLOGO")</f>
        <v>JAQ007OM</v>
      </c>
      <c r="C545" s="13">
        <v>4</v>
      </c>
      <c r="D545" s="13" t="str">
        <f>_xlfn.XLOOKUP(A545,CATÁLOGO!$A$2:$A$846,CATÁLOGO!$E$2:$E$846,"FORA DO CATÁLOGO")</f>
        <v>Ativo</v>
      </c>
      <c r="E545" s="2" t="s">
        <v>1327</v>
      </c>
      <c r="F545" s="62">
        <f>SUMIFS('AVARIA ESTIMADA'!$J$18:$J$40,'AVARIA ESTIMADA'!$A$18:$A$40,A545)</f>
        <v>0</v>
      </c>
    </row>
    <row r="546" spans="1:6" x14ac:dyDescent="0.3">
      <c r="A546" s="2" t="s">
        <v>395</v>
      </c>
      <c r="B546" s="19" t="str">
        <f>_xlfn.XLOOKUP(A546,CATÁLOGO!$A$2:$A$846,CATÁLOGO!$B$2:$B$846,"FORA DO CATÁLOGO")</f>
        <v>JAQ007OG</v>
      </c>
      <c r="C546" s="13">
        <v>2</v>
      </c>
      <c r="D546" s="13" t="str">
        <f>_xlfn.XLOOKUP(A546,CATÁLOGO!$A$2:$A$846,CATÁLOGO!$E$2:$E$846,"FORA DO CATÁLOGO")</f>
        <v>Ativo</v>
      </c>
      <c r="E546" s="2"/>
      <c r="F546" s="62">
        <f>SUMIFS('AVARIA ESTIMADA'!$J$18:$J$40,'AVARIA ESTIMADA'!$A$18:$A$40,A546)</f>
        <v>0</v>
      </c>
    </row>
    <row r="547" spans="1:6" x14ac:dyDescent="0.3">
      <c r="A547" s="2" t="s">
        <v>396</v>
      </c>
      <c r="B547" s="19" t="str">
        <f>_xlfn.XLOOKUP(A547,CATÁLOGO!$A$2:$A$846,CATÁLOGO!$B$2:$B$846,"FORA DO CATÁLOGO")</f>
        <v>JAQ007OGG</v>
      </c>
      <c r="C547" s="13">
        <v>1</v>
      </c>
      <c r="D547" s="13" t="str">
        <f>_xlfn.XLOOKUP(A547,CATÁLOGO!$A$2:$A$846,CATÁLOGO!$E$2:$E$846,"FORA DO CATÁLOGO")</f>
        <v>Ativo</v>
      </c>
      <c r="E547" s="2"/>
      <c r="F547" s="62">
        <f>SUMIFS('AVARIA ESTIMADA'!$J$18:$J$40,'AVARIA ESTIMADA'!$A$18:$A$40,A547)</f>
        <v>0</v>
      </c>
    </row>
    <row r="548" spans="1:6" x14ac:dyDescent="0.3">
      <c r="A548" s="2" t="s">
        <v>397</v>
      </c>
      <c r="B548" s="19" t="str">
        <f>_xlfn.XLOOKUP(A548,CATÁLOGO!$A$2:$A$846,CATÁLOGO!$B$2:$B$846,"FORA DO CATÁLOGO")</f>
        <v>MOL013MP</v>
      </c>
      <c r="C548" s="13">
        <v>3</v>
      </c>
      <c r="D548" s="13" t="str">
        <f>_xlfn.XLOOKUP(A548,CATÁLOGO!$A$2:$A$846,CATÁLOGO!$E$2:$E$846,"FORA DO CATÁLOGO")</f>
        <v>Ativo</v>
      </c>
      <c r="E548" s="2"/>
      <c r="F548" s="62">
        <f>SUMIFS('AVARIA ESTIMADA'!$J$18:$J$40,'AVARIA ESTIMADA'!$A$18:$A$40,A548)</f>
        <v>0</v>
      </c>
    </row>
    <row r="549" spans="1:6" x14ac:dyDescent="0.3">
      <c r="A549" s="2" t="s">
        <v>399</v>
      </c>
      <c r="B549" s="19" t="str">
        <f>_xlfn.XLOOKUP(A549,CATÁLOGO!$A$2:$A$846,CATÁLOGO!$B$2:$B$846,"FORA DO CATÁLOGO")</f>
        <v>MOL013MG</v>
      </c>
      <c r="C549" s="13">
        <v>3</v>
      </c>
      <c r="D549" s="13" t="str">
        <f>_xlfn.XLOOKUP(A549,CATÁLOGO!$A$2:$A$846,CATÁLOGO!$E$2:$E$846,"FORA DO CATÁLOGO")</f>
        <v>Ativo</v>
      </c>
      <c r="E549" s="2"/>
      <c r="F549" s="62">
        <f>SUMIFS('AVARIA ESTIMADA'!$J$18:$J$40,'AVARIA ESTIMADA'!$A$18:$A$40,A549)</f>
        <v>0</v>
      </c>
    </row>
    <row r="550" spans="1:6" x14ac:dyDescent="0.3">
      <c r="A550" s="2" t="s">
        <v>1318</v>
      </c>
      <c r="B550" s="19" t="str">
        <f>_xlfn.XLOOKUP(A550,CATÁLOGO!$A$2:$A$846,CATÁLOGO!$B$2:$B$846,"FORA DO CATÁLOGO")</f>
        <v>MOL013MGG</v>
      </c>
      <c r="C550" s="13">
        <v>1</v>
      </c>
      <c r="D550" s="13" t="str">
        <f>_xlfn.XLOOKUP(A550,CATÁLOGO!$A$2:$A$846,CATÁLOGO!$E$2:$E$846,"FORA DO CATÁLOGO")</f>
        <v>Ativo</v>
      </c>
      <c r="E550" s="2"/>
      <c r="F550" s="62">
        <f>SUMIFS('AVARIA ESTIMADA'!$J$18:$J$40,'AVARIA ESTIMADA'!$A$18:$A$40,A550)</f>
        <v>0</v>
      </c>
    </row>
    <row r="551" spans="1:6" x14ac:dyDescent="0.3">
      <c r="A551" s="2" t="s">
        <v>1794</v>
      </c>
      <c r="B551" s="19" t="str">
        <f>_xlfn.XLOOKUP(A551,CATÁLOGO!$A$2:$A$846,CATÁLOGO!$B$2:$B$846,"FORA DO CATÁLOGO")</f>
        <v>CMS014YPP</v>
      </c>
      <c r="C551" s="13">
        <v>1</v>
      </c>
      <c r="D551" s="13" t="str">
        <f>_xlfn.XLOOKUP(A551,CATÁLOGO!$A$2:$A$846,CATÁLOGO!$E$2:$E$846,"FORA DO CATÁLOGO")</f>
        <v>Ativo</v>
      </c>
      <c r="E551" s="2"/>
      <c r="F551" s="62">
        <f>SUMIFS('AVARIA ESTIMADA'!$J$18:$J$40,'AVARIA ESTIMADA'!$A$18:$A$40,A551)</f>
        <v>0</v>
      </c>
    </row>
    <row r="552" spans="1:6" x14ac:dyDescent="0.3">
      <c r="A552" s="2" t="s">
        <v>400</v>
      </c>
      <c r="B552" s="19" t="str">
        <f>_xlfn.XLOOKUP(A552,CATÁLOGO!$A$2:$A$846,CATÁLOGO!$B$2:$B$846,"FORA DO CATÁLOGO")</f>
        <v>CMS014YP</v>
      </c>
      <c r="C552" s="13">
        <v>2</v>
      </c>
      <c r="D552" s="13" t="str">
        <f>_xlfn.XLOOKUP(A552,CATÁLOGO!$A$2:$A$846,CATÁLOGO!$E$2:$E$846,"FORA DO CATÁLOGO")</f>
        <v>Ativo</v>
      </c>
      <c r="E552" s="2"/>
      <c r="F552" s="62">
        <f>SUMIFS('AVARIA ESTIMADA'!$J$18:$J$40,'AVARIA ESTIMADA'!$A$18:$A$40,A552)</f>
        <v>0</v>
      </c>
    </row>
    <row r="553" spans="1:6" x14ac:dyDescent="0.3">
      <c r="A553" s="2" t="s">
        <v>401</v>
      </c>
      <c r="B553" s="19" t="str">
        <f>_xlfn.XLOOKUP(A553,CATÁLOGO!$A$2:$A$846,CATÁLOGO!$B$2:$B$846,"FORA DO CATÁLOGO")</f>
        <v>CMS014YM</v>
      </c>
      <c r="C553" s="13">
        <v>5</v>
      </c>
      <c r="D553" s="13" t="str">
        <f>_xlfn.XLOOKUP(A553,CATÁLOGO!$A$2:$A$846,CATÁLOGO!$E$2:$E$846,"FORA DO CATÁLOGO")</f>
        <v>Ativo</v>
      </c>
      <c r="E553" s="2"/>
      <c r="F553" s="62">
        <f>SUMIFS('AVARIA ESTIMADA'!$J$18:$J$40,'AVARIA ESTIMADA'!$A$18:$A$40,A553)</f>
        <v>0</v>
      </c>
    </row>
    <row r="554" spans="1:6" x14ac:dyDescent="0.3">
      <c r="A554" s="2" t="s">
        <v>402</v>
      </c>
      <c r="B554" s="19" t="str">
        <f>_xlfn.XLOOKUP(A554,CATÁLOGO!$A$2:$A$846,CATÁLOGO!$B$2:$B$846,"FORA DO CATÁLOGO")</f>
        <v>CMS014YG</v>
      </c>
      <c r="C554" s="13">
        <v>3</v>
      </c>
      <c r="D554" s="13" t="str">
        <f>_xlfn.XLOOKUP(A554,CATÁLOGO!$A$2:$A$846,CATÁLOGO!$E$2:$E$846,"FORA DO CATÁLOGO")</f>
        <v>Ativo</v>
      </c>
      <c r="E554" s="2"/>
      <c r="F554" s="62">
        <f>SUMIFS('AVARIA ESTIMADA'!$J$18:$J$40,'AVARIA ESTIMADA'!$A$18:$A$40,A554)</f>
        <v>0</v>
      </c>
    </row>
    <row r="555" spans="1:6" x14ac:dyDescent="0.3">
      <c r="A555" s="2" t="s">
        <v>403</v>
      </c>
      <c r="B555" s="19" t="str">
        <f>_xlfn.XLOOKUP(A555,CATÁLOGO!$A$2:$A$846,CATÁLOGO!$B$2:$B$846,"FORA DO CATÁLOGO")</f>
        <v>CMS014YGG</v>
      </c>
      <c r="C555" s="13">
        <v>1</v>
      </c>
      <c r="D555" s="13" t="str">
        <f>_xlfn.XLOOKUP(A555,CATÁLOGO!$A$2:$A$846,CATÁLOGO!$E$2:$E$846,"FORA DO CATÁLOGO")</f>
        <v>Ativo</v>
      </c>
      <c r="E555" s="2" t="s">
        <v>1333</v>
      </c>
      <c r="F555" s="62">
        <f>SUMIFS('AVARIA ESTIMADA'!$J$18:$J$40,'AVARIA ESTIMADA'!$A$18:$A$40,A555)</f>
        <v>0</v>
      </c>
    </row>
    <row r="556" spans="1:6" x14ac:dyDescent="0.3">
      <c r="A556" s="2" t="s">
        <v>404</v>
      </c>
      <c r="B556" s="19" t="str">
        <f>_xlfn.XLOOKUP(A556,CATÁLOGO!$A$2:$A$846,CATÁLOGO!$B$2:$B$846,"FORA DO CATÁLOGO")</f>
        <v>VES011OP</v>
      </c>
      <c r="C556" s="13">
        <v>3</v>
      </c>
      <c r="D556" s="13" t="str">
        <f>_xlfn.XLOOKUP(A556,CATÁLOGO!$A$2:$A$846,CATÁLOGO!$E$2:$E$846,"FORA DO CATÁLOGO")</f>
        <v>Ativo</v>
      </c>
      <c r="E556" s="2" t="s">
        <v>1337</v>
      </c>
      <c r="F556" s="62">
        <f>SUMIFS('AVARIA ESTIMADA'!$J$18:$J$40,'AVARIA ESTIMADA'!$A$18:$A$40,A556)</f>
        <v>0</v>
      </c>
    </row>
    <row r="557" spans="1:6" x14ac:dyDescent="0.3">
      <c r="A557" s="2" t="s">
        <v>1265</v>
      </c>
      <c r="B557" s="19" t="str">
        <f>_xlfn.XLOOKUP(A557,CATÁLOGO!$A$2:$A$846,CATÁLOGO!$B$2:$B$846,"FORA DO CATÁLOGO")</f>
        <v>VES011OM</v>
      </c>
      <c r="C557" s="13">
        <v>4</v>
      </c>
      <c r="D557" s="13" t="str">
        <f>_xlfn.XLOOKUP(A557,CATÁLOGO!$A$2:$A$846,CATÁLOGO!$E$2:$E$846,"FORA DO CATÁLOGO")</f>
        <v>Ativo</v>
      </c>
      <c r="E557" s="2"/>
      <c r="F557" s="62">
        <f>SUMIFS('AVARIA ESTIMADA'!$J$18:$J$40,'AVARIA ESTIMADA'!$A$18:$A$40,A557)</f>
        <v>0</v>
      </c>
    </row>
    <row r="558" spans="1:6" x14ac:dyDescent="0.3">
      <c r="A558" s="2" t="s">
        <v>405</v>
      </c>
      <c r="B558" s="19" t="str">
        <f>_xlfn.XLOOKUP(A558,CATÁLOGO!$A$2:$A$846,CATÁLOGO!$B$2:$B$846,"FORA DO CATÁLOGO")</f>
        <v>VES011OG</v>
      </c>
      <c r="C558" s="13">
        <v>3</v>
      </c>
      <c r="D558" s="13" t="str">
        <f>_xlfn.XLOOKUP(A558,CATÁLOGO!$A$2:$A$846,CATÁLOGO!$E$2:$E$846,"FORA DO CATÁLOGO")</f>
        <v>Ativo</v>
      </c>
      <c r="E558" s="2"/>
      <c r="F558" s="62">
        <f>SUMIFS('AVARIA ESTIMADA'!$J$18:$J$40,'AVARIA ESTIMADA'!$A$18:$A$40,A558)</f>
        <v>0</v>
      </c>
    </row>
    <row r="559" spans="1:6" x14ac:dyDescent="0.3">
      <c r="A559" s="2" t="s">
        <v>1266</v>
      </c>
      <c r="B559" s="19" t="str">
        <f>_xlfn.XLOOKUP(A559,CATÁLOGO!$A$2:$A$846,CATÁLOGO!$B$2:$B$846,"FORA DO CATÁLOGO")</f>
        <v>SAI010CP</v>
      </c>
      <c r="C559" s="13">
        <v>3</v>
      </c>
      <c r="D559" s="13" t="str">
        <f>_xlfn.XLOOKUP(A559,CATÁLOGO!$A$2:$A$846,CATÁLOGO!$E$2:$E$846,"FORA DO CATÁLOGO")</f>
        <v>Descontinuado</v>
      </c>
      <c r="E559" s="2"/>
      <c r="F559" s="62">
        <f>SUMIFS('AVARIA ESTIMADA'!$J$18:$J$40,'AVARIA ESTIMADA'!$A$18:$A$40,A559)</f>
        <v>0</v>
      </c>
    </row>
    <row r="560" spans="1:6" x14ac:dyDescent="0.3">
      <c r="A560" s="2" t="s">
        <v>406</v>
      </c>
      <c r="B560" s="19" t="str">
        <f>_xlfn.XLOOKUP(A560,CATÁLOGO!$A$2:$A$846,CATÁLOGO!$B$2:$B$846,"FORA DO CATÁLOGO")</f>
        <v>SAI010CM</v>
      </c>
      <c r="C560" s="13">
        <v>3</v>
      </c>
      <c r="D560" s="13" t="str">
        <f>_xlfn.XLOOKUP(A560,CATÁLOGO!$A$2:$A$846,CATÁLOGO!$E$2:$E$846,"FORA DO CATÁLOGO")</f>
        <v>Descontinuado</v>
      </c>
      <c r="E560" s="2"/>
      <c r="F560" s="62">
        <f>SUMIFS('AVARIA ESTIMADA'!$J$18:$J$40,'AVARIA ESTIMADA'!$A$18:$A$40,A560)</f>
        <v>0</v>
      </c>
    </row>
    <row r="561" spans="1:6" x14ac:dyDescent="0.3">
      <c r="A561" s="2" t="s">
        <v>407</v>
      </c>
      <c r="B561" s="19" t="str">
        <f>_xlfn.XLOOKUP(A561,CATÁLOGO!$A$2:$A$846,CATÁLOGO!$B$2:$B$846,"FORA DO CATÁLOGO")</f>
        <v>SAI010CG</v>
      </c>
      <c r="C561" s="13">
        <v>2</v>
      </c>
      <c r="D561" s="13" t="str">
        <f>_xlfn.XLOOKUP(A561,CATÁLOGO!$A$2:$A$846,CATÁLOGO!$E$2:$E$846,"FORA DO CATÁLOGO")</f>
        <v>Descontinuado</v>
      </c>
      <c r="E561" s="2" t="s">
        <v>1337</v>
      </c>
      <c r="F561" s="62">
        <f>SUMIFS('AVARIA ESTIMADA'!$J$18:$J$40,'AVARIA ESTIMADA'!$A$18:$A$40,A561)</f>
        <v>0</v>
      </c>
    </row>
    <row r="562" spans="1:6" x14ac:dyDescent="0.3">
      <c r="A562" s="2" t="s">
        <v>408</v>
      </c>
      <c r="B562" s="19" t="str">
        <f>_xlfn.XLOOKUP(A562,CATÁLOGO!$A$2:$A$846,CATÁLOGO!$B$2:$B$846,"FORA DO CATÁLOGO")</f>
        <v>SAI010CGG</v>
      </c>
      <c r="C562" s="13">
        <v>1</v>
      </c>
      <c r="D562" s="13" t="str">
        <f>_xlfn.XLOOKUP(A562,CATÁLOGO!$A$2:$A$846,CATÁLOGO!$E$2:$E$846,"FORA DO CATÁLOGO")</f>
        <v>Descontinuado</v>
      </c>
      <c r="E562" s="2"/>
      <c r="F562" s="62">
        <f>SUMIFS('AVARIA ESTIMADA'!$J$18:$J$40,'AVARIA ESTIMADA'!$A$18:$A$40,A562)</f>
        <v>0</v>
      </c>
    </row>
    <row r="563" spans="1:6" x14ac:dyDescent="0.3">
      <c r="A563" s="2" t="s">
        <v>409</v>
      </c>
      <c r="B563" s="19" t="str">
        <f>_xlfn.XLOOKUP(A563,CATÁLOGO!$A$2:$A$846,CATÁLOGO!$B$2:$B$846,"FORA DO CATÁLOGO")</f>
        <v>CAM020YM</v>
      </c>
      <c r="C563" s="13">
        <v>4</v>
      </c>
      <c r="D563" s="13" t="str">
        <f>_xlfn.XLOOKUP(A563,CATÁLOGO!$A$2:$A$846,CATÁLOGO!$E$2:$E$846,"FORA DO CATÁLOGO")</f>
        <v>Ativo</v>
      </c>
      <c r="E563" s="2"/>
      <c r="F563" s="62">
        <f>SUMIFS('AVARIA ESTIMADA'!$J$18:$J$40,'AVARIA ESTIMADA'!$A$18:$A$40,A563)</f>
        <v>0</v>
      </c>
    </row>
    <row r="564" spans="1:6" x14ac:dyDescent="0.3">
      <c r="A564" s="2" t="s">
        <v>410</v>
      </c>
      <c r="B564" s="19" t="str">
        <f>_xlfn.XLOOKUP(A564,CATÁLOGO!$A$2:$A$846,CATÁLOGO!$B$2:$B$846,"FORA DO CATÁLOGO")</f>
        <v>CAM020YG</v>
      </c>
      <c r="C564" s="13">
        <v>3</v>
      </c>
      <c r="D564" s="13" t="str">
        <f>_xlfn.XLOOKUP(A564,CATÁLOGO!$A$2:$A$846,CATÁLOGO!$E$2:$E$846,"FORA DO CATÁLOGO")</f>
        <v>Ativo</v>
      </c>
      <c r="E564" s="2"/>
      <c r="F564" s="62">
        <f>SUMIFS('AVARIA ESTIMADA'!$J$18:$J$40,'AVARIA ESTIMADA'!$A$18:$A$40,A564)</f>
        <v>3</v>
      </c>
    </row>
    <row r="565" spans="1:6" x14ac:dyDescent="0.3">
      <c r="A565" s="2" t="s">
        <v>411</v>
      </c>
      <c r="B565" s="19" t="str">
        <f>_xlfn.XLOOKUP(A565,CATÁLOGO!$A$2:$A$846,CATÁLOGO!$B$2:$B$846,"FORA DO CATÁLOGO")</f>
        <v>CAM020YGG</v>
      </c>
      <c r="C565" s="13">
        <v>2</v>
      </c>
      <c r="D565" s="13" t="str">
        <f>_xlfn.XLOOKUP(A565,CATÁLOGO!$A$2:$A$846,CATÁLOGO!$E$2:$E$846,"FORA DO CATÁLOGO")</f>
        <v>Ativo</v>
      </c>
      <c r="E565" s="2"/>
      <c r="F565" s="62">
        <f>SUMIFS('AVARIA ESTIMADA'!$J$18:$J$40,'AVARIA ESTIMADA'!$A$18:$A$40,A565)</f>
        <v>0</v>
      </c>
    </row>
    <row r="566" spans="1:6" x14ac:dyDescent="0.3">
      <c r="A566" s="2" t="s">
        <v>412</v>
      </c>
      <c r="B566" s="19" t="str">
        <f>_xlfn.XLOOKUP(A566,CATÁLOGO!$A$2:$A$846,CATÁLOGO!$B$2:$B$846,"FORA DO CATÁLOGO")</f>
        <v>CAM020LP</v>
      </c>
      <c r="C566" s="13">
        <v>2</v>
      </c>
      <c r="D566" s="13" t="str">
        <f>_xlfn.XLOOKUP(A566,CATÁLOGO!$A$2:$A$846,CATÁLOGO!$E$2:$E$846,"FORA DO CATÁLOGO")</f>
        <v>Ativo</v>
      </c>
      <c r="E566" s="2"/>
      <c r="F566" s="62">
        <f>SUMIFS('AVARIA ESTIMADA'!$J$18:$J$40,'AVARIA ESTIMADA'!$A$18:$A$40,A566)</f>
        <v>0</v>
      </c>
    </row>
    <row r="567" spans="1:6" x14ac:dyDescent="0.3">
      <c r="A567" s="2" t="s">
        <v>413</v>
      </c>
      <c r="B567" s="19" t="str">
        <f>_xlfn.XLOOKUP(A567,CATÁLOGO!$A$2:$A$846,CATÁLOGO!$B$2:$B$846,"FORA DO CATÁLOGO")</f>
        <v>CAM020LM</v>
      </c>
      <c r="C567" s="13">
        <v>3</v>
      </c>
      <c r="D567" s="13" t="str">
        <f>_xlfn.XLOOKUP(A567,CATÁLOGO!$A$2:$A$846,CATÁLOGO!$E$2:$E$846,"FORA DO CATÁLOGO")</f>
        <v>Ativo</v>
      </c>
      <c r="E567" s="2"/>
      <c r="F567" s="62">
        <f>SUMIFS('AVARIA ESTIMADA'!$J$18:$J$40,'AVARIA ESTIMADA'!$A$18:$A$40,A567)</f>
        <v>0</v>
      </c>
    </row>
    <row r="568" spans="1:6" x14ac:dyDescent="0.3">
      <c r="A568" s="2" t="s">
        <v>414</v>
      </c>
      <c r="B568" s="19" t="str">
        <f>_xlfn.XLOOKUP(A568,CATÁLOGO!$A$2:$A$846,CATÁLOGO!$B$2:$B$846,"FORA DO CATÁLOGO")</f>
        <v>CAM020LG</v>
      </c>
      <c r="C568" s="13">
        <v>2</v>
      </c>
      <c r="D568" s="13" t="str">
        <f>_xlfn.XLOOKUP(A568,CATÁLOGO!$A$2:$A$846,CATÁLOGO!$E$2:$E$846,"FORA DO CATÁLOGO")</f>
        <v>Ativo</v>
      </c>
      <c r="E568" s="2"/>
      <c r="F568" s="62">
        <f>SUMIFS('AVARIA ESTIMADA'!$J$18:$J$40,'AVARIA ESTIMADA'!$A$18:$A$40,A568)</f>
        <v>0</v>
      </c>
    </row>
    <row r="569" spans="1:6" x14ac:dyDescent="0.3">
      <c r="A569" s="2" t="s">
        <v>415</v>
      </c>
      <c r="B569" s="19" t="str">
        <f>_xlfn.XLOOKUP(A569,CATÁLOGO!$A$2:$A$846,CATÁLOGO!$B$2:$B$846,"FORA DO CATÁLOGO")</f>
        <v>CAM020LGG</v>
      </c>
      <c r="C569" s="13">
        <v>1</v>
      </c>
      <c r="D569" s="13" t="str">
        <f>_xlfn.XLOOKUP(A569,CATÁLOGO!$A$2:$A$846,CATÁLOGO!$E$2:$E$846,"FORA DO CATÁLOGO")</f>
        <v>Ativo</v>
      </c>
      <c r="E569" s="2"/>
      <c r="F569" s="62">
        <f>SUMIFS('AVARIA ESTIMADA'!$J$18:$J$40,'AVARIA ESTIMADA'!$A$18:$A$40,A569)</f>
        <v>0</v>
      </c>
    </row>
    <row r="570" spans="1:6" x14ac:dyDescent="0.3">
      <c r="A570" s="2" t="s">
        <v>1507</v>
      </c>
      <c r="B570" s="19" t="str">
        <f>_xlfn.XLOOKUP(A570,CATÁLOGO!$A$2:$A$846,CATÁLOGO!$B$2:$B$846,"FORA DO CATÁLOGO")</f>
        <v>BER010L38</v>
      </c>
      <c r="C570" s="13">
        <v>2</v>
      </c>
      <c r="D570" s="13" t="str">
        <f>_xlfn.XLOOKUP(A570,CATÁLOGO!$A$2:$A$846,CATÁLOGO!$E$2:$E$846,"FORA DO CATÁLOGO")</f>
        <v>Descontinuado</v>
      </c>
      <c r="E570" s="2"/>
      <c r="F570" s="62">
        <f>SUMIFS('AVARIA ESTIMADA'!$J$18:$J$40,'AVARIA ESTIMADA'!$A$18:$A$40,A570)</f>
        <v>0</v>
      </c>
    </row>
    <row r="571" spans="1:6" x14ac:dyDescent="0.3">
      <c r="A571" s="2" t="s">
        <v>1506</v>
      </c>
      <c r="B571" s="19" t="str">
        <f>_xlfn.XLOOKUP(A571,CATÁLOGO!$A$2:$A$846,CATÁLOGO!$B$2:$B$846,"FORA DO CATÁLOGO")</f>
        <v>BER010L40</v>
      </c>
      <c r="C571" s="13">
        <v>4</v>
      </c>
      <c r="D571" s="13" t="str">
        <f>_xlfn.XLOOKUP(A571,CATÁLOGO!$A$2:$A$846,CATÁLOGO!$E$2:$E$846,"FORA DO CATÁLOGO")</f>
        <v>Descontinuado</v>
      </c>
      <c r="E571" s="2"/>
      <c r="F571" s="62">
        <f>SUMIFS('AVARIA ESTIMADA'!$J$18:$J$40,'AVARIA ESTIMADA'!$A$18:$A$40,A571)</f>
        <v>0</v>
      </c>
    </row>
    <row r="572" spans="1:6" x14ac:dyDescent="0.3">
      <c r="A572" s="2" t="s">
        <v>1503</v>
      </c>
      <c r="B572" s="19" t="str">
        <f>_xlfn.XLOOKUP(A572,CATÁLOGO!$A$2:$A$846,CATÁLOGO!$B$2:$B$846,"FORA DO CATÁLOGO")</f>
        <v>BER010L42</v>
      </c>
      <c r="C572" s="13">
        <v>2</v>
      </c>
      <c r="D572" s="13" t="str">
        <f>_xlfn.XLOOKUP(A572,CATÁLOGO!$A$2:$A$846,CATÁLOGO!$E$2:$E$846,"FORA DO CATÁLOGO")</f>
        <v>Descontinuado</v>
      </c>
      <c r="E572" s="2"/>
      <c r="F572" s="62">
        <f>SUMIFS('AVARIA ESTIMADA'!$J$18:$J$40,'AVARIA ESTIMADA'!$A$18:$A$40,A572)</f>
        <v>0</v>
      </c>
    </row>
    <row r="573" spans="1:6" x14ac:dyDescent="0.3">
      <c r="A573" s="2" t="s">
        <v>1505</v>
      </c>
      <c r="B573" s="19" t="str">
        <f>_xlfn.XLOOKUP(A573,CATÁLOGO!$A$2:$A$846,CATÁLOGO!$B$2:$B$846,"FORA DO CATÁLOGO")</f>
        <v>BER010L44</v>
      </c>
      <c r="C573" s="13">
        <v>1</v>
      </c>
      <c r="D573" s="13" t="str">
        <f>_xlfn.XLOOKUP(A573,CATÁLOGO!$A$2:$A$846,CATÁLOGO!$E$2:$E$846,"FORA DO CATÁLOGO")</f>
        <v>Descontinuado</v>
      </c>
      <c r="E573" s="2"/>
      <c r="F573" s="62">
        <f>SUMIFS('AVARIA ESTIMADA'!$J$18:$J$40,'AVARIA ESTIMADA'!$A$18:$A$40,A573)</f>
        <v>0</v>
      </c>
    </row>
    <row r="574" spans="1:6" x14ac:dyDescent="0.3">
      <c r="A574" s="2" t="s">
        <v>1691</v>
      </c>
      <c r="B574" s="19" t="str">
        <f>_xlfn.XLOOKUP(A574,CATÁLOGO!$A$2:$A$846,CATÁLOGO!$B$2:$B$846,"FORA DO CATÁLOGO")</f>
        <v>CAL025E36</v>
      </c>
      <c r="C574" s="13">
        <v>1</v>
      </c>
      <c r="D574" s="13" t="str">
        <f>_xlfn.XLOOKUP(A574,CATÁLOGO!$A$2:$A$846,CATÁLOGO!$E$2:$E$846,"FORA DO CATÁLOGO")</f>
        <v>Descontinuado</v>
      </c>
      <c r="E574" s="2"/>
      <c r="F574" s="62">
        <f>SUMIFS('AVARIA ESTIMADA'!$J$18:$J$40,'AVARIA ESTIMADA'!$A$18:$A$40,A574)</f>
        <v>0</v>
      </c>
    </row>
    <row r="575" spans="1:6" x14ac:dyDescent="0.3">
      <c r="A575" s="2" t="s">
        <v>1690</v>
      </c>
      <c r="B575" s="19" t="str">
        <f>_xlfn.XLOOKUP(A575,CATÁLOGO!$A$2:$A$846,CATÁLOGO!$B$2:$B$846,"FORA DO CATÁLOGO")</f>
        <v>CAL025E38</v>
      </c>
      <c r="C575" s="13">
        <v>3</v>
      </c>
      <c r="D575" s="13" t="str">
        <f>_xlfn.XLOOKUP(A575,CATÁLOGO!$A$2:$A$846,CATÁLOGO!$E$2:$E$846,"FORA DO CATÁLOGO")</f>
        <v>Descontinuado</v>
      </c>
      <c r="E575" s="2" t="s">
        <v>1333</v>
      </c>
      <c r="F575" s="62">
        <f>SUMIFS('AVARIA ESTIMADA'!$J$18:$J$40,'AVARIA ESTIMADA'!$A$18:$A$40,A575)</f>
        <v>0</v>
      </c>
    </row>
    <row r="576" spans="1:6" x14ac:dyDescent="0.3">
      <c r="A576" s="2" t="s">
        <v>1689</v>
      </c>
      <c r="B576" s="19" t="str">
        <f>_xlfn.XLOOKUP(A576,CATÁLOGO!$A$2:$A$846,CATÁLOGO!$B$2:$B$846,"FORA DO CATÁLOGO")</f>
        <v>CAL025E40</v>
      </c>
      <c r="C576" s="13">
        <v>3</v>
      </c>
      <c r="D576" s="13" t="str">
        <f>_xlfn.XLOOKUP(A576,CATÁLOGO!$A$2:$A$846,CATÁLOGO!$E$2:$E$846,"FORA DO CATÁLOGO")</f>
        <v>Descontinuado</v>
      </c>
      <c r="E576" s="2"/>
      <c r="F576" s="62">
        <f>SUMIFS('AVARIA ESTIMADA'!$J$18:$J$40,'AVARIA ESTIMADA'!$A$18:$A$40,A576)</f>
        <v>0</v>
      </c>
    </row>
    <row r="577" spans="1:6" x14ac:dyDescent="0.3">
      <c r="A577" s="2" t="s">
        <v>1686</v>
      </c>
      <c r="B577" s="19" t="str">
        <f>_xlfn.XLOOKUP(A577,CATÁLOGO!$A$2:$A$846,CATÁLOGO!$B$2:$B$846,"FORA DO CATÁLOGO")</f>
        <v>CAL025E42</v>
      </c>
      <c r="C577" s="13">
        <v>3</v>
      </c>
      <c r="D577" s="13" t="str">
        <f>_xlfn.XLOOKUP(A577,CATÁLOGO!$A$2:$A$846,CATÁLOGO!$E$2:$E$846,"FORA DO CATÁLOGO")</f>
        <v>Descontinuado</v>
      </c>
      <c r="E577" s="2" t="s">
        <v>1337</v>
      </c>
      <c r="F577" s="62">
        <f>SUMIFS('AVARIA ESTIMADA'!$J$18:$J$40,'AVARIA ESTIMADA'!$A$18:$A$40,A577)</f>
        <v>0</v>
      </c>
    </row>
    <row r="578" spans="1:6" x14ac:dyDescent="0.3">
      <c r="A578" s="2" t="s">
        <v>1688</v>
      </c>
      <c r="B578" s="19" t="str">
        <f>_xlfn.XLOOKUP(A578,CATÁLOGO!$A$2:$A$846,CATÁLOGO!$B$2:$B$846,"FORA DO CATÁLOGO")</f>
        <v>CAL025E44</v>
      </c>
      <c r="C578" s="13">
        <v>1</v>
      </c>
      <c r="D578" s="13" t="str">
        <f>_xlfn.XLOOKUP(A578,CATÁLOGO!$A$2:$A$846,CATÁLOGO!$E$2:$E$846,"FORA DO CATÁLOGO")</f>
        <v>Descontinuado</v>
      </c>
      <c r="E578" s="2"/>
      <c r="F578" s="62">
        <f>SUMIFS('AVARIA ESTIMADA'!$J$18:$J$40,'AVARIA ESTIMADA'!$A$18:$A$40,A578)</f>
        <v>0</v>
      </c>
    </row>
    <row r="579" spans="1:6" x14ac:dyDescent="0.3">
      <c r="A579" s="2" t="s">
        <v>417</v>
      </c>
      <c r="B579" s="19" t="str">
        <f>_xlfn.XLOOKUP(A579,CATÁLOGO!$A$2:$A$846,CATÁLOGO!$B$2:$B$846,"FORA DO CATÁLOGO")</f>
        <v>SAI011CP</v>
      </c>
      <c r="C579" s="13">
        <v>2</v>
      </c>
      <c r="D579" s="13" t="str">
        <f>_xlfn.XLOOKUP(A579,CATÁLOGO!$A$2:$A$846,CATÁLOGO!$E$2:$E$846,"FORA DO CATÁLOGO")</f>
        <v>Ativo</v>
      </c>
      <c r="E579" s="2"/>
      <c r="F579" s="62">
        <f>SUMIFS('AVARIA ESTIMADA'!$J$18:$J$40,'AVARIA ESTIMADA'!$A$18:$A$40,A579)</f>
        <v>0</v>
      </c>
    </row>
    <row r="580" spans="1:6" x14ac:dyDescent="0.3">
      <c r="A580" s="2" t="s">
        <v>418</v>
      </c>
      <c r="B580" s="19" t="str">
        <f>_xlfn.XLOOKUP(A580,CATÁLOGO!$A$2:$A$846,CATÁLOGO!$B$2:$B$846,"FORA DO CATÁLOGO")</f>
        <v>SAI011CM</v>
      </c>
      <c r="C580" s="13">
        <v>3</v>
      </c>
      <c r="D580" s="13" t="str">
        <f>_xlfn.XLOOKUP(A580,CATÁLOGO!$A$2:$A$846,CATÁLOGO!$E$2:$E$846,"FORA DO CATÁLOGO")</f>
        <v>Ativo</v>
      </c>
      <c r="E580" s="2"/>
      <c r="F580" s="62">
        <f>SUMIFS('AVARIA ESTIMADA'!$J$18:$J$40,'AVARIA ESTIMADA'!$A$18:$A$40,A580)</f>
        <v>0</v>
      </c>
    </row>
    <row r="581" spans="1:6" x14ac:dyDescent="0.3">
      <c r="A581" s="2" t="s">
        <v>419</v>
      </c>
      <c r="B581" s="19" t="str">
        <f>_xlfn.XLOOKUP(A581,CATÁLOGO!$A$2:$A$846,CATÁLOGO!$B$2:$B$846,"FORA DO CATÁLOGO")</f>
        <v>SAI011CG</v>
      </c>
      <c r="C581" s="13">
        <v>2</v>
      </c>
      <c r="D581" s="13" t="str">
        <f>_xlfn.XLOOKUP(A581,CATÁLOGO!$A$2:$A$846,CATÁLOGO!$E$2:$E$846,"FORA DO CATÁLOGO")</f>
        <v>Ativo</v>
      </c>
      <c r="E581" s="2"/>
      <c r="F581" s="62">
        <f>SUMIFS('AVARIA ESTIMADA'!$J$18:$J$40,'AVARIA ESTIMADA'!$A$18:$A$40,A581)</f>
        <v>0</v>
      </c>
    </row>
    <row r="582" spans="1:6" x14ac:dyDescent="0.3">
      <c r="A582" s="2" t="s">
        <v>420</v>
      </c>
      <c r="B582" s="19" t="str">
        <f>_xlfn.XLOOKUP(A582,CATÁLOGO!$A$2:$A$846,CATÁLOGO!$B$2:$B$846,"FORA DO CATÁLOGO")</f>
        <v>SAI011CGG</v>
      </c>
      <c r="C582" s="13">
        <v>1</v>
      </c>
      <c r="D582" s="13" t="str">
        <f>_xlfn.XLOOKUP(A582,CATÁLOGO!$A$2:$A$846,CATÁLOGO!$E$2:$E$846,"FORA DO CATÁLOGO")</f>
        <v>Ativo</v>
      </c>
      <c r="E582" s="2"/>
      <c r="F582" s="62">
        <f>SUMIFS('AVARIA ESTIMADA'!$J$18:$J$40,'AVARIA ESTIMADA'!$A$18:$A$40,A582)</f>
        <v>0</v>
      </c>
    </row>
    <row r="583" spans="1:6" x14ac:dyDescent="0.3">
      <c r="A583" s="2" t="s">
        <v>421</v>
      </c>
      <c r="B583" s="19" t="str">
        <f>_xlfn.XLOOKUP(A583,CATÁLOGO!$A$2:$A$846,CATÁLOGO!$B$2:$B$846,"FORA DO CATÁLOGO")</f>
        <v>MOL014VP</v>
      </c>
      <c r="C583" s="13">
        <v>2</v>
      </c>
      <c r="D583" s="13" t="str">
        <f>_xlfn.XLOOKUP(A583,CATÁLOGO!$A$2:$A$846,CATÁLOGO!$E$2:$E$846,"FORA DO CATÁLOGO")</f>
        <v>Ativo</v>
      </c>
      <c r="E583" s="2"/>
      <c r="F583" s="62">
        <f>SUMIFS('AVARIA ESTIMADA'!$J$18:$J$40,'AVARIA ESTIMADA'!$A$18:$A$40,A583)</f>
        <v>0</v>
      </c>
    </row>
    <row r="584" spans="1:6" x14ac:dyDescent="0.3">
      <c r="A584" s="2" t="s">
        <v>422</v>
      </c>
      <c r="B584" s="19" t="str">
        <f>_xlfn.XLOOKUP(A584,CATÁLOGO!$A$2:$A$846,CATÁLOGO!$B$2:$B$846,"FORA DO CATÁLOGO")</f>
        <v>MOL014VM</v>
      </c>
      <c r="C584" s="13">
        <v>2</v>
      </c>
      <c r="D584" s="13" t="str">
        <f>_xlfn.XLOOKUP(A584,CATÁLOGO!$A$2:$A$846,CATÁLOGO!$E$2:$E$846,"FORA DO CATÁLOGO")</f>
        <v>Ativo</v>
      </c>
      <c r="E584" s="2"/>
      <c r="F584" s="62">
        <f>SUMIFS('AVARIA ESTIMADA'!$J$18:$J$40,'AVARIA ESTIMADA'!$A$18:$A$40,A584)</f>
        <v>0</v>
      </c>
    </row>
    <row r="585" spans="1:6" x14ac:dyDescent="0.3">
      <c r="A585" s="2" t="s">
        <v>423</v>
      </c>
      <c r="B585" s="19" t="str">
        <f>_xlfn.XLOOKUP(A585,CATÁLOGO!$A$2:$A$846,CATÁLOGO!$B$2:$B$846,"FORA DO CATÁLOGO")</f>
        <v>MOL014VG</v>
      </c>
      <c r="C585" s="13">
        <v>2</v>
      </c>
      <c r="D585" s="13" t="str">
        <f>_xlfn.XLOOKUP(A585,CATÁLOGO!$A$2:$A$846,CATÁLOGO!$E$2:$E$846,"FORA DO CATÁLOGO")</f>
        <v>Ativo</v>
      </c>
      <c r="E585" s="2"/>
      <c r="F585" s="62">
        <f>SUMIFS('AVARIA ESTIMADA'!$J$18:$J$40,'AVARIA ESTIMADA'!$A$18:$A$40,A585)</f>
        <v>0</v>
      </c>
    </row>
    <row r="586" spans="1:6" x14ac:dyDescent="0.3">
      <c r="A586" s="2" t="s">
        <v>424</v>
      </c>
      <c r="B586" s="19" t="str">
        <f>_xlfn.XLOOKUP(A586,CATÁLOGO!$A$2:$A$846,CATÁLOGO!$B$2:$B$846,"FORA DO CATÁLOGO")</f>
        <v>MOL014VGG</v>
      </c>
      <c r="C586" s="13">
        <v>1</v>
      </c>
      <c r="D586" s="13" t="str">
        <f>_xlfn.XLOOKUP(A586,CATÁLOGO!$A$2:$A$846,CATÁLOGO!$E$2:$E$846,"FORA DO CATÁLOGO")</f>
        <v>Ativo</v>
      </c>
      <c r="E586" s="2"/>
      <c r="F586" s="62">
        <f>SUMIFS('AVARIA ESTIMADA'!$J$18:$J$40,'AVARIA ESTIMADA'!$A$18:$A$40,A586)</f>
        <v>0</v>
      </c>
    </row>
    <row r="587" spans="1:6" x14ac:dyDescent="0.3">
      <c r="A587" s="2" t="s">
        <v>1267</v>
      </c>
      <c r="B587" s="19" t="str">
        <f>_xlfn.XLOOKUP(A587,CATÁLOGO!$A$2:$A$846,CATÁLOGO!$B$2:$B$846,"FORA DO CATÁLOGO")</f>
        <v>MOL014YP</v>
      </c>
      <c r="C587" s="13">
        <v>1</v>
      </c>
      <c r="D587" s="13" t="str">
        <f>_xlfn.XLOOKUP(A587,CATÁLOGO!$A$2:$A$846,CATÁLOGO!$E$2:$E$846,"FORA DO CATÁLOGO")</f>
        <v>Ativo</v>
      </c>
      <c r="E587" s="2"/>
      <c r="F587" s="62">
        <f>SUMIFS('AVARIA ESTIMADA'!$J$18:$J$40,'AVARIA ESTIMADA'!$A$18:$A$40,A587)</f>
        <v>0</v>
      </c>
    </row>
    <row r="588" spans="1:6" x14ac:dyDescent="0.3">
      <c r="A588" s="2" t="s">
        <v>425</v>
      </c>
      <c r="B588" s="19" t="str">
        <f>_xlfn.XLOOKUP(A588,CATÁLOGO!$A$2:$A$846,CATÁLOGO!$B$2:$B$846,"FORA DO CATÁLOGO")</f>
        <v>MOL014YM</v>
      </c>
      <c r="C588" s="13">
        <v>1</v>
      </c>
      <c r="D588" s="13" t="str">
        <f>_xlfn.XLOOKUP(A588,CATÁLOGO!$A$2:$A$846,CATÁLOGO!$E$2:$E$846,"FORA DO CATÁLOGO")</f>
        <v>Ativo</v>
      </c>
      <c r="E588" s="2"/>
      <c r="F588" s="62">
        <f>SUMIFS('AVARIA ESTIMADA'!$J$18:$J$40,'AVARIA ESTIMADA'!$A$18:$A$40,A588)</f>
        <v>0</v>
      </c>
    </row>
    <row r="589" spans="1:6" x14ac:dyDescent="0.3">
      <c r="A589" s="2" t="s">
        <v>426</v>
      </c>
      <c r="B589" s="19" t="str">
        <f>_xlfn.XLOOKUP(A589,CATÁLOGO!$A$2:$A$846,CATÁLOGO!$B$2:$B$846,"FORA DO CATÁLOGO")</f>
        <v>MOL014YG</v>
      </c>
      <c r="C589" s="13">
        <v>2</v>
      </c>
      <c r="D589" s="13" t="str">
        <f>_xlfn.XLOOKUP(A589,CATÁLOGO!$A$2:$A$846,CATÁLOGO!$E$2:$E$846,"FORA DO CATÁLOGO")</f>
        <v>Ativo</v>
      </c>
      <c r="E589" s="2" t="s">
        <v>1336</v>
      </c>
      <c r="F589" s="62">
        <f>SUMIFS('AVARIA ESTIMADA'!$J$18:$J$40,'AVARIA ESTIMADA'!$A$18:$A$40,A589)</f>
        <v>0</v>
      </c>
    </row>
    <row r="590" spans="1:6" x14ac:dyDescent="0.3">
      <c r="A590" s="2" t="s">
        <v>427</v>
      </c>
      <c r="B590" s="19" t="str">
        <f>_xlfn.XLOOKUP(A590,CATÁLOGO!$A$2:$A$846,CATÁLOGO!$B$2:$B$846,"FORA DO CATÁLOGO")</f>
        <v>MOL014YGG</v>
      </c>
      <c r="C590" s="13">
        <v>1</v>
      </c>
      <c r="D590" s="13" t="str">
        <f>_xlfn.XLOOKUP(A590,CATÁLOGO!$A$2:$A$846,CATÁLOGO!$E$2:$E$846,"FORA DO CATÁLOGO")</f>
        <v>Ativo</v>
      </c>
      <c r="E590" s="2"/>
      <c r="F590" s="62">
        <f>SUMIFS('AVARIA ESTIMADA'!$J$18:$J$40,'AVARIA ESTIMADA'!$A$18:$A$40,A590)</f>
        <v>0</v>
      </c>
    </row>
    <row r="591" spans="1:6" x14ac:dyDescent="0.3">
      <c r="A591" s="2" t="s">
        <v>428</v>
      </c>
      <c r="B591" s="19" t="str">
        <f>_xlfn.XLOOKUP(A591,CATÁLOGO!$A$2:$A$846,CATÁLOGO!$B$2:$B$846,"FORA DO CATÁLOGO")</f>
        <v>MOL015AP</v>
      </c>
      <c r="C591" s="13">
        <v>5</v>
      </c>
      <c r="D591" s="13" t="str">
        <f>_xlfn.XLOOKUP(A591,CATÁLOGO!$A$2:$A$846,CATÁLOGO!$E$2:$E$846,"FORA DO CATÁLOGO")</f>
        <v>Ativo</v>
      </c>
      <c r="E591" s="2"/>
      <c r="F591" s="62">
        <f>SUMIFS('AVARIA ESTIMADA'!$J$18:$J$40,'AVARIA ESTIMADA'!$A$18:$A$40,A591)</f>
        <v>0</v>
      </c>
    </row>
    <row r="592" spans="1:6" x14ac:dyDescent="0.3">
      <c r="A592" s="2" t="s">
        <v>429</v>
      </c>
      <c r="B592" s="19" t="str">
        <f>_xlfn.XLOOKUP(A592,CATÁLOGO!$A$2:$A$846,CATÁLOGO!$B$2:$B$846,"FORA DO CATÁLOGO")</f>
        <v>MOL015AM</v>
      </c>
      <c r="C592" s="13">
        <v>6</v>
      </c>
      <c r="D592" s="13" t="str">
        <f>_xlfn.XLOOKUP(A592,CATÁLOGO!$A$2:$A$846,CATÁLOGO!$E$2:$E$846,"FORA DO CATÁLOGO")</f>
        <v>Ativo</v>
      </c>
      <c r="E592" s="2"/>
      <c r="F592" s="62">
        <f>SUMIFS('AVARIA ESTIMADA'!$J$18:$J$40,'AVARIA ESTIMADA'!$A$18:$A$40,A592)</f>
        <v>0</v>
      </c>
    </row>
    <row r="593" spans="1:6" x14ac:dyDescent="0.3">
      <c r="A593" s="2" t="s">
        <v>430</v>
      </c>
      <c r="B593" s="19" t="str">
        <f>_xlfn.XLOOKUP(A593,CATÁLOGO!$A$2:$A$846,CATÁLOGO!$B$2:$B$846,"FORA DO CATÁLOGO")</f>
        <v>MOL015AG</v>
      </c>
      <c r="C593" s="13">
        <v>5</v>
      </c>
      <c r="D593" s="13" t="str">
        <f>_xlfn.XLOOKUP(A593,CATÁLOGO!$A$2:$A$846,CATÁLOGO!$E$2:$E$846,"FORA DO CATÁLOGO")</f>
        <v>Ativo</v>
      </c>
      <c r="E593" s="2"/>
      <c r="F593" s="62">
        <f>SUMIFS('AVARIA ESTIMADA'!$J$18:$J$40,'AVARIA ESTIMADA'!$A$18:$A$40,A593)</f>
        <v>0</v>
      </c>
    </row>
    <row r="594" spans="1:6" x14ac:dyDescent="0.3">
      <c r="A594" s="2" t="s">
        <v>431</v>
      </c>
      <c r="B594" s="19" t="str">
        <f>_xlfn.XLOOKUP(A594,CATÁLOGO!$A$2:$A$846,CATÁLOGO!$B$2:$B$846,"FORA DO CATÁLOGO")</f>
        <v>MOL015AGG</v>
      </c>
      <c r="C594" s="13">
        <v>3</v>
      </c>
      <c r="D594" s="13" t="str">
        <f>_xlfn.XLOOKUP(A594,CATÁLOGO!$A$2:$A$846,CATÁLOGO!$E$2:$E$846,"FORA DO CATÁLOGO")</f>
        <v>Ativo</v>
      </c>
      <c r="E594" s="2"/>
      <c r="F594" s="62">
        <f>SUMIFS('AVARIA ESTIMADA'!$J$18:$J$40,'AVARIA ESTIMADA'!$A$18:$A$40,A594)</f>
        <v>0</v>
      </c>
    </row>
    <row r="595" spans="1:6" x14ac:dyDescent="0.3">
      <c r="A595" s="2" t="s">
        <v>3</v>
      </c>
      <c r="B595" s="19" t="str">
        <f>_xlfn.XLOOKUP(A595,CATÁLOGO!$A$2:$A$846,CATÁLOGO!$B$2:$B$846,"FORA DO CATÁLOGO")</f>
        <v>JAQ001VP</v>
      </c>
      <c r="C595" s="13">
        <v>0</v>
      </c>
      <c r="D595" s="13" t="str">
        <f>_xlfn.XLOOKUP(A595,CATÁLOGO!$A$2:$A$846,CATÁLOGO!$E$2:$E$846,"FORA DO CATÁLOGO")</f>
        <v>Ativo</v>
      </c>
      <c r="E595" s="2"/>
      <c r="F595" s="62">
        <f>SUMIFS('AVARIA ESTIMADA'!$J$18:$J$40,'AVARIA ESTIMADA'!$A$18:$A$40,A595)</f>
        <v>0</v>
      </c>
    </row>
    <row r="596" spans="1:6" x14ac:dyDescent="0.3">
      <c r="A596" s="2" t="s">
        <v>5</v>
      </c>
      <c r="B596" s="19" t="str">
        <f>_xlfn.XLOOKUP(A596,CATÁLOGO!$A$2:$A$846,CATÁLOGO!$B$2:$B$846,"FORA DO CATÁLOGO")</f>
        <v>JAQ001VM</v>
      </c>
      <c r="C596" s="13">
        <v>3</v>
      </c>
      <c r="D596" s="13" t="str">
        <f>_xlfn.XLOOKUP(A596,CATÁLOGO!$A$2:$A$846,CATÁLOGO!$E$2:$E$846,"FORA DO CATÁLOGO")</f>
        <v>Ativo</v>
      </c>
      <c r="E596" s="2"/>
      <c r="F596" s="62">
        <f>SUMIFS('AVARIA ESTIMADA'!$J$18:$J$40,'AVARIA ESTIMADA'!$A$18:$A$40,A596)</f>
        <v>0</v>
      </c>
    </row>
    <row r="597" spans="1:6" x14ac:dyDescent="0.3">
      <c r="A597" s="2" t="s">
        <v>432</v>
      </c>
      <c r="B597" s="19" t="str">
        <f>_xlfn.XLOOKUP(A597,CATÁLOGO!$A$2:$A$846,CATÁLOGO!$B$2:$B$846,"FORA DO CATÁLOGO")</f>
        <v>JAQ001VG</v>
      </c>
      <c r="C597" s="13">
        <v>1</v>
      </c>
      <c r="D597" s="13" t="str">
        <f>_xlfn.XLOOKUP(A597,CATÁLOGO!$A$2:$A$846,CATÁLOGO!$E$2:$E$846,"FORA DO CATÁLOGO")</f>
        <v>Ativo</v>
      </c>
      <c r="E597" s="2"/>
      <c r="F597" s="62">
        <f>SUMIFS('AVARIA ESTIMADA'!$J$18:$J$40,'AVARIA ESTIMADA'!$A$18:$A$40,A597)</f>
        <v>0</v>
      </c>
    </row>
    <row r="598" spans="1:6" x14ac:dyDescent="0.3">
      <c r="A598" s="2" t="s">
        <v>433</v>
      </c>
      <c r="B598" s="19" t="str">
        <f>_xlfn.XLOOKUP(A598,CATÁLOGO!$A$2:$A$846,CATÁLOGO!$B$2:$B$846,"FORA DO CATÁLOGO")</f>
        <v>JAQ001VGG</v>
      </c>
      <c r="C598" s="13">
        <v>1</v>
      </c>
      <c r="D598" s="13" t="str">
        <f>_xlfn.XLOOKUP(A598,CATÁLOGO!$A$2:$A$846,CATÁLOGO!$E$2:$E$846,"FORA DO CATÁLOGO")</f>
        <v>Ativo</v>
      </c>
      <c r="E598" s="2"/>
      <c r="F598" s="62">
        <f>SUMIFS('AVARIA ESTIMADA'!$J$18:$J$40,'AVARIA ESTIMADA'!$A$18:$A$40,A598)</f>
        <v>0</v>
      </c>
    </row>
    <row r="599" spans="1:6" x14ac:dyDescent="0.3">
      <c r="A599" s="2" t="s">
        <v>434</v>
      </c>
      <c r="B599" s="19" t="str">
        <f>_xlfn.XLOOKUP(A599,CATÁLOGO!$A$2:$A$846,CATÁLOGO!$B$2:$B$846,"FORA DO CATÁLOGO")</f>
        <v>JAQ001BP</v>
      </c>
      <c r="C599" s="13">
        <v>1</v>
      </c>
      <c r="D599" s="13" t="str">
        <f>_xlfn.XLOOKUP(A599,CATÁLOGO!$A$2:$A$846,CATÁLOGO!$E$2:$E$846,"FORA DO CATÁLOGO")</f>
        <v>Ativo</v>
      </c>
      <c r="E599" s="2"/>
      <c r="F599" s="62">
        <f>SUMIFS('AVARIA ESTIMADA'!$J$18:$J$40,'AVARIA ESTIMADA'!$A$18:$A$40,A599)</f>
        <v>0</v>
      </c>
    </row>
    <row r="600" spans="1:6" x14ac:dyDescent="0.3">
      <c r="A600" s="2" t="s">
        <v>435</v>
      </c>
      <c r="B600" s="19" t="str">
        <f>_xlfn.XLOOKUP(A600,CATÁLOGO!$A$2:$A$846,CATÁLOGO!$B$2:$B$846,"FORA DO CATÁLOGO")</f>
        <v>JAQ001BM</v>
      </c>
      <c r="C600" s="13">
        <v>1</v>
      </c>
      <c r="D600" s="13" t="str">
        <f>_xlfn.XLOOKUP(A600,CATÁLOGO!$A$2:$A$846,CATÁLOGO!$E$2:$E$846,"FORA DO CATÁLOGO")</f>
        <v>Ativo</v>
      </c>
      <c r="E600" s="2"/>
      <c r="F600" s="62">
        <f>SUMIFS('AVARIA ESTIMADA'!$J$18:$J$40,'AVARIA ESTIMADA'!$A$18:$A$40,A600)</f>
        <v>0</v>
      </c>
    </row>
    <row r="601" spans="1:6" x14ac:dyDescent="0.3">
      <c r="A601" s="2" t="s">
        <v>436</v>
      </c>
      <c r="B601" s="19" t="str">
        <f>_xlfn.XLOOKUP(A601,CATÁLOGO!$A$2:$A$846,CATÁLOGO!$B$2:$B$846,"FORA DO CATÁLOGO")</f>
        <v>JAQ001BG</v>
      </c>
      <c r="C601" s="13">
        <v>1</v>
      </c>
      <c r="D601" s="13" t="str">
        <f>_xlfn.XLOOKUP(A601,CATÁLOGO!$A$2:$A$846,CATÁLOGO!$E$2:$E$846,"FORA DO CATÁLOGO")</f>
        <v>Ativo</v>
      </c>
      <c r="E601" s="2"/>
      <c r="F601" s="62">
        <f>SUMIFS('AVARIA ESTIMADA'!$J$18:$J$40,'AVARIA ESTIMADA'!$A$18:$A$40,A601)</f>
        <v>0</v>
      </c>
    </row>
    <row r="602" spans="1:6" x14ac:dyDescent="0.3">
      <c r="A602" s="2" t="s">
        <v>437</v>
      </c>
      <c r="B602" s="19" t="str">
        <f>_xlfn.XLOOKUP(A602,CATÁLOGO!$A$2:$A$846,CATÁLOGO!$B$2:$B$846,"FORA DO CATÁLOGO")</f>
        <v>JAQ001BGG</v>
      </c>
      <c r="C602" s="13">
        <v>1</v>
      </c>
      <c r="D602" s="13" t="str">
        <f>_xlfn.XLOOKUP(A602,CATÁLOGO!$A$2:$A$846,CATÁLOGO!$E$2:$E$846,"FORA DO CATÁLOGO")</f>
        <v>Ativo</v>
      </c>
      <c r="E602" s="2"/>
      <c r="F602" s="62">
        <f>SUMIFS('AVARIA ESTIMADA'!$J$18:$J$40,'AVARIA ESTIMADA'!$A$18:$A$40,A602)</f>
        <v>0</v>
      </c>
    </row>
    <row r="603" spans="1:6" x14ac:dyDescent="0.3">
      <c r="A603" s="2" t="s">
        <v>438</v>
      </c>
      <c r="B603" s="19" t="str">
        <f>_xlfn.XLOOKUP(A603,CATÁLOGO!$A$2:$A$846,CATÁLOGO!$B$2:$B$846,"FORA DO CATÁLOGO")</f>
        <v>MOL002BP</v>
      </c>
      <c r="C603" s="13">
        <v>4</v>
      </c>
      <c r="D603" s="13" t="str">
        <f>_xlfn.XLOOKUP(A603,CATÁLOGO!$A$2:$A$846,CATÁLOGO!$E$2:$E$846,"FORA DO CATÁLOGO")</f>
        <v>Ativo</v>
      </c>
      <c r="E603" s="2"/>
      <c r="F603" s="62">
        <f>SUMIFS('AVARIA ESTIMADA'!$J$18:$J$40,'AVARIA ESTIMADA'!$A$18:$A$40,A603)</f>
        <v>0</v>
      </c>
    </row>
    <row r="604" spans="1:6" x14ac:dyDescent="0.3">
      <c r="A604" s="2" t="s">
        <v>439</v>
      </c>
      <c r="B604" s="19" t="str">
        <f>_xlfn.XLOOKUP(A604,CATÁLOGO!$A$2:$A$846,CATÁLOGO!$B$2:$B$846,"FORA DO CATÁLOGO")</f>
        <v>MOL002BM</v>
      </c>
      <c r="C604" s="13">
        <v>6</v>
      </c>
      <c r="D604" s="13" t="str">
        <f>_xlfn.XLOOKUP(A604,CATÁLOGO!$A$2:$A$846,CATÁLOGO!$E$2:$E$846,"FORA DO CATÁLOGO")</f>
        <v>Ativo</v>
      </c>
      <c r="E604" s="2"/>
      <c r="F604" s="62">
        <f>SUMIFS('AVARIA ESTIMADA'!$J$18:$J$40,'AVARIA ESTIMADA'!$A$18:$A$40,A604)</f>
        <v>0</v>
      </c>
    </row>
    <row r="605" spans="1:6" x14ac:dyDescent="0.3">
      <c r="A605" s="2" t="s">
        <v>6</v>
      </c>
      <c r="B605" s="19" t="str">
        <f>_xlfn.XLOOKUP(A605,CATÁLOGO!$A$2:$A$846,CATÁLOGO!$B$2:$B$846,"FORA DO CATÁLOGO")</f>
        <v>MOL002BG</v>
      </c>
      <c r="C605" s="13">
        <v>7</v>
      </c>
      <c r="D605" s="13" t="str">
        <f>_xlfn.XLOOKUP(A605,CATÁLOGO!$A$2:$A$846,CATÁLOGO!$E$2:$E$846,"FORA DO CATÁLOGO")</f>
        <v>Ativo</v>
      </c>
      <c r="E605" s="2" t="s">
        <v>1335</v>
      </c>
      <c r="F605" s="62">
        <f>SUMIFS('AVARIA ESTIMADA'!$J$18:$J$40,'AVARIA ESTIMADA'!$A$18:$A$40,A605)</f>
        <v>0</v>
      </c>
    </row>
    <row r="606" spans="1:6" x14ac:dyDescent="0.3">
      <c r="A606" s="2" t="s">
        <v>1918</v>
      </c>
      <c r="B606" s="19" t="str">
        <f>_xlfn.XLOOKUP(A606,CATÁLOGO!$A$2:$A$846,CATÁLOGO!$B$2:$B$846,"FORA DO CATÁLOGO")</f>
        <v>TRI013MPP</v>
      </c>
      <c r="C606" s="13">
        <v>1</v>
      </c>
      <c r="D606" s="13" t="str">
        <f>_xlfn.XLOOKUP(A606,CATÁLOGO!$A$2:$A$846,CATÁLOGO!$E$2:$E$846,"FORA DO CATÁLOGO")</f>
        <v>Ativo</v>
      </c>
      <c r="E606" s="2"/>
      <c r="F606" s="62">
        <f>SUMIFS('AVARIA ESTIMADA'!$J$18:$J$40,'AVARIA ESTIMADA'!$A$18:$A$40,A606)</f>
        <v>0</v>
      </c>
    </row>
    <row r="607" spans="1:6" x14ac:dyDescent="0.3">
      <c r="A607" s="2" t="s">
        <v>441</v>
      </c>
      <c r="B607" s="19" t="str">
        <f>_xlfn.XLOOKUP(A607,CATÁLOGO!$A$2:$A$846,CATÁLOGO!$B$2:$B$846,"FORA DO CATÁLOGO")</f>
        <v>TRI013MP</v>
      </c>
      <c r="C607" s="13">
        <v>1</v>
      </c>
      <c r="D607" s="13" t="str">
        <f>_xlfn.XLOOKUP(A607,CATÁLOGO!$A$2:$A$846,CATÁLOGO!$E$2:$E$846,"FORA DO CATÁLOGO")</f>
        <v>Ativo</v>
      </c>
      <c r="E607" s="2"/>
      <c r="F607" s="62">
        <f>SUMIFS('AVARIA ESTIMADA'!$J$18:$J$40,'AVARIA ESTIMADA'!$A$18:$A$40,A607)</f>
        <v>0</v>
      </c>
    </row>
    <row r="608" spans="1:6" x14ac:dyDescent="0.3">
      <c r="A608" s="2" t="s">
        <v>442</v>
      </c>
      <c r="B608" s="19" t="str">
        <f>_xlfn.XLOOKUP(A608,CATÁLOGO!$A$2:$A$846,CATÁLOGO!$B$2:$B$846,"FORA DO CATÁLOGO")</f>
        <v>TRI013MM</v>
      </c>
      <c r="C608" s="13">
        <v>2</v>
      </c>
      <c r="D608" s="13" t="str">
        <f>_xlfn.XLOOKUP(A608,CATÁLOGO!$A$2:$A$846,CATÁLOGO!$E$2:$E$846,"FORA DO CATÁLOGO")</f>
        <v>Ativo</v>
      </c>
      <c r="E608" s="2"/>
      <c r="F608" s="62">
        <f>SUMIFS('AVARIA ESTIMADA'!$J$18:$J$40,'AVARIA ESTIMADA'!$A$18:$A$40,A608)</f>
        <v>0</v>
      </c>
    </row>
    <row r="609" spans="1:6" x14ac:dyDescent="0.3">
      <c r="A609" s="2" t="s">
        <v>443</v>
      </c>
      <c r="B609" s="19" t="str">
        <f>_xlfn.XLOOKUP(A609,CATÁLOGO!$A$2:$A$846,CATÁLOGO!$B$2:$B$846,"FORA DO CATÁLOGO")</f>
        <v>TRI013MG</v>
      </c>
      <c r="C609" s="13">
        <v>2</v>
      </c>
      <c r="D609" s="13" t="str">
        <f>_xlfn.XLOOKUP(A609,CATÁLOGO!$A$2:$A$846,CATÁLOGO!$E$2:$E$846,"FORA DO CATÁLOGO")</f>
        <v>Ativo</v>
      </c>
      <c r="E609" s="2"/>
      <c r="F609" s="62">
        <f>SUMIFS('AVARIA ESTIMADA'!$J$18:$J$40,'AVARIA ESTIMADA'!$A$18:$A$40,A609)</f>
        <v>0</v>
      </c>
    </row>
    <row r="610" spans="1:6" x14ac:dyDescent="0.3">
      <c r="A610" s="2" t="s">
        <v>444</v>
      </c>
      <c r="B610" s="19" t="str">
        <f>_xlfn.XLOOKUP(A610,CATÁLOGO!$A$2:$A$846,CATÁLOGO!$B$2:$B$846,"FORA DO CATÁLOGO")</f>
        <v>TRI013MGG</v>
      </c>
      <c r="C610" s="13">
        <v>1</v>
      </c>
      <c r="D610" s="13" t="str">
        <f>_xlfn.XLOOKUP(A610,CATÁLOGO!$A$2:$A$846,CATÁLOGO!$E$2:$E$846,"FORA DO CATÁLOGO")</f>
        <v>Ativo</v>
      </c>
      <c r="E610" s="2"/>
      <c r="F610" s="62">
        <f>SUMIFS('AVARIA ESTIMADA'!$J$18:$J$40,'AVARIA ESTIMADA'!$A$18:$A$40,A610)</f>
        <v>0</v>
      </c>
    </row>
    <row r="611" spans="1:6" x14ac:dyDescent="0.3">
      <c r="A611" s="2" t="s">
        <v>1512</v>
      </c>
      <c r="B611" s="19" t="str">
        <f>_xlfn.XLOOKUP(A611,CATÁLOGO!$A$2:$A$846,CATÁLOGO!$B$2:$B$846,"FORA DO CATÁLOGO")</f>
        <v>BER011G38</v>
      </c>
      <c r="C611" s="13">
        <v>6</v>
      </c>
      <c r="D611" s="13" t="str">
        <f>_xlfn.XLOOKUP(A611,CATÁLOGO!$A$2:$A$846,CATÁLOGO!$E$2:$E$846,"FORA DO CATÁLOGO")</f>
        <v>Ativo</v>
      </c>
      <c r="E611" s="2" t="s">
        <v>1333</v>
      </c>
      <c r="F611" s="62">
        <f>SUMIFS('AVARIA ESTIMADA'!$J$18:$J$40,'AVARIA ESTIMADA'!$A$18:$A$40,A611)</f>
        <v>0</v>
      </c>
    </row>
    <row r="612" spans="1:6" x14ac:dyDescent="0.3">
      <c r="A612" s="2" t="s">
        <v>1511</v>
      </c>
      <c r="B612" s="19" t="str">
        <f>_xlfn.XLOOKUP(A612,CATÁLOGO!$A$2:$A$846,CATÁLOGO!$B$2:$B$846,"FORA DO CATÁLOGO")</f>
        <v>BER011G40</v>
      </c>
      <c r="C612" s="13">
        <v>6</v>
      </c>
      <c r="D612" s="13" t="str">
        <f>_xlfn.XLOOKUP(A612,CATÁLOGO!$A$2:$A$846,CATÁLOGO!$E$2:$E$846,"FORA DO CATÁLOGO")</f>
        <v>Ativo</v>
      </c>
      <c r="E612" s="2"/>
      <c r="F612" s="62">
        <f>SUMIFS('AVARIA ESTIMADA'!$J$18:$J$40,'AVARIA ESTIMADA'!$A$18:$A$40,A612)</f>
        <v>0</v>
      </c>
    </row>
    <row r="613" spans="1:6" x14ac:dyDescent="0.3">
      <c r="A613" s="2" t="s">
        <v>1508</v>
      </c>
      <c r="B613" s="19" t="str">
        <f>_xlfn.XLOOKUP(A613,CATÁLOGO!$A$2:$A$846,CATÁLOGO!$B$2:$B$846,"FORA DO CATÁLOGO")</f>
        <v>BER011G42</v>
      </c>
      <c r="C613" s="13">
        <v>5</v>
      </c>
      <c r="D613" s="13" t="str">
        <f>_xlfn.XLOOKUP(A613,CATÁLOGO!$A$2:$A$846,CATÁLOGO!$E$2:$E$846,"FORA DO CATÁLOGO")</f>
        <v>Ativo</v>
      </c>
      <c r="E613" s="2"/>
      <c r="F613" s="62">
        <f>SUMIFS('AVARIA ESTIMADA'!$J$18:$J$40,'AVARIA ESTIMADA'!$A$18:$A$40,A613)</f>
        <v>0</v>
      </c>
    </row>
    <row r="614" spans="1:6" x14ac:dyDescent="0.3">
      <c r="A614" s="2" t="s">
        <v>1510</v>
      </c>
      <c r="B614" s="19" t="str">
        <f>_xlfn.XLOOKUP(A614,CATÁLOGO!$A$2:$A$846,CATÁLOGO!$B$2:$B$846,"FORA DO CATÁLOGO")</f>
        <v>BER011G44</v>
      </c>
      <c r="C614" s="13">
        <v>3</v>
      </c>
      <c r="D614" s="13" t="str">
        <f>_xlfn.XLOOKUP(A614,CATÁLOGO!$A$2:$A$846,CATÁLOGO!$E$2:$E$846,"FORA DO CATÁLOGO")</f>
        <v>Ativo</v>
      </c>
      <c r="E614" s="2"/>
      <c r="F614" s="62">
        <f>SUMIFS('AVARIA ESTIMADA'!$J$18:$J$40,'AVARIA ESTIMADA'!$A$18:$A$40,A614)</f>
        <v>0</v>
      </c>
    </row>
    <row r="615" spans="1:6" x14ac:dyDescent="0.3">
      <c r="A615" s="2" t="s">
        <v>1268</v>
      </c>
      <c r="B615" s="19" t="str">
        <f>_xlfn.XLOOKUP(A615,CATÁLOGO!$A$2:$A$846,CATÁLOGO!$B$2:$B$846,"FORA DO CATÁLOGO")</f>
        <v>JAQ009YP</v>
      </c>
      <c r="C615" s="13">
        <v>4</v>
      </c>
      <c r="D615" s="13" t="str">
        <f>_xlfn.XLOOKUP(A615,CATÁLOGO!$A$2:$A$846,CATÁLOGO!$E$2:$E$846,"FORA DO CATÁLOGO")</f>
        <v>Ativo</v>
      </c>
      <c r="E615" s="2"/>
      <c r="F615" s="62">
        <f>SUMIFS('AVARIA ESTIMADA'!$J$18:$J$40,'AVARIA ESTIMADA'!$A$18:$A$40,A615)</f>
        <v>0</v>
      </c>
    </row>
    <row r="616" spans="1:6" x14ac:dyDescent="0.3">
      <c r="A616" s="2" t="s">
        <v>445</v>
      </c>
      <c r="B616" s="19" t="str">
        <f>_xlfn.XLOOKUP(A616,CATÁLOGO!$A$2:$A$846,CATÁLOGO!$B$2:$B$846,"FORA DO CATÁLOGO")</f>
        <v>JAQ009YM</v>
      </c>
      <c r="C616" s="13">
        <v>5</v>
      </c>
      <c r="D616" s="13" t="str">
        <f>_xlfn.XLOOKUP(A616,CATÁLOGO!$A$2:$A$846,CATÁLOGO!$E$2:$E$846,"FORA DO CATÁLOGO")</f>
        <v>Ativo</v>
      </c>
      <c r="E616" s="2"/>
      <c r="F616" s="62">
        <f>SUMIFS('AVARIA ESTIMADA'!$J$18:$J$40,'AVARIA ESTIMADA'!$A$18:$A$40,A616)</f>
        <v>0</v>
      </c>
    </row>
    <row r="617" spans="1:6" x14ac:dyDescent="0.3">
      <c r="A617" s="2" t="s">
        <v>446</v>
      </c>
      <c r="B617" s="19" t="str">
        <f>_xlfn.XLOOKUP(A617,CATÁLOGO!$A$2:$A$846,CATÁLOGO!$B$2:$B$846,"FORA DO CATÁLOGO")</f>
        <v>JAQ009YG</v>
      </c>
      <c r="C617" s="13">
        <v>4</v>
      </c>
      <c r="D617" s="13" t="str">
        <f>_xlfn.XLOOKUP(A617,CATÁLOGO!$A$2:$A$846,CATÁLOGO!$E$2:$E$846,"FORA DO CATÁLOGO")</f>
        <v>Ativo</v>
      </c>
      <c r="E617" s="2"/>
      <c r="F617" s="62">
        <f>SUMIFS('AVARIA ESTIMADA'!$J$18:$J$40,'AVARIA ESTIMADA'!$A$18:$A$40,A617)</f>
        <v>0</v>
      </c>
    </row>
    <row r="618" spans="1:6" x14ac:dyDescent="0.3">
      <c r="A618" s="2" t="s">
        <v>447</v>
      </c>
      <c r="B618" s="19" t="str">
        <f>_xlfn.XLOOKUP(A618,CATÁLOGO!$A$2:$A$846,CATÁLOGO!$B$2:$B$846,"FORA DO CATÁLOGO")</f>
        <v>JAQ009YGG</v>
      </c>
      <c r="C618" s="13">
        <v>1</v>
      </c>
      <c r="D618" s="13" t="str">
        <f>_xlfn.XLOOKUP(A618,CATÁLOGO!$A$2:$A$846,CATÁLOGO!$E$2:$E$846,"FORA DO CATÁLOGO")</f>
        <v>Ativo</v>
      </c>
      <c r="E618" s="2"/>
      <c r="F618" s="62">
        <f>SUMIFS('AVARIA ESTIMADA'!$J$18:$J$40,'AVARIA ESTIMADA'!$A$18:$A$40,A618)</f>
        <v>0</v>
      </c>
    </row>
    <row r="619" spans="1:6" x14ac:dyDescent="0.3">
      <c r="A619" s="2" t="s">
        <v>1808</v>
      </c>
      <c r="B619" s="19" t="str">
        <f>_xlfn.XLOOKUP(A619,CATÁLOGO!$A$2:$A$846,CATÁLOGO!$B$2:$B$846,"FORA DO CATÁLOGO")</f>
        <v>JAQ010HPP</v>
      </c>
      <c r="C619" s="13">
        <v>1</v>
      </c>
      <c r="D619" s="13" t="str">
        <f>_xlfn.XLOOKUP(A619,CATÁLOGO!$A$2:$A$846,CATÁLOGO!$E$2:$E$846,"FORA DO CATÁLOGO")</f>
        <v>Ativo</v>
      </c>
      <c r="E619" s="2"/>
      <c r="F619" s="62">
        <f>SUMIFS('AVARIA ESTIMADA'!$J$18:$J$40,'AVARIA ESTIMADA'!$A$18:$A$40,A619)</f>
        <v>0</v>
      </c>
    </row>
    <row r="620" spans="1:6" x14ac:dyDescent="0.3">
      <c r="A620" s="2" t="s">
        <v>448</v>
      </c>
      <c r="B620" s="19" t="str">
        <f>_xlfn.XLOOKUP(A620,CATÁLOGO!$A$2:$A$846,CATÁLOGO!$B$2:$B$846,"FORA DO CATÁLOGO")</f>
        <v>JAQ010HP</v>
      </c>
      <c r="C620" s="13">
        <v>0</v>
      </c>
      <c r="D620" s="13" t="str">
        <f>_xlfn.XLOOKUP(A620,CATÁLOGO!$A$2:$A$846,CATÁLOGO!$E$2:$E$846,"FORA DO CATÁLOGO")</f>
        <v>Ativo</v>
      </c>
      <c r="E620" s="2"/>
      <c r="F620" s="62">
        <f>SUMIFS('AVARIA ESTIMADA'!$J$18:$J$40,'AVARIA ESTIMADA'!$A$18:$A$40,A620)</f>
        <v>0</v>
      </c>
    </row>
    <row r="621" spans="1:6" x14ac:dyDescent="0.3">
      <c r="A621" s="2" t="s">
        <v>449</v>
      </c>
      <c r="B621" s="19" t="str">
        <f>_xlfn.XLOOKUP(A621,CATÁLOGO!$A$2:$A$846,CATÁLOGO!$B$2:$B$846,"FORA DO CATÁLOGO")</f>
        <v>JAQ010HM</v>
      </c>
      <c r="C621" s="13">
        <v>3</v>
      </c>
      <c r="D621" s="13" t="str">
        <f>_xlfn.XLOOKUP(A621,CATÁLOGO!$A$2:$A$846,CATÁLOGO!$E$2:$E$846,"FORA DO CATÁLOGO")</f>
        <v>Ativo</v>
      </c>
      <c r="E621" s="2"/>
      <c r="F621" s="62">
        <f>SUMIFS('AVARIA ESTIMADA'!$J$18:$J$40,'AVARIA ESTIMADA'!$A$18:$A$40,A621)</f>
        <v>0</v>
      </c>
    </row>
    <row r="622" spans="1:6" x14ac:dyDescent="0.3">
      <c r="A622" s="2" t="s">
        <v>450</v>
      </c>
      <c r="B622" s="19" t="str">
        <f>_xlfn.XLOOKUP(A622,CATÁLOGO!$A$2:$A$846,CATÁLOGO!$B$2:$B$846,"FORA DO CATÁLOGO")</f>
        <v>JAQ010HG</v>
      </c>
      <c r="C622" s="13">
        <v>2</v>
      </c>
      <c r="D622" s="13" t="str">
        <f>_xlfn.XLOOKUP(A622,CATÁLOGO!$A$2:$A$846,CATÁLOGO!$E$2:$E$846,"FORA DO CATÁLOGO")</f>
        <v>Ativo</v>
      </c>
      <c r="E622" s="2"/>
      <c r="F622" s="62">
        <f>SUMIFS('AVARIA ESTIMADA'!$J$18:$J$40,'AVARIA ESTIMADA'!$A$18:$A$40,A622)</f>
        <v>0</v>
      </c>
    </row>
    <row r="623" spans="1:6" x14ac:dyDescent="0.3">
      <c r="A623" s="2" t="s">
        <v>451</v>
      </c>
      <c r="B623" s="19" t="str">
        <f>_xlfn.XLOOKUP(A623,CATÁLOGO!$A$2:$A$846,CATÁLOGO!$B$2:$B$846,"FORA DO CATÁLOGO")</f>
        <v>JAQ010HGG</v>
      </c>
      <c r="C623" s="13">
        <v>1</v>
      </c>
      <c r="D623" s="13" t="str">
        <f>_xlfn.XLOOKUP(A623,CATÁLOGO!$A$2:$A$846,CATÁLOGO!$E$2:$E$846,"FORA DO CATÁLOGO")</f>
        <v>Ativo</v>
      </c>
      <c r="E623" s="2"/>
      <c r="F623" s="62">
        <f>SUMIFS('AVARIA ESTIMADA'!$J$18:$J$40,'AVARIA ESTIMADA'!$A$18:$A$40,A623)</f>
        <v>0</v>
      </c>
    </row>
    <row r="624" spans="1:6" x14ac:dyDescent="0.3">
      <c r="A624" s="2" t="s">
        <v>1807</v>
      </c>
      <c r="B624" s="19" t="str">
        <f>_xlfn.XLOOKUP(A624,CATÁLOGO!$A$2:$A$846,CATÁLOGO!$B$2:$B$846,"FORA DO CATÁLOGO")</f>
        <v>JAQ010VPP</v>
      </c>
      <c r="C624" s="13">
        <v>1</v>
      </c>
      <c r="D624" s="13" t="str">
        <f>_xlfn.XLOOKUP(A624,CATÁLOGO!$A$2:$A$846,CATÁLOGO!$E$2:$E$846,"FORA DO CATÁLOGO")</f>
        <v>Ativo</v>
      </c>
      <c r="E624" s="2"/>
      <c r="F624" s="62">
        <f>SUMIFS('AVARIA ESTIMADA'!$J$18:$J$40,'AVARIA ESTIMADA'!$A$18:$A$40,A624)</f>
        <v>0</v>
      </c>
    </row>
    <row r="625" spans="1:6" x14ac:dyDescent="0.3">
      <c r="A625" s="2" t="s">
        <v>452</v>
      </c>
      <c r="B625" s="19" t="str">
        <f>_xlfn.XLOOKUP(A625,CATÁLOGO!$A$2:$A$846,CATÁLOGO!$B$2:$B$846,"FORA DO CATÁLOGO")</f>
        <v>JAQ010VP</v>
      </c>
      <c r="C625" s="13">
        <v>1</v>
      </c>
      <c r="D625" s="13" t="str">
        <f>_xlfn.XLOOKUP(A625,CATÁLOGO!$A$2:$A$846,CATÁLOGO!$E$2:$E$846,"FORA DO CATÁLOGO")</f>
        <v>Ativo</v>
      </c>
      <c r="E625" s="2"/>
      <c r="F625" s="62">
        <f>SUMIFS('AVARIA ESTIMADA'!$J$18:$J$40,'AVARIA ESTIMADA'!$A$18:$A$40,A625)</f>
        <v>0</v>
      </c>
    </row>
    <row r="626" spans="1:6" x14ac:dyDescent="0.3">
      <c r="A626" s="2" t="s">
        <v>453</v>
      </c>
      <c r="B626" s="19" t="str">
        <f>_xlfn.XLOOKUP(A626,CATÁLOGO!$A$2:$A$846,CATÁLOGO!$B$2:$B$846,"FORA DO CATÁLOGO")</f>
        <v>JAQ010VM</v>
      </c>
      <c r="C626" s="13">
        <v>2</v>
      </c>
      <c r="D626" s="13" t="str">
        <f>_xlfn.XLOOKUP(A626,CATÁLOGO!$A$2:$A$846,CATÁLOGO!$E$2:$E$846,"FORA DO CATÁLOGO")</f>
        <v>Ativo</v>
      </c>
      <c r="E626" s="2" t="s">
        <v>1337</v>
      </c>
      <c r="F626" s="62">
        <f>SUMIFS('AVARIA ESTIMADA'!$J$18:$J$40,'AVARIA ESTIMADA'!$A$18:$A$40,A626)</f>
        <v>0</v>
      </c>
    </row>
    <row r="627" spans="1:6" x14ac:dyDescent="0.3">
      <c r="A627" s="2" t="s">
        <v>454</v>
      </c>
      <c r="B627" s="19" t="str">
        <f>_xlfn.XLOOKUP(A627,CATÁLOGO!$A$2:$A$846,CATÁLOGO!$B$2:$B$846,"FORA DO CATÁLOGO")</f>
        <v>JAQ010VG</v>
      </c>
      <c r="C627" s="13">
        <v>1</v>
      </c>
      <c r="D627" s="13" t="str">
        <f>_xlfn.XLOOKUP(A627,CATÁLOGO!$A$2:$A$846,CATÁLOGO!$E$2:$E$846,"FORA DO CATÁLOGO")</f>
        <v>Ativo</v>
      </c>
      <c r="E627" s="2"/>
      <c r="F627" s="62">
        <f>SUMIFS('AVARIA ESTIMADA'!$J$18:$J$40,'AVARIA ESTIMADA'!$A$18:$A$40,A627)</f>
        <v>0</v>
      </c>
    </row>
    <row r="628" spans="1:6" x14ac:dyDescent="0.3">
      <c r="A628" s="2" t="s">
        <v>455</v>
      </c>
      <c r="B628" s="19" t="str">
        <f>_xlfn.XLOOKUP(A628,CATÁLOGO!$A$2:$A$846,CATÁLOGO!$B$2:$B$846,"FORA DO CATÁLOGO")</f>
        <v>JAQ010VGG</v>
      </c>
      <c r="C628" s="13">
        <v>1</v>
      </c>
      <c r="D628" s="13" t="str">
        <f>_xlfn.XLOOKUP(A628,CATÁLOGO!$A$2:$A$846,CATÁLOGO!$E$2:$E$846,"FORA DO CATÁLOGO")</f>
        <v>Ativo</v>
      </c>
      <c r="E628" s="2"/>
      <c r="F628" s="62">
        <f>SUMIFS('AVARIA ESTIMADA'!$J$18:$J$40,'AVARIA ESTIMADA'!$A$18:$A$40,A628)</f>
        <v>0</v>
      </c>
    </row>
    <row r="629" spans="1:6" x14ac:dyDescent="0.3">
      <c r="A629" s="2" t="s">
        <v>1289</v>
      </c>
      <c r="B629" s="19" t="str">
        <f>_xlfn.XLOOKUP(A629,CATÁLOGO!$A$2:$A$846,CATÁLOGO!$B$2:$B$846,"FORA DO CATÁLOGO")</f>
        <v>TRI001MP</v>
      </c>
      <c r="C629" s="13">
        <v>2</v>
      </c>
      <c r="D629" s="13" t="str">
        <f>_xlfn.XLOOKUP(A629,CATÁLOGO!$A$2:$A$846,CATÁLOGO!$E$2:$E$846,"FORA DO CATÁLOGO")</f>
        <v>Ativo</v>
      </c>
      <c r="E629" s="2"/>
      <c r="F629" s="62">
        <f>SUMIFS('AVARIA ESTIMADA'!$J$18:$J$40,'AVARIA ESTIMADA'!$A$18:$A$40,A629)</f>
        <v>0</v>
      </c>
    </row>
    <row r="630" spans="1:6" x14ac:dyDescent="0.3">
      <c r="A630" s="2" t="s">
        <v>456</v>
      </c>
      <c r="B630" s="19" t="str">
        <f>_xlfn.XLOOKUP(A630,CATÁLOGO!$A$2:$A$846,CATÁLOGO!$B$2:$B$846,"FORA DO CATÁLOGO")</f>
        <v>TRI001MM</v>
      </c>
      <c r="C630" s="13">
        <v>4</v>
      </c>
      <c r="D630" s="13" t="str">
        <f>_xlfn.XLOOKUP(A630,CATÁLOGO!$A$2:$A$846,CATÁLOGO!$E$2:$E$846,"FORA DO CATÁLOGO")</f>
        <v>Ativo</v>
      </c>
      <c r="E630" s="2"/>
      <c r="F630" s="62">
        <f>SUMIFS('AVARIA ESTIMADA'!$J$18:$J$40,'AVARIA ESTIMADA'!$A$18:$A$40,A630)</f>
        <v>0</v>
      </c>
    </row>
    <row r="631" spans="1:6" x14ac:dyDescent="0.3">
      <c r="A631" s="2" t="s">
        <v>457</v>
      </c>
      <c r="B631" s="19" t="str">
        <f>_xlfn.XLOOKUP(A631,CATÁLOGO!$A$2:$A$846,CATÁLOGO!$B$2:$B$846,"FORA DO CATÁLOGO")</f>
        <v>TRI001MG</v>
      </c>
      <c r="C631" s="13">
        <v>3</v>
      </c>
      <c r="D631" s="13" t="str">
        <f>_xlfn.XLOOKUP(A631,CATÁLOGO!$A$2:$A$846,CATÁLOGO!$E$2:$E$846,"FORA DO CATÁLOGO")</f>
        <v>Ativo</v>
      </c>
      <c r="E631" s="2"/>
      <c r="F631" s="62">
        <f>SUMIFS('AVARIA ESTIMADA'!$J$18:$J$40,'AVARIA ESTIMADA'!$A$18:$A$40,A631)</f>
        <v>0</v>
      </c>
    </row>
    <row r="632" spans="1:6" x14ac:dyDescent="0.3">
      <c r="A632" s="2" t="s">
        <v>1269</v>
      </c>
      <c r="B632" s="19" t="str">
        <f>_xlfn.XLOOKUP(A632,CATÁLOGO!$A$2:$A$846,CATÁLOGO!$B$2:$B$846,"FORA DO CATÁLOGO")</f>
        <v>TRI001MGG</v>
      </c>
      <c r="C632" s="13">
        <v>1</v>
      </c>
      <c r="D632" s="13" t="str">
        <f>_xlfn.XLOOKUP(A632,CATÁLOGO!$A$2:$A$846,CATÁLOGO!$E$2:$E$846,"FORA DO CATÁLOGO")</f>
        <v>Ativo</v>
      </c>
      <c r="E632" s="2"/>
      <c r="F632" s="62">
        <f>SUMIFS('AVARIA ESTIMADA'!$J$18:$J$40,'AVARIA ESTIMADA'!$A$18:$A$40,A632)</f>
        <v>0</v>
      </c>
    </row>
    <row r="633" spans="1:6" x14ac:dyDescent="0.3">
      <c r="A633" s="2" t="s">
        <v>458</v>
      </c>
      <c r="B633" s="19" t="str">
        <f>_xlfn.XLOOKUP(A633,CATÁLOGO!$A$2:$A$846,CATÁLOGO!$B$2:$B$846,"FORA DO CATÁLOGO")</f>
        <v>SAI012GP</v>
      </c>
      <c r="C633" s="13">
        <v>5</v>
      </c>
      <c r="D633" s="13" t="str">
        <f>_xlfn.XLOOKUP(A633,CATÁLOGO!$A$2:$A$846,CATÁLOGO!$E$2:$E$846,"FORA DO CATÁLOGO")</f>
        <v>Ativo</v>
      </c>
      <c r="E633" s="2"/>
      <c r="F633" s="62">
        <f>SUMIFS('AVARIA ESTIMADA'!$J$18:$J$40,'AVARIA ESTIMADA'!$A$18:$A$40,A633)</f>
        <v>0</v>
      </c>
    </row>
    <row r="634" spans="1:6" x14ac:dyDescent="0.3">
      <c r="A634" s="2" t="s">
        <v>1270</v>
      </c>
      <c r="B634" s="19" t="str">
        <f>_xlfn.XLOOKUP(A634,CATÁLOGO!$A$2:$A$846,CATÁLOGO!$B$2:$B$846,"FORA DO CATÁLOGO")</f>
        <v>SAI012GM</v>
      </c>
      <c r="C634" s="13">
        <v>6</v>
      </c>
      <c r="D634" s="13" t="str">
        <f>_xlfn.XLOOKUP(A634,CATÁLOGO!$A$2:$A$846,CATÁLOGO!$E$2:$E$846,"FORA DO CATÁLOGO")</f>
        <v>Ativo</v>
      </c>
      <c r="E634" s="2"/>
      <c r="F634" s="62">
        <f>SUMIFS('AVARIA ESTIMADA'!$J$18:$J$40,'AVARIA ESTIMADA'!$A$18:$A$40,A634)</f>
        <v>0</v>
      </c>
    </row>
    <row r="635" spans="1:6" x14ac:dyDescent="0.3">
      <c r="A635" s="2" t="s">
        <v>459</v>
      </c>
      <c r="B635" s="19" t="str">
        <f>_xlfn.XLOOKUP(A635,CATÁLOGO!$A$2:$A$846,CATÁLOGO!$B$2:$B$846,"FORA DO CATÁLOGO")</f>
        <v>SAI012GG</v>
      </c>
      <c r="C635" s="13">
        <v>5</v>
      </c>
      <c r="D635" s="13" t="str">
        <f>_xlfn.XLOOKUP(A635,CATÁLOGO!$A$2:$A$846,CATÁLOGO!$E$2:$E$846,"FORA DO CATÁLOGO")</f>
        <v>Ativo</v>
      </c>
      <c r="E635" s="2"/>
      <c r="F635" s="62">
        <f>SUMIFS('AVARIA ESTIMADA'!$J$18:$J$40,'AVARIA ESTIMADA'!$A$18:$A$40,A635)</f>
        <v>0</v>
      </c>
    </row>
    <row r="636" spans="1:6" x14ac:dyDescent="0.3">
      <c r="A636" s="2" t="s">
        <v>460</v>
      </c>
      <c r="B636" s="19" t="str">
        <f>_xlfn.XLOOKUP(A636,CATÁLOGO!$A$2:$A$846,CATÁLOGO!$B$2:$B$846,"FORA DO CATÁLOGO")</f>
        <v>SAI012GGG</v>
      </c>
      <c r="C636" s="13">
        <v>3</v>
      </c>
      <c r="D636" s="13" t="str">
        <f>_xlfn.XLOOKUP(A636,CATÁLOGO!$A$2:$A$846,CATÁLOGO!$E$2:$E$846,"FORA DO CATÁLOGO")</f>
        <v>Ativo</v>
      </c>
      <c r="E636" s="2"/>
      <c r="F636" s="62">
        <f>SUMIFS('AVARIA ESTIMADA'!$J$18:$J$40,'AVARIA ESTIMADA'!$A$18:$A$40,A636)</f>
        <v>0</v>
      </c>
    </row>
    <row r="637" spans="1:6" x14ac:dyDescent="0.3">
      <c r="A637" s="2" t="s">
        <v>461</v>
      </c>
      <c r="B637" s="19" t="str">
        <f>_xlfn.XLOOKUP(A637,CATÁLOGO!$A$2:$A$846,CATÁLOGO!$B$2:$B$846,"FORA DO CATÁLOGO")</f>
        <v>MOL017LP</v>
      </c>
      <c r="C637" s="13">
        <v>1</v>
      </c>
      <c r="D637" s="13" t="str">
        <f>_xlfn.XLOOKUP(A637,CATÁLOGO!$A$2:$A$846,CATÁLOGO!$E$2:$E$846,"FORA DO CATÁLOGO")</f>
        <v>Ativo</v>
      </c>
      <c r="E637" s="2"/>
      <c r="F637" s="62">
        <f>SUMIFS('AVARIA ESTIMADA'!$J$18:$J$40,'AVARIA ESTIMADA'!$A$18:$A$40,A637)</f>
        <v>0</v>
      </c>
    </row>
    <row r="638" spans="1:6" x14ac:dyDescent="0.3">
      <c r="A638" s="2" t="s">
        <v>462</v>
      </c>
      <c r="B638" s="19" t="str">
        <f>_xlfn.XLOOKUP(A638,CATÁLOGO!$A$2:$A$846,CATÁLOGO!$B$2:$B$846,"FORA DO CATÁLOGO")</f>
        <v>MOL017LM</v>
      </c>
      <c r="C638" s="13">
        <v>2</v>
      </c>
      <c r="D638" s="13" t="str">
        <f>_xlfn.XLOOKUP(A638,CATÁLOGO!$A$2:$A$846,CATÁLOGO!$E$2:$E$846,"FORA DO CATÁLOGO")</f>
        <v>Ativo</v>
      </c>
      <c r="E638" s="2"/>
      <c r="F638" s="62">
        <f>SUMIFS('AVARIA ESTIMADA'!$J$18:$J$40,'AVARIA ESTIMADA'!$A$18:$A$40,A638)</f>
        <v>0</v>
      </c>
    </row>
    <row r="639" spans="1:6" x14ac:dyDescent="0.3">
      <c r="A639" s="2" t="s">
        <v>463</v>
      </c>
      <c r="B639" s="19" t="str">
        <f>_xlfn.XLOOKUP(A639,CATÁLOGO!$A$2:$A$846,CATÁLOGO!$B$2:$B$846,"FORA DO CATÁLOGO")</f>
        <v>MOL017LG</v>
      </c>
      <c r="C639" s="13">
        <v>2</v>
      </c>
      <c r="D639" s="13" t="str">
        <f>_xlfn.XLOOKUP(A639,CATÁLOGO!$A$2:$A$846,CATÁLOGO!$E$2:$E$846,"FORA DO CATÁLOGO")</f>
        <v>Ativo</v>
      </c>
      <c r="E639" s="2"/>
      <c r="F639" s="62">
        <f>SUMIFS('AVARIA ESTIMADA'!$J$18:$J$40,'AVARIA ESTIMADA'!$A$18:$A$40,A639)</f>
        <v>0</v>
      </c>
    </row>
    <row r="640" spans="1:6" x14ac:dyDescent="0.3">
      <c r="A640" s="2" t="s">
        <v>465</v>
      </c>
      <c r="B640" s="19" t="str">
        <f>_xlfn.XLOOKUP(A640,CATÁLOGO!$A$2:$A$846,CATÁLOGO!$B$2:$B$846,"FORA DO CATÁLOGO")</f>
        <v>ACE012AU</v>
      </c>
      <c r="C640" s="13">
        <v>6</v>
      </c>
      <c r="D640" s="13" t="str">
        <f>_xlfn.XLOOKUP(A640,CATÁLOGO!$A$2:$A$846,CATÁLOGO!$E$2:$E$846,"FORA DO CATÁLOGO")</f>
        <v>Ativo</v>
      </c>
      <c r="E640" s="2"/>
      <c r="F640" s="62">
        <f>SUMIFS('AVARIA ESTIMADA'!$J$18:$J$40,'AVARIA ESTIMADA'!$A$18:$A$40,A640)</f>
        <v>0</v>
      </c>
    </row>
    <row r="641" spans="1:6" x14ac:dyDescent="0.3">
      <c r="A641" s="2" t="s">
        <v>466</v>
      </c>
      <c r="B641" s="19" t="str">
        <f>_xlfn.XLOOKUP(A641,CATÁLOGO!$A$2:$A$846,CATÁLOGO!$B$2:$B$846,"FORA DO CATÁLOGO")</f>
        <v>MOL018BP</v>
      </c>
      <c r="C641" s="13">
        <v>1</v>
      </c>
      <c r="D641" s="13" t="str">
        <f>_xlfn.XLOOKUP(A641,CATÁLOGO!$A$2:$A$846,CATÁLOGO!$E$2:$E$846,"FORA DO CATÁLOGO")</f>
        <v>Ativo</v>
      </c>
      <c r="E641" s="2"/>
      <c r="F641" s="62">
        <f>SUMIFS('AVARIA ESTIMADA'!$J$18:$J$40,'AVARIA ESTIMADA'!$A$18:$A$40,A641)</f>
        <v>0</v>
      </c>
    </row>
    <row r="642" spans="1:6" x14ac:dyDescent="0.3">
      <c r="A642" s="2" t="s">
        <v>467</v>
      </c>
      <c r="B642" s="19" t="str">
        <f>_xlfn.XLOOKUP(A642,CATÁLOGO!$A$2:$A$846,CATÁLOGO!$B$2:$B$846,"FORA DO CATÁLOGO")</f>
        <v>MOL018BM</v>
      </c>
      <c r="C642" s="13">
        <v>2</v>
      </c>
      <c r="D642" s="13" t="str">
        <f>_xlfn.XLOOKUP(A642,CATÁLOGO!$A$2:$A$846,CATÁLOGO!$E$2:$E$846,"FORA DO CATÁLOGO")</f>
        <v>Ativo</v>
      </c>
      <c r="E642" s="2"/>
      <c r="F642" s="62">
        <f>SUMIFS('AVARIA ESTIMADA'!$J$18:$J$40,'AVARIA ESTIMADA'!$A$18:$A$40,A642)</f>
        <v>0</v>
      </c>
    </row>
    <row r="643" spans="1:6" x14ac:dyDescent="0.3">
      <c r="A643" s="2" t="s">
        <v>468</v>
      </c>
      <c r="B643" s="19" t="str">
        <f>_xlfn.XLOOKUP(A643,CATÁLOGO!$A$2:$A$846,CATÁLOGO!$B$2:$B$846,"FORA DO CATÁLOGO")</f>
        <v>MOL018BG</v>
      </c>
      <c r="C643" s="13">
        <v>2</v>
      </c>
      <c r="D643" s="13" t="str">
        <f>_xlfn.XLOOKUP(A643,CATÁLOGO!$A$2:$A$846,CATÁLOGO!$E$2:$E$846,"FORA DO CATÁLOGO")</f>
        <v>Ativo</v>
      </c>
      <c r="E643" s="2"/>
      <c r="F643" s="62">
        <f>SUMIFS('AVARIA ESTIMADA'!$J$18:$J$40,'AVARIA ESTIMADA'!$A$18:$A$40,A643)</f>
        <v>0</v>
      </c>
    </row>
    <row r="644" spans="1:6" x14ac:dyDescent="0.3">
      <c r="A644" s="2" t="s">
        <v>469</v>
      </c>
      <c r="B644" s="19" t="str">
        <f>_xlfn.XLOOKUP(A644,CATÁLOGO!$A$2:$A$846,CATÁLOGO!$B$2:$B$846,"FORA DO CATÁLOGO")</f>
        <v>MOL018BGG</v>
      </c>
      <c r="C644" s="13">
        <v>1</v>
      </c>
      <c r="D644" s="13" t="str">
        <f>_xlfn.XLOOKUP(A644,CATÁLOGO!$A$2:$A$846,CATÁLOGO!$E$2:$E$846,"FORA DO CATÁLOGO")</f>
        <v>Ativo</v>
      </c>
      <c r="E644" s="2" t="s">
        <v>1336</v>
      </c>
      <c r="F644" s="62">
        <f>SUMIFS('AVARIA ESTIMADA'!$J$18:$J$40,'AVARIA ESTIMADA'!$A$18:$A$40,A644)</f>
        <v>0</v>
      </c>
    </row>
    <row r="645" spans="1:6" x14ac:dyDescent="0.3">
      <c r="A645" s="2" t="s">
        <v>470</v>
      </c>
      <c r="B645" s="19" t="str">
        <f>_xlfn.XLOOKUP(A645,CATÁLOGO!$A$2:$A$846,CATÁLOGO!$B$2:$B$846,"FORA DO CATÁLOGO")</f>
        <v>ACE013VU</v>
      </c>
      <c r="C645" s="13">
        <v>6</v>
      </c>
      <c r="D645" s="13" t="str">
        <f>_xlfn.XLOOKUP(A645,CATÁLOGO!$A$2:$A$846,CATÁLOGO!$E$2:$E$846,"FORA DO CATÁLOGO")</f>
        <v>Ativo</v>
      </c>
      <c r="E645" s="2" t="s">
        <v>1338</v>
      </c>
      <c r="F645" s="62">
        <f>SUMIFS('AVARIA ESTIMADA'!$J$18:$J$40,'AVARIA ESTIMADA'!$A$18:$A$40,A645)</f>
        <v>0</v>
      </c>
    </row>
    <row r="646" spans="1:6" x14ac:dyDescent="0.3">
      <c r="A646" s="2" t="s">
        <v>1696</v>
      </c>
      <c r="B646" s="19" t="str">
        <f>_xlfn.XLOOKUP(A646,CATÁLOGO!$A$2:$A$846,CATÁLOGO!$B$2:$B$846,"FORA DO CATÁLOGO")</f>
        <v>CAL026O40</v>
      </c>
      <c r="C646" s="13">
        <v>1</v>
      </c>
      <c r="D646" s="13" t="str">
        <f>_xlfn.XLOOKUP(A646,CATÁLOGO!$A$2:$A$846,CATÁLOGO!$E$2:$E$846,"FORA DO CATÁLOGO")</f>
        <v>Ativo</v>
      </c>
      <c r="E646" s="2"/>
      <c r="F646" s="62">
        <f>SUMIFS('AVARIA ESTIMADA'!$J$18:$J$40,'AVARIA ESTIMADA'!$A$18:$A$40,A646)</f>
        <v>0</v>
      </c>
    </row>
    <row r="647" spans="1:6" x14ac:dyDescent="0.3">
      <c r="A647" s="2" t="s">
        <v>1693</v>
      </c>
      <c r="B647" s="19" t="str">
        <f>_xlfn.XLOOKUP(A647,CATÁLOGO!$A$2:$A$846,CATÁLOGO!$B$2:$B$846,"FORA DO CATÁLOGO")</f>
        <v>CAL026O42</v>
      </c>
      <c r="C647" s="13">
        <v>3</v>
      </c>
      <c r="D647" s="13" t="str">
        <f>_xlfn.XLOOKUP(A647,CATÁLOGO!$A$2:$A$846,CATÁLOGO!$E$2:$E$846,"FORA DO CATÁLOGO")</f>
        <v>Ativo</v>
      </c>
      <c r="E647" s="2"/>
      <c r="F647" s="62">
        <f>SUMIFS('AVARIA ESTIMADA'!$J$18:$J$40,'AVARIA ESTIMADA'!$A$18:$A$40,A647)</f>
        <v>0</v>
      </c>
    </row>
    <row r="648" spans="1:6" x14ac:dyDescent="0.3">
      <c r="A648" s="2" t="s">
        <v>1695</v>
      </c>
      <c r="B648" s="19" t="str">
        <f>_xlfn.XLOOKUP(A648,CATÁLOGO!$A$2:$A$846,CATÁLOGO!$B$2:$B$846,"FORA DO CATÁLOGO")</f>
        <v>CAL026O44</v>
      </c>
      <c r="C648" s="13">
        <v>1</v>
      </c>
      <c r="D648" s="13" t="str">
        <f>_xlfn.XLOOKUP(A648,CATÁLOGO!$A$2:$A$846,CATÁLOGO!$E$2:$E$846,"FORA DO CATÁLOGO")</f>
        <v>Ativo</v>
      </c>
      <c r="E648" s="2"/>
      <c r="F648" s="62">
        <f>SUMIFS('AVARIA ESTIMADA'!$J$18:$J$40,'AVARIA ESTIMADA'!$A$18:$A$40,A648)</f>
        <v>0</v>
      </c>
    </row>
    <row r="649" spans="1:6" x14ac:dyDescent="0.3">
      <c r="A649" s="2" t="s">
        <v>471</v>
      </c>
      <c r="B649" s="19" t="str">
        <f>_xlfn.XLOOKUP(A649,CATÁLOGO!$A$2:$A$846,CATÁLOGO!$B$2:$B$846,"FORA DO CATÁLOGO")</f>
        <v>CAM021AP</v>
      </c>
      <c r="C649" s="13">
        <v>5</v>
      </c>
      <c r="D649" s="13" t="str">
        <f>_xlfn.XLOOKUP(A649,CATÁLOGO!$A$2:$A$846,CATÁLOGO!$E$2:$E$846,"FORA DO CATÁLOGO")</f>
        <v>Ativo</v>
      </c>
      <c r="E649" s="2" t="s">
        <v>1341</v>
      </c>
      <c r="F649" s="62">
        <f>SUMIFS('AVARIA ESTIMADA'!$J$18:$J$40,'AVARIA ESTIMADA'!$A$18:$A$40,A649)</f>
        <v>0</v>
      </c>
    </row>
    <row r="650" spans="1:6" x14ac:dyDescent="0.3">
      <c r="A650" s="2" t="s">
        <v>472</v>
      </c>
      <c r="B650" s="19" t="str">
        <f>_xlfn.XLOOKUP(A650,CATÁLOGO!$A$2:$A$846,CATÁLOGO!$B$2:$B$846,"FORA DO CATÁLOGO")</f>
        <v>CAM021AM</v>
      </c>
      <c r="C650" s="13">
        <v>5</v>
      </c>
      <c r="D650" s="13" t="str">
        <f>_xlfn.XLOOKUP(A650,CATÁLOGO!$A$2:$A$846,CATÁLOGO!$E$2:$E$846,"FORA DO CATÁLOGO")</f>
        <v>Ativo</v>
      </c>
      <c r="E650" s="2"/>
      <c r="F650" s="62">
        <f>SUMIFS('AVARIA ESTIMADA'!$J$18:$J$40,'AVARIA ESTIMADA'!$A$18:$A$40,A650)</f>
        <v>0</v>
      </c>
    </row>
    <row r="651" spans="1:6" x14ac:dyDescent="0.3">
      <c r="A651" s="2" t="s">
        <v>473</v>
      </c>
      <c r="B651" s="19" t="str">
        <f>_xlfn.XLOOKUP(A651,CATÁLOGO!$A$2:$A$846,CATÁLOGO!$B$2:$B$846,"FORA DO CATÁLOGO")</f>
        <v>CAM021AG</v>
      </c>
      <c r="C651" s="13">
        <v>3</v>
      </c>
      <c r="D651" s="13" t="str">
        <f>_xlfn.XLOOKUP(A651,CATÁLOGO!$A$2:$A$846,CATÁLOGO!$E$2:$E$846,"FORA DO CATÁLOGO")</f>
        <v>Ativo</v>
      </c>
      <c r="E651" s="2"/>
      <c r="F651" s="62">
        <f>SUMIFS('AVARIA ESTIMADA'!$J$18:$J$40,'AVARIA ESTIMADA'!$A$18:$A$40,A651)</f>
        <v>0</v>
      </c>
    </row>
    <row r="652" spans="1:6" x14ac:dyDescent="0.3">
      <c r="A652" s="2" t="s">
        <v>474</v>
      </c>
      <c r="B652" s="19" t="str">
        <f>_xlfn.XLOOKUP(A652,CATÁLOGO!$A$2:$A$846,CATÁLOGO!$B$2:$B$846,"FORA DO CATÁLOGO")</f>
        <v>CAM021AGG</v>
      </c>
      <c r="C652" s="13">
        <v>2</v>
      </c>
      <c r="D652" s="13" t="str">
        <f>_xlfn.XLOOKUP(A652,CATÁLOGO!$A$2:$A$846,CATÁLOGO!$E$2:$E$846,"FORA DO CATÁLOGO")</f>
        <v>Ativo</v>
      </c>
      <c r="E652" s="2" t="s">
        <v>1333</v>
      </c>
      <c r="F652" s="62">
        <f>SUMIFS('AVARIA ESTIMADA'!$J$18:$J$40,'AVARIA ESTIMADA'!$A$18:$A$40,A652)</f>
        <v>0</v>
      </c>
    </row>
    <row r="653" spans="1:6" x14ac:dyDescent="0.3">
      <c r="A653" s="2" t="s">
        <v>475</v>
      </c>
      <c r="B653" s="19" t="str">
        <f>_xlfn.XLOOKUP(A653,CATÁLOGO!$A$2:$A$846,CATÁLOGO!$B$2:$B$846,"FORA DO CATÁLOGO")</f>
        <v>CAM022MP</v>
      </c>
      <c r="C653" s="13">
        <v>4</v>
      </c>
      <c r="D653" s="13" t="str">
        <f>_xlfn.XLOOKUP(A653,CATÁLOGO!$A$2:$A$846,CATÁLOGO!$E$2:$E$846,"FORA DO CATÁLOGO")</f>
        <v>Ativo</v>
      </c>
      <c r="E653" s="2"/>
      <c r="F653" s="62">
        <f>SUMIFS('AVARIA ESTIMADA'!$J$18:$J$40,'AVARIA ESTIMADA'!$A$18:$A$40,A653)</f>
        <v>0</v>
      </c>
    </row>
    <row r="654" spans="1:6" x14ac:dyDescent="0.3">
      <c r="A654" s="2" t="s">
        <v>476</v>
      </c>
      <c r="B654" s="19" t="str">
        <f>_xlfn.XLOOKUP(A654,CATÁLOGO!$A$2:$A$846,CATÁLOGO!$B$2:$B$846,"FORA DO CATÁLOGO")</f>
        <v>CAM022MM</v>
      </c>
      <c r="C654" s="13">
        <v>6</v>
      </c>
      <c r="D654" s="13" t="str">
        <f>_xlfn.XLOOKUP(A654,CATÁLOGO!$A$2:$A$846,CATÁLOGO!$E$2:$E$846,"FORA DO CATÁLOGO")</f>
        <v>Ativo</v>
      </c>
      <c r="E654" s="2"/>
      <c r="F654" s="62">
        <f>SUMIFS('AVARIA ESTIMADA'!$J$18:$J$40,'AVARIA ESTIMADA'!$A$18:$A$40,A654)</f>
        <v>0</v>
      </c>
    </row>
    <row r="655" spans="1:6" x14ac:dyDescent="0.3">
      <c r="A655" s="2" t="s">
        <v>477</v>
      </c>
      <c r="B655" s="19" t="str">
        <f>_xlfn.XLOOKUP(A655,CATÁLOGO!$A$2:$A$846,CATÁLOGO!$B$2:$B$846,"FORA DO CATÁLOGO")</f>
        <v>CAM022MG</v>
      </c>
      <c r="C655" s="13">
        <v>4</v>
      </c>
      <c r="D655" s="13" t="str">
        <f>_xlfn.XLOOKUP(A655,CATÁLOGO!$A$2:$A$846,CATÁLOGO!$E$2:$E$846,"FORA DO CATÁLOGO")</f>
        <v>Ativo</v>
      </c>
      <c r="E655" s="2"/>
      <c r="F655" s="62">
        <f>SUMIFS('AVARIA ESTIMADA'!$J$18:$J$40,'AVARIA ESTIMADA'!$A$18:$A$40,A655)</f>
        <v>0</v>
      </c>
    </row>
    <row r="656" spans="1:6" x14ac:dyDescent="0.3">
      <c r="A656" s="2" t="s">
        <v>478</v>
      </c>
      <c r="B656" s="19" t="str">
        <f>_xlfn.XLOOKUP(A656,CATÁLOGO!$A$2:$A$846,CATÁLOGO!$B$2:$B$846,"FORA DO CATÁLOGO")</f>
        <v>CAM022MGG</v>
      </c>
      <c r="C656" s="13">
        <v>3</v>
      </c>
      <c r="D656" s="13" t="str">
        <f>_xlfn.XLOOKUP(A656,CATÁLOGO!$A$2:$A$846,CATÁLOGO!$E$2:$E$846,"FORA DO CATÁLOGO")</f>
        <v>Ativo</v>
      </c>
      <c r="E656" s="2"/>
      <c r="F656" s="62">
        <f>SUMIFS('AVARIA ESTIMADA'!$J$18:$J$40,'AVARIA ESTIMADA'!$A$18:$A$40,A656)</f>
        <v>0</v>
      </c>
    </row>
    <row r="657" spans="1:6" x14ac:dyDescent="0.3">
      <c r="A657" s="2" t="s">
        <v>479</v>
      </c>
      <c r="B657" s="19" t="str">
        <f>_xlfn.XLOOKUP(A657,CATÁLOGO!$A$2:$A$846,CATÁLOGO!$B$2:$B$846,"FORA DO CATÁLOGO")</f>
        <v>CMS015LP</v>
      </c>
      <c r="C657" s="13">
        <v>2</v>
      </c>
      <c r="D657" s="13" t="str">
        <f>_xlfn.XLOOKUP(A657,CATÁLOGO!$A$2:$A$846,CATÁLOGO!$E$2:$E$846,"FORA DO CATÁLOGO")</f>
        <v>Ativo</v>
      </c>
      <c r="E657" s="2"/>
      <c r="F657" s="62">
        <f>SUMIFS('AVARIA ESTIMADA'!$J$18:$J$40,'AVARIA ESTIMADA'!$A$18:$A$40,A657)</f>
        <v>0</v>
      </c>
    </row>
    <row r="658" spans="1:6" x14ac:dyDescent="0.3">
      <c r="A658" s="2" t="s">
        <v>480</v>
      </c>
      <c r="B658" s="19" t="str">
        <f>_xlfn.XLOOKUP(A658,CATÁLOGO!$A$2:$A$846,CATÁLOGO!$B$2:$B$846,"FORA DO CATÁLOGO")</f>
        <v>CMS015LM</v>
      </c>
      <c r="C658" s="13">
        <v>5</v>
      </c>
      <c r="D658" s="13" t="str">
        <f>_xlfn.XLOOKUP(A658,CATÁLOGO!$A$2:$A$846,CATÁLOGO!$E$2:$E$846,"FORA DO CATÁLOGO")</f>
        <v>Ativo</v>
      </c>
      <c r="E658" s="2" t="s">
        <v>1339</v>
      </c>
      <c r="F658" s="62">
        <f>SUMIFS('AVARIA ESTIMADA'!$J$18:$J$40,'AVARIA ESTIMADA'!$A$18:$A$40,A658)</f>
        <v>0</v>
      </c>
    </row>
    <row r="659" spans="1:6" x14ac:dyDescent="0.3">
      <c r="A659" s="2" t="s">
        <v>481</v>
      </c>
      <c r="B659" s="19" t="str">
        <f>_xlfn.XLOOKUP(A659,CATÁLOGO!$A$2:$A$846,CATÁLOGO!$B$2:$B$846,"FORA DO CATÁLOGO")</f>
        <v>CMS015LG</v>
      </c>
      <c r="C659" s="13">
        <v>3</v>
      </c>
      <c r="D659" s="13" t="str">
        <f>_xlfn.XLOOKUP(A659,CATÁLOGO!$A$2:$A$846,CATÁLOGO!$E$2:$E$846,"FORA DO CATÁLOGO")</f>
        <v>Ativo</v>
      </c>
      <c r="E659" s="2"/>
      <c r="F659" s="62">
        <f>SUMIFS('AVARIA ESTIMADA'!$J$18:$J$40,'AVARIA ESTIMADA'!$A$18:$A$40,A659)</f>
        <v>0</v>
      </c>
    </row>
    <row r="660" spans="1:6" x14ac:dyDescent="0.3">
      <c r="A660" s="2" t="s">
        <v>482</v>
      </c>
      <c r="B660" s="19" t="str">
        <f>_xlfn.XLOOKUP(A660,CATÁLOGO!$A$2:$A$846,CATÁLOGO!$B$2:$B$846,"FORA DO CATÁLOGO")</f>
        <v>CMS015OP</v>
      </c>
      <c r="C660" s="13">
        <v>2</v>
      </c>
      <c r="D660" s="13" t="str">
        <f>_xlfn.XLOOKUP(A660,CATÁLOGO!$A$2:$A$846,CATÁLOGO!$E$2:$E$846,"FORA DO CATÁLOGO")</f>
        <v>Ativo</v>
      </c>
      <c r="E660" s="2"/>
      <c r="F660" s="62">
        <f>SUMIFS('AVARIA ESTIMADA'!$J$18:$J$40,'AVARIA ESTIMADA'!$A$18:$A$40,A660)</f>
        <v>0</v>
      </c>
    </row>
    <row r="661" spans="1:6" x14ac:dyDescent="0.3">
      <c r="A661" s="2" t="s">
        <v>483</v>
      </c>
      <c r="B661" s="19" t="str">
        <f>_xlfn.XLOOKUP(A661,CATÁLOGO!$A$2:$A$846,CATÁLOGO!$B$2:$B$846,"FORA DO CATÁLOGO")</f>
        <v>CMS015OM</v>
      </c>
      <c r="C661" s="13">
        <v>2</v>
      </c>
      <c r="D661" s="13" t="str">
        <f>_xlfn.XLOOKUP(A661,CATÁLOGO!$A$2:$A$846,CATÁLOGO!$E$2:$E$846,"FORA DO CATÁLOGO")</f>
        <v>Ativo</v>
      </c>
      <c r="E661" s="2" t="s">
        <v>1290</v>
      </c>
      <c r="F661" s="62">
        <f>SUMIFS('AVARIA ESTIMADA'!$J$18:$J$40,'AVARIA ESTIMADA'!$A$18:$A$40,A661)</f>
        <v>0</v>
      </c>
    </row>
    <row r="662" spans="1:6" x14ac:dyDescent="0.3">
      <c r="A662" s="2" t="s">
        <v>484</v>
      </c>
      <c r="B662" s="19" t="str">
        <f>_xlfn.XLOOKUP(A662,CATÁLOGO!$A$2:$A$846,CATÁLOGO!$B$2:$B$846,"FORA DO CATÁLOGO")</f>
        <v>CMS015OG</v>
      </c>
      <c r="C662" s="13">
        <v>2</v>
      </c>
      <c r="D662" s="13" t="str">
        <f>_xlfn.XLOOKUP(A662,CATÁLOGO!$A$2:$A$846,CATÁLOGO!$E$2:$E$846,"FORA DO CATÁLOGO")</f>
        <v>Ativo</v>
      </c>
      <c r="E662" s="2"/>
      <c r="F662" s="62">
        <f>SUMIFS('AVARIA ESTIMADA'!$J$18:$J$40,'AVARIA ESTIMADA'!$A$18:$A$40,A662)</f>
        <v>0</v>
      </c>
    </row>
    <row r="663" spans="1:6" x14ac:dyDescent="0.3">
      <c r="A663" s="2" t="s">
        <v>485</v>
      </c>
      <c r="B663" s="19" t="str">
        <f>_xlfn.XLOOKUP(A663,CATÁLOGO!$A$2:$A$846,CATÁLOGO!$B$2:$B$846,"FORA DO CATÁLOGO")</f>
        <v>CAM023YP</v>
      </c>
      <c r="C663" s="13">
        <v>4</v>
      </c>
      <c r="D663" s="13" t="str">
        <f>_xlfn.XLOOKUP(A663,CATÁLOGO!$A$2:$A$846,CATÁLOGO!$E$2:$E$846,"FORA DO CATÁLOGO")</f>
        <v>Ativo</v>
      </c>
      <c r="E663" s="2"/>
      <c r="F663" s="62">
        <f>SUMIFS('AVARIA ESTIMADA'!$J$18:$J$40,'AVARIA ESTIMADA'!$A$18:$A$40,A663)</f>
        <v>0</v>
      </c>
    </row>
    <row r="664" spans="1:6" x14ac:dyDescent="0.3">
      <c r="A664" s="2" t="s">
        <v>486</v>
      </c>
      <c r="B664" s="19" t="str">
        <f>_xlfn.XLOOKUP(A664,CATÁLOGO!$A$2:$A$846,CATÁLOGO!$B$2:$B$846,"FORA DO CATÁLOGO")</f>
        <v>CAM023YM</v>
      </c>
      <c r="C664" s="13">
        <v>6</v>
      </c>
      <c r="D664" s="13" t="str">
        <f>_xlfn.XLOOKUP(A664,CATÁLOGO!$A$2:$A$846,CATÁLOGO!$E$2:$E$846,"FORA DO CATÁLOGO")</f>
        <v>Ativo</v>
      </c>
      <c r="E664" s="2"/>
      <c r="F664" s="62">
        <f>SUMIFS('AVARIA ESTIMADA'!$J$18:$J$40,'AVARIA ESTIMADA'!$A$18:$A$40,A664)</f>
        <v>0</v>
      </c>
    </row>
    <row r="665" spans="1:6" x14ac:dyDescent="0.3">
      <c r="A665" s="2" t="s">
        <v>487</v>
      </c>
      <c r="B665" s="19" t="str">
        <f>_xlfn.XLOOKUP(A665,CATÁLOGO!$A$2:$A$846,CATÁLOGO!$B$2:$B$846,"FORA DO CATÁLOGO")</f>
        <v>CAM023YG</v>
      </c>
      <c r="C665" s="13">
        <v>5</v>
      </c>
      <c r="D665" s="13" t="str">
        <f>_xlfn.XLOOKUP(A665,CATÁLOGO!$A$2:$A$846,CATÁLOGO!$E$2:$E$846,"FORA DO CATÁLOGO")</f>
        <v>Ativo</v>
      </c>
      <c r="E665" s="2"/>
      <c r="F665" s="62">
        <f>SUMIFS('AVARIA ESTIMADA'!$J$18:$J$40,'AVARIA ESTIMADA'!$A$18:$A$40,A665)</f>
        <v>0</v>
      </c>
    </row>
    <row r="666" spans="1:6" x14ac:dyDescent="0.3">
      <c r="A666" s="2" t="s">
        <v>488</v>
      </c>
      <c r="B666" s="19" t="str">
        <f>_xlfn.XLOOKUP(A666,CATÁLOGO!$A$2:$A$846,CATÁLOGO!$B$2:$B$846,"FORA DO CATÁLOGO")</f>
        <v>CAM023YGG</v>
      </c>
      <c r="C666" s="13">
        <v>3</v>
      </c>
      <c r="D666" s="13" t="str">
        <f>_xlfn.XLOOKUP(A666,CATÁLOGO!$A$2:$A$846,CATÁLOGO!$E$2:$E$846,"FORA DO CATÁLOGO")</f>
        <v>Ativo</v>
      </c>
      <c r="E666" s="2"/>
      <c r="F666" s="62">
        <f>SUMIFS('AVARIA ESTIMADA'!$J$18:$J$40,'AVARIA ESTIMADA'!$A$18:$A$40,A666)</f>
        <v>0</v>
      </c>
    </row>
    <row r="667" spans="1:6" x14ac:dyDescent="0.3">
      <c r="A667" s="2" t="s">
        <v>1705</v>
      </c>
      <c r="B667" s="19" t="str">
        <f>_xlfn.XLOOKUP(A667,CATÁLOGO!$A$2:$A$846,CATÁLOGO!$B$2:$B$846,"FORA DO CATÁLOGO")</f>
        <v>CAL027P36</v>
      </c>
      <c r="C667" s="13">
        <v>3</v>
      </c>
      <c r="D667" s="13" t="str">
        <f>_xlfn.XLOOKUP(A667,CATÁLOGO!$A$2:$A$846,CATÁLOGO!$E$2:$E$846,"FORA DO CATÁLOGO")</f>
        <v>Ativo</v>
      </c>
      <c r="E667" s="2"/>
      <c r="F667" s="62">
        <f>SUMIFS('AVARIA ESTIMADA'!$J$18:$J$40,'AVARIA ESTIMADA'!$A$18:$A$40,A667)</f>
        <v>0</v>
      </c>
    </row>
    <row r="668" spans="1:6" x14ac:dyDescent="0.3">
      <c r="A668" s="2" t="s">
        <v>1704</v>
      </c>
      <c r="B668" s="19" t="str">
        <f>_xlfn.XLOOKUP(A668,CATÁLOGO!$A$2:$A$846,CATÁLOGO!$B$2:$B$846,"FORA DO CATÁLOGO")</f>
        <v>CAL027P38</v>
      </c>
      <c r="C668" s="13">
        <v>5</v>
      </c>
      <c r="D668" s="13" t="str">
        <f>_xlfn.XLOOKUP(A668,CATÁLOGO!$A$2:$A$846,CATÁLOGO!$E$2:$E$846,"FORA DO CATÁLOGO")</f>
        <v>Ativo</v>
      </c>
      <c r="E668" s="2"/>
      <c r="F668" s="62">
        <f>SUMIFS('AVARIA ESTIMADA'!$J$18:$J$40,'AVARIA ESTIMADA'!$A$18:$A$40,A668)</f>
        <v>0</v>
      </c>
    </row>
    <row r="669" spans="1:6" x14ac:dyDescent="0.3">
      <c r="A669" s="2" t="s">
        <v>1703</v>
      </c>
      <c r="B669" s="19" t="str">
        <f>_xlfn.XLOOKUP(A669,CATÁLOGO!$A$2:$A$846,CATÁLOGO!$B$2:$B$846,"FORA DO CATÁLOGO")</f>
        <v>CAL027P40</v>
      </c>
      <c r="C669" s="13">
        <v>6</v>
      </c>
      <c r="D669" s="13" t="str">
        <f>_xlfn.XLOOKUP(A669,CATÁLOGO!$A$2:$A$846,CATÁLOGO!$E$2:$E$846,"FORA DO CATÁLOGO")</f>
        <v>Ativo</v>
      </c>
      <c r="E669" s="2"/>
      <c r="F669" s="62">
        <f>SUMIFS('AVARIA ESTIMADA'!$J$18:$J$40,'AVARIA ESTIMADA'!$A$18:$A$40,A669)</f>
        <v>0</v>
      </c>
    </row>
    <row r="670" spans="1:6" x14ac:dyDescent="0.3">
      <c r="A670" s="2" t="s">
        <v>1699</v>
      </c>
      <c r="B670" s="19" t="str">
        <f>_xlfn.XLOOKUP(A670,CATÁLOGO!$A$2:$A$846,CATÁLOGO!$B$2:$B$846,"FORA DO CATÁLOGO")</f>
        <v>CAL027P42</v>
      </c>
      <c r="C670" s="13">
        <v>4</v>
      </c>
      <c r="D670" s="13" t="str">
        <f>_xlfn.XLOOKUP(A670,CATÁLOGO!$A$2:$A$846,CATÁLOGO!$E$2:$E$846,"FORA DO CATÁLOGO")</f>
        <v>Ativo</v>
      </c>
      <c r="E670" s="2"/>
      <c r="F670" s="62">
        <f>SUMIFS('AVARIA ESTIMADA'!$J$18:$J$40,'AVARIA ESTIMADA'!$A$18:$A$40,A670)</f>
        <v>0</v>
      </c>
    </row>
    <row r="671" spans="1:6" x14ac:dyDescent="0.3">
      <c r="A671" s="2" t="s">
        <v>1702</v>
      </c>
      <c r="B671" s="19" t="str">
        <f>_xlfn.XLOOKUP(A671,CATÁLOGO!$A$2:$A$846,CATÁLOGO!$B$2:$B$846,"FORA DO CATÁLOGO")</f>
        <v>CAL027P44</v>
      </c>
      <c r="C671" s="13">
        <v>5</v>
      </c>
      <c r="D671" s="13" t="str">
        <f>_xlfn.XLOOKUP(A671,CATÁLOGO!$A$2:$A$846,CATÁLOGO!$E$2:$E$846,"FORA DO CATÁLOGO")</f>
        <v>Ativo</v>
      </c>
      <c r="E671" s="2"/>
      <c r="F671" s="62">
        <f>SUMIFS('AVARIA ESTIMADA'!$J$18:$J$40,'AVARIA ESTIMADA'!$A$18:$A$40,A671)</f>
        <v>0</v>
      </c>
    </row>
    <row r="672" spans="1:6" x14ac:dyDescent="0.3">
      <c r="A672" s="2" t="s">
        <v>489</v>
      </c>
      <c r="B672" s="19" t="str">
        <f>_xlfn.XLOOKUP(A672,CATÁLOGO!$A$2:$A$846,CATÁLOGO!$B$2:$B$846,"FORA DO CATÁLOGO")</f>
        <v>MOL019VP</v>
      </c>
      <c r="C672" s="13">
        <v>2</v>
      </c>
      <c r="D672" s="13" t="str">
        <f>_xlfn.XLOOKUP(A672,CATÁLOGO!$A$2:$A$846,CATÁLOGO!$E$2:$E$846,"FORA DO CATÁLOGO")</f>
        <v>Ativo</v>
      </c>
      <c r="E672" s="2"/>
      <c r="F672" s="62">
        <f>SUMIFS('AVARIA ESTIMADA'!$J$18:$J$40,'AVARIA ESTIMADA'!$A$18:$A$40,A672)</f>
        <v>0</v>
      </c>
    </row>
    <row r="673" spans="1:6" x14ac:dyDescent="0.3">
      <c r="A673" s="2" t="s">
        <v>1271</v>
      </c>
      <c r="B673" s="19" t="str">
        <f>_xlfn.XLOOKUP(A673,CATÁLOGO!$A$2:$A$846,CATÁLOGO!$B$2:$B$846,"FORA DO CATÁLOGO")</f>
        <v>MOL019VM</v>
      </c>
      <c r="C673" s="13">
        <v>3</v>
      </c>
      <c r="D673" s="13" t="str">
        <f>_xlfn.XLOOKUP(A673,CATÁLOGO!$A$2:$A$846,CATÁLOGO!$E$2:$E$846,"FORA DO CATÁLOGO")</f>
        <v>Ativo</v>
      </c>
      <c r="E673" s="2" t="s">
        <v>1333</v>
      </c>
      <c r="F673" s="62">
        <f>SUMIFS('AVARIA ESTIMADA'!$J$18:$J$40,'AVARIA ESTIMADA'!$A$18:$A$40,A673)</f>
        <v>0</v>
      </c>
    </row>
    <row r="674" spans="1:6" x14ac:dyDescent="0.3">
      <c r="A674" s="2" t="s">
        <v>1272</v>
      </c>
      <c r="B674" s="19" t="str">
        <f>_xlfn.XLOOKUP(A674,CATÁLOGO!$A$2:$A$846,CATÁLOGO!$B$2:$B$846,"FORA DO CATÁLOGO")</f>
        <v>MOL019VG</v>
      </c>
      <c r="C674" s="13">
        <v>3</v>
      </c>
      <c r="D674" s="13" t="str">
        <f>_xlfn.XLOOKUP(A674,CATÁLOGO!$A$2:$A$846,CATÁLOGO!$E$2:$E$846,"FORA DO CATÁLOGO")</f>
        <v>Ativo</v>
      </c>
      <c r="E674" s="2"/>
      <c r="F674" s="62">
        <f>SUMIFS('AVARIA ESTIMADA'!$J$18:$J$40,'AVARIA ESTIMADA'!$A$18:$A$40,A674)</f>
        <v>0</v>
      </c>
    </row>
    <row r="675" spans="1:6" x14ac:dyDescent="0.3">
      <c r="A675" s="2" t="s">
        <v>490</v>
      </c>
      <c r="B675" s="19" t="str">
        <f>_xlfn.XLOOKUP(A675,CATÁLOGO!$A$2:$A$846,CATÁLOGO!$B$2:$B$846,"FORA DO CATÁLOGO")</f>
        <v>MOL019VGG</v>
      </c>
      <c r="C675" s="13">
        <v>1</v>
      </c>
      <c r="D675" s="13" t="str">
        <f>_xlfn.XLOOKUP(A675,CATÁLOGO!$A$2:$A$846,CATÁLOGO!$E$2:$E$846,"FORA DO CATÁLOGO")</f>
        <v>Ativo</v>
      </c>
      <c r="E675" s="2" t="s">
        <v>1333</v>
      </c>
      <c r="F675" s="62">
        <f>SUMIFS('AVARIA ESTIMADA'!$J$18:$J$40,'AVARIA ESTIMADA'!$A$18:$A$40,A675)</f>
        <v>1</v>
      </c>
    </row>
    <row r="676" spans="1:6" x14ac:dyDescent="0.3">
      <c r="A676" s="2" t="s">
        <v>491</v>
      </c>
      <c r="B676" s="19" t="str">
        <f>_xlfn.XLOOKUP(A676,CATÁLOGO!$A$2:$A$846,CATÁLOGO!$B$2:$B$846,"FORA DO CATÁLOGO")</f>
        <v>CAM024LP</v>
      </c>
      <c r="C676" s="13">
        <v>3</v>
      </c>
      <c r="D676" s="13" t="str">
        <f>_xlfn.XLOOKUP(A676,CATÁLOGO!$A$2:$A$846,CATÁLOGO!$E$2:$E$846,"FORA DO CATÁLOGO")</f>
        <v>Ativo</v>
      </c>
      <c r="E676" s="2"/>
      <c r="F676" s="62">
        <f>SUMIFS('AVARIA ESTIMADA'!$J$18:$J$40,'AVARIA ESTIMADA'!$A$18:$A$40,A676)</f>
        <v>0</v>
      </c>
    </row>
    <row r="677" spans="1:6" x14ac:dyDescent="0.3">
      <c r="A677" s="2" t="s">
        <v>492</v>
      </c>
      <c r="B677" s="19" t="str">
        <f>_xlfn.XLOOKUP(A677,CATÁLOGO!$A$2:$A$846,CATÁLOGO!$B$2:$B$846,"FORA DO CATÁLOGO")</f>
        <v>CAM024LM</v>
      </c>
      <c r="C677" s="13">
        <v>3</v>
      </c>
      <c r="D677" s="13" t="str">
        <f>_xlfn.XLOOKUP(A677,CATÁLOGO!$A$2:$A$846,CATÁLOGO!$E$2:$E$846,"FORA DO CATÁLOGO")</f>
        <v>Ativo</v>
      </c>
      <c r="E677" s="2"/>
      <c r="F677" s="62">
        <f>SUMIFS('AVARIA ESTIMADA'!$J$18:$J$40,'AVARIA ESTIMADA'!$A$18:$A$40,A677)</f>
        <v>0</v>
      </c>
    </row>
    <row r="678" spans="1:6" x14ac:dyDescent="0.3">
      <c r="A678" s="2" t="s">
        <v>493</v>
      </c>
      <c r="B678" s="19" t="str">
        <f>_xlfn.XLOOKUP(A678,CATÁLOGO!$A$2:$A$846,CATÁLOGO!$B$2:$B$846,"FORA DO CATÁLOGO")</f>
        <v>CAM024LG</v>
      </c>
      <c r="C678" s="13">
        <v>2</v>
      </c>
      <c r="D678" s="13" t="str">
        <f>_xlfn.XLOOKUP(A678,CATÁLOGO!$A$2:$A$846,CATÁLOGO!$E$2:$E$846,"FORA DO CATÁLOGO")</f>
        <v>Ativo</v>
      </c>
      <c r="E678" s="2" t="s">
        <v>1333</v>
      </c>
      <c r="F678" s="62">
        <f>SUMIFS('AVARIA ESTIMADA'!$J$18:$J$40,'AVARIA ESTIMADA'!$A$18:$A$40,A678)</f>
        <v>0</v>
      </c>
    </row>
    <row r="679" spans="1:6" x14ac:dyDescent="0.3">
      <c r="A679" s="2" t="s">
        <v>494</v>
      </c>
      <c r="B679" s="19" t="str">
        <f>_xlfn.XLOOKUP(A679,CATÁLOGO!$A$2:$A$846,CATÁLOGO!$B$2:$B$846,"FORA DO CATÁLOGO")</f>
        <v>CAM024LGG</v>
      </c>
      <c r="C679" s="13">
        <v>1</v>
      </c>
      <c r="D679" s="13" t="str">
        <f>_xlfn.XLOOKUP(A679,CATÁLOGO!$A$2:$A$846,CATÁLOGO!$E$2:$E$846,"FORA DO CATÁLOGO")</f>
        <v>Ativo</v>
      </c>
      <c r="E679" s="2"/>
      <c r="F679" s="62">
        <f>SUMIFS('AVARIA ESTIMADA'!$J$18:$J$40,'AVARIA ESTIMADA'!$A$18:$A$40,A679)</f>
        <v>0</v>
      </c>
    </row>
    <row r="680" spans="1:6" x14ac:dyDescent="0.3">
      <c r="A680" s="2" t="s">
        <v>495</v>
      </c>
      <c r="B680" s="19" t="str">
        <f>_xlfn.XLOOKUP(A680,CATÁLOGO!$A$2:$A$846,CATÁLOGO!$B$2:$B$846,"FORA DO CATÁLOGO")</f>
        <v>CAM024YP</v>
      </c>
      <c r="C680" s="13">
        <v>1</v>
      </c>
      <c r="D680" s="13" t="str">
        <f>_xlfn.XLOOKUP(A680,CATÁLOGO!$A$2:$A$846,CATÁLOGO!$E$2:$E$846,"FORA DO CATÁLOGO")</f>
        <v>Ativo</v>
      </c>
      <c r="E680" s="2"/>
      <c r="F680" s="62">
        <f>SUMIFS('AVARIA ESTIMADA'!$J$18:$J$40,'AVARIA ESTIMADA'!$A$18:$A$40,A680)</f>
        <v>0</v>
      </c>
    </row>
    <row r="681" spans="1:6" x14ac:dyDescent="0.3">
      <c r="A681" s="2" t="s">
        <v>496</v>
      </c>
      <c r="B681" s="19" t="str">
        <f>_xlfn.XLOOKUP(A681,CATÁLOGO!$A$2:$A$846,CATÁLOGO!$B$2:$B$846,"FORA DO CATÁLOGO")</f>
        <v>CAM024YM</v>
      </c>
      <c r="C681" s="13">
        <v>2</v>
      </c>
      <c r="D681" s="13" t="str">
        <f>_xlfn.XLOOKUP(A681,CATÁLOGO!$A$2:$A$846,CATÁLOGO!$E$2:$E$846,"FORA DO CATÁLOGO")</f>
        <v>Ativo</v>
      </c>
      <c r="E681" s="2"/>
      <c r="F681" s="62">
        <f>SUMIFS('AVARIA ESTIMADA'!$J$18:$J$40,'AVARIA ESTIMADA'!$A$18:$A$40,A681)</f>
        <v>0</v>
      </c>
    </row>
    <row r="682" spans="1:6" x14ac:dyDescent="0.3">
      <c r="A682" s="2" t="s">
        <v>497</v>
      </c>
      <c r="B682" s="19" t="str">
        <f>_xlfn.XLOOKUP(A682,CATÁLOGO!$A$2:$A$846,CATÁLOGO!$B$2:$B$846,"FORA DO CATÁLOGO")</f>
        <v>CAM024YG</v>
      </c>
      <c r="C682" s="13">
        <v>1</v>
      </c>
      <c r="D682" s="13" t="str">
        <f>_xlfn.XLOOKUP(A682,CATÁLOGO!$A$2:$A$846,CATÁLOGO!$E$2:$E$846,"FORA DO CATÁLOGO")</f>
        <v>Ativo</v>
      </c>
      <c r="E682" s="2"/>
      <c r="F682" s="62">
        <f>SUMIFS('AVARIA ESTIMADA'!$J$18:$J$40,'AVARIA ESTIMADA'!$A$18:$A$40,A682)</f>
        <v>0</v>
      </c>
    </row>
    <row r="683" spans="1:6" x14ac:dyDescent="0.3">
      <c r="A683" s="2" t="s">
        <v>498</v>
      </c>
      <c r="B683" s="19" t="str">
        <f>_xlfn.XLOOKUP(A683,CATÁLOGO!$A$2:$A$846,CATÁLOGO!$B$2:$B$846,"FORA DO CATÁLOGO")</f>
        <v>CAM024YGG</v>
      </c>
      <c r="C683" s="13">
        <v>1</v>
      </c>
      <c r="D683" s="13" t="str">
        <f>_xlfn.XLOOKUP(A683,CATÁLOGO!$A$2:$A$846,CATÁLOGO!$E$2:$E$846,"FORA DO CATÁLOGO")</f>
        <v>Ativo</v>
      </c>
      <c r="E683" s="2"/>
      <c r="F683" s="62">
        <f>SUMIFS('AVARIA ESTIMADA'!$J$18:$J$40,'AVARIA ESTIMADA'!$A$18:$A$40,A683)</f>
        <v>0</v>
      </c>
    </row>
    <row r="684" spans="1:6" x14ac:dyDescent="0.3">
      <c r="A684" s="2" t="s">
        <v>1856</v>
      </c>
      <c r="B684" s="19" t="str">
        <f>_xlfn.XLOOKUP(A684,CATÁLOGO!$A$2:$A$846,CATÁLOGO!$B$2:$B$846,"FORA DO CATÁLOGO")</f>
        <v>MOL020HPP</v>
      </c>
      <c r="C684" s="13">
        <v>1</v>
      </c>
      <c r="D684" s="13" t="str">
        <f>_xlfn.XLOOKUP(A684,CATÁLOGO!$A$2:$A$846,CATÁLOGO!$E$2:$E$846,"FORA DO CATÁLOGO")</f>
        <v>Ativo</v>
      </c>
      <c r="E684" s="2"/>
      <c r="F684" s="62">
        <f>SUMIFS('AVARIA ESTIMADA'!$J$18:$J$40,'AVARIA ESTIMADA'!$A$18:$A$40,A684)</f>
        <v>0</v>
      </c>
    </row>
    <row r="685" spans="1:6" x14ac:dyDescent="0.3">
      <c r="A685" s="2" t="s">
        <v>499</v>
      </c>
      <c r="B685" s="19" t="str">
        <f>_xlfn.XLOOKUP(A685,CATÁLOGO!$A$2:$A$846,CATÁLOGO!$B$2:$B$846,"FORA DO CATÁLOGO")</f>
        <v>MOL020HP</v>
      </c>
      <c r="C685" s="13">
        <v>2</v>
      </c>
      <c r="D685" s="13" t="str">
        <f>_xlfn.XLOOKUP(A685,CATÁLOGO!$A$2:$A$846,CATÁLOGO!$E$2:$E$846,"FORA DO CATÁLOGO")</f>
        <v>Ativo</v>
      </c>
      <c r="E685" s="2"/>
      <c r="F685" s="62">
        <f>SUMIFS('AVARIA ESTIMADA'!$J$18:$J$40,'AVARIA ESTIMADA'!$A$18:$A$40,A685)</f>
        <v>0</v>
      </c>
    </row>
    <row r="686" spans="1:6" x14ac:dyDescent="0.3">
      <c r="A686" s="2" t="s">
        <v>500</v>
      </c>
      <c r="B686" s="19" t="str">
        <f>_xlfn.XLOOKUP(A686,CATÁLOGO!$A$2:$A$846,CATÁLOGO!$B$2:$B$846,"FORA DO CATÁLOGO")</f>
        <v>MOL020HM</v>
      </c>
      <c r="C686" s="13">
        <v>0</v>
      </c>
      <c r="D686" s="13" t="str">
        <f>_xlfn.XLOOKUP(A686,CATÁLOGO!$A$2:$A$846,CATÁLOGO!$E$2:$E$846,"FORA DO CATÁLOGO")</f>
        <v>Ativo</v>
      </c>
      <c r="E686" s="2" t="s">
        <v>1333</v>
      </c>
      <c r="F686" s="62">
        <f>SUMIFS('AVARIA ESTIMADA'!$J$18:$J$40,'AVARIA ESTIMADA'!$A$18:$A$40,A686)</f>
        <v>0</v>
      </c>
    </row>
    <row r="687" spans="1:6" x14ac:dyDescent="0.3">
      <c r="A687" s="2" t="s">
        <v>501</v>
      </c>
      <c r="B687" s="19" t="str">
        <f>_xlfn.XLOOKUP(A687,CATÁLOGO!$A$2:$A$846,CATÁLOGO!$B$2:$B$846,"FORA DO CATÁLOGO")</f>
        <v>MOL020HG</v>
      </c>
      <c r="C687" s="13">
        <v>2</v>
      </c>
      <c r="D687" s="13" t="str">
        <f>_xlfn.XLOOKUP(A687,CATÁLOGO!$A$2:$A$846,CATÁLOGO!$E$2:$E$846,"FORA DO CATÁLOGO")</f>
        <v>Ativo</v>
      </c>
      <c r="E687" s="2"/>
      <c r="F687" s="62">
        <f>SUMIFS('AVARIA ESTIMADA'!$J$18:$J$40,'AVARIA ESTIMADA'!$A$18:$A$40,A687)</f>
        <v>0</v>
      </c>
    </row>
    <row r="688" spans="1:6" x14ac:dyDescent="0.3">
      <c r="A688" s="2" t="s">
        <v>503</v>
      </c>
      <c r="B688" s="19" t="str">
        <f>_xlfn.XLOOKUP(A688,CATÁLOGO!$A$2:$A$846,CATÁLOGO!$B$2:$B$846,"FORA DO CATÁLOGO")</f>
        <v>CAM025MP</v>
      </c>
      <c r="C688" s="13">
        <v>3</v>
      </c>
      <c r="D688" s="13" t="str">
        <f>_xlfn.XLOOKUP(A688,CATÁLOGO!$A$2:$A$846,CATÁLOGO!$E$2:$E$846,"FORA DO CATÁLOGO")</f>
        <v>Ativo</v>
      </c>
      <c r="E688" s="2"/>
      <c r="F688" s="62">
        <f>SUMIFS('AVARIA ESTIMADA'!$J$18:$J$40,'AVARIA ESTIMADA'!$A$18:$A$40,A688)</f>
        <v>0</v>
      </c>
    </row>
    <row r="689" spans="1:6" x14ac:dyDescent="0.3">
      <c r="A689" s="2" t="s">
        <v>504</v>
      </c>
      <c r="B689" s="19" t="str">
        <f>_xlfn.XLOOKUP(A689,CATÁLOGO!$A$2:$A$846,CATÁLOGO!$B$2:$B$846,"FORA DO CATÁLOGO")</f>
        <v>CAM025MM</v>
      </c>
      <c r="C689" s="13">
        <v>6</v>
      </c>
      <c r="D689" s="13" t="str">
        <f>_xlfn.XLOOKUP(A689,CATÁLOGO!$A$2:$A$846,CATÁLOGO!$E$2:$E$846,"FORA DO CATÁLOGO")</f>
        <v>Ativo</v>
      </c>
      <c r="E689" s="2" t="s">
        <v>1333</v>
      </c>
      <c r="F689" s="62">
        <f>SUMIFS('AVARIA ESTIMADA'!$J$18:$J$40,'AVARIA ESTIMADA'!$A$18:$A$40,A689)</f>
        <v>0</v>
      </c>
    </row>
    <row r="690" spans="1:6" x14ac:dyDescent="0.3">
      <c r="A690" s="2" t="s">
        <v>505</v>
      </c>
      <c r="B690" s="19" t="str">
        <f>_xlfn.XLOOKUP(A690,CATÁLOGO!$A$2:$A$846,CATÁLOGO!$B$2:$B$846,"FORA DO CATÁLOGO")</f>
        <v>CAM025MG</v>
      </c>
      <c r="C690" s="13">
        <v>6</v>
      </c>
      <c r="D690" s="13" t="str">
        <f>_xlfn.XLOOKUP(A690,CATÁLOGO!$A$2:$A$846,CATÁLOGO!$E$2:$E$846,"FORA DO CATÁLOGO")</f>
        <v>Ativo</v>
      </c>
      <c r="E690" s="2"/>
      <c r="F690" s="62">
        <f>SUMIFS('AVARIA ESTIMADA'!$J$18:$J$40,'AVARIA ESTIMADA'!$A$18:$A$40,A690)</f>
        <v>0</v>
      </c>
    </row>
    <row r="691" spans="1:6" x14ac:dyDescent="0.3">
      <c r="A691" s="2" t="s">
        <v>506</v>
      </c>
      <c r="B691" s="19" t="str">
        <f>_xlfn.XLOOKUP(A691,CATÁLOGO!$A$2:$A$846,CATÁLOGO!$B$2:$B$846,"FORA DO CATÁLOGO")</f>
        <v>CAM025MGG</v>
      </c>
      <c r="C691" s="13">
        <v>3</v>
      </c>
      <c r="D691" s="13" t="str">
        <f>_xlfn.XLOOKUP(A691,CATÁLOGO!$A$2:$A$846,CATÁLOGO!$E$2:$E$846,"FORA DO CATÁLOGO")</f>
        <v>Ativo</v>
      </c>
      <c r="E691" s="2"/>
      <c r="F691" s="62">
        <f>SUMIFS('AVARIA ESTIMADA'!$J$18:$J$40,'AVARIA ESTIMADA'!$A$18:$A$40,A691)</f>
        <v>0</v>
      </c>
    </row>
    <row r="692" spans="1:6" x14ac:dyDescent="0.3">
      <c r="A692" s="2" t="s">
        <v>507</v>
      </c>
      <c r="B692" s="19" t="str">
        <f>_xlfn.XLOOKUP(A692,CATÁLOGO!$A$2:$A$846,CATÁLOGO!$B$2:$B$846,"FORA DO CATÁLOGO")</f>
        <v>TRI015VP</v>
      </c>
      <c r="C692" s="13">
        <v>3</v>
      </c>
      <c r="D692" s="13" t="str">
        <f>_xlfn.XLOOKUP(A692,CATÁLOGO!$A$2:$A$846,CATÁLOGO!$E$2:$E$846,"FORA DO CATÁLOGO")</f>
        <v>Ativo</v>
      </c>
      <c r="E692" s="2"/>
      <c r="F692" s="62">
        <f>SUMIFS('AVARIA ESTIMADA'!$J$18:$J$40,'AVARIA ESTIMADA'!$A$18:$A$40,A692)</f>
        <v>0</v>
      </c>
    </row>
    <row r="693" spans="1:6" x14ac:dyDescent="0.3">
      <c r="A693" s="2" t="s">
        <v>508</v>
      </c>
      <c r="B693" s="19" t="str">
        <f>_xlfn.XLOOKUP(A693,CATÁLOGO!$A$2:$A$846,CATÁLOGO!$B$2:$B$846,"FORA DO CATÁLOGO")</f>
        <v>TRI015VM</v>
      </c>
      <c r="C693" s="13">
        <v>4</v>
      </c>
      <c r="D693" s="13" t="str">
        <f>_xlfn.XLOOKUP(A693,CATÁLOGO!$A$2:$A$846,CATÁLOGO!$E$2:$E$846,"FORA DO CATÁLOGO")</f>
        <v>Ativo</v>
      </c>
      <c r="E693" s="2"/>
      <c r="F693" s="62">
        <f>SUMIFS('AVARIA ESTIMADA'!$J$18:$J$40,'AVARIA ESTIMADA'!$A$18:$A$40,A693)</f>
        <v>0</v>
      </c>
    </row>
    <row r="694" spans="1:6" x14ac:dyDescent="0.3">
      <c r="A694" s="2" t="s">
        <v>509</v>
      </c>
      <c r="B694" s="19" t="str">
        <f>_xlfn.XLOOKUP(A694,CATÁLOGO!$A$2:$A$846,CATÁLOGO!$B$2:$B$846,"FORA DO CATÁLOGO")</f>
        <v>TRI015VG</v>
      </c>
      <c r="C694" s="13">
        <v>3</v>
      </c>
      <c r="D694" s="13" t="str">
        <f>_xlfn.XLOOKUP(A694,CATÁLOGO!$A$2:$A$846,CATÁLOGO!$E$2:$E$846,"FORA DO CATÁLOGO")</f>
        <v>Ativo</v>
      </c>
      <c r="E694" s="2"/>
      <c r="F694" s="62">
        <f>SUMIFS('AVARIA ESTIMADA'!$J$18:$J$40,'AVARIA ESTIMADA'!$A$18:$A$40,A694)</f>
        <v>0</v>
      </c>
    </row>
    <row r="695" spans="1:6" x14ac:dyDescent="0.3">
      <c r="A695" s="2" t="s">
        <v>510</v>
      </c>
      <c r="B695" s="19" t="str">
        <f>_xlfn.XLOOKUP(A695,CATÁLOGO!$A$2:$A$846,CATÁLOGO!$B$2:$B$846,"FORA DO CATÁLOGO")</f>
        <v>TRI015VGG</v>
      </c>
      <c r="C695" s="13">
        <v>2</v>
      </c>
      <c r="D695" s="13" t="str">
        <f>_xlfn.XLOOKUP(A695,CATÁLOGO!$A$2:$A$846,CATÁLOGO!$E$2:$E$846,"FORA DO CATÁLOGO")</f>
        <v>Ativo</v>
      </c>
      <c r="E695" s="2"/>
      <c r="F695" s="62">
        <f>SUMIFS('AVARIA ESTIMADA'!$J$18:$J$40,'AVARIA ESTIMADA'!$A$18:$A$40,A695)</f>
        <v>0</v>
      </c>
    </row>
    <row r="696" spans="1:6" x14ac:dyDescent="0.3">
      <c r="A696" s="2" t="s">
        <v>1711</v>
      </c>
      <c r="B696" s="19" t="str">
        <f>_xlfn.XLOOKUP(A696,CATÁLOGO!$A$2:$A$846,CATÁLOGO!$B$2:$B$846,"FORA DO CATÁLOGO")</f>
        <v>CAL028A36</v>
      </c>
      <c r="C696" s="13">
        <v>1</v>
      </c>
      <c r="D696" s="13" t="str">
        <f>_xlfn.XLOOKUP(A696,CATÁLOGO!$A$2:$A$846,CATÁLOGO!$E$2:$E$846,"FORA DO CATÁLOGO")</f>
        <v>Ativo</v>
      </c>
      <c r="E696" s="2"/>
      <c r="F696" s="62">
        <f>SUMIFS('AVARIA ESTIMADA'!$J$18:$J$40,'AVARIA ESTIMADA'!$A$18:$A$40,A696)</f>
        <v>0</v>
      </c>
    </row>
    <row r="697" spans="1:6" x14ac:dyDescent="0.3">
      <c r="A697" s="2" t="s">
        <v>1710</v>
      </c>
      <c r="B697" s="19" t="str">
        <f>_xlfn.XLOOKUP(A697,CATÁLOGO!$A$2:$A$846,CATÁLOGO!$B$2:$B$846,"FORA DO CATÁLOGO")</f>
        <v>CAL028A38</v>
      </c>
      <c r="C697" s="13">
        <v>1</v>
      </c>
      <c r="D697" s="13" t="str">
        <f>_xlfn.XLOOKUP(A697,CATÁLOGO!$A$2:$A$846,CATÁLOGO!$E$2:$E$846,"FORA DO CATÁLOGO")</f>
        <v>Ativo</v>
      </c>
      <c r="E697" s="2"/>
      <c r="F697" s="62">
        <f>SUMIFS('AVARIA ESTIMADA'!$J$18:$J$40,'AVARIA ESTIMADA'!$A$18:$A$40,A697)</f>
        <v>0</v>
      </c>
    </row>
    <row r="698" spans="1:6" x14ac:dyDescent="0.3">
      <c r="A698" s="2" t="s">
        <v>1709</v>
      </c>
      <c r="B698" s="19" t="str">
        <f>_xlfn.XLOOKUP(A698,CATÁLOGO!$A$2:$A$846,CATÁLOGO!$B$2:$B$846,"FORA DO CATÁLOGO")</f>
        <v>CAL028A40</v>
      </c>
      <c r="C698" s="13">
        <v>2</v>
      </c>
      <c r="D698" s="13" t="str">
        <f>_xlfn.XLOOKUP(A698,CATÁLOGO!$A$2:$A$846,CATÁLOGO!$E$2:$E$846,"FORA DO CATÁLOGO")</f>
        <v>Ativo</v>
      </c>
      <c r="E698" s="2" t="s">
        <v>1333</v>
      </c>
      <c r="F698" s="62">
        <f>SUMIFS('AVARIA ESTIMADA'!$J$18:$J$40,'AVARIA ESTIMADA'!$A$18:$A$40,A698)</f>
        <v>0</v>
      </c>
    </row>
    <row r="699" spans="1:6" x14ac:dyDescent="0.3">
      <c r="A699" s="2" t="s">
        <v>1706</v>
      </c>
      <c r="B699" s="19" t="str">
        <f>_xlfn.XLOOKUP(A699,CATÁLOGO!$A$2:$A$846,CATÁLOGO!$B$2:$B$846,"FORA DO CATÁLOGO")</f>
        <v>CAL028A42</v>
      </c>
      <c r="C699" s="13">
        <v>1</v>
      </c>
      <c r="D699" s="13" t="str">
        <f>_xlfn.XLOOKUP(A699,CATÁLOGO!$A$2:$A$846,CATÁLOGO!$E$2:$E$846,"FORA DO CATÁLOGO")</f>
        <v>Ativo</v>
      </c>
      <c r="E699" s="2"/>
      <c r="F699" s="62">
        <f>SUMIFS('AVARIA ESTIMADA'!$J$18:$J$40,'AVARIA ESTIMADA'!$A$18:$A$40,A699)</f>
        <v>0</v>
      </c>
    </row>
    <row r="700" spans="1:6" x14ac:dyDescent="0.3">
      <c r="A700" s="2" t="s">
        <v>1708</v>
      </c>
      <c r="B700" s="19" t="str">
        <f>_xlfn.XLOOKUP(A700,CATÁLOGO!$A$2:$A$846,CATÁLOGO!$B$2:$B$846,"FORA DO CATÁLOGO")</f>
        <v>CAL028A44</v>
      </c>
      <c r="C700" s="13">
        <v>1</v>
      </c>
      <c r="D700" s="13" t="str">
        <f>_xlfn.XLOOKUP(A700,CATÁLOGO!$A$2:$A$846,CATÁLOGO!$E$2:$E$846,"FORA DO CATÁLOGO")</f>
        <v>Ativo</v>
      </c>
      <c r="E700" s="2"/>
      <c r="F700" s="62">
        <f>SUMIFS('AVARIA ESTIMADA'!$J$18:$J$40,'AVARIA ESTIMADA'!$A$18:$A$40,A700)</f>
        <v>0</v>
      </c>
    </row>
    <row r="701" spans="1:6" x14ac:dyDescent="0.3">
      <c r="A701" s="2" t="s">
        <v>1813</v>
      </c>
      <c r="B701" s="19" t="str">
        <f>_xlfn.XLOOKUP(A701,CATÁLOGO!$A$2:$A$846,CATÁLOGO!$B$2:$B$846,"FORA DO CATÁLOGO")</f>
        <v>MOL001MPP</v>
      </c>
      <c r="C701" s="13">
        <v>1</v>
      </c>
      <c r="D701" s="13" t="str">
        <f>_xlfn.XLOOKUP(A701,CATÁLOGO!$A$2:$A$846,CATÁLOGO!$E$2:$E$846,"FORA DO CATÁLOGO")</f>
        <v>Ativo</v>
      </c>
      <c r="E701" s="2"/>
      <c r="F701" s="62">
        <f>SUMIFS('AVARIA ESTIMADA'!$J$18:$J$40,'AVARIA ESTIMADA'!$A$18:$A$40,A701)</f>
        <v>0</v>
      </c>
    </row>
    <row r="702" spans="1:6" x14ac:dyDescent="0.3">
      <c r="A702" s="2" t="s">
        <v>511</v>
      </c>
      <c r="B702" s="19" t="str">
        <f>_xlfn.XLOOKUP(A702,CATÁLOGO!$A$2:$A$846,CATÁLOGO!$B$2:$B$846,"FORA DO CATÁLOGO")</f>
        <v>MOL001MP</v>
      </c>
      <c r="C702" s="13">
        <v>3</v>
      </c>
      <c r="D702" s="13" t="str">
        <f>_xlfn.XLOOKUP(A702,CATÁLOGO!$A$2:$A$846,CATÁLOGO!$E$2:$E$846,"FORA DO CATÁLOGO")</f>
        <v>Ativo</v>
      </c>
      <c r="E702" s="2"/>
      <c r="F702" s="62">
        <f>SUMIFS('AVARIA ESTIMADA'!$J$18:$J$40,'AVARIA ESTIMADA'!$A$18:$A$40,A702)</f>
        <v>0</v>
      </c>
    </row>
    <row r="703" spans="1:6" x14ac:dyDescent="0.3">
      <c r="A703" s="2" t="s">
        <v>512</v>
      </c>
      <c r="B703" s="19" t="str">
        <f>_xlfn.XLOOKUP(A703,CATÁLOGO!$A$2:$A$846,CATÁLOGO!$B$2:$B$846,"FORA DO CATÁLOGO")</f>
        <v>MOL001MM</v>
      </c>
      <c r="C703" s="13">
        <v>4</v>
      </c>
      <c r="D703" s="13" t="str">
        <f>_xlfn.XLOOKUP(A703,CATÁLOGO!$A$2:$A$846,CATÁLOGO!$E$2:$E$846,"FORA DO CATÁLOGO")</f>
        <v>Ativo</v>
      </c>
      <c r="E703" s="2"/>
      <c r="F703" s="62">
        <f>SUMIFS('AVARIA ESTIMADA'!$J$18:$J$40,'AVARIA ESTIMADA'!$A$18:$A$40,A703)</f>
        <v>0</v>
      </c>
    </row>
    <row r="704" spans="1:6" x14ac:dyDescent="0.3">
      <c r="A704" s="2" t="s">
        <v>1273</v>
      </c>
      <c r="B704" s="19" t="str">
        <f>_xlfn.XLOOKUP(A704,CATÁLOGO!$A$2:$A$846,CATÁLOGO!$B$2:$B$846,"FORA DO CATÁLOGO")</f>
        <v>MOL001MG</v>
      </c>
      <c r="C704" s="13">
        <v>3</v>
      </c>
      <c r="D704" s="13" t="str">
        <f>_xlfn.XLOOKUP(A704,CATÁLOGO!$A$2:$A$846,CATÁLOGO!$E$2:$E$846,"FORA DO CATÁLOGO")</f>
        <v>Ativo</v>
      </c>
      <c r="E704" s="2" t="s">
        <v>1328</v>
      </c>
      <c r="F704" s="62">
        <f>SUMIFS('AVARIA ESTIMADA'!$J$18:$J$40,'AVARIA ESTIMADA'!$A$18:$A$40,A704)</f>
        <v>0</v>
      </c>
    </row>
    <row r="705" spans="1:6" x14ac:dyDescent="0.3">
      <c r="A705" s="2" t="s">
        <v>513</v>
      </c>
      <c r="B705" s="19" t="str">
        <f>_xlfn.XLOOKUP(A705,CATÁLOGO!$A$2:$A$846,CATÁLOGO!$B$2:$B$846,"FORA DO CATÁLOGO")</f>
        <v>MOL001MGG</v>
      </c>
      <c r="C705" s="13">
        <v>2</v>
      </c>
      <c r="D705" s="13" t="str">
        <f>_xlfn.XLOOKUP(A705,CATÁLOGO!$A$2:$A$846,CATÁLOGO!$E$2:$E$846,"FORA DO CATÁLOGO")</f>
        <v>Ativo</v>
      </c>
      <c r="E705" s="2"/>
      <c r="F705" s="62">
        <f>SUMIFS('AVARIA ESTIMADA'!$J$18:$J$40,'AVARIA ESTIMADA'!$A$18:$A$40,A705)</f>
        <v>0</v>
      </c>
    </row>
    <row r="706" spans="1:6" x14ac:dyDescent="0.3">
      <c r="A706" s="2" t="s">
        <v>1798</v>
      </c>
      <c r="B706" s="19" t="str">
        <f>_xlfn.XLOOKUP(A706,CATÁLOGO!$A$2:$A$846,CATÁLOGO!$B$2:$B$846,"FORA DO CATÁLOGO")</f>
        <v>CMS016HPP</v>
      </c>
      <c r="C706" s="13">
        <v>1</v>
      </c>
      <c r="D706" s="13" t="str">
        <f>_xlfn.XLOOKUP(A706,CATÁLOGO!$A$2:$A$846,CATÁLOGO!$E$2:$E$846,"FORA DO CATÁLOGO")</f>
        <v>Ativo</v>
      </c>
      <c r="E706" s="2"/>
      <c r="F706" s="62">
        <f>SUMIFS('AVARIA ESTIMADA'!$J$18:$J$40,'AVARIA ESTIMADA'!$A$18:$A$40,A706)</f>
        <v>0</v>
      </c>
    </row>
    <row r="707" spans="1:6" x14ac:dyDescent="0.3">
      <c r="A707" s="2" t="s">
        <v>514</v>
      </c>
      <c r="B707" s="19" t="str">
        <f>_xlfn.XLOOKUP(A707,CATÁLOGO!$A$2:$A$846,CATÁLOGO!$B$2:$B$846,"FORA DO CATÁLOGO")</f>
        <v>CMS016HP</v>
      </c>
      <c r="C707" s="13">
        <v>2</v>
      </c>
      <c r="D707" s="13" t="str">
        <f>_xlfn.XLOOKUP(A707,CATÁLOGO!$A$2:$A$846,CATÁLOGO!$E$2:$E$846,"FORA DO CATÁLOGO")</f>
        <v>Ativo</v>
      </c>
      <c r="E707" s="2" t="s">
        <v>1336</v>
      </c>
      <c r="F707" s="62">
        <f>SUMIFS('AVARIA ESTIMADA'!$J$18:$J$40,'AVARIA ESTIMADA'!$A$18:$A$40,A707)</f>
        <v>0</v>
      </c>
    </row>
    <row r="708" spans="1:6" x14ac:dyDescent="0.3">
      <c r="A708" s="2" t="s">
        <v>515</v>
      </c>
      <c r="B708" s="19" t="str">
        <f>_xlfn.XLOOKUP(A708,CATÁLOGO!$A$2:$A$846,CATÁLOGO!$B$2:$B$846,"FORA DO CATÁLOGO")</f>
        <v>CMS016HM</v>
      </c>
      <c r="C708" s="13">
        <v>2</v>
      </c>
      <c r="D708" s="13" t="str">
        <f>_xlfn.XLOOKUP(A708,CATÁLOGO!$A$2:$A$846,CATÁLOGO!$E$2:$E$846,"FORA DO CATÁLOGO")</f>
        <v>Ativo</v>
      </c>
      <c r="E708" s="2" t="s">
        <v>1290</v>
      </c>
      <c r="F708" s="62">
        <f>SUMIFS('AVARIA ESTIMADA'!$J$18:$J$40,'AVARIA ESTIMADA'!$A$18:$A$40,A708)</f>
        <v>0</v>
      </c>
    </row>
    <row r="709" spans="1:6" x14ac:dyDescent="0.3">
      <c r="A709" s="2" t="s">
        <v>516</v>
      </c>
      <c r="B709" s="19" t="str">
        <f>_xlfn.XLOOKUP(A709,CATÁLOGO!$A$2:$A$846,CATÁLOGO!$B$2:$B$846,"FORA DO CATÁLOGO")</f>
        <v>CMS016HG</v>
      </c>
      <c r="C709" s="13">
        <v>1</v>
      </c>
      <c r="D709" s="13" t="str">
        <f>_xlfn.XLOOKUP(A709,CATÁLOGO!$A$2:$A$846,CATÁLOGO!$E$2:$E$846,"FORA DO CATÁLOGO")</f>
        <v>Ativo</v>
      </c>
      <c r="E709" s="2"/>
      <c r="F709" s="62">
        <f>SUMIFS('AVARIA ESTIMADA'!$J$18:$J$40,'AVARIA ESTIMADA'!$A$18:$A$40,A709)</f>
        <v>0</v>
      </c>
    </row>
    <row r="710" spans="1:6" x14ac:dyDescent="0.3">
      <c r="A710" s="2" t="s">
        <v>517</v>
      </c>
      <c r="B710" s="19" t="str">
        <f>_xlfn.XLOOKUP(A710,CATÁLOGO!$A$2:$A$846,CATÁLOGO!$B$2:$B$846,"FORA DO CATÁLOGO")</f>
        <v>CMS016HGG</v>
      </c>
      <c r="C710" s="13">
        <v>1</v>
      </c>
      <c r="D710" s="13" t="str">
        <f>_xlfn.XLOOKUP(A710,CATÁLOGO!$A$2:$A$846,CATÁLOGO!$E$2:$E$846,"FORA DO CATÁLOGO")</f>
        <v>Ativo</v>
      </c>
      <c r="E710" s="2"/>
      <c r="F710" s="62">
        <f>SUMIFS('AVARIA ESTIMADA'!$J$18:$J$40,'AVARIA ESTIMADA'!$A$18:$A$40,A710)</f>
        <v>0</v>
      </c>
    </row>
    <row r="711" spans="1:6" x14ac:dyDescent="0.3">
      <c r="A711" s="2" t="s">
        <v>1274</v>
      </c>
      <c r="B711" s="19" t="str">
        <f>_xlfn.XLOOKUP(A711,CATÁLOGO!$A$2:$A$846,CATÁLOGO!$B$2:$B$846,"FORA DO CATÁLOGO")</f>
        <v>CMS016BP</v>
      </c>
      <c r="C711" s="13">
        <v>1</v>
      </c>
      <c r="D711" s="13" t="str">
        <f>_xlfn.XLOOKUP(A711,CATÁLOGO!$A$2:$A$846,CATÁLOGO!$E$2:$E$846,"FORA DO CATÁLOGO")</f>
        <v>Ativo</v>
      </c>
      <c r="E711" s="2"/>
      <c r="F711" s="62">
        <f>SUMIFS('AVARIA ESTIMADA'!$J$18:$J$40,'AVARIA ESTIMADA'!$A$18:$A$40,A711)</f>
        <v>0</v>
      </c>
    </row>
    <row r="712" spans="1:6" x14ac:dyDescent="0.3">
      <c r="A712" s="2" t="s">
        <v>518</v>
      </c>
      <c r="B712" s="19" t="str">
        <f>_xlfn.XLOOKUP(A712,CATÁLOGO!$A$2:$A$846,CATÁLOGO!$B$2:$B$846,"FORA DO CATÁLOGO")</f>
        <v>CMS016BM</v>
      </c>
      <c r="C712" s="13">
        <v>1</v>
      </c>
      <c r="D712" s="13" t="str">
        <f>_xlfn.XLOOKUP(A712,CATÁLOGO!$A$2:$A$846,CATÁLOGO!$E$2:$E$846,"FORA DO CATÁLOGO")</f>
        <v>Ativo</v>
      </c>
      <c r="E712" s="2"/>
      <c r="F712" s="62">
        <f>SUMIFS('AVARIA ESTIMADA'!$J$18:$J$40,'AVARIA ESTIMADA'!$A$18:$A$40,A712)</f>
        <v>0</v>
      </c>
    </row>
    <row r="713" spans="1:6" x14ac:dyDescent="0.3">
      <c r="A713" s="2" t="s">
        <v>519</v>
      </c>
      <c r="B713" s="19" t="str">
        <f>_xlfn.XLOOKUP(A713,CATÁLOGO!$A$2:$A$846,CATÁLOGO!$B$2:$B$846,"FORA DO CATÁLOGO")</f>
        <v>CMS016BG</v>
      </c>
      <c r="C713" s="13">
        <v>1</v>
      </c>
      <c r="D713" s="13" t="str">
        <f>_xlfn.XLOOKUP(A713,CATÁLOGO!$A$2:$A$846,CATÁLOGO!$E$2:$E$846,"FORA DO CATÁLOGO")</f>
        <v>Ativo</v>
      </c>
      <c r="E713" s="2"/>
      <c r="F713" s="62">
        <f>SUMIFS('AVARIA ESTIMADA'!$J$18:$J$40,'AVARIA ESTIMADA'!$A$18:$A$40,A713)</f>
        <v>0</v>
      </c>
    </row>
    <row r="714" spans="1:6" x14ac:dyDescent="0.3">
      <c r="A714" s="2" t="s">
        <v>520</v>
      </c>
      <c r="B714" s="19" t="str">
        <f>_xlfn.XLOOKUP(A714,CATÁLOGO!$A$2:$A$846,CATÁLOGO!$B$2:$B$846,"FORA DO CATÁLOGO")</f>
        <v>CMS016BGG</v>
      </c>
      <c r="C714" s="13">
        <v>1</v>
      </c>
      <c r="D714" s="13" t="str">
        <f>_xlfn.XLOOKUP(A714,CATÁLOGO!$A$2:$A$846,CATÁLOGO!$E$2:$E$846,"FORA DO CATÁLOGO")</f>
        <v>Ativo</v>
      </c>
      <c r="E714" s="2"/>
      <c r="F714" s="62">
        <f>SUMIFS('AVARIA ESTIMADA'!$J$18:$J$40,'AVARIA ESTIMADA'!$A$18:$A$40,A714)</f>
        <v>0</v>
      </c>
    </row>
    <row r="715" spans="1:6" x14ac:dyDescent="0.3">
      <c r="A715" s="2" t="s">
        <v>521</v>
      </c>
      <c r="B715" s="19" t="str">
        <f>_xlfn.XLOOKUP(A715,CATÁLOGO!$A$2:$A$846,CATÁLOGO!$B$2:$B$846,"FORA DO CATÁLOGO")</f>
        <v>MOL022YP</v>
      </c>
      <c r="C715" s="13">
        <v>3</v>
      </c>
      <c r="D715" s="13" t="str">
        <f>_xlfn.XLOOKUP(A715,CATÁLOGO!$A$2:$A$846,CATÁLOGO!$E$2:$E$846,"FORA DO CATÁLOGO")</f>
        <v>Ativo</v>
      </c>
      <c r="E715" s="2"/>
      <c r="F715" s="62">
        <f>SUMIFS('AVARIA ESTIMADA'!$J$18:$J$40,'AVARIA ESTIMADA'!$A$18:$A$40,A715)</f>
        <v>0</v>
      </c>
    </row>
    <row r="716" spans="1:6" x14ac:dyDescent="0.3">
      <c r="A716" s="2" t="s">
        <v>523</v>
      </c>
      <c r="B716" s="19" t="str">
        <f>_xlfn.XLOOKUP(A716,CATÁLOGO!$A$2:$A$846,CATÁLOGO!$B$2:$B$846,"FORA DO CATÁLOGO")</f>
        <v>MOL022YG</v>
      </c>
      <c r="C716" s="13">
        <v>3</v>
      </c>
      <c r="D716" s="13" t="str">
        <f>_xlfn.XLOOKUP(A716,CATÁLOGO!$A$2:$A$846,CATÁLOGO!$E$2:$E$846,"FORA DO CATÁLOGO")</f>
        <v>Ativo</v>
      </c>
      <c r="E716" s="2"/>
      <c r="F716" s="62">
        <f>SUMIFS('AVARIA ESTIMADA'!$J$18:$J$40,'AVARIA ESTIMADA'!$A$18:$A$40,A716)</f>
        <v>0</v>
      </c>
    </row>
    <row r="717" spans="1:6" x14ac:dyDescent="0.3">
      <c r="A717" s="2" t="s">
        <v>524</v>
      </c>
      <c r="B717" s="19" t="str">
        <f>_xlfn.XLOOKUP(A717,CATÁLOGO!$A$2:$A$846,CATÁLOGO!$B$2:$B$846,"FORA DO CATÁLOGO")</f>
        <v>MOL022YGG</v>
      </c>
      <c r="C717" s="13">
        <v>3</v>
      </c>
      <c r="D717" s="13" t="str">
        <f>_xlfn.XLOOKUP(A717,CATÁLOGO!$A$2:$A$846,CATÁLOGO!$E$2:$E$846,"FORA DO CATÁLOGO")</f>
        <v>Ativo</v>
      </c>
      <c r="E717" s="2"/>
      <c r="F717" s="62">
        <f>SUMIFS('AVARIA ESTIMADA'!$J$18:$J$40,'AVARIA ESTIMADA'!$A$18:$A$40,A717)</f>
        <v>0</v>
      </c>
    </row>
    <row r="718" spans="1:6" x14ac:dyDescent="0.3">
      <c r="A718" s="2" t="s">
        <v>525</v>
      </c>
      <c r="B718" s="19" t="str">
        <f>_xlfn.XLOOKUP(A718,CATÁLOGO!$A$2:$A$846,CATÁLOGO!$B$2:$B$846,"FORA DO CATÁLOGO")</f>
        <v>JAQ011VP</v>
      </c>
      <c r="C718" s="13">
        <v>4</v>
      </c>
      <c r="D718" s="13" t="str">
        <f>_xlfn.XLOOKUP(A718,CATÁLOGO!$A$2:$A$846,CATÁLOGO!$E$2:$E$846,"FORA DO CATÁLOGO")</f>
        <v>Ativo</v>
      </c>
      <c r="E718" s="2"/>
      <c r="F718" s="62">
        <f>SUMIFS('AVARIA ESTIMADA'!$J$18:$J$40,'AVARIA ESTIMADA'!$A$18:$A$40,A718)</f>
        <v>0</v>
      </c>
    </row>
    <row r="719" spans="1:6" x14ac:dyDescent="0.3">
      <c r="A719" s="2" t="s">
        <v>526</v>
      </c>
      <c r="B719" s="19" t="str">
        <f>_xlfn.XLOOKUP(A719,CATÁLOGO!$A$2:$A$846,CATÁLOGO!$B$2:$B$846,"FORA DO CATÁLOGO")</f>
        <v>JAQ011VM</v>
      </c>
      <c r="C719" s="13">
        <v>6</v>
      </c>
      <c r="D719" s="13" t="str">
        <f>_xlfn.XLOOKUP(A719,CATÁLOGO!$A$2:$A$846,CATÁLOGO!$E$2:$E$846,"FORA DO CATÁLOGO")</f>
        <v>Ativo</v>
      </c>
      <c r="E719" s="2"/>
      <c r="F719" s="62">
        <f>SUMIFS('AVARIA ESTIMADA'!$J$18:$J$40,'AVARIA ESTIMADA'!$A$18:$A$40,A719)</f>
        <v>0</v>
      </c>
    </row>
    <row r="720" spans="1:6" x14ac:dyDescent="0.3">
      <c r="A720" s="2" t="s">
        <v>527</v>
      </c>
      <c r="B720" s="19" t="str">
        <f>_xlfn.XLOOKUP(A720,CATÁLOGO!$A$2:$A$846,CATÁLOGO!$B$2:$B$846,"FORA DO CATÁLOGO")</f>
        <v>JAQ011VG</v>
      </c>
      <c r="C720" s="13">
        <v>5</v>
      </c>
      <c r="D720" s="13" t="str">
        <f>_xlfn.XLOOKUP(A720,CATÁLOGO!$A$2:$A$846,CATÁLOGO!$E$2:$E$846,"FORA DO CATÁLOGO")</f>
        <v>Ativo</v>
      </c>
      <c r="E720" s="2"/>
      <c r="F720" s="62">
        <f>SUMIFS('AVARIA ESTIMADA'!$J$18:$J$40,'AVARIA ESTIMADA'!$A$18:$A$40,A720)</f>
        <v>0</v>
      </c>
    </row>
    <row r="721" spans="1:6" x14ac:dyDescent="0.3">
      <c r="A721" s="2" t="s">
        <v>528</v>
      </c>
      <c r="B721" s="19" t="str">
        <f>_xlfn.XLOOKUP(A721,CATÁLOGO!$A$2:$A$846,CATÁLOGO!$B$2:$B$846,"FORA DO CATÁLOGO")</f>
        <v>JAQ011VGG</v>
      </c>
      <c r="C721" s="13">
        <v>3</v>
      </c>
      <c r="D721" s="13" t="str">
        <f>_xlfn.XLOOKUP(A721,CATÁLOGO!$A$2:$A$846,CATÁLOGO!$E$2:$E$846,"FORA DO CATÁLOGO")</f>
        <v>Ativo</v>
      </c>
      <c r="E721" s="2" t="s">
        <v>1333</v>
      </c>
      <c r="F721" s="62">
        <f>SUMIFS('AVARIA ESTIMADA'!$J$18:$J$40,'AVARIA ESTIMADA'!$A$18:$A$40,A721)</f>
        <v>0</v>
      </c>
    </row>
  </sheetData>
  <conditionalFormatting sqref="D2:D721">
    <cfRule type="containsText" dxfId="12" priority="1" operator="containsText" text="Descontinuado">
      <formula>NOT(ISERROR(SEARCH("Descontinuado",D2)))</formula>
    </cfRule>
    <cfRule type="containsText" dxfId="11" priority="2" operator="containsText" text="Fora do catálogo">
      <formula>NOT(ISERROR(SEARCH("Fora do catálogo",D2)))</formula>
    </cfRule>
    <cfRule type="containsText" dxfId="10" priority="3" operator="containsText" text="FORA DO CATÁLOGO">
      <formula>NOT(ISERROR(SEARCH("FORA DO CATÁLOGO",D2)))</formula>
    </cfRule>
  </conditionalFormatting>
  <conditionalFormatting sqref="F2:F721">
    <cfRule type="cellIs" dxfId="0" priority="4" operator="greaterThan">
      <formula>0</formula>
    </cfRule>
  </conditionalFormatting>
  <conditionalFormatting sqref="I12:I40">
    <cfRule type="dataBar" priority="5">
      <dataBar>
        <cfvo type="num" val="0"/>
        <cfvo type="max"/>
        <color rgb="FFF4B183"/>
      </dataBar>
      <extLst>
        <ext xmlns:x14="http://schemas.microsoft.com/office/spreadsheetml/2009/9/main" uri="{B025F937-C7B1-47D3-B67F-A62EFF666E3E}">
          <x14:id>{7A13085B-C8FF-4093-8813-4220377F425B}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13085B-C8FF-4093-8813-4220377F425B}">
            <x14:dataBar minLength="0" maxLength="100" gradient="0" direction="leftToRight" negativeBarColorSameAsPositive="1" axisPosition="none">
              <x14:cfvo type="num">
                <xm:f>0</xm:f>
              </x14:cfvo>
              <x14:cfvo type="max"/>
            </x14:dataBar>
          </x14:cfRule>
          <xm:sqref>I12:I40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4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27.77734375" customWidth="1"/>
    <col min="2" max="2" width="16.6640625" customWidth="1"/>
    <col min="3" max="3" width="11.109375" customWidth="1"/>
    <col min="4" max="5" width="17.5546875" customWidth="1"/>
    <col min="6" max="6" width="24.109375" customWidth="1"/>
    <col min="7" max="7" width="55.5546875" customWidth="1"/>
  </cols>
  <sheetData>
    <row r="1" spans="1:7" x14ac:dyDescent="0.3">
      <c r="A1" s="12" t="s">
        <v>0</v>
      </c>
      <c r="B1" s="12" t="s">
        <v>1413</v>
      </c>
      <c r="C1" s="12" t="s">
        <v>1</v>
      </c>
      <c r="D1" s="12" t="s">
        <v>1376</v>
      </c>
      <c r="E1" s="12" t="s">
        <v>1377</v>
      </c>
      <c r="F1" s="15" t="s">
        <v>1416</v>
      </c>
      <c r="G1" s="15" t="s">
        <v>2</v>
      </c>
    </row>
    <row r="2" spans="1:7" x14ac:dyDescent="0.3">
      <c r="A2" s="2" t="s">
        <v>1449</v>
      </c>
      <c r="B2" s="19" t="str">
        <f>_xlfn.XLOOKUP(A2,CATÁLOGO!$A$2:$A$846,CATÁLOGO!$B$2:$B$846,"FORA DO CATÁLOGO")</f>
        <v>BER001B38</v>
      </c>
      <c r="C2" s="13">
        <v>6</v>
      </c>
      <c r="D2" s="13">
        <v>2</v>
      </c>
      <c r="E2" s="13">
        <v>4</v>
      </c>
      <c r="F2" s="16" t="str">
        <f>_xlfn.XLOOKUP(A2,CATÁLOGO!$A$2:$A$846,CATÁLOGO!$E$2:$E$846,"FORA DO CATÁLOGO")</f>
        <v>Ativo</v>
      </c>
      <c r="G2" s="14"/>
    </row>
    <row r="3" spans="1:7" x14ac:dyDescent="0.3">
      <c r="A3" s="2" t="s">
        <v>1448</v>
      </c>
      <c r="B3" s="19" t="str">
        <f>_xlfn.XLOOKUP(A3,CATÁLOGO!$A$2:$A$846,CATÁLOGO!$B$2:$B$846,"FORA DO CATÁLOGO")</f>
        <v>BER001B40</v>
      </c>
      <c r="C3" s="13">
        <v>4</v>
      </c>
      <c r="D3" s="13">
        <v>0</v>
      </c>
      <c r="E3" s="13">
        <v>4</v>
      </c>
      <c r="F3" s="16" t="str">
        <f>_xlfn.XLOOKUP(A3,CATÁLOGO!$A$2:$A$846,CATÁLOGO!$E$2:$E$846,"FORA DO CATÁLOGO")</f>
        <v>Ativo</v>
      </c>
      <c r="G3" s="14"/>
    </row>
    <row r="4" spans="1:7" x14ac:dyDescent="0.3">
      <c r="A4" s="2" t="s">
        <v>1445</v>
      </c>
      <c r="B4" s="19" t="str">
        <f>_xlfn.XLOOKUP(A4,CATÁLOGO!$A$2:$A$846,CATÁLOGO!$B$2:$B$846,"FORA DO CATÁLOGO")</f>
        <v>BER001B42</v>
      </c>
      <c r="C4" s="13">
        <v>2</v>
      </c>
      <c r="D4" s="13">
        <v>2</v>
      </c>
      <c r="E4" s="13">
        <v>0</v>
      </c>
      <c r="F4" s="16" t="str">
        <f>_xlfn.XLOOKUP(A4,CATÁLOGO!$A$2:$A$846,CATÁLOGO!$E$2:$E$846,"FORA DO CATÁLOGO")</f>
        <v>Ativo</v>
      </c>
      <c r="G4" s="14"/>
    </row>
    <row r="5" spans="1:7" x14ac:dyDescent="0.3">
      <c r="A5" s="2" t="s">
        <v>1447</v>
      </c>
      <c r="B5" s="19" t="str">
        <f>_xlfn.XLOOKUP(A5,CATÁLOGO!$A$2:$A$846,CATÁLOGO!$B$2:$B$846,"FORA DO CATÁLOGO")</f>
        <v>BER001B44</v>
      </c>
      <c r="C5" s="13">
        <v>4</v>
      </c>
      <c r="D5" s="13">
        <v>0</v>
      </c>
      <c r="E5" s="13">
        <v>4</v>
      </c>
      <c r="F5" s="16" t="str">
        <f>_xlfn.XLOOKUP(A5,CATÁLOGO!$A$2:$A$846,CATÁLOGO!$E$2:$E$846,"FORA DO CATÁLOGO")</f>
        <v>Ativo</v>
      </c>
      <c r="G5" s="14"/>
    </row>
    <row r="6" spans="1:7" x14ac:dyDescent="0.3">
      <c r="A6" s="2" t="s">
        <v>1517</v>
      </c>
      <c r="B6" s="19" t="str">
        <f>_xlfn.XLOOKUP(A6,CATÁLOGO!$A$2:$A$846,CATÁLOGO!$B$2:$B$846,"FORA DO CATÁLOGO")</f>
        <v>CAL003P38</v>
      </c>
      <c r="C6" s="13">
        <v>2</v>
      </c>
      <c r="D6" s="13">
        <v>0</v>
      </c>
      <c r="E6" s="13">
        <v>2</v>
      </c>
      <c r="F6" s="16" t="str">
        <f>_xlfn.XLOOKUP(A6,CATÁLOGO!$A$2:$A$846,CATÁLOGO!$E$2:$E$846,"FORA DO CATÁLOGO")</f>
        <v>Ativo</v>
      </c>
      <c r="G6" s="14"/>
    </row>
    <row r="7" spans="1:7" x14ac:dyDescent="0.3">
      <c r="A7" s="2" t="s">
        <v>1516</v>
      </c>
      <c r="B7" s="19" t="str">
        <f>_xlfn.XLOOKUP(A7,CATÁLOGO!$A$2:$A$846,CATÁLOGO!$B$2:$B$846,"FORA DO CATÁLOGO")</f>
        <v>CAL003P40</v>
      </c>
      <c r="C7" s="13">
        <v>10</v>
      </c>
      <c r="D7" s="13">
        <v>0</v>
      </c>
      <c r="E7" s="13">
        <v>10</v>
      </c>
      <c r="F7" s="16" t="str">
        <f>_xlfn.XLOOKUP(A7,CATÁLOGO!$A$2:$A$846,CATÁLOGO!$E$2:$E$846,"FORA DO CATÁLOGO")</f>
        <v>Ativo</v>
      </c>
      <c r="G7" s="14"/>
    </row>
    <row r="8" spans="1:7" x14ac:dyDescent="0.3">
      <c r="A8" s="2" t="s">
        <v>1513</v>
      </c>
      <c r="B8" s="19" t="str">
        <f>_xlfn.XLOOKUP(A8,CATÁLOGO!$A$2:$A$846,CATÁLOGO!$B$2:$B$846,"FORA DO CATÁLOGO")</f>
        <v>CAL003P42</v>
      </c>
      <c r="C8" s="13">
        <v>9</v>
      </c>
      <c r="D8" s="13">
        <v>0</v>
      </c>
      <c r="E8" s="13">
        <v>9</v>
      </c>
      <c r="F8" s="16" t="str">
        <f>_xlfn.XLOOKUP(A8,CATÁLOGO!$A$2:$A$846,CATÁLOGO!$E$2:$E$846,"FORA DO CATÁLOGO")</f>
        <v>Ativo</v>
      </c>
      <c r="G8" s="14"/>
    </row>
    <row r="9" spans="1:7" x14ac:dyDescent="0.3">
      <c r="A9" s="2" t="s">
        <v>1515</v>
      </c>
      <c r="B9" s="19" t="str">
        <f>_xlfn.XLOOKUP(A9,CATÁLOGO!$A$2:$A$846,CATÁLOGO!$B$2:$B$846,"FORA DO CATÁLOGO")</f>
        <v>CAL003P44</v>
      </c>
      <c r="C9" s="13">
        <v>9</v>
      </c>
      <c r="D9" s="13">
        <v>0</v>
      </c>
      <c r="E9" s="13">
        <v>9</v>
      </c>
      <c r="F9" s="16" t="str">
        <f>_xlfn.XLOOKUP(A9,CATÁLOGO!$A$2:$A$846,CATÁLOGO!$E$2:$E$846,"FORA DO CATÁLOGO")</f>
        <v>Ativo</v>
      </c>
      <c r="G9" s="14"/>
    </row>
    <row r="10" spans="1:7" x14ac:dyDescent="0.3">
      <c r="A10" s="2" t="s">
        <v>1532</v>
      </c>
      <c r="B10" s="19" t="str">
        <f>_xlfn.XLOOKUP(A10,CATÁLOGO!$A$2:$A$846,CATÁLOGO!$B$2:$B$846,"FORA DO CATÁLOGO")</f>
        <v>CAL004C36</v>
      </c>
      <c r="C10" s="13">
        <v>6</v>
      </c>
      <c r="D10" s="13">
        <v>0</v>
      </c>
      <c r="E10" s="13">
        <v>6</v>
      </c>
      <c r="F10" s="16" t="str">
        <f>_xlfn.XLOOKUP(A10,CATÁLOGO!$A$2:$A$846,CATÁLOGO!$E$2:$E$846,"FORA DO CATÁLOGO")</f>
        <v>Ativo</v>
      </c>
      <c r="G10" s="14"/>
    </row>
    <row r="11" spans="1:7" x14ac:dyDescent="0.3">
      <c r="A11" s="2" t="s">
        <v>1530</v>
      </c>
      <c r="B11" s="19" t="str">
        <f>_xlfn.XLOOKUP(A11,CATÁLOGO!$A$2:$A$846,CATÁLOGO!$B$2:$B$846,"FORA DO CATÁLOGO")</f>
        <v>CAL004C38</v>
      </c>
      <c r="C11" s="13">
        <v>3</v>
      </c>
      <c r="D11" s="13">
        <v>0</v>
      </c>
      <c r="E11" s="13">
        <v>3</v>
      </c>
      <c r="F11" s="16" t="str">
        <f>_xlfn.XLOOKUP(A11,CATÁLOGO!$A$2:$A$846,CATÁLOGO!$E$2:$E$846,"FORA DO CATÁLOGO")</f>
        <v>Ativo</v>
      </c>
      <c r="G11" s="14"/>
    </row>
    <row r="12" spans="1:7" x14ac:dyDescent="0.3">
      <c r="A12" s="2" t="s">
        <v>1529</v>
      </c>
      <c r="B12" s="19" t="str">
        <f>_xlfn.XLOOKUP(A12,CATÁLOGO!$A$2:$A$846,CATÁLOGO!$B$2:$B$846,"FORA DO CATÁLOGO")</f>
        <v>CAL004C40</v>
      </c>
      <c r="C12" s="13">
        <v>12</v>
      </c>
      <c r="D12" s="13">
        <v>2</v>
      </c>
      <c r="E12" s="13">
        <v>10</v>
      </c>
      <c r="F12" s="16" t="str">
        <f>_xlfn.XLOOKUP(A12,CATÁLOGO!$A$2:$A$846,CATÁLOGO!$E$2:$E$846,"FORA DO CATÁLOGO")</f>
        <v>Ativo</v>
      </c>
      <c r="G12" s="14"/>
    </row>
    <row r="13" spans="1:7" x14ac:dyDescent="0.3">
      <c r="A13" s="2" t="s">
        <v>1527</v>
      </c>
      <c r="B13" s="19" t="str">
        <f>_xlfn.XLOOKUP(A13,CATÁLOGO!$A$2:$A$846,CATÁLOGO!$B$2:$B$846,"FORA DO CATÁLOGO")</f>
        <v>CAL004C42</v>
      </c>
      <c r="C13" s="13">
        <v>6</v>
      </c>
      <c r="D13" s="13">
        <v>0</v>
      </c>
      <c r="E13" s="13">
        <v>6</v>
      </c>
      <c r="F13" s="16" t="str">
        <f>_xlfn.XLOOKUP(A13,CATÁLOGO!$A$2:$A$846,CATÁLOGO!$E$2:$E$846,"FORA DO CATÁLOGO")</f>
        <v>Ativo</v>
      </c>
      <c r="G13" s="14"/>
    </row>
    <row r="14" spans="1:7" x14ac:dyDescent="0.3">
      <c r="A14" s="2" t="s">
        <v>1528</v>
      </c>
      <c r="B14" s="19" t="str">
        <f>_xlfn.XLOOKUP(A14,CATÁLOGO!$A$2:$A$846,CATÁLOGO!$B$2:$B$846,"FORA DO CATÁLOGO")</f>
        <v>CAL004C44</v>
      </c>
      <c r="C14" s="13">
        <v>7</v>
      </c>
      <c r="D14" s="13">
        <v>0</v>
      </c>
      <c r="E14" s="13">
        <v>7</v>
      </c>
      <c r="F14" s="16" t="str">
        <f>_xlfn.XLOOKUP(A14,CATÁLOGO!$A$2:$A$846,CATÁLOGO!$E$2:$E$846,"FORA DO CATÁLOGO")</f>
        <v>Ativo</v>
      </c>
      <c r="G14" s="14"/>
    </row>
    <row r="15" spans="1:7" x14ac:dyDescent="0.3">
      <c r="A15" s="2" t="s">
        <v>1531</v>
      </c>
      <c r="B15" s="19" t="str">
        <f>_xlfn.XLOOKUP(A15,CATÁLOGO!$A$2:$A$846,CATÁLOGO!$B$2:$B$846,"FORA DO CATÁLOGO")</f>
        <v>CAL004C46</v>
      </c>
      <c r="C15" s="13">
        <v>6</v>
      </c>
      <c r="D15" s="13">
        <v>0</v>
      </c>
      <c r="E15" s="13">
        <v>6</v>
      </c>
      <c r="F15" s="16" t="str">
        <f>_xlfn.XLOOKUP(A15,CATÁLOGO!$A$2:$A$846,CATÁLOGO!$E$2:$E$846,"FORA DO CATÁLOGO")</f>
        <v>Ativo</v>
      </c>
      <c r="G15" s="14"/>
    </row>
    <row r="16" spans="1:7" x14ac:dyDescent="0.3">
      <c r="A16" s="2" t="s">
        <v>1526</v>
      </c>
      <c r="B16" s="19" t="str">
        <f>_xlfn.XLOOKUP(A16,CATÁLOGO!$A$2:$A$846,CATÁLOGO!$B$2:$B$846,"FORA DO CATÁLOGO")</f>
        <v>CAL004G36</v>
      </c>
      <c r="C16" s="13">
        <v>9</v>
      </c>
      <c r="D16" s="13">
        <v>0</v>
      </c>
      <c r="E16" s="13">
        <v>9</v>
      </c>
      <c r="F16" s="16" t="str">
        <f>_xlfn.XLOOKUP(A16,CATÁLOGO!$A$2:$A$846,CATÁLOGO!$E$2:$E$846,"FORA DO CATÁLOGO")</f>
        <v>Ativo</v>
      </c>
      <c r="G16" s="14"/>
    </row>
    <row r="17" spans="1:7" x14ac:dyDescent="0.3">
      <c r="A17" s="2" t="s">
        <v>1524</v>
      </c>
      <c r="B17" s="19" t="str">
        <f>_xlfn.XLOOKUP(A17,CATÁLOGO!$A$2:$A$846,CATÁLOGO!$B$2:$B$846,"FORA DO CATÁLOGO")</f>
        <v>CAL004G38</v>
      </c>
      <c r="C17" s="13">
        <v>7</v>
      </c>
      <c r="D17" s="13">
        <v>0</v>
      </c>
      <c r="E17" s="13">
        <v>7</v>
      </c>
      <c r="F17" s="16" t="str">
        <f>_xlfn.XLOOKUP(A17,CATÁLOGO!$A$2:$A$846,CATÁLOGO!$E$2:$E$846,"FORA DO CATÁLOGO")</f>
        <v>Ativo</v>
      </c>
      <c r="G17" s="14"/>
    </row>
    <row r="18" spans="1:7" x14ac:dyDescent="0.3">
      <c r="A18" s="2" t="s">
        <v>1523</v>
      </c>
      <c r="B18" s="19" t="str">
        <f>_xlfn.XLOOKUP(A18,CATÁLOGO!$A$2:$A$846,CATÁLOGO!$B$2:$B$846,"FORA DO CATÁLOGO")</f>
        <v>CAL004G40</v>
      </c>
      <c r="C18" s="13">
        <v>11</v>
      </c>
      <c r="D18" s="13">
        <v>2</v>
      </c>
      <c r="E18" s="13">
        <v>9</v>
      </c>
      <c r="F18" s="16" t="str">
        <f>_xlfn.XLOOKUP(A18,CATÁLOGO!$A$2:$A$846,CATÁLOGO!$E$2:$E$846,"FORA DO CATÁLOGO")</f>
        <v>Ativo</v>
      </c>
      <c r="G18" s="14"/>
    </row>
    <row r="19" spans="1:7" x14ac:dyDescent="0.3">
      <c r="A19" s="2" t="s">
        <v>1518</v>
      </c>
      <c r="B19" s="19" t="str">
        <f>_xlfn.XLOOKUP(A19,CATÁLOGO!$A$2:$A$846,CATÁLOGO!$B$2:$B$846,"FORA DO CATÁLOGO")</f>
        <v>CAL004G42</v>
      </c>
      <c r="C19" s="13">
        <v>7</v>
      </c>
      <c r="D19" s="13">
        <v>0</v>
      </c>
      <c r="E19" s="13">
        <v>7</v>
      </c>
      <c r="F19" s="16" t="str">
        <f>_xlfn.XLOOKUP(A19,CATÁLOGO!$A$2:$A$846,CATÁLOGO!$E$2:$E$846,"FORA DO CATÁLOGO")</f>
        <v>Ativo</v>
      </c>
      <c r="G19" s="14"/>
    </row>
    <row r="20" spans="1:7" x14ac:dyDescent="0.3">
      <c r="A20" s="2" t="s">
        <v>1521</v>
      </c>
      <c r="B20" s="19" t="str">
        <f>_xlfn.XLOOKUP(A20,CATÁLOGO!$A$2:$A$846,CATÁLOGO!$B$2:$B$846,"FORA DO CATÁLOGO")</f>
        <v>CAL004G44</v>
      </c>
      <c r="C20" s="13">
        <v>4</v>
      </c>
      <c r="D20" s="13">
        <v>1</v>
      </c>
      <c r="E20" s="13">
        <v>3</v>
      </c>
      <c r="F20" s="16" t="str">
        <f>_xlfn.XLOOKUP(A20,CATÁLOGO!$A$2:$A$846,CATÁLOGO!$E$2:$E$846,"FORA DO CATÁLOGO")</f>
        <v>Ativo</v>
      </c>
      <c r="G20" s="14"/>
    </row>
    <row r="21" spans="1:7" x14ac:dyDescent="0.3">
      <c r="A21" s="2" t="s">
        <v>1525</v>
      </c>
      <c r="B21" s="19" t="str">
        <f>_xlfn.XLOOKUP(A21,CATÁLOGO!$A$2:$A$846,CATÁLOGO!$B$2:$B$846,"FORA DO CATÁLOGO")</f>
        <v>CAL004G46</v>
      </c>
      <c r="C21" s="13">
        <v>6</v>
      </c>
      <c r="D21" s="13">
        <v>0</v>
      </c>
      <c r="E21" s="13">
        <v>6</v>
      </c>
      <c r="F21" s="16" t="str">
        <f>_xlfn.XLOOKUP(A21,CATÁLOGO!$A$2:$A$846,CATÁLOGO!$E$2:$E$846,"FORA DO CATÁLOGO")</f>
        <v>Ativo</v>
      </c>
      <c r="G21" s="14"/>
    </row>
    <row r="22" spans="1:7" x14ac:dyDescent="0.3">
      <c r="A22" s="2" t="s">
        <v>1538</v>
      </c>
      <c r="B22" s="19" t="str">
        <f>_xlfn.XLOOKUP(A22,CATÁLOGO!$A$2:$A$846,CATÁLOGO!$B$2:$B$846,"FORA DO CATÁLOGO")</f>
        <v>CAL005P36</v>
      </c>
      <c r="C22" s="13">
        <v>7</v>
      </c>
      <c r="D22" s="13">
        <v>1</v>
      </c>
      <c r="E22" s="13">
        <v>6</v>
      </c>
      <c r="F22" s="16" t="str">
        <f>_xlfn.XLOOKUP(A22,CATÁLOGO!$A$2:$A$846,CATÁLOGO!$E$2:$E$846,"FORA DO CATÁLOGO")</f>
        <v>Ativo</v>
      </c>
      <c r="G22" s="14"/>
    </row>
    <row r="23" spans="1:7" x14ac:dyDescent="0.3">
      <c r="A23" s="2" t="s">
        <v>1537</v>
      </c>
      <c r="B23" s="19" t="str">
        <f>_xlfn.XLOOKUP(A23,CATÁLOGO!$A$2:$A$846,CATÁLOGO!$B$2:$B$846,"FORA DO CATÁLOGO")</f>
        <v>CAL005P38</v>
      </c>
      <c r="C23" s="13">
        <v>5</v>
      </c>
      <c r="D23" s="13">
        <v>0</v>
      </c>
      <c r="E23" s="13">
        <v>5</v>
      </c>
      <c r="F23" s="16" t="str">
        <f>_xlfn.XLOOKUP(A23,CATÁLOGO!$A$2:$A$846,CATÁLOGO!$E$2:$E$846,"FORA DO CATÁLOGO")</f>
        <v>Ativo</v>
      </c>
      <c r="G23" s="14"/>
    </row>
    <row r="24" spans="1:7" x14ac:dyDescent="0.3">
      <c r="A24" s="2" t="s">
        <v>1535</v>
      </c>
      <c r="B24" s="19" t="str">
        <f>_xlfn.XLOOKUP(A24,CATÁLOGO!$A$2:$A$846,CATÁLOGO!$B$2:$B$846,"FORA DO CATÁLOGO")</f>
        <v>CAL005P44</v>
      </c>
      <c r="C24" s="13">
        <v>5</v>
      </c>
      <c r="D24" s="13">
        <v>0</v>
      </c>
      <c r="E24" s="13">
        <v>5</v>
      </c>
      <c r="F24" s="16" t="str">
        <f>_xlfn.XLOOKUP(A24,CATÁLOGO!$A$2:$A$846,CATÁLOGO!$E$2:$E$846,"FORA DO CATÁLOGO")</f>
        <v>Ativo</v>
      </c>
      <c r="G24" s="14"/>
    </row>
    <row r="25" spans="1:7" x14ac:dyDescent="0.3">
      <c r="A25" s="2" t="s">
        <v>17</v>
      </c>
      <c r="B25" s="19" t="str">
        <f>_xlfn.XLOOKUP(A25,CATÁLOGO!$A$2:$A$846,CATÁLOGO!$B$2:$B$846,"FORA DO CATÁLOGO")</f>
        <v>TOP002AP</v>
      </c>
      <c r="C25" s="13">
        <v>7</v>
      </c>
      <c r="D25" s="13">
        <v>0</v>
      </c>
      <c r="E25" s="13">
        <v>7</v>
      </c>
      <c r="F25" s="16" t="str">
        <f>_xlfn.XLOOKUP(A25,CATÁLOGO!$A$2:$A$846,CATÁLOGO!$E$2:$E$846,"FORA DO CATÁLOGO")</f>
        <v>Ativo</v>
      </c>
      <c r="G25" s="14"/>
    </row>
    <row r="26" spans="1:7" x14ac:dyDescent="0.3">
      <c r="A26" s="2" t="s">
        <v>18</v>
      </c>
      <c r="B26" s="19" t="str">
        <f>_xlfn.XLOOKUP(A26,CATÁLOGO!$A$2:$A$846,CATÁLOGO!$B$2:$B$846,"FORA DO CATÁLOGO")</f>
        <v>TOP002AM</v>
      </c>
      <c r="C26" s="13">
        <v>12</v>
      </c>
      <c r="D26" s="13">
        <v>0</v>
      </c>
      <c r="E26" s="13">
        <v>12</v>
      </c>
      <c r="F26" s="16" t="str">
        <f>_xlfn.XLOOKUP(A26,CATÁLOGO!$A$2:$A$846,CATÁLOGO!$E$2:$E$846,"FORA DO CATÁLOGO")</f>
        <v>Ativo</v>
      </c>
      <c r="G26" s="14"/>
    </row>
    <row r="27" spans="1:7" x14ac:dyDescent="0.3">
      <c r="A27" s="2" t="s">
        <v>19</v>
      </c>
      <c r="B27" s="19" t="str">
        <f>_xlfn.XLOOKUP(A27,CATÁLOGO!$A$2:$A$846,CATÁLOGO!$B$2:$B$846,"FORA DO CATÁLOGO")</f>
        <v>TOP002AG</v>
      </c>
      <c r="C27" s="13">
        <v>3</v>
      </c>
      <c r="D27" s="13">
        <v>0</v>
      </c>
      <c r="E27" s="13">
        <v>3</v>
      </c>
      <c r="F27" s="16" t="str">
        <f>_xlfn.XLOOKUP(A27,CATÁLOGO!$A$2:$A$846,CATÁLOGO!$E$2:$E$846,"FORA DO CATÁLOGO")</f>
        <v>Ativo</v>
      </c>
      <c r="G27" s="14"/>
    </row>
    <row r="28" spans="1:7" x14ac:dyDescent="0.3">
      <c r="A28" s="2" t="s">
        <v>20</v>
      </c>
      <c r="B28" s="19" t="str">
        <f>_xlfn.XLOOKUP(A28,CATÁLOGO!$A$2:$A$846,CATÁLOGO!$B$2:$B$846,"FORA DO CATÁLOGO")</f>
        <v>TOP002AGG</v>
      </c>
      <c r="C28" s="13">
        <v>4</v>
      </c>
      <c r="D28" s="13">
        <v>1</v>
      </c>
      <c r="E28" s="13">
        <v>3</v>
      </c>
      <c r="F28" s="16" t="str">
        <f>_xlfn.XLOOKUP(A28,CATÁLOGO!$A$2:$A$846,CATÁLOGO!$E$2:$E$846,"FORA DO CATÁLOGO")</f>
        <v>Ativo</v>
      </c>
      <c r="G28" s="14"/>
    </row>
    <row r="29" spans="1:7" x14ac:dyDescent="0.3">
      <c r="A29" s="2" t="s">
        <v>1275</v>
      </c>
      <c r="B29" s="19" t="str">
        <f>_xlfn.XLOOKUP(A29,CATÁLOGO!$A$2:$A$846,CATÁLOGO!$B$2:$B$846,"FORA DO CATÁLOGO")</f>
        <v>TOP002PGG</v>
      </c>
      <c r="C29" s="13">
        <v>6</v>
      </c>
      <c r="D29" s="13">
        <v>0</v>
      </c>
      <c r="E29" s="13">
        <v>6</v>
      </c>
      <c r="F29" s="16" t="str">
        <f>_xlfn.XLOOKUP(A29,CATÁLOGO!$A$2:$A$846,CATÁLOGO!$E$2:$E$846,"FORA DO CATÁLOGO")</f>
        <v>Descontinuado</v>
      </c>
      <c r="G29" s="14"/>
    </row>
    <row r="30" spans="1:7" x14ac:dyDescent="0.3">
      <c r="A30" s="2" t="s">
        <v>1455</v>
      </c>
      <c r="B30" s="19" t="str">
        <f>_xlfn.XLOOKUP(A30,CATÁLOGO!$A$2:$A$846,CATÁLOGO!$B$2:$B$846,"FORA DO CATÁLOGO")</f>
        <v>BER002C36</v>
      </c>
      <c r="C30" s="13">
        <v>7</v>
      </c>
      <c r="D30" s="13">
        <v>0</v>
      </c>
      <c r="E30" s="13">
        <v>7</v>
      </c>
      <c r="F30" s="16" t="str">
        <f>_xlfn.XLOOKUP(A30,CATÁLOGO!$A$2:$A$846,CATÁLOGO!$E$2:$E$846,"FORA DO CATÁLOGO")</f>
        <v>Ativo</v>
      </c>
      <c r="G30" s="14"/>
    </row>
    <row r="31" spans="1:7" x14ac:dyDescent="0.3">
      <c r="A31" s="2" t="s">
        <v>1454</v>
      </c>
      <c r="B31" s="19" t="str">
        <f>_xlfn.XLOOKUP(A31,CATÁLOGO!$A$2:$A$846,CATÁLOGO!$B$2:$B$846,"FORA DO CATÁLOGO")</f>
        <v>BER002C38</v>
      </c>
      <c r="C31" s="13">
        <v>3</v>
      </c>
      <c r="D31" s="13">
        <v>0</v>
      </c>
      <c r="E31" s="13">
        <v>3</v>
      </c>
      <c r="F31" s="16" t="str">
        <f>_xlfn.XLOOKUP(A31,CATÁLOGO!$A$2:$A$846,CATÁLOGO!$E$2:$E$846,"FORA DO CATÁLOGO")</f>
        <v>Ativo</v>
      </c>
      <c r="G31" s="14"/>
    </row>
    <row r="32" spans="1:7" x14ac:dyDescent="0.3">
      <c r="A32" s="2" t="s">
        <v>1453</v>
      </c>
      <c r="B32" s="19" t="str">
        <f>_xlfn.XLOOKUP(A32,CATÁLOGO!$A$2:$A$846,CATÁLOGO!$B$2:$B$846,"FORA DO CATÁLOGO")</f>
        <v>BER002C40</v>
      </c>
      <c r="C32" s="13">
        <v>8</v>
      </c>
      <c r="D32" s="13">
        <v>1</v>
      </c>
      <c r="E32" s="13">
        <v>7</v>
      </c>
      <c r="F32" s="16" t="str">
        <f>_xlfn.XLOOKUP(A32,CATÁLOGO!$A$2:$A$846,CATÁLOGO!$E$2:$E$846,"FORA DO CATÁLOGO")</f>
        <v>Ativo</v>
      </c>
      <c r="G32" s="14"/>
    </row>
    <row r="33" spans="1:7" x14ac:dyDescent="0.3">
      <c r="A33" s="2" t="s">
        <v>1450</v>
      </c>
      <c r="B33" s="19" t="str">
        <f>_xlfn.XLOOKUP(A33,CATÁLOGO!$A$2:$A$846,CATÁLOGO!$B$2:$B$846,"FORA DO CATÁLOGO")</f>
        <v>BER002C42</v>
      </c>
      <c r="C33" s="13">
        <v>9</v>
      </c>
      <c r="D33" s="13">
        <v>0</v>
      </c>
      <c r="E33" s="13">
        <v>9</v>
      </c>
      <c r="F33" s="16" t="str">
        <f>_xlfn.XLOOKUP(A33,CATÁLOGO!$A$2:$A$846,CATÁLOGO!$E$2:$E$846,"FORA DO CATÁLOGO")</f>
        <v>Ativo</v>
      </c>
      <c r="G33" s="14"/>
    </row>
    <row r="34" spans="1:7" x14ac:dyDescent="0.3">
      <c r="A34" s="2" t="s">
        <v>1452</v>
      </c>
      <c r="B34" s="19" t="str">
        <f>_xlfn.XLOOKUP(A34,CATÁLOGO!$A$2:$A$846,CATÁLOGO!$B$2:$B$846,"FORA DO CATÁLOGO")</f>
        <v>BER002C44</v>
      </c>
      <c r="C34" s="13">
        <v>5</v>
      </c>
      <c r="D34" s="13">
        <v>0</v>
      </c>
      <c r="E34" s="13">
        <v>5</v>
      </c>
      <c r="F34" s="16" t="str">
        <f>_xlfn.XLOOKUP(A34,CATÁLOGO!$A$2:$A$846,CATÁLOGO!$E$2:$E$846,"FORA DO CATÁLOGO")</f>
        <v>Ativo</v>
      </c>
      <c r="G34" s="14"/>
    </row>
    <row r="35" spans="1:7" x14ac:dyDescent="0.3">
      <c r="A35" s="2" t="s">
        <v>1460</v>
      </c>
      <c r="B35" s="19" t="str">
        <f>_xlfn.XLOOKUP(A35,CATÁLOGO!$A$2:$A$846,CATÁLOGO!$B$2:$B$846,"FORA DO CATÁLOGO")</f>
        <v>BER003B38</v>
      </c>
      <c r="C35" s="13">
        <v>6</v>
      </c>
      <c r="D35" s="13">
        <v>0</v>
      </c>
      <c r="E35" s="13">
        <v>6</v>
      </c>
      <c r="F35" s="16" t="str">
        <f>_xlfn.XLOOKUP(A35,CATÁLOGO!$A$2:$A$846,CATÁLOGO!$E$2:$E$846,"FORA DO CATÁLOGO")</f>
        <v>Ativo</v>
      </c>
      <c r="G35" s="14"/>
    </row>
    <row r="36" spans="1:7" x14ac:dyDescent="0.3">
      <c r="A36" s="2" t="s">
        <v>1461</v>
      </c>
      <c r="B36" s="19" t="str">
        <f>_xlfn.XLOOKUP(A36,CATÁLOGO!$A$2:$A$846,CATÁLOGO!$B$2:$B$846,"FORA DO CATÁLOGO")</f>
        <v>BER003B46</v>
      </c>
      <c r="C36" s="13">
        <v>2</v>
      </c>
      <c r="D36" s="13">
        <v>0</v>
      </c>
      <c r="E36" s="13">
        <v>2</v>
      </c>
      <c r="F36" s="16" t="str">
        <f>_xlfn.XLOOKUP(A36,CATÁLOGO!$A$2:$A$846,CATÁLOGO!$E$2:$E$846,"FORA DO CATÁLOGO")</f>
        <v>Ativo</v>
      </c>
      <c r="G36" s="14"/>
    </row>
    <row r="37" spans="1:7" x14ac:dyDescent="0.3">
      <c r="A37" s="2" t="s">
        <v>25</v>
      </c>
      <c r="B37" s="19" t="str">
        <f>_xlfn.XLOOKUP(A37,CATÁLOGO!$A$2:$A$846,CATÁLOGO!$B$2:$B$846,"FORA DO CATÁLOGO")</f>
        <v>CAM001CP</v>
      </c>
      <c r="C37" s="13">
        <v>5</v>
      </c>
      <c r="D37" s="13">
        <v>0</v>
      </c>
      <c r="E37" s="13">
        <v>5</v>
      </c>
      <c r="F37" s="16" t="str">
        <f>_xlfn.XLOOKUP(A37,CATÁLOGO!$A$2:$A$846,CATÁLOGO!$E$2:$E$846,"FORA DO CATÁLOGO")</f>
        <v>Ativo</v>
      </c>
      <c r="G37" s="14"/>
    </row>
    <row r="38" spans="1:7" x14ac:dyDescent="0.3">
      <c r="A38" s="2" t="s">
        <v>26</v>
      </c>
      <c r="B38" s="19" t="str">
        <f>_xlfn.XLOOKUP(A38,CATÁLOGO!$A$2:$A$846,CATÁLOGO!$B$2:$B$846,"FORA DO CATÁLOGO")</f>
        <v>CAM001CM</v>
      </c>
      <c r="C38" s="13">
        <v>4</v>
      </c>
      <c r="D38" s="13">
        <v>1</v>
      </c>
      <c r="E38" s="13">
        <v>3</v>
      </c>
      <c r="F38" s="16" t="str">
        <f>_xlfn.XLOOKUP(A38,CATÁLOGO!$A$2:$A$846,CATÁLOGO!$E$2:$E$846,"FORA DO CATÁLOGO")</f>
        <v>Ativo</v>
      </c>
      <c r="G38" s="14"/>
    </row>
    <row r="39" spans="1:7" x14ac:dyDescent="0.3">
      <c r="A39" s="2" t="s">
        <v>27</v>
      </c>
      <c r="B39" s="19" t="str">
        <f>_xlfn.XLOOKUP(A39,CATÁLOGO!$A$2:$A$846,CATÁLOGO!$B$2:$B$846,"FORA DO CATÁLOGO")</f>
        <v>CAM001CG</v>
      </c>
      <c r="C39" s="13">
        <v>2</v>
      </c>
      <c r="D39" s="13">
        <v>0</v>
      </c>
      <c r="E39" s="13">
        <v>2</v>
      </c>
      <c r="F39" s="16" t="str">
        <f>_xlfn.XLOOKUP(A39,CATÁLOGO!$A$2:$A$846,CATÁLOGO!$E$2:$E$846,"FORA DO CATÁLOGO")</f>
        <v>Ativo</v>
      </c>
      <c r="G39" s="14"/>
    </row>
    <row r="40" spans="1:7" x14ac:dyDescent="0.3">
      <c r="A40" s="2" t="s">
        <v>1249</v>
      </c>
      <c r="B40" s="19" t="str">
        <f>_xlfn.XLOOKUP(A40,CATÁLOGO!$A$2:$A$846,CATÁLOGO!$B$2:$B$846,"FORA DO CATÁLOGO")</f>
        <v>CAM001CGG</v>
      </c>
      <c r="C40" s="13">
        <v>8</v>
      </c>
      <c r="D40" s="13">
        <v>0</v>
      </c>
      <c r="E40" s="13">
        <v>8</v>
      </c>
      <c r="F40" s="16" t="str">
        <f>_xlfn.XLOOKUP(A40,CATÁLOGO!$A$2:$A$846,CATÁLOGO!$E$2:$E$846,"FORA DO CATÁLOGO")</f>
        <v>Ativo</v>
      </c>
      <c r="G40" s="14"/>
    </row>
    <row r="41" spans="1:7" x14ac:dyDescent="0.3">
      <c r="A41" s="2" t="s">
        <v>28</v>
      </c>
      <c r="B41" s="19" t="str">
        <f>_xlfn.XLOOKUP(A41,CATÁLOGO!$A$2:$A$846,CATÁLOGO!$B$2:$B$846,"FORA DO CATÁLOGO")</f>
        <v>ACE004CU</v>
      </c>
      <c r="C41" s="13">
        <v>3</v>
      </c>
      <c r="D41" s="13">
        <v>0</v>
      </c>
      <c r="E41" s="13">
        <v>3</v>
      </c>
      <c r="F41" s="16" t="str">
        <f>_xlfn.XLOOKUP(A41,CATÁLOGO!$A$2:$A$846,CATÁLOGO!$E$2:$E$846,"FORA DO CATÁLOGO")</f>
        <v>Ativo</v>
      </c>
      <c r="G41" s="14"/>
    </row>
    <row r="42" spans="1:7" x14ac:dyDescent="0.3">
      <c r="A42" s="2" t="s">
        <v>29</v>
      </c>
      <c r="B42" s="19" t="str">
        <f>_xlfn.XLOOKUP(A42,CATÁLOGO!$A$2:$A$846,CATÁLOGO!$B$2:$B$846,"FORA DO CATÁLOGO")</f>
        <v>ACE005OU</v>
      </c>
      <c r="C42" s="13">
        <v>45</v>
      </c>
      <c r="D42" s="13">
        <v>0</v>
      </c>
      <c r="E42" s="13">
        <v>45</v>
      </c>
      <c r="F42" s="16" t="str">
        <f>_xlfn.XLOOKUP(A42,CATÁLOGO!$A$2:$A$846,CATÁLOGO!$E$2:$E$846,"FORA DO CATÁLOGO")</f>
        <v>Ativo</v>
      </c>
      <c r="G42" s="14"/>
    </row>
    <row r="43" spans="1:7" x14ac:dyDescent="0.3">
      <c r="A43" s="2" t="s">
        <v>30</v>
      </c>
      <c r="B43" s="19" t="str">
        <f>_xlfn.XLOOKUP(A43,CATÁLOGO!$A$2:$A$846,CATÁLOGO!$B$2:$B$846,"FORA DO CATÁLOGO")</f>
        <v>MOL003AP</v>
      </c>
      <c r="C43" s="13">
        <v>18</v>
      </c>
      <c r="D43" s="13">
        <v>2</v>
      </c>
      <c r="E43" s="13">
        <v>16</v>
      </c>
      <c r="F43" s="16" t="str">
        <f>_xlfn.XLOOKUP(A43,CATÁLOGO!$A$2:$A$846,CATÁLOGO!$E$2:$E$846,"FORA DO CATÁLOGO")</f>
        <v>Ativo</v>
      </c>
      <c r="G43" s="14"/>
    </row>
    <row r="44" spans="1:7" x14ac:dyDescent="0.3">
      <c r="A44" s="2" t="s">
        <v>31</v>
      </c>
      <c r="B44" s="19" t="str">
        <f>_xlfn.XLOOKUP(A44,CATÁLOGO!$A$2:$A$846,CATÁLOGO!$B$2:$B$846,"FORA DO CATÁLOGO")</f>
        <v>MOL003AM</v>
      </c>
      <c r="C44" s="13">
        <v>13</v>
      </c>
      <c r="D44" s="13">
        <v>2</v>
      </c>
      <c r="E44" s="13">
        <v>11</v>
      </c>
      <c r="F44" s="16" t="str">
        <f>_xlfn.XLOOKUP(A44,CATÁLOGO!$A$2:$A$846,CATÁLOGO!$E$2:$E$846,"FORA DO CATÁLOGO")</f>
        <v>Ativo</v>
      </c>
      <c r="G44" s="14"/>
    </row>
    <row r="45" spans="1:7" x14ac:dyDescent="0.3">
      <c r="A45" s="2" t="s">
        <v>32</v>
      </c>
      <c r="B45" s="19" t="str">
        <f>_xlfn.XLOOKUP(A45,CATÁLOGO!$A$2:$A$846,CATÁLOGO!$B$2:$B$846,"FORA DO CATÁLOGO")</f>
        <v>MOL003AG</v>
      </c>
      <c r="C45" s="13">
        <v>8</v>
      </c>
      <c r="D45" s="13">
        <v>0</v>
      </c>
      <c r="E45" s="13">
        <v>8</v>
      </c>
      <c r="F45" s="16" t="str">
        <f>_xlfn.XLOOKUP(A45,CATÁLOGO!$A$2:$A$846,CATÁLOGO!$E$2:$E$846,"FORA DO CATÁLOGO")</f>
        <v>Ativo</v>
      </c>
      <c r="G45" s="14"/>
    </row>
    <row r="46" spans="1:7" x14ac:dyDescent="0.3">
      <c r="A46" s="2" t="s">
        <v>36</v>
      </c>
      <c r="B46" s="19" t="str">
        <f>_xlfn.XLOOKUP(A46,CATÁLOGO!$A$2:$A$846,CATÁLOGO!$B$2:$B$846,"FORA DO CATÁLOGO")</f>
        <v>MOL003GGG</v>
      </c>
      <c r="C46" s="13">
        <v>1</v>
      </c>
      <c r="D46" s="13">
        <v>0</v>
      </c>
      <c r="E46" s="13">
        <v>1</v>
      </c>
      <c r="F46" s="16" t="str">
        <f>_xlfn.XLOOKUP(A46,CATÁLOGO!$A$2:$A$846,CATÁLOGO!$E$2:$E$846,"FORA DO CATÁLOGO")</f>
        <v>Ativo</v>
      </c>
      <c r="G46" s="14"/>
    </row>
    <row r="47" spans="1:7" x14ac:dyDescent="0.3">
      <c r="A47" s="2" t="s">
        <v>37</v>
      </c>
      <c r="B47" s="19" t="str">
        <f>_xlfn.XLOOKUP(A47,CATÁLOGO!$A$2:$A$846,CATÁLOGO!$B$2:$B$846,"FORA DO CATÁLOGO")</f>
        <v>SAI002BP</v>
      </c>
      <c r="C47" s="13">
        <v>2</v>
      </c>
      <c r="D47" s="13">
        <v>0</v>
      </c>
      <c r="E47" s="13">
        <v>2</v>
      </c>
      <c r="F47" s="16" t="str">
        <f>_xlfn.XLOOKUP(A47,CATÁLOGO!$A$2:$A$846,CATÁLOGO!$E$2:$E$846,"FORA DO CATÁLOGO")</f>
        <v>Ativo</v>
      </c>
      <c r="G47" s="14"/>
    </row>
    <row r="48" spans="1:7" x14ac:dyDescent="0.3">
      <c r="A48" s="2" t="s">
        <v>38</v>
      </c>
      <c r="B48" s="19" t="str">
        <f>_xlfn.XLOOKUP(A48,CATÁLOGO!$A$2:$A$846,CATÁLOGO!$B$2:$B$846,"FORA DO CATÁLOGO")</f>
        <v>SAI002BM</v>
      </c>
      <c r="C48" s="13">
        <v>8</v>
      </c>
      <c r="D48" s="13">
        <v>0</v>
      </c>
      <c r="E48" s="13">
        <v>8</v>
      </c>
      <c r="F48" s="16" t="str">
        <f>_xlfn.XLOOKUP(A48,CATÁLOGO!$A$2:$A$846,CATÁLOGO!$E$2:$E$846,"FORA DO CATÁLOGO")</f>
        <v>Ativo</v>
      </c>
      <c r="G48" s="14"/>
    </row>
    <row r="49" spans="1:7" x14ac:dyDescent="0.3">
      <c r="A49" s="2" t="s">
        <v>39</v>
      </c>
      <c r="B49" s="19" t="str">
        <f>_xlfn.XLOOKUP(A49,CATÁLOGO!$A$2:$A$846,CATÁLOGO!$B$2:$B$846,"FORA DO CATÁLOGO")</f>
        <v>SAI002BG</v>
      </c>
      <c r="C49" s="13">
        <v>3</v>
      </c>
      <c r="D49" s="13">
        <v>0</v>
      </c>
      <c r="E49" s="13">
        <v>3</v>
      </c>
      <c r="F49" s="16" t="str">
        <f>_xlfn.XLOOKUP(A49,CATÁLOGO!$A$2:$A$846,CATÁLOGO!$E$2:$E$846,"FORA DO CATÁLOGO")</f>
        <v>Ativo</v>
      </c>
      <c r="G49" s="14"/>
    </row>
    <row r="50" spans="1:7" x14ac:dyDescent="0.3">
      <c r="A50" s="2" t="s">
        <v>40</v>
      </c>
      <c r="B50" s="19" t="str">
        <f>_xlfn.XLOOKUP(A50,CATÁLOGO!$A$2:$A$846,CATÁLOGO!$B$2:$B$846,"FORA DO CATÁLOGO")</f>
        <v>SAI002BGG</v>
      </c>
      <c r="C50" s="13">
        <v>5</v>
      </c>
      <c r="D50" s="13">
        <v>0</v>
      </c>
      <c r="E50" s="13">
        <v>5</v>
      </c>
      <c r="F50" s="16" t="str">
        <f>_xlfn.XLOOKUP(A50,CATÁLOGO!$A$2:$A$846,CATÁLOGO!$E$2:$E$846,"FORA DO CATÁLOGO")</f>
        <v>Ativo</v>
      </c>
      <c r="G50" s="14"/>
    </row>
    <row r="51" spans="1:7" x14ac:dyDescent="0.3">
      <c r="A51" s="2" t="s">
        <v>1276</v>
      </c>
      <c r="B51" s="19" t="str">
        <f>_xlfn.XLOOKUP(A51,CATÁLOGO!$A$2:$A$846,CATÁLOGO!$B$2:$B$846,"FORA DO CATÁLOGO")</f>
        <v>SAI002OM</v>
      </c>
      <c r="C51" s="13">
        <v>6</v>
      </c>
      <c r="D51" s="13">
        <v>0</v>
      </c>
      <c r="E51" s="13">
        <v>6</v>
      </c>
      <c r="F51" s="16" t="str">
        <f>_xlfn.XLOOKUP(A51,CATÁLOGO!$A$2:$A$846,CATÁLOGO!$E$2:$E$846,"FORA DO CATÁLOGO")</f>
        <v>Descontinuado</v>
      </c>
      <c r="G51" s="14"/>
    </row>
    <row r="52" spans="1:7" x14ac:dyDescent="0.3">
      <c r="A52" s="2" t="s">
        <v>1277</v>
      </c>
      <c r="B52" s="19" t="str">
        <f>_xlfn.XLOOKUP(A52,CATÁLOGO!$A$2:$A$846,CATÁLOGO!$B$2:$B$846,"FORA DO CATÁLOGO")</f>
        <v>SAI002OG</v>
      </c>
      <c r="C52" s="13">
        <v>5</v>
      </c>
      <c r="D52" s="13">
        <v>0</v>
      </c>
      <c r="E52" s="13">
        <v>5</v>
      </c>
      <c r="F52" s="16" t="str">
        <f>_xlfn.XLOOKUP(A52,CATÁLOGO!$A$2:$A$846,CATÁLOGO!$E$2:$E$846,"FORA DO CATÁLOGO")</f>
        <v>Descontinuado</v>
      </c>
      <c r="G52" s="14"/>
    </row>
    <row r="53" spans="1:7" x14ac:dyDescent="0.3">
      <c r="A53" s="2" t="s">
        <v>42</v>
      </c>
      <c r="B53" s="19" t="str">
        <f>_xlfn.XLOOKUP(A53,CATÁLOGO!$A$2:$A$846,CATÁLOGO!$B$2:$B$846,"FORA DO CATÁLOGO")</f>
        <v>SAI002OGG</v>
      </c>
      <c r="C53" s="13">
        <v>5</v>
      </c>
      <c r="D53" s="13">
        <v>1</v>
      </c>
      <c r="E53" s="13">
        <v>4</v>
      </c>
      <c r="F53" s="16" t="str">
        <f>_xlfn.XLOOKUP(A53,CATÁLOGO!$A$2:$A$846,CATÁLOGO!$E$2:$E$846,"FORA DO CATÁLOGO")</f>
        <v>Descontinuado</v>
      </c>
      <c r="G53" s="14"/>
    </row>
    <row r="54" spans="1:7" x14ac:dyDescent="0.3">
      <c r="A54" s="2" t="s">
        <v>1552</v>
      </c>
      <c r="B54" s="19" t="str">
        <f>_xlfn.XLOOKUP(A54,CATÁLOGO!$A$2:$A$846,CATÁLOGO!$B$2:$B$846,"FORA DO CATÁLOGO")</f>
        <v>CAL006J36</v>
      </c>
      <c r="C54" s="13">
        <v>8</v>
      </c>
      <c r="D54" s="13">
        <v>0</v>
      </c>
      <c r="E54" s="13">
        <v>8</v>
      </c>
      <c r="F54" s="16" t="str">
        <f>_xlfn.XLOOKUP(A54,CATÁLOGO!$A$2:$A$846,CATÁLOGO!$E$2:$E$846,"FORA DO CATÁLOGO")</f>
        <v>Ativo</v>
      </c>
      <c r="G54" s="14"/>
    </row>
    <row r="55" spans="1:7" x14ac:dyDescent="0.3">
      <c r="A55" s="2" t="s">
        <v>1551</v>
      </c>
      <c r="B55" s="19" t="str">
        <f>_xlfn.XLOOKUP(A55,CATÁLOGO!$A$2:$A$846,CATÁLOGO!$B$2:$B$846,"FORA DO CATÁLOGO")</f>
        <v>CAL006J38</v>
      </c>
      <c r="C55" s="13">
        <v>3</v>
      </c>
      <c r="D55" s="13">
        <v>0</v>
      </c>
      <c r="E55" s="13">
        <v>3</v>
      </c>
      <c r="F55" s="16" t="str">
        <f>_xlfn.XLOOKUP(A55,CATÁLOGO!$A$2:$A$846,CATÁLOGO!$E$2:$E$846,"FORA DO CATÁLOGO")</f>
        <v>Ativo</v>
      </c>
      <c r="G55" s="14"/>
    </row>
    <row r="56" spans="1:7" x14ac:dyDescent="0.3">
      <c r="A56" s="2" t="s">
        <v>1550</v>
      </c>
      <c r="B56" s="19" t="str">
        <f>_xlfn.XLOOKUP(A56,CATÁLOGO!$A$2:$A$846,CATÁLOGO!$B$2:$B$846,"FORA DO CATÁLOGO")</f>
        <v>CAL006J40</v>
      </c>
      <c r="C56" s="13">
        <v>5</v>
      </c>
      <c r="D56" s="13">
        <v>0</v>
      </c>
      <c r="E56" s="13">
        <v>5</v>
      </c>
      <c r="F56" s="16" t="str">
        <f>_xlfn.XLOOKUP(A56,CATÁLOGO!$A$2:$A$846,CATÁLOGO!$E$2:$E$846,"FORA DO CATÁLOGO")</f>
        <v>Ativo</v>
      </c>
      <c r="G56" s="14"/>
    </row>
    <row r="57" spans="1:7" x14ac:dyDescent="0.3">
      <c r="A57" s="2" t="s">
        <v>1548</v>
      </c>
      <c r="B57" s="19" t="str">
        <f>_xlfn.XLOOKUP(A57,CATÁLOGO!$A$2:$A$846,CATÁLOGO!$B$2:$B$846,"FORA DO CATÁLOGO")</f>
        <v>CAL006J42</v>
      </c>
      <c r="C57" s="13">
        <v>8</v>
      </c>
      <c r="D57" s="13">
        <v>0</v>
      </c>
      <c r="E57" s="13">
        <v>8</v>
      </c>
      <c r="F57" s="16" t="str">
        <f>_xlfn.XLOOKUP(A57,CATÁLOGO!$A$2:$A$846,CATÁLOGO!$E$2:$E$846,"FORA DO CATÁLOGO")</f>
        <v>Ativo</v>
      </c>
      <c r="G57" s="14"/>
    </row>
    <row r="58" spans="1:7" x14ac:dyDescent="0.3">
      <c r="A58" s="2" t="s">
        <v>1549</v>
      </c>
      <c r="B58" s="19" t="str">
        <f>_xlfn.XLOOKUP(A58,CATÁLOGO!$A$2:$A$846,CATÁLOGO!$B$2:$B$846,"FORA DO CATÁLOGO")</f>
        <v>CAL006J44</v>
      </c>
      <c r="C58" s="13">
        <v>5</v>
      </c>
      <c r="D58" s="13">
        <v>1</v>
      </c>
      <c r="E58" s="13">
        <v>4</v>
      </c>
      <c r="F58" s="16" t="str">
        <f>_xlfn.XLOOKUP(A58,CATÁLOGO!$A$2:$A$846,CATÁLOGO!$E$2:$E$846,"FORA DO CATÁLOGO")</f>
        <v>Ativo</v>
      </c>
      <c r="G58" s="14"/>
    </row>
    <row r="59" spans="1:7" x14ac:dyDescent="0.3">
      <c r="A59" s="2" t="s">
        <v>1546</v>
      </c>
      <c r="B59" s="19" t="str">
        <f>_xlfn.XLOOKUP(A59,CATÁLOGO!$A$2:$A$846,CATÁLOGO!$B$2:$B$846,"FORA DO CATÁLOGO")</f>
        <v>CAL006G38</v>
      </c>
      <c r="C59" s="13">
        <v>4</v>
      </c>
      <c r="D59" s="13">
        <v>0</v>
      </c>
      <c r="E59" s="13">
        <v>4</v>
      </c>
      <c r="F59" s="16" t="str">
        <f>_xlfn.XLOOKUP(A59,CATÁLOGO!$A$2:$A$846,CATÁLOGO!$E$2:$E$846,"FORA DO CATÁLOGO")</f>
        <v>Descontinuado</v>
      </c>
      <c r="G59" s="14"/>
    </row>
    <row r="60" spans="1:7" x14ac:dyDescent="0.3">
      <c r="A60" s="2" t="s">
        <v>1544</v>
      </c>
      <c r="B60" s="19" t="str">
        <f>_xlfn.XLOOKUP(A60,CATÁLOGO!$A$2:$A$846,CATÁLOGO!$B$2:$B$846,"FORA DO CATÁLOGO")</f>
        <v>CAL006G40</v>
      </c>
      <c r="C60" s="13">
        <v>5</v>
      </c>
      <c r="D60" s="13">
        <v>0</v>
      </c>
      <c r="E60" s="13">
        <v>5</v>
      </c>
      <c r="F60" s="16" t="str">
        <f>_xlfn.XLOOKUP(A60,CATÁLOGO!$A$2:$A$846,CATÁLOGO!$E$2:$E$846,"FORA DO CATÁLOGO")</f>
        <v>Descontinuado</v>
      </c>
      <c r="G60" s="14"/>
    </row>
    <row r="61" spans="1:7" x14ac:dyDescent="0.3">
      <c r="A61" s="2" t="s">
        <v>1539</v>
      </c>
      <c r="B61" s="19" t="str">
        <f>_xlfn.XLOOKUP(A61,CATÁLOGO!$A$2:$A$846,CATÁLOGO!$B$2:$B$846,"FORA DO CATÁLOGO")</f>
        <v>CAL006G42</v>
      </c>
      <c r="C61" s="13">
        <v>4</v>
      </c>
      <c r="D61" s="13">
        <v>0</v>
      </c>
      <c r="E61" s="13">
        <v>4</v>
      </c>
      <c r="F61" s="16" t="str">
        <f>_xlfn.XLOOKUP(A61,CATÁLOGO!$A$2:$A$846,CATÁLOGO!$E$2:$E$846,"FORA DO CATÁLOGO")</f>
        <v>Descontinuado</v>
      </c>
      <c r="G61" s="14"/>
    </row>
    <row r="62" spans="1:7" x14ac:dyDescent="0.3">
      <c r="A62" s="2" t="s">
        <v>1542</v>
      </c>
      <c r="B62" s="19" t="str">
        <f>_xlfn.XLOOKUP(A62,CATÁLOGO!$A$2:$A$846,CATÁLOGO!$B$2:$B$846,"FORA DO CATÁLOGO")</f>
        <v>CAL006G44</v>
      </c>
      <c r="C62" s="13">
        <v>2</v>
      </c>
      <c r="D62" s="13">
        <v>0</v>
      </c>
      <c r="E62" s="13">
        <v>2</v>
      </c>
      <c r="F62" s="16" t="str">
        <f>_xlfn.XLOOKUP(A62,CATÁLOGO!$A$2:$A$846,CATÁLOGO!$E$2:$E$846,"FORA DO CATÁLOGO")</f>
        <v>Descontinuado</v>
      </c>
      <c r="G62" s="14"/>
    </row>
    <row r="63" spans="1:7" x14ac:dyDescent="0.3">
      <c r="A63" s="2" t="s">
        <v>1557</v>
      </c>
      <c r="B63" s="19" t="str">
        <f>_xlfn.XLOOKUP(A63,CATÁLOGO!$A$2:$A$846,CATÁLOGO!$B$2:$B$846,"FORA DO CATÁLOGO")</f>
        <v>CAL007A38</v>
      </c>
      <c r="C63" s="13">
        <v>4</v>
      </c>
      <c r="D63" s="13">
        <v>0</v>
      </c>
      <c r="E63" s="13">
        <v>4</v>
      </c>
      <c r="F63" s="16" t="str">
        <f>_xlfn.XLOOKUP(A63,CATÁLOGO!$A$2:$A$846,CATÁLOGO!$E$2:$E$846,"FORA DO CATÁLOGO")</f>
        <v>Ativo</v>
      </c>
      <c r="G63" s="14"/>
    </row>
    <row r="64" spans="1:7" x14ac:dyDescent="0.3">
      <c r="A64" s="2" t="s">
        <v>1556</v>
      </c>
      <c r="B64" s="19" t="str">
        <f>_xlfn.XLOOKUP(A64,CATÁLOGO!$A$2:$A$846,CATÁLOGO!$B$2:$B$846,"FORA DO CATÁLOGO")</f>
        <v>CAL007A40</v>
      </c>
      <c r="C64" s="13">
        <v>6</v>
      </c>
      <c r="D64" s="13">
        <v>0</v>
      </c>
      <c r="E64" s="13">
        <v>6</v>
      </c>
      <c r="F64" s="16" t="str">
        <f>_xlfn.XLOOKUP(A64,CATÁLOGO!$A$2:$A$846,CATÁLOGO!$E$2:$E$846,"FORA DO CATÁLOGO")</f>
        <v>Ativo</v>
      </c>
      <c r="G64" s="14"/>
    </row>
    <row r="65" spans="1:7" x14ac:dyDescent="0.3">
      <c r="A65" s="2" t="s">
        <v>1553</v>
      </c>
      <c r="B65" s="19" t="str">
        <f>_xlfn.XLOOKUP(A65,CATÁLOGO!$A$2:$A$846,CATÁLOGO!$B$2:$B$846,"FORA DO CATÁLOGO")</f>
        <v>CAL007A42</v>
      </c>
      <c r="C65" s="13">
        <v>2</v>
      </c>
      <c r="D65" s="13">
        <v>2</v>
      </c>
      <c r="E65" s="13">
        <v>0</v>
      </c>
      <c r="F65" s="16" t="str">
        <f>_xlfn.XLOOKUP(A65,CATÁLOGO!$A$2:$A$846,CATÁLOGO!$E$2:$E$846,"FORA DO CATÁLOGO")</f>
        <v>Ativo</v>
      </c>
      <c r="G65" s="14"/>
    </row>
    <row r="66" spans="1:7" x14ac:dyDescent="0.3">
      <c r="A66" s="2" t="s">
        <v>1555</v>
      </c>
      <c r="B66" s="19" t="str">
        <f>_xlfn.XLOOKUP(A66,CATÁLOGO!$A$2:$A$846,CATÁLOGO!$B$2:$B$846,"FORA DO CATÁLOGO")</f>
        <v>CAL007A44</v>
      </c>
      <c r="C66" s="13">
        <v>2</v>
      </c>
      <c r="D66" s="13">
        <v>0</v>
      </c>
      <c r="E66" s="13">
        <v>2</v>
      </c>
      <c r="F66" s="16" t="str">
        <f>_xlfn.XLOOKUP(A66,CATÁLOGO!$A$2:$A$846,CATÁLOGO!$E$2:$E$846,"FORA DO CATÁLOGO")</f>
        <v>Ativo</v>
      </c>
      <c r="G66" s="14"/>
    </row>
    <row r="67" spans="1:7" x14ac:dyDescent="0.3">
      <c r="A67" s="2" t="s">
        <v>43</v>
      </c>
      <c r="B67" s="19" t="str">
        <f>_xlfn.XLOOKUP(A67,CATÁLOGO!$A$2:$A$846,CATÁLOGO!$B$2:$B$846,"FORA DO CATÁLOGO")</f>
        <v>TRI004BP</v>
      </c>
      <c r="C67" s="13">
        <v>5</v>
      </c>
      <c r="D67" s="13">
        <v>0</v>
      </c>
      <c r="E67" s="13">
        <v>5</v>
      </c>
      <c r="F67" s="16" t="str">
        <f>_xlfn.XLOOKUP(A67,CATÁLOGO!$A$2:$A$846,CATÁLOGO!$E$2:$E$846,"FORA DO CATÁLOGO")</f>
        <v>Ativo</v>
      </c>
      <c r="G67" s="14"/>
    </row>
    <row r="68" spans="1:7" x14ac:dyDescent="0.3">
      <c r="A68" s="2" t="s">
        <v>44</v>
      </c>
      <c r="B68" s="19" t="str">
        <f>_xlfn.XLOOKUP(A68,CATÁLOGO!$A$2:$A$846,CATÁLOGO!$B$2:$B$846,"FORA DO CATÁLOGO")</f>
        <v>TRI004BM</v>
      </c>
      <c r="C68" s="13">
        <v>6</v>
      </c>
      <c r="D68" s="13">
        <v>2</v>
      </c>
      <c r="E68" s="13">
        <v>4</v>
      </c>
      <c r="F68" s="16" t="str">
        <f>_xlfn.XLOOKUP(A68,CATÁLOGO!$A$2:$A$846,CATÁLOGO!$E$2:$E$846,"FORA DO CATÁLOGO")</f>
        <v>Ativo</v>
      </c>
      <c r="G68" s="14"/>
    </row>
    <row r="69" spans="1:7" x14ac:dyDescent="0.3">
      <c r="A69" s="2" t="s">
        <v>46</v>
      </c>
      <c r="B69" s="19" t="str">
        <f>_xlfn.XLOOKUP(A69,CATÁLOGO!$A$2:$A$846,CATÁLOGO!$B$2:$B$846,"FORA DO CATÁLOGO")</f>
        <v>TRI004BGG</v>
      </c>
      <c r="C69" s="13">
        <v>4</v>
      </c>
      <c r="D69" s="13">
        <v>1</v>
      </c>
      <c r="E69" s="13">
        <v>3</v>
      </c>
      <c r="F69" s="16" t="str">
        <f>_xlfn.XLOOKUP(A69,CATÁLOGO!$A$2:$A$846,CATÁLOGO!$E$2:$E$846,"FORA DO CATÁLOGO")</f>
        <v>Ativo</v>
      </c>
      <c r="G69" s="14"/>
    </row>
    <row r="70" spans="1:7" x14ac:dyDescent="0.3">
      <c r="A70" s="2" t="s">
        <v>47</v>
      </c>
      <c r="B70" s="19" t="str">
        <f>_xlfn.XLOOKUP(A70,CATÁLOGO!$A$2:$A$846,CATÁLOGO!$B$2:$B$846,"FORA DO CATÁLOGO")</f>
        <v>CMS001GP</v>
      </c>
      <c r="C70" s="13">
        <v>5</v>
      </c>
      <c r="D70" s="13">
        <v>0</v>
      </c>
      <c r="E70" s="13">
        <v>5</v>
      </c>
      <c r="F70" s="16" t="str">
        <f>_xlfn.XLOOKUP(A70,CATÁLOGO!$A$2:$A$846,CATÁLOGO!$E$2:$E$846,"FORA DO CATÁLOGO")</f>
        <v>Ativo</v>
      </c>
      <c r="G70" s="14"/>
    </row>
    <row r="71" spans="1:7" x14ac:dyDescent="0.3">
      <c r="A71" s="2" t="s">
        <v>48</v>
      </c>
      <c r="B71" s="19" t="str">
        <f>_xlfn.XLOOKUP(A71,CATÁLOGO!$A$2:$A$846,CATÁLOGO!$B$2:$B$846,"FORA DO CATÁLOGO")</f>
        <v>CMS001GM</v>
      </c>
      <c r="C71" s="13">
        <v>9</v>
      </c>
      <c r="D71" s="13">
        <v>0</v>
      </c>
      <c r="E71" s="13">
        <v>9</v>
      </c>
      <c r="F71" s="16" t="str">
        <f>_xlfn.XLOOKUP(A71,CATÁLOGO!$A$2:$A$846,CATÁLOGO!$E$2:$E$846,"FORA DO CATÁLOGO")</f>
        <v>Ativo</v>
      </c>
      <c r="G71" s="14"/>
    </row>
    <row r="72" spans="1:7" x14ac:dyDescent="0.3">
      <c r="A72" s="2" t="s">
        <v>49</v>
      </c>
      <c r="B72" s="19" t="str">
        <f>_xlfn.XLOOKUP(A72,CATÁLOGO!$A$2:$A$846,CATÁLOGO!$B$2:$B$846,"FORA DO CATÁLOGO")</f>
        <v>CMS001GG</v>
      </c>
      <c r="C72" s="13">
        <v>5</v>
      </c>
      <c r="D72" s="13">
        <v>2</v>
      </c>
      <c r="E72" s="13">
        <v>3</v>
      </c>
      <c r="F72" s="16" t="str">
        <f>_xlfn.XLOOKUP(A72,CATÁLOGO!$A$2:$A$846,CATÁLOGO!$E$2:$E$846,"FORA DO CATÁLOGO")</f>
        <v>Ativo</v>
      </c>
      <c r="G72" s="14"/>
    </row>
    <row r="73" spans="1:7" x14ac:dyDescent="0.3">
      <c r="A73" s="2" t="s">
        <v>50</v>
      </c>
      <c r="B73" s="19" t="str">
        <f>_xlfn.XLOOKUP(A73,CATÁLOGO!$A$2:$A$846,CATÁLOGO!$B$2:$B$846,"FORA DO CATÁLOGO")</f>
        <v>CMS001GGG</v>
      </c>
      <c r="C73" s="13">
        <v>6</v>
      </c>
      <c r="D73" s="13">
        <v>0</v>
      </c>
      <c r="E73" s="13">
        <v>6</v>
      </c>
      <c r="F73" s="16" t="str">
        <f>_xlfn.XLOOKUP(A73,CATÁLOGO!$A$2:$A$846,CATÁLOGO!$E$2:$E$846,"FORA DO CATÁLOGO")</f>
        <v>Ativo</v>
      </c>
      <c r="G73" s="14"/>
    </row>
    <row r="74" spans="1:7" x14ac:dyDescent="0.3">
      <c r="A74" s="2" t="s">
        <v>1714</v>
      </c>
      <c r="B74" s="19" t="str">
        <f>_xlfn.XLOOKUP(A74,CATÁLOGO!$A$2:$A$846,CATÁLOGO!$B$2:$B$846,"FORA DO CATÁLOGO")</f>
        <v>CAM002APP</v>
      </c>
      <c r="C74" s="13">
        <v>4</v>
      </c>
      <c r="D74" s="13">
        <v>0</v>
      </c>
      <c r="E74" s="13">
        <v>4</v>
      </c>
      <c r="F74" s="16" t="str">
        <f>_xlfn.XLOOKUP(A74,CATÁLOGO!$A$2:$A$846,CATÁLOGO!$E$2:$E$846,"FORA DO CATÁLOGO")</f>
        <v>Ativo</v>
      </c>
      <c r="G74" s="14"/>
    </row>
    <row r="75" spans="1:7" x14ac:dyDescent="0.3">
      <c r="A75" s="2" t="s">
        <v>51</v>
      </c>
      <c r="B75" s="19" t="str">
        <f>_xlfn.XLOOKUP(A75,CATÁLOGO!$A$2:$A$846,CATÁLOGO!$B$2:$B$846,"FORA DO CATÁLOGO")</f>
        <v>CAM002AP</v>
      </c>
      <c r="C75" s="13">
        <v>4</v>
      </c>
      <c r="D75" s="13">
        <v>2</v>
      </c>
      <c r="E75" s="13">
        <v>2</v>
      </c>
      <c r="F75" s="16" t="str">
        <f>_xlfn.XLOOKUP(A75,CATÁLOGO!$A$2:$A$846,CATÁLOGO!$E$2:$E$846,"FORA DO CATÁLOGO")</f>
        <v>Ativo</v>
      </c>
      <c r="G75" s="14"/>
    </row>
    <row r="76" spans="1:7" x14ac:dyDescent="0.3">
      <c r="A76" s="2" t="s">
        <v>52</v>
      </c>
      <c r="B76" s="19" t="str">
        <f>_xlfn.XLOOKUP(A76,CATÁLOGO!$A$2:$A$846,CATÁLOGO!$B$2:$B$846,"FORA DO CATÁLOGO")</f>
        <v>CAM002AM</v>
      </c>
      <c r="C76" s="13">
        <v>4</v>
      </c>
      <c r="D76" s="13">
        <v>1</v>
      </c>
      <c r="E76" s="13">
        <v>3</v>
      </c>
      <c r="F76" s="16" t="str">
        <f>_xlfn.XLOOKUP(A76,CATÁLOGO!$A$2:$A$846,CATÁLOGO!$E$2:$E$846,"FORA DO CATÁLOGO")</f>
        <v>Ativo</v>
      </c>
      <c r="G76" s="14"/>
    </row>
    <row r="77" spans="1:7" x14ac:dyDescent="0.3">
      <c r="A77" s="2" t="s">
        <v>53</v>
      </c>
      <c r="B77" s="19" t="str">
        <f>_xlfn.XLOOKUP(A77,CATÁLOGO!$A$2:$A$846,CATÁLOGO!$B$2:$B$846,"FORA DO CATÁLOGO")</f>
        <v>CAM002AG</v>
      </c>
      <c r="C77" s="13">
        <v>3</v>
      </c>
      <c r="D77" s="13">
        <v>0</v>
      </c>
      <c r="E77" s="13">
        <v>3</v>
      </c>
      <c r="F77" s="16" t="str">
        <f>_xlfn.XLOOKUP(A77,CATÁLOGO!$A$2:$A$846,CATÁLOGO!$E$2:$E$846,"FORA DO CATÁLOGO")</f>
        <v>Ativo</v>
      </c>
      <c r="G77" s="14"/>
    </row>
    <row r="78" spans="1:7" x14ac:dyDescent="0.3">
      <c r="A78" s="2" t="s">
        <v>54</v>
      </c>
      <c r="B78" s="19" t="str">
        <f>_xlfn.XLOOKUP(A78,CATÁLOGO!$A$2:$A$846,CATÁLOGO!$B$2:$B$846,"FORA DO CATÁLOGO")</f>
        <v>CAM002AGG</v>
      </c>
      <c r="C78" s="13">
        <v>8</v>
      </c>
      <c r="D78" s="13">
        <v>1</v>
      </c>
      <c r="E78" s="13">
        <v>7</v>
      </c>
      <c r="F78" s="16" t="str">
        <f>_xlfn.XLOOKUP(A78,CATÁLOGO!$A$2:$A$846,CATÁLOGO!$E$2:$E$846,"FORA DO CATÁLOGO")</f>
        <v>Ativo</v>
      </c>
      <c r="G78" s="14"/>
    </row>
    <row r="79" spans="1:7" x14ac:dyDescent="0.3">
      <c r="A79" s="2" t="s">
        <v>56</v>
      </c>
      <c r="B79" s="19" t="str">
        <f>_xlfn.XLOOKUP(A79,CATÁLOGO!$A$2:$A$846,CATÁLOGO!$B$2:$B$846,"FORA DO CATÁLOGO")</f>
        <v>CMS002GM</v>
      </c>
      <c r="C79" s="13">
        <v>6</v>
      </c>
      <c r="D79" s="13">
        <v>2</v>
      </c>
      <c r="E79" s="13">
        <v>4</v>
      </c>
      <c r="F79" s="16" t="str">
        <f>_xlfn.XLOOKUP(A79,CATÁLOGO!$A$2:$A$846,CATÁLOGO!$E$2:$E$846,"FORA DO CATÁLOGO")</f>
        <v>Ativo</v>
      </c>
      <c r="G79" s="14"/>
    </row>
    <row r="80" spans="1:7" x14ac:dyDescent="0.3">
      <c r="A80" s="2" t="s">
        <v>58</v>
      </c>
      <c r="B80" s="19" t="str">
        <f>_xlfn.XLOOKUP(A80,CATÁLOGO!$A$2:$A$846,CATÁLOGO!$B$2:$B$846,"FORA DO CATÁLOGO")</f>
        <v>CMS002GGG</v>
      </c>
      <c r="C80" s="13">
        <v>6</v>
      </c>
      <c r="D80" s="13">
        <v>0</v>
      </c>
      <c r="E80" s="13">
        <v>6</v>
      </c>
      <c r="F80" s="16" t="str">
        <f>_xlfn.XLOOKUP(A80,CATÁLOGO!$A$2:$A$846,CATÁLOGO!$E$2:$E$846,"FORA DO CATÁLOGO")</f>
        <v>Ativo</v>
      </c>
      <c r="G80" s="14"/>
    </row>
    <row r="81" spans="1:7" x14ac:dyDescent="0.3">
      <c r="A81" s="2" t="s">
        <v>59</v>
      </c>
      <c r="B81" s="19" t="str">
        <f>_xlfn.XLOOKUP(A81,CATÁLOGO!$A$2:$A$846,CATÁLOGO!$B$2:$B$846,"FORA DO CATÁLOGO")</f>
        <v>CAM003CP</v>
      </c>
      <c r="C81" s="13">
        <v>4</v>
      </c>
      <c r="D81" s="13">
        <v>0</v>
      </c>
      <c r="E81" s="13">
        <v>4</v>
      </c>
      <c r="F81" s="16" t="str">
        <f>_xlfn.XLOOKUP(A81,CATÁLOGO!$A$2:$A$846,CATÁLOGO!$E$2:$E$846,"FORA DO CATÁLOGO")</f>
        <v>Ativo</v>
      </c>
      <c r="G81" s="14"/>
    </row>
    <row r="82" spans="1:7" x14ac:dyDescent="0.3">
      <c r="A82" s="2" t="s">
        <v>60</v>
      </c>
      <c r="B82" s="19" t="str">
        <f>_xlfn.XLOOKUP(A82,CATÁLOGO!$A$2:$A$846,CATÁLOGO!$B$2:$B$846,"FORA DO CATÁLOGO")</f>
        <v>CAM003CM</v>
      </c>
      <c r="C82" s="13">
        <v>7</v>
      </c>
      <c r="D82" s="13">
        <v>0</v>
      </c>
      <c r="E82" s="13">
        <v>7</v>
      </c>
      <c r="F82" s="16" t="str">
        <f>_xlfn.XLOOKUP(A82,CATÁLOGO!$A$2:$A$846,CATÁLOGO!$E$2:$E$846,"FORA DO CATÁLOGO")</f>
        <v>Ativo</v>
      </c>
      <c r="G82" s="14"/>
    </row>
    <row r="83" spans="1:7" x14ac:dyDescent="0.3">
      <c r="A83" s="2" t="s">
        <v>61</v>
      </c>
      <c r="B83" s="19" t="str">
        <f>_xlfn.XLOOKUP(A83,CATÁLOGO!$A$2:$A$846,CATÁLOGO!$B$2:$B$846,"FORA DO CATÁLOGO")</f>
        <v>CAM003CG</v>
      </c>
      <c r="C83" s="13">
        <v>6</v>
      </c>
      <c r="D83" s="13">
        <v>0</v>
      </c>
      <c r="E83" s="13">
        <v>6</v>
      </c>
      <c r="F83" s="16" t="str">
        <f>_xlfn.XLOOKUP(A83,CATÁLOGO!$A$2:$A$846,CATÁLOGO!$E$2:$E$846,"FORA DO CATÁLOGO")</f>
        <v>Ativo</v>
      </c>
      <c r="G83" s="14"/>
    </row>
    <row r="84" spans="1:7" x14ac:dyDescent="0.3">
      <c r="A84" s="2" t="s">
        <v>62</v>
      </c>
      <c r="B84" s="19" t="str">
        <f>_xlfn.XLOOKUP(A84,CATÁLOGO!$A$2:$A$846,CATÁLOGO!$B$2:$B$846,"FORA DO CATÁLOGO")</f>
        <v>CAM003CGG</v>
      </c>
      <c r="C84" s="13">
        <v>6</v>
      </c>
      <c r="D84" s="13">
        <v>0</v>
      </c>
      <c r="E84" s="13">
        <v>6</v>
      </c>
      <c r="F84" s="16" t="str">
        <f>_xlfn.XLOOKUP(A84,CATÁLOGO!$A$2:$A$846,CATÁLOGO!$E$2:$E$846,"FORA DO CATÁLOGO")</f>
        <v>Ativo</v>
      </c>
      <c r="G84" s="14"/>
    </row>
    <row r="85" spans="1:7" x14ac:dyDescent="0.3">
      <c r="A85" s="2" t="s">
        <v>63</v>
      </c>
      <c r="B85" s="19" t="str">
        <f>_xlfn.XLOOKUP(A85,CATÁLOGO!$A$2:$A$846,CATÁLOGO!$B$2:$B$846,"FORA DO CATÁLOGO")</f>
        <v>CAM003AP</v>
      </c>
      <c r="C85" s="13">
        <v>4</v>
      </c>
      <c r="D85" s="13">
        <v>0</v>
      </c>
      <c r="E85" s="13">
        <v>4</v>
      </c>
      <c r="F85" s="16" t="str">
        <f>_xlfn.XLOOKUP(A85,CATÁLOGO!$A$2:$A$846,CATÁLOGO!$E$2:$E$846,"FORA DO CATÁLOGO")</f>
        <v>Ativo</v>
      </c>
      <c r="G85" s="14"/>
    </row>
    <row r="86" spans="1:7" x14ac:dyDescent="0.3">
      <c r="A86" s="2" t="s">
        <v>64</v>
      </c>
      <c r="B86" s="19" t="str">
        <f>_xlfn.XLOOKUP(A86,CATÁLOGO!$A$2:$A$846,CATÁLOGO!$B$2:$B$846,"FORA DO CATÁLOGO")</f>
        <v>CAM003AM</v>
      </c>
      <c r="C86" s="13">
        <v>3</v>
      </c>
      <c r="D86" s="13">
        <v>0</v>
      </c>
      <c r="E86" s="13">
        <v>3</v>
      </c>
      <c r="F86" s="16" t="str">
        <f>_xlfn.XLOOKUP(A86,CATÁLOGO!$A$2:$A$846,CATÁLOGO!$E$2:$E$846,"FORA DO CATÁLOGO")</f>
        <v>Ativo</v>
      </c>
      <c r="G86" s="14"/>
    </row>
    <row r="87" spans="1:7" x14ac:dyDescent="0.3">
      <c r="A87" s="2" t="s">
        <v>65</v>
      </c>
      <c r="B87" s="19" t="str">
        <f>_xlfn.XLOOKUP(A87,CATÁLOGO!$A$2:$A$846,CATÁLOGO!$B$2:$B$846,"FORA DO CATÁLOGO")</f>
        <v>CAM003AG</v>
      </c>
      <c r="C87" s="13">
        <v>4</v>
      </c>
      <c r="D87" s="13">
        <v>0</v>
      </c>
      <c r="E87" s="13">
        <v>4</v>
      </c>
      <c r="F87" s="16" t="str">
        <f>_xlfn.XLOOKUP(A87,CATÁLOGO!$A$2:$A$846,CATÁLOGO!$E$2:$E$846,"FORA DO CATÁLOGO")</f>
        <v>Ativo</v>
      </c>
      <c r="G87" s="14"/>
    </row>
    <row r="88" spans="1:7" x14ac:dyDescent="0.3">
      <c r="A88" s="2" t="s">
        <v>66</v>
      </c>
      <c r="B88" s="19" t="str">
        <f>_xlfn.XLOOKUP(A88,CATÁLOGO!$A$2:$A$846,CATÁLOGO!$B$2:$B$846,"FORA DO CATÁLOGO")</f>
        <v>CAM003AGG</v>
      </c>
      <c r="C88" s="13">
        <v>7</v>
      </c>
      <c r="D88" s="13">
        <v>0</v>
      </c>
      <c r="E88" s="13">
        <v>7</v>
      </c>
      <c r="F88" s="16" t="str">
        <f>_xlfn.XLOOKUP(A88,CATÁLOGO!$A$2:$A$846,CATÁLOGO!$E$2:$E$846,"FORA DO CATÁLOGO")</f>
        <v>Ativo</v>
      </c>
      <c r="G88" s="14"/>
    </row>
    <row r="89" spans="1:7" x14ac:dyDescent="0.3">
      <c r="A89" s="2" t="s">
        <v>67</v>
      </c>
      <c r="B89" s="19" t="str">
        <f>_xlfn.XLOOKUP(A89,CATÁLOGO!$A$2:$A$846,CATÁLOGO!$B$2:$B$846,"FORA DO CATÁLOGO")</f>
        <v>MOL004BP</v>
      </c>
      <c r="C89" s="13">
        <v>5</v>
      </c>
      <c r="D89" s="13">
        <v>0</v>
      </c>
      <c r="E89" s="13">
        <v>5</v>
      </c>
      <c r="F89" s="16" t="str">
        <f>_xlfn.XLOOKUP(A89,CATÁLOGO!$A$2:$A$846,CATÁLOGO!$E$2:$E$846,"FORA DO CATÁLOGO")</f>
        <v>Ativo</v>
      </c>
      <c r="G89" s="14"/>
    </row>
    <row r="90" spans="1:7" x14ac:dyDescent="0.3">
      <c r="A90" s="2" t="s">
        <v>68</v>
      </c>
      <c r="B90" s="19" t="str">
        <f>_xlfn.XLOOKUP(A90,CATÁLOGO!$A$2:$A$846,CATÁLOGO!$B$2:$B$846,"FORA DO CATÁLOGO")</f>
        <v>MOL004BM</v>
      </c>
      <c r="C90" s="13">
        <v>2</v>
      </c>
      <c r="D90" s="13">
        <v>0</v>
      </c>
      <c r="E90" s="13">
        <v>2</v>
      </c>
      <c r="F90" s="16" t="str">
        <f>_xlfn.XLOOKUP(A90,CATÁLOGO!$A$2:$A$846,CATÁLOGO!$E$2:$E$846,"FORA DO CATÁLOGO")</f>
        <v>Ativo</v>
      </c>
      <c r="G90" s="14"/>
    </row>
    <row r="91" spans="1:7" x14ac:dyDescent="0.3">
      <c r="A91" s="2" t="s">
        <v>69</v>
      </c>
      <c r="B91" s="19" t="str">
        <f>_xlfn.XLOOKUP(A91,CATÁLOGO!$A$2:$A$846,CATÁLOGO!$B$2:$B$846,"FORA DO CATÁLOGO")</f>
        <v>MOL004BG</v>
      </c>
      <c r="C91" s="13">
        <v>2</v>
      </c>
      <c r="D91" s="13">
        <v>0</v>
      </c>
      <c r="E91" s="13">
        <v>2</v>
      </c>
      <c r="F91" s="16" t="str">
        <f>_xlfn.XLOOKUP(A91,CATÁLOGO!$A$2:$A$846,CATÁLOGO!$E$2:$E$846,"FORA DO CATÁLOGO")</f>
        <v>Ativo</v>
      </c>
      <c r="G91" s="14"/>
    </row>
    <row r="92" spans="1:7" x14ac:dyDescent="0.3">
      <c r="A92" s="2" t="s">
        <v>70</v>
      </c>
      <c r="B92" s="19" t="str">
        <f>_xlfn.XLOOKUP(A92,CATÁLOGO!$A$2:$A$846,CATÁLOGO!$B$2:$B$846,"FORA DO CATÁLOGO")</f>
        <v>MOL004BGG</v>
      </c>
      <c r="C92" s="13">
        <v>4</v>
      </c>
      <c r="D92" s="13">
        <v>0</v>
      </c>
      <c r="E92" s="13">
        <v>4</v>
      </c>
      <c r="F92" s="16" t="str">
        <f>_xlfn.XLOOKUP(A92,CATÁLOGO!$A$2:$A$846,CATÁLOGO!$E$2:$E$846,"FORA DO CATÁLOGO")</f>
        <v>Ativo</v>
      </c>
      <c r="G92" s="14"/>
    </row>
    <row r="93" spans="1:7" x14ac:dyDescent="0.3">
      <c r="A93" s="2" t="s">
        <v>71</v>
      </c>
      <c r="B93" s="19" t="str">
        <f>_xlfn.XLOOKUP(A93,CATÁLOGO!$A$2:$A$846,CATÁLOGO!$B$2:$B$846,"FORA DO CATÁLOGO")</f>
        <v>CAM004BP</v>
      </c>
      <c r="C93" s="13">
        <v>206</v>
      </c>
      <c r="D93" s="13">
        <v>1</v>
      </c>
      <c r="E93" s="13">
        <v>205</v>
      </c>
      <c r="F93" s="16" t="str">
        <f>_xlfn.XLOOKUP(A93,CATÁLOGO!$A$2:$A$846,CATÁLOGO!$E$2:$E$846,"FORA DO CATÁLOGO")</f>
        <v>Ativo</v>
      </c>
      <c r="G93" s="14"/>
    </row>
    <row r="94" spans="1:7" x14ac:dyDescent="0.3">
      <c r="A94" s="2" t="s">
        <v>72</v>
      </c>
      <c r="B94" s="19" t="str">
        <f>_xlfn.XLOOKUP(A94,CATÁLOGO!$A$2:$A$846,CATÁLOGO!$B$2:$B$846,"FORA DO CATÁLOGO")</f>
        <v>CAM004BM</v>
      </c>
      <c r="C94" s="13">
        <v>290</v>
      </c>
      <c r="D94" s="13">
        <v>0</v>
      </c>
      <c r="E94" s="13">
        <v>290</v>
      </c>
      <c r="F94" s="16" t="str">
        <f>_xlfn.XLOOKUP(A94,CATÁLOGO!$A$2:$A$846,CATÁLOGO!$E$2:$E$846,"FORA DO CATÁLOGO")</f>
        <v>Ativo</v>
      </c>
      <c r="G94" s="14"/>
    </row>
    <row r="95" spans="1:7" x14ac:dyDescent="0.3">
      <c r="A95" s="2" t="s">
        <v>73</v>
      </c>
      <c r="B95" s="19" t="str">
        <f>_xlfn.XLOOKUP(A95,CATÁLOGO!$A$2:$A$846,CATÁLOGO!$B$2:$B$846,"FORA DO CATÁLOGO")</f>
        <v>CAM004BG</v>
      </c>
      <c r="C95" s="13">
        <v>239</v>
      </c>
      <c r="D95" s="13">
        <v>0</v>
      </c>
      <c r="E95" s="13">
        <v>239</v>
      </c>
      <c r="F95" s="16" t="str">
        <f>_xlfn.XLOOKUP(A95,CATÁLOGO!$A$2:$A$846,CATÁLOGO!$E$2:$E$846,"FORA DO CATÁLOGO")</f>
        <v>Ativo</v>
      </c>
      <c r="G95" s="14"/>
    </row>
    <row r="96" spans="1:7" x14ac:dyDescent="0.3">
      <c r="A96" s="2" t="s">
        <v>1250</v>
      </c>
      <c r="B96" s="19" t="str">
        <f>_xlfn.XLOOKUP(A96,CATÁLOGO!$A$2:$A$846,CATÁLOGO!$B$2:$B$846,"FORA DO CATÁLOGO")</f>
        <v>CAM004BGG</v>
      </c>
      <c r="C96" s="13">
        <v>140</v>
      </c>
      <c r="D96" s="13">
        <v>2</v>
      </c>
      <c r="E96" s="13">
        <v>138</v>
      </c>
      <c r="F96" s="16" t="str">
        <f>_xlfn.XLOOKUP(A96,CATÁLOGO!$A$2:$A$846,CATÁLOGO!$E$2:$E$846,"FORA DO CATÁLOGO")</f>
        <v>Ativo</v>
      </c>
      <c r="G96" s="14"/>
    </row>
    <row r="97" spans="1:7" x14ac:dyDescent="0.3">
      <c r="A97" s="2" t="s">
        <v>74</v>
      </c>
      <c r="B97" s="19" t="str">
        <f>_xlfn.XLOOKUP(A97,CATÁLOGO!$A$2:$A$846,CATÁLOGO!$B$2:$B$846,"FORA DO CATÁLOGO")</f>
        <v>CAM004CP</v>
      </c>
      <c r="C97" s="13">
        <v>2</v>
      </c>
      <c r="D97" s="13">
        <v>0</v>
      </c>
      <c r="E97" s="13">
        <v>2</v>
      </c>
      <c r="F97" s="16" t="str">
        <f>_xlfn.XLOOKUP(A97,CATÁLOGO!$A$2:$A$846,CATÁLOGO!$E$2:$E$846,"FORA DO CATÁLOGO")</f>
        <v>Ativo</v>
      </c>
      <c r="G97" s="14"/>
    </row>
    <row r="98" spans="1:7" x14ac:dyDescent="0.3">
      <c r="A98" s="2" t="s">
        <v>75</v>
      </c>
      <c r="B98" s="19" t="str">
        <f>_xlfn.XLOOKUP(A98,CATÁLOGO!$A$2:$A$846,CATÁLOGO!$B$2:$B$846,"FORA DO CATÁLOGO")</f>
        <v>CAM004CM</v>
      </c>
      <c r="C98" s="13">
        <v>8</v>
      </c>
      <c r="D98" s="13">
        <v>0</v>
      </c>
      <c r="E98" s="13">
        <v>8</v>
      </c>
      <c r="F98" s="16" t="str">
        <f>_xlfn.XLOOKUP(A98,CATÁLOGO!$A$2:$A$846,CATÁLOGO!$E$2:$E$846,"FORA DO CATÁLOGO")</f>
        <v>Ativo</v>
      </c>
      <c r="G98" s="14"/>
    </row>
    <row r="99" spans="1:7" x14ac:dyDescent="0.3">
      <c r="A99" s="2" t="s">
        <v>76</v>
      </c>
      <c r="B99" s="19" t="str">
        <f>_xlfn.XLOOKUP(A99,CATÁLOGO!$A$2:$A$846,CATÁLOGO!$B$2:$B$846,"FORA DO CATÁLOGO")</f>
        <v>CAM004CG</v>
      </c>
      <c r="C99" s="13">
        <v>5</v>
      </c>
      <c r="D99" s="13">
        <v>0</v>
      </c>
      <c r="E99" s="13">
        <v>5</v>
      </c>
      <c r="F99" s="16" t="str">
        <f>_xlfn.XLOOKUP(A99,CATÁLOGO!$A$2:$A$846,CATÁLOGO!$E$2:$E$846,"FORA DO CATÁLOGO")</f>
        <v>Ativo</v>
      </c>
      <c r="G99" s="14"/>
    </row>
    <row r="100" spans="1:7" x14ac:dyDescent="0.3">
      <c r="A100" s="2" t="s">
        <v>77</v>
      </c>
      <c r="B100" s="19" t="str">
        <f>_xlfn.XLOOKUP(A100,CATÁLOGO!$A$2:$A$846,CATÁLOGO!$B$2:$B$846,"FORA DO CATÁLOGO")</f>
        <v>CAM004CGG</v>
      </c>
      <c r="C100" s="13">
        <v>3</v>
      </c>
      <c r="D100" s="13">
        <v>2</v>
      </c>
      <c r="E100" s="13">
        <v>1</v>
      </c>
      <c r="F100" s="16" t="str">
        <f>_xlfn.XLOOKUP(A100,CATÁLOGO!$A$2:$A$846,CATÁLOGO!$E$2:$E$846,"FORA DO CATÁLOGO")</f>
        <v>Ativo</v>
      </c>
      <c r="G100" s="14"/>
    </row>
    <row r="101" spans="1:7" x14ac:dyDescent="0.3">
      <c r="A101" s="2" t="s">
        <v>78</v>
      </c>
      <c r="B101" s="19" t="str">
        <f>_xlfn.XLOOKUP(A101,CATÁLOGO!$A$2:$A$846,CATÁLOGO!$B$2:$B$846,"FORA DO CATÁLOGO")</f>
        <v>CAM004PP</v>
      </c>
      <c r="C101" s="13">
        <v>8</v>
      </c>
      <c r="D101" s="13">
        <v>2</v>
      </c>
      <c r="E101" s="13">
        <v>6</v>
      </c>
      <c r="F101" s="16" t="str">
        <f>_xlfn.XLOOKUP(A101,CATÁLOGO!$A$2:$A$846,CATÁLOGO!$E$2:$E$846,"FORA DO CATÁLOGO")</f>
        <v>Ativo</v>
      </c>
      <c r="G101" s="14"/>
    </row>
    <row r="102" spans="1:7" x14ac:dyDescent="0.3">
      <c r="A102" s="2" t="s">
        <v>79</v>
      </c>
      <c r="B102" s="19" t="str">
        <f>_xlfn.XLOOKUP(A102,CATÁLOGO!$A$2:$A$846,CATÁLOGO!$B$2:$B$846,"FORA DO CATÁLOGO")</f>
        <v>CAM004PM</v>
      </c>
      <c r="C102" s="13">
        <v>3</v>
      </c>
      <c r="D102" s="13">
        <v>0</v>
      </c>
      <c r="E102" s="13">
        <v>3</v>
      </c>
      <c r="F102" s="16" t="str">
        <f>_xlfn.XLOOKUP(A102,CATÁLOGO!$A$2:$A$846,CATÁLOGO!$E$2:$E$846,"FORA DO CATÁLOGO")</f>
        <v>Ativo</v>
      </c>
      <c r="G102" s="14"/>
    </row>
    <row r="103" spans="1:7" x14ac:dyDescent="0.3">
      <c r="A103" s="2" t="s">
        <v>80</v>
      </c>
      <c r="B103" s="19" t="str">
        <f>_xlfn.XLOOKUP(A103,CATÁLOGO!$A$2:$A$846,CATÁLOGO!$B$2:$B$846,"FORA DO CATÁLOGO")</f>
        <v>CAM004PG</v>
      </c>
      <c r="C103" s="13">
        <v>3</v>
      </c>
      <c r="D103" s="13">
        <v>1</v>
      </c>
      <c r="E103" s="13">
        <v>2</v>
      </c>
      <c r="F103" s="16" t="str">
        <f>_xlfn.XLOOKUP(A103,CATÁLOGO!$A$2:$A$846,CATÁLOGO!$E$2:$E$846,"FORA DO CATÁLOGO")</f>
        <v>Ativo</v>
      </c>
      <c r="G103" s="14"/>
    </row>
    <row r="104" spans="1:7" x14ac:dyDescent="0.3">
      <c r="A104" s="2" t="s">
        <v>81</v>
      </c>
      <c r="B104" s="19" t="str">
        <f>_xlfn.XLOOKUP(A104,CATÁLOGO!$A$2:$A$846,CATÁLOGO!$B$2:$B$846,"FORA DO CATÁLOGO")</f>
        <v>CAM004PGG</v>
      </c>
      <c r="C104" s="13">
        <v>8</v>
      </c>
      <c r="D104" s="13">
        <v>0</v>
      </c>
      <c r="E104" s="13">
        <v>8</v>
      </c>
      <c r="F104" s="16" t="str">
        <f>_xlfn.XLOOKUP(A104,CATÁLOGO!$A$2:$A$846,CATÁLOGO!$E$2:$E$846,"FORA DO CATÁLOGO")</f>
        <v>Ativo</v>
      </c>
      <c r="G104" s="14"/>
    </row>
    <row r="105" spans="1:7" x14ac:dyDescent="0.3">
      <c r="A105" s="2" t="s">
        <v>82</v>
      </c>
      <c r="B105" s="19" t="str">
        <f>_xlfn.XLOOKUP(A105,CATÁLOGO!$A$2:$A$846,CATÁLOGO!$B$2:$B$846,"FORA DO CATÁLOGO")</f>
        <v>TOP003BP</v>
      </c>
      <c r="C105" s="13">
        <v>5</v>
      </c>
      <c r="D105" s="13">
        <v>0</v>
      </c>
      <c r="E105" s="13">
        <v>5</v>
      </c>
      <c r="F105" s="16" t="str">
        <f>_xlfn.XLOOKUP(A105,CATÁLOGO!$A$2:$A$846,CATÁLOGO!$E$2:$E$846,"FORA DO CATÁLOGO")</f>
        <v>Ativo</v>
      </c>
      <c r="G105" s="14"/>
    </row>
    <row r="106" spans="1:7" x14ac:dyDescent="0.3">
      <c r="A106" s="2" t="s">
        <v>83</v>
      </c>
      <c r="B106" s="19" t="str">
        <f>_xlfn.XLOOKUP(A106,CATÁLOGO!$A$2:$A$846,CATÁLOGO!$B$2:$B$846,"FORA DO CATÁLOGO")</f>
        <v>TOP003BM</v>
      </c>
      <c r="C106" s="13">
        <v>10</v>
      </c>
      <c r="D106" s="13">
        <v>0</v>
      </c>
      <c r="E106" s="13">
        <v>10</v>
      </c>
      <c r="F106" s="16" t="str">
        <f>_xlfn.XLOOKUP(A106,CATÁLOGO!$A$2:$A$846,CATÁLOGO!$E$2:$E$846,"FORA DO CATÁLOGO")</f>
        <v>Ativo</v>
      </c>
      <c r="G106" s="14"/>
    </row>
    <row r="107" spans="1:7" x14ac:dyDescent="0.3">
      <c r="A107" s="2" t="s">
        <v>84</v>
      </c>
      <c r="B107" s="19" t="str">
        <f>_xlfn.XLOOKUP(A107,CATÁLOGO!$A$2:$A$846,CATÁLOGO!$B$2:$B$846,"FORA DO CATÁLOGO")</f>
        <v>TOP003BG</v>
      </c>
      <c r="C107" s="13">
        <v>9</v>
      </c>
      <c r="D107" s="13">
        <v>0</v>
      </c>
      <c r="E107" s="13">
        <v>9</v>
      </c>
      <c r="F107" s="16" t="str">
        <f>_xlfn.XLOOKUP(A107,CATÁLOGO!$A$2:$A$846,CATÁLOGO!$E$2:$E$846,"FORA DO CATÁLOGO")</f>
        <v>Ativo</v>
      </c>
      <c r="G107" s="14"/>
    </row>
    <row r="108" spans="1:7" x14ac:dyDescent="0.3">
      <c r="A108" s="2" t="s">
        <v>85</v>
      </c>
      <c r="B108" s="19" t="str">
        <f>_xlfn.XLOOKUP(A108,CATÁLOGO!$A$2:$A$846,CATÁLOGO!$B$2:$B$846,"FORA DO CATÁLOGO")</f>
        <v>TOP003BGG</v>
      </c>
      <c r="C108" s="13">
        <v>3</v>
      </c>
      <c r="D108" s="13">
        <v>0</v>
      </c>
      <c r="E108" s="13">
        <v>3</v>
      </c>
      <c r="F108" s="16" t="str">
        <f>_xlfn.XLOOKUP(A108,CATÁLOGO!$A$2:$A$846,CATÁLOGO!$E$2:$E$846,"FORA DO CATÁLOGO")</f>
        <v>Ativo</v>
      </c>
      <c r="G108" s="14"/>
    </row>
    <row r="109" spans="1:7" x14ac:dyDescent="0.3">
      <c r="A109" s="2" t="s">
        <v>1767</v>
      </c>
      <c r="B109" s="19" t="str">
        <f>_xlfn.XLOOKUP(A109,CATÁLOGO!$A$2:$A$846,CATÁLOGO!$B$2:$B$846,"FORA DO CATÁLOGO")</f>
        <v>CMS003BPP</v>
      </c>
      <c r="C109" s="13">
        <v>7</v>
      </c>
      <c r="D109" s="13">
        <v>2</v>
      </c>
      <c r="E109" s="13">
        <v>5</v>
      </c>
      <c r="F109" s="16" t="str">
        <f>_xlfn.XLOOKUP(A109,CATÁLOGO!$A$2:$A$846,CATÁLOGO!$E$2:$E$846,"FORA DO CATÁLOGO")</f>
        <v>Ativo</v>
      </c>
      <c r="G109" s="14"/>
    </row>
    <row r="110" spans="1:7" x14ac:dyDescent="0.3">
      <c r="A110" s="2" t="s">
        <v>86</v>
      </c>
      <c r="B110" s="19" t="str">
        <f>_xlfn.XLOOKUP(A110,CATÁLOGO!$A$2:$A$846,CATÁLOGO!$B$2:$B$846,"FORA DO CATÁLOGO")</f>
        <v>CMS003BP</v>
      </c>
      <c r="C110" s="13">
        <v>7</v>
      </c>
      <c r="D110" s="13">
        <v>0</v>
      </c>
      <c r="E110" s="13">
        <v>7</v>
      </c>
      <c r="F110" s="16" t="str">
        <f>_xlfn.XLOOKUP(A110,CATÁLOGO!$A$2:$A$846,CATÁLOGO!$E$2:$E$846,"FORA DO CATÁLOGO")</f>
        <v>Ativo</v>
      </c>
      <c r="G110" s="14"/>
    </row>
    <row r="111" spans="1:7" x14ac:dyDescent="0.3">
      <c r="A111" s="2" t="s">
        <v>88</v>
      </c>
      <c r="B111" s="19" t="str">
        <f>_xlfn.XLOOKUP(A111,CATÁLOGO!$A$2:$A$846,CATÁLOGO!$B$2:$B$846,"FORA DO CATÁLOGO")</f>
        <v>CMS003BG</v>
      </c>
      <c r="C111" s="13">
        <v>4</v>
      </c>
      <c r="D111" s="13">
        <v>0</v>
      </c>
      <c r="E111" s="13">
        <v>4</v>
      </c>
      <c r="F111" s="16" t="str">
        <f>_xlfn.XLOOKUP(A111,CATÁLOGO!$A$2:$A$846,CATÁLOGO!$E$2:$E$846,"FORA DO CATÁLOGO")</f>
        <v>Ativo</v>
      </c>
      <c r="G111" s="14"/>
    </row>
    <row r="112" spans="1:7" x14ac:dyDescent="0.3">
      <c r="A112" s="2" t="s">
        <v>1829</v>
      </c>
      <c r="B112" s="19" t="str">
        <f>_xlfn.XLOOKUP(A112,CATÁLOGO!$A$2:$A$846,CATÁLOGO!$B$2:$B$846,"FORA DO CATÁLOGO")</f>
        <v>MOL005OPP</v>
      </c>
      <c r="C112" s="13">
        <v>5</v>
      </c>
      <c r="D112" s="13">
        <v>0</v>
      </c>
      <c r="E112" s="13">
        <v>5</v>
      </c>
      <c r="F112" s="16" t="str">
        <f>_xlfn.XLOOKUP(A112,CATÁLOGO!$A$2:$A$846,CATÁLOGO!$E$2:$E$846,"FORA DO CATÁLOGO")</f>
        <v>Ativo</v>
      </c>
      <c r="G112" s="14"/>
    </row>
    <row r="113" spans="1:7" x14ac:dyDescent="0.3">
      <c r="A113" s="2" t="s">
        <v>91</v>
      </c>
      <c r="B113" s="19" t="str">
        <f>_xlfn.XLOOKUP(A113,CATÁLOGO!$A$2:$A$846,CATÁLOGO!$B$2:$B$846,"FORA DO CATÁLOGO")</f>
        <v>MOL005OG</v>
      </c>
      <c r="C113" s="13">
        <v>8</v>
      </c>
      <c r="D113" s="13">
        <v>0</v>
      </c>
      <c r="E113" s="13">
        <v>8</v>
      </c>
      <c r="F113" s="16" t="str">
        <f>_xlfn.XLOOKUP(A113,CATÁLOGO!$A$2:$A$846,CATÁLOGO!$E$2:$E$846,"FORA DO CATÁLOGO")</f>
        <v>Ativo</v>
      </c>
      <c r="G113" s="14"/>
    </row>
    <row r="114" spans="1:7" x14ac:dyDescent="0.3">
      <c r="A114" s="2" t="s">
        <v>92</v>
      </c>
      <c r="B114" s="19" t="str">
        <f>_xlfn.XLOOKUP(A114,CATÁLOGO!$A$2:$A$846,CATÁLOGO!$B$2:$B$846,"FORA DO CATÁLOGO")</f>
        <v>MOL005OGG</v>
      </c>
      <c r="C114" s="13">
        <v>15</v>
      </c>
      <c r="D114" s="13">
        <v>0</v>
      </c>
      <c r="E114" s="13">
        <v>15</v>
      </c>
      <c r="F114" s="16" t="str">
        <f>_xlfn.XLOOKUP(A114,CATÁLOGO!$A$2:$A$846,CATÁLOGO!$E$2:$E$846,"FORA DO CATÁLOGO")</f>
        <v>Ativo</v>
      </c>
      <c r="G114" s="14"/>
    </row>
    <row r="115" spans="1:7" x14ac:dyDescent="0.3">
      <c r="A115" s="2" t="s">
        <v>95</v>
      </c>
      <c r="B115" s="19" t="str">
        <f>_xlfn.XLOOKUP(A115,CATÁLOGO!$A$2:$A$846,CATÁLOGO!$B$2:$B$846,"FORA DO CATÁLOGO")</f>
        <v>CAM005OG</v>
      </c>
      <c r="C115" s="13">
        <v>2</v>
      </c>
      <c r="D115" s="13">
        <v>0</v>
      </c>
      <c r="E115" s="13">
        <v>2</v>
      </c>
      <c r="F115" s="16" t="str">
        <f>_xlfn.XLOOKUP(A115,CATÁLOGO!$A$2:$A$846,CATÁLOGO!$E$2:$E$846,"FORA DO CATÁLOGO")</f>
        <v>Ativo</v>
      </c>
      <c r="G115" s="14"/>
    </row>
    <row r="116" spans="1:7" x14ac:dyDescent="0.3">
      <c r="A116" s="2" t="s">
        <v>96</v>
      </c>
      <c r="B116" s="19" t="str">
        <f>_xlfn.XLOOKUP(A116,CATÁLOGO!$A$2:$A$846,CATÁLOGO!$B$2:$B$846,"FORA DO CATÁLOGO")</f>
        <v>CAM005OGG</v>
      </c>
      <c r="C116" s="13">
        <v>1</v>
      </c>
      <c r="D116" s="13">
        <v>0</v>
      </c>
      <c r="E116" s="13">
        <v>1</v>
      </c>
      <c r="F116" s="16" t="str">
        <f>_xlfn.XLOOKUP(A116,CATÁLOGO!$A$2:$A$846,CATÁLOGO!$E$2:$E$846,"FORA DO CATÁLOGO")</f>
        <v>Ativo</v>
      </c>
      <c r="G116" s="14"/>
    </row>
    <row r="117" spans="1:7" x14ac:dyDescent="0.3">
      <c r="A117" s="2" t="s">
        <v>1566</v>
      </c>
      <c r="B117" s="19" t="str">
        <f>_xlfn.XLOOKUP(A117,CATÁLOGO!$A$2:$A$846,CATÁLOGO!$B$2:$B$846,"FORA DO CATÁLOGO")</f>
        <v>CAL008B38</v>
      </c>
      <c r="C117" s="13">
        <v>5</v>
      </c>
      <c r="D117" s="13">
        <v>0</v>
      </c>
      <c r="E117" s="13">
        <v>5</v>
      </c>
      <c r="F117" s="16" t="str">
        <f>_xlfn.XLOOKUP(A117,CATÁLOGO!$A$2:$A$846,CATÁLOGO!$E$2:$E$846,"FORA DO CATÁLOGO")</f>
        <v>Ativo</v>
      </c>
      <c r="G117" s="14"/>
    </row>
    <row r="118" spans="1:7" x14ac:dyDescent="0.3">
      <c r="A118" s="2" t="s">
        <v>1565</v>
      </c>
      <c r="B118" s="19" t="str">
        <f>_xlfn.XLOOKUP(A118,CATÁLOGO!$A$2:$A$846,CATÁLOGO!$B$2:$B$846,"FORA DO CATÁLOGO")</f>
        <v>CAL008B40</v>
      </c>
      <c r="C118" s="13">
        <v>1</v>
      </c>
      <c r="D118" s="13">
        <v>0</v>
      </c>
      <c r="E118" s="13">
        <v>1</v>
      </c>
      <c r="F118" s="16" t="str">
        <f>_xlfn.XLOOKUP(A118,CATÁLOGO!$A$2:$A$846,CATÁLOGO!$E$2:$E$846,"FORA DO CATÁLOGO")</f>
        <v>Ativo</v>
      </c>
      <c r="G118" s="14"/>
    </row>
    <row r="119" spans="1:7" x14ac:dyDescent="0.3">
      <c r="A119" s="2" t="s">
        <v>1563</v>
      </c>
      <c r="B119" s="19" t="str">
        <f>_xlfn.XLOOKUP(A119,CATÁLOGO!$A$2:$A$846,CATÁLOGO!$B$2:$B$846,"FORA DO CATÁLOGO")</f>
        <v>CAL008B42</v>
      </c>
      <c r="C119" s="13">
        <v>6</v>
      </c>
      <c r="D119" s="13">
        <v>0</v>
      </c>
      <c r="E119" s="13">
        <v>6</v>
      </c>
      <c r="F119" s="16" t="str">
        <f>_xlfn.XLOOKUP(A119,CATÁLOGO!$A$2:$A$846,CATÁLOGO!$E$2:$E$846,"FORA DO CATÁLOGO")</f>
        <v>Ativo</v>
      </c>
      <c r="G119" s="14"/>
    </row>
    <row r="120" spans="1:7" x14ac:dyDescent="0.3">
      <c r="A120" s="2" t="s">
        <v>1564</v>
      </c>
      <c r="B120" s="19" t="str">
        <f>_xlfn.XLOOKUP(A120,CATÁLOGO!$A$2:$A$846,CATÁLOGO!$B$2:$B$846,"FORA DO CATÁLOGO")</f>
        <v>CAL008B44</v>
      </c>
      <c r="C120" s="13">
        <v>6</v>
      </c>
      <c r="D120" s="13">
        <v>1</v>
      </c>
      <c r="E120" s="13">
        <v>5</v>
      </c>
      <c r="F120" s="16" t="str">
        <f>_xlfn.XLOOKUP(A120,CATÁLOGO!$A$2:$A$846,CATÁLOGO!$E$2:$E$846,"FORA DO CATÁLOGO")</f>
        <v>Ativo</v>
      </c>
      <c r="G120" s="14"/>
    </row>
    <row r="121" spans="1:7" x14ac:dyDescent="0.3">
      <c r="A121" s="2" t="s">
        <v>1562</v>
      </c>
      <c r="B121" s="19" t="str">
        <f>_xlfn.XLOOKUP(A121,CATÁLOGO!$A$2:$A$846,CATÁLOGO!$B$2:$B$846,"FORA DO CATÁLOGO")</f>
        <v>CAL008A38</v>
      </c>
      <c r="C121" s="13">
        <v>2</v>
      </c>
      <c r="D121" s="13">
        <v>0</v>
      </c>
      <c r="E121" s="13">
        <v>2</v>
      </c>
      <c r="F121" s="16" t="str">
        <f>_xlfn.XLOOKUP(A121,CATÁLOGO!$A$2:$A$846,CATÁLOGO!$E$2:$E$846,"FORA DO CATÁLOGO")</f>
        <v>Ativo</v>
      </c>
      <c r="G121" s="14"/>
    </row>
    <row r="122" spans="1:7" x14ac:dyDescent="0.3">
      <c r="A122" s="2" t="s">
        <v>1561</v>
      </c>
      <c r="B122" s="19" t="str">
        <f>_xlfn.XLOOKUP(A122,CATÁLOGO!$A$2:$A$846,CATÁLOGO!$B$2:$B$846,"FORA DO CATÁLOGO")</f>
        <v>CAL008A40</v>
      </c>
      <c r="C122" s="13">
        <v>11</v>
      </c>
      <c r="D122" s="13">
        <v>1</v>
      </c>
      <c r="E122" s="13">
        <v>10</v>
      </c>
      <c r="F122" s="16" t="str">
        <f>_xlfn.XLOOKUP(A122,CATÁLOGO!$A$2:$A$846,CATÁLOGO!$E$2:$E$846,"FORA DO CATÁLOGO")</f>
        <v>Ativo</v>
      </c>
      <c r="G122" s="14"/>
    </row>
    <row r="123" spans="1:7" x14ac:dyDescent="0.3">
      <c r="A123" s="2" t="s">
        <v>1558</v>
      </c>
      <c r="B123" s="19" t="str">
        <f>_xlfn.XLOOKUP(A123,CATÁLOGO!$A$2:$A$846,CATÁLOGO!$B$2:$B$846,"FORA DO CATÁLOGO")</f>
        <v>CAL008A42</v>
      </c>
      <c r="C123" s="13">
        <v>7</v>
      </c>
      <c r="D123" s="13">
        <v>0</v>
      </c>
      <c r="E123" s="13">
        <v>7</v>
      </c>
      <c r="F123" s="16" t="str">
        <f>_xlfn.XLOOKUP(A123,CATÁLOGO!$A$2:$A$846,CATÁLOGO!$E$2:$E$846,"FORA DO CATÁLOGO")</f>
        <v>Ativo</v>
      </c>
      <c r="G123" s="14"/>
    </row>
    <row r="124" spans="1:7" x14ac:dyDescent="0.3">
      <c r="A124" s="2" t="s">
        <v>1560</v>
      </c>
      <c r="B124" s="19" t="str">
        <f>_xlfn.XLOOKUP(A124,CATÁLOGO!$A$2:$A$846,CATÁLOGO!$B$2:$B$846,"FORA DO CATÁLOGO")</f>
        <v>CAL008A44</v>
      </c>
      <c r="C124" s="13">
        <v>5</v>
      </c>
      <c r="D124" s="13">
        <v>0</v>
      </c>
      <c r="E124" s="13">
        <v>5</v>
      </c>
      <c r="F124" s="16" t="str">
        <f>_xlfn.XLOOKUP(A124,CATÁLOGO!$A$2:$A$846,CATÁLOGO!$E$2:$E$846,"FORA DO CATÁLOGO")</f>
        <v>Ativo</v>
      </c>
      <c r="G124" s="14"/>
    </row>
    <row r="125" spans="1:7" x14ac:dyDescent="0.3">
      <c r="A125" s="2" t="s">
        <v>1570</v>
      </c>
      <c r="B125" s="19" t="str">
        <f>_xlfn.XLOOKUP(A125,CATÁLOGO!$A$2:$A$846,CATÁLOGO!$B$2:$B$846,"FORA DO CATÁLOGO")</f>
        <v>CAL008O38</v>
      </c>
      <c r="C125" s="13">
        <v>3</v>
      </c>
      <c r="D125" s="13">
        <v>0</v>
      </c>
      <c r="E125" s="13">
        <v>3</v>
      </c>
      <c r="F125" s="16" t="str">
        <f>_xlfn.XLOOKUP(A125,CATÁLOGO!$A$2:$A$846,CATÁLOGO!$E$2:$E$846,"FORA DO CATÁLOGO")</f>
        <v>Ativo</v>
      </c>
      <c r="G125" s="14"/>
    </row>
    <row r="126" spans="1:7" x14ac:dyDescent="0.3">
      <c r="A126" s="2" t="s">
        <v>1569</v>
      </c>
      <c r="B126" s="19" t="str">
        <f>_xlfn.XLOOKUP(A126,CATÁLOGO!$A$2:$A$846,CATÁLOGO!$B$2:$B$846,"FORA DO CATÁLOGO")</f>
        <v>CAL008O40</v>
      </c>
      <c r="C126" s="13">
        <v>2</v>
      </c>
      <c r="D126" s="13">
        <v>1</v>
      </c>
      <c r="E126" s="13">
        <v>1</v>
      </c>
      <c r="F126" s="16" t="str">
        <f>_xlfn.XLOOKUP(A126,CATÁLOGO!$A$2:$A$846,CATÁLOGO!$E$2:$E$846,"FORA DO CATÁLOGO")</f>
        <v>Ativo</v>
      </c>
      <c r="G126" s="14"/>
    </row>
    <row r="127" spans="1:7" x14ac:dyDescent="0.3">
      <c r="A127" s="2" t="s">
        <v>1567</v>
      </c>
      <c r="B127" s="19" t="str">
        <f>_xlfn.XLOOKUP(A127,CATÁLOGO!$A$2:$A$846,CATÁLOGO!$B$2:$B$846,"FORA DO CATÁLOGO")</f>
        <v>CAL008O42</v>
      </c>
      <c r="C127" s="13">
        <v>7</v>
      </c>
      <c r="D127" s="13">
        <v>0</v>
      </c>
      <c r="E127" s="13">
        <v>7</v>
      </c>
      <c r="F127" s="16" t="str">
        <f>_xlfn.XLOOKUP(A127,CATÁLOGO!$A$2:$A$846,CATÁLOGO!$E$2:$E$846,"FORA DO CATÁLOGO")</f>
        <v>Ativo</v>
      </c>
      <c r="G127" s="14"/>
    </row>
    <row r="128" spans="1:7" x14ac:dyDescent="0.3">
      <c r="A128" s="2" t="s">
        <v>1568</v>
      </c>
      <c r="B128" s="19" t="str">
        <f>_xlfn.XLOOKUP(A128,CATÁLOGO!$A$2:$A$846,CATÁLOGO!$B$2:$B$846,"FORA DO CATÁLOGO")</f>
        <v>CAL008O44</v>
      </c>
      <c r="C128" s="13">
        <v>3</v>
      </c>
      <c r="D128" s="13">
        <v>1</v>
      </c>
      <c r="E128" s="13">
        <v>2</v>
      </c>
      <c r="F128" s="16" t="str">
        <f>_xlfn.XLOOKUP(A128,CATÁLOGO!$A$2:$A$846,CATÁLOGO!$E$2:$E$846,"FORA DO CATÁLOGO")</f>
        <v>Ativo</v>
      </c>
      <c r="G128" s="14"/>
    </row>
    <row r="129" spans="1:7" x14ac:dyDescent="0.3">
      <c r="A129" s="2" t="s">
        <v>1576</v>
      </c>
      <c r="B129" s="19" t="str">
        <f>_xlfn.XLOOKUP(A129,CATÁLOGO!$A$2:$A$846,CATÁLOGO!$B$2:$B$846,"FORA DO CATÁLOGO")</f>
        <v>CAL009O36</v>
      </c>
      <c r="C129" s="13">
        <v>7</v>
      </c>
      <c r="D129" s="13">
        <v>0</v>
      </c>
      <c r="E129" s="13">
        <v>7</v>
      </c>
      <c r="F129" s="16" t="str">
        <f>_xlfn.XLOOKUP(A129,CATÁLOGO!$A$2:$A$846,CATÁLOGO!$E$2:$E$846,"FORA DO CATÁLOGO")</f>
        <v>Ativo</v>
      </c>
      <c r="G129" s="14"/>
    </row>
    <row r="130" spans="1:7" x14ac:dyDescent="0.3">
      <c r="A130" s="2" t="s">
        <v>1575</v>
      </c>
      <c r="B130" s="19" t="str">
        <f>_xlfn.XLOOKUP(A130,CATÁLOGO!$A$2:$A$846,CATÁLOGO!$B$2:$B$846,"FORA DO CATÁLOGO")</f>
        <v>CAL009O38</v>
      </c>
      <c r="C130" s="13">
        <v>5</v>
      </c>
      <c r="D130" s="13">
        <v>0</v>
      </c>
      <c r="E130" s="13">
        <v>5</v>
      </c>
      <c r="F130" s="16" t="str">
        <f>_xlfn.XLOOKUP(A130,CATÁLOGO!$A$2:$A$846,CATÁLOGO!$E$2:$E$846,"FORA DO CATÁLOGO")</f>
        <v>Ativo</v>
      </c>
      <c r="G130" s="14"/>
    </row>
    <row r="131" spans="1:7" x14ac:dyDescent="0.3">
      <c r="A131" s="2" t="s">
        <v>1574</v>
      </c>
      <c r="B131" s="19" t="str">
        <f>_xlfn.XLOOKUP(A131,CATÁLOGO!$A$2:$A$846,CATÁLOGO!$B$2:$B$846,"FORA DO CATÁLOGO")</f>
        <v>CAL009O40</v>
      </c>
      <c r="C131" s="13">
        <v>1</v>
      </c>
      <c r="D131" s="13">
        <v>0</v>
      </c>
      <c r="E131" s="13">
        <v>1</v>
      </c>
      <c r="F131" s="16" t="str">
        <f>_xlfn.XLOOKUP(A131,CATÁLOGO!$A$2:$A$846,CATÁLOGO!$E$2:$E$846,"FORA DO CATÁLOGO")</f>
        <v>Ativo</v>
      </c>
      <c r="G131" s="14"/>
    </row>
    <row r="132" spans="1:7" x14ac:dyDescent="0.3">
      <c r="A132" s="2" t="s">
        <v>1571</v>
      </c>
      <c r="B132" s="19" t="str">
        <f>_xlfn.XLOOKUP(A132,CATÁLOGO!$A$2:$A$846,CATÁLOGO!$B$2:$B$846,"FORA DO CATÁLOGO")</f>
        <v>CAL009O42</v>
      </c>
      <c r="C132" s="13">
        <v>2</v>
      </c>
      <c r="D132" s="13">
        <v>0</v>
      </c>
      <c r="E132" s="13">
        <v>2</v>
      </c>
      <c r="F132" s="16" t="str">
        <f>_xlfn.XLOOKUP(A132,CATÁLOGO!$A$2:$A$846,CATÁLOGO!$E$2:$E$846,"FORA DO CATÁLOGO")</f>
        <v>Ativo</v>
      </c>
      <c r="G132" s="14"/>
    </row>
    <row r="133" spans="1:7" x14ac:dyDescent="0.3">
      <c r="A133" s="2" t="s">
        <v>1573</v>
      </c>
      <c r="B133" s="19" t="str">
        <f>_xlfn.XLOOKUP(A133,CATÁLOGO!$A$2:$A$846,CATÁLOGO!$B$2:$B$846,"FORA DO CATÁLOGO")</f>
        <v>CAL009O44</v>
      </c>
      <c r="C133" s="13">
        <v>7</v>
      </c>
      <c r="D133" s="13">
        <v>2</v>
      </c>
      <c r="E133" s="13">
        <v>5</v>
      </c>
      <c r="F133" s="16" t="str">
        <f>_xlfn.XLOOKUP(A133,CATÁLOGO!$A$2:$A$846,CATÁLOGO!$E$2:$E$846,"FORA DO CATÁLOGO")</f>
        <v>Ativo</v>
      </c>
      <c r="G133" s="14"/>
    </row>
    <row r="134" spans="1:7" x14ac:dyDescent="0.3">
      <c r="A134" s="2" t="s">
        <v>1468</v>
      </c>
      <c r="B134" s="19" t="str">
        <f>_xlfn.XLOOKUP(A134,CATÁLOGO!$A$2:$A$846,CATÁLOGO!$B$2:$B$846,"FORA DO CATÁLOGO")</f>
        <v>BER004E36</v>
      </c>
      <c r="C134" s="13">
        <v>5</v>
      </c>
      <c r="D134" s="13">
        <v>0</v>
      </c>
      <c r="E134" s="13">
        <v>5</v>
      </c>
      <c r="F134" s="16" t="str">
        <f>_xlfn.XLOOKUP(A134,CATÁLOGO!$A$2:$A$846,CATÁLOGO!$E$2:$E$846,"FORA DO CATÁLOGO")</f>
        <v>Ativo</v>
      </c>
      <c r="G134" s="14"/>
    </row>
    <row r="135" spans="1:7" x14ac:dyDescent="0.3">
      <c r="A135" s="2" t="s">
        <v>1467</v>
      </c>
      <c r="B135" s="19" t="str">
        <f>_xlfn.XLOOKUP(A135,CATÁLOGO!$A$2:$A$846,CATÁLOGO!$B$2:$B$846,"FORA DO CATÁLOGO")</f>
        <v>BER004E38</v>
      </c>
      <c r="C135" s="13">
        <v>7</v>
      </c>
      <c r="D135" s="13">
        <v>0</v>
      </c>
      <c r="E135" s="13">
        <v>7</v>
      </c>
      <c r="F135" s="16" t="str">
        <f>_xlfn.XLOOKUP(A135,CATÁLOGO!$A$2:$A$846,CATÁLOGO!$E$2:$E$846,"FORA DO CATÁLOGO")</f>
        <v>Ativo</v>
      </c>
      <c r="G135" s="14"/>
    </row>
    <row r="136" spans="1:7" x14ac:dyDescent="0.3">
      <c r="A136" s="2" t="s">
        <v>1466</v>
      </c>
      <c r="B136" s="19" t="str">
        <f>_xlfn.XLOOKUP(A136,CATÁLOGO!$A$2:$A$846,CATÁLOGO!$B$2:$B$846,"FORA DO CATÁLOGO")</f>
        <v>BER004E40</v>
      </c>
      <c r="C136" s="13">
        <v>10</v>
      </c>
      <c r="D136" s="13">
        <v>1</v>
      </c>
      <c r="E136" s="13">
        <v>9</v>
      </c>
      <c r="F136" s="16" t="str">
        <f>_xlfn.XLOOKUP(A136,CATÁLOGO!$A$2:$A$846,CATÁLOGO!$E$2:$E$846,"FORA DO CATÁLOGO")</f>
        <v>Ativo</v>
      </c>
      <c r="G136" s="14"/>
    </row>
    <row r="137" spans="1:7" x14ac:dyDescent="0.3">
      <c r="A137" s="2" t="s">
        <v>1463</v>
      </c>
      <c r="B137" s="19" t="str">
        <f>_xlfn.XLOOKUP(A137,CATÁLOGO!$A$2:$A$846,CATÁLOGO!$B$2:$B$846,"FORA DO CATÁLOGO")</f>
        <v>BER004E42</v>
      </c>
      <c r="C137" s="13">
        <v>4</v>
      </c>
      <c r="D137" s="13">
        <v>0</v>
      </c>
      <c r="E137" s="13">
        <v>4</v>
      </c>
      <c r="F137" s="16" t="str">
        <f>_xlfn.XLOOKUP(A137,CATÁLOGO!$A$2:$A$846,CATÁLOGO!$E$2:$E$846,"FORA DO CATÁLOGO")</f>
        <v>Ativo</v>
      </c>
      <c r="G137" s="14"/>
    </row>
    <row r="138" spans="1:7" x14ac:dyDescent="0.3">
      <c r="A138" s="2" t="s">
        <v>1465</v>
      </c>
      <c r="B138" s="19" t="str">
        <f>_xlfn.XLOOKUP(A138,CATÁLOGO!$A$2:$A$846,CATÁLOGO!$B$2:$B$846,"FORA DO CATÁLOGO")</f>
        <v>BER004E44</v>
      </c>
      <c r="C138" s="13">
        <v>5</v>
      </c>
      <c r="D138" s="13">
        <v>0</v>
      </c>
      <c r="E138" s="13">
        <v>5</v>
      </c>
      <c r="F138" s="16" t="str">
        <f>_xlfn.XLOOKUP(A138,CATÁLOGO!$A$2:$A$846,CATÁLOGO!$E$2:$E$846,"FORA DO CATÁLOGO")</f>
        <v>Ativo</v>
      </c>
      <c r="G138" s="14"/>
    </row>
    <row r="139" spans="1:7" x14ac:dyDescent="0.3">
      <c r="A139" s="2" t="s">
        <v>97</v>
      </c>
      <c r="B139" s="19" t="str">
        <f>_xlfn.XLOOKUP(A139,CATÁLOGO!$A$2:$A$846,CATÁLOGO!$B$2:$B$846,"FORA DO CATÁLOGO")</f>
        <v>CMS004AP</v>
      </c>
      <c r="C139" s="13">
        <v>5</v>
      </c>
      <c r="D139" s="13">
        <v>0</v>
      </c>
      <c r="E139" s="13">
        <v>5</v>
      </c>
      <c r="F139" s="16" t="str">
        <f>_xlfn.XLOOKUP(A139,CATÁLOGO!$A$2:$A$846,CATÁLOGO!$E$2:$E$846,"FORA DO CATÁLOGO")</f>
        <v>Descontinuado</v>
      </c>
      <c r="G139" s="14"/>
    </row>
    <row r="140" spans="1:7" x14ac:dyDescent="0.3">
      <c r="A140" s="2" t="s">
        <v>98</v>
      </c>
      <c r="B140" s="19" t="str">
        <f>_xlfn.XLOOKUP(A140,CATÁLOGO!$A$2:$A$846,CATÁLOGO!$B$2:$B$846,"FORA DO CATÁLOGO")</f>
        <v>CMS004AM</v>
      </c>
      <c r="C140" s="13">
        <v>10</v>
      </c>
      <c r="D140" s="13">
        <v>0</v>
      </c>
      <c r="E140" s="13">
        <v>10</v>
      </c>
      <c r="F140" s="16" t="str">
        <f>_xlfn.XLOOKUP(A140,CATÁLOGO!$A$2:$A$846,CATÁLOGO!$E$2:$E$846,"FORA DO CATÁLOGO")</f>
        <v>Descontinuado</v>
      </c>
      <c r="G140" s="14"/>
    </row>
    <row r="141" spans="1:7" x14ac:dyDescent="0.3">
      <c r="A141" s="2" t="s">
        <v>99</v>
      </c>
      <c r="B141" s="19" t="str">
        <f>_xlfn.XLOOKUP(A141,CATÁLOGO!$A$2:$A$846,CATÁLOGO!$B$2:$B$846,"FORA DO CATÁLOGO")</f>
        <v>CMS004AG</v>
      </c>
      <c r="C141" s="13">
        <v>3</v>
      </c>
      <c r="D141" s="13">
        <v>1</v>
      </c>
      <c r="E141" s="13">
        <v>2</v>
      </c>
      <c r="F141" s="16" t="str">
        <f>_xlfn.XLOOKUP(A141,CATÁLOGO!$A$2:$A$846,CATÁLOGO!$E$2:$E$846,"FORA DO CATÁLOGO")</f>
        <v>Descontinuado</v>
      </c>
      <c r="G141" s="14"/>
    </row>
    <row r="142" spans="1:7" x14ac:dyDescent="0.3">
      <c r="A142" s="2" t="s">
        <v>100</v>
      </c>
      <c r="B142" s="19" t="str">
        <f>_xlfn.XLOOKUP(A142,CATÁLOGO!$A$2:$A$846,CATÁLOGO!$B$2:$B$846,"FORA DO CATÁLOGO")</f>
        <v>CMS004AGG</v>
      </c>
      <c r="C142" s="13">
        <v>1</v>
      </c>
      <c r="D142" s="13">
        <v>0</v>
      </c>
      <c r="E142" s="13">
        <v>1</v>
      </c>
      <c r="F142" s="16" t="str">
        <f>_xlfn.XLOOKUP(A142,CATÁLOGO!$A$2:$A$846,CATÁLOGO!$E$2:$E$846,"FORA DO CATÁLOGO")</f>
        <v>Descontinuado</v>
      </c>
      <c r="G142" s="14"/>
    </row>
    <row r="143" spans="1:7" x14ac:dyDescent="0.3">
      <c r="A143" s="2" t="s">
        <v>1582</v>
      </c>
      <c r="B143" s="19" t="str">
        <f>_xlfn.XLOOKUP(A143,CATÁLOGO!$A$2:$A$846,CATÁLOGO!$B$2:$B$846,"FORA DO CATÁLOGO")</f>
        <v>CAL010M38</v>
      </c>
      <c r="C143" s="13">
        <v>5</v>
      </c>
      <c r="D143" s="13">
        <v>0</v>
      </c>
      <c r="E143" s="13">
        <v>5</v>
      </c>
      <c r="F143" s="16" t="str">
        <f>_xlfn.XLOOKUP(A143,CATÁLOGO!$A$2:$A$846,CATÁLOGO!$E$2:$E$846,"FORA DO CATÁLOGO")</f>
        <v>Ativo</v>
      </c>
      <c r="G143" s="14"/>
    </row>
    <row r="144" spans="1:7" x14ac:dyDescent="0.3">
      <c r="A144" s="2" t="s">
        <v>1580</v>
      </c>
      <c r="B144" s="19" t="str">
        <f>_xlfn.XLOOKUP(A144,CATÁLOGO!$A$2:$A$846,CATÁLOGO!$B$2:$B$846,"FORA DO CATÁLOGO")</f>
        <v>CAL010M40</v>
      </c>
      <c r="C144" s="13">
        <v>5</v>
      </c>
      <c r="D144" s="13">
        <v>0</v>
      </c>
      <c r="E144" s="13">
        <v>5</v>
      </c>
      <c r="F144" s="16" t="str">
        <f>_xlfn.XLOOKUP(A144,CATÁLOGO!$A$2:$A$846,CATÁLOGO!$E$2:$E$846,"FORA DO CATÁLOGO")</f>
        <v>Ativo</v>
      </c>
      <c r="G144" s="14"/>
    </row>
    <row r="145" spans="1:7" x14ac:dyDescent="0.3">
      <c r="A145" s="2" t="s">
        <v>1577</v>
      </c>
      <c r="B145" s="19" t="str">
        <f>_xlfn.XLOOKUP(A145,CATÁLOGO!$A$2:$A$846,CATÁLOGO!$B$2:$B$846,"FORA DO CATÁLOGO")</f>
        <v>CAL010M42</v>
      </c>
      <c r="C145" s="13">
        <v>9</v>
      </c>
      <c r="D145" s="13">
        <v>0</v>
      </c>
      <c r="E145" s="13">
        <v>9</v>
      </c>
      <c r="F145" s="16" t="str">
        <f>_xlfn.XLOOKUP(A145,CATÁLOGO!$A$2:$A$846,CATÁLOGO!$E$2:$E$846,"FORA DO CATÁLOGO")</f>
        <v>Ativo</v>
      </c>
      <c r="G145" s="14"/>
    </row>
    <row r="146" spans="1:7" x14ac:dyDescent="0.3">
      <c r="A146" s="2" t="s">
        <v>1579</v>
      </c>
      <c r="B146" s="19" t="str">
        <f>_xlfn.XLOOKUP(A146,CATÁLOGO!$A$2:$A$846,CATÁLOGO!$B$2:$B$846,"FORA DO CATÁLOGO")</f>
        <v>CAL010M44</v>
      </c>
      <c r="C146" s="13">
        <v>4</v>
      </c>
      <c r="D146" s="13">
        <v>1</v>
      </c>
      <c r="E146" s="13">
        <v>3</v>
      </c>
      <c r="F146" s="16" t="str">
        <f>_xlfn.XLOOKUP(A146,CATÁLOGO!$A$2:$A$846,CATÁLOGO!$E$2:$E$846,"FORA DO CATÁLOGO")</f>
        <v>Ativo</v>
      </c>
      <c r="G146" s="14"/>
    </row>
    <row r="147" spans="1:7" x14ac:dyDescent="0.3">
      <c r="A147" s="2" t="s">
        <v>103</v>
      </c>
      <c r="B147" s="19" t="str">
        <f>_xlfn.XLOOKUP(A147,CATÁLOGO!$A$2:$A$846,CATÁLOGO!$B$2:$B$846,"FORA DO CATÁLOGO")</f>
        <v>MOL006YP</v>
      </c>
      <c r="C147" s="13">
        <v>7</v>
      </c>
      <c r="D147" s="13">
        <v>0</v>
      </c>
      <c r="E147" s="13">
        <v>7</v>
      </c>
      <c r="F147" s="16" t="str">
        <f>_xlfn.XLOOKUP(A147,CATÁLOGO!$A$2:$A$846,CATÁLOGO!$E$2:$E$846,"FORA DO CATÁLOGO")</f>
        <v>Descontinuado</v>
      </c>
      <c r="G147" s="14"/>
    </row>
    <row r="148" spans="1:7" x14ac:dyDescent="0.3">
      <c r="A148" s="2" t="s">
        <v>104</v>
      </c>
      <c r="B148" s="19" t="str">
        <f>_xlfn.XLOOKUP(A148,CATÁLOGO!$A$2:$A$846,CATÁLOGO!$B$2:$B$846,"FORA DO CATÁLOGO")</f>
        <v>MOL006YM</v>
      </c>
      <c r="C148" s="13">
        <v>5</v>
      </c>
      <c r="D148" s="13">
        <v>0</v>
      </c>
      <c r="E148" s="13">
        <v>5</v>
      </c>
      <c r="F148" s="16" t="str">
        <f>_xlfn.XLOOKUP(A148,CATÁLOGO!$A$2:$A$846,CATÁLOGO!$E$2:$E$846,"FORA DO CATÁLOGO")</f>
        <v>Descontinuado</v>
      </c>
      <c r="G148" s="14"/>
    </row>
    <row r="149" spans="1:7" x14ac:dyDescent="0.3">
      <c r="A149" s="2" t="s">
        <v>105</v>
      </c>
      <c r="B149" s="19" t="str">
        <f>_xlfn.XLOOKUP(A149,CATÁLOGO!$A$2:$A$846,CATÁLOGO!$B$2:$B$846,"FORA DO CATÁLOGO")</f>
        <v>MOL006YG</v>
      </c>
      <c r="C149" s="13">
        <v>8</v>
      </c>
      <c r="D149" s="13">
        <v>0</v>
      </c>
      <c r="E149" s="13">
        <v>8</v>
      </c>
      <c r="F149" s="16" t="str">
        <f>_xlfn.XLOOKUP(A149,CATÁLOGO!$A$2:$A$846,CATÁLOGO!$E$2:$E$846,"FORA DO CATÁLOGO")</f>
        <v>Descontinuado</v>
      </c>
      <c r="G149" s="14"/>
    </row>
    <row r="150" spans="1:7" x14ac:dyDescent="0.3">
      <c r="A150" s="2" t="s">
        <v>106</v>
      </c>
      <c r="B150" s="19" t="str">
        <f>_xlfn.XLOOKUP(A150,CATÁLOGO!$A$2:$A$846,CATÁLOGO!$B$2:$B$846,"FORA DO CATÁLOGO")</f>
        <v>MOL006YGG</v>
      </c>
      <c r="C150" s="13">
        <v>1</v>
      </c>
      <c r="D150" s="13">
        <v>0</v>
      </c>
      <c r="E150" s="13">
        <v>1</v>
      </c>
      <c r="F150" s="16" t="str">
        <f>_xlfn.XLOOKUP(A150,CATÁLOGO!$A$2:$A$846,CATÁLOGO!$E$2:$E$846,"FORA DO CATÁLOGO")</f>
        <v>Descontinuado</v>
      </c>
      <c r="G150" s="14"/>
    </row>
    <row r="151" spans="1:7" x14ac:dyDescent="0.3">
      <c r="A151" s="2" t="s">
        <v>107</v>
      </c>
      <c r="B151" s="19" t="str">
        <f>_xlfn.XLOOKUP(A151,CATÁLOGO!$A$2:$A$846,CATÁLOGO!$B$2:$B$846,"FORA DO CATÁLOGO")</f>
        <v>VES001AP</v>
      </c>
      <c r="C151" s="13">
        <v>5</v>
      </c>
      <c r="D151" s="13">
        <v>0</v>
      </c>
      <c r="E151" s="13">
        <v>5</v>
      </c>
      <c r="F151" s="16" t="str">
        <f>_xlfn.XLOOKUP(A151,CATÁLOGO!$A$2:$A$846,CATÁLOGO!$E$2:$E$846,"FORA DO CATÁLOGO")</f>
        <v>Descontinuado</v>
      </c>
      <c r="G151" s="14"/>
    </row>
    <row r="152" spans="1:7" x14ac:dyDescent="0.3">
      <c r="A152" s="2" t="s">
        <v>111</v>
      </c>
      <c r="B152" s="19" t="str">
        <f>_xlfn.XLOOKUP(A152,CATÁLOGO!$A$2:$A$846,CATÁLOGO!$B$2:$B$846,"FORA DO CATÁLOGO")</f>
        <v>SAI003OP</v>
      </c>
      <c r="C152" s="13">
        <v>4</v>
      </c>
      <c r="D152" s="13">
        <v>0</v>
      </c>
      <c r="E152" s="13">
        <v>4</v>
      </c>
      <c r="F152" s="16" t="str">
        <f>_xlfn.XLOOKUP(A152,CATÁLOGO!$A$2:$A$846,CATÁLOGO!$E$2:$E$846,"FORA DO CATÁLOGO")</f>
        <v>Ativo</v>
      </c>
      <c r="G152" s="14"/>
    </row>
    <row r="153" spans="1:7" x14ac:dyDescent="0.3">
      <c r="A153" s="2" t="s">
        <v>112</v>
      </c>
      <c r="B153" s="19" t="str">
        <f>_xlfn.XLOOKUP(A153,CATÁLOGO!$A$2:$A$846,CATÁLOGO!$B$2:$B$846,"FORA DO CATÁLOGO")</f>
        <v>SAI003OM</v>
      </c>
      <c r="C153" s="13">
        <v>6</v>
      </c>
      <c r="D153" s="13">
        <v>0</v>
      </c>
      <c r="E153" s="13">
        <v>6</v>
      </c>
      <c r="F153" s="16" t="str">
        <f>_xlfn.XLOOKUP(A153,CATÁLOGO!$A$2:$A$846,CATÁLOGO!$E$2:$E$846,"FORA DO CATÁLOGO")</f>
        <v>Ativo</v>
      </c>
      <c r="G153" s="14"/>
    </row>
    <row r="154" spans="1:7" x14ac:dyDescent="0.3">
      <c r="A154" s="2" t="s">
        <v>113</v>
      </c>
      <c r="B154" s="19" t="str">
        <f>_xlfn.XLOOKUP(A154,CATÁLOGO!$A$2:$A$846,CATÁLOGO!$B$2:$B$846,"FORA DO CATÁLOGO")</f>
        <v>SAI003OG</v>
      </c>
      <c r="C154" s="13">
        <v>1</v>
      </c>
      <c r="D154" s="13">
        <v>0</v>
      </c>
      <c r="E154" s="13">
        <v>1</v>
      </c>
      <c r="F154" s="16" t="str">
        <f>_xlfn.XLOOKUP(A154,CATÁLOGO!$A$2:$A$846,CATÁLOGO!$E$2:$E$846,"FORA DO CATÁLOGO")</f>
        <v>Ativo</v>
      </c>
      <c r="G154" s="14"/>
    </row>
    <row r="155" spans="1:7" x14ac:dyDescent="0.3">
      <c r="A155" s="2" t="s">
        <v>114</v>
      </c>
      <c r="B155" s="19" t="str">
        <f>_xlfn.XLOOKUP(A155,CATÁLOGO!$A$2:$A$846,CATÁLOGO!$B$2:$B$846,"FORA DO CATÁLOGO")</f>
        <v>SAI003OGG</v>
      </c>
      <c r="C155" s="13">
        <v>6</v>
      </c>
      <c r="D155" s="13">
        <v>0</v>
      </c>
      <c r="E155" s="13">
        <v>6</v>
      </c>
      <c r="F155" s="16" t="str">
        <f>_xlfn.XLOOKUP(A155,CATÁLOGO!$A$2:$A$846,CATÁLOGO!$E$2:$E$846,"FORA DO CATÁLOGO")</f>
        <v>Ativo</v>
      </c>
      <c r="G155" s="14"/>
    </row>
    <row r="156" spans="1:7" x14ac:dyDescent="0.3">
      <c r="A156" s="2" t="s">
        <v>115</v>
      </c>
      <c r="B156" s="19" t="str">
        <f>_xlfn.XLOOKUP(A156,CATÁLOGO!$A$2:$A$846,CATÁLOGO!$B$2:$B$846,"FORA DO CATÁLOGO")</f>
        <v>SAI004MP</v>
      </c>
      <c r="C156" s="13">
        <v>7</v>
      </c>
      <c r="D156" s="13">
        <v>2</v>
      </c>
      <c r="E156" s="13">
        <v>5</v>
      </c>
      <c r="F156" s="16" t="str">
        <f>_xlfn.XLOOKUP(A156,CATÁLOGO!$A$2:$A$846,CATÁLOGO!$E$2:$E$846,"FORA DO CATÁLOGO")</f>
        <v>Ativo</v>
      </c>
      <c r="G156" s="14"/>
    </row>
    <row r="157" spans="1:7" x14ac:dyDescent="0.3">
      <c r="A157" s="2" t="s">
        <v>116</v>
      </c>
      <c r="B157" s="19" t="str">
        <f>_xlfn.XLOOKUP(A157,CATÁLOGO!$A$2:$A$846,CATÁLOGO!$B$2:$B$846,"FORA DO CATÁLOGO")</f>
        <v>SAI004MM</v>
      </c>
      <c r="C157" s="13">
        <v>11</v>
      </c>
      <c r="D157" s="13">
        <v>0</v>
      </c>
      <c r="E157" s="13">
        <v>11</v>
      </c>
      <c r="F157" s="16" t="str">
        <f>_xlfn.XLOOKUP(A157,CATÁLOGO!$A$2:$A$846,CATÁLOGO!$E$2:$E$846,"FORA DO CATÁLOGO")</f>
        <v>Ativo</v>
      </c>
      <c r="G157" s="14"/>
    </row>
    <row r="158" spans="1:7" x14ac:dyDescent="0.3">
      <c r="A158" s="2" t="s">
        <v>117</v>
      </c>
      <c r="B158" s="19" t="str">
        <f>_xlfn.XLOOKUP(A158,CATÁLOGO!$A$2:$A$846,CATÁLOGO!$B$2:$B$846,"FORA DO CATÁLOGO")</f>
        <v>SAI004MG</v>
      </c>
      <c r="C158" s="13">
        <v>7</v>
      </c>
      <c r="D158" s="13">
        <v>1</v>
      </c>
      <c r="E158" s="13">
        <v>6</v>
      </c>
      <c r="F158" s="16" t="str">
        <f>_xlfn.XLOOKUP(A158,CATÁLOGO!$A$2:$A$846,CATÁLOGO!$E$2:$E$846,"FORA DO CATÁLOGO")</f>
        <v>Ativo</v>
      </c>
      <c r="G158" s="14"/>
    </row>
    <row r="159" spans="1:7" x14ac:dyDescent="0.3">
      <c r="A159" s="2" t="s">
        <v>118</v>
      </c>
      <c r="B159" s="19" t="str">
        <f>_xlfn.XLOOKUP(A159,CATÁLOGO!$A$2:$A$846,CATÁLOGO!$B$2:$B$846,"FORA DO CATÁLOGO")</f>
        <v>SAI004MGG</v>
      </c>
      <c r="C159" s="13">
        <v>8</v>
      </c>
      <c r="D159" s="13">
        <v>0</v>
      </c>
      <c r="E159" s="13">
        <v>8</v>
      </c>
      <c r="F159" s="16" t="str">
        <f>_xlfn.XLOOKUP(A159,CATÁLOGO!$A$2:$A$846,CATÁLOGO!$E$2:$E$846,"FORA DO CATÁLOGO")</f>
        <v>Ativo</v>
      </c>
      <c r="G159" s="14"/>
    </row>
    <row r="160" spans="1:7" x14ac:dyDescent="0.3">
      <c r="A160" s="2" t="s">
        <v>119</v>
      </c>
      <c r="B160" s="19" t="str">
        <f>_xlfn.XLOOKUP(A160,CATÁLOGO!$A$2:$A$846,CATÁLOGO!$B$2:$B$846,"FORA DO CATÁLOGO")</f>
        <v>SAI005OP</v>
      </c>
      <c r="C160" s="13">
        <v>5</v>
      </c>
      <c r="D160" s="13">
        <v>1</v>
      </c>
      <c r="E160" s="13">
        <v>4</v>
      </c>
      <c r="F160" s="16" t="str">
        <f>_xlfn.XLOOKUP(A160,CATÁLOGO!$A$2:$A$846,CATÁLOGO!$E$2:$E$846,"FORA DO CATÁLOGO")</f>
        <v>Ativo</v>
      </c>
      <c r="G160" s="14"/>
    </row>
    <row r="161" spans="1:7" x14ac:dyDescent="0.3">
      <c r="A161" s="2" t="s">
        <v>120</v>
      </c>
      <c r="B161" s="19" t="str">
        <f>_xlfn.XLOOKUP(A161,CATÁLOGO!$A$2:$A$846,CATÁLOGO!$B$2:$B$846,"FORA DO CATÁLOGO")</f>
        <v>SAI005OM</v>
      </c>
      <c r="C161" s="13">
        <v>9</v>
      </c>
      <c r="D161" s="13">
        <v>0</v>
      </c>
      <c r="E161" s="13">
        <v>9</v>
      </c>
      <c r="F161" s="16" t="str">
        <f>_xlfn.XLOOKUP(A161,CATÁLOGO!$A$2:$A$846,CATÁLOGO!$E$2:$E$846,"FORA DO CATÁLOGO")</f>
        <v>Ativo</v>
      </c>
      <c r="G161" s="14"/>
    </row>
    <row r="162" spans="1:7" x14ac:dyDescent="0.3">
      <c r="A162" s="2" t="s">
        <v>121</v>
      </c>
      <c r="B162" s="19" t="str">
        <f>_xlfn.XLOOKUP(A162,CATÁLOGO!$A$2:$A$846,CATÁLOGO!$B$2:$B$846,"FORA DO CATÁLOGO")</f>
        <v>SAI005OG</v>
      </c>
      <c r="C162" s="13">
        <v>8</v>
      </c>
      <c r="D162" s="13">
        <v>0</v>
      </c>
      <c r="E162" s="13">
        <v>8</v>
      </c>
      <c r="F162" s="16" t="str">
        <f>_xlfn.XLOOKUP(A162,CATÁLOGO!$A$2:$A$846,CATÁLOGO!$E$2:$E$846,"FORA DO CATÁLOGO")</f>
        <v>Ativo</v>
      </c>
      <c r="G162" s="14"/>
    </row>
    <row r="163" spans="1:7" x14ac:dyDescent="0.3">
      <c r="A163" s="2" t="s">
        <v>124</v>
      </c>
      <c r="B163" s="19" t="str">
        <f>_xlfn.XLOOKUP(A163,CATÁLOGO!$A$2:$A$846,CATÁLOGO!$B$2:$B$846,"FORA DO CATÁLOGO")</f>
        <v>TOP004VP</v>
      </c>
      <c r="C163" s="13">
        <v>4</v>
      </c>
      <c r="D163" s="13">
        <v>0</v>
      </c>
      <c r="E163" s="13">
        <v>4</v>
      </c>
      <c r="F163" s="16" t="str">
        <f>_xlfn.XLOOKUP(A163,CATÁLOGO!$A$2:$A$846,CATÁLOGO!$E$2:$E$846,"FORA DO CATÁLOGO")</f>
        <v>Ativo</v>
      </c>
      <c r="G163" s="14"/>
    </row>
    <row r="164" spans="1:7" x14ac:dyDescent="0.3">
      <c r="A164" s="2" t="s">
        <v>125</v>
      </c>
      <c r="B164" s="19" t="str">
        <f>_xlfn.XLOOKUP(A164,CATÁLOGO!$A$2:$A$846,CATÁLOGO!$B$2:$B$846,"FORA DO CATÁLOGO")</f>
        <v>TOP004VM</v>
      </c>
      <c r="C164" s="13">
        <v>2</v>
      </c>
      <c r="D164" s="13">
        <v>0</v>
      </c>
      <c r="E164" s="13">
        <v>2</v>
      </c>
      <c r="F164" s="16" t="str">
        <f>_xlfn.XLOOKUP(A164,CATÁLOGO!$A$2:$A$846,CATÁLOGO!$E$2:$E$846,"FORA DO CATÁLOGO")</f>
        <v>Ativo</v>
      </c>
      <c r="G164" s="14"/>
    </row>
    <row r="165" spans="1:7" x14ac:dyDescent="0.3">
      <c r="A165" s="2" t="s">
        <v>126</v>
      </c>
      <c r="B165" s="19" t="str">
        <f>_xlfn.XLOOKUP(A165,CATÁLOGO!$A$2:$A$846,CATÁLOGO!$B$2:$B$846,"FORA DO CATÁLOGO")</f>
        <v>TOP004VG</v>
      </c>
      <c r="C165" s="13">
        <v>5</v>
      </c>
      <c r="D165" s="13">
        <v>0</v>
      </c>
      <c r="E165" s="13">
        <v>5</v>
      </c>
      <c r="F165" s="16" t="str">
        <f>_xlfn.XLOOKUP(A165,CATÁLOGO!$A$2:$A$846,CATÁLOGO!$E$2:$E$846,"FORA DO CATÁLOGO")</f>
        <v>Ativo</v>
      </c>
      <c r="G165" s="14"/>
    </row>
    <row r="166" spans="1:7" x14ac:dyDescent="0.3">
      <c r="A166" s="2" t="s">
        <v>127</v>
      </c>
      <c r="B166" s="19" t="str">
        <f>_xlfn.XLOOKUP(A166,CATÁLOGO!$A$2:$A$846,CATÁLOGO!$B$2:$B$846,"FORA DO CATÁLOGO")</f>
        <v>TOP004VGG</v>
      </c>
      <c r="C166" s="13">
        <v>8</v>
      </c>
      <c r="D166" s="13">
        <v>0</v>
      </c>
      <c r="E166" s="13">
        <v>8</v>
      </c>
      <c r="F166" s="16" t="str">
        <f>_xlfn.XLOOKUP(A166,CATÁLOGO!$A$2:$A$846,CATÁLOGO!$E$2:$E$846,"FORA DO CATÁLOGO")</f>
        <v>Ativo</v>
      </c>
      <c r="G166" s="14"/>
    </row>
    <row r="167" spans="1:7" x14ac:dyDescent="0.3">
      <c r="A167" s="2" t="s">
        <v>128</v>
      </c>
      <c r="B167" s="19" t="str">
        <f>_xlfn.XLOOKUP(A167,CATÁLOGO!$A$2:$A$846,CATÁLOGO!$B$2:$B$846,"FORA DO CATÁLOGO")</f>
        <v>MOL007CP</v>
      </c>
      <c r="C167" s="13">
        <v>10</v>
      </c>
      <c r="D167" s="13">
        <v>0</v>
      </c>
      <c r="E167" s="13">
        <v>10</v>
      </c>
      <c r="F167" s="16" t="str">
        <f>_xlfn.XLOOKUP(A167,CATÁLOGO!$A$2:$A$846,CATÁLOGO!$E$2:$E$846,"FORA DO CATÁLOGO")</f>
        <v>Descontinuado</v>
      </c>
      <c r="G167" s="14"/>
    </row>
    <row r="168" spans="1:7" x14ac:dyDescent="0.3">
      <c r="A168" s="2" t="s">
        <v>129</v>
      </c>
      <c r="B168" s="19" t="str">
        <f>_xlfn.XLOOKUP(A168,CATÁLOGO!$A$2:$A$846,CATÁLOGO!$B$2:$B$846,"FORA DO CATÁLOGO")</f>
        <v>MOL007CM</v>
      </c>
      <c r="C168" s="13">
        <v>10</v>
      </c>
      <c r="D168" s="13">
        <v>1</v>
      </c>
      <c r="E168" s="13">
        <v>9</v>
      </c>
      <c r="F168" s="16" t="str">
        <f>_xlfn.XLOOKUP(A168,CATÁLOGO!$A$2:$A$846,CATÁLOGO!$E$2:$E$846,"FORA DO CATÁLOGO")</f>
        <v>Descontinuado</v>
      </c>
      <c r="G168" s="14"/>
    </row>
    <row r="169" spans="1:7" x14ac:dyDescent="0.3">
      <c r="A169" s="2" t="s">
        <v>1255</v>
      </c>
      <c r="B169" s="19" t="str">
        <f>_xlfn.XLOOKUP(A169,CATÁLOGO!$A$2:$A$846,CATÁLOGO!$B$2:$B$846,"FORA DO CATÁLOGO")</f>
        <v>MOL007CG</v>
      </c>
      <c r="C169" s="13">
        <v>3</v>
      </c>
      <c r="D169" s="13">
        <v>0</v>
      </c>
      <c r="E169" s="13">
        <v>3</v>
      </c>
      <c r="F169" s="16" t="str">
        <f>_xlfn.XLOOKUP(A169,CATÁLOGO!$A$2:$A$846,CATÁLOGO!$E$2:$E$846,"FORA DO CATÁLOGO")</f>
        <v>Descontinuado</v>
      </c>
      <c r="G169" s="14"/>
    </row>
    <row r="170" spans="1:7" x14ac:dyDescent="0.3">
      <c r="A170" s="2" t="s">
        <v>1256</v>
      </c>
      <c r="B170" s="19" t="str">
        <f>_xlfn.XLOOKUP(A170,CATÁLOGO!$A$2:$A$846,CATÁLOGO!$B$2:$B$846,"FORA DO CATÁLOGO")</f>
        <v>MOL008HP</v>
      </c>
      <c r="C170" s="13">
        <v>9</v>
      </c>
      <c r="D170" s="13">
        <v>1</v>
      </c>
      <c r="E170" s="13">
        <v>8</v>
      </c>
      <c r="F170" s="16" t="str">
        <f>_xlfn.XLOOKUP(A170,CATÁLOGO!$A$2:$A$846,CATÁLOGO!$E$2:$E$846,"FORA DO CATÁLOGO")</f>
        <v>Descontinuado</v>
      </c>
      <c r="G170" s="14"/>
    </row>
    <row r="171" spans="1:7" x14ac:dyDescent="0.3">
      <c r="A171" s="2" t="s">
        <v>131</v>
      </c>
      <c r="B171" s="19" t="str">
        <f>_xlfn.XLOOKUP(A171,CATÁLOGO!$A$2:$A$846,CATÁLOGO!$B$2:$B$846,"FORA DO CATÁLOGO")</f>
        <v>MOL008HM</v>
      </c>
      <c r="C171" s="13">
        <v>22</v>
      </c>
      <c r="D171" s="13">
        <v>1</v>
      </c>
      <c r="E171" s="13">
        <v>21</v>
      </c>
      <c r="F171" s="16" t="str">
        <f>_xlfn.XLOOKUP(A171,CATÁLOGO!$A$2:$A$846,CATÁLOGO!$E$2:$E$846,"FORA DO CATÁLOGO")</f>
        <v>Descontinuado</v>
      </c>
      <c r="G171" s="14"/>
    </row>
    <row r="172" spans="1:7" x14ac:dyDescent="0.3">
      <c r="A172" s="2" t="s">
        <v>132</v>
      </c>
      <c r="B172" s="19" t="str">
        <f>_xlfn.XLOOKUP(A172,CATÁLOGO!$A$2:$A$846,CATÁLOGO!$B$2:$B$846,"FORA DO CATÁLOGO")</f>
        <v>MOL008HG</v>
      </c>
      <c r="C172" s="13">
        <v>16</v>
      </c>
      <c r="D172" s="13">
        <v>0</v>
      </c>
      <c r="E172" s="13">
        <v>16</v>
      </c>
      <c r="F172" s="16" t="str">
        <f>_xlfn.XLOOKUP(A172,CATÁLOGO!$A$2:$A$846,CATÁLOGO!$E$2:$E$846,"FORA DO CATÁLOGO")</f>
        <v>Descontinuado</v>
      </c>
      <c r="G172" s="14"/>
    </row>
    <row r="173" spans="1:7" x14ac:dyDescent="0.3">
      <c r="A173" s="2" t="s">
        <v>133</v>
      </c>
      <c r="B173" s="19" t="str">
        <f>_xlfn.XLOOKUP(A173,CATÁLOGO!$A$2:$A$846,CATÁLOGO!$B$2:$B$846,"FORA DO CATÁLOGO")</f>
        <v>MOL008HGG</v>
      </c>
      <c r="C173" s="13">
        <v>7</v>
      </c>
      <c r="D173" s="13">
        <v>0</v>
      </c>
      <c r="E173" s="13">
        <v>7</v>
      </c>
      <c r="F173" s="16" t="str">
        <f>_xlfn.XLOOKUP(A173,CATÁLOGO!$A$2:$A$846,CATÁLOGO!$E$2:$E$846,"FORA DO CATÁLOGO")</f>
        <v>Descontinuado</v>
      </c>
      <c r="G173" s="14"/>
    </row>
    <row r="174" spans="1:7" x14ac:dyDescent="0.3">
      <c r="A174" s="2" t="s">
        <v>1278</v>
      </c>
      <c r="B174" s="19" t="str">
        <f>_xlfn.XLOOKUP(A174,CATÁLOGO!$A$2:$A$846,CATÁLOGO!$B$2:$B$846,"FORA DO CATÁLOGO")</f>
        <v>MOL008LP</v>
      </c>
      <c r="C174" s="13">
        <v>5</v>
      </c>
      <c r="D174" s="13">
        <v>0</v>
      </c>
      <c r="E174" s="13">
        <v>5</v>
      </c>
      <c r="F174" s="16" t="str">
        <f>_xlfn.XLOOKUP(A174,CATÁLOGO!$A$2:$A$846,CATÁLOGO!$E$2:$E$846,"FORA DO CATÁLOGO")</f>
        <v>Descontinuado</v>
      </c>
      <c r="G174" s="14"/>
    </row>
    <row r="175" spans="1:7" x14ac:dyDescent="0.3">
      <c r="A175" s="2" t="s">
        <v>134</v>
      </c>
      <c r="B175" s="19" t="str">
        <f>_xlfn.XLOOKUP(A175,CATÁLOGO!$A$2:$A$846,CATÁLOGO!$B$2:$B$846,"FORA DO CATÁLOGO")</f>
        <v>MOL008LM</v>
      </c>
      <c r="C175" s="13">
        <v>9</v>
      </c>
      <c r="D175" s="13">
        <v>1</v>
      </c>
      <c r="E175" s="13">
        <v>8</v>
      </c>
      <c r="F175" s="16" t="str">
        <f>_xlfn.XLOOKUP(A175,CATÁLOGO!$A$2:$A$846,CATÁLOGO!$E$2:$E$846,"FORA DO CATÁLOGO")</f>
        <v>Descontinuado</v>
      </c>
      <c r="G175" s="14"/>
    </row>
    <row r="176" spans="1:7" x14ac:dyDescent="0.3">
      <c r="A176" s="2" t="s">
        <v>135</v>
      </c>
      <c r="B176" s="19" t="str">
        <f>_xlfn.XLOOKUP(A176,CATÁLOGO!$A$2:$A$846,CATÁLOGO!$B$2:$B$846,"FORA DO CATÁLOGO")</f>
        <v>MOL008LG</v>
      </c>
      <c r="C176" s="13">
        <v>9</v>
      </c>
      <c r="D176" s="13">
        <v>0</v>
      </c>
      <c r="E176" s="13">
        <v>9</v>
      </c>
      <c r="F176" s="16" t="str">
        <f>_xlfn.XLOOKUP(A176,CATÁLOGO!$A$2:$A$846,CATÁLOGO!$E$2:$E$846,"FORA DO CATÁLOGO")</f>
        <v>Descontinuado</v>
      </c>
      <c r="G176" s="14"/>
    </row>
    <row r="177" spans="1:7" x14ac:dyDescent="0.3">
      <c r="A177" s="2" t="s">
        <v>136</v>
      </c>
      <c r="B177" s="19" t="str">
        <f>_xlfn.XLOOKUP(A177,CATÁLOGO!$A$2:$A$846,CATÁLOGO!$B$2:$B$846,"FORA DO CATÁLOGO")</f>
        <v>MOL008LGG</v>
      </c>
      <c r="C177" s="13">
        <v>4</v>
      </c>
      <c r="D177" s="13">
        <v>2</v>
      </c>
      <c r="E177" s="13">
        <v>2</v>
      </c>
      <c r="F177" s="16" t="str">
        <f>_xlfn.XLOOKUP(A177,CATÁLOGO!$A$2:$A$846,CATÁLOGO!$E$2:$E$846,"FORA DO CATÁLOGO")</f>
        <v>Descontinuado</v>
      </c>
      <c r="G177" s="14"/>
    </row>
    <row r="178" spans="1:7" x14ac:dyDescent="0.3">
      <c r="A178" s="2" t="s">
        <v>137</v>
      </c>
      <c r="B178" s="19" t="str">
        <f>_xlfn.XLOOKUP(A178,CATÁLOGO!$A$2:$A$846,CATÁLOGO!$B$2:$B$846,"FORA DO CATÁLOGO")</f>
        <v>VES002MP</v>
      </c>
      <c r="C178" s="13">
        <v>2</v>
      </c>
      <c r="D178" s="13">
        <v>2</v>
      </c>
      <c r="E178" s="13">
        <v>0</v>
      </c>
      <c r="F178" s="16" t="str">
        <f>_xlfn.XLOOKUP(A178,CATÁLOGO!$A$2:$A$846,CATÁLOGO!$E$2:$E$846,"FORA DO CATÁLOGO")</f>
        <v>Ativo</v>
      </c>
      <c r="G178" s="14"/>
    </row>
    <row r="179" spans="1:7" x14ac:dyDescent="0.3">
      <c r="A179" s="2" t="s">
        <v>139</v>
      </c>
      <c r="B179" s="19" t="str">
        <f>_xlfn.XLOOKUP(A179,CATÁLOGO!$A$2:$A$846,CATÁLOGO!$B$2:$B$846,"FORA DO CATÁLOGO")</f>
        <v>VES002MG</v>
      </c>
      <c r="C179" s="13">
        <v>9</v>
      </c>
      <c r="D179" s="13">
        <v>0</v>
      </c>
      <c r="E179" s="13">
        <v>9</v>
      </c>
      <c r="F179" s="16" t="str">
        <f>_xlfn.XLOOKUP(A179,CATÁLOGO!$A$2:$A$846,CATÁLOGO!$E$2:$E$846,"FORA DO CATÁLOGO")</f>
        <v>Ativo</v>
      </c>
      <c r="G179" s="14"/>
    </row>
    <row r="180" spans="1:7" x14ac:dyDescent="0.3">
      <c r="A180" s="2" t="s">
        <v>140</v>
      </c>
      <c r="B180" s="19" t="str">
        <f>_xlfn.XLOOKUP(A180,CATÁLOGO!$A$2:$A$846,CATÁLOGO!$B$2:$B$846,"FORA DO CATÁLOGO")</f>
        <v>VES002MGG</v>
      </c>
      <c r="C180" s="13">
        <v>9</v>
      </c>
      <c r="D180" s="13">
        <v>0</v>
      </c>
      <c r="E180" s="13">
        <v>9</v>
      </c>
      <c r="F180" s="16" t="str">
        <f>_xlfn.XLOOKUP(A180,CATÁLOGO!$A$2:$A$846,CATÁLOGO!$E$2:$E$846,"FORA DO CATÁLOGO")</f>
        <v>Ativo</v>
      </c>
      <c r="G180" s="14"/>
    </row>
    <row r="181" spans="1:7" x14ac:dyDescent="0.3">
      <c r="A181" s="2" t="s">
        <v>141</v>
      </c>
      <c r="B181" s="19" t="str">
        <f>_xlfn.XLOOKUP(A181,CATÁLOGO!$A$2:$A$846,CATÁLOGO!$B$2:$B$846,"FORA DO CATÁLOGO")</f>
        <v>TOP005OP</v>
      </c>
      <c r="C181" s="13">
        <v>9</v>
      </c>
      <c r="D181" s="13">
        <v>0</v>
      </c>
      <c r="E181" s="13">
        <v>9</v>
      </c>
      <c r="F181" s="16" t="str">
        <f>_xlfn.XLOOKUP(A181,CATÁLOGO!$A$2:$A$846,CATÁLOGO!$E$2:$E$846,"FORA DO CATÁLOGO")</f>
        <v>Ativo</v>
      </c>
      <c r="G181" s="14"/>
    </row>
    <row r="182" spans="1:7" x14ac:dyDescent="0.3">
      <c r="A182" s="2" t="s">
        <v>142</v>
      </c>
      <c r="B182" s="19" t="str">
        <f>_xlfn.XLOOKUP(A182,CATÁLOGO!$A$2:$A$846,CATÁLOGO!$B$2:$B$846,"FORA DO CATÁLOGO")</f>
        <v>TOP005OM</v>
      </c>
      <c r="C182" s="13">
        <v>6</v>
      </c>
      <c r="D182" s="13">
        <v>0</v>
      </c>
      <c r="E182" s="13">
        <v>6</v>
      </c>
      <c r="F182" s="16" t="str">
        <f>_xlfn.XLOOKUP(A182,CATÁLOGO!$A$2:$A$846,CATÁLOGO!$E$2:$E$846,"FORA DO CATÁLOGO")</f>
        <v>Ativo</v>
      </c>
      <c r="G182" s="14"/>
    </row>
    <row r="183" spans="1:7" x14ac:dyDescent="0.3">
      <c r="A183" s="2" t="s">
        <v>143</v>
      </c>
      <c r="B183" s="19" t="str">
        <f>_xlfn.XLOOKUP(A183,CATÁLOGO!$A$2:$A$846,CATÁLOGO!$B$2:$B$846,"FORA DO CATÁLOGO")</f>
        <v>TOP005OG</v>
      </c>
      <c r="C183" s="13">
        <v>6</v>
      </c>
      <c r="D183" s="13">
        <v>1</v>
      </c>
      <c r="E183" s="13">
        <v>5</v>
      </c>
      <c r="F183" s="16" t="str">
        <f>_xlfn.XLOOKUP(A183,CATÁLOGO!$A$2:$A$846,CATÁLOGO!$E$2:$E$846,"FORA DO CATÁLOGO")</f>
        <v>Ativo</v>
      </c>
      <c r="G183" s="14"/>
    </row>
    <row r="184" spans="1:7" x14ac:dyDescent="0.3">
      <c r="A184" s="2" t="s">
        <v>144</v>
      </c>
      <c r="B184" s="19" t="str">
        <f>_xlfn.XLOOKUP(A184,CATÁLOGO!$A$2:$A$846,CATÁLOGO!$B$2:$B$846,"FORA DO CATÁLOGO")</f>
        <v>TOP005OGG</v>
      </c>
      <c r="C184" s="13">
        <v>7</v>
      </c>
      <c r="D184" s="13">
        <v>0</v>
      </c>
      <c r="E184" s="13">
        <v>7</v>
      </c>
      <c r="F184" s="16" t="str">
        <f>_xlfn.XLOOKUP(A184,CATÁLOGO!$A$2:$A$846,CATÁLOGO!$E$2:$E$846,"FORA DO CATÁLOGO")</f>
        <v>Ativo</v>
      </c>
      <c r="G184" s="14"/>
    </row>
    <row r="185" spans="1:7" x14ac:dyDescent="0.3">
      <c r="A185" s="2" t="s">
        <v>145</v>
      </c>
      <c r="B185" s="19" t="str">
        <f>_xlfn.XLOOKUP(A185,CATÁLOGO!$A$2:$A$846,CATÁLOGO!$B$2:$B$846,"FORA DO CATÁLOGO")</f>
        <v>VES003CP</v>
      </c>
      <c r="C185" s="13">
        <v>11</v>
      </c>
      <c r="D185" s="13">
        <v>0</v>
      </c>
      <c r="E185" s="13">
        <v>11</v>
      </c>
      <c r="F185" s="16" t="str">
        <f>_xlfn.XLOOKUP(A185,CATÁLOGO!$A$2:$A$846,CATÁLOGO!$E$2:$E$846,"FORA DO CATÁLOGO")</f>
        <v>Descontinuado</v>
      </c>
      <c r="G185" s="14"/>
    </row>
    <row r="186" spans="1:7" x14ac:dyDescent="0.3">
      <c r="A186" s="2" t="s">
        <v>1279</v>
      </c>
      <c r="B186" s="19" t="str">
        <f>_xlfn.XLOOKUP(A186,CATÁLOGO!$A$2:$A$846,CATÁLOGO!$B$2:$B$846,"FORA DO CATÁLOGO")</f>
        <v>VES003CM</v>
      </c>
      <c r="C186" s="13">
        <v>14</v>
      </c>
      <c r="D186" s="13">
        <v>2</v>
      </c>
      <c r="E186" s="13">
        <v>12</v>
      </c>
      <c r="F186" s="16" t="str">
        <f>_xlfn.XLOOKUP(A186,CATÁLOGO!$A$2:$A$846,CATÁLOGO!$E$2:$E$846,"FORA DO CATÁLOGO")</f>
        <v>Descontinuado</v>
      </c>
      <c r="G186" s="14"/>
    </row>
    <row r="187" spans="1:7" x14ac:dyDescent="0.3">
      <c r="A187" s="2" t="s">
        <v>146</v>
      </c>
      <c r="B187" s="19" t="str">
        <f>_xlfn.XLOOKUP(A187,CATÁLOGO!$A$2:$A$846,CATÁLOGO!$B$2:$B$846,"FORA DO CATÁLOGO")</f>
        <v>VES003CG</v>
      </c>
      <c r="C187" s="13">
        <v>12</v>
      </c>
      <c r="D187" s="13">
        <v>0</v>
      </c>
      <c r="E187" s="13">
        <v>12</v>
      </c>
      <c r="F187" s="16" t="str">
        <f>_xlfn.XLOOKUP(A187,CATÁLOGO!$A$2:$A$846,CATÁLOGO!$E$2:$E$846,"FORA DO CATÁLOGO")</f>
        <v>Descontinuado</v>
      </c>
      <c r="G187" s="14"/>
    </row>
    <row r="188" spans="1:7" x14ac:dyDescent="0.3">
      <c r="A188" s="2" t="s">
        <v>147</v>
      </c>
      <c r="B188" s="19" t="str">
        <f>_xlfn.XLOOKUP(A188,CATÁLOGO!$A$2:$A$846,CATÁLOGO!$B$2:$B$846,"FORA DO CATÁLOGO")</f>
        <v>VES003CGG</v>
      </c>
      <c r="C188" s="13">
        <v>5</v>
      </c>
      <c r="D188" s="13">
        <v>0</v>
      </c>
      <c r="E188" s="13">
        <v>5</v>
      </c>
      <c r="F188" s="16" t="str">
        <f>_xlfn.XLOOKUP(A188,CATÁLOGO!$A$2:$A$846,CATÁLOGO!$E$2:$E$846,"FORA DO CATÁLOGO")</f>
        <v>Descontinuado</v>
      </c>
      <c r="G188" s="14"/>
    </row>
    <row r="189" spans="1:7" x14ac:dyDescent="0.3">
      <c r="A189" s="2" t="s">
        <v>1280</v>
      </c>
      <c r="B189" s="19" t="str">
        <f>_xlfn.XLOOKUP(A189,CATÁLOGO!$A$2:$A$846,CATÁLOGO!$B$2:$B$846,"FORA DO CATÁLOGO")</f>
        <v>VES003YP</v>
      </c>
      <c r="C189" s="13">
        <v>8</v>
      </c>
      <c r="D189" s="13">
        <v>0</v>
      </c>
      <c r="E189" s="13">
        <v>8</v>
      </c>
      <c r="F189" s="16" t="str">
        <f>_xlfn.XLOOKUP(A189,CATÁLOGO!$A$2:$A$846,CATÁLOGO!$E$2:$E$846,"FORA DO CATÁLOGO")</f>
        <v>Descontinuado</v>
      </c>
      <c r="G189" s="14"/>
    </row>
    <row r="190" spans="1:7" x14ac:dyDescent="0.3">
      <c r="A190" s="2" t="s">
        <v>1281</v>
      </c>
      <c r="B190" s="19" t="str">
        <f>_xlfn.XLOOKUP(A190,CATÁLOGO!$A$2:$A$846,CATÁLOGO!$B$2:$B$846,"FORA DO CATÁLOGO")</f>
        <v>VES003YM</v>
      </c>
      <c r="C190" s="13">
        <v>14</v>
      </c>
      <c r="D190" s="13">
        <v>0</v>
      </c>
      <c r="E190" s="13">
        <v>14</v>
      </c>
      <c r="F190" s="16" t="str">
        <f>_xlfn.XLOOKUP(A190,CATÁLOGO!$A$2:$A$846,CATÁLOGO!$E$2:$E$846,"FORA DO CATÁLOGO")</f>
        <v>Descontinuado</v>
      </c>
      <c r="G190" s="14"/>
    </row>
    <row r="191" spans="1:7" x14ac:dyDescent="0.3">
      <c r="A191" s="2" t="s">
        <v>148</v>
      </c>
      <c r="B191" s="19" t="str">
        <f>_xlfn.XLOOKUP(A191,CATÁLOGO!$A$2:$A$846,CATÁLOGO!$B$2:$B$846,"FORA DO CATÁLOGO")</f>
        <v>VES003YG</v>
      </c>
      <c r="C191" s="13">
        <v>4</v>
      </c>
      <c r="D191" s="13">
        <v>0</v>
      </c>
      <c r="E191" s="13">
        <v>4</v>
      </c>
      <c r="F191" s="16" t="str">
        <f>_xlfn.XLOOKUP(A191,CATÁLOGO!$A$2:$A$846,CATÁLOGO!$E$2:$E$846,"FORA DO CATÁLOGO")</f>
        <v>Descontinuado</v>
      </c>
      <c r="G191" s="14"/>
    </row>
    <row r="192" spans="1:7" x14ac:dyDescent="0.3">
      <c r="A192" s="2" t="s">
        <v>1282</v>
      </c>
      <c r="B192" s="19" t="str">
        <f>_xlfn.XLOOKUP(A192,CATÁLOGO!$A$2:$A$846,CATÁLOGO!$B$2:$B$846,"FORA DO CATÁLOGO")</f>
        <v>VES003YGG</v>
      </c>
      <c r="C192" s="13">
        <v>1</v>
      </c>
      <c r="D192" s="13">
        <v>0</v>
      </c>
      <c r="E192" s="13">
        <v>1</v>
      </c>
      <c r="F192" s="16" t="str">
        <f>_xlfn.XLOOKUP(A192,CATÁLOGO!$A$2:$A$846,CATÁLOGO!$E$2:$E$846,"FORA DO CATÁLOGO")</f>
        <v>Descontinuado</v>
      </c>
      <c r="G192" s="14"/>
    </row>
    <row r="193" spans="1:7" x14ac:dyDescent="0.3">
      <c r="A193" s="2" t="s">
        <v>149</v>
      </c>
      <c r="B193" s="19" t="str">
        <f>_xlfn.XLOOKUP(A193,CATÁLOGO!$A$2:$A$846,CATÁLOGO!$B$2:$B$846,"FORA DO CATÁLOGO")</f>
        <v>VES004YP</v>
      </c>
      <c r="C193" s="13">
        <v>7</v>
      </c>
      <c r="D193" s="13">
        <v>0</v>
      </c>
      <c r="E193" s="13">
        <v>7</v>
      </c>
      <c r="F193" s="16" t="str">
        <f>_xlfn.XLOOKUP(A193,CATÁLOGO!$A$2:$A$846,CATÁLOGO!$E$2:$E$846,"FORA DO CATÁLOGO")</f>
        <v>Descontinuado</v>
      </c>
      <c r="G193" s="14"/>
    </row>
    <row r="194" spans="1:7" x14ac:dyDescent="0.3">
      <c r="A194" s="2" t="s">
        <v>150</v>
      </c>
      <c r="B194" s="19" t="str">
        <f>_xlfn.XLOOKUP(A194,CATÁLOGO!$A$2:$A$846,CATÁLOGO!$B$2:$B$846,"FORA DO CATÁLOGO")</f>
        <v>VES004YM</v>
      </c>
      <c r="C194" s="13">
        <v>4</v>
      </c>
      <c r="D194" s="13">
        <v>0</v>
      </c>
      <c r="E194" s="13">
        <v>4</v>
      </c>
      <c r="F194" s="16" t="str">
        <f>_xlfn.XLOOKUP(A194,CATÁLOGO!$A$2:$A$846,CATÁLOGO!$E$2:$E$846,"FORA DO CATÁLOGO")</f>
        <v>Descontinuado</v>
      </c>
      <c r="G194" s="14"/>
    </row>
    <row r="195" spans="1:7" x14ac:dyDescent="0.3">
      <c r="A195" s="2" t="s">
        <v>1257</v>
      </c>
      <c r="B195" s="19" t="str">
        <f>_xlfn.XLOOKUP(A195,CATÁLOGO!$A$2:$A$846,CATÁLOGO!$B$2:$B$846,"FORA DO CATÁLOGO")</f>
        <v>VES004YG</v>
      </c>
      <c r="C195" s="13">
        <v>11</v>
      </c>
      <c r="D195" s="13">
        <v>0</v>
      </c>
      <c r="E195" s="13">
        <v>11</v>
      </c>
      <c r="F195" s="16" t="str">
        <f>_xlfn.XLOOKUP(A195,CATÁLOGO!$A$2:$A$846,CATÁLOGO!$E$2:$E$846,"FORA DO CATÁLOGO")</f>
        <v>Descontinuado</v>
      </c>
      <c r="G195" s="14"/>
    </row>
    <row r="196" spans="1:7" x14ac:dyDescent="0.3">
      <c r="A196" s="2" t="s">
        <v>151</v>
      </c>
      <c r="B196" s="19" t="str">
        <f>_xlfn.XLOOKUP(A196,CATÁLOGO!$A$2:$A$846,CATÁLOGO!$B$2:$B$846,"FORA DO CATÁLOGO")</f>
        <v>VES004YGG</v>
      </c>
      <c r="C196" s="13">
        <v>2</v>
      </c>
      <c r="D196" s="13">
        <v>0</v>
      </c>
      <c r="E196" s="13">
        <v>2</v>
      </c>
      <c r="F196" s="16" t="str">
        <f>_xlfn.XLOOKUP(A196,CATÁLOGO!$A$2:$A$846,CATÁLOGO!$E$2:$E$846,"FORA DO CATÁLOGO")</f>
        <v>Descontinuado</v>
      </c>
      <c r="G196" s="14"/>
    </row>
    <row r="197" spans="1:7" x14ac:dyDescent="0.3">
      <c r="A197" s="2" t="s">
        <v>156</v>
      </c>
      <c r="B197" s="19" t="str">
        <f>_xlfn.XLOOKUP(A197,CATÁLOGO!$A$2:$A$846,CATÁLOGO!$B$2:$B$846,"FORA DO CATÁLOGO")</f>
        <v>TOP006MP</v>
      </c>
      <c r="C197" s="13">
        <v>4</v>
      </c>
      <c r="D197" s="13">
        <v>0</v>
      </c>
      <c r="E197" s="13">
        <v>4</v>
      </c>
      <c r="F197" s="16" t="str">
        <f>_xlfn.XLOOKUP(A197,CATÁLOGO!$A$2:$A$846,CATÁLOGO!$E$2:$E$846,"FORA DO CATÁLOGO")</f>
        <v>Ativo</v>
      </c>
      <c r="G197" s="14"/>
    </row>
    <row r="198" spans="1:7" x14ac:dyDescent="0.3">
      <c r="A198" s="2" t="s">
        <v>157</v>
      </c>
      <c r="B198" s="19" t="str">
        <f>_xlfn.XLOOKUP(A198,CATÁLOGO!$A$2:$A$846,CATÁLOGO!$B$2:$B$846,"FORA DO CATÁLOGO")</f>
        <v>TOP006MM</v>
      </c>
      <c r="C198" s="13">
        <v>4</v>
      </c>
      <c r="D198" s="13">
        <v>0</v>
      </c>
      <c r="E198" s="13">
        <v>4</v>
      </c>
      <c r="F198" s="16" t="str">
        <f>_xlfn.XLOOKUP(A198,CATÁLOGO!$A$2:$A$846,CATÁLOGO!$E$2:$E$846,"FORA DO CATÁLOGO")</f>
        <v>Ativo</v>
      </c>
      <c r="G198" s="14"/>
    </row>
    <row r="199" spans="1:7" x14ac:dyDescent="0.3">
      <c r="A199" s="2" t="s">
        <v>158</v>
      </c>
      <c r="B199" s="19" t="str">
        <f>_xlfn.XLOOKUP(A199,CATÁLOGO!$A$2:$A$846,CATÁLOGO!$B$2:$B$846,"FORA DO CATÁLOGO")</f>
        <v>TOP006MG</v>
      </c>
      <c r="C199" s="13">
        <v>11</v>
      </c>
      <c r="D199" s="13">
        <v>1</v>
      </c>
      <c r="E199" s="13">
        <v>10</v>
      </c>
      <c r="F199" s="16" t="str">
        <f>_xlfn.XLOOKUP(A199,CATÁLOGO!$A$2:$A$846,CATÁLOGO!$E$2:$E$846,"FORA DO CATÁLOGO")</f>
        <v>Ativo</v>
      </c>
      <c r="G199" s="14"/>
    </row>
    <row r="200" spans="1:7" x14ac:dyDescent="0.3">
      <c r="A200" s="2" t="s">
        <v>159</v>
      </c>
      <c r="B200" s="19" t="str">
        <f>_xlfn.XLOOKUP(A200,CATÁLOGO!$A$2:$A$846,CATÁLOGO!$B$2:$B$846,"FORA DO CATÁLOGO")</f>
        <v>TOP006MGG</v>
      </c>
      <c r="C200" s="13">
        <v>4</v>
      </c>
      <c r="D200" s="13">
        <v>0</v>
      </c>
      <c r="E200" s="13">
        <v>4</v>
      </c>
      <c r="F200" s="16" t="str">
        <f>_xlfn.XLOOKUP(A200,CATÁLOGO!$A$2:$A$846,CATÁLOGO!$E$2:$E$846,"FORA DO CATÁLOGO")</f>
        <v>Ativo</v>
      </c>
      <c r="G200" s="14"/>
    </row>
    <row r="201" spans="1:7" x14ac:dyDescent="0.3">
      <c r="A201" s="2" t="s">
        <v>162</v>
      </c>
      <c r="B201" s="19" t="str">
        <f>_xlfn.XLOOKUP(A201,CATÁLOGO!$A$2:$A$846,CATÁLOGO!$B$2:$B$846,"FORA DO CATÁLOGO")</f>
        <v>MOL009MP</v>
      </c>
      <c r="C201" s="13">
        <v>3</v>
      </c>
      <c r="D201" s="13">
        <v>0</v>
      </c>
      <c r="E201" s="13">
        <v>3</v>
      </c>
      <c r="F201" s="16" t="str">
        <f>_xlfn.XLOOKUP(A201,CATÁLOGO!$A$2:$A$846,CATÁLOGO!$E$2:$E$846,"FORA DO CATÁLOGO")</f>
        <v>Ativo</v>
      </c>
      <c r="G201" s="14"/>
    </row>
    <row r="202" spans="1:7" x14ac:dyDescent="0.3">
      <c r="A202" s="2" t="s">
        <v>163</v>
      </c>
      <c r="B202" s="19" t="str">
        <f>_xlfn.XLOOKUP(A202,CATÁLOGO!$A$2:$A$846,CATÁLOGO!$B$2:$B$846,"FORA DO CATÁLOGO")</f>
        <v>MOL009MM</v>
      </c>
      <c r="C202" s="13">
        <v>7</v>
      </c>
      <c r="D202" s="13">
        <v>1</v>
      </c>
      <c r="E202" s="13">
        <v>6</v>
      </c>
      <c r="F202" s="16" t="str">
        <f>_xlfn.XLOOKUP(A202,CATÁLOGO!$A$2:$A$846,CATÁLOGO!$E$2:$E$846,"FORA DO CATÁLOGO")</f>
        <v>Ativo</v>
      </c>
      <c r="G202" s="14"/>
    </row>
    <row r="203" spans="1:7" x14ac:dyDescent="0.3">
      <c r="A203" s="2" t="s">
        <v>164</v>
      </c>
      <c r="B203" s="19" t="str">
        <f>_xlfn.XLOOKUP(A203,CATÁLOGO!$A$2:$A$846,CATÁLOGO!$B$2:$B$846,"FORA DO CATÁLOGO")</f>
        <v>MOL009MG</v>
      </c>
      <c r="C203" s="13">
        <v>6</v>
      </c>
      <c r="D203" s="13">
        <v>1</v>
      </c>
      <c r="E203" s="13">
        <v>5</v>
      </c>
      <c r="F203" s="16" t="str">
        <f>_xlfn.XLOOKUP(A203,CATÁLOGO!$A$2:$A$846,CATÁLOGO!$E$2:$E$846,"FORA DO CATÁLOGO")</f>
        <v>Ativo</v>
      </c>
      <c r="G203" s="14"/>
    </row>
    <row r="204" spans="1:7" x14ac:dyDescent="0.3">
      <c r="A204" s="2" t="s">
        <v>165</v>
      </c>
      <c r="B204" s="19" t="str">
        <f>_xlfn.XLOOKUP(A204,CATÁLOGO!$A$2:$A$846,CATÁLOGO!$B$2:$B$846,"FORA DO CATÁLOGO")</f>
        <v>MOL009MGG</v>
      </c>
      <c r="C204" s="13">
        <v>5</v>
      </c>
      <c r="D204" s="13">
        <v>0</v>
      </c>
      <c r="E204" s="13">
        <v>5</v>
      </c>
      <c r="F204" s="16" t="str">
        <f>_xlfn.XLOOKUP(A204,CATÁLOGO!$A$2:$A$846,CATÁLOGO!$E$2:$E$846,"FORA DO CATÁLOGO")</f>
        <v>Ativo</v>
      </c>
      <c r="G204" s="14"/>
    </row>
    <row r="205" spans="1:7" x14ac:dyDescent="0.3">
      <c r="A205" s="2" t="s">
        <v>166</v>
      </c>
      <c r="B205" s="19" t="str">
        <f>_xlfn.XLOOKUP(A205,CATÁLOGO!$A$2:$A$846,CATÁLOGO!$B$2:$B$846,"FORA DO CATÁLOGO")</f>
        <v>TOP008GP</v>
      </c>
      <c r="C205" s="13">
        <v>4</v>
      </c>
      <c r="D205" s="13">
        <v>0</v>
      </c>
      <c r="E205" s="13">
        <v>4</v>
      </c>
      <c r="F205" s="16" t="str">
        <f>_xlfn.XLOOKUP(A205,CATÁLOGO!$A$2:$A$846,CATÁLOGO!$E$2:$E$846,"FORA DO CATÁLOGO")</f>
        <v>Ativo</v>
      </c>
      <c r="G205" s="14"/>
    </row>
    <row r="206" spans="1:7" x14ac:dyDescent="0.3">
      <c r="A206" s="2" t="s">
        <v>167</v>
      </c>
      <c r="B206" s="19" t="str">
        <f>_xlfn.XLOOKUP(A206,CATÁLOGO!$A$2:$A$846,CATÁLOGO!$B$2:$B$846,"FORA DO CATÁLOGO")</f>
        <v>TOP008GM</v>
      </c>
      <c r="C206" s="13">
        <v>1</v>
      </c>
      <c r="D206" s="13">
        <v>1</v>
      </c>
      <c r="E206" s="13">
        <v>0</v>
      </c>
      <c r="F206" s="16" t="str">
        <f>_xlfn.XLOOKUP(A206,CATÁLOGO!$A$2:$A$846,CATÁLOGO!$E$2:$E$846,"FORA DO CATÁLOGO")</f>
        <v>Ativo</v>
      </c>
      <c r="G206" s="14"/>
    </row>
    <row r="207" spans="1:7" x14ac:dyDescent="0.3">
      <c r="A207" s="2" t="s">
        <v>168</v>
      </c>
      <c r="B207" s="19" t="str">
        <f>_xlfn.XLOOKUP(A207,CATÁLOGO!$A$2:$A$846,CATÁLOGO!$B$2:$B$846,"FORA DO CATÁLOGO")</f>
        <v>TOP008GG</v>
      </c>
      <c r="C207" s="13">
        <v>3</v>
      </c>
      <c r="D207" s="13">
        <v>1</v>
      </c>
      <c r="E207" s="13">
        <v>2</v>
      </c>
      <c r="F207" s="16" t="str">
        <f>_xlfn.XLOOKUP(A207,CATÁLOGO!$A$2:$A$846,CATÁLOGO!$E$2:$E$846,"FORA DO CATÁLOGO")</f>
        <v>Ativo</v>
      </c>
      <c r="G207" s="14"/>
    </row>
    <row r="208" spans="1:7" x14ac:dyDescent="0.3">
      <c r="A208" s="2" t="s">
        <v>169</v>
      </c>
      <c r="B208" s="19" t="str">
        <f>_xlfn.XLOOKUP(A208,CATÁLOGO!$A$2:$A$846,CATÁLOGO!$B$2:$B$846,"FORA DO CATÁLOGO")</f>
        <v>CAM009HP</v>
      </c>
      <c r="C208" s="13">
        <v>7</v>
      </c>
      <c r="D208" s="13">
        <v>0</v>
      </c>
      <c r="E208" s="13">
        <v>7</v>
      </c>
      <c r="F208" s="16" t="str">
        <f>_xlfn.XLOOKUP(A208,CATÁLOGO!$A$2:$A$846,CATÁLOGO!$E$2:$E$846,"FORA DO CATÁLOGO")</f>
        <v>Ativo</v>
      </c>
      <c r="G208" s="14"/>
    </row>
    <row r="209" spans="1:7" x14ac:dyDescent="0.3">
      <c r="A209" s="2" t="s">
        <v>170</v>
      </c>
      <c r="B209" s="19" t="str">
        <f>_xlfn.XLOOKUP(A209,CATÁLOGO!$A$2:$A$846,CATÁLOGO!$B$2:$B$846,"FORA DO CATÁLOGO")</f>
        <v>CAM009HM</v>
      </c>
      <c r="C209" s="13">
        <v>2</v>
      </c>
      <c r="D209" s="13">
        <v>0</v>
      </c>
      <c r="E209" s="13">
        <v>2</v>
      </c>
      <c r="F209" s="16" t="str">
        <f>_xlfn.XLOOKUP(A209,CATÁLOGO!$A$2:$A$846,CATÁLOGO!$E$2:$E$846,"FORA DO CATÁLOGO")</f>
        <v>Ativo</v>
      </c>
      <c r="G209" s="14"/>
    </row>
    <row r="210" spans="1:7" x14ac:dyDescent="0.3">
      <c r="A210" s="2" t="s">
        <v>172</v>
      </c>
      <c r="B210" s="19" t="str">
        <f>_xlfn.XLOOKUP(A210,CATÁLOGO!$A$2:$A$846,CATÁLOGO!$B$2:$B$846,"FORA DO CATÁLOGO")</f>
        <v>CAM009HGG</v>
      </c>
      <c r="C210" s="13">
        <v>9</v>
      </c>
      <c r="D210" s="13">
        <v>0</v>
      </c>
      <c r="E210" s="13">
        <v>9</v>
      </c>
      <c r="F210" s="16" t="str">
        <f>_xlfn.XLOOKUP(A210,CATÁLOGO!$A$2:$A$846,CATÁLOGO!$E$2:$E$846,"FORA DO CATÁLOGO")</f>
        <v>Ativo</v>
      </c>
      <c r="G210" s="14"/>
    </row>
    <row r="211" spans="1:7" x14ac:dyDescent="0.3">
      <c r="A211" s="2" t="s">
        <v>174</v>
      </c>
      <c r="B211" s="19" t="str">
        <f>_xlfn.XLOOKUP(A211,CATÁLOGO!$A$2:$A$846,CATÁLOGO!$B$2:$B$846,"FORA DO CATÁLOGO")</f>
        <v>TOP009GM</v>
      </c>
      <c r="C211" s="13">
        <v>1</v>
      </c>
      <c r="D211" s="13">
        <v>0</v>
      </c>
      <c r="E211" s="13">
        <v>1</v>
      </c>
      <c r="F211" s="16" t="str">
        <f>_xlfn.XLOOKUP(A211,CATÁLOGO!$A$2:$A$846,CATÁLOGO!$E$2:$E$846,"FORA DO CATÁLOGO")</f>
        <v>Descontinuado</v>
      </c>
      <c r="G211" s="14"/>
    </row>
    <row r="212" spans="1:7" x14ac:dyDescent="0.3">
      <c r="A212" s="2" t="s">
        <v>176</v>
      </c>
      <c r="B212" s="19" t="str">
        <f>_xlfn.XLOOKUP(A212,CATÁLOGO!$A$2:$A$846,CATÁLOGO!$B$2:$B$846,"FORA DO CATÁLOGO")</f>
        <v>TOP009GGG</v>
      </c>
      <c r="C212" s="13">
        <v>2</v>
      </c>
      <c r="D212" s="13">
        <v>0</v>
      </c>
      <c r="E212" s="13">
        <v>2</v>
      </c>
      <c r="F212" s="16" t="str">
        <f>_xlfn.XLOOKUP(A212,CATÁLOGO!$A$2:$A$846,CATÁLOGO!$E$2:$E$846,"FORA DO CATÁLOGO")</f>
        <v>Descontinuado</v>
      </c>
      <c r="G212" s="14"/>
    </row>
    <row r="213" spans="1:7" x14ac:dyDescent="0.3">
      <c r="A213" s="2" t="s">
        <v>177</v>
      </c>
      <c r="B213" s="19" t="str">
        <f>_xlfn.XLOOKUP(A213,CATÁLOGO!$A$2:$A$846,CATÁLOGO!$B$2:$B$846,"FORA DO CATÁLOGO")</f>
        <v>TOP010YP</v>
      </c>
      <c r="C213" s="13">
        <v>3</v>
      </c>
      <c r="D213" s="13">
        <v>0</v>
      </c>
      <c r="E213" s="13">
        <v>3</v>
      </c>
      <c r="F213" s="16" t="str">
        <f>_xlfn.XLOOKUP(A213,CATÁLOGO!$A$2:$A$846,CATÁLOGO!$E$2:$E$846,"FORA DO CATÁLOGO")</f>
        <v>Descontinuado</v>
      </c>
      <c r="G213" s="14"/>
    </row>
    <row r="214" spans="1:7" x14ac:dyDescent="0.3">
      <c r="A214" s="2" t="s">
        <v>178</v>
      </c>
      <c r="B214" s="19" t="str">
        <f>_xlfn.XLOOKUP(A214,CATÁLOGO!$A$2:$A$846,CATÁLOGO!$B$2:$B$846,"FORA DO CATÁLOGO")</f>
        <v>TOP010YM</v>
      </c>
      <c r="C214" s="13">
        <v>12</v>
      </c>
      <c r="D214" s="13">
        <v>0</v>
      </c>
      <c r="E214" s="13">
        <v>12</v>
      </c>
      <c r="F214" s="16" t="str">
        <f>_xlfn.XLOOKUP(A214,CATÁLOGO!$A$2:$A$846,CATÁLOGO!$E$2:$E$846,"FORA DO CATÁLOGO")</f>
        <v>Descontinuado</v>
      </c>
      <c r="G214" s="14"/>
    </row>
    <row r="215" spans="1:7" x14ac:dyDescent="0.3">
      <c r="A215" s="2" t="s">
        <v>179</v>
      </c>
      <c r="B215" s="19" t="str">
        <f>_xlfn.XLOOKUP(A215,CATÁLOGO!$A$2:$A$846,CATÁLOGO!$B$2:$B$846,"FORA DO CATÁLOGO")</f>
        <v>TOP010YG</v>
      </c>
      <c r="C215" s="13">
        <v>16</v>
      </c>
      <c r="D215" s="13">
        <v>2</v>
      </c>
      <c r="E215" s="13">
        <v>14</v>
      </c>
      <c r="F215" s="16" t="str">
        <f>_xlfn.XLOOKUP(A215,CATÁLOGO!$A$2:$A$846,CATÁLOGO!$E$2:$E$846,"FORA DO CATÁLOGO")</f>
        <v>Descontinuado</v>
      </c>
      <c r="G215" s="14"/>
    </row>
    <row r="216" spans="1:7" x14ac:dyDescent="0.3">
      <c r="A216" s="2" t="s">
        <v>1258</v>
      </c>
      <c r="B216" s="19" t="str">
        <f>_xlfn.XLOOKUP(A216,CATÁLOGO!$A$2:$A$846,CATÁLOGO!$B$2:$B$846,"FORA DO CATÁLOGO")</f>
        <v>TOP010HP</v>
      </c>
      <c r="C216" s="13">
        <v>2</v>
      </c>
      <c r="D216" s="13">
        <v>0</v>
      </c>
      <c r="E216" s="13">
        <v>2</v>
      </c>
      <c r="F216" s="16" t="str">
        <f>_xlfn.XLOOKUP(A216,CATÁLOGO!$A$2:$A$846,CATÁLOGO!$E$2:$E$846,"FORA DO CATÁLOGO")</f>
        <v>Descontinuado</v>
      </c>
      <c r="G216" s="14"/>
    </row>
    <row r="217" spans="1:7" x14ac:dyDescent="0.3">
      <c r="A217" s="2" t="s">
        <v>180</v>
      </c>
      <c r="B217" s="19" t="str">
        <f>_xlfn.XLOOKUP(A217,CATÁLOGO!$A$2:$A$846,CATÁLOGO!$B$2:$B$846,"FORA DO CATÁLOGO")</f>
        <v>TOP010HM</v>
      </c>
      <c r="C217" s="13">
        <v>6</v>
      </c>
      <c r="D217" s="13">
        <v>0</v>
      </c>
      <c r="E217" s="13">
        <v>6</v>
      </c>
      <c r="F217" s="16" t="str">
        <f>_xlfn.XLOOKUP(A217,CATÁLOGO!$A$2:$A$846,CATÁLOGO!$E$2:$E$846,"FORA DO CATÁLOGO")</f>
        <v>Descontinuado</v>
      </c>
      <c r="G217" s="14"/>
    </row>
    <row r="218" spans="1:7" x14ac:dyDescent="0.3">
      <c r="A218" s="2" t="s">
        <v>181</v>
      </c>
      <c r="B218" s="19" t="str">
        <f>_xlfn.XLOOKUP(A218,CATÁLOGO!$A$2:$A$846,CATÁLOGO!$B$2:$B$846,"FORA DO CATÁLOGO")</f>
        <v>TOP010HG</v>
      </c>
      <c r="C218" s="13">
        <v>2</v>
      </c>
      <c r="D218" s="13">
        <v>1</v>
      </c>
      <c r="E218" s="13">
        <v>1</v>
      </c>
      <c r="F218" s="16" t="str">
        <f>_xlfn.XLOOKUP(A218,CATÁLOGO!$A$2:$A$846,CATÁLOGO!$E$2:$E$846,"FORA DO CATÁLOGO")</f>
        <v>Descontinuado</v>
      </c>
      <c r="G218" s="14"/>
    </row>
    <row r="219" spans="1:7" x14ac:dyDescent="0.3">
      <c r="A219" s="2" t="s">
        <v>182</v>
      </c>
      <c r="B219" s="19" t="str">
        <f>_xlfn.XLOOKUP(A219,CATÁLOGO!$A$2:$A$846,CATÁLOGO!$B$2:$B$846,"FORA DO CATÁLOGO")</f>
        <v>CAM010VP</v>
      </c>
      <c r="C219" s="13">
        <v>11</v>
      </c>
      <c r="D219" s="13">
        <v>0</v>
      </c>
      <c r="E219" s="13">
        <v>11</v>
      </c>
      <c r="F219" s="16" t="str">
        <f>_xlfn.XLOOKUP(A219,CATÁLOGO!$A$2:$A$846,CATÁLOGO!$E$2:$E$846,"FORA DO CATÁLOGO")</f>
        <v>Descontinuado</v>
      </c>
      <c r="G219" s="14"/>
    </row>
    <row r="220" spans="1:7" x14ac:dyDescent="0.3">
      <c r="A220" s="2" t="s">
        <v>183</v>
      </c>
      <c r="B220" s="19" t="str">
        <f>_xlfn.XLOOKUP(A220,CATÁLOGO!$A$2:$A$846,CATÁLOGO!$B$2:$B$846,"FORA DO CATÁLOGO")</f>
        <v>CAM010VM</v>
      </c>
      <c r="C220" s="13">
        <v>18</v>
      </c>
      <c r="D220" s="13">
        <v>0</v>
      </c>
      <c r="E220" s="13">
        <v>18</v>
      </c>
      <c r="F220" s="16" t="str">
        <f>_xlfn.XLOOKUP(A220,CATÁLOGO!$A$2:$A$846,CATÁLOGO!$E$2:$E$846,"FORA DO CATÁLOGO")</f>
        <v>Descontinuado</v>
      </c>
      <c r="G220" s="14"/>
    </row>
    <row r="221" spans="1:7" x14ac:dyDescent="0.3">
      <c r="A221" s="2" t="s">
        <v>184</v>
      </c>
      <c r="B221" s="19" t="str">
        <f>_xlfn.XLOOKUP(A221,CATÁLOGO!$A$2:$A$846,CATÁLOGO!$B$2:$B$846,"FORA DO CATÁLOGO")</f>
        <v>CAM010VG</v>
      </c>
      <c r="C221" s="13">
        <v>10</v>
      </c>
      <c r="D221" s="13">
        <v>1</v>
      </c>
      <c r="E221" s="13">
        <v>9</v>
      </c>
      <c r="F221" s="16" t="str">
        <f>_xlfn.XLOOKUP(A221,CATÁLOGO!$A$2:$A$846,CATÁLOGO!$E$2:$E$846,"FORA DO CATÁLOGO")</f>
        <v>Descontinuado</v>
      </c>
      <c r="G221" s="14"/>
    </row>
    <row r="222" spans="1:7" x14ac:dyDescent="0.3">
      <c r="A222" s="2" t="s">
        <v>185</v>
      </c>
      <c r="B222" s="19" t="str">
        <f>_xlfn.XLOOKUP(A222,CATÁLOGO!$A$2:$A$846,CATÁLOGO!$B$2:$B$846,"FORA DO CATÁLOGO")</f>
        <v>CAM010VGG</v>
      </c>
      <c r="C222" s="13">
        <v>5</v>
      </c>
      <c r="D222" s="13">
        <v>0</v>
      </c>
      <c r="E222" s="13">
        <v>5</v>
      </c>
      <c r="F222" s="16" t="str">
        <f>_xlfn.XLOOKUP(A222,CATÁLOGO!$A$2:$A$846,CATÁLOGO!$E$2:$E$846,"FORA DO CATÁLOGO")</f>
        <v>Descontinuado</v>
      </c>
      <c r="G222" s="14"/>
    </row>
    <row r="223" spans="1:7" x14ac:dyDescent="0.3">
      <c r="A223" s="2" t="s">
        <v>1283</v>
      </c>
      <c r="B223" s="19" t="str">
        <f>_xlfn.XLOOKUP(A223,CATÁLOGO!$A$2:$A$846,CATÁLOGO!$B$2:$B$846,"FORA DO CATÁLOGO")</f>
        <v>CAM010HP</v>
      </c>
      <c r="C223" s="13">
        <v>7</v>
      </c>
      <c r="D223" s="13">
        <v>0</v>
      </c>
      <c r="E223" s="13">
        <v>7</v>
      </c>
      <c r="F223" s="16" t="str">
        <f>_xlfn.XLOOKUP(A223,CATÁLOGO!$A$2:$A$846,CATÁLOGO!$E$2:$E$846,"FORA DO CATÁLOGO")</f>
        <v>Descontinuado</v>
      </c>
      <c r="G223" s="14"/>
    </row>
    <row r="224" spans="1:7" x14ac:dyDescent="0.3">
      <c r="A224" s="2" t="s">
        <v>1259</v>
      </c>
      <c r="B224" s="19" t="str">
        <f>_xlfn.XLOOKUP(A224,CATÁLOGO!$A$2:$A$846,CATÁLOGO!$B$2:$B$846,"FORA DO CATÁLOGO")</f>
        <v>CAM010HM</v>
      </c>
      <c r="C224" s="13">
        <v>11</v>
      </c>
      <c r="D224" s="13">
        <v>0</v>
      </c>
      <c r="E224" s="13">
        <v>11</v>
      </c>
      <c r="F224" s="16" t="str">
        <f>_xlfn.XLOOKUP(A224,CATÁLOGO!$A$2:$A$846,CATÁLOGO!$E$2:$E$846,"FORA DO CATÁLOGO")</f>
        <v>Descontinuado</v>
      </c>
      <c r="G224" s="14"/>
    </row>
    <row r="225" spans="1:7" x14ac:dyDescent="0.3">
      <c r="A225" s="2" t="s">
        <v>186</v>
      </c>
      <c r="B225" s="19" t="str">
        <f>_xlfn.XLOOKUP(A225,CATÁLOGO!$A$2:$A$846,CATÁLOGO!$B$2:$B$846,"FORA DO CATÁLOGO")</f>
        <v>CAM010HG</v>
      </c>
      <c r="C225" s="13">
        <v>6</v>
      </c>
      <c r="D225" s="13">
        <v>0</v>
      </c>
      <c r="E225" s="13">
        <v>6</v>
      </c>
      <c r="F225" s="16" t="str">
        <f>_xlfn.XLOOKUP(A225,CATÁLOGO!$A$2:$A$846,CATÁLOGO!$E$2:$E$846,"FORA DO CATÁLOGO")</f>
        <v>Descontinuado</v>
      </c>
      <c r="G225" s="14"/>
    </row>
    <row r="226" spans="1:7" x14ac:dyDescent="0.3">
      <c r="A226" s="2" t="s">
        <v>1284</v>
      </c>
      <c r="B226" s="19" t="str">
        <f>_xlfn.XLOOKUP(A226,CATÁLOGO!$A$2:$A$846,CATÁLOGO!$B$2:$B$846,"FORA DO CATÁLOGO")</f>
        <v>CAM010HGG</v>
      </c>
      <c r="C226" s="13">
        <v>3</v>
      </c>
      <c r="D226" s="13">
        <v>0</v>
      </c>
      <c r="E226" s="13">
        <v>3</v>
      </c>
      <c r="F226" s="16" t="str">
        <f>_xlfn.XLOOKUP(A226,CATÁLOGO!$A$2:$A$846,CATÁLOGO!$E$2:$E$846,"FORA DO CATÁLOGO")</f>
        <v>Descontinuado</v>
      </c>
      <c r="G226" s="14"/>
    </row>
    <row r="227" spans="1:7" x14ac:dyDescent="0.3">
      <c r="A227" s="2" t="s">
        <v>187</v>
      </c>
      <c r="B227" s="19" t="str">
        <f>_xlfn.XLOOKUP(A227,CATÁLOGO!$A$2:$A$846,CATÁLOGO!$B$2:$B$846,"FORA DO CATÁLOGO")</f>
        <v>CAM011HP</v>
      </c>
      <c r="C227" s="13">
        <v>3</v>
      </c>
      <c r="D227" s="13">
        <v>0</v>
      </c>
      <c r="E227" s="13">
        <v>3</v>
      </c>
      <c r="F227" s="16" t="str">
        <f>_xlfn.XLOOKUP(A227,CATÁLOGO!$A$2:$A$846,CATÁLOGO!$E$2:$E$846,"FORA DO CATÁLOGO")</f>
        <v>Descontinuado</v>
      </c>
      <c r="G227" s="14"/>
    </row>
    <row r="228" spans="1:7" x14ac:dyDescent="0.3">
      <c r="A228" s="2" t="s">
        <v>188</v>
      </c>
      <c r="B228" s="19" t="str">
        <f>_xlfn.XLOOKUP(A228,CATÁLOGO!$A$2:$A$846,CATÁLOGO!$B$2:$B$846,"FORA DO CATÁLOGO")</f>
        <v>CAM011HM</v>
      </c>
      <c r="C228" s="13">
        <v>11</v>
      </c>
      <c r="D228" s="13">
        <v>1</v>
      </c>
      <c r="E228" s="13">
        <v>10</v>
      </c>
      <c r="F228" s="16" t="str">
        <f>_xlfn.XLOOKUP(A228,CATÁLOGO!$A$2:$A$846,CATÁLOGO!$E$2:$E$846,"FORA DO CATÁLOGO")</f>
        <v>Descontinuado</v>
      </c>
      <c r="G228" s="14"/>
    </row>
    <row r="229" spans="1:7" x14ac:dyDescent="0.3">
      <c r="A229" s="2" t="s">
        <v>189</v>
      </c>
      <c r="B229" s="19" t="str">
        <f>_xlfn.XLOOKUP(A229,CATÁLOGO!$A$2:$A$846,CATÁLOGO!$B$2:$B$846,"FORA DO CATÁLOGO")</f>
        <v>CAM011HG</v>
      </c>
      <c r="C229" s="13">
        <v>12</v>
      </c>
      <c r="D229" s="13">
        <v>1</v>
      </c>
      <c r="E229" s="13">
        <v>11</v>
      </c>
      <c r="F229" s="16" t="str">
        <f>_xlfn.XLOOKUP(A229,CATÁLOGO!$A$2:$A$846,CATÁLOGO!$E$2:$E$846,"FORA DO CATÁLOGO")</f>
        <v>Descontinuado</v>
      </c>
      <c r="G229" s="14"/>
    </row>
    <row r="230" spans="1:7" x14ac:dyDescent="0.3">
      <c r="A230" s="2" t="s">
        <v>1285</v>
      </c>
      <c r="B230" s="19" t="str">
        <f>_xlfn.XLOOKUP(A230,CATÁLOGO!$A$2:$A$846,CATÁLOGO!$B$2:$B$846,"FORA DO CATÁLOGO")</f>
        <v>CAM011LP</v>
      </c>
      <c r="C230" s="13">
        <v>5</v>
      </c>
      <c r="D230" s="13">
        <v>0</v>
      </c>
      <c r="E230" s="13">
        <v>5</v>
      </c>
      <c r="F230" s="16" t="str">
        <f>_xlfn.XLOOKUP(A230,CATÁLOGO!$A$2:$A$846,CATÁLOGO!$E$2:$E$846,"FORA DO CATÁLOGO")</f>
        <v>Descontinuado</v>
      </c>
      <c r="G230" s="14"/>
    </row>
    <row r="231" spans="1:7" x14ac:dyDescent="0.3">
      <c r="A231" s="2" t="s">
        <v>190</v>
      </c>
      <c r="B231" s="19" t="str">
        <f>_xlfn.XLOOKUP(A231,CATÁLOGO!$A$2:$A$846,CATÁLOGO!$B$2:$B$846,"FORA DO CATÁLOGO")</f>
        <v>CAM011LM</v>
      </c>
      <c r="C231" s="13">
        <v>6</v>
      </c>
      <c r="D231" s="13">
        <v>0</v>
      </c>
      <c r="E231" s="13">
        <v>6</v>
      </c>
      <c r="F231" s="16" t="str">
        <f>_xlfn.XLOOKUP(A231,CATÁLOGO!$A$2:$A$846,CATÁLOGO!$E$2:$E$846,"FORA DO CATÁLOGO")</f>
        <v>Descontinuado</v>
      </c>
      <c r="G231" s="14"/>
    </row>
    <row r="232" spans="1:7" x14ac:dyDescent="0.3">
      <c r="A232" s="2" t="s">
        <v>1260</v>
      </c>
      <c r="B232" s="19" t="str">
        <f>_xlfn.XLOOKUP(A232,CATÁLOGO!$A$2:$A$846,CATÁLOGO!$B$2:$B$846,"FORA DO CATÁLOGO")</f>
        <v>CAM011LG</v>
      </c>
      <c r="C232" s="13">
        <v>6</v>
      </c>
      <c r="D232" s="13">
        <v>2</v>
      </c>
      <c r="E232" s="13">
        <v>4</v>
      </c>
      <c r="F232" s="16" t="str">
        <f>_xlfn.XLOOKUP(A232,CATÁLOGO!$A$2:$A$846,CATÁLOGO!$E$2:$E$846,"FORA DO CATÁLOGO")</f>
        <v>Descontinuado</v>
      </c>
      <c r="G232" s="14"/>
    </row>
    <row r="233" spans="1:7" x14ac:dyDescent="0.3">
      <c r="A233" s="2" t="s">
        <v>1286</v>
      </c>
      <c r="B233" s="19" t="str">
        <f>_xlfn.XLOOKUP(A233,CATÁLOGO!$A$2:$A$846,CATÁLOGO!$B$2:$B$846,"FORA DO CATÁLOGO")</f>
        <v>CMS007LP</v>
      </c>
      <c r="C233" s="13">
        <v>4</v>
      </c>
      <c r="D233" s="13">
        <v>0</v>
      </c>
      <c r="E233" s="13">
        <v>4</v>
      </c>
      <c r="F233" s="16" t="str">
        <f>_xlfn.XLOOKUP(A233,CATÁLOGO!$A$2:$A$846,CATÁLOGO!$E$2:$E$846,"FORA DO CATÁLOGO")</f>
        <v>Descontinuado</v>
      </c>
      <c r="G233" s="14"/>
    </row>
    <row r="234" spans="1:7" x14ac:dyDescent="0.3">
      <c r="A234" s="2" t="s">
        <v>191</v>
      </c>
      <c r="B234" s="19" t="str">
        <f>_xlfn.XLOOKUP(A234,CATÁLOGO!$A$2:$A$846,CATÁLOGO!$B$2:$B$846,"FORA DO CATÁLOGO")</f>
        <v>CMS007LM</v>
      </c>
      <c r="C234" s="13">
        <v>24</v>
      </c>
      <c r="D234" s="13">
        <v>0</v>
      </c>
      <c r="E234" s="13">
        <v>24</v>
      </c>
      <c r="F234" s="16" t="str">
        <f>_xlfn.XLOOKUP(A234,CATÁLOGO!$A$2:$A$846,CATÁLOGO!$E$2:$E$846,"FORA DO CATÁLOGO")</f>
        <v>Descontinuado</v>
      </c>
      <c r="G234" s="14"/>
    </row>
    <row r="235" spans="1:7" x14ac:dyDescent="0.3">
      <c r="A235" s="2" t="s">
        <v>192</v>
      </c>
      <c r="B235" s="19" t="str">
        <f>_xlfn.XLOOKUP(A235,CATÁLOGO!$A$2:$A$846,CATÁLOGO!$B$2:$B$846,"FORA DO CATÁLOGO")</f>
        <v>CMS007LG</v>
      </c>
      <c r="C235" s="13">
        <v>12</v>
      </c>
      <c r="D235" s="13">
        <v>0</v>
      </c>
      <c r="E235" s="13">
        <v>12</v>
      </c>
      <c r="F235" s="16" t="str">
        <f>_xlfn.XLOOKUP(A235,CATÁLOGO!$A$2:$A$846,CATÁLOGO!$E$2:$E$846,"FORA DO CATÁLOGO")</f>
        <v>Descontinuado</v>
      </c>
      <c r="G235" s="14"/>
    </row>
    <row r="236" spans="1:7" x14ac:dyDescent="0.3">
      <c r="A236" s="2" t="s">
        <v>193</v>
      </c>
      <c r="B236" s="19" t="str">
        <f>_xlfn.XLOOKUP(A236,CATÁLOGO!$A$2:$A$846,CATÁLOGO!$B$2:$B$846,"FORA DO CATÁLOGO")</f>
        <v>CMS007LGG</v>
      </c>
      <c r="C236" s="13">
        <v>10</v>
      </c>
      <c r="D236" s="13">
        <v>1</v>
      </c>
      <c r="E236" s="13">
        <v>9</v>
      </c>
      <c r="F236" s="16" t="str">
        <f>_xlfn.XLOOKUP(A236,CATÁLOGO!$A$2:$A$846,CATÁLOGO!$E$2:$E$846,"FORA DO CATÁLOGO")</f>
        <v>Descontinuado</v>
      </c>
      <c r="G236" s="14"/>
    </row>
    <row r="237" spans="1:7" x14ac:dyDescent="0.3">
      <c r="A237" s="2" t="s">
        <v>195</v>
      </c>
      <c r="B237" s="19" t="str">
        <f>_xlfn.XLOOKUP(A237,CATÁLOGO!$A$2:$A$846,CATÁLOGO!$B$2:$B$846,"FORA DO CATÁLOGO")</f>
        <v>CMS007BM</v>
      </c>
      <c r="C237" s="13">
        <v>5</v>
      </c>
      <c r="D237" s="13">
        <v>0</v>
      </c>
      <c r="E237" s="13">
        <v>5</v>
      </c>
      <c r="F237" s="16" t="str">
        <f>_xlfn.XLOOKUP(A237,CATÁLOGO!$A$2:$A$846,CATÁLOGO!$E$2:$E$846,"FORA DO CATÁLOGO")</f>
        <v>Descontinuado</v>
      </c>
      <c r="G237" s="14"/>
    </row>
    <row r="238" spans="1:7" x14ac:dyDescent="0.3">
      <c r="A238" s="2" t="s">
        <v>196</v>
      </c>
      <c r="B238" s="19" t="str">
        <f>_xlfn.XLOOKUP(A238,CATÁLOGO!$A$2:$A$846,CATÁLOGO!$B$2:$B$846,"FORA DO CATÁLOGO")</f>
        <v>CMS007BG</v>
      </c>
      <c r="C238" s="13">
        <v>5</v>
      </c>
      <c r="D238" s="13">
        <v>2</v>
      </c>
      <c r="E238" s="13">
        <v>3</v>
      </c>
      <c r="F238" s="16" t="str">
        <f>_xlfn.XLOOKUP(A238,CATÁLOGO!$A$2:$A$846,CATÁLOGO!$E$2:$E$846,"FORA DO CATÁLOGO")</f>
        <v>Descontinuado</v>
      </c>
      <c r="G238" s="14"/>
    </row>
    <row r="239" spans="1:7" x14ac:dyDescent="0.3">
      <c r="A239" s="2" t="s">
        <v>198</v>
      </c>
      <c r="B239" s="19" t="str">
        <f>_xlfn.XLOOKUP(A239,CATÁLOGO!$A$2:$A$846,CATÁLOGO!$B$2:$B$846,"FORA DO CATÁLOGO")</f>
        <v>CAM012VP</v>
      </c>
      <c r="C239" s="13">
        <v>7</v>
      </c>
      <c r="D239" s="13">
        <v>0</v>
      </c>
      <c r="E239" s="13">
        <v>7</v>
      </c>
      <c r="F239" s="16" t="str">
        <f>_xlfn.XLOOKUP(A239,CATÁLOGO!$A$2:$A$846,CATÁLOGO!$E$2:$E$846,"FORA DO CATÁLOGO")</f>
        <v>Ativo</v>
      </c>
      <c r="G239" s="14"/>
    </row>
    <row r="240" spans="1:7" x14ac:dyDescent="0.3">
      <c r="A240" s="2" t="s">
        <v>199</v>
      </c>
      <c r="B240" s="19" t="str">
        <f>_xlfn.XLOOKUP(A240,CATÁLOGO!$A$2:$A$846,CATÁLOGO!$B$2:$B$846,"FORA DO CATÁLOGO")</f>
        <v>CAM012VM</v>
      </c>
      <c r="C240" s="13">
        <v>10</v>
      </c>
      <c r="D240" s="13">
        <v>0</v>
      </c>
      <c r="E240" s="13">
        <v>10</v>
      </c>
      <c r="F240" s="16" t="str">
        <f>_xlfn.XLOOKUP(A240,CATÁLOGO!$A$2:$A$846,CATÁLOGO!$E$2:$E$846,"FORA DO CATÁLOGO")</f>
        <v>Ativo</v>
      </c>
      <c r="G240" s="14"/>
    </row>
    <row r="241" spans="1:7" x14ac:dyDescent="0.3">
      <c r="A241" s="2" t="s">
        <v>200</v>
      </c>
      <c r="B241" s="19" t="str">
        <f>_xlfn.XLOOKUP(A241,CATÁLOGO!$A$2:$A$846,CATÁLOGO!$B$2:$B$846,"FORA DO CATÁLOGO")</f>
        <v>CAM012VG</v>
      </c>
      <c r="C241" s="13">
        <v>10</v>
      </c>
      <c r="D241" s="13">
        <v>0</v>
      </c>
      <c r="E241" s="13">
        <v>10</v>
      </c>
      <c r="F241" s="16" t="str">
        <f>_xlfn.XLOOKUP(A241,CATÁLOGO!$A$2:$A$846,CATÁLOGO!$E$2:$E$846,"FORA DO CATÁLOGO")</f>
        <v>Ativo</v>
      </c>
      <c r="G241" s="14"/>
    </row>
    <row r="242" spans="1:7" x14ac:dyDescent="0.3">
      <c r="A242" s="2" t="s">
        <v>201</v>
      </c>
      <c r="B242" s="19" t="str">
        <f>_xlfn.XLOOKUP(A242,CATÁLOGO!$A$2:$A$846,CATÁLOGO!$B$2:$B$846,"FORA DO CATÁLOGO")</f>
        <v>CAM012VGG</v>
      </c>
      <c r="C242" s="13">
        <v>5</v>
      </c>
      <c r="D242" s="13">
        <v>0</v>
      </c>
      <c r="E242" s="13">
        <v>5</v>
      </c>
      <c r="F242" s="16" t="str">
        <f>_xlfn.XLOOKUP(A242,CATÁLOGO!$A$2:$A$846,CATÁLOGO!$E$2:$E$846,"FORA DO CATÁLOGO")</f>
        <v>Ativo</v>
      </c>
      <c r="G242" s="14"/>
    </row>
    <row r="243" spans="1:7" x14ac:dyDescent="0.3">
      <c r="A243" s="2" t="s">
        <v>202</v>
      </c>
      <c r="B243" s="19" t="str">
        <f>_xlfn.XLOOKUP(A243,CATÁLOGO!$A$2:$A$846,CATÁLOGO!$B$2:$B$846,"FORA DO CATÁLOGO")</f>
        <v>MOL010YP</v>
      </c>
      <c r="C243" s="13">
        <v>8</v>
      </c>
      <c r="D243" s="13">
        <v>0</v>
      </c>
      <c r="E243" s="13">
        <v>8</v>
      </c>
      <c r="F243" s="16" t="str">
        <f>_xlfn.XLOOKUP(A243,CATÁLOGO!$A$2:$A$846,CATÁLOGO!$E$2:$E$846,"FORA DO CATÁLOGO")</f>
        <v>Ativo</v>
      </c>
      <c r="G243" s="14"/>
    </row>
    <row r="244" spans="1:7" x14ac:dyDescent="0.3">
      <c r="A244" s="2" t="s">
        <v>203</v>
      </c>
      <c r="B244" s="19" t="str">
        <f>_xlfn.XLOOKUP(A244,CATÁLOGO!$A$2:$A$846,CATÁLOGO!$B$2:$B$846,"FORA DO CATÁLOGO")</f>
        <v>MOL010YM</v>
      </c>
      <c r="C244" s="13">
        <v>6</v>
      </c>
      <c r="D244" s="13">
        <v>2</v>
      </c>
      <c r="E244" s="13">
        <v>4</v>
      </c>
      <c r="F244" s="16" t="str">
        <f>_xlfn.XLOOKUP(A244,CATÁLOGO!$A$2:$A$846,CATÁLOGO!$E$2:$E$846,"FORA DO CATÁLOGO")</f>
        <v>Ativo</v>
      </c>
      <c r="G244" s="14"/>
    </row>
    <row r="245" spans="1:7" x14ac:dyDescent="0.3">
      <c r="A245" s="2" t="s">
        <v>204</v>
      </c>
      <c r="B245" s="19" t="str">
        <f>_xlfn.XLOOKUP(A245,CATÁLOGO!$A$2:$A$846,CATÁLOGO!$B$2:$B$846,"FORA DO CATÁLOGO")</f>
        <v>MOL010YG</v>
      </c>
      <c r="C245" s="13">
        <v>12</v>
      </c>
      <c r="D245" s="13">
        <v>0</v>
      </c>
      <c r="E245" s="13">
        <v>12</v>
      </c>
      <c r="F245" s="16" t="str">
        <f>_xlfn.XLOOKUP(A245,CATÁLOGO!$A$2:$A$846,CATÁLOGO!$E$2:$E$846,"FORA DO CATÁLOGO")</f>
        <v>Ativo</v>
      </c>
      <c r="G245" s="14"/>
    </row>
    <row r="246" spans="1:7" x14ac:dyDescent="0.3">
      <c r="A246" s="2" t="s">
        <v>205</v>
      </c>
      <c r="B246" s="19" t="str">
        <f>_xlfn.XLOOKUP(A246,CATÁLOGO!$A$2:$A$846,CATÁLOGO!$B$2:$B$846,"FORA DO CATÁLOGO")</f>
        <v>JAQ004HP</v>
      </c>
      <c r="C246" s="13">
        <v>8</v>
      </c>
      <c r="D246" s="13">
        <v>0</v>
      </c>
      <c r="E246" s="13">
        <v>8</v>
      </c>
      <c r="F246" s="16" t="str">
        <f>_xlfn.XLOOKUP(A246,CATÁLOGO!$A$2:$A$846,CATÁLOGO!$E$2:$E$846,"FORA DO CATÁLOGO")</f>
        <v>Ativo</v>
      </c>
      <c r="G246" s="14"/>
    </row>
    <row r="247" spans="1:7" x14ac:dyDescent="0.3">
      <c r="A247" s="2" t="s">
        <v>207</v>
      </c>
      <c r="B247" s="19" t="str">
        <f>_xlfn.XLOOKUP(A247,CATÁLOGO!$A$2:$A$846,CATÁLOGO!$B$2:$B$846,"FORA DO CATÁLOGO")</f>
        <v>JAQ004HG</v>
      </c>
      <c r="C247" s="13">
        <v>12</v>
      </c>
      <c r="D247" s="13">
        <v>0</v>
      </c>
      <c r="E247" s="13">
        <v>12</v>
      </c>
      <c r="F247" s="16" t="str">
        <f>_xlfn.XLOOKUP(A247,CATÁLOGO!$A$2:$A$846,CATÁLOGO!$E$2:$E$846,"FORA DO CATÁLOGO")</f>
        <v>Ativo</v>
      </c>
      <c r="G247" s="14"/>
    </row>
    <row r="248" spans="1:7" x14ac:dyDescent="0.3">
      <c r="A248" s="2" t="s">
        <v>208</v>
      </c>
      <c r="B248" s="19" t="str">
        <f>_xlfn.XLOOKUP(A248,CATÁLOGO!$A$2:$A$846,CATÁLOGO!$B$2:$B$846,"FORA DO CATÁLOGO")</f>
        <v>JAQ004HGG</v>
      </c>
      <c r="C248" s="13">
        <v>12</v>
      </c>
      <c r="D248" s="13">
        <v>1</v>
      </c>
      <c r="E248" s="13">
        <v>11</v>
      </c>
      <c r="F248" s="16" t="str">
        <f>_xlfn.XLOOKUP(A248,CATÁLOGO!$A$2:$A$846,CATÁLOGO!$E$2:$E$846,"FORA DO CATÁLOGO")</f>
        <v>Ativo</v>
      </c>
      <c r="G248" s="14"/>
    </row>
    <row r="249" spans="1:7" x14ac:dyDescent="0.3">
      <c r="A249" s="2" t="s">
        <v>1588</v>
      </c>
      <c r="B249" s="19" t="str">
        <f>_xlfn.XLOOKUP(A249,CATÁLOGO!$A$2:$A$846,CATÁLOGO!$B$2:$B$846,"FORA DO CATÁLOGO")</f>
        <v>CAL011L36</v>
      </c>
      <c r="C249" s="13">
        <v>5</v>
      </c>
      <c r="D249" s="13">
        <v>0</v>
      </c>
      <c r="E249" s="13">
        <v>5</v>
      </c>
      <c r="F249" s="16" t="str">
        <f>_xlfn.XLOOKUP(A249,CATÁLOGO!$A$2:$A$846,CATÁLOGO!$E$2:$E$846,"FORA DO CATÁLOGO")</f>
        <v>Ativo</v>
      </c>
      <c r="G249" s="14"/>
    </row>
    <row r="250" spans="1:7" x14ac:dyDescent="0.3">
      <c r="A250" s="2" t="s">
        <v>1587</v>
      </c>
      <c r="B250" s="19" t="str">
        <f>_xlfn.XLOOKUP(A250,CATÁLOGO!$A$2:$A$846,CATÁLOGO!$B$2:$B$846,"FORA DO CATÁLOGO")</f>
        <v>CAL011L38</v>
      </c>
      <c r="C250" s="13">
        <v>6</v>
      </c>
      <c r="D250" s="13">
        <v>0</v>
      </c>
      <c r="E250" s="13">
        <v>6</v>
      </c>
      <c r="F250" s="16" t="str">
        <f>_xlfn.XLOOKUP(A250,CATÁLOGO!$A$2:$A$846,CATÁLOGO!$E$2:$E$846,"FORA DO CATÁLOGO")</f>
        <v>Ativo</v>
      </c>
      <c r="G250" s="14"/>
    </row>
    <row r="251" spans="1:7" x14ac:dyDescent="0.3">
      <c r="A251" s="2" t="s">
        <v>1586</v>
      </c>
      <c r="B251" s="19" t="str">
        <f>_xlfn.XLOOKUP(A251,CATÁLOGO!$A$2:$A$846,CATÁLOGO!$B$2:$B$846,"FORA DO CATÁLOGO")</f>
        <v>CAL011L40</v>
      </c>
      <c r="C251" s="13">
        <v>13</v>
      </c>
      <c r="D251" s="13">
        <v>0</v>
      </c>
      <c r="E251" s="13">
        <v>13</v>
      </c>
      <c r="F251" s="16" t="str">
        <f>_xlfn.XLOOKUP(A251,CATÁLOGO!$A$2:$A$846,CATÁLOGO!$E$2:$E$846,"FORA DO CATÁLOGO")</f>
        <v>Ativo</v>
      </c>
      <c r="G251" s="14"/>
    </row>
    <row r="252" spans="1:7" x14ac:dyDescent="0.3">
      <c r="A252" s="2" t="s">
        <v>1583</v>
      </c>
      <c r="B252" s="19" t="str">
        <f>_xlfn.XLOOKUP(A252,CATÁLOGO!$A$2:$A$846,CATÁLOGO!$B$2:$B$846,"FORA DO CATÁLOGO")</f>
        <v>CAL011L42</v>
      </c>
      <c r="C252" s="13">
        <v>12</v>
      </c>
      <c r="D252" s="13">
        <v>0</v>
      </c>
      <c r="E252" s="13">
        <v>12</v>
      </c>
      <c r="F252" s="16" t="str">
        <f>_xlfn.XLOOKUP(A252,CATÁLOGO!$A$2:$A$846,CATÁLOGO!$E$2:$E$846,"FORA DO CATÁLOGO")</f>
        <v>Ativo</v>
      </c>
      <c r="G252" s="14"/>
    </row>
    <row r="253" spans="1:7" x14ac:dyDescent="0.3">
      <c r="A253" s="2" t="s">
        <v>1585</v>
      </c>
      <c r="B253" s="19" t="str">
        <f>_xlfn.XLOOKUP(A253,CATÁLOGO!$A$2:$A$846,CATÁLOGO!$B$2:$B$846,"FORA DO CATÁLOGO")</f>
        <v>CAL011L44</v>
      </c>
      <c r="C253" s="13">
        <v>9</v>
      </c>
      <c r="D253" s="13">
        <v>1</v>
      </c>
      <c r="E253" s="13">
        <v>8</v>
      </c>
      <c r="F253" s="16" t="str">
        <f>_xlfn.XLOOKUP(A253,CATÁLOGO!$A$2:$A$846,CATÁLOGO!$E$2:$E$846,"FORA DO CATÁLOGO")</f>
        <v>Ativo</v>
      </c>
      <c r="G253" s="14"/>
    </row>
    <row r="254" spans="1:7" x14ac:dyDescent="0.3">
      <c r="A254" s="2" t="s">
        <v>209</v>
      </c>
      <c r="B254" s="19" t="str">
        <f>_xlfn.XLOOKUP(A254,CATÁLOGO!$A$2:$A$846,CATÁLOGO!$B$2:$B$846,"FORA DO CATÁLOGO")</f>
        <v>ACE008VU</v>
      </c>
      <c r="C254" s="13">
        <v>19</v>
      </c>
      <c r="D254" s="13">
        <v>0</v>
      </c>
      <c r="E254" s="13">
        <v>19</v>
      </c>
      <c r="F254" s="16" t="str">
        <f>_xlfn.XLOOKUP(A254,CATÁLOGO!$A$2:$A$846,CATÁLOGO!$E$2:$E$846,"FORA DO CATÁLOGO")</f>
        <v>Ativo</v>
      </c>
      <c r="G254" s="14"/>
    </row>
    <row r="255" spans="1:7" x14ac:dyDescent="0.3">
      <c r="A255" s="2" t="s">
        <v>210</v>
      </c>
      <c r="B255" s="19" t="str">
        <f>_xlfn.XLOOKUP(A255,CATÁLOGO!$A$2:$A$846,CATÁLOGO!$B$2:$B$846,"FORA DO CATÁLOGO")</f>
        <v>VES006MP</v>
      </c>
      <c r="C255" s="13">
        <v>10</v>
      </c>
      <c r="D255" s="13">
        <v>0</v>
      </c>
      <c r="E255" s="13">
        <v>10</v>
      </c>
      <c r="F255" s="16" t="str">
        <f>_xlfn.XLOOKUP(A255,CATÁLOGO!$A$2:$A$846,CATÁLOGO!$E$2:$E$846,"FORA DO CATÁLOGO")</f>
        <v>Ativo</v>
      </c>
      <c r="G255" s="14"/>
    </row>
    <row r="256" spans="1:7" x14ac:dyDescent="0.3">
      <c r="A256" s="2" t="s">
        <v>212</v>
      </c>
      <c r="B256" s="19" t="str">
        <f>_xlfn.XLOOKUP(A256,CATÁLOGO!$A$2:$A$846,CATÁLOGO!$B$2:$B$846,"FORA DO CATÁLOGO")</f>
        <v>VES006MG</v>
      </c>
      <c r="C256" s="13">
        <v>11</v>
      </c>
      <c r="D256" s="13">
        <v>0</v>
      </c>
      <c r="E256" s="13">
        <v>11</v>
      </c>
      <c r="F256" s="16" t="str">
        <f>_xlfn.XLOOKUP(A256,CATÁLOGO!$A$2:$A$846,CATÁLOGO!$E$2:$E$846,"FORA DO CATÁLOGO")</f>
        <v>Ativo</v>
      </c>
      <c r="G256" s="14"/>
    </row>
    <row r="257" spans="1:7" x14ac:dyDescent="0.3">
      <c r="A257" s="2" t="s">
        <v>213</v>
      </c>
      <c r="B257" s="19" t="str">
        <f>_xlfn.XLOOKUP(A257,CATÁLOGO!$A$2:$A$846,CATÁLOGO!$B$2:$B$846,"FORA DO CATÁLOGO")</f>
        <v>VES006MGG</v>
      </c>
      <c r="C257" s="13">
        <v>4</v>
      </c>
      <c r="D257" s="13">
        <v>0</v>
      </c>
      <c r="E257" s="13">
        <v>4</v>
      </c>
      <c r="F257" s="16" t="str">
        <f>_xlfn.XLOOKUP(A257,CATÁLOGO!$A$2:$A$846,CATÁLOGO!$E$2:$E$846,"FORA DO CATÁLOGO")</f>
        <v>Ativo</v>
      </c>
      <c r="G257" s="14"/>
    </row>
    <row r="258" spans="1:7" x14ac:dyDescent="0.3">
      <c r="A258" s="2" t="s">
        <v>215</v>
      </c>
      <c r="B258" s="19" t="str">
        <f>_xlfn.XLOOKUP(A258,CATÁLOGO!$A$2:$A$846,CATÁLOGO!$B$2:$B$846,"FORA DO CATÁLOGO")</f>
        <v>VES006HM</v>
      </c>
      <c r="C258" s="13">
        <v>8</v>
      </c>
      <c r="D258" s="13">
        <v>0</v>
      </c>
      <c r="E258" s="13">
        <v>8</v>
      </c>
      <c r="F258" s="16" t="str">
        <f>_xlfn.XLOOKUP(A258,CATÁLOGO!$A$2:$A$846,CATÁLOGO!$E$2:$E$846,"FORA DO CATÁLOGO")</f>
        <v>Ativo</v>
      </c>
      <c r="G258" s="14"/>
    </row>
    <row r="259" spans="1:7" x14ac:dyDescent="0.3">
      <c r="A259" s="2" t="s">
        <v>217</v>
      </c>
      <c r="B259" s="19" t="str">
        <f>_xlfn.XLOOKUP(A259,CATÁLOGO!$A$2:$A$846,CATÁLOGO!$B$2:$B$846,"FORA DO CATÁLOGO")</f>
        <v>VES006HGG</v>
      </c>
      <c r="C259" s="13">
        <v>5</v>
      </c>
      <c r="D259" s="13">
        <v>0</v>
      </c>
      <c r="E259" s="13">
        <v>5</v>
      </c>
      <c r="F259" s="16" t="str">
        <f>_xlfn.XLOOKUP(A259,CATÁLOGO!$A$2:$A$846,CATÁLOGO!$E$2:$E$846,"FORA DO CATÁLOGO")</f>
        <v>Ativo</v>
      </c>
      <c r="G259" s="14"/>
    </row>
    <row r="260" spans="1:7" x14ac:dyDescent="0.3">
      <c r="A260" s="2" t="s">
        <v>218</v>
      </c>
      <c r="B260" s="19" t="str">
        <f>_xlfn.XLOOKUP(A260,CATÁLOGO!$A$2:$A$846,CATÁLOGO!$B$2:$B$846,"FORA DO CATÁLOGO")</f>
        <v>TRI005VP</v>
      </c>
      <c r="C260" s="13">
        <v>7</v>
      </c>
      <c r="D260" s="13">
        <v>2</v>
      </c>
      <c r="E260" s="13">
        <v>5</v>
      </c>
      <c r="F260" s="16" t="str">
        <f>_xlfn.XLOOKUP(A260,CATÁLOGO!$A$2:$A$846,CATÁLOGO!$E$2:$E$846,"FORA DO CATÁLOGO")</f>
        <v>Ativo</v>
      </c>
      <c r="G260" s="14"/>
    </row>
    <row r="261" spans="1:7" x14ac:dyDescent="0.3">
      <c r="A261" s="2" t="s">
        <v>219</v>
      </c>
      <c r="B261" s="19" t="str">
        <f>_xlfn.XLOOKUP(A261,CATÁLOGO!$A$2:$A$846,CATÁLOGO!$B$2:$B$846,"FORA DO CATÁLOGO")</f>
        <v>TRI005VM</v>
      </c>
      <c r="C261" s="13">
        <v>5</v>
      </c>
      <c r="D261" s="13">
        <v>0</v>
      </c>
      <c r="E261" s="13">
        <v>5</v>
      </c>
      <c r="F261" s="16" t="str">
        <f>_xlfn.XLOOKUP(A261,CATÁLOGO!$A$2:$A$846,CATÁLOGO!$E$2:$E$846,"FORA DO CATÁLOGO")</f>
        <v>Ativo</v>
      </c>
      <c r="G261" s="14"/>
    </row>
    <row r="262" spans="1:7" x14ac:dyDescent="0.3">
      <c r="A262" s="2" t="s">
        <v>220</v>
      </c>
      <c r="B262" s="19" t="str">
        <f>_xlfn.XLOOKUP(A262,CATÁLOGO!$A$2:$A$846,CATÁLOGO!$B$2:$B$846,"FORA DO CATÁLOGO")</f>
        <v>TRI005VG</v>
      </c>
      <c r="C262" s="13">
        <v>10</v>
      </c>
      <c r="D262" s="13">
        <v>0</v>
      </c>
      <c r="E262" s="13">
        <v>10</v>
      </c>
      <c r="F262" s="16" t="str">
        <f>_xlfn.XLOOKUP(A262,CATÁLOGO!$A$2:$A$846,CATÁLOGO!$E$2:$E$846,"FORA DO CATÁLOGO")</f>
        <v>Ativo</v>
      </c>
      <c r="G262" s="14"/>
    </row>
    <row r="263" spans="1:7" x14ac:dyDescent="0.3">
      <c r="A263" s="2" t="s">
        <v>221</v>
      </c>
      <c r="B263" s="19" t="str">
        <f>_xlfn.XLOOKUP(A263,CATÁLOGO!$A$2:$A$846,CATÁLOGO!$B$2:$B$846,"FORA DO CATÁLOGO")</f>
        <v>TRI005VGG</v>
      </c>
      <c r="C263" s="13">
        <v>6</v>
      </c>
      <c r="D263" s="13">
        <v>0</v>
      </c>
      <c r="E263" s="13">
        <v>6</v>
      </c>
      <c r="F263" s="16" t="str">
        <f>_xlfn.XLOOKUP(A263,CATÁLOGO!$A$2:$A$846,CATÁLOGO!$E$2:$E$846,"FORA DO CATÁLOGO")</f>
        <v>Ativo</v>
      </c>
      <c r="G263" s="14"/>
    </row>
    <row r="264" spans="1:7" x14ac:dyDescent="0.3">
      <c r="A264" s="2" t="s">
        <v>1742</v>
      </c>
      <c r="B264" s="19" t="str">
        <f>_xlfn.XLOOKUP(A264,CATÁLOGO!$A$2:$A$846,CATÁLOGO!$B$2:$B$846,"FORA DO CATÁLOGO")</f>
        <v>CAM013VPP</v>
      </c>
      <c r="C264" s="13">
        <v>4</v>
      </c>
      <c r="D264" s="13">
        <v>0</v>
      </c>
      <c r="E264" s="13">
        <v>4</v>
      </c>
      <c r="F264" s="16" t="str">
        <f>_xlfn.XLOOKUP(A264,CATÁLOGO!$A$2:$A$846,CATÁLOGO!$E$2:$E$846,"FORA DO CATÁLOGO")</f>
        <v>Ativo</v>
      </c>
      <c r="G264" s="14"/>
    </row>
    <row r="265" spans="1:7" x14ac:dyDescent="0.3">
      <c r="A265" s="2" t="s">
        <v>222</v>
      </c>
      <c r="B265" s="19" t="str">
        <f>_xlfn.XLOOKUP(A265,CATÁLOGO!$A$2:$A$846,CATÁLOGO!$B$2:$B$846,"FORA DO CATÁLOGO")</f>
        <v>CAM013VP</v>
      </c>
      <c r="C265" s="13">
        <v>8</v>
      </c>
      <c r="D265" s="13">
        <v>2</v>
      </c>
      <c r="E265" s="13">
        <v>6</v>
      </c>
      <c r="F265" s="16" t="str">
        <f>_xlfn.XLOOKUP(A265,CATÁLOGO!$A$2:$A$846,CATÁLOGO!$E$2:$E$846,"FORA DO CATÁLOGO")</f>
        <v>Ativo</v>
      </c>
      <c r="G265" s="14"/>
    </row>
    <row r="266" spans="1:7" x14ac:dyDescent="0.3">
      <c r="A266" s="2" t="s">
        <v>223</v>
      </c>
      <c r="B266" s="19" t="str">
        <f>_xlfn.XLOOKUP(A266,CATÁLOGO!$A$2:$A$846,CATÁLOGO!$B$2:$B$846,"FORA DO CATÁLOGO")</f>
        <v>CAM013VM</v>
      </c>
      <c r="C266" s="13">
        <v>7</v>
      </c>
      <c r="D266" s="13">
        <v>0</v>
      </c>
      <c r="E266" s="13">
        <v>7</v>
      </c>
      <c r="F266" s="16" t="str">
        <f>_xlfn.XLOOKUP(A266,CATÁLOGO!$A$2:$A$846,CATÁLOGO!$E$2:$E$846,"FORA DO CATÁLOGO")</f>
        <v>Ativo</v>
      </c>
      <c r="G266" s="14"/>
    </row>
    <row r="267" spans="1:7" x14ac:dyDescent="0.3">
      <c r="A267" s="2" t="s">
        <v>224</v>
      </c>
      <c r="B267" s="19" t="str">
        <f>_xlfn.XLOOKUP(A267,CATÁLOGO!$A$2:$A$846,CATÁLOGO!$B$2:$B$846,"FORA DO CATÁLOGO")</f>
        <v>CAM013VG</v>
      </c>
      <c r="C267" s="13">
        <v>1</v>
      </c>
      <c r="D267" s="13">
        <v>0</v>
      </c>
      <c r="E267" s="13">
        <v>1</v>
      </c>
      <c r="F267" s="16" t="str">
        <f>_xlfn.XLOOKUP(A267,CATÁLOGO!$A$2:$A$846,CATÁLOGO!$E$2:$E$846,"FORA DO CATÁLOGO")</f>
        <v>Ativo</v>
      </c>
      <c r="G267" s="14"/>
    </row>
    <row r="268" spans="1:7" x14ac:dyDescent="0.3">
      <c r="A268" s="2" t="s">
        <v>225</v>
      </c>
      <c r="B268" s="19" t="str">
        <f>_xlfn.XLOOKUP(A268,CATÁLOGO!$A$2:$A$846,CATÁLOGO!$B$2:$B$846,"FORA DO CATÁLOGO")</f>
        <v>CAM013VGG</v>
      </c>
      <c r="C268" s="13">
        <v>11</v>
      </c>
      <c r="D268" s="13">
        <v>0</v>
      </c>
      <c r="E268" s="13">
        <v>11</v>
      </c>
      <c r="F268" s="16" t="str">
        <f>_xlfn.XLOOKUP(A268,CATÁLOGO!$A$2:$A$846,CATÁLOGO!$E$2:$E$846,"FORA DO CATÁLOGO")</f>
        <v>Ativo</v>
      </c>
      <c r="G268" s="14"/>
    </row>
    <row r="269" spans="1:7" x14ac:dyDescent="0.3">
      <c r="A269" s="2" t="s">
        <v>226</v>
      </c>
      <c r="B269" s="19" t="str">
        <f>_xlfn.XLOOKUP(A269,CATÁLOGO!$A$2:$A$846,CATÁLOGO!$B$2:$B$846,"FORA DO CATÁLOGO")</f>
        <v>CAM014LP</v>
      </c>
      <c r="C269" s="13">
        <v>12</v>
      </c>
      <c r="D269" s="13">
        <v>0</v>
      </c>
      <c r="E269" s="13">
        <v>12</v>
      </c>
      <c r="F269" s="16" t="str">
        <f>_xlfn.XLOOKUP(A269,CATÁLOGO!$A$2:$A$846,CATÁLOGO!$E$2:$E$846,"FORA DO CATÁLOGO")</f>
        <v>Descontinuado</v>
      </c>
      <c r="G269" s="14"/>
    </row>
    <row r="270" spans="1:7" x14ac:dyDescent="0.3">
      <c r="A270" s="2" t="s">
        <v>227</v>
      </c>
      <c r="B270" s="19" t="str">
        <f>_xlfn.XLOOKUP(A270,CATÁLOGO!$A$2:$A$846,CATÁLOGO!$B$2:$B$846,"FORA DO CATÁLOGO")</f>
        <v>CAM014LM</v>
      </c>
      <c r="C270" s="13">
        <v>23</v>
      </c>
      <c r="D270" s="13">
        <v>0</v>
      </c>
      <c r="E270" s="13">
        <v>23</v>
      </c>
      <c r="F270" s="16" t="str">
        <f>_xlfn.XLOOKUP(A270,CATÁLOGO!$A$2:$A$846,CATÁLOGO!$E$2:$E$846,"FORA DO CATÁLOGO")</f>
        <v>Descontinuado</v>
      </c>
      <c r="G270" s="14"/>
    </row>
    <row r="271" spans="1:7" x14ac:dyDescent="0.3">
      <c r="A271" s="2" t="s">
        <v>228</v>
      </c>
      <c r="B271" s="19" t="str">
        <f>_xlfn.XLOOKUP(A271,CATÁLOGO!$A$2:$A$846,CATÁLOGO!$B$2:$B$846,"FORA DO CATÁLOGO")</f>
        <v>CAM014LG</v>
      </c>
      <c r="C271" s="13">
        <v>12</v>
      </c>
      <c r="D271" s="13">
        <v>0</v>
      </c>
      <c r="E271" s="13">
        <v>12</v>
      </c>
      <c r="F271" s="16" t="str">
        <f>_xlfn.XLOOKUP(A271,CATÁLOGO!$A$2:$A$846,CATÁLOGO!$E$2:$E$846,"FORA DO CATÁLOGO")</f>
        <v>Descontinuado</v>
      </c>
      <c r="G271" s="14"/>
    </row>
    <row r="272" spans="1:7" x14ac:dyDescent="0.3">
      <c r="A272" s="2" t="s">
        <v>1261</v>
      </c>
      <c r="B272" s="19" t="str">
        <f>_xlfn.XLOOKUP(A272,CATÁLOGO!$A$2:$A$846,CATÁLOGO!$B$2:$B$846,"FORA DO CATÁLOGO")</f>
        <v>CAM014CP</v>
      </c>
      <c r="C272" s="13">
        <v>4</v>
      </c>
      <c r="D272" s="13">
        <v>2</v>
      </c>
      <c r="E272" s="13">
        <v>2</v>
      </c>
      <c r="F272" s="16" t="str">
        <f>_xlfn.XLOOKUP(A272,CATÁLOGO!$A$2:$A$846,CATÁLOGO!$E$2:$E$846,"FORA DO CATÁLOGO")</f>
        <v>Descontinuado</v>
      </c>
      <c r="G272" s="14"/>
    </row>
    <row r="273" spans="1:7" x14ac:dyDescent="0.3">
      <c r="A273" s="2" t="s">
        <v>229</v>
      </c>
      <c r="B273" s="19" t="str">
        <f>_xlfn.XLOOKUP(A273,CATÁLOGO!$A$2:$A$846,CATÁLOGO!$B$2:$B$846,"FORA DO CATÁLOGO")</f>
        <v>CAM014CM</v>
      </c>
      <c r="C273" s="13">
        <v>8</v>
      </c>
      <c r="D273" s="13">
        <v>0</v>
      </c>
      <c r="E273" s="13">
        <v>8</v>
      </c>
      <c r="F273" s="16" t="str">
        <f>_xlfn.XLOOKUP(A273,CATÁLOGO!$A$2:$A$846,CATÁLOGO!$E$2:$E$846,"FORA DO CATÁLOGO")</f>
        <v>Descontinuado</v>
      </c>
      <c r="G273" s="14"/>
    </row>
    <row r="274" spans="1:7" x14ac:dyDescent="0.3">
      <c r="A274" s="2" t="s">
        <v>230</v>
      </c>
      <c r="B274" s="19" t="str">
        <f>_xlfn.XLOOKUP(A274,CATÁLOGO!$A$2:$A$846,CATÁLOGO!$B$2:$B$846,"FORA DO CATÁLOGO")</f>
        <v>CAM014CG</v>
      </c>
      <c r="C274" s="13">
        <v>2</v>
      </c>
      <c r="D274" s="13">
        <v>0</v>
      </c>
      <c r="E274" s="13">
        <v>2</v>
      </c>
      <c r="F274" s="16" t="str">
        <f>_xlfn.XLOOKUP(A274,CATÁLOGO!$A$2:$A$846,CATÁLOGO!$E$2:$E$846,"FORA DO CATÁLOGO")</f>
        <v>Descontinuado</v>
      </c>
      <c r="G274" s="14"/>
    </row>
    <row r="275" spans="1:7" x14ac:dyDescent="0.3">
      <c r="A275" s="2" t="s">
        <v>1864</v>
      </c>
      <c r="B275" s="19" t="str">
        <f>_xlfn.XLOOKUP(A275,CATÁLOGO!$A$2:$A$846,CATÁLOGO!$B$2:$B$846,"FORA DO CATÁLOGO")</f>
        <v>SAI006PPP</v>
      </c>
      <c r="C275" s="13">
        <v>2</v>
      </c>
      <c r="D275" s="13">
        <v>0</v>
      </c>
      <c r="E275" s="13">
        <v>2</v>
      </c>
      <c r="F275" s="16" t="str">
        <f>_xlfn.XLOOKUP(A275,CATÁLOGO!$A$2:$A$846,CATÁLOGO!$E$2:$E$846,"FORA DO CATÁLOGO")</f>
        <v>Ativo</v>
      </c>
      <c r="G275" s="14"/>
    </row>
    <row r="276" spans="1:7" x14ac:dyDescent="0.3">
      <c r="A276" s="2" t="s">
        <v>231</v>
      </c>
      <c r="B276" s="19" t="str">
        <f>_xlfn.XLOOKUP(A276,CATÁLOGO!$A$2:$A$846,CATÁLOGO!$B$2:$B$846,"FORA DO CATÁLOGO")</f>
        <v>SAI006PP</v>
      </c>
      <c r="C276" s="13">
        <v>8</v>
      </c>
      <c r="D276" s="13">
        <v>2</v>
      </c>
      <c r="E276" s="13">
        <v>6</v>
      </c>
      <c r="F276" s="16" t="str">
        <f>_xlfn.XLOOKUP(A276,CATÁLOGO!$A$2:$A$846,CATÁLOGO!$E$2:$E$846,"FORA DO CATÁLOGO")</f>
        <v>Ativo</v>
      </c>
      <c r="G276" s="14"/>
    </row>
    <row r="277" spans="1:7" x14ac:dyDescent="0.3">
      <c r="A277" s="2" t="s">
        <v>232</v>
      </c>
      <c r="B277" s="19" t="str">
        <f>_xlfn.XLOOKUP(A277,CATÁLOGO!$A$2:$A$846,CATÁLOGO!$B$2:$B$846,"FORA DO CATÁLOGO")</f>
        <v>SAI006PM</v>
      </c>
      <c r="C277" s="13">
        <v>15</v>
      </c>
      <c r="D277" s="13">
        <v>0</v>
      </c>
      <c r="E277" s="13">
        <v>15</v>
      </c>
      <c r="F277" s="16" t="str">
        <f>_xlfn.XLOOKUP(A277,CATÁLOGO!$A$2:$A$846,CATÁLOGO!$E$2:$E$846,"FORA DO CATÁLOGO")</f>
        <v>Ativo</v>
      </c>
      <c r="G277" s="14"/>
    </row>
    <row r="278" spans="1:7" x14ac:dyDescent="0.3">
      <c r="A278" s="2" t="s">
        <v>233</v>
      </c>
      <c r="B278" s="19" t="str">
        <f>_xlfn.XLOOKUP(A278,CATÁLOGO!$A$2:$A$846,CATÁLOGO!$B$2:$B$846,"FORA DO CATÁLOGO")</f>
        <v>SAI006PG</v>
      </c>
      <c r="C278" s="13">
        <v>6</v>
      </c>
      <c r="D278" s="13">
        <v>0</v>
      </c>
      <c r="E278" s="13">
        <v>6</v>
      </c>
      <c r="F278" s="16" t="str">
        <f>_xlfn.XLOOKUP(A278,CATÁLOGO!$A$2:$A$846,CATÁLOGO!$E$2:$E$846,"FORA DO CATÁLOGO")</f>
        <v>Ativo</v>
      </c>
      <c r="G278" s="14"/>
    </row>
    <row r="279" spans="1:7" x14ac:dyDescent="0.3">
      <c r="A279" s="2" t="s">
        <v>234</v>
      </c>
      <c r="B279" s="19" t="str">
        <f>_xlfn.XLOOKUP(A279,CATÁLOGO!$A$2:$A$846,CATÁLOGO!$B$2:$B$846,"FORA DO CATÁLOGO")</f>
        <v>SAI006PGG</v>
      </c>
      <c r="C279" s="13">
        <v>15</v>
      </c>
      <c r="D279" s="13">
        <v>2</v>
      </c>
      <c r="E279" s="13">
        <v>13</v>
      </c>
      <c r="F279" s="16" t="str">
        <f>_xlfn.XLOOKUP(A279,CATÁLOGO!$A$2:$A$846,CATÁLOGO!$E$2:$E$846,"FORA DO CATÁLOGO")</f>
        <v>Ativo</v>
      </c>
      <c r="G279" s="14"/>
    </row>
    <row r="280" spans="1:7" x14ac:dyDescent="0.3">
      <c r="A280" s="2" t="s">
        <v>235</v>
      </c>
      <c r="B280" s="19" t="str">
        <f>_xlfn.XLOOKUP(A280,CATÁLOGO!$A$2:$A$846,CATÁLOGO!$B$2:$B$846,"FORA DO CATÁLOGO")</f>
        <v>TRI006GP</v>
      </c>
      <c r="C280" s="13">
        <v>4</v>
      </c>
      <c r="D280" s="13">
        <v>0</v>
      </c>
      <c r="E280" s="13">
        <v>4</v>
      </c>
      <c r="F280" s="16" t="str">
        <f>_xlfn.XLOOKUP(A280,CATÁLOGO!$A$2:$A$846,CATÁLOGO!$E$2:$E$846,"FORA DO CATÁLOGO")</f>
        <v>Descontinuado</v>
      </c>
      <c r="G280" s="14"/>
    </row>
    <row r="281" spans="1:7" x14ac:dyDescent="0.3">
      <c r="A281" s="2" t="s">
        <v>236</v>
      </c>
      <c r="B281" s="19" t="str">
        <f>_xlfn.XLOOKUP(A281,CATÁLOGO!$A$2:$A$846,CATÁLOGO!$B$2:$B$846,"FORA DO CATÁLOGO")</f>
        <v>TRI006GM</v>
      </c>
      <c r="C281" s="13">
        <v>16</v>
      </c>
      <c r="D281" s="13">
        <v>1</v>
      </c>
      <c r="E281" s="13">
        <v>15</v>
      </c>
      <c r="F281" s="16" t="str">
        <f>_xlfn.XLOOKUP(A281,CATÁLOGO!$A$2:$A$846,CATÁLOGO!$E$2:$E$846,"FORA DO CATÁLOGO")</f>
        <v>Descontinuado</v>
      </c>
      <c r="G281" s="14"/>
    </row>
    <row r="282" spans="1:7" x14ac:dyDescent="0.3">
      <c r="A282" s="2" t="s">
        <v>237</v>
      </c>
      <c r="B282" s="19" t="str">
        <f>_xlfn.XLOOKUP(A282,CATÁLOGO!$A$2:$A$846,CATÁLOGO!$B$2:$B$846,"FORA DO CATÁLOGO")</f>
        <v>TRI006GG</v>
      </c>
      <c r="C282" s="13">
        <v>7</v>
      </c>
      <c r="D282" s="13">
        <v>2</v>
      </c>
      <c r="E282" s="13">
        <v>5</v>
      </c>
      <c r="F282" s="16" t="str">
        <f>_xlfn.XLOOKUP(A282,CATÁLOGO!$A$2:$A$846,CATÁLOGO!$E$2:$E$846,"FORA DO CATÁLOGO")</f>
        <v>Descontinuado</v>
      </c>
      <c r="G282" s="14"/>
    </row>
    <row r="283" spans="1:7" x14ac:dyDescent="0.3">
      <c r="A283" s="2" t="s">
        <v>238</v>
      </c>
      <c r="B283" s="19" t="str">
        <f>_xlfn.XLOOKUP(A283,CATÁLOGO!$A$2:$A$846,CATÁLOGO!$B$2:$B$846,"FORA DO CATÁLOGO")</f>
        <v>TRI006GGG</v>
      </c>
      <c r="C283" s="13">
        <v>4</v>
      </c>
      <c r="D283" s="13">
        <v>0</v>
      </c>
      <c r="E283" s="13">
        <v>4</v>
      </c>
      <c r="F283" s="16" t="str">
        <f>_xlfn.XLOOKUP(A283,CATÁLOGO!$A$2:$A$846,CATÁLOGO!$E$2:$E$846,"FORA DO CATÁLOGO")</f>
        <v>Descontinuado</v>
      </c>
      <c r="G283" s="14"/>
    </row>
    <row r="284" spans="1:7" x14ac:dyDescent="0.3">
      <c r="A284" s="2" t="s">
        <v>1593</v>
      </c>
      <c r="B284" s="19" t="str">
        <f>_xlfn.XLOOKUP(A284,CATÁLOGO!$A$2:$A$846,CATÁLOGO!$B$2:$B$846,"FORA DO CATÁLOGO")</f>
        <v>CAL012P38</v>
      </c>
      <c r="C284" s="13">
        <v>2</v>
      </c>
      <c r="D284" s="13">
        <v>0</v>
      </c>
      <c r="E284" s="13">
        <v>2</v>
      </c>
      <c r="F284" s="16" t="str">
        <f>_xlfn.XLOOKUP(A284,CATÁLOGO!$A$2:$A$846,CATÁLOGO!$E$2:$E$846,"FORA DO CATÁLOGO")</f>
        <v>Ativo</v>
      </c>
      <c r="G284" s="14"/>
    </row>
    <row r="285" spans="1:7" x14ac:dyDescent="0.3">
      <c r="A285" s="2" t="s">
        <v>1592</v>
      </c>
      <c r="B285" s="19" t="str">
        <f>_xlfn.XLOOKUP(A285,CATÁLOGO!$A$2:$A$846,CATÁLOGO!$B$2:$B$846,"FORA DO CATÁLOGO")</f>
        <v>CAL012P40</v>
      </c>
      <c r="C285" s="13">
        <v>1</v>
      </c>
      <c r="D285" s="13">
        <v>0</v>
      </c>
      <c r="E285" s="13">
        <v>1</v>
      </c>
      <c r="F285" s="16" t="str">
        <f>_xlfn.XLOOKUP(A285,CATÁLOGO!$A$2:$A$846,CATÁLOGO!$E$2:$E$846,"FORA DO CATÁLOGO")</f>
        <v>Ativo</v>
      </c>
      <c r="G285" s="14"/>
    </row>
    <row r="286" spans="1:7" x14ac:dyDescent="0.3">
      <c r="A286" s="2" t="s">
        <v>1589</v>
      </c>
      <c r="B286" s="19" t="str">
        <f>_xlfn.XLOOKUP(A286,CATÁLOGO!$A$2:$A$846,CATÁLOGO!$B$2:$B$846,"FORA DO CATÁLOGO")</f>
        <v>CAL012P42</v>
      </c>
      <c r="C286" s="13">
        <v>10</v>
      </c>
      <c r="D286" s="13">
        <v>0</v>
      </c>
      <c r="E286" s="13">
        <v>10</v>
      </c>
      <c r="F286" s="16" t="str">
        <f>_xlfn.XLOOKUP(A286,CATÁLOGO!$A$2:$A$846,CATÁLOGO!$E$2:$E$846,"FORA DO CATÁLOGO")</f>
        <v>Ativo</v>
      </c>
      <c r="G286" s="14"/>
    </row>
    <row r="287" spans="1:7" x14ac:dyDescent="0.3">
      <c r="A287" s="2" t="s">
        <v>1591</v>
      </c>
      <c r="B287" s="19" t="str">
        <f>_xlfn.XLOOKUP(A287,CATÁLOGO!$A$2:$A$846,CATÁLOGO!$B$2:$B$846,"FORA DO CATÁLOGO")</f>
        <v>CAL012P44</v>
      </c>
      <c r="C287" s="13">
        <v>3</v>
      </c>
      <c r="D287" s="13">
        <v>1</v>
      </c>
      <c r="E287" s="13">
        <v>2</v>
      </c>
      <c r="F287" s="16" t="str">
        <f>_xlfn.XLOOKUP(A287,CATÁLOGO!$A$2:$A$846,CATÁLOGO!$E$2:$E$846,"FORA DO CATÁLOGO")</f>
        <v>Ativo</v>
      </c>
      <c r="G287" s="14"/>
    </row>
    <row r="288" spans="1:7" x14ac:dyDescent="0.3">
      <c r="A288" s="2" t="s">
        <v>1910</v>
      </c>
      <c r="B288" s="19" t="str">
        <f>_xlfn.XLOOKUP(A288,CATÁLOGO!$A$2:$A$846,CATÁLOGO!$B$2:$B$846,"FORA DO CATÁLOGO")</f>
        <v>TRI007LPP</v>
      </c>
      <c r="C288" s="13">
        <v>3</v>
      </c>
      <c r="D288" s="13">
        <v>0</v>
      </c>
      <c r="E288" s="13">
        <v>3</v>
      </c>
      <c r="F288" s="16" t="str">
        <f>_xlfn.XLOOKUP(A288,CATÁLOGO!$A$2:$A$846,CATÁLOGO!$E$2:$E$846,"FORA DO CATÁLOGO")</f>
        <v>Ativo</v>
      </c>
      <c r="G288" s="14"/>
    </row>
    <row r="289" spans="1:7" x14ac:dyDescent="0.3">
      <c r="A289" s="2" t="s">
        <v>239</v>
      </c>
      <c r="B289" s="19" t="str">
        <f>_xlfn.XLOOKUP(A289,CATÁLOGO!$A$2:$A$846,CATÁLOGO!$B$2:$B$846,"FORA DO CATÁLOGO")</f>
        <v>TRI007LP</v>
      </c>
      <c r="C289" s="13">
        <v>4</v>
      </c>
      <c r="D289" s="13">
        <v>0</v>
      </c>
      <c r="E289" s="13">
        <v>4</v>
      </c>
      <c r="F289" s="16" t="str">
        <f>_xlfn.XLOOKUP(A289,CATÁLOGO!$A$2:$A$846,CATÁLOGO!$E$2:$E$846,"FORA DO CATÁLOGO")</f>
        <v>Ativo</v>
      </c>
      <c r="G289" s="14"/>
    </row>
    <row r="290" spans="1:7" x14ac:dyDescent="0.3">
      <c r="A290" s="2" t="s">
        <v>240</v>
      </c>
      <c r="B290" s="19" t="str">
        <f>_xlfn.XLOOKUP(A290,CATÁLOGO!$A$2:$A$846,CATÁLOGO!$B$2:$B$846,"FORA DO CATÁLOGO")</f>
        <v>TRI007LM</v>
      </c>
      <c r="C290" s="13">
        <v>3</v>
      </c>
      <c r="D290" s="13">
        <v>1</v>
      </c>
      <c r="E290" s="13">
        <v>2</v>
      </c>
      <c r="F290" s="16" t="str">
        <f>_xlfn.XLOOKUP(A290,CATÁLOGO!$A$2:$A$846,CATÁLOGO!$E$2:$E$846,"FORA DO CATÁLOGO")</f>
        <v>Ativo</v>
      </c>
      <c r="G290" s="14"/>
    </row>
    <row r="291" spans="1:7" x14ac:dyDescent="0.3">
      <c r="A291" s="2" t="s">
        <v>241</v>
      </c>
      <c r="B291" s="19" t="str">
        <f>_xlfn.XLOOKUP(A291,CATÁLOGO!$A$2:$A$846,CATÁLOGO!$B$2:$B$846,"FORA DO CATÁLOGO")</f>
        <v>TRI007LG</v>
      </c>
      <c r="C291" s="13">
        <v>6</v>
      </c>
      <c r="D291" s="13">
        <v>0</v>
      </c>
      <c r="E291" s="13">
        <v>6</v>
      </c>
      <c r="F291" s="16" t="str">
        <f>_xlfn.XLOOKUP(A291,CATÁLOGO!$A$2:$A$846,CATÁLOGO!$E$2:$E$846,"FORA DO CATÁLOGO")</f>
        <v>Ativo</v>
      </c>
      <c r="G291" s="14"/>
    </row>
    <row r="292" spans="1:7" x14ac:dyDescent="0.3">
      <c r="A292" s="2" t="s">
        <v>242</v>
      </c>
      <c r="B292" s="19" t="str">
        <f>_xlfn.XLOOKUP(A292,CATÁLOGO!$A$2:$A$846,CATÁLOGO!$B$2:$B$846,"FORA DO CATÁLOGO")</f>
        <v>TRI007LGG</v>
      </c>
      <c r="C292" s="13">
        <v>2</v>
      </c>
      <c r="D292" s="13">
        <v>0</v>
      </c>
      <c r="E292" s="13">
        <v>2</v>
      </c>
      <c r="F292" s="16" t="str">
        <f>_xlfn.XLOOKUP(A292,CATÁLOGO!$A$2:$A$846,CATÁLOGO!$E$2:$E$846,"FORA DO CATÁLOGO")</f>
        <v>Ativo</v>
      </c>
      <c r="G292" s="14"/>
    </row>
    <row r="293" spans="1:7" x14ac:dyDescent="0.3">
      <c r="A293" s="2" t="s">
        <v>1482</v>
      </c>
      <c r="B293" s="19" t="str">
        <f>_xlfn.XLOOKUP(A293,CATÁLOGO!$A$2:$A$846,CATÁLOGO!$B$2:$B$846,"FORA DO CATÁLOGO")</f>
        <v>BER006L36</v>
      </c>
      <c r="C293" s="13">
        <v>6</v>
      </c>
      <c r="D293" s="13">
        <v>0</v>
      </c>
      <c r="E293" s="13">
        <v>6</v>
      </c>
      <c r="F293" s="16" t="str">
        <f>_xlfn.XLOOKUP(A293,CATÁLOGO!$A$2:$A$846,CATÁLOGO!$E$2:$E$846,"FORA DO CATÁLOGO")</f>
        <v>Ativo</v>
      </c>
      <c r="G293" s="14"/>
    </row>
    <row r="294" spans="1:7" x14ac:dyDescent="0.3">
      <c r="A294" s="2" t="s">
        <v>1481</v>
      </c>
      <c r="B294" s="19" t="str">
        <f>_xlfn.XLOOKUP(A294,CATÁLOGO!$A$2:$A$846,CATÁLOGO!$B$2:$B$846,"FORA DO CATÁLOGO")</f>
        <v>BER006L38</v>
      </c>
      <c r="C294" s="13">
        <v>10</v>
      </c>
      <c r="D294" s="13">
        <v>0</v>
      </c>
      <c r="E294" s="13">
        <v>10</v>
      </c>
      <c r="F294" s="16" t="str">
        <f>_xlfn.XLOOKUP(A294,CATÁLOGO!$A$2:$A$846,CATÁLOGO!$E$2:$E$846,"FORA DO CATÁLOGO")</f>
        <v>Ativo</v>
      </c>
      <c r="G294" s="14"/>
    </row>
    <row r="295" spans="1:7" x14ac:dyDescent="0.3">
      <c r="A295" s="2" t="s">
        <v>1480</v>
      </c>
      <c r="B295" s="19" t="str">
        <f>_xlfn.XLOOKUP(A295,CATÁLOGO!$A$2:$A$846,CATÁLOGO!$B$2:$B$846,"FORA DO CATÁLOGO")</f>
        <v>BER006L40</v>
      </c>
      <c r="C295" s="13">
        <v>14</v>
      </c>
      <c r="D295" s="13">
        <v>1</v>
      </c>
      <c r="E295" s="13">
        <v>13</v>
      </c>
      <c r="F295" s="16" t="str">
        <f>_xlfn.XLOOKUP(A295,CATÁLOGO!$A$2:$A$846,CATÁLOGO!$E$2:$E$846,"FORA DO CATÁLOGO")</f>
        <v>Ativo</v>
      </c>
      <c r="G295" s="14"/>
    </row>
    <row r="296" spans="1:7" x14ac:dyDescent="0.3">
      <c r="A296" s="2" t="s">
        <v>1477</v>
      </c>
      <c r="B296" s="19" t="str">
        <f>_xlfn.XLOOKUP(A296,CATÁLOGO!$A$2:$A$846,CATÁLOGO!$B$2:$B$846,"FORA DO CATÁLOGO")</f>
        <v>BER006L42</v>
      </c>
      <c r="C296" s="13">
        <v>6</v>
      </c>
      <c r="D296" s="13">
        <v>2</v>
      </c>
      <c r="E296" s="13">
        <v>4</v>
      </c>
      <c r="F296" s="16" t="str">
        <f>_xlfn.XLOOKUP(A296,CATÁLOGO!$A$2:$A$846,CATÁLOGO!$E$2:$E$846,"FORA DO CATÁLOGO")</f>
        <v>Ativo</v>
      </c>
      <c r="G296" s="14"/>
    </row>
    <row r="297" spans="1:7" x14ac:dyDescent="0.3">
      <c r="A297" s="2" t="s">
        <v>1479</v>
      </c>
      <c r="B297" s="19" t="str">
        <f>_xlfn.XLOOKUP(A297,CATÁLOGO!$A$2:$A$846,CATÁLOGO!$B$2:$B$846,"FORA DO CATÁLOGO")</f>
        <v>BER006L44</v>
      </c>
      <c r="C297" s="13">
        <v>8</v>
      </c>
      <c r="D297" s="13">
        <v>0</v>
      </c>
      <c r="E297" s="13">
        <v>8</v>
      </c>
      <c r="F297" s="16" t="str">
        <f>_xlfn.XLOOKUP(A297,CATÁLOGO!$A$2:$A$846,CATÁLOGO!$E$2:$E$846,"FORA DO CATÁLOGO")</f>
        <v>Ativo</v>
      </c>
      <c r="G297" s="14"/>
    </row>
    <row r="298" spans="1:7" x14ac:dyDescent="0.3">
      <c r="A298" s="2" t="s">
        <v>243</v>
      </c>
      <c r="B298" s="19" t="str">
        <f>_xlfn.XLOOKUP(A298,CATÁLOGO!$A$2:$A$846,CATÁLOGO!$B$2:$B$846,"FORA DO CATÁLOGO")</f>
        <v>VES007VP</v>
      </c>
      <c r="C298" s="13">
        <v>5</v>
      </c>
      <c r="D298" s="13">
        <v>0</v>
      </c>
      <c r="E298" s="13">
        <v>5</v>
      </c>
      <c r="F298" s="16" t="str">
        <f>_xlfn.XLOOKUP(A298,CATÁLOGO!$A$2:$A$846,CATÁLOGO!$E$2:$E$846,"FORA DO CATÁLOGO")</f>
        <v>Ativo</v>
      </c>
      <c r="G298" s="14"/>
    </row>
    <row r="299" spans="1:7" x14ac:dyDescent="0.3">
      <c r="A299" s="2" t="s">
        <v>244</v>
      </c>
      <c r="B299" s="19" t="str">
        <f>_xlfn.XLOOKUP(A299,CATÁLOGO!$A$2:$A$846,CATÁLOGO!$B$2:$B$846,"FORA DO CATÁLOGO")</f>
        <v>VES007VM</v>
      </c>
      <c r="C299" s="13">
        <v>5</v>
      </c>
      <c r="D299" s="13">
        <v>0</v>
      </c>
      <c r="E299" s="13">
        <v>5</v>
      </c>
      <c r="F299" s="16" t="str">
        <f>_xlfn.XLOOKUP(A299,CATÁLOGO!$A$2:$A$846,CATÁLOGO!$E$2:$E$846,"FORA DO CATÁLOGO")</f>
        <v>Ativo</v>
      </c>
      <c r="G299" s="14"/>
    </row>
    <row r="300" spans="1:7" x14ac:dyDescent="0.3">
      <c r="A300" s="2" t="s">
        <v>245</v>
      </c>
      <c r="B300" s="19" t="str">
        <f>_xlfn.XLOOKUP(A300,CATÁLOGO!$A$2:$A$846,CATÁLOGO!$B$2:$B$846,"FORA DO CATÁLOGO")</f>
        <v>VES007VG</v>
      </c>
      <c r="C300" s="13">
        <v>8</v>
      </c>
      <c r="D300" s="13">
        <v>0</v>
      </c>
      <c r="E300" s="13">
        <v>8</v>
      </c>
      <c r="F300" s="16" t="str">
        <f>_xlfn.XLOOKUP(A300,CATÁLOGO!$A$2:$A$846,CATÁLOGO!$E$2:$E$846,"FORA DO CATÁLOGO")</f>
        <v>Ativo</v>
      </c>
      <c r="G300" s="14"/>
    </row>
    <row r="301" spans="1:7" x14ac:dyDescent="0.3">
      <c r="A301" s="2" t="s">
        <v>246</v>
      </c>
      <c r="B301" s="19" t="str">
        <f>_xlfn.XLOOKUP(A301,CATÁLOGO!$A$2:$A$846,CATÁLOGO!$B$2:$B$846,"FORA DO CATÁLOGO")</f>
        <v>VES007VGG</v>
      </c>
      <c r="C301" s="13">
        <v>3</v>
      </c>
      <c r="D301" s="13">
        <v>0</v>
      </c>
      <c r="E301" s="13">
        <v>3</v>
      </c>
      <c r="F301" s="16" t="str">
        <f>_xlfn.XLOOKUP(A301,CATÁLOGO!$A$2:$A$846,CATÁLOGO!$E$2:$E$846,"FORA DO CATÁLOGO")</f>
        <v>Ativo</v>
      </c>
      <c r="G301" s="14"/>
    </row>
    <row r="302" spans="1:7" x14ac:dyDescent="0.3">
      <c r="A302" s="2" t="s">
        <v>247</v>
      </c>
      <c r="B302" s="19" t="str">
        <f>_xlfn.XLOOKUP(A302,CATÁLOGO!$A$2:$A$846,CATÁLOGO!$B$2:$B$846,"FORA DO CATÁLOGO")</f>
        <v>TRI008LP</v>
      </c>
      <c r="C302" s="13">
        <v>4</v>
      </c>
      <c r="D302" s="13">
        <v>0</v>
      </c>
      <c r="E302" s="13">
        <v>4</v>
      </c>
      <c r="F302" s="16" t="str">
        <f>_xlfn.XLOOKUP(A302,CATÁLOGO!$A$2:$A$846,CATÁLOGO!$E$2:$E$846,"FORA DO CATÁLOGO")</f>
        <v>Ativo</v>
      </c>
      <c r="G302" s="14"/>
    </row>
    <row r="303" spans="1:7" x14ac:dyDescent="0.3">
      <c r="A303" s="2" t="s">
        <v>248</v>
      </c>
      <c r="B303" s="19" t="str">
        <f>_xlfn.XLOOKUP(A303,CATÁLOGO!$A$2:$A$846,CATÁLOGO!$B$2:$B$846,"FORA DO CATÁLOGO")</f>
        <v>TRI008LM</v>
      </c>
      <c r="C303" s="13">
        <v>4</v>
      </c>
      <c r="D303" s="13">
        <v>0</v>
      </c>
      <c r="E303" s="13">
        <v>4</v>
      </c>
      <c r="F303" s="16" t="str">
        <f>_xlfn.XLOOKUP(A303,CATÁLOGO!$A$2:$A$846,CATÁLOGO!$E$2:$E$846,"FORA DO CATÁLOGO")</f>
        <v>Ativo</v>
      </c>
      <c r="G303" s="14"/>
    </row>
    <row r="304" spans="1:7" x14ac:dyDescent="0.3">
      <c r="A304" s="2" t="s">
        <v>249</v>
      </c>
      <c r="B304" s="19" t="str">
        <f>_xlfn.XLOOKUP(A304,CATÁLOGO!$A$2:$A$846,CATÁLOGO!$B$2:$B$846,"FORA DO CATÁLOGO")</f>
        <v>TRI008LG</v>
      </c>
      <c r="C304" s="13">
        <v>17</v>
      </c>
      <c r="D304" s="13">
        <v>0</v>
      </c>
      <c r="E304" s="13">
        <v>17</v>
      </c>
      <c r="F304" s="16" t="str">
        <f>_xlfn.XLOOKUP(A304,CATÁLOGO!$A$2:$A$846,CATÁLOGO!$E$2:$E$846,"FORA DO CATÁLOGO")</f>
        <v>Ativo</v>
      </c>
      <c r="G304" s="14"/>
    </row>
    <row r="305" spans="1:7" x14ac:dyDescent="0.3">
      <c r="A305" s="2" t="s">
        <v>1607</v>
      </c>
      <c r="B305" s="19" t="str">
        <f>_xlfn.XLOOKUP(A305,CATÁLOGO!$A$2:$A$846,CATÁLOGO!$B$2:$B$846,"FORA DO CATÁLOGO")</f>
        <v>CAL014A36</v>
      </c>
      <c r="C305" s="13">
        <v>10</v>
      </c>
      <c r="D305" s="13">
        <v>0</v>
      </c>
      <c r="E305" s="13">
        <v>10</v>
      </c>
      <c r="F305" s="16" t="str">
        <f>_xlfn.XLOOKUP(A305,CATÁLOGO!$A$2:$A$846,CATÁLOGO!$E$2:$E$846,"FORA DO CATÁLOGO")</f>
        <v>Descontinuado</v>
      </c>
      <c r="G305" s="14"/>
    </row>
    <row r="306" spans="1:7" x14ac:dyDescent="0.3">
      <c r="A306" s="2" t="s">
        <v>1604</v>
      </c>
      <c r="B306" s="19" t="str">
        <f>_xlfn.XLOOKUP(A306,CATÁLOGO!$A$2:$A$846,CATÁLOGO!$B$2:$B$846,"FORA DO CATÁLOGO")</f>
        <v>CAL014A38</v>
      </c>
      <c r="C306" s="13">
        <v>12</v>
      </c>
      <c r="D306" s="13">
        <v>0</v>
      </c>
      <c r="E306" s="13">
        <v>12</v>
      </c>
      <c r="F306" s="16" t="str">
        <f>_xlfn.XLOOKUP(A306,CATÁLOGO!$A$2:$A$846,CATÁLOGO!$E$2:$E$846,"FORA DO CATÁLOGO")</f>
        <v>Descontinuado</v>
      </c>
      <c r="G306" s="14"/>
    </row>
    <row r="307" spans="1:7" x14ac:dyDescent="0.3">
      <c r="A307" s="2" t="s">
        <v>1603</v>
      </c>
      <c r="B307" s="19" t="str">
        <f>_xlfn.XLOOKUP(A307,CATÁLOGO!$A$2:$A$846,CATÁLOGO!$B$2:$B$846,"FORA DO CATÁLOGO")</f>
        <v>CAL014A40</v>
      </c>
      <c r="C307" s="13">
        <v>11</v>
      </c>
      <c r="D307" s="13">
        <v>2</v>
      </c>
      <c r="E307" s="13">
        <v>9</v>
      </c>
      <c r="F307" s="16" t="str">
        <f>_xlfn.XLOOKUP(A307,CATÁLOGO!$A$2:$A$846,CATÁLOGO!$E$2:$E$846,"FORA DO CATÁLOGO")</f>
        <v>Descontinuado</v>
      </c>
      <c r="G307" s="14"/>
    </row>
    <row r="308" spans="1:7" x14ac:dyDescent="0.3">
      <c r="A308" s="2" t="s">
        <v>1605</v>
      </c>
      <c r="B308" s="19" t="str">
        <f>_xlfn.XLOOKUP(A308,CATÁLOGO!$A$2:$A$846,CATÁLOGO!$B$2:$B$846,"FORA DO CATÁLOGO")</f>
        <v>CAL014A46</v>
      </c>
      <c r="C308" s="13">
        <v>1</v>
      </c>
      <c r="D308" s="13">
        <v>0</v>
      </c>
      <c r="E308" s="13">
        <v>1</v>
      </c>
      <c r="F308" s="16" t="str">
        <f>_xlfn.XLOOKUP(A308,CATÁLOGO!$A$2:$A$846,CATÁLOGO!$E$2:$E$846,"FORA DO CATÁLOGO")</f>
        <v>Descontinuado</v>
      </c>
      <c r="G308" s="14"/>
    </row>
    <row r="309" spans="1:7" x14ac:dyDescent="0.3">
      <c r="A309" s="2" t="s">
        <v>253</v>
      </c>
      <c r="B309" s="19" t="str">
        <f>_xlfn.XLOOKUP(A309,CATÁLOGO!$A$2:$A$846,CATÁLOGO!$B$2:$B$846,"FORA DO CATÁLOGO")</f>
        <v>CAM015CM</v>
      </c>
      <c r="C309" s="13">
        <v>7</v>
      </c>
      <c r="D309" s="13">
        <v>0</v>
      </c>
      <c r="E309" s="13">
        <v>7</v>
      </c>
      <c r="F309" s="16" t="str">
        <f>_xlfn.XLOOKUP(A309,CATÁLOGO!$A$2:$A$846,CATÁLOGO!$E$2:$E$846,"FORA DO CATÁLOGO")</f>
        <v>Descontinuado</v>
      </c>
      <c r="G309" s="14"/>
    </row>
    <row r="310" spans="1:7" x14ac:dyDescent="0.3">
      <c r="A310" s="2" t="s">
        <v>1287</v>
      </c>
      <c r="B310" s="19" t="str">
        <f>_xlfn.XLOOKUP(A310,CATÁLOGO!$A$2:$A$846,CATÁLOGO!$B$2:$B$846,"FORA DO CATÁLOGO")</f>
        <v>CAM015CG</v>
      </c>
      <c r="C310" s="13">
        <v>7</v>
      </c>
      <c r="D310" s="13">
        <v>0</v>
      </c>
      <c r="E310" s="13">
        <v>7</v>
      </c>
      <c r="F310" s="16" t="str">
        <f>_xlfn.XLOOKUP(A310,CATÁLOGO!$A$2:$A$846,CATÁLOGO!$E$2:$E$846,"FORA DO CATÁLOGO")</f>
        <v>Descontinuado</v>
      </c>
      <c r="G310" s="14"/>
    </row>
    <row r="311" spans="1:7" x14ac:dyDescent="0.3">
      <c r="A311" s="2" t="s">
        <v>257</v>
      </c>
      <c r="B311" s="19" t="str">
        <f>_xlfn.XLOOKUP(A311,CATÁLOGO!$A$2:$A$846,CATÁLOGO!$B$2:$B$846,"FORA DO CATÁLOGO")</f>
        <v>TRI009YP</v>
      </c>
      <c r="C311" s="13">
        <v>7</v>
      </c>
      <c r="D311" s="13">
        <v>2</v>
      </c>
      <c r="E311" s="13">
        <v>5</v>
      </c>
      <c r="F311" s="16" t="str">
        <f>_xlfn.XLOOKUP(A311,CATÁLOGO!$A$2:$A$846,CATÁLOGO!$E$2:$E$846,"FORA DO CATÁLOGO")</f>
        <v>Ativo</v>
      </c>
      <c r="G311" s="14"/>
    </row>
    <row r="312" spans="1:7" x14ac:dyDescent="0.3">
      <c r="A312" s="2" t="s">
        <v>258</v>
      </c>
      <c r="B312" s="19" t="str">
        <f>_xlfn.XLOOKUP(A312,CATÁLOGO!$A$2:$A$846,CATÁLOGO!$B$2:$B$846,"FORA DO CATÁLOGO")</f>
        <v>TRI009YM</v>
      </c>
      <c r="C312" s="13">
        <v>5</v>
      </c>
      <c r="D312" s="13">
        <v>2</v>
      </c>
      <c r="E312" s="13">
        <v>3</v>
      </c>
      <c r="F312" s="16" t="str">
        <f>_xlfn.XLOOKUP(A312,CATÁLOGO!$A$2:$A$846,CATÁLOGO!$E$2:$E$846,"FORA DO CATÁLOGO")</f>
        <v>Ativo</v>
      </c>
      <c r="G312" s="14"/>
    </row>
    <row r="313" spans="1:7" x14ac:dyDescent="0.3">
      <c r="A313" s="2" t="s">
        <v>259</v>
      </c>
      <c r="B313" s="19" t="str">
        <f>_xlfn.XLOOKUP(A313,CATÁLOGO!$A$2:$A$846,CATÁLOGO!$B$2:$B$846,"FORA DO CATÁLOGO")</f>
        <v>TRI009YG</v>
      </c>
      <c r="C313" s="13">
        <v>4</v>
      </c>
      <c r="D313" s="13">
        <v>0</v>
      </c>
      <c r="E313" s="13">
        <v>4</v>
      </c>
      <c r="F313" s="16" t="str">
        <f>_xlfn.XLOOKUP(A313,CATÁLOGO!$A$2:$A$846,CATÁLOGO!$E$2:$E$846,"FORA DO CATÁLOGO")</f>
        <v>Ativo</v>
      </c>
      <c r="G313" s="14"/>
    </row>
    <row r="314" spans="1:7" x14ac:dyDescent="0.3">
      <c r="A314" s="2" t="s">
        <v>260</v>
      </c>
      <c r="B314" s="19" t="str">
        <f>_xlfn.XLOOKUP(A314,CATÁLOGO!$A$2:$A$846,CATÁLOGO!$B$2:$B$846,"FORA DO CATÁLOGO")</f>
        <v>TRI009YGG</v>
      </c>
      <c r="C314" s="13">
        <v>8</v>
      </c>
      <c r="D314" s="13">
        <v>1</v>
      </c>
      <c r="E314" s="13">
        <v>7</v>
      </c>
      <c r="F314" s="16" t="str">
        <f>_xlfn.XLOOKUP(A314,CATÁLOGO!$A$2:$A$846,CATÁLOGO!$E$2:$E$846,"FORA DO CATÁLOGO")</f>
        <v>Ativo</v>
      </c>
      <c r="G314" s="14"/>
    </row>
    <row r="315" spans="1:7" x14ac:dyDescent="0.3">
      <c r="A315" s="2" t="s">
        <v>1845</v>
      </c>
      <c r="B315" s="19" t="str">
        <f>_xlfn.XLOOKUP(A315,CATÁLOGO!$A$2:$A$846,CATÁLOGO!$B$2:$B$846,"FORA DO CATÁLOGO")</f>
        <v>MOL012OPP</v>
      </c>
      <c r="C315" s="13">
        <v>15</v>
      </c>
      <c r="D315" s="13">
        <v>0</v>
      </c>
      <c r="E315" s="13">
        <v>15</v>
      </c>
      <c r="F315" s="16" t="str">
        <f>_xlfn.XLOOKUP(A315,CATÁLOGO!$A$2:$A$846,CATÁLOGO!$E$2:$E$846,"FORA DO CATÁLOGO")</f>
        <v>Ativo</v>
      </c>
      <c r="G315" s="14"/>
    </row>
    <row r="316" spans="1:7" x14ac:dyDescent="0.3">
      <c r="A316" s="2" t="s">
        <v>261</v>
      </c>
      <c r="B316" s="19" t="str">
        <f>_xlfn.XLOOKUP(A316,CATÁLOGO!$A$2:$A$846,CATÁLOGO!$B$2:$B$846,"FORA DO CATÁLOGO")</f>
        <v>MOL012OP</v>
      </c>
      <c r="C316" s="13">
        <v>13</v>
      </c>
      <c r="D316" s="13">
        <v>0</v>
      </c>
      <c r="E316" s="13">
        <v>13</v>
      </c>
      <c r="F316" s="16" t="str">
        <f>_xlfn.XLOOKUP(A316,CATÁLOGO!$A$2:$A$846,CATÁLOGO!$E$2:$E$846,"FORA DO CATÁLOGO")</f>
        <v>Ativo</v>
      </c>
      <c r="G316" s="14"/>
    </row>
    <row r="317" spans="1:7" x14ac:dyDescent="0.3">
      <c r="A317" s="2" t="s">
        <v>262</v>
      </c>
      <c r="B317" s="19" t="str">
        <f>_xlfn.XLOOKUP(A317,CATÁLOGO!$A$2:$A$846,CATÁLOGO!$B$2:$B$846,"FORA DO CATÁLOGO")</f>
        <v>MOL012OM</v>
      </c>
      <c r="C317" s="13">
        <v>15</v>
      </c>
      <c r="D317" s="13">
        <v>2</v>
      </c>
      <c r="E317" s="13">
        <v>13</v>
      </c>
      <c r="F317" s="16" t="str">
        <f>_xlfn.XLOOKUP(A317,CATÁLOGO!$A$2:$A$846,CATÁLOGO!$E$2:$E$846,"FORA DO CATÁLOGO")</f>
        <v>Ativo</v>
      </c>
      <c r="G317" s="14"/>
    </row>
    <row r="318" spans="1:7" x14ac:dyDescent="0.3">
      <c r="A318" s="2" t="s">
        <v>263</v>
      </c>
      <c r="B318" s="19" t="str">
        <f>_xlfn.XLOOKUP(A318,CATÁLOGO!$A$2:$A$846,CATÁLOGO!$B$2:$B$846,"FORA DO CATÁLOGO")</f>
        <v>MOL012OG</v>
      </c>
      <c r="C318" s="13">
        <v>7</v>
      </c>
      <c r="D318" s="13">
        <v>2</v>
      </c>
      <c r="E318" s="13">
        <v>5</v>
      </c>
      <c r="F318" s="16" t="str">
        <f>_xlfn.XLOOKUP(A318,CATÁLOGO!$A$2:$A$846,CATÁLOGO!$E$2:$E$846,"FORA DO CATÁLOGO")</f>
        <v>Ativo</v>
      </c>
      <c r="G318" s="14"/>
    </row>
    <row r="319" spans="1:7" x14ac:dyDescent="0.3">
      <c r="A319" s="2" t="s">
        <v>1613</v>
      </c>
      <c r="B319" s="19" t="str">
        <f>_xlfn.XLOOKUP(A319,CATÁLOGO!$A$2:$A$846,CATÁLOGO!$B$2:$B$846,"FORA DO CATÁLOGO")</f>
        <v>CAL015G36</v>
      </c>
      <c r="C319" s="13">
        <v>3</v>
      </c>
      <c r="D319" s="13">
        <v>0</v>
      </c>
      <c r="E319" s="13">
        <v>3</v>
      </c>
      <c r="F319" s="16" t="str">
        <f>_xlfn.XLOOKUP(A319,CATÁLOGO!$A$2:$A$846,CATÁLOGO!$E$2:$E$846,"FORA DO CATÁLOGO")</f>
        <v>Descontinuado</v>
      </c>
      <c r="G319" s="14"/>
    </row>
    <row r="320" spans="1:7" x14ac:dyDescent="0.3">
      <c r="A320" s="2" t="s">
        <v>1612</v>
      </c>
      <c r="B320" s="19" t="str">
        <f>_xlfn.XLOOKUP(A320,CATÁLOGO!$A$2:$A$846,CATÁLOGO!$B$2:$B$846,"FORA DO CATÁLOGO")</f>
        <v>CAL015G38</v>
      </c>
      <c r="C320" s="13">
        <v>12</v>
      </c>
      <c r="D320" s="13">
        <v>0</v>
      </c>
      <c r="E320" s="13">
        <v>12</v>
      </c>
      <c r="F320" s="16" t="str">
        <f>_xlfn.XLOOKUP(A320,CATÁLOGO!$A$2:$A$846,CATÁLOGO!$E$2:$E$846,"FORA DO CATÁLOGO")</f>
        <v>Descontinuado</v>
      </c>
      <c r="G320" s="14"/>
    </row>
    <row r="321" spans="1:7" x14ac:dyDescent="0.3">
      <c r="A321" s="2" t="s">
        <v>1611</v>
      </c>
      <c r="B321" s="19" t="str">
        <f>_xlfn.XLOOKUP(A321,CATÁLOGO!$A$2:$A$846,CATÁLOGO!$B$2:$B$846,"FORA DO CATÁLOGO")</f>
        <v>CAL015G40</v>
      </c>
      <c r="C321" s="13">
        <v>8</v>
      </c>
      <c r="D321" s="13">
        <v>0</v>
      </c>
      <c r="E321" s="13">
        <v>8</v>
      </c>
      <c r="F321" s="16" t="str">
        <f>_xlfn.XLOOKUP(A321,CATÁLOGO!$A$2:$A$846,CATÁLOGO!$E$2:$E$846,"FORA DO CATÁLOGO")</f>
        <v>Descontinuado</v>
      </c>
      <c r="G321" s="14"/>
    </row>
    <row r="322" spans="1:7" x14ac:dyDescent="0.3">
      <c r="A322" s="2" t="s">
        <v>1610</v>
      </c>
      <c r="B322" s="19" t="str">
        <f>_xlfn.XLOOKUP(A322,CATÁLOGO!$A$2:$A$846,CATÁLOGO!$B$2:$B$846,"FORA DO CATÁLOGO")</f>
        <v>CAL015G44</v>
      </c>
      <c r="C322" s="13">
        <v>5</v>
      </c>
      <c r="D322" s="13">
        <v>0</v>
      </c>
      <c r="E322" s="13">
        <v>5</v>
      </c>
      <c r="F322" s="16" t="str">
        <f>_xlfn.XLOOKUP(A322,CATÁLOGO!$A$2:$A$846,CATÁLOGO!$E$2:$E$846,"FORA DO CATÁLOGO")</f>
        <v>Descontinuado</v>
      </c>
      <c r="G322" s="14"/>
    </row>
    <row r="323" spans="1:7" x14ac:dyDescent="0.3">
      <c r="A323" s="2" t="s">
        <v>1618</v>
      </c>
      <c r="B323" s="19" t="str">
        <f>_xlfn.XLOOKUP(A323,CATÁLOGO!$A$2:$A$846,CATÁLOGO!$B$2:$B$846,"FORA DO CATÁLOGO")</f>
        <v>CAL016V38</v>
      </c>
      <c r="C323" s="13">
        <v>9</v>
      </c>
      <c r="D323" s="13">
        <v>0</v>
      </c>
      <c r="E323" s="13">
        <v>9</v>
      </c>
      <c r="F323" s="16" t="str">
        <f>_xlfn.XLOOKUP(A323,CATÁLOGO!$A$2:$A$846,CATÁLOGO!$E$2:$E$846,"FORA DO CATÁLOGO")</f>
        <v>Descontinuado</v>
      </c>
      <c r="G323" s="14"/>
    </row>
    <row r="324" spans="1:7" x14ac:dyDescent="0.3">
      <c r="A324" s="2" t="s">
        <v>1617</v>
      </c>
      <c r="B324" s="19" t="str">
        <f>_xlfn.XLOOKUP(A324,CATÁLOGO!$A$2:$A$846,CATÁLOGO!$B$2:$B$846,"FORA DO CATÁLOGO")</f>
        <v>CAL016V40</v>
      </c>
      <c r="C324" s="13">
        <v>8</v>
      </c>
      <c r="D324" s="13">
        <v>0</v>
      </c>
      <c r="E324" s="13">
        <v>8</v>
      </c>
      <c r="F324" s="16" t="str">
        <f>_xlfn.XLOOKUP(A324,CATÁLOGO!$A$2:$A$846,CATÁLOGO!$E$2:$E$846,"FORA DO CATÁLOGO")</f>
        <v>Descontinuado</v>
      </c>
      <c r="G324" s="14"/>
    </row>
    <row r="325" spans="1:7" x14ac:dyDescent="0.3">
      <c r="A325" s="2" t="s">
        <v>1614</v>
      </c>
      <c r="B325" s="19" t="str">
        <f>_xlfn.XLOOKUP(A325,CATÁLOGO!$A$2:$A$846,CATÁLOGO!$B$2:$B$846,"FORA DO CATÁLOGO")</f>
        <v>CAL016V42</v>
      </c>
      <c r="C325" s="13">
        <v>5</v>
      </c>
      <c r="D325" s="13">
        <v>0</v>
      </c>
      <c r="E325" s="13">
        <v>5</v>
      </c>
      <c r="F325" s="16" t="str">
        <f>_xlfn.XLOOKUP(A325,CATÁLOGO!$A$2:$A$846,CATÁLOGO!$E$2:$E$846,"FORA DO CATÁLOGO")</f>
        <v>Descontinuado</v>
      </c>
      <c r="G325" s="14"/>
    </row>
    <row r="326" spans="1:7" x14ac:dyDescent="0.3">
      <c r="A326" s="2" t="s">
        <v>1616</v>
      </c>
      <c r="B326" s="19" t="str">
        <f>_xlfn.XLOOKUP(A326,CATÁLOGO!$A$2:$A$846,CATÁLOGO!$B$2:$B$846,"FORA DO CATÁLOGO")</f>
        <v>CAL016V44</v>
      </c>
      <c r="C326" s="13">
        <v>10</v>
      </c>
      <c r="D326" s="13">
        <v>0</v>
      </c>
      <c r="E326" s="13">
        <v>10</v>
      </c>
      <c r="F326" s="16" t="str">
        <f>_xlfn.XLOOKUP(A326,CATÁLOGO!$A$2:$A$846,CATÁLOGO!$E$2:$E$846,"FORA DO CATÁLOGO")</f>
        <v>Descontinuado</v>
      </c>
      <c r="G326" s="14"/>
    </row>
    <row r="327" spans="1:7" x14ac:dyDescent="0.3">
      <c r="A327" s="2" t="s">
        <v>1625</v>
      </c>
      <c r="B327" s="19" t="str">
        <f>_xlfn.XLOOKUP(A327,CATÁLOGO!$A$2:$A$846,CATÁLOGO!$B$2:$B$846,"FORA DO CATÁLOGO")</f>
        <v>CAL017H38</v>
      </c>
      <c r="C327" s="13">
        <v>12</v>
      </c>
      <c r="D327" s="13">
        <v>0</v>
      </c>
      <c r="E327" s="13">
        <v>12</v>
      </c>
      <c r="F327" s="16" t="str">
        <f>_xlfn.XLOOKUP(A327,CATÁLOGO!$A$2:$A$846,CATÁLOGO!$E$2:$E$846,"FORA DO CATÁLOGO")</f>
        <v>Descontinuado</v>
      </c>
      <c r="G327" s="14"/>
    </row>
    <row r="328" spans="1:7" x14ac:dyDescent="0.3">
      <c r="A328" s="2" t="s">
        <v>1624</v>
      </c>
      <c r="B328" s="19" t="str">
        <f>_xlfn.XLOOKUP(A328,CATÁLOGO!$A$2:$A$846,CATÁLOGO!$B$2:$B$846,"FORA DO CATÁLOGO")</f>
        <v>CAL017H40</v>
      </c>
      <c r="C328" s="13">
        <v>12</v>
      </c>
      <c r="D328" s="13">
        <v>0</v>
      </c>
      <c r="E328" s="13">
        <v>12</v>
      </c>
      <c r="F328" s="16" t="str">
        <f>_xlfn.XLOOKUP(A328,CATÁLOGO!$A$2:$A$846,CATÁLOGO!$E$2:$E$846,"FORA DO CATÁLOGO")</f>
        <v>Descontinuado</v>
      </c>
      <c r="G328" s="14"/>
    </row>
    <row r="329" spans="1:7" x14ac:dyDescent="0.3">
      <c r="A329" s="2" t="s">
        <v>1620</v>
      </c>
      <c r="B329" s="19" t="str">
        <f>_xlfn.XLOOKUP(A329,CATÁLOGO!$A$2:$A$846,CATÁLOGO!$B$2:$B$846,"FORA DO CATÁLOGO")</f>
        <v>CAL017H42</v>
      </c>
      <c r="C329" s="13">
        <v>1</v>
      </c>
      <c r="D329" s="13">
        <v>1</v>
      </c>
      <c r="E329" s="13">
        <v>0</v>
      </c>
      <c r="F329" s="16" t="str">
        <f>_xlfn.XLOOKUP(A329,CATÁLOGO!$A$2:$A$846,CATÁLOGO!$E$2:$E$846,"FORA DO CATÁLOGO")</f>
        <v>Descontinuado</v>
      </c>
      <c r="G329" s="14"/>
    </row>
    <row r="330" spans="1:7" x14ac:dyDescent="0.3">
      <c r="A330" s="2" t="s">
        <v>1622</v>
      </c>
      <c r="B330" s="19" t="str">
        <f>_xlfn.XLOOKUP(A330,CATÁLOGO!$A$2:$A$846,CATÁLOGO!$B$2:$B$846,"FORA DO CATÁLOGO")</f>
        <v>CAL017H44</v>
      </c>
      <c r="C330" s="13">
        <v>6</v>
      </c>
      <c r="D330" s="13">
        <v>0</v>
      </c>
      <c r="E330" s="13">
        <v>6</v>
      </c>
      <c r="F330" s="16" t="str">
        <f>_xlfn.XLOOKUP(A330,CATÁLOGO!$A$2:$A$846,CATÁLOGO!$E$2:$E$846,"FORA DO CATÁLOGO")</f>
        <v>Descontinuado</v>
      </c>
      <c r="G330" s="14"/>
    </row>
    <row r="331" spans="1:7" x14ac:dyDescent="0.3">
      <c r="A331" s="2" t="s">
        <v>269</v>
      </c>
      <c r="B331" s="19" t="str">
        <f>_xlfn.XLOOKUP(A331,CATÁLOGO!$A$2:$A$846,CATÁLOGO!$B$2:$B$846,"FORA DO CATÁLOGO")</f>
        <v>TRI011GM</v>
      </c>
      <c r="C331" s="13">
        <v>7</v>
      </c>
      <c r="D331" s="13">
        <v>0</v>
      </c>
      <c r="E331" s="13">
        <v>7</v>
      </c>
      <c r="F331" s="16" t="str">
        <f>_xlfn.XLOOKUP(A331,CATÁLOGO!$A$2:$A$846,CATÁLOGO!$E$2:$E$846,"FORA DO CATÁLOGO")</f>
        <v>Ativo</v>
      </c>
      <c r="G331" s="14"/>
    </row>
    <row r="332" spans="1:7" x14ac:dyDescent="0.3">
      <c r="A332" s="2" t="s">
        <v>270</v>
      </c>
      <c r="B332" s="19" t="str">
        <f>_xlfn.XLOOKUP(A332,CATÁLOGO!$A$2:$A$846,CATÁLOGO!$B$2:$B$846,"FORA DO CATÁLOGO")</f>
        <v>TRI011GG</v>
      </c>
      <c r="C332" s="13">
        <v>5</v>
      </c>
      <c r="D332" s="13">
        <v>0</v>
      </c>
      <c r="E332" s="13">
        <v>5</v>
      </c>
      <c r="F332" s="16" t="str">
        <f>_xlfn.XLOOKUP(A332,CATÁLOGO!$A$2:$A$846,CATÁLOGO!$E$2:$E$846,"FORA DO CATÁLOGO")</f>
        <v>Ativo</v>
      </c>
      <c r="G332" s="14"/>
    </row>
    <row r="333" spans="1:7" x14ac:dyDescent="0.3">
      <c r="A333" s="2" t="s">
        <v>1631</v>
      </c>
      <c r="B333" s="19" t="str">
        <f>_xlfn.XLOOKUP(A333,CATÁLOGO!$A$2:$A$846,CATÁLOGO!$B$2:$B$846,"FORA DO CATÁLOGO")</f>
        <v>CAL018G36</v>
      </c>
      <c r="C333" s="13">
        <v>4</v>
      </c>
      <c r="D333" s="13">
        <v>2</v>
      </c>
      <c r="E333" s="13">
        <v>2</v>
      </c>
      <c r="F333" s="16" t="str">
        <f>_xlfn.XLOOKUP(A333,CATÁLOGO!$A$2:$A$846,CATÁLOGO!$E$2:$E$846,"FORA DO CATÁLOGO")</f>
        <v>Ativo</v>
      </c>
      <c r="G333" s="14"/>
    </row>
    <row r="334" spans="1:7" x14ac:dyDescent="0.3">
      <c r="A334" s="2" t="s">
        <v>1630</v>
      </c>
      <c r="B334" s="19" t="str">
        <f>_xlfn.XLOOKUP(A334,CATÁLOGO!$A$2:$A$846,CATÁLOGO!$B$2:$B$846,"FORA DO CATÁLOGO")</f>
        <v>CAL018G38</v>
      </c>
      <c r="C334" s="13">
        <v>8</v>
      </c>
      <c r="D334" s="13">
        <v>1</v>
      </c>
      <c r="E334" s="13">
        <v>7</v>
      </c>
      <c r="F334" s="16" t="str">
        <f>_xlfn.XLOOKUP(A334,CATÁLOGO!$A$2:$A$846,CATÁLOGO!$E$2:$E$846,"FORA DO CATÁLOGO")</f>
        <v>Ativo</v>
      </c>
      <c r="G334" s="14"/>
    </row>
    <row r="335" spans="1:7" x14ac:dyDescent="0.3">
      <c r="A335" s="2" t="s">
        <v>1629</v>
      </c>
      <c r="B335" s="19" t="str">
        <f>_xlfn.XLOOKUP(A335,CATÁLOGO!$A$2:$A$846,CATÁLOGO!$B$2:$B$846,"FORA DO CATÁLOGO")</f>
        <v>CAL018G40</v>
      </c>
      <c r="C335" s="13">
        <v>11</v>
      </c>
      <c r="D335" s="13">
        <v>0</v>
      </c>
      <c r="E335" s="13">
        <v>11</v>
      </c>
      <c r="F335" s="16" t="str">
        <f>_xlfn.XLOOKUP(A335,CATÁLOGO!$A$2:$A$846,CATÁLOGO!$E$2:$E$846,"FORA DO CATÁLOGO")</f>
        <v>Ativo</v>
      </c>
      <c r="G335" s="14"/>
    </row>
    <row r="336" spans="1:7" x14ac:dyDescent="0.3">
      <c r="A336" s="2" t="s">
        <v>1626</v>
      </c>
      <c r="B336" s="19" t="str">
        <f>_xlfn.XLOOKUP(A336,CATÁLOGO!$A$2:$A$846,CATÁLOGO!$B$2:$B$846,"FORA DO CATÁLOGO")</f>
        <v>CAL018G42</v>
      </c>
      <c r="C336" s="13">
        <v>4</v>
      </c>
      <c r="D336" s="13">
        <v>0</v>
      </c>
      <c r="E336" s="13">
        <v>4</v>
      </c>
      <c r="F336" s="16" t="str">
        <f>_xlfn.XLOOKUP(A336,CATÁLOGO!$A$2:$A$846,CATÁLOGO!$E$2:$E$846,"FORA DO CATÁLOGO")</f>
        <v>Ativo</v>
      </c>
      <c r="G336" s="14"/>
    </row>
    <row r="337" spans="1:7" x14ac:dyDescent="0.3">
      <c r="A337" s="2" t="s">
        <v>1628</v>
      </c>
      <c r="B337" s="19" t="str">
        <f>_xlfn.XLOOKUP(A337,CATÁLOGO!$A$2:$A$846,CATÁLOGO!$B$2:$B$846,"FORA DO CATÁLOGO")</f>
        <v>CAL018G44</v>
      </c>
      <c r="C337" s="13">
        <v>4</v>
      </c>
      <c r="D337" s="13">
        <v>0</v>
      </c>
      <c r="E337" s="13">
        <v>4</v>
      </c>
      <c r="F337" s="16" t="str">
        <f>_xlfn.XLOOKUP(A337,CATÁLOGO!$A$2:$A$846,CATÁLOGO!$E$2:$E$846,"FORA DO CATÁLOGO")</f>
        <v>Ativo</v>
      </c>
      <c r="G337" s="14"/>
    </row>
    <row r="338" spans="1:7" x14ac:dyDescent="0.3">
      <c r="A338" s="2" t="s">
        <v>271</v>
      </c>
      <c r="B338" s="19" t="str">
        <f>_xlfn.XLOOKUP(A338,CATÁLOGO!$A$2:$A$846,CATÁLOGO!$B$2:$B$846,"FORA DO CATÁLOGO")</f>
        <v>TOP011CP</v>
      </c>
      <c r="C338" s="13">
        <v>1</v>
      </c>
      <c r="D338" s="13">
        <v>0</v>
      </c>
      <c r="E338" s="13">
        <v>1</v>
      </c>
      <c r="F338" s="16" t="str">
        <f>_xlfn.XLOOKUP(A338,CATÁLOGO!$A$2:$A$846,CATÁLOGO!$E$2:$E$846,"FORA DO CATÁLOGO")</f>
        <v>Descontinuado</v>
      </c>
      <c r="G338" s="14"/>
    </row>
    <row r="339" spans="1:7" x14ac:dyDescent="0.3">
      <c r="A339" s="2" t="s">
        <v>272</v>
      </c>
      <c r="B339" s="19" t="str">
        <f>_xlfn.XLOOKUP(A339,CATÁLOGO!$A$2:$A$846,CATÁLOGO!$B$2:$B$846,"FORA DO CATÁLOGO")</f>
        <v>TOP011CM</v>
      </c>
      <c r="C339" s="13">
        <v>6</v>
      </c>
      <c r="D339" s="13">
        <v>0</v>
      </c>
      <c r="E339" s="13">
        <v>6</v>
      </c>
      <c r="F339" s="16" t="str">
        <f>_xlfn.XLOOKUP(A339,CATÁLOGO!$A$2:$A$846,CATÁLOGO!$E$2:$E$846,"FORA DO CATÁLOGO")</f>
        <v>Descontinuado</v>
      </c>
      <c r="G339" s="14"/>
    </row>
    <row r="340" spans="1:7" x14ac:dyDescent="0.3">
      <c r="A340" s="2" t="s">
        <v>275</v>
      </c>
      <c r="B340" s="19" t="str">
        <f>_xlfn.XLOOKUP(A340,CATÁLOGO!$A$2:$A$846,CATÁLOGO!$B$2:$B$846,"FORA DO CATÁLOGO")</f>
        <v>JAQ005YP</v>
      </c>
      <c r="C340" s="13">
        <v>9</v>
      </c>
      <c r="D340" s="13">
        <v>0</v>
      </c>
      <c r="E340" s="13">
        <v>9</v>
      </c>
      <c r="F340" s="16" t="str">
        <f>_xlfn.XLOOKUP(A340,CATÁLOGO!$A$2:$A$846,CATÁLOGO!$E$2:$E$846,"FORA DO CATÁLOGO")</f>
        <v>Ativo</v>
      </c>
      <c r="G340" s="14"/>
    </row>
    <row r="341" spans="1:7" x14ac:dyDescent="0.3">
      <c r="A341" s="2" t="s">
        <v>276</v>
      </c>
      <c r="B341" s="19" t="str">
        <f>_xlfn.XLOOKUP(A341,CATÁLOGO!$A$2:$A$846,CATÁLOGO!$B$2:$B$846,"FORA DO CATÁLOGO")</f>
        <v>JAQ005YM</v>
      </c>
      <c r="C341" s="13">
        <v>14</v>
      </c>
      <c r="D341" s="13">
        <v>0</v>
      </c>
      <c r="E341" s="13">
        <v>14</v>
      </c>
      <c r="F341" s="16" t="str">
        <f>_xlfn.XLOOKUP(A341,CATÁLOGO!$A$2:$A$846,CATÁLOGO!$E$2:$E$846,"FORA DO CATÁLOGO")</f>
        <v>Ativo</v>
      </c>
      <c r="G341" s="14"/>
    </row>
    <row r="342" spans="1:7" x14ac:dyDescent="0.3">
      <c r="A342" s="2" t="s">
        <v>277</v>
      </c>
      <c r="B342" s="19" t="str">
        <f>_xlfn.XLOOKUP(A342,CATÁLOGO!$A$2:$A$846,CATÁLOGO!$B$2:$B$846,"FORA DO CATÁLOGO")</f>
        <v>JAQ005YG</v>
      </c>
      <c r="C342" s="13">
        <v>4</v>
      </c>
      <c r="D342" s="13">
        <v>0</v>
      </c>
      <c r="E342" s="13">
        <v>4</v>
      </c>
      <c r="F342" s="16" t="str">
        <f>_xlfn.XLOOKUP(A342,CATÁLOGO!$A$2:$A$846,CATÁLOGO!$E$2:$E$846,"FORA DO CATÁLOGO")</f>
        <v>Ativo</v>
      </c>
      <c r="G342" s="14"/>
    </row>
    <row r="343" spans="1:7" x14ac:dyDescent="0.3">
      <c r="A343" s="2" t="s">
        <v>278</v>
      </c>
      <c r="B343" s="19" t="str">
        <f>_xlfn.XLOOKUP(A343,CATÁLOGO!$A$2:$A$846,CATÁLOGO!$B$2:$B$846,"FORA DO CATÁLOGO")</f>
        <v>JAQ005YGG</v>
      </c>
      <c r="C343" s="13">
        <v>6</v>
      </c>
      <c r="D343" s="13">
        <v>0</v>
      </c>
      <c r="E343" s="13">
        <v>6</v>
      </c>
      <c r="F343" s="16" t="str">
        <f>_xlfn.XLOOKUP(A343,CATÁLOGO!$A$2:$A$846,CATÁLOGO!$E$2:$E$846,"FORA DO CATÁLOGO")</f>
        <v>Ativo</v>
      </c>
      <c r="G343" s="14"/>
    </row>
    <row r="344" spans="1:7" x14ac:dyDescent="0.3">
      <c r="A344" s="2" t="s">
        <v>1646</v>
      </c>
      <c r="B344" s="19" t="str">
        <f>_xlfn.XLOOKUP(A344,CATÁLOGO!$A$2:$A$846,CATÁLOGO!$B$2:$B$846,"FORA DO CATÁLOGO")</f>
        <v>CAL020Y36</v>
      </c>
      <c r="C344" s="13">
        <v>3</v>
      </c>
      <c r="D344" s="13">
        <v>2</v>
      </c>
      <c r="E344" s="13">
        <v>1</v>
      </c>
      <c r="F344" s="16" t="str">
        <f>_xlfn.XLOOKUP(A344,CATÁLOGO!$A$2:$A$846,CATÁLOGO!$E$2:$E$846,"FORA DO CATÁLOGO")</f>
        <v>Ativo</v>
      </c>
      <c r="G344" s="14"/>
    </row>
    <row r="345" spans="1:7" x14ac:dyDescent="0.3">
      <c r="A345" s="2" t="s">
        <v>1645</v>
      </c>
      <c r="B345" s="19" t="str">
        <f>_xlfn.XLOOKUP(A345,CATÁLOGO!$A$2:$A$846,CATÁLOGO!$B$2:$B$846,"FORA DO CATÁLOGO")</f>
        <v>CAL020Y38</v>
      </c>
      <c r="C345" s="13">
        <v>20</v>
      </c>
      <c r="D345" s="13">
        <v>2</v>
      </c>
      <c r="E345" s="13">
        <v>18</v>
      </c>
      <c r="F345" s="16" t="str">
        <f>_xlfn.XLOOKUP(A345,CATÁLOGO!$A$2:$A$846,CATÁLOGO!$E$2:$E$846,"FORA DO CATÁLOGO")</f>
        <v>Ativo</v>
      </c>
      <c r="G345" s="14"/>
    </row>
    <row r="346" spans="1:7" x14ac:dyDescent="0.3">
      <c r="A346" s="2" t="s">
        <v>1643</v>
      </c>
      <c r="B346" s="19" t="str">
        <f>_xlfn.XLOOKUP(A346,CATÁLOGO!$A$2:$A$846,CATÁLOGO!$B$2:$B$846,"FORA DO CATÁLOGO")</f>
        <v>CAL020Y40</v>
      </c>
      <c r="C346" s="13">
        <v>2</v>
      </c>
      <c r="D346" s="13">
        <v>0</v>
      </c>
      <c r="E346" s="13">
        <v>2</v>
      </c>
      <c r="F346" s="16" t="str">
        <f>_xlfn.XLOOKUP(A346,CATÁLOGO!$A$2:$A$846,CATÁLOGO!$E$2:$E$846,"FORA DO CATÁLOGO")</f>
        <v>Ativo</v>
      </c>
      <c r="G346" s="14"/>
    </row>
    <row r="347" spans="1:7" x14ac:dyDescent="0.3">
      <c r="A347" s="2" t="s">
        <v>1640</v>
      </c>
      <c r="B347" s="19" t="str">
        <f>_xlfn.XLOOKUP(A347,CATÁLOGO!$A$2:$A$846,CATÁLOGO!$B$2:$B$846,"FORA DO CATÁLOGO")</f>
        <v>CAL020Y42</v>
      </c>
      <c r="C347" s="13">
        <v>6</v>
      </c>
      <c r="D347" s="13">
        <v>0</v>
      </c>
      <c r="E347" s="13">
        <v>6</v>
      </c>
      <c r="F347" s="16" t="str">
        <f>_xlfn.XLOOKUP(A347,CATÁLOGO!$A$2:$A$846,CATÁLOGO!$E$2:$E$846,"FORA DO CATÁLOGO")</f>
        <v>Ativo</v>
      </c>
      <c r="G347" s="14"/>
    </row>
    <row r="348" spans="1:7" x14ac:dyDescent="0.3">
      <c r="A348" s="2" t="s">
        <v>1642</v>
      </c>
      <c r="B348" s="19" t="str">
        <f>_xlfn.XLOOKUP(A348,CATÁLOGO!$A$2:$A$846,CATÁLOGO!$B$2:$B$846,"FORA DO CATÁLOGO")</f>
        <v>CAL020Y44</v>
      </c>
      <c r="C348" s="13">
        <v>9</v>
      </c>
      <c r="D348" s="13">
        <v>0</v>
      </c>
      <c r="E348" s="13">
        <v>9</v>
      </c>
      <c r="F348" s="16" t="str">
        <f>_xlfn.XLOOKUP(A348,CATÁLOGO!$A$2:$A$846,CATÁLOGO!$E$2:$E$846,"FORA DO CATÁLOGO")</f>
        <v>Ativo</v>
      </c>
      <c r="G348" s="14"/>
    </row>
    <row r="349" spans="1:7" x14ac:dyDescent="0.3">
      <c r="A349" s="2" t="s">
        <v>279</v>
      </c>
      <c r="B349" s="19" t="str">
        <f>_xlfn.XLOOKUP(A349,CATÁLOGO!$A$2:$A$846,CATÁLOGO!$B$2:$B$846,"FORA DO CATÁLOGO")</f>
        <v>CAM016GP</v>
      </c>
      <c r="C349" s="13">
        <v>4</v>
      </c>
      <c r="D349" s="13">
        <v>0</v>
      </c>
      <c r="E349" s="13">
        <v>4</v>
      </c>
      <c r="F349" s="16" t="str">
        <f>_xlfn.XLOOKUP(A349,CATÁLOGO!$A$2:$A$846,CATÁLOGO!$E$2:$E$846,"FORA DO CATÁLOGO")</f>
        <v>Ativo</v>
      </c>
      <c r="G349" s="14"/>
    </row>
    <row r="350" spans="1:7" x14ac:dyDescent="0.3">
      <c r="A350" s="2" t="s">
        <v>280</v>
      </c>
      <c r="B350" s="19" t="str">
        <f>_xlfn.XLOOKUP(A350,CATÁLOGO!$A$2:$A$846,CATÁLOGO!$B$2:$B$846,"FORA DO CATÁLOGO")</f>
        <v>CAM016GM</v>
      </c>
      <c r="C350" s="13">
        <v>1</v>
      </c>
      <c r="D350" s="13">
        <v>0</v>
      </c>
      <c r="E350" s="13">
        <v>1</v>
      </c>
      <c r="F350" s="16" t="str">
        <f>_xlfn.XLOOKUP(A350,CATÁLOGO!$A$2:$A$846,CATÁLOGO!$E$2:$E$846,"FORA DO CATÁLOGO")</f>
        <v>Ativo</v>
      </c>
      <c r="G350" s="14"/>
    </row>
    <row r="351" spans="1:7" x14ac:dyDescent="0.3">
      <c r="A351" s="2" t="s">
        <v>281</v>
      </c>
      <c r="B351" s="19" t="str">
        <f>_xlfn.XLOOKUP(A351,CATÁLOGO!$A$2:$A$846,CATÁLOGO!$B$2:$B$846,"FORA DO CATÁLOGO")</f>
        <v>CAM016GG</v>
      </c>
      <c r="C351" s="13">
        <v>1</v>
      </c>
      <c r="D351" s="13">
        <v>0</v>
      </c>
      <c r="E351" s="13">
        <v>1</v>
      </c>
      <c r="F351" s="16" t="str">
        <f>_xlfn.XLOOKUP(A351,CATÁLOGO!$A$2:$A$846,CATÁLOGO!$E$2:$E$846,"FORA DO CATÁLOGO")</f>
        <v>Ativo</v>
      </c>
      <c r="G351" s="14"/>
    </row>
    <row r="352" spans="1:7" x14ac:dyDescent="0.3">
      <c r="A352" s="2" t="s">
        <v>289</v>
      </c>
      <c r="B352" s="19" t="str">
        <f>_xlfn.XLOOKUP(A352,CATÁLOGO!$A$2:$A$846,CATÁLOGO!$B$2:$B$846,"FORA DO CATÁLOGO")</f>
        <v>TOP012VP</v>
      </c>
      <c r="C352" s="13">
        <v>13</v>
      </c>
      <c r="D352" s="13">
        <v>0</v>
      </c>
      <c r="E352" s="13">
        <v>13</v>
      </c>
      <c r="F352" s="16" t="str">
        <f>_xlfn.XLOOKUP(A352,CATÁLOGO!$A$2:$A$846,CATÁLOGO!$E$2:$E$846,"FORA DO CATÁLOGO")</f>
        <v>Ativo</v>
      </c>
      <c r="G352" s="14"/>
    </row>
    <row r="353" spans="1:7" x14ac:dyDescent="0.3">
      <c r="A353" s="2" t="s">
        <v>1263</v>
      </c>
      <c r="B353" s="19" t="str">
        <f>_xlfn.XLOOKUP(A353,CATÁLOGO!$A$2:$A$846,CATÁLOGO!$B$2:$B$846,"FORA DO CATÁLOGO")</f>
        <v>TOP012VM</v>
      </c>
      <c r="C353" s="13">
        <v>24</v>
      </c>
      <c r="D353" s="13">
        <v>2</v>
      </c>
      <c r="E353" s="13">
        <v>22</v>
      </c>
      <c r="F353" s="16" t="str">
        <f>_xlfn.XLOOKUP(A353,CATÁLOGO!$A$2:$A$846,CATÁLOGO!$E$2:$E$846,"FORA DO CATÁLOGO")</f>
        <v>Ativo</v>
      </c>
      <c r="G353" s="14"/>
    </row>
    <row r="354" spans="1:7" x14ac:dyDescent="0.3">
      <c r="A354" s="2" t="s">
        <v>290</v>
      </c>
      <c r="B354" s="19" t="str">
        <f>_xlfn.XLOOKUP(A354,CATÁLOGO!$A$2:$A$846,CATÁLOGO!$B$2:$B$846,"FORA DO CATÁLOGO")</f>
        <v>TOP012VG</v>
      </c>
      <c r="C354" s="13">
        <v>12</v>
      </c>
      <c r="D354" s="13">
        <v>0</v>
      </c>
      <c r="E354" s="13">
        <v>12</v>
      </c>
      <c r="F354" s="16" t="str">
        <f>_xlfn.XLOOKUP(A354,CATÁLOGO!$A$2:$A$846,CATÁLOGO!$E$2:$E$846,"FORA DO CATÁLOGO")</f>
        <v>Ativo</v>
      </c>
      <c r="G354" s="14"/>
    </row>
    <row r="355" spans="1:7" x14ac:dyDescent="0.3">
      <c r="A355" s="2" t="s">
        <v>291</v>
      </c>
      <c r="B355" s="19" t="str">
        <f>_xlfn.XLOOKUP(A355,CATÁLOGO!$A$2:$A$846,CATÁLOGO!$B$2:$B$846,"FORA DO CATÁLOGO")</f>
        <v>TOP012VGG</v>
      </c>
      <c r="C355" s="13">
        <v>11</v>
      </c>
      <c r="D355" s="13">
        <v>0</v>
      </c>
      <c r="E355" s="13">
        <v>11</v>
      </c>
      <c r="F355" s="16" t="str">
        <f>_xlfn.XLOOKUP(A355,CATÁLOGO!$A$2:$A$846,CATÁLOGO!$E$2:$E$846,"FORA DO CATÁLOGO")</f>
        <v>Ativo</v>
      </c>
      <c r="G355" s="14"/>
    </row>
    <row r="356" spans="1:7" x14ac:dyDescent="0.3">
      <c r="A356" s="2" t="s">
        <v>292</v>
      </c>
      <c r="B356" s="19" t="str">
        <f>_xlfn.XLOOKUP(A356,CATÁLOGO!$A$2:$A$846,CATÁLOGO!$B$2:$B$846,"FORA DO CATÁLOGO")</f>
        <v>TOP012PP</v>
      </c>
      <c r="C356" s="13">
        <v>4</v>
      </c>
      <c r="D356" s="13">
        <v>0</v>
      </c>
      <c r="E356" s="13">
        <v>4</v>
      </c>
      <c r="F356" s="16" t="str">
        <f>_xlfn.XLOOKUP(A356,CATÁLOGO!$A$2:$A$846,CATÁLOGO!$E$2:$E$846,"FORA DO CATÁLOGO")</f>
        <v>Ativo</v>
      </c>
      <c r="G356" s="14"/>
    </row>
    <row r="357" spans="1:7" x14ac:dyDescent="0.3">
      <c r="A357" s="2" t="s">
        <v>293</v>
      </c>
      <c r="B357" s="19" t="str">
        <f>_xlfn.XLOOKUP(A357,CATÁLOGO!$A$2:$A$846,CATÁLOGO!$B$2:$B$846,"FORA DO CATÁLOGO")</f>
        <v>TOP012PM</v>
      </c>
      <c r="C357" s="13">
        <v>9</v>
      </c>
      <c r="D357" s="13">
        <v>0</v>
      </c>
      <c r="E357" s="13">
        <v>9</v>
      </c>
      <c r="F357" s="16" t="str">
        <f>_xlfn.XLOOKUP(A357,CATÁLOGO!$A$2:$A$846,CATÁLOGO!$E$2:$E$846,"FORA DO CATÁLOGO")</f>
        <v>Ativo</v>
      </c>
      <c r="G357" s="14"/>
    </row>
    <row r="358" spans="1:7" x14ac:dyDescent="0.3">
      <c r="A358" s="2" t="s">
        <v>294</v>
      </c>
      <c r="B358" s="19" t="str">
        <f>_xlfn.XLOOKUP(A358,CATÁLOGO!$A$2:$A$846,CATÁLOGO!$B$2:$B$846,"FORA DO CATÁLOGO")</f>
        <v>TOP012PG</v>
      </c>
      <c r="C358" s="13">
        <v>21</v>
      </c>
      <c r="D358" s="13">
        <v>0</v>
      </c>
      <c r="E358" s="13">
        <v>21</v>
      </c>
      <c r="F358" s="16" t="str">
        <f>_xlfn.XLOOKUP(A358,CATÁLOGO!$A$2:$A$846,CATÁLOGO!$E$2:$E$846,"FORA DO CATÁLOGO")</f>
        <v>Ativo</v>
      </c>
      <c r="G358" s="14"/>
    </row>
    <row r="359" spans="1:7" x14ac:dyDescent="0.3">
      <c r="A359" s="2" t="s">
        <v>295</v>
      </c>
      <c r="B359" s="19" t="str">
        <f>_xlfn.XLOOKUP(A359,CATÁLOGO!$A$2:$A$846,CATÁLOGO!$B$2:$B$846,"FORA DO CATÁLOGO")</f>
        <v>TOP012PGG</v>
      </c>
      <c r="C359" s="13">
        <v>9</v>
      </c>
      <c r="D359" s="13">
        <v>0</v>
      </c>
      <c r="E359" s="13">
        <v>9</v>
      </c>
      <c r="F359" s="16" t="str">
        <f>_xlfn.XLOOKUP(A359,CATÁLOGO!$A$2:$A$846,CATÁLOGO!$E$2:$E$846,"FORA DO CATÁLOGO")</f>
        <v>Ativo</v>
      </c>
      <c r="G359" s="14"/>
    </row>
    <row r="360" spans="1:7" x14ac:dyDescent="0.3">
      <c r="A360" s="2" t="s">
        <v>302</v>
      </c>
      <c r="B360" s="19" t="str">
        <f>_xlfn.XLOOKUP(A360,CATÁLOGO!$A$2:$A$846,CATÁLOGO!$B$2:$B$846,"FORA DO CATÁLOGO")</f>
        <v>CMS009LG</v>
      </c>
      <c r="C360" s="13">
        <v>8</v>
      </c>
      <c r="D360" s="13">
        <v>0</v>
      </c>
      <c r="E360" s="13">
        <v>8</v>
      </c>
      <c r="F360" s="16" t="str">
        <f>_xlfn.XLOOKUP(A360,CATÁLOGO!$A$2:$A$846,CATÁLOGO!$E$2:$E$846,"FORA DO CATÁLOGO")</f>
        <v>Ativo</v>
      </c>
      <c r="G360" s="14"/>
    </row>
    <row r="361" spans="1:7" x14ac:dyDescent="0.3">
      <c r="A361" s="2" t="s">
        <v>304</v>
      </c>
      <c r="B361" s="19" t="str">
        <f>_xlfn.XLOOKUP(A361,CATÁLOGO!$A$2:$A$846,CATÁLOGO!$B$2:$B$846,"FORA DO CATÁLOGO")</f>
        <v>VES008AP</v>
      </c>
      <c r="C361" s="13">
        <v>19</v>
      </c>
      <c r="D361" s="13">
        <v>1</v>
      </c>
      <c r="E361" s="13">
        <v>18</v>
      </c>
      <c r="F361" s="16" t="str">
        <f>_xlfn.XLOOKUP(A361,CATÁLOGO!$A$2:$A$846,CATÁLOGO!$E$2:$E$846,"FORA DO CATÁLOGO")</f>
        <v>Ativo</v>
      </c>
      <c r="G361" s="14"/>
    </row>
    <row r="362" spans="1:7" x14ac:dyDescent="0.3">
      <c r="A362" s="2" t="s">
        <v>305</v>
      </c>
      <c r="B362" s="19" t="str">
        <f>_xlfn.XLOOKUP(A362,CATÁLOGO!$A$2:$A$846,CATÁLOGO!$B$2:$B$846,"FORA DO CATÁLOGO")</f>
        <v>VES008AM</v>
      </c>
      <c r="C362" s="13">
        <v>26</v>
      </c>
      <c r="D362" s="13">
        <v>0</v>
      </c>
      <c r="E362" s="13">
        <v>26</v>
      </c>
      <c r="F362" s="16" t="str">
        <f>_xlfn.XLOOKUP(A362,CATÁLOGO!$A$2:$A$846,CATÁLOGO!$E$2:$E$846,"FORA DO CATÁLOGO")</f>
        <v>Ativo</v>
      </c>
      <c r="G362" s="14"/>
    </row>
    <row r="363" spans="1:7" x14ac:dyDescent="0.3">
      <c r="A363" s="2" t="s">
        <v>306</v>
      </c>
      <c r="B363" s="19" t="str">
        <f>_xlfn.XLOOKUP(A363,CATÁLOGO!$A$2:$A$846,CATÁLOGO!$B$2:$B$846,"FORA DO CATÁLOGO")</f>
        <v>VES008AG</v>
      </c>
      <c r="C363" s="13">
        <v>22</v>
      </c>
      <c r="D363" s="13">
        <v>1</v>
      </c>
      <c r="E363" s="13">
        <v>21</v>
      </c>
      <c r="F363" s="16" t="str">
        <f>_xlfn.XLOOKUP(A363,CATÁLOGO!$A$2:$A$846,CATÁLOGO!$E$2:$E$846,"FORA DO CATÁLOGO")</f>
        <v>Ativo</v>
      </c>
      <c r="G363" s="14"/>
    </row>
    <row r="364" spans="1:7" x14ac:dyDescent="0.3">
      <c r="A364" s="2" t="s">
        <v>307</v>
      </c>
      <c r="B364" s="19" t="str">
        <f>_xlfn.XLOOKUP(A364,CATÁLOGO!$A$2:$A$846,CATÁLOGO!$B$2:$B$846,"FORA DO CATÁLOGO")</f>
        <v>VES008AGG</v>
      </c>
      <c r="C364" s="13">
        <v>11</v>
      </c>
      <c r="D364" s="13">
        <v>0</v>
      </c>
      <c r="E364" s="13">
        <v>11</v>
      </c>
      <c r="F364" s="16" t="str">
        <f>_xlfn.XLOOKUP(A364,CATÁLOGO!$A$2:$A$846,CATÁLOGO!$E$2:$E$846,"FORA DO CATÁLOGO")</f>
        <v>Ativo</v>
      </c>
      <c r="G364" s="14"/>
    </row>
    <row r="365" spans="1:7" x14ac:dyDescent="0.3">
      <c r="A365" s="2" t="s">
        <v>308</v>
      </c>
      <c r="B365" s="19" t="str">
        <f>_xlfn.XLOOKUP(A365,CATÁLOGO!$A$2:$A$846,CATÁLOGO!$B$2:$B$846,"FORA DO CATÁLOGO")</f>
        <v>VES008OP</v>
      </c>
      <c r="C365" s="13">
        <v>15</v>
      </c>
      <c r="D365" s="13">
        <v>1</v>
      </c>
      <c r="E365" s="13">
        <v>14</v>
      </c>
      <c r="F365" s="16" t="str">
        <f>_xlfn.XLOOKUP(A365,CATÁLOGO!$A$2:$A$846,CATÁLOGO!$E$2:$E$846,"FORA DO CATÁLOGO")</f>
        <v>Ativo</v>
      </c>
      <c r="G365" s="14"/>
    </row>
    <row r="366" spans="1:7" x14ac:dyDescent="0.3">
      <c r="A366" s="2" t="s">
        <v>309</v>
      </c>
      <c r="B366" s="19" t="str">
        <f>_xlfn.XLOOKUP(A366,CATÁLOGO!$A$2:$A$846,CATÁLOGO!$B$2:$B$846,"FORA DO CATÁLOGO")</f>
        <v>VES008OM</v>
      </c>
      <c r="C366" s="13">
        <v>28</v>
      </c>
      <c r="D366" s="13">
        <v>0</v>
      </c>
      <c r="E366" s="13">
        <v>28</v>
      </c>
      <c r="F366" s="16" t="str">
        <f>_xlfn.XLOOKUP(A366,CATÁLOGO!$A$2:$A$846,CATÁLOGO!$E$2:$E$846,"FORA DO CATÁLOGO")</f>
        <v>Ativo</v>
      </c>
      <c r="G366" s="14"/>
    </row>
    <row r="367" spans="1:7" x14ac:dyDescent="0.3">
      <c r="A367" s="2" t="s">
        <v>310</v>
      </c>
      <c r="B367" s="19" t="str">
        <f>_xlfn.XLOOKUP(A367,CATÁLOGO!$A$2:$A$846,CATÁLOGO!$B$2:$B$846,"FORA DO CATÁLOGO")</f>
        <v>VES008OG</v>
      </c>
      <c r="C367" s="13">
        <v>13</v>
      </c>
      <c r="D367" s="13">
        <v>0</v>
      </c>
      <c r="E367" s="13">
        <v>13</v>
      </c>
      <c r="F367" s="16" t="str">
        <f>_xlfn.XLOOKUP(A367,CATÁLOGO!$A$2:$A$846,CATÁLOGO!$E$2:$E$846,"FORA DO CATÁLOGO")</f>
        <v>Ativo</v>
      </c>
      <c r="G367" s="14"/>
    </row>
    <row r="368" spans="1:7" x14ac:dyDescent="0.3">
      <c r="A368" s="2" t="s">
        <v>311</v>
      </c>
      <c r="B368" s="19" t="str">
        <f>_xlfn.XLOOKUP(A368,CATÁLOGO!$A$2:$A$846,CATÁLOGO!$B$2:$B$846,"FORA DO CATÁLOGO")</f>
        <v>VES008OGG</v>
      </c>
      <c r="C368" s="13">
        <v>11</v>
      </c>
      <c r="D368" s="13">
        <v>0</v>
      </c>
      <c r="E368" s="13">
        <v>11</v>
      </c>
      <c r="F368" s="16" t="str">
        <f>_xlfn.XLOOKUP(A368,CATÁLOGO!$A$2:$A$846,CATÁLOGO!$E$2:$E$846,"FORA DO CATÁLOGO")</f>
        <v>Ativo</v>
      </c>
      <c r="G368" s="14"/>
    </row>
    <row r="369" spans="1:7" x14ac:dyDescent="0.3">
      <c r="A369" s="2" t="s">
        <v>1680</v>
      </c>
      <c r="B369" s="19" t="str">
        <f>_xlfn.XLOOKUP(A369,CATÁLOGO!$A$2:$A$846,CATÁLOGO!$B$2:$B$846,"FORA DO CATÁLOGO")</f>
        <v>CAL023L36</v>
      </c>
      <c r="C369" s="13">
        <v>3</v>
      </c>
      <c r="D369" s="13">
        <v>1</v>
      </c>
      <c r="E369" s="13">
        <v>2</v>
      </c>
      <c r="F369" s="16" t="str">
        <f>_xlfn.XLOOKUP(A369,CATÁLOGO!$A$2:$A$846,CATÁLOGO!$E$2:$E$846,"FORA DO CATÁLOGO")</f>
        <v>Ativo</v>
      </c>
      <c r="G369" s="14"/>
    </row>
    <row r="370" spans="1:7" x14ac:dyDescent="0.3">
      <c r="A370" s="2" t="s">
        <v>1679</v>
      </c>
      <c r="B370" s="19" t="str">
        <f>_xlfn.XLOOKUP(A370,CATÁLOGO!$A$2:$A$846,CATÁLOGO!$B$2:$B$846,"FORA DO CATÁLOGO")</f>
        <v>CAL023L38</v>
      </c>
      <c r="C370" s="13">
        <v>8</v>
      </c>
      <c r="D370" s="13">
        <v>0</v>
      </c>
      <c r="E370" s="13">
        <v>8</v>
      </c>
      <c r="F370" s="16" t="str">
        <f>_xlfn.XLOOKUP(A370,CATÁLOGO!$A$2:$A$846,CATÁLOGO!$E$2:$E$846,"FORA DO CATÁLOGO")</f>
        <v>Ativo</v>
      </c>
      <c r="G370" s="14"/>
    </row>
    <row r="371" spans="1:7" x14ac:dyDescent="0.3">
      <c r="A371" s="2" t="s">
        <v>1678</v>
      </c>
      <c r="B371" s="19" t="str">
        <f>_xlfn.XLOOKUP(A371,CATÁLOGO!$A$2:$A$846,CATÁLOGO!$B$2:$B$846,"FORA DO CATÁLOGO")</f>
        <v>CAL023L40</v>
      </c>
      <c r="C371" s="13">
        <v>1</v>
      </c>
      <c r="D371" s="13">
        <v>0</v>
      </c>
      <c r="E371" s="13">
        <v>1</v>
      </c>
      <c r="F371" s="16" t="str">
        <f>_xlfn.XLOOKUP(A371,CATÁLOGO!$A$2:$A$846,CATÁLOGO!$E$2:$E$846,"FORA DO CATÁLOGO")</f>
        <v>Ativo</v>
      </c>
      <c r="G371" s="14"/>
    </row>
    <row r="372" spans="1:7" x14ac:dyDescent="0.3">
      <c r="A372" s="2" t="s">
        <v>1675</v>
      </c>
      <c r="B372" s="19" t="str">
        <f>_xlfn.XLOOKUP(A372,CATÁLOGO!$A$2:$A$846,CATÁLOGO!$B$2:$B$846,"FORA DO CATÁLOGO")</f>
        <v>CAL023L42</v>
      </c>
      <c r="C372" s="13">
        <v>7</v>
      </c>
      <c r="D372" s="13">
        <v>0</v>
      </c>
      <c r="E372" s="13">
        <v>7</v>
      </c>
      <c r="F372" s="16" t="str">
        <f>_xlfn.XLOOKUP(A372,CATÁLOGO!$A$2:$A$846,CATÁLOGO!$E$2:$E$846,"FORA DO CATÁLOGO")</f>
        <v>Ativo</v>
      </c>
      <c r="G372" s="14"/>
    </row>
    <row r="373" spans="1:7" x14ac:dyDescent="0.3">
      <c r="A373" s="2" t="s">
        <v>1677</v>
      </c>
      <c r="B373" s="19" t="str">
        <f>_xlfn.XLOOKUP(A373,CATÁLOGO!$A$2:$A$846,CATÁLOGO!$B$2:$B$846,"FORA DO CATÁLOGO")</f>
        <v>CAL023L44</v>
      </c>
      <c r="C373" s="13">
        <v>4</v>
      </c>
      <c r="D373" s="13">
        <v>0</v>
      </c>
      <c r="E373" s="13">
        <v>4</v>
      </c>
      <c r="F373" s="16" t="str">
        <f>_xlfn.XLOOKUP(A373,CATÁLOGO!$A$2:$A$846,CATÁLOGO!$E$2:$E$846,"FORA DO CATÁLOGO")</f>
        <v>Ativo</v>
      </c>
      <c r="G373" s="14"/>
    </row>
    <row r="374" spans="1:7" x14ac:dyDescent="0.3">
      <c r="A374" s="2" t="s">
        <v>315</v>
      </c>
      <c r="B374" s="19" t="str">
        <f>_xlfn.XLOOKUP(A374,CATÁLOGO!$A$2:$A$846,CATÁLOGO!$B$2:$B$846,"FORA DO CATÁLOGO")</f>
        <v>CMS011EP</v>
      </c>
      <c r="C374" s="13">
        <v>20</v>
      </c>
      <c r="D374" s="13">
        <v>0</v>
      </c>
      <c r="E374" s="13">
        <v>20</v>
      </c>
      <c r="F374" s="16" t="str">
        <f>_xlfn.XLOOKUP(A374,CATÁLOGO!$A$2:$A$846,CATÁLOGO!$E$2:$E$846,"FORA DO CATÁLOGO")</f>
        <v>Ativo</v>
      </c>
      <c r="G374" s="14"/>
    </row>
    <row r="375" spans="1:7" x14ac:dyDescent="0.3">
      <c r="A375" s="2" t="s">
        <v>316</v>
      </c>
      <c r="B375" s="19" t="str">
        <f>_xlfn.XLOOKUP(A375,CATÁLOGO!$A$2:$A$846,CATÁLOGO!$B$2:$B$846,"FORA DO CATÁLOGO")</f>
        <v>CMS011EM</v>
      </c>
      <c r="C375" s="13">
        <v>29</v>
      </c>
      <c r="D375" s="13">
        <v>0</v>
      </c>
      <c r="E375" s="13">
        <v>29</v>
      </c>
      <c r="F375" s="16" t="str">
        <f>_xlfn.XLOOKUP(A375,CATÁLOGO!$A$2:$A$846,CATÁLOGO!$E$2:$E$846,"FORA DO CATÁLOGO")</f>
        <v>Ativo</v>
      </c>
      <c r="G375" s="14"/>
    </row>
    <row r="376" spans="1:7" x14ac:dyDescent="0.3">
      <c r="A376" s="2" t="s">
        <v>317</v>
      </c>
      <c r="B376" s="19" t="str">
        <f>_xlfn.XLOOKUP(A376,CATÁLOGO!$A$2:$A$846,CATÁLOGO!$B$2:$B$846,"FORA DO CATÁLOGO")</f>
        <v>CMS011EG</v>
      </c>
      <c r="C376" s="13">
        <v>21</v>
      </c>
      <c r="D376" s="13">
        <v>1</v>
      </c>
      <c r="E376" s="13">
        <v>20</v>
      </c>
      <c r="F376" s="16" t="str">
        <f>_xlfn.XLOOKUP(A376,CATÁLOGO!$A$2:$A$846,CATÁLOGO!$E$2:$E$846,"FORA DO CATÁLOGO")</f>
        <v>Ativo</v>
      </c>
      <c r="G376" s="14"/>
    </row>
    <row r="377" spans="1:7" x14ac:dyDescent="0.3">
      <c r="A377" s="2" t="s">
        <v>318</v>
      </c>
      <c r="B377" s="19" t="str">
        <f>_xlfn.XLOOKUP(A377,CATÁLOGO!$A$2:$A$846,CATÁLOGO!$B$2:$B$846,"FORA DO CATÁLOGO")</f>
        <v>CMS011EGG</v>
      </c>
      <c r="C377" s="13">
        <v>10</v>
      </c>
      <c r="D377" s="13">
        <v>0</v>
      </c>
      <c r="E377" s="13">
        <v>10</v>
      </c>
      <c r="F377" s="16" t="str">
        <f>_xlfn.XLOOKUP(A377,CATÁLOGO!$A$2:$A$846,CATÁLOGO!$E$2:$E$846,"FORA DO CATÁLOGO")</f>
        <v>Ativo</v>
      </c>
      <c r="G377" s="14"/>
    </row>
    <row r="378" spans="1:7" x14ac:dyDescent="0.3">
      <c r="A378" s="2" t="s">
        <v>319</v>
      </c>
      <c r="B378" s="19" t="str">
        <f>_xlfn.XLOOKUP(A378,CATÁLOGO!$A$2:$A$846,CATÁLOGO!$B$2:$B$846,"FORA DO CATÁLOGO")</f>
        <v>CMS011JP</v>
      </c>
      <c r="C378" s="13">
        <v>6</v>
      </c>
      <c r="D378" s="13">
        <v>0</v>
      </c>
      <c r="E378" s="13">
        <v>6</v>
      </c>
      <c r="F378" s="16" t="str">
        <f>_xlfn.XLOOKUP(A378,CATÁLOGO!$A$2:$A$846,CATÁLOGO!$E$2:$E$846,"FORA DO CATÁLOGO")</f>
        <v>Ativo</v>
      </c>
      <c r="G378" s="14"/>
    </row>
    <row r="379" spans="1:7" x14ac:dyDescent="0.3">
      <c r="A379" s="2" t="s">
        <v>320</v>
      </c>
      <c r="B379" s="19" t="str">
        <f>_xlfn.XLOOKUP(A379,CATÁLOGO!$A$2:$A$846,CATÁLOGO!$B$2:$B$846,"FORA DO CATÁLOGO")</f>
        <v>CMS011JM</v>
      </c>
      <c r="C379" s="13">
        <v>19</v>
      </c>
      <c r="D379" s="13">
        <v>0</v>
      </c>
      <c r="E379" s="13">
        <v>19</v>
      </c>
      <c r="F379" s="16" t="str">
        <f>_xlfn.XLOOKUP(A379,CATÁLOGO!$A$2:$A$846,CATÁLOGO!$E$2:$E$846,"FORA DO CATÁLOGO")</f>
        <v>Ativo</v>
      </c>
      <c r="G379" s="14"/>
    </row>
    <row r="380" spans="1:7" x14ac:dyDescent="0.3">
      <c r="A380" s="2" t="s">
        <v>321</v>
      </c>
      <c r="B380" s="19" t="str">
        <f>_xlfn.XLOOKUP(A380,CATÁLOGO!$A$2:$A$846,CATÁLOGO!$B$2:$B$846,"FORA DO CATÁLOGO")</f>
        <v>CMS011JG</v>
      </c>
      <c r="C380" s="13">
        <v>11</v>
      </c>
      <c r="D380" s="13">
        <v>1</v>
      </c>
      <c r="E380" s="13">
        <v>10</v>
      </c>
      <c r="F380" s="16" t="str">
        <f>_xlfn.XLOOKUP(A380,CATÁLOGO!$A$2:$A$846,CATÁLOGO!$E$2:$E$846,"FORA DO CATÁLOGO")</f>
        <v>Ativo</v>
      </c>
      <c r="G380" s="14"/>
    </row>
    <row r="381" spans="1:7" x14ac:dyDescent="0.3">
      <c r="A381" s="2" t="s">
        <v>322</v>
      </c>
      <c r="B381" s="19" t="str">
        <f>_xlfn.XLOOKUP(A381,CATÁLOGO!$A$2:$A$846,CATÁLOGO!$B$2:$B$846,"FORA DO CATÁLOGO")</f>
        <v>CMS011JGG</v>
      </c>
      <c r="C381" s="13">
        <v>8</v>
      </c>
      <c r="D381" s="13">
        <v>0</v>
      </c>
      <c r="E381" s="13">
        <v>8</v>
      </c>
      <c r="F381" s="16" t="str">
        <f>_xlfn.XLOOKUP(A381,CATÁLOGO!$A$2:$A$846,CATÁLOGO!$E$2:$E$846,"FORA DO CATÁLOGO")</f>
        <v>Ativo</v>
      </c>
      <c r="G381" s="14"/>
    </row>
    <row r="382" spans="1:7" x14ac:dyDescent="0.3">
      <c r="A382" s="2" t="s">
        <v>323</v>
      </c>
      <c r="B382" s="19" t="str">
        <f>_xlfn.XLOOKUP(A382,CATÁLOGO!$A$2:$A$846,CATÁLOGO!$B$2:$B$846,"FORA DO CATÁLOGO")</f>
        <v>SAI009BP</v>
      </c>
      <c r="C382" s="13">
        <v>22</v>
      </c>
      <c r="D382" s="13">
        <v>0</v>
      </c>
      <c r="E382" s="13">
        <v>22</v>
      </c>
      <c r="F382" s="16" t="str">
        <f>_xlfn.XLOOKUP(A382,CATÁLOGO!$A$2:$A$846,CATÁLOGO!$E$2:$E$846,"FORA DO CATÁLOGO")</f>
        <v>Ativo</v>
      </c>
      <c r="G382" s="14"/>
    </row>
    <row r="383" spans="1:7" x14ac:dyDescent="0.3">
      <c r="A383" s="2" t="s">
        <v>324</v>
      </c>
      <c r="B383" s="19" t="str">
        <f>_xlfn.XLOOKUP(A383,CATÁLOGO!$A$2:$A$846,CATÁLOGO!$B$2:$B$846,"FORA DO CATÁLOGO")</f>
        <v>SAI009BM</v>
      </c>
      <c r="C383" s="13">
        <v>28</v>
      </c>
      <c r="D383" s="13">
        <v>0</v>
      </c>
      <c r="E383" s="13">
        <v>28</v>
      </c>
      <c r="F383" s="16" t="str">
        <f>_xlfn.XLOOKUP(A383,CATÁLOGO!$A$2:$A$846,CATÁLOGO!$E$2:$E$846,"FORA DO CATÁLOGO")</f>
        <v>Ativo</v>
      </c>
      <c r="G383" s="14"/>
    </row>
    <row r="384" spans="1:7" x14ac:dyDescent="0.3">
      <c r="A384" s="2" t="s">
        <v>325</v>
      </c>
      <c r="B384" s="19" t="str">
        <f>_xlfn.XLOOKUP(A384,CATÁLOGO!$A$2:$A$846,CATÁLOGO!$B$2:$B$846,"FORA DO CATÁLOGO")</f>
        <v>SAI009BG</v>
      </c>
      <c r="C384" s="13">
        <v>20</v>
      </c>
      <c r="D384" s="13">
        <v>0</v>
      </c>
      <c r="E384" s="13">
        <v>20</v>
      </c>
      <c r="F384" s="16" t="str">
        <f>_xlfn.XLOOKUP(A384,CATÁLOGO!$A$2:$A$846,CATÁLOGO!$E$2:$E$846,"FORA DO CATÁLOGO")</f>
        <v>Ativo</v>
      </c>
      <c r="G384" s="14"/>
    </row>
    <row r="385" spans="1:7" x14ac:dyDescent="0.3">
      <c r="A385" s="2" t="s">
        <v>326</v>
      </c>
      <c r="B385" s="19" t="str">
        <f>_xlfn.XLOOKUP(A385,CATÁLOGO!$A$2:$A$846,CATÁLOGO!$B$2:$B$846,"FORA DO CATÁLOGO")</f>
        <v>SAI009BGG</v>
      </c>
      <c r="C385" s="13">
        <v>6</v>
      </c>
      <c r="D385" s="13">
        <v>1</v>
      </c>
      <c r="E385" s="13">
        <v>5</v>
      </c>
      <c r="F385" s="16" t="str">
        <f>_xlfn.XLOOKUP(A385,CATÁLOGO!$A$2:$A$846,CATÁLOGO!$E$2:$E$846,"FORA DO CATÁLOGO")</f>
        <v>Ativo</v>
      </c>
      <c r="G385" s="14"/>
    </row>
    <row r="386" spans="1:7" x14ac:dyDescent="0.3">
      <c r="A386" s="2" t="s">
        <v>327</v>
      </c>
      <c r="B386" s="19" t="str">
        <f>_xlfn.XLOOKUP(A386,CATÁLOGO!$A$2:$A$846,CATÁLOGO!$B$2:$B$846,"FORA DO CATÁLOGO")</f>
        <v>SAI009GP</v>
      </c>
      <c r="C386" s="13">
        <v>9</v>
      </c>
      <c r="D386" s="13">
        <v>0</v>
      </c>
      <c r="E386" s="13">
        <v>9</v>
      </c>
      <c r="F386" s="16" t="str">
        <f>_xlfn.XLOOKUP(A386,CATÁLOGO!$A$2:$A$846,CATÁLOGO!$E$2:$E$846,"FORA DO CATÁLOGO")</f>
        <v>Ativo</v>
      </c>
      <c r="G386" s="14"/>
    </row>
    <row r="387" spans="1:7" x14ac:dyDescent="0.3">
      <c r="A387" s="2" t="s">
        <v>328</v>
      </c>
      <c r="B387" s="19" t="str">
        <f>_xlfn.XLOOKUP(A387,CATÁLOGO!$A$2:$A$846,CATÁLOGO!$B$2:$B$846,"FORA DO CATÁLOGO")</f>
        <v>SAI009GM</v>
      </c>
      <c r="C387" s="13">
        <v>16</v>
      </c>
      <c r="D387" s="13">
        <v>0</v>
      </c>
      <c r="E387" s="13">
        <v>16</v>
      </c>
      <c r="F387" s="16" t="str">
        <f>_xlfn.XLOOKUP(A387,CATÁLOGO!$A$2:$A$846,CATÁLOGO!$E$2:$E$846,"FORA DO CATÁLOGO")</f>
        <v>Ativo</v>
      </c>
      <c r="G387" s="14"/>
    </row>
    <row r="388" spans="1:7" x14ac:dyDescent="0.3">
      <c r="A388" s="2" t="s">
        <v>329</v>
      </c>
      <c r="B388" s="19" t="str">
        <f>_xlfn.XLOOKUP(A388,CATÁLOGO!$A$2:$A$846,CATÁLOGO!$B$2:$B$846,"FORA DO CATÁLOGO")</f>
        <v>SAI009GG</v>
      </c>
      <c r="C388" s="13">
        <v>12</v>
      </c>
      <c r="D388" s="13">
        <v>0</v>
      </c>
      <c r="E388" s="13">
        <v>12</v>
      </c>
      <c r="F388" s="16" t="str">
        <f>_xlfn.XLOOKUP(A388,CATÁLOGO!$A$2:$A$846,CATÁLOGO!$E$2:$E$846,"FORA DO CATÁLOGO")</f>
        <v>Ativo</v>
      </c>
      <c r="G388" s="14"/>
    </row>
    <row r="389" spans="1:7" x14ac:dyDescent="0.3">
      <c r="A389" s="2" t="s">
        <v>330</v>
      </c>
      <c r="B389" s="19" t="str">
        <f>_xlfn.XLOOKUP(A389,CATÁLOGO!$A$2:$A$846,CATÁLOGO!$B$2:$B$846,"FORA DO CATÁLOGO")</f>
        <v>SAI009GGG</v>
      </c>
      <c r="C389" s="13">
        <v>6</v>
      </c>
      <c r="D389" s="13">
        <v>1</v>
      </c>
      <c r="E389" s="13">
        <v>5</v>
      </c>
      <c r="F389" s="16" t="str">
        <f>_xlfn.XLOOKUP(A389,CATÁLOGO!$A$2:$A$846,CATÁLOGO!$E$2:$E$846,"FORA DO CATÁLOGO")</f>
        <v>Ativo</v>
      </c>
      <c r="G389" s="14"/>
    </row>
    <row r="390" spans="1:7" x14ac:dyDescent="0.3">
      <c r="A390" s="2" t="s">
        <v>1494</v>
      </c>
      <c r="B390" s="19" t="str">
        <f>_xlfn.XLOOKUP(A390,CATÁLOGO!$A$2:$A$846,CATÁLOGO!$B$2:$B$846,"FORA DO CATÁLOGO")</f>
        <v>BER008G36</v>
      </c>
      <c r="C390" s="13">
        <v>9</v>
      </c>
      <c r="D390" s="13">
        <v>0</v>
      </c>
      <c r="E390" s="13">
        <v>9</v>
      </c>
      <c r="F390" s="16" t="str">
        <f>_xlfn.XLOOKUP(A390,CATÁLOGO!$A$2:$A$846,CATÁLOGO!$E$2:$E$846,"FORA DO CATÁLOGO")</f>
        <v>Ativo</v>
      </c>
      <c r="G390" s="14"/>
    </row>
    <row r="391" spans="1:7" x14ac:dyDescent="0.3">
      <c r="A391" s="2" t="s">
        <v>1492</v>
      </c>
      <c r="B391" s="19" t="str">
        <f>_xlfn.XLOOKUP(A391,CATÁLOGO!$A$2:$A$846,CATÁLOGO!$B$2:$B$846,"FORA DO CATÁLOGO")</f>
        <v>BER008G38</v>
      </c>
      <c r="C391" s="13">
        <v>12</v>
      </c>
      <c r="D391" s="13">
        <v>0</v>
      </c>
      <c r="E391" s="13">
        <v>12</v>
      </c>
      <c r="F391" s="16" t="str">
        <f>_xlfn.XLOOKUP(A391,CATÁLOGO!$A$2:$A$846,CATÁLOGO!$E$2:$E$846,"FORA DO CATÁLOGO")</f>
        <v>Ativo</v>
      </c>
      <c r="G391" s="14"/>
    </row>
    <row r="392" spans="1:7" x14ac:dyDescent="0.3">
      <c r="A392" s="2" t="s">
        <v>1491</v>
      </c>
      <c r="B392" s="19" t="str">
        <f>_xlfn.XLOOKUP(A392,CATÁLOGO!$A$2:$A$846,CATÁLOGO!$B$2:$B$846,"FORA DO CATÁLOGO")</f>
        <v>BER008G40</v>
      </c>
      <c r="C392" s="13">
        <v>20</v>
      </c>
      <c r="D392" s="13">
        <v>0</v>
      </c>
      <c r="E392" s="13">
        <v>20</v>
      </c>
      <c r="F392" s="16" t="str">
        <f>_xlfn.XLOOKUP(A392,CATÁLOGO!$A$2:$A$846,CATÁLOGO!$E$2:$E$846,"FORA DO CATÁLOGO")</f>
        <v>Ativo</v>
      </c>
      <c r="G392" s="14"/>
    </row>
    <row r="393" spans="1:7" x14ac:dyDescent="0.3">
      <c r="A393" s="2" t="s">
        <v>1488</v>
      </c>
      <c r="B393" s="19" t="str">
        <f>_xlfn.XLOOKUP(A393,CATÁLOGO!$A$2:$A$846,CATÁLOGO!$B$2:$B$846,"FORA DO CATÁLOGO")</f>
        <v>BER008G42</v>
      </c>
      <c r="C393" s="13">
        <v>15</v>
      </c>
      <c r="D393" s="13">
        <v>0</v>
      </c>
      <c r="E393" s="13">
        <v>15</v>
      </c>
      <c r="F393" s="16" t="str">
        <f>_xlfn.XLOOKUP(A393,CATÁLOGO!$A$2:$A$846,CATÁLOGO!$E$2:$E$846,"FORA DO CATÁLOGO")</f>
        <v>Ativo</v>
      </c>
      <c r="G393" s="14"/>
    </row>
    <row r="394" spans="1:7" x14ac:dyDescent="0.3">
      <c r="A394" s="2" t="s">
        <v>1490</v>
      </c>
      <c r="B394" s="19" t="str">
        <f>_xlfn.XLOOKUP(A394,CATÁLOGO!$A$2:$A$846,CATÁLOGO!$B$2:$B$846,"FORA DO CATÁLOGO")</f>
        <v>BER008G44</v>
      </c>
      <c r="C394" s="13">
        <v>10</v>
      </c>
      <c r="D394" s="13">
        <v>0</v>
      </c>
      <c r="E394" s="13">
        <v>10</v>
      </c>
      <c r="F394" s="16" t="str">
        <f>_xlfn.XLOOKUP(A394,CATÁLOGO!$A$2:$A$846,CATÁLOGO!$E$2:$E$846,"FORA DO CATÁLOGO")</f>
        <v>Ativo</v>
      </c>
      <c r="G394" s="14"/>
    </row>
    <row r="395" spans="1:7" x14ac:dyDescent="0.3">
      <c r="A395" s="2" t="s">
        <v>341</v>
      </c>
      <c r="B395" s="19" t="str">
        <f>_xlfn.XLOOKUP(A395,CATÁLOGO!$A$2:$A$846,CATÁLOGO!$B$2:$B$846,"FORA DO CATÁLOGO")</f>
        <v>CAM017YGG</v>
      </c>
      <c r="C395" s="13">
        <v>2</v>
      </c>
      <c r="D395" s="13">
        <v>0</v>
      </c>
      <c r="E395" s="13">
        <v>2</v>
      </c>
      <c r="F395" s="16" t="str">
        <f>_xlfn.XLOOKUP(A395,CATÁLOGO!$A$2:$A$846,CATÁLOGO!$E$2:$E$846,"FORA DO CATÁLOGO")</f>
        <v>Descontinuado</v>
      </c>
      <c r="G395" s="14"/>
    </row>
    <row r="396" spans="1:7" x14ac:dyDescent="0.3">
      <c r="A396" s="2" t="s">
        <v>346</v>
      </c>
      <c r="B396" s="19" t="str">
        <f>_xlfn.XLOOKUP(A396,CATÁLOGO!$A$2:$A$846,CATÁLOGO!$B$2:$B$846,"FORA DO CATÁLOGO")</f>
        <v>VES009GP</v>
      </c>
      <c r="C396" s="13">
        <v>17</v>
      </c>
      <c r="D396" s="13">
        <v>0</v>
      </c>
      <c r="E396" s="13">
        <v>17</v>
      </c>
      <c r="F396" s="16" t="str">
        <f>_xlfn.XLOOKUP(A396,CATÁLOGO!$A$2:$A$846,CATÁLOGO!$E$2:$E$846,"FORA DO CATÁLOGO")</f>
        <v>Descontinuado</v>
      </c>
      <c r="G396" s="14"/>
    </row>
    <row r="397" spans="1:7" x14ac:dyDescent="0.3">
      <c r="A397" s="2" t="s">
        <v>347</v>
      </c>
      <c r="B397" s="19" t="str">
        <f>_xlfn.XLOOKUP(A397,CATÁLOGO!$A$2:$A$846,CATÁLOGO!$B$2:$B$846,"FORA DO CATÁLOGO")</f>
        <v>VES009GM</v>
      </c>
      <c r="C397" s="13">
        <v>18</v>
      </c>
      <c r="D397" s="13">
        <v>0</v>
      </c>
      <c r="E397" s="13">
        <v>18</v>
      </c>
      <c r="F397" s="16" t="str">
        <f>_xlfn.XLOOKUP(A397,CATÁLOGO!$A$2:$A$846,CATÁLOGO!$E$2:$E$846,"FORA DO CATÁLOGO")</f>
        <v>Descontinuado</v>
      </c>
      <c r="G397" s="14"/>
    </row>
    <row r="398" spans="1:7" x14ac:dyDescent="0.3">
      <c r="A398" s="2" t="s">
        <v>348</v>
      </c>
      <c r="B398" s="19" t="str">
        <f>_xlfn.XLOOKUP(A398,CATÁLOGO!$A$2:$A$846,CATÁLOGO!$B$2:$B$846,"FORA DO CATÁLOGO")</f>
        <v>VES009GG</v>
      </c>
      <c r="C398" s="13">
        <v>9</v>
      </c>
      <c r="D398" s="13">
        <v>2</v>
      </c>
      <c r="E398" s="13">
        <v>7</v>
      </c>
      <c r="F398" s="16" t="str">
        <f>_xlfn.XLOOKUP(A398,CATÁLOGO!$A$2:$A$846,CATÁLOGO!$E$2:$E$846,"FORA DO CATÁLOGO")</f>
        <v>Descontinuado</v>
      </c>
      <c r="G398" s="14"/>
    </row>
    <row r="399" spans="1:7" x14ac:dyDescent="0.3">
      <c r="A399" s="2" t="s">
        <v>349</v>
      </c>
      <c r="B399" s="19" t="str">
        <f>_xlfn.XLOOKUP(A399,CATÁLOGO!$A$2:$A$846,CATÁLOGO!$B$2:$B$846,"FORA DO CATÁLOGO")</f>
        <v>VES009PP</v>
      </c>
      <c r="C399" s="13">
        <v>15</v>
      </c>
      <c r="D399" s="13">
        <v>0</v>
      </c>
      <c r="E399" s="13">
        <v>15</v>
      </c>
      <c r="F399" s="16" t="str">
        <f>_xlfn.XLOOKUP(A399,CATÁLOGO!$A$2:$A$846,CATÁLOGO!$E$2:$E$846,"FORA DO CATÁLOGO")</f>
        <v>Descontinuado</v>
      </c>
      <c r="G399" s="14"/>
    </row>
    <row r="400" spans="1:7" x14ac:dyDescent="0.3">
      <c r="A400" s="2" t="s">
        <v>350</v>
      </c>
      <c r="B400" s="19" t="str">
        <f>_xlfn.XLOOKUP(A400,CATÁLOGO!$A$2:$A$846,CATÁLOGO!$B$2:$B$846,"FORA DO CATÁLOGO")</f>
        <v>VES009PM</v>
      </c>
      <c r="C400" s="13">
        <v>22</v>
      </c>
      <c r="D400" s="13">
        <v>0</v>
      </c>
      <c r="E400" s="13">
        <v>22</v>
      </c>
      <c r="F400" s="16" t="str">
        <f>_xlfn.XLOOKUP(A400,CATÁLOGO!$A$2:$A$846,CATÁLOGO!$E$2:$E$846,"FORA DO CATÁLOGO")</f>
        <v>Descontinuado</v>
      </c>
      <c r="G400" s="14"/>
    </row>
    <row r="401" spans="1:7" x14ac:dyDescent="0.3">
      <c r="A401" s="2" t="s">
        <v>351</v>
      </c>
      <c r="B401" s="19" t="str">
        <f>_xlfn.XLOOKUP(A401,CATÁLOGO!$A$2:$A$846,CATÁLOGO!$B$2:$B$846,"FORA DO CATÁLOGO")</f>
        <v>VES009PG</v>
      </c>
      <c r="C401" s="13">
        <v>13</v>
      </c>
      <c r="D401" s="13">
        <v>0</v>
      </c>
      <c r="E401" s="13">
        <v>13</v>
      </c>
      <c r="F401" s="16" t="str">
        <f>_xlfn.XLOOKUP(A401,CATÁLOGO!$A$2:$A$846,CATÁLOGO!$E$2:$E$846,"FORA DO CATÁLOGO")</f>
        <v>Descontinuado</v>
      </c>
      <c r="G401" s="14"/>
    </row>
    <row r="402" spans="1:7" x14ac:dyDescent="0.3">
      <c r="A402" s="2" t="s">
        <v>352</v>
      </c>
      <c r="B402" s="19" t="str">
        <f>_xlfn.XLOOKUP(A402,CATÁLOGO!$A$2:$A$846,CATÁLOGO!$B$2:$B$846,"FORA DO CATÁLOGO")</f>
        <v>VES010CP</v>
      </c>
      <c r="C402" s="13">
        <v>13</v>
      </c>
      <c r="D402" s="13">
        <v>0</v>
      </c>
      <c r="E402" s="13">
        <v>13</v>
      </c>
      <c r="F402" s="16" t="str">
        <f>_xlfn.XLOOKUP(A402,CATÁLOGO!$A$2:$A$846,CATÁLOGO!$E$2:$E$846,"FORA DO CATÁLOGO")</f>
        <v>Ativo</v>
      </c>
      <c r="G402" s="14"/>
    </row>
    <row r="403" spans="1:7" x14ac:dyDescent="0.3">
      <c r="A403" s="2" t="s">
        <v>353</v>
      </c>
      <c r="B403" s="19" t="str">
        <f>_xlfn.XLOOKUP(A403,CATÁLOGO!$A$2:$A$846,CATÁLOGO!$B$2:$B$846,"FORA DO CATÁLOGO")</f>
        <v>VES010CM</v>
      </c>
      <c r="C403" s="13">
        <v>34</v>
      </c>
      <c r="D403" s="13">
        <v>0</v>
      </c>
      <c r="E403" s="13">
        <v>34</v>
      </c>
      <c r="F403" s="16" t="str">
        <f>_xlfn.XLOOKUP(A403,CATÁLOGO!$A$2:$A$846,CATÁLOGO!$E$2:$E$846,"FORA DO CATÁLOGO")</f>
        <v>Ativo</v>
      </c>
      <c r="G403" s="14"/>
    </row>
    <row r="404" spans="1:7" x14ac:dyDescent="0.3">
      <c r="A404" s="2" t="s">
        <v>354</v>
      </c>
      <c r="B404" s="19" t="str">
        <f>_xlfn.XLOOKUP(A404,CATÁLOGO!$A$2:$A$846,CATÁLOGO!$B$2:$B$846,"FORA DO CATÁLOGO")</f>
        <v>VES010CG</v>
      </c>
      <c r="C404" s="13">
        <v>11</v>
      </c>
      <c r="D404" s="13">
        <v>1</v>
      </c>
      <c r="E404" s="13">
        <v>10</v>
      </c>
      <c r="F404" s="16" t="str">
        <f>_xlfn.XLOOKUP(A404,CATÁLOGO!$A$2:$A$846,CATÁLOGO!$E$2:$E$846,"FORA DO CATÁLOGO")</f>
        <v>Ativo</v>
      </c>
      <c r="G404" s="14"/>
    </row>
    <row r="405" spans="1:7" x14ac:dyDescent="0.3">
      <c r="A405" s="2" t="s">
        <v>355</v>
      </c>
      <c r="B405" s="19" t="str">
        <f>_xlfn.XLOOKUP(A405,CATÁLOGO!$A$2:$A$846,CATÁLOGO!$B$2:$B$846,"FORA DO CATÁLOGO")</f>
        <v>VES010CGG</v>
      </c>
      <c r="C405" s="13">
        <v>14</v>
      </c>
      <c r="D405" s="13">
        <v>0</v>
      </c>
      <c r="E405" s="13">
        <v>14</v>
      </c>
      <c r="F405" s="16" t="str">
        <f>_xlfn.XLOOKUP(A405,CATÁLOGO!$A$2:$A$846,CATÁLOGO!$E$2:$E$846,"FORA DO CATÁLOGO")</f>
        <v>Ativo</v>
      </c>
      <c r="G405" s="14"/>
    </row>
    <row r="406" spans="1:7" x14ac:dyDescent="0.3">
      <c r="A406" s="2" t="s">
        <v>356</v>
      </c>
      <c r="B406" s="19" t="str">
        <f>_xlfn.XLOOKUP(A406,CATÁLOGO!$A$2:$A$846,CATÁLOGO!$B$2:$B$846,"FORA DO CATÁLOGO")</f>
        <v>VES010OP</v>
      </c>
      <c r="C406" s="13">
        <v>8</v>
      </c>
      <c r="D406" s="13">
        <v>0</v>
      </c>
      <c r="E406" s="13">
        <v>8</v>
      </c>
      <c r="F406" s="16" t="str">
        <f>_xlfn.XLOOKUP(A406,CATÁLOGO!$A$2:$A$846,CATÁLOGO!$E$2:$E$846,"FORA DO CATÁLOGO")</f>
        <v>Ativo</v>
      </c>
      <c r="G406" s="14"/>
    </row>
    <row r="407" spans="1:7" x14ac:dyDescent="0.3">
      <c r="A407" s="2" t="s">
        <v>357</v>
      </c>
      <c r="B407" s="19" t="str">
        <f>_xlfn.XLOOKUP(A407,CATÁLOGO!$A$2:$A$846,CATÁLOGO!$B$2:$B$846,"FORA DO CATÁLOGO")</f>
        <v>VES010OM</v>
      </c>
      <c r="C407" s="13">
        <v>23</v>
      </c>
      <c r="D407" s="13">
        <v>0</v>
      </c>
      <c r="E407" s="13">
        <v>23</v>
      </c>
      <c r="F407" s="16" t="str">
        <f>_xlfn.XLOOKUP(A407,CATÁLOGO!$A$2:$A$846,CATÁLOGO!$E$2:$E$846,"FORA DO CATÁLOGO")</f>
        <v>Ativo</v>
      </c>
      <c r="G407" s="14"/>
    </row>
    <row r="408" spans="1:7" x14ac:dyDescent="0.3">
      <c r="A408" s="2" t="s">
        <v>358</v>
      </c>
      <c r="B408" s="19" t="str">
        <f>_xlfn.XLOOKUP(A408,CATÁLOGO!$A$2:$A$846,CATÁLOGO!$B$2:$B$846,"FORA DO CATÁLOGO")</f>
        <v>VES010OG</v>
      </c>
      <c r="C408" s="13">
        <v>15</v>
      </c>
      <c r="D408" s="13">
        <v>0</v>
      </c>
      <c r="E408" s="13">
        <v>15</v>
      </c>
      <c r="F408" s="16" t="str">
        <f>_xlfn.XLOOKUP(A408,CATÁLOGO!$A$2:$A$846,CATÁLOGO!$E$2:$E$846,"FORA DO CATÁLOGO")</f>
        <v>Ativo</v>
      </c>
      <c r="G408" s="14"/>
    </row>
    <row r="409" spans="1:7" x14ac:dyDescent="0.3">
      <c r="A409" s="2" t="s">
        <v>359</v>
      </c>
      <c r="B409" s="19" t="str">
        <f>_xlfn.XLOOKUP(A409,CATÁLOGO!$A$2:$A$846,CATÁLOGO!$B$2:$B$846,"FORA DO CATÁLOGO")</f>
        <v>VES010OGG</v>
      </c>
      <c r="C409" s="13">
        <v>3</v>
      </c>
      <c r="D409" s="13">
        <v>0</v>
      </c>
      <c r="E409" s="13">
        <v>3</v>
      </c>
      <c r="F409" s="16" t="str">
        <f>_xlfn.XLOOKUP(A409,CATÁLOGO!$A$2:$A$846,CATÁLOGO!$E$2:$E$846,"FORA DO CATÁLOGO")</f>
        <v>Ativo</v>
      </c>
      <c r="G409" s="14"/>
    </row>
    <row r="410" spans="1:7" x14ac:dyDescent="0.3">
      <c r="A410" s="2" t="s">
        <v>360</v>
      </c>
      <c r="B410" s="19" t="str">
        <f>_xlfn.XLOOKUP(A410,CATÁLOGO!$A$2:$A$846,CATÁLOGO!$B$2:$B$846,"FORA DO CATÁLOGO")</f>
        <v>VES010MP</v>
      </c>
      <c r="C410" s="13">
        <v>16</v>
      </c>
      <c r="D410" s="13">
        <v>0</v>
      </c>
      <c r="E410" s="13">
        <v>16</v>
      </c>
      <c r="F410" s="16" t="str">
        <f>_xlfn.XLOOKUP(A410,CATÁLOGO!$A$2:$A$846,CATÁLOGO!$E$2:$E$846,"FORA DO CATÁLOGO")</f>
        <v>Ativo</v>
      </c>
      <c r="G410" s="14"/>
    </row>
    <row r="411" spans="1:7" x14ac:dyDescent="0.3">
      <c r="A411" s="2" t="s">
        <v>361</v>
      </c>
      <c r="B411" s="19" t="str">
        <f>_xlfn.XLOOKUP(A411,CATÁLOGO!$A$2:$A$846,CATÁLOGO!$B$2:$B$846,"FORA DO CATÁLOGO")</f>
        <v>VES010MM</v>
      </c>
      <c r="C411" s="13">
        <v>27</v>
      </c>
      <c r="D411" s="13">
        <v>0</v>
      </c>
      <c r="E411" s="13">
        <v>27</v>
      </c>
      <c r="F411" s="16" t="str">
        <f>_xlfn.XLOOKUP(A411,CATÁLOGO!$A$2:$A$846,CATÁLOGO!$E$2:$E$846,"FORA DO CATÁLOGO")</f>
        <v>Ativo</v>
      </c>
      <c r="G411" s="14"/>
    </row>
    <row r="412" spans="1:7" x14ac:dyDescent="0.3">
      <c r="A412" s="2" t="s">
        <v>362</v>
      </c>
      <c r="B412" s="19" t="str">
        <f>_xlfn.XLOOKUP(A412,CATÁLOGO!$A$2:$A$846,CATÁLOGO!$B$2:$B$846,"FORA DO CATÁLOGO")</f>
        <v>VES010MG</v>
      </c>
      <c r="C412" s="13">
        <v>3</v>
      </c>
      <c r="D412" s="13">
        <v>0</v>
      </c>
      <c r="E412" s="13">
        <v>3</v>
      </c>
      <c r="F412" s="16" t="str">
        <f>_xlfn.XLOOKUP(A412,CATÁLOGO!$A$2:$A$846,CATÁLOGO!$E$2:$E$846,"FORA DO CATÁLOGO")</f>
        <v>Ativo</v>
      </c>
      <c r="G412" s="14"/>
    </row>
    <row r="413" spans="1:7" x14ac:dyDescent="0.3">
      <c r="A413" s="2" t="s">
        <v>363</v>
      </c>
      <c r="B413" s="19" t="str">
        <f>_xlfn.XLOOKUP(A413,CATÁLOGO!$A$2:$A$846,CATÁLOGO!$B$2:$B$846,"FORA DO CATÁLOGO")</f>
        <v>VES010MGG</v>
      </c>
      <c r="C413" s="13">
        <v>2</v>
      </c>
      <c r="D413" s="13">
        <v>2</v>
      </c>
      <c r="E413" s="13">
        <v>0</v>
      </c>
      <c r="F413" s="16" t="str">
        <f>_xlfn.XLOOKUP(A413,CATÁLOGO!$A$2:$A$846,CATÁLOGO!$E$2:$E$846,"FORA DO CATÁLOGO")</f>
        <v>Ativo</v>
      </c>
      <c r="G413" s="14"/>
    </row>
    <row r="414" spans="1:7" x14ac:dyDescent="0.3">
      <c r="A414" s="2" t="s">
        <v>1790</v>
      </c>
      <c r="B414" s="19" t="str">
        <f>_xlfn.XLOOKUP(A414,CATÁLOGO!$A$2:$A$846,CATÁLOGO!$B$2:$B$846,"FORA DO CATÁLOGO")</f>
        <v>CMS012VPP</v>
      </c>
      <c r="C414" s="13">
        <v>14</v>
      </c>
      <c r="D414" s="13">
        <v>0</v>
      </c>
      <c r="E414" s="13">
        <v>14</v>
      </c>
      <c r="F414" s="16" t="str">
        <f>_xlfn.XLOOKUP(A414,CATÁLOGO!$A$2:$A$846,CATÁLOGO!$E$2:$E$846,"FORA DO CATÁLOGO")</f>
        <v>Ativo</v>
      </c>
      <c r="G414" s="14"/>
    </row>
    <row r="415" spans="1:7" x14ac:dyDescent="0.3">
      <c r="A415" s="2" t="s">
        <v>368</v>
      </c>
      <c r="B415" s="19" t="str">
        <f>_xlfn.XLOOKUP(A415,CATÁLOGO!$A$2:$A$846,CATÁLOGO!$B$2:$B$846,"FORA DO CATÁLOGO")</f>
        <v>CMS012VP</v>
      </c>
      <c r="C415" s="13">
        <v>40</v>
      </c>
      <c r="D415" s="13">
        <v>2</v>
      </c>
      <c r="E415" s="13">
        <v>38</v>
      </c>
      <c r="F415" s="16" t="str">
        <f>_xlfn.XLOOKUP(A415,CATÁLOGO!$A$2:$A$846,CATÁLOGO!$E$2:$E$846,"FORA DO CATÁLOGO")</f>
        <v>Ativo</v>
      </c>
      <c r="G415" s="14"/>
    </row>
    <row r="416" spans="1:7" x14ac:dyDescent="0.3">
      <c r="A416" s="2" t="s">
        <v>369</v>
      </c>
      <c r="B416" s="19" t="str">
        <f>_xlfn.XLOOKUP(A416,CATÁLOGO!$A$2:$A$846,CATÁLOGO!$B$2:$B$846,"FORA DO CATÁLOGO")</f>
        <v>CMS012VM</v>
      </c>
      <c r="C416" s="13">
        <v>37</v>
      </c>
      <c r="D416" s="13">
        <v>1</v>
      </c>
      <c r="E416" s="13">
        <v>36</v>
      </c>
      <c r="F416" s="16" t="str">
        <f>_xlfn.XLOOKUP(A416,CATÁLOGO!$A$2:$A$846,CATÁLOGO!$E$2:$E$846,"FORA DO CATÁLOGO")</f>
        <v>Ativo</v>
      </c>
      <c r="G416" s="14"/>
    </row>
    <row r="417" spans="1:7" x14ac:dyDescent="0.3">
      <c r="A417" s="2" t="s">
        <v>370</v>
      </c>
      <c r="B417" s="19" t="str">
        <f>_xlfn.XLOOKUP(A417,CATÁLOGO!$A$2:$A$846,CATÁLOGO!$B$2:$B$846,"FORA DO CATÁLOGO")</f>
        <v>CMS012VG</v>
      </c>
      <c r="C417" s="13">
        <v>42</v>
      </c>
      <c r="D417" s="13">
        <v>0</v>
      </c>
      <c r="E417" s="13">
        <v>42</v>
      </c>
      <c r="F417" s="16" t="str">
        <f>_xlfn.XLOOKUP(A417,CATÁLOGO!$A$2:$A$846,CATÁLOGO!$E$2:$E$846,"FORA DO CATÁLOGO")</f>
        <v>Ativo</v>
      </c>
      <c r="G417" s="14"/>
    </row>
    <row r="418" spans="1:7" x14ac:dyDescent="0.3">
      <c r="A418" s="2" t="s">
        <v>371</v>
      </c>
      <c r="B418" s="19" t="str">
        <f>_xlfn.XLOOKUP(A418,CATÁLOGO!$A$2:$A$846,CATÁLOGO!$B$2:$B$846,"FORA DO CATÁLOGO")</f>
        <v>CMS012VGG</v>
      </c>
      <c r="C418" s="13">
        <v>17</v>
      </c>
      <c r="D418" s="13">
        <v>0</v>
      </c>
      <c r="E418" s="13">
        <v>17</v>
      </c>
      <c r="F418" s="16" t="str">
        <f>_xlfn.XLOOKUP(A418,CATÁLOGO!$A$2:$A$846,CATÁLOGO!$E$2:$E$846,"FORA DO CATÁLOGO")</f>
        <v>Ativo</v>
      </c>
      <c r="G418" s="14"/>
    </row>
    <row r="419" spans="1:7" x14ac:dyDescent="0.3">
      <c r="A419" s="2" t="s">
        <v>1789</v>
      </c>
      <c r="B419" s="19" t="str">
        <f>_xlfn.XLOOKUP(A419,CATÁLOGO!$A$2:$A$846,CATÁLOGO!$B$2:$B$846,"FORA DO CATÁLOGO")</f>
        <v>CMS012YPP</v>
      </c>
      <c r="C419" s="13">
        <v>4</v>
      </c>
      <c r="D419" s="13">
        <v>0</v>
      </c>
      <c r="E419" s="13">
        <v>4</v>
      </c>
      <c r="F419" s="16" t="str">
        <f>_xlfn.XLOOKUP(A419,CATÁLOGO!$A$2:$A$846,CATÁLOGO!$E$2:$E$846,"FORA DO CATÁLOGO")</f>
        <v>Ativo</v>
      </c>
      <c r="G419" s="14"/>
    </row>
    <row r="420" spans="1:7" x14ac:dyDescent="0.3">
      <c r="A420" s="2" t="s">
        <v>372</v>
      </c>
      <c r="B420" s="19" t="str">
        <f>_xlfn.XLOOKUP(A420,CATÁLOGO!$A$2:$A$846,CATÁLOGO!$B$2:$B$846,"FORA DO CATÁLOGO")</f>
        <v>CMS012YP</v>
      </c>
      <c r="C420" s="13">
        <v>10</v>
      </c>
      <c r="D420" s="13">
        <v>0</v>
      </c>
      <c r="E420" s="13">
        <v>10</v>
      </c>
      <c r="F420" s="16" t="str">
        <f>_xlfn.XLOOKUP(A420,CATÁLOGO!$A$2:$A$846,CATÁLOGO!$E$2:$E$846,"FORA DO CATÁLOGO")</f>
        <v>Ativo</v>
      </c>
      <c r="G420" s="14"/>
    </row>
    <row r="421" spans="1:7" x14ac:dyDescent="0.3">
      <c r="A421" s="2" t="s">
        <v>373</v>
      </c>
      <c r="B421" s="19" t="str">
        <f>_xlfn.XLOOKUP(A421,CATÁLOGO!$A$2:$A$846,CATÁLOGO!$B$2:$B$846,"FORA DO CATÁLOGO")</f>
        <v>CMS012YM</v>
      </c>
      <c r="C421" s="13">
        <v>32</v>
      </c>
      <c r="D421" s="13">
        <v>0</v>
      </c>
      <c r="E421" s="13">
        <v>32</v>
      </c>
      <c r="F421" s="16" t="str">
        <f>_xlfn.XLOOKUP(A421,CATÁLOGO!$A$2:$A$846,CATÁLOGO!$E$2:$E$846,"FORA DO CATÁLOGO")</f>
        <v>Ativo</v>
      </c>
      <c r="G421" s="14"/>
    </row>
    <row r="422" spans="1:7" x14ac:dyDescent="0.3">
      <c r="A422" s="2" t="s">
        <v>374</v>
      </c>
      <c r="B422" s="19" t="str">
        <f>_xlfn.XLOOKUP(A422,CATÁLOGO!$A$2:$A$846,CATÁLOGO!$B$2:$B$846,"FORA DO CATÁLOGO")</f>
        <v>CMS012YG</v>
      </c>
      <c r="C422" s="13">
        <v>19</v>
      </c>
      <c r="D422" s="13">
        <v>0</v>
      </c>
      <c r="E422" s="13">
        <v>19</v>
      </c>
      <c r="F422" s="16" t="str">
        <f>_xlfn.XLOOKUP(A422,CATÁLOGO!$A$2:$A$846,CATÁLOGO!$E$2:$E$846,"FORA DO CATÁLOGO")</f>
        <v>Ativo</v>
      </c>
      <c r="G422" s="14"/>
    </row>
    <row r="423" spans="1:7" x14ac:dyDescent="0.3">
      <c r="A423" s="2" t="s">
        <v>375</v>
      </c>
      <c r="B423" s="19" t="str">
        <f>_xlfn.XLOOKUP(A423,CATÁLOGO!$A$2:$A$846,CATÁLOGO!$B$2:$B$846,"FORA DO CATÁLOGO")</f>
        <v>CMS012YGG</v>
      </c>
      <c r="C423" s="13">
        <v>8</v>
      </c>
      <c r="D423" s="13">
        <v>0</v>
      </c>
      <c r="E423" s="13">
        <v>8</v>
      </c>
      <c r="F423" s="16" t="str">
        <f>_xlfn.XLOOKUP(A423,CATÁLOGO!$A$2:$A$846,CATÁLOGO!$E$2:$E$846,"FORA DO CATÁLOGO")</f>
        <v>Ativo</v>
      </c>
      <c r="G423" s="14"/>
    </row>
    <row r="424" spans="1:7" x14ac:dyDescent="0.3">
      <c r="A424" s="2" t="s">
        <v>376</v>
      </c>
      <c r="B424" s="19" t="str">
        <f>_xlfn.XLOOKUP(A424,CATÁLOGO!$A$2:$A$846,CATÁLOGO!$B$2:$B$846,"FORA DO CATÁLOGO")</f>
        <v>TRI012CP</v>
      </c>
      <c r="C424" s="13">
        <v>10</v>
      </c>
      <c r="D424" s="13">
        <v>0</v>
      </c>
      <c r="E424" s="13">
        <v>10</v>
      </c>
      <c r="F424" s="16" t="str">
        <f>_xlfn.XLOOKUP(A424,CATÁLOGO!$A$2:$A$846,CATÁLOGO!$E$2:$E$846,"FORA DO CATÁLOGO")</f>
        <v>Ativo</v>
      </c>
      <c r="G424" s="14"/>
    </row>
    <row r="425" spans="1:7" x14ac:dyDescent="0.3">
      <c r="A425" s="2" t="s">
        <v>377</v>
      </c>
      <c r="B425" s="19" t="str">
        <f>_xlfn.XLOOKUP(A425,CATÁLOGO!$A$2:$A$846,CATÁLOGO!$B$2:$B$846,"FORA DO CATÁLOGO")</f>
        <v>TRI012CM</v>
      </c>
      <c r="C425" s="13">
        <v>15</v>
      </c>
      <c r="D425" s="13">
        <v>0</v>
      </c>
      <c r="E425" s="13">
        <v>15</v>
      </c>
      <c r="F425" s="16" t="str">
        <f>_xlfn.XLOOKUP(A425,CATÁLOGO!$A$2:$A$846,CATÁLOGO!$E$2:$E$846,"FORA DO CATÁLOGO")</f>
        <v>Ativo</v>
      </c>
      <c r="G425" s="14"/>
    </row>
    <row r="426" spans="1:7" x14ac:dyDescent="0.3">
      <c r="A426" s="2" t="s">
        <v>378</v>
      </c>
      <c r="B426" s="19" t="str">
        <f>_xlfn.XLOOKUP(A426,CATÁLOGO!$A$2:$A$846,CATÁLOGO!$B$2:$B$846,"FORA DO CATÁLOGO")</f>
        <v>TRI012CG</v>
      </c>
      <c r="C426" s="13">
        <v>10</v>
      </c>
      <c r="D426" s="13">
        <v>0</v>
      </c>
      <c r="E426" s="13">
        <v>10</v>
      </c>
      <c r="F426" s="16" t="str">
        <f>_xlfn.XLOOKUP(A426,CATÁLOGO!$A$2:$A$846,CATÁLOGO!$E$2:$E$846,"FORA DO CATÁLOGO")</f>
        <v>Ativo</v>
      </c>
      <c r="G426" s="14"/>
    </row>
    <row r="427" spans="1:7" x14ac:dyDescent="0.3">
      <c r="A427" s="2" t="s">
        <v>379</v>
      </c>
      <c r="B427" s="19" t="str">
        <f>_xlfn.XLOOKUP(A427,CATÁLOGO!$A$2:$A$846,CATÁLOGO!$B$2:$B$846,"FORA DO CATÁLOGO")</f>
        <v>TRI012CGG</v>
      </c>
      <c r="C427" s="13">
        <v>4</v>
      </c>
      <c r="D427" s="13">
        <v>0</v>
      </c>
      <c r="E427" s="13">
        <v>4</v>
      </c>
      <c r="F427" s="16" t="str">
        <f>_xlfn.XLOOKUP(A427,CATÁLOGO!$A$2:$A$846,CATÁLOGO!$E$2:$E$846,"FORA DO CATÁLOGO")</f>
        <v>Ativo</v>
      </c>
      <c r="G427" s="14"/>
    </row>
    <row r="428" spans="1:7" x14ac:dyDescent="0.3">
      <c r="A428" s="2" t="s">
        <v>380</v>
      </c>
      <c r="B428" s="19" t="str">
        <f>_xlfn.XLOOKUP(A428,CATÁLOGO!$A$2:$A$846,CATÁLOGO!$B$2:$B$846,"FORA DO CATÁLOGO")</f>
        <v>CMS013BP</v>
      </c>
      <c r="C428" s="13">
        <v>4</v>
      </c>
      <c r="D428" s="13">
        <v>0</v>
      </c>
      <c r="E428" s="13">
        <v>4</v>
      </c>
      <c r="F428" s="16" t="str">
        <f>_xlfn.XLOOKUP(A428,CATÁLOGO!$A$2:$A$846,CATÁLOGO!$E$2:$E$846,"FORA DO CATÁLOGO")</f>
        <v>Ativo</v>
      </c>
      <c r="G428" s="14"/>
    </row>
    <row r="429" spans="1:7" x14ac:dyDescent="0.3">
      <c r="A429" s="2" t="s">
        <v>381</v>
      </c>
      <c r="B429" s="19" t="str">
        <f>_xlfn.XLOOKUP(A429,CATÁLOGO!$A$2:$A$846,CATÁLOGO!$B$2:$B$846,"FORA DO CATÁLOGO")</f>
        <v>CMS013BM</v>
      </c>
      <c r="C429" s="13">
        <v>9</v>
      </c>
      <c r="D429" s="13">
        <v>0</v>
      </c>
      <c r="E429" s="13">
        <v>9</v>
      </c>
      <c r="F429" s="16" t="str">
        <f>_xlfn.XLOOKUP(A429,CATÁLOGO!$A$2:$A$846,CATÁLOGO!$E$2:$E$846,"FORA DO CATÁLOGO")</f>
        <v>Ativo</v>
      </c>
      <c r="G429" s="14"/>
    </row>
    <row r="430" spans="1:7" x14ac:dyDescent="0.3">
      <c r="A430" s="2" t="s">
        <v>382</v>
      </c>
      <c r="B430" s="19" t="str">
        <f>_xlfn.XLOOKUP(A430,CATÁLOGO!$A$2:$A$846,CATÁLOGO!$B$2:$B$846,"FORA DO CATÁLOGO")</f>
        <v>CMS013BG</v>
      </c>
      <c r="C430" s="13">
        <v>1</v>
      </c>
      <c r="D430" s="13">
        <v>0</v>
      </c>
      <c r="E430" s="13">
        <v>1</v>
      </c>
      <c r="F430" s="16" t="str">
        <f>_xlfn.XLOOKUP(A430,CATÁLOGO!$A$2:$A$846,CATÁLOGO!$E$2:$E$846,"FORA DO CATÁLOGO")</f>
        <v>Ativo</v>
      </c>
      <c r="G430" s="14"/>
    </row>
    <row r="431" spans="1:7" x14ac:dyDescent="0.3">
      <c r="A431" s="2" t="s">
        <v>384</v>
      </c>
      <c r="B431" s="19" t="str">
        <f>_xlfn.XLOOKUP(A431,CATÁLOGO!$A$2:$A$846,CATÁLOGO!$B$2:$B$846,"FORA DO CATÁLOGO")</f>
        <v>TOP001YM</v>
      </c>
      <c r="C431" s="13">
        <v>11</v>
      </c>
      <c r="D431" s="13">
        <v>0</v>
      </c>
      <c r="E431" s="13">
        <v>11</v>
      </c>
      <c r="F431" s="16" t="str">
        <f>_xlfn.XLOOKUP(A431,CATÁLOGO!$A$2:$A$846,CATÁLOGO!$E$2:$E$846,"FORA DO CATÁLOGO")</f>
        <v>Ativo</v>
      </c>
      <c r="G431" s="14"/>
    </row>
    <row r="432" spans="1:7" x14ac:dyDescent="0.3">
      <c r="A432" s="2" t="s">
        <v>385</v>
      </c>
      <c r="B432" s="19" t="str">
        <f>_xlfn.XLOOKUP(A432,CATÁLOGO!$A$2:$A$846,CATÁLOGO!$B$2:$B$846,"FORA DO CATÁLOGO")</f>
        <v>TOP001YG</v>
      </c>
      <c r="C432" s="13">
        <v>8</v>
      </c>
      <c r="D432" s="13">
        <v>0</v>
      </c>
      <c r="E432" s="13">
        <v>8</v>
      </c>
      <c r="F432" s="16" t="str">
        <f>_xlfn.XLOOKUP(A432,CATÁLOGO!$A$2:$A$846,CATÁLOGO!$E$2:$E$846,"FORA DO CATÁLOGO")</f>
        <v>Ativo</v>
      </c>
      <c r="G432" s="14"/>
    </row>
    <row r="433" spans="1:7" x14ac:dyDescent="0.3">
      <c r="A433" s="2" t="s">
        <v>390</v>
      </c>
      <c r="B433" s="19" t="str">
        <f>_xlfn.XLOOKUP(A433,CATÁLOGO!$A$2:$A$846,CATÁLOGO!$B$2:$B$846,"FORA DO CATÁLOGO")</f>
        <v>CAM019VM</v>
      </c>
      <c r="C433" s="13">
        <v>6</v>
      </c>
      <c r="D433" s="13">
        <v>1</v>
      </c>
      <c r="E433" s="13">
        <v>5</v>
      </c>
      <c r="F433" s="16" t="str">
        <f>_xlfn.XLOOKUP(A433,CATÁLOGO!$A$2:$A$846,CATÁLOGO!$E$2:$E$846,"FORA DO CATÁLOGO")</f>
        <v>Ativo</v>
      </c>
      <c r="G433" s="14"/>
    </row>
    <row r="434" spans="1:7" x14ac:dyDescent="0.3">
      <c r="A434" s="2" t="s">
        <v>391</v>
      </c>
      <c r="B434" s="19" t="str">
        <f>_xlfn.XLOOKUP(A434,CATÁLOGO!$A$2:$A$846,CATÁLOGO!$B$2:$B$846,"FORA DO CATÁLOGO")</f>
        <v>CAM019VG</v>
      </c>
      <c r="C434" s="13">
        <v>2</v>
      </c>
      <c r="D434" s="13">
        <v>1</v>
      </c>
      <c r="E434" s="13">
        <v>1</v>
      </c>
      <c r="F434" s="16" t="str">
        <f>_xlfn.XLOOKUP(A434,CATÁLOGO!$A$2:$A$846,CATÁLOGO!$E$2:$E$846,"FORA DO CATÁLOGO")</f>
        <v>Ativo</v>
      </c>
      <c r="G434" s="14"/>
    </row>
    <row r="435" spans="1:7" x14ac:dyDescent="0.3">
      <c r="A435" s="2" t="s">
        <v>392</v>
      </c>
      <c r="B435" s="19" t="str">
        <f>_xlfn.XLOOKUP(A435,CATÁLOGO!$A$2:$A$846,CATÁLOGO!$B$2:$B$846,"FORA DO CATÁLOGO")</f>
        <v>CAM019VGG</v>
      </c>
      <c r="C435" s="13">
        <v>1</v>
      </c>
      <c r="D435" s="13">
        <v>0</v>
      </c>
      <c r="E435" s="13">
        <v>1</v>
      </c>
      <c r="F435" s="16" t="str">
        <f>_xlfn.XLOOKUP(A435,CATÁLOGO!$A$2:$A$846,CATÁLOGO!$E$2:$E$846,"FORA DO CATÁLOGO")</f>
        <v>Ativo</v>
      </c>
      <c r="G435" s="14"/>
    </row>
    <row r="436" spans="1:7" x14ac:dyDescent="0.3">
      <c r="A436" s="2" t="s">
        <v>1804</v>
      </c>
      <c r="B436" s="19" t="str">
        <f>_xlfn.XLOOKUP(A436,CATÁLOGO!$A$2:$A$846,CATÁLOGO!$B$2:$B$846,"FORA DO CATÁLOGO")</f>
        <v>JAQ007OPP</v>
      </c>
      <c r="C436" s="13">
        <v>4</v>
      </c>
      <c r="D436" s="13">
        <v>0</v>
      </c>
      <c r="E436" s="13">
        <v>4</v>
      </c>
      <c r="F436" s="16" t="str">
        <f>_xlfn.XLOOKUP(A436,CATÁLOGO!$A$2:$A$846,CATÁLOGO!$E$2:$E$846,"FORA DO CATÁLOGO")</f>
        <v>Ativo</v>
      </c>
      <c r="G436" s="14"/>
    </row>
    <row r="437" spans="1:7" x14ac:dyDescent="0.3">
      <c r="A437" s="2" t="s">
        <v>393</v>
      </c>
      <c r="B437" s="19" t="str">
        <f>_xlfn.XLOOKUP(A437,CATÁLOGO!$A$2:$A$846,CATÁLOGO!$B$2:$B$846,"FORA DO CATÁLOGO")</f>
        <v>JAQ007OP</v>
      </c>
      <c r="C437" s="13">
        <v>13</v>
      </c>
      <c r="D437" s="13">
        <v>0</v>
      </c>
      <c r="E437" s="13">
        <v>13</v>
      </c>
      <c r="F437" s="16" t="str">
        <f>_xlfn.XLOOKUP(A437,CATÁLOGO!$A$2:$A$846,CATÁLOGO!$E$2:$E$846,"FORA DO CATÁLOGO")</f>
        <v>Ativo</v>
      </c>
      <c r="G437" s="14"/>
    </row>
    <row r="438" spans="1:7" x14ac:dyDescent="0.3">
      <c r="A438" s="2" t="s">
        <v>394</v>
      </c>
      <c r="B438" s="19" t="str">
        <f>_xlfn.XLOOKUP(A438,CATÁLOGO!$A$2:$A$846,CATÁLOGO!$B$2:$B$846,"FORA DO CATÁLOGO")</f>
        <v>JAQ007OM</v>
      </c>
      <c r="C438" s="13">
        <v>9</v>
      </c>
      <c r="D438" s="13">
        <v>0</v>
      </c>
      <c r="E438" s="13">
        <v>9</v>
      </c>
      <c r="F438" s="16" t="str">
        <f>_xlfn.XLOOKUP(A438,CATÁLOGO!$A$2:$A$846,CATÁLOGO!$E$2:$E$846,"FORA DO CATÁLOGO")</f>
        <v>Ativo</v>
      </c>
      <c r="G438" s="14"/>
    </row>
    <row r="439" spans="1:7" x14ac:dyDescent="0.3">
      <c r="A439" s="2" t="s">
        <v>395</v>
      </c>
      <c r="B439" s="19" t="str">
        <f>_xlfn.XLOOKUP(A439,CATÁLOGO!$A$2:$A$846,CATÁLOGO!$B$2:$B$846,"FORA DO CATÁLOGO")</f>
        <v>JAQ007OG</v>
      </c>
      <c r="C439" s="13">
        <v>7</v>
      </c>
      <c r="D439" s="13">
        <v>0</v>
      </c>
      <c r="E439" s="13">
        <v>7</v>
      </c>
      <c r="F439" s="16" t="str">
        <f>_xlfn.XLOOKUP(A439,CATÁLOGO!$A$2:$A$846,CATÁLOGO!$E$2:$E$846,"FORA DO CATÁLOGO")</f>
        <v>Ativo</v>
      </c>
      <c r="G439" s="14"/>
    </row>
    <row r="440" spans="1:7" x14ac:dyDescent="0.3">
      <c r="A440" s="2" t="s">
        <v>396</v>
      </c>
      <c r="B440" s="19" t="str">
        <f>_xlfn.XLOOKUP(A440,CATÁLOGO!$A$2:$A$846,CATÁLOGO!$B$2:$B$846,"FORA DO CATÁLOGO")</f>
        <v>JAQ007OGG</v>
      </c>
      <c r="C440" s="13">
        <v>8</v>
      </c>
      <c r="D440" s="13">
        <v>0</v>
      </c>
      <c r="E440" s="13">
        <v>8</v>
      </c>
      <c r="F440" s="16" t="str">
        <f>_xlfn.XLOOKUP(A440,CATÁLOGO!$A$2:$A$846,CATÁLOGO!$E$2:$E$846,"FORA DO CATÁLOGO")</f>
        <v>Ativo</v>
      </c>
      <c r="G440" s="14"/>
    </row>
    <row r="441" spans="1:7" x14ac:dyDescent="0.3">
      <c r="A441" s="2" t="s">
        <v>1794</v>
      </c>
      <c r="B441" s="19" t="str">
        <f>_xlfn.XLOOKUP(A441,CATÁLOGO!$A$2:$A$846,CATÁLOGO!$B$2:$B$846,"FORA DO CATÁLOGO")</f>
        <v>CMS014YPP</v>
      </c>
      <c r="C441" s="13">
        <v>7</v>
      </c>
      <c r="D441" s="13">
        <v>0</v>
      </c>
      <c r="E441" s="13">
        <v>7</v>
      </c>
      <c r="F441" s="16" t="str">
        <f>_xlfn.XLOOKUP(A441,CATÁLOGO!$A$2:$A$846,CATÁLOGO!$E$2:$E$846,"FORA DO CATÁLOGO")</f>
        <v>Ativo</v>
      </c>
      <c r="G441" s="14"/>
    </row>
    <row r="442" spans="1:7" x14ac:dyDescent="0.3">
      <c r="A442" s="2" t="s">
        <v>400</v>
      </c>
      <c r="B442" s="19" t="str">
        <f>_xlfn.XLOOKUP(A442,CATÁLOGO!$A$2:$A$846,CATÁLOGO!$B$2:$B$846,"FORA DO CATÁLOGO")</f>
        <v>CMS014YP</v>
      </c>
      <c r="C442" s="13">
        <v>14</v>
      </c>
      <c r="D442" s="13">
        <v>0</v>
      </c>
      <c r="E442" s="13">
        <v>14</v>
      </c>
      <c r="F442" s="16" t="str">
        <f>_xlfn.XLOOKUP(A442,CATÁLOGO!$A$2:$A$846,CATÁLOGO!$E$2:$E$846,"FORA DO CATÁLOGO")</f>
        <v>Ativo</v>
      </c>
      <c r="G442" s="14"/>
    </row>
    <row r="443" spans="1:7" x14ac:dyDescent="0.3">
      <c r="A443" s="2" t="s">
        <v>401</v>
      </c>
      <c r="B443" s="19" t="str">
        <f>_xlfn.XLOOKUP(A443,CATÁLOGO!$A$2:$A$846,CATÁLOGO!$B$2:$B$846,"FORA DO CATÁLOGO")</f>
        <v>CMS014YM</v>
      </c>
      <c r="C443" s="13">
        <v>14</v>
      </c>
      <c r="D443" s="13">
        <v>0</v>
      </c>
      <c r="E443" s="13">
        <v>14</v>
      </c>
      <c r="F443" s="16" t="str">
        <f>_xlfn.XLOOKUP(A443,CATÁLOGO!$A$2:$A$846,CATÁLOGO!$E$2:$E$846,"FORA DO CATÁLOGO")</f>
        <v>Ativo</v>
      </c>
      <c r="G443" s="14"/>
    </row>
    <row r="444" spans="1:7" x14ac:dyDescent="0.3">
      <c r="A444" s="2" t="s">
        <v>403</v>
      </c>
      <c r="B444" s="19" t="str">
        <f>_xlfn.XLOOKUP(A444,CATÁLOGO!$A$2:$A$846,CATÁLOGO!$B$2:$B$846,"FORA DO CATÁLOGO")</f>
        <v>CMS014YGG</v>
      </c>
      <c r="C444" s="13">
        <v>9</v>
      </c>
      <c r="D444" s="13">
        <v>0</v>
      </c>
      <c r="E444" s="13">
        <v>9</v>
      </c>
      <c r="F444" s="16" t="str">
        <f>_xlfn.XLOOKUP(A444,CATÁLOGO!$A$2:$A$846,CATÁLOGO!$E$2:$E$846,"FORA DO CATÁLOGO")</f>
        <v>Ativo</v>
      </c>
      <c r="G444" s="14"/>
    </row>
    <row r="445" spans="1:7" x14ac:dyDescent="0.3">
      <c r="A445" s="2" t="s">
        <v>1288</v>
      </c>
      <c r="B445" s="19" t="str">
        <f>_xlfn.XLOOKUP(A445,CATÁLOGO!$A$2:$A$846,CATÁLOGO!$B$2:$B$846,"FORA DO CATÁLOGO")</f>
        <v>CAM020YP</v>
      </c>
      <c r="C445" s="13">
        <v>13</v>
      </c>
      <c r="D445" s="13">
        <v>0</v>
      </c>
      <c r="E445" s="13">
        <v>13</v>
      </c>
      <c r="F445" s="16" t="str">
        <f>_xlfn.XLOOKUP(A445,CATÁLOGO!$A$2:$A$846,CATÁLOGO!$E$2:$E$846,"FORA DO CATÁLOGO")</f>
        <v>Ativo</v>
      </c>
      <c r="G445" s="14"/>
    </row>
    <row r="446" spans="1:7" x14ac:dyDescent="0.3">
      <c r="A446" s="2" t="s">
        <v>409</v>
      </c>
      <c r="B446" s="19" t="str">
        <f>_xlfn.XLOOKUP(A446,CATÁLOGO!$A$2:$A$846,CATÁLOGO!$B$2:$B$846,"FORA DO CATÁLOGO")</f>
        <v>CAM020YM</v>
      </c>
      <c r="C446" s="13">
        <v>11</v>
      </c>
      <c r="D446" s="13">
        <v>0</v>
      </c>
      <c r="E446" s="13">
        <v>11</v>
      </c>
      <c r="F446" s="16" t="str">
        <f>_xlfn.XLOOKUP(A446,CATÁLOGO!$A$2:$A$846,CATÁLOGO!$E$2:$E$846,"FORA DO CATÁLOGO")</f>
        <v>Ativo</v>
      </c>
      <c r="G446" s="14"/>
    </row>
    <row r="447" spans="1:7" x14ac:dyDescent="0.3">
      <c r="A447" s="2" t="s">
        <v>410</v>
      </c>
      <c r="B447" s="19" t="str">
        <f>_xlfn.XLOOKUP(A447,CATÁLOGO!$A$2:$A$846,CATÁLOGO!$B$2:$B$846,"FORA DO CATÁLOGO")</f>
        <v>CAM020YG</v>
      </c>
      <c r="C447" s="13">
        <v>21</v>
      </c>
      <c r="D447" s="13">
        <v>0</v>
      </c>
      <c r="E447" s="13">
        <v>21</v>
      </c>
      <c r="F447" s="16" t="str">
        <f>_xlfn.XLOOKUP(A447,CATÁLOGO!$A$2:$A$846,CATÁLOGO!$E$2:$E$846,"FORA DO CATÁLOGO")</f>
        <v>Ativo</v>
      </c>
      <c r="G447" s="14"/>
    </row>
    <row r="448" spans="1:7" x14ac:dyDescent="0.3">
      <c r="A448" s="2" t="s">
        <v>411</v>
      </c>
      <c r="B448" s="19" t="str">
        <f>_xlfn.XLOOKUP(A448,CATÁLOGO!$A$2:$A$846,CATÁLOGO!$B$2:$B$846,"FORA DO CATÁLOGO")</f>
        <v>CAM020YGG</v>
      </c>
      <c r="C448" s="13">
        <v>3</v>
      </c>
      <c r="D448" s="13">
        <v>0</v>
      </c>
      <c r="E448" s="13">
        <v>3</v>
      </c>
      <c r="F448" s="16" t="str">
        <f>_xlfn.XLOOKUP(A448,CATÁLOGO!$A$2:$A$846,CATÁLOGO!$E$2:$E$846,"FORA DO CATÁLOGO")</f>
        <v>Ativo</v>
      </c>
      <c r="G448" s="14"/>
    </row>
    <row r="449" spans="1:7" x14ac:dyDescent="0.3">
      <c r="A449" s="2" t="s">
        <v>412</v>
      </c>
      <c r="B449" s="19" t="str">
        <f>_xlfn.XLOOKUP(A449,CATÁLOGO!$A$2:$A$846,CATÁLOGO!$B$2:$B$846,"FORA DO CATÁLOGO")</f>
        <v>CAM020LP</v>
      </c>
      <c r="C449" s="13">
        <v>2</v>
      </c>
      <c r="D449" s="13">
        <v>2</v>
      </c>
      <c r="E449" s="13">
        <v>0</v>
      </c>
      <c r="F449" s="16" t="str">
        <f>_xlfn.XLOOKUP(A449,CATÁLOGO!$A$2:$A$846,CATÁLOGO!$E$2:$E$846,"FORA DO CATÁLOGO")</f>
        <v>Ativo</v>
      </c>
      <c r="G449" s="14"/>
    </row>
    <row r="450" spans="1:7" x14ac:dyDescent="0.3">
      <c r="A450" s="2" t="s">
        <v>413</v>
      </c>
      <c r="B450" s="19" t="str">
        <f>_xlfn.XLOOKUP(A450,CATÁLOGO!$A$2:$A$846,CATÁLOGO!$B$2:$B$846,"FORA DO CATÁLOGO")</f>
        <v>CAM020LM</v>
      </c>
      <c r="C450" s="13">
        <v>21</v>
      </c>
      <c r="D450" s="13">
        <v>0</v>
      </c>
      <c r="E450" s="13">
        <v>21</v>
      </c>
      <c r="F450" s="16" t="str">
        <f>_xlfn.XLOOKUP(A450,CATÁLOGO!$A$2:$A$846,CATÁLOGO!$E$2:$E$846,"FORA DO CATÁLOGO")</f>
        <v>Ativo</v>
      </c>
      <c r="G450" s="14"/>
    </row>
    <row r="451" spans="1:7" x14ac:dyDescent="0.3">
      <c r="A451" s="2" t="s">
        <v>414</v>
      </c>
      <c r="B451" s="19" t="str">
        <f>_xlfn.XLOOKUP(A451,CATÁLOGO!$A$2:$A$846,CATÁLOGO!$B$2:$B$846,"FORA DO CATÁLOGO")</f>
        <v>CAM020LG</v>
      </c>
      <c r="C451" s="13">
        <v>2</v>
      </c>
      <c r="D451" s="13">
        <v>0</v>
      </c>
      <c r="E451" s="13">
        <v>2</v>
      </c>
      <c r="F451" s="16" t="str">
        <f>_xlfn.XLOOKUP(A451,CATÁLOGO!$A$2:$A$846,CATÁLOGO!$E$2:$E$846,"FORA DO CATÁLOGO")</f>
        <v>Ativo</v>
      </c>
      <c r="G451" s="14"/>
    </row>
    <row r="452" spans="1:7" x14ac:dyDescent="0.3">
      <c r="A452" s="2" t="s">
        <v>1507</v>
      </c>
      <c r="B452" s="19" t="str">
        <f>_xlfn.XLOOKUP(A452,CATÁLOGO!$A$2:$A$846,CATÁLOGO!$B$2:$B$846,"FORA DO CATÁLOGO")</f>
        <v>BER010L38</v>
      </c>
      <c r="C452" s="13">
        <v>2</v>
      </c>
      <c r="D452" s="13">
        <v>2</v>
      </c>
      <c r="E452" s="13">
        <v>0</v>
      </c>
      <c r="F452" s="16" t="str">
        <f>_xlfn.XLOOKUP(A452,CATÁLOGO!$A$2:$A$846,CATÁLOGO!$E$2:$E$846,"FORA DO CATÁLOGO")</f>
        <v>Descontinuado</v>
      </c>
      <c r="G452" s="14"/>
    </row>
    <row r="453" spans="1:7" x14ac:dyDescent="0.3">
      <c r="A453" s="2" t="s">
        <v>1505</v>
      </c>
      <c r="B453" s="19" t="str">
        <f>_xlfn.XLOOKUP(A453,CATÁLOGO!$A$2:$A$846,CATÁLOGO!$B$2:$B$846,"FORA DO CATÁLOGO")</f>
        <v>BER010L44</v>
      </c>
      <c r="C453" s="13">
        <v>1</v>
      </c>
      <c r="D453" s="13">
        <v>1</v>
      </c>
      <c r="E453" s="13">
        <v>0</v>
      </c>
      <c r="F453" s="16" t="str">
        <f>_xlfn.XLOOKUP(A453,CATÁLOGO!$A$2:$A$846,CATÁLOGO!$E$2:$E$846,"FORA DO CATÁLOGO")</f>
        <v>Descontinuado</v>
      </c>
      <c r="G453" s="14"/>
    </row>
    <row r="454" spans="1:7" x14ac:dyDescent="0.3">
      <c r="A454" s="2" t="s">
        <v>1691</v>
      </c>
      <c r="B454" s="19" t="str">
        <f>_xlfn.XLOOKUP(A454,CATÁLOGO!$A$2:$A$846,CATÁLOGO!$B$2:$B$846,"FORA DO CATÁLOGO")</f>
        <v>CAL025E36</v>
      </c>
      <c r="C454" s="13">
        <v>1</v>
      </c>
      <c r="D454" s="13">
        <v>0</v>
      </c>
      <c r="E454" s="13">
        <v>1</v>
      </c>
      <c r="F454" s="16" t="str">
        <f>_xlfn.XLOOKUP(A454,CATÁLOGO!$A$2:$A$846,CATÁLOGO!$E$2:$E$846,"FORA DO CATÁLOGO")</f>
        <v>Descontinuado</v>
      </c>
      <c r="G454" s="14"/>
    </row>
    <row r="455" spans="1:7" x14ac:dyDescent="0.3">
      <c r="A455" s="2" t="s">
        <v>1690</v>
      </c>
      <c r="B455" s="19" t="str">
        <f>_xlfn.XLOOKUP(A455,CATÁLOGO!$A$2:$A$846,CATÁLOGO!$B$2:$B$846,"FORA DO CATÁLOGO")</f>
        <v>CAL025E38</v>
      </c>
      <c r="C455" s="13">
        <v>13</v>
      </c>
      <c r="D455" s="13">
        <v>0</v>
      </c>
      <c r="E455" s="13">
        <v>13</v>
      </c>
      <c r="F455" s="16" t="str">
        <f>_xlfn.XLOOKUP(A455,CATÁLOGO!$A$2:$A$846,CATÁLOGO!$E$2:$E$846,"FORA DO CATÁLOGO")</f>
        <v>Descontinuado</v>
      </c>
      <c r="G455" s="14"/>
    </row>
    <row r="456" spans="1:7" x14ac:dyDescent="0.3">
      <c r="A456" s="2" t="s">
        <v>1689</v>
      </c>
      <c r="B456" s="19" t="str">
        <f>_xlfn.XLOOKUP(A456,CATÁLOGO!$A$2:$A$846,CATÁLOGO!$B$2:$B$846,"FORA DO CATÁLOGO")</f>
        <v>CAL025E40</v>
      </c>
      <c r="C456" s="13">
        <v>11</v>
      </c>
      <c r="D456" s="13">
        <v>0</v>
      </c>
      <c r="E456" s="13">
        <v>11</v>
      </c>
      <c r="F456" s="16" t="str">
        <f>_xlfn.XLOOKUP(A456,CATÁLOGO!$A$2:$A$846,CATÁLOGO!$E$2:$E$846,"FORA DO CATÁLOGO")</f>
        <v>Descontinuado</v>
      </c>
      <c r="G456" s="14"/>
    </row>
    <row r="457" spans="1:7" x14ac:dyDescent="0.3">
      <c r="A457" s="2" t="s">
        <v>1686</v>
      </c>
      <c r="B457" s="19" t="str">
        <f>_xlfn.XLOOKUP(A457,CATÁLOGO!$A$2:$A$846,CATÁLOGO!$B$2:$B$846,"FORA DO CATÁLOGO")</f>
        <v>CAL025E42</v>
      </c>
      <c r="C457" s="13">
        <v>10</v>
      </c>
      <c r="D457" s="13">
        <v>0</v>
      </c>
      <c r="E457" s="13">
        <v>10</v>
      </c>
      <c r="F457" s="16" t="str">
        <f>_xlfn.XLOOKUP(A457,CATÁLOGO!$A$2:$A$846,CATÁLOGO!$E$2:$E$846,"FORA DO CATÁLOGO")</f>
        <v>Descontinuado</v>
      </c>
      <c r="G457" s="14"/>
    </row>
    <row r="458" spans="1:7" x14ac:dyDescent="0.3">
      <c r="A458" s="2" t="s">
        <v>1688</v>
      </c>
      <c r="B458" s="19" t="str">
        <f>_xlfn.XLOOKUP(A458,CATÁLOGO!$A$2:$A$846,CATÁLOGO!$B$2:$B$846,"FORA DO CATÁLOGO")</f>
        <v>CAL025E44</v>
      </c>
      <c r="C458" s="13">
        <v>2</v>
      </c>
      <c r="D458" s="13">
        <v>0</v>
      </c>
      <c r="E458" s="13">
        <v>2</v>
      </c>
      <c r="F458" s="16" t="str">
        <f>_xlfn.XLOOKUP(A458,CATÁLOGO!$A$2:$A$846,CATÁLOGO!$E$2:$E$846,"FORA DO CATÁLOGO")</f>
        <v>Descontinuado</v>
      </c>
      <c r="G458" s="14"/>
    </row>
    <row r="459" spans="1:7" x14ac:dyDescent="0.3">
      <c r="A459" s="2" t="s">
        <v>417</v>
      </c>
      <c r="B459" s="19" t="str">
        <f>_xlfn.XLOOKUP(A459,CATÁLOGO!$A$2:$A$846,CATÁLOGO!$B$2:$B$846,"FORA DO CATÁLOGO")</f>
        <v>SAI011CP</v>
      </c>
      <c r="C459" s="13">
        <v>5</v>
      </c>
      <c r="D459" s="13">
        <v>0</v>
      </c>
      <c r="E459" s="13">
        <v>5</v>
      </c>
      <c r="F459" s="16" t="str">
        <f>_xlfn.XLOOKUP(A459,CATÁLOGO!$A$2:$A$846,CATÁLOGO!$E$2:$E$846,"FORA DO CATÁLOGO")</f>
        <v>Ativo</v>
      </c>
      <c r="G459" s="14"/>
    </row>
    <row r="460" spans="1:7" x14ac:dyDescent="0.3">
      <c r="A460" s="2" t="s">
        <v>418</v>
      </c>
      <c r="B460" s="19" t="str">
        <f>_xlfn.XLOOKUP(A460,CATÁLOGO!$A$2:$A$846,CATÁLOGO!$B$2:$B$846,"FORA DO CATÁLOGO")</f>
        <v>SAI011CM</v>
      </c>
      <c r="C460" s="13">
        <v>9</v>
      </c>
      <c r="D460" s="13">
        <v>0</v>
      </c>
      <c r="E460" s="13">
        <v>9</v>
      </c>
      <c r="F460" s="16" t="str">
        <f>_xlfn.XLOOKUP(A460,CATÁLOGO!$A$2:$A$846,CATÁLOGO!$E$2:$E$846,"FORA DO CATÁLOGO")</f>
        <v>Ativo</v>
      </c>
      <c r="G460" s="14"/>
    </row>
    <row r="461" spans="1:7" x14ac:dyDescent="0.3">
      <c r="A461" s="2" t="s">
        <v>419</v>
      </c>
      <c r="B461" s="19" t="str">
        <f>_xlfn.XLOOKUP(A461,CATÁLOGO!$A$2:$A$846,CATÁLOGO!$B$2:$B$846,"FORA DO CATÁLOGO")</f>
        <v>SAI011CG</v>
      </c>
      <c r="C461" s="13">
        <v>14</v>
      </c>
      <c r="D461" s="13">
        <v>0</v>
      </c>
      <c r="E461" s="13">
        <v>14</v>
      </c>
      <c r="F461" s="16" t="str">
        <f>_xlfn.XLOOKUP(A461,CATÁLOGO!$A$2:$A$846,CATÁLOGO!$E$2:$E$846,"FORA DO CATÁLOGO")</f>
        <v>Ativo</v>
      </c>
      <c r="G461" s="14"/>
    </row>
    <row r="462" spans="1:7" x14ac:dyDescent="0.3">
      <c r="A462" s="2" t="s">
        <v>420</v>
      </c>
      <c r="B462" s="19" t="str">
        <f>_xlfn.XLOOKUP(A462,CATÁLOGO!$A$2:$A$846,CATÁLOGO!$B$2:$B$846,"FORA DO CATÁLOGO")</f>
        <v>SAI011CGG</v>
      </c>
      <c r="C462" s="13">
        <v>5</v>
      </c>
      <c r="D462" s="13">
        <v>0</v>
      </c>
      <c r="E462" s="13">
        <v>5</v>
      </c>
      <c r="F462" s="16" t="str">
        <f>_xlfn.XLOOKUP(A462,CATÁLOGO!$A$2:$A$846,CATÁLOGO!$E$2:$E$846,"FORA DO CATÁLOGO")</f>
        <v>Ativo</v>
      </c>
      <c r="G462" s="14"/>
    </row>
    <row r="463" spans="1:7" x14ac:dyDescent="0.3">
      <c r="A463" s="2" t="s">
        <v>421</v>
      </c>
      <c r="B463" s="19" t="str">
        <f>_xlfn.XLOOKUP(A463,CATÁLOGO!$A$2:$A$846,CATÁLOGO!$B$2:$B$846,"FORA DO CATÁLOGO")</f>
        <v>MOL014VP</v>
      </c>
      <c r="C463" s="13">
        <v>23</v>
      </c>
      <c r="D463" s="13">
        <v>0</v>
      </c>
      <c r="E463" s="13">
        <v>23</v>
      </c>
      <c r="F463" s="16" t="str">
        <f>_xlfn.XLOOKUP(A463,CATÁLOGO!$A$2:$A$846,CATÁLOGO!$E$2:$E$846,"FORA DO CATÁLOGO")</f>
        <v>Ativo</v>
      </c>
      <c r="G463" s="14"/>
    </row>
    <row r="464" spans="1:7" x14ac:dyDescent="0.3">
      <c r="A464" s="2" t="s">
        <v>422</v>
      </c>
      <c r="B464" s="19" t="str">
        <f>_xlfn.XLOOKUP(A464,CATÁLOGO!$A$2:$A$846,CATÁLOGO!$B$2:$B$846,"FORA DO CATÁLOGO")</f>
        <v>MOL014VM</v>
      </c>
      <c r="C464" s="13">
        <v>42</v>
      </c>
      <c r="D464" s="13">
        <v>0</v>
      </c>
      <c r="E464" s="13">
        <v>42</v>
      </c>
      <c r="F464" s="16" t="str">
        <f>_xlfn.XLOOKUP(A464,CATÁLOGO!$A$2:$A$846,CATÁLOGO!$E$2:$E$846,"FORA DO CATÁLOGO")</f>
        <v>Ativo</v>
      </c>
      <c r="G464" s="14"/>
    </row>
    <row r="465" spans="1:7" x14ac:dyDescent="0.3">
      <c r="A465" s="2" t="s">
        <v>423</v>
      </c>
      <c r="B465" s="19" t="str">
        <f>_xlfn.XLOOKUP(A465,CATÁLOGO!$A$2:$A$846,CATÁLOGO!$B$2:$B$846,"FORA DO CATÁLOGO")</f>
        <v>MOL014VG</v>
      </c>
      <c r="C465" s="13">
        <v>31</v>
      </c>
      <c r="D465" s="13">
        <v>0</v>
      </c>
      <c r="E465" s="13">
        <v>31</v>
      </c>
      <c r="F465" s="16" t="str">
        <f>_xlfn.XLOOKUP(A465,CATÁLOGO!$A$2:$A$846,CATÁLOGO!$E$2:$E$846,"FORA DO CATÁLOGO")</f>
        <v>Ativo</v>
      </c>
      <c r="G465" s="14"/>
    </row>
    <row r="466" spans="1:7" x14ac:dyDescent="0.3">
      <c r="A466" s="2" t="s">
        <v>424</v>
      </c>
      <c r="B466" s="19" t="str">
        <f>_xlfn.XLOOKUP(A466,CATÁLOGO!$A$2:$A$846,CATÁLOGO!$B$2:$B$846,"FORA DO CATÁLOGO")</f>
        <v>MOL014VGG</v>
      </c>
      <c r="C466" s="13">
        <v>13</v>
      </c>
      <c r="D466" s="13">
        <v>0</v>
      </c>
      <c r="E466" s="13">
        <v>13</v>
      </c>
      <c r="F466" s="16" t="str">
        <f>_xlfn.XLOOKUP(A466,CATÁLOGO!$A$2:$A$846,CATÁLOGO!$E$2:$E$846,"FORA DO CATÁLOGO")</f>
        <v>Ativo</v>
      </c>
      <c r="G466" s="14"/>
    </row>
    <row r="467" spans="1:7" x14ac:dyDescent="0.3">
      <c r="A467" s="2" t="s">
        <v>1267</v>
      </c>
      <c r="B467" s="19" t="str">
        <f>_xlfn.XLOOKUP(A467,CATÁLOGO!$A$2:$A$846,CATÁLOGO!$B$2:$B$846,"FORA DO CATÁLOGO")</f>
        <v>MOL014YP</v>
      </c>
      <c r="C467" s="13">
        <v>13</v>
      </c>
      <c r="D467" s="13">
        <v>0</v>
      </c>
      <c r="E467" s="13">
        <v>13</v>
      </c>
      <c r="F467" s="16" t="str">
        <f>_xlfn.XLOOKUP(A467,CATÁLOGO!$A$2:$A$846,CATÁLOGO!$E$2:$E$846,"FORA DO CATÁLOGO")</f>
        <v>Ativo</v>
      </c>
      <c r="G467" s="14"/>
    </row>
    <row r="468" spans="1:7" x14ac:dyDescent="0.3">
      <c r="A468" s="2" t="s">
        <v>425</v>
      </c>
      <c r="B468" s="19" t="str">
        <f>_xlfn.XLOOKUP(A468,CATÁLOGO!$A$2:$A$846,CATÁLOGO!$B$2:$B$846,"FORA DO CATÁLOGO")</f>
        <v>MOL014YM</v>
      </c>
      <c r="C468" s="13">
        <v>23</v>
      </c>
      <c r="D468" s="13">
        <v>0</v>
      </c>
      <c r="E468" s="13">
        <v>23</v>
      </c>
      <c r="F468" s="16" t="str">
        <f>_xlfn.XLOOKUP(A468,CATÁLOGO!$A$2:$A$846,CATÁLOGO!$E$2:$E$846,"FORA DO CATÁLOGO")</f>
        <v>Ativo</v>
      </c>
      <c r="G468" s="14"/>
    </row>
    <row r="469" spans="1:7" x14ac:dyDescent="0.3">
      <c r="A469" s="2" t="s">
        <v>426</v>
      </c>
      <c r="B469" s="19" t="str">
        <f>_xlfn.XLOOKUP(A469,CATÁLOGO!$A$2:$A$846,CATÁLOGO!$B$2:$B$846,"FORA DO CATÁLOGO")</f>
        <v>MOL014YG</v>
      </c>
      <c r="C469" s="13">
        <v>14</v>
      </c>
      <c r="D469" s="13">
        <v>0</v>
      </c>
      <c r="E469" s="13">
        <v>14</v>
      </c>
      <c r="F469" s="16" t="str">
        <f>_xlfn.XLOOKUP(A469,CATÁLOGO!$A$2:$A$846,CATÁLOGO!$E$2:$E$846,"FORA DO CATÁLOGO")</f>
        <v>Ativo</v>
      </c>
      <c r="G469" s="14"/>
    </row>
    <row r="470" spans="1:7" x14ac:dyDescent="0.3">
      <c r="A470" s="2" t="s">
        <v>427</v>
      </c>
      <c r="B470" s="19" t="str">
        <f>_xlfn.XLOOKUP(A470,CATÁLOGO!$A$2:$A$846,CATÁLOGO!$B$2:$B$846,"FORA DO CATÁLOGO")</f>
        <v>MOL014YGG</v>
      </c>
      <c r="C470" s="13">
        <v>7</v>
      </c>
      <c r="D470" s="13">
        <v>0</v>
      </c>
      <c r="E470" s="13">
        <v>7</v>
      </c>
      <c r="F470" s="16" t="str">
        <f>_xlfn.XLOOKUP(A470,CATÁLOGO!$A$2:$A$846,CATÁLOGO!$E$2:$E$846,"FORA DO CATÁLOGO")</f>
        <v>Ativo</v>
      </c>
      <c r="G470" s="14"/>
    </row>
    <row r="471" spans="1:7" x14ac:dyDescent="0.3">
      <c r="A471" s="2" t="s">
        <v>428</v>
      </c>
      <c r="B471" s="19" t="str">
        <f>_xlfn.XLOOKUP(A471,CATÁLOGO!$A$2:$A$846,CATÁLOGO!$B$2:$B$846,"FORA DO CATÁLOGO")</f>
        <v>MOL015AP</v>
      </c>
      <c r="C471" s="13">
        <v>3</v>
      </c>
      <c r="D471" s="13">
        <v>0</v>
      </c>
      <c r="E471" s="13">
        <v>3</v>
      </c>
      <c r="F471" s="16" t="str">
        <f>_xlfn.XLOOKUP(A471,CATÁLOGO!$A$2:$A$846,CATÁLOGO!$E$2:$E$846,"FORA DO CATÁLOGO")</f>
        <v>Ativo</v>
      </c>
      <c r="G471" s="14"/>
    </row>
    <row r="472" spans="1:7" x14ac:dyDescent="0.3">
      <c r="A472" s="2" t="s">
        <v>429</v>
      </c>
      <c r="B472" s="19" t="str">
        <f>_xlfn.XLOOKUP(A472,CATÁLOGO!$A$2:$A$846,CATÁLOGO!$B$2:$B$846,"FORA DO CATÁLOGO")</f>
        <v>MOL015AM</v>
      </c>
      <c r="C472" s="13">
        <v>22</v>
      </c>
      <c r="D472" s="13">
        <v>0</v>
      </c>
      <c r="E472" s="13">
        <v>22</v>
      </c>
      <c r="F472" s="16" t="str">
        <f>_xlfn.XLOOKUP(A472,CATÁLOGO!$A$2:$A$846,CATÁLOGO!$E$2:$E$846,"FORA DO CATÁLOGO")</f>
        <v>Ativo</v>
      </c>
      <c r="G472" s="14"/>
    </row>
    <row r="473" spans="1:7" x14ac:dyDescent="0.3">
      <c r="A473" s="2" t="s">
        <v>430</v>
      </c>
      <c r="B473" s="19" t="str">
        <f>_xlfn.XLOOKUP(A473,CATÁLOGO!$A$2:$A$846,CATÁLOGO!$B$2:$B$846,"FORA DO CATÁLOGO")</f>
        <v>MOL015AG</v>
      </c>
      <c r="C473" s="13">
        <v>13</v>
      </c>
      <c r="D473" s="13">
        <v>2</v>
      </c>
      <c r="E473" s="13">
        <v>11</v>
      </c>
      <c r="F473" s="16" t="str">
        <f>_xlfn.XLOOKUP(A473,CATÁLOGO!$A$2:$A$846,CATÁLOGO!$E$2:$E$846,"FORA DO CATÁLOGO")</f>
        <v>Ativo</v>
      </c>
      <c r="G473" s="14"/>
    </row>
    <row r="474" spans="1:7" x14ac:dyDescent="0.3">
      <c r="A474" s="2" t="s">
        <v>431</v>
      </c>
      <c r="B474" s="19" t="str">
        <f>_xlfn.XLOOKUP(A474,CATÁLOGO!$A$2:$A$846,CATÁLOGO!$B$2:$B$846,"FORA DO CATÁLOGO")</f>
        <v>MOL015AGG</v>
      </c>
      <c r="C474" s="13">
        <v>2</v>
      </c>
      <c r="D474" s="13">
        <v>0</v>
      </c>
      <c r="E474" s="13">
        <v>2</v>
      </c>
      <c r="F474" s="16" t="str">
        <f>_xlfn.XLOOKUP(A474,CATÁLOGO!$A$2:$A$846,CATÁLOGO!$E$2:$E$846,"FORA DO CATÁLOGO")</f>
        <v>Ativo</v>
      </c>
      <c r="G474" s="14"/>
    </row>
    <row r="475" spans="1:7" x14ac:dyDescent="0.3">
      <c r="A475" s="2" t="s">
        <v>3</v>
      </c>
      <c r="B475" s="19" t="str">
        <f>_xlfn.XLOOKUP(A475,CATÁLOGO!$A$2:$A$846,CATÁLOGO!$B$2:$B$846,"FORA DO CATÁLOGO")</f>
        <v>JAQ001VP</v>
      </c>
      <c r="C475" s="13">
        <v>23</v>
      </c>
      <c r="D475" s="13">
        <v>0</v>
      </c>
      <c r="E475" s="13">
        <v>23</v>
      </c>
      <c r="F475" s="16" t="str">
        <f>_xlfn.XLOOKUP(A475,CATÁLOGO!$A$2:$A$846,CATÁLOGO!$E$2:$E$846,"FORA DO CATÁLOGO")</f>
        <v>Ativo</v>
      </c>
      <c r="G475" s="14"/>
    </row>
    <row r="476" spans="1:7" x14ac:dyDescent="0.3">
      <c r="A476" s="2" t="s">
        <v>5</v>
      </c>
      <c r="B476" s="19" t="str">
        <f>_xlfn.XLOOKUP(A476,CATÁLOGO!$A$2:$A$846,CATÁLOGO!$B$2:$B$846,"FORA DO CATÁLOGO")</f>
        <v>JAQ001VM</v>
      </c>
      <c r="C476" s="13">
        <v>32</v>
      </c>
      <c r="D476" s="13">
        <v>0</v>
      </c>
      <c r="E476" s="13">
        <v>32</v>
      </c>
      <c r="F476" s="16" t="str">
        <f>_xlfn.XLOOKUP(A476,CATÁLOGO!$A$2:$A$846,CATÁLOGO!$E$2:$E$846,"FORA DO CATÁLOGO")</f>
        <v>Ativo</v>
      </c>
      <c r="G476" s="14"/>
    </row>
    <row r="477" spans="1:7" x14ac:dyDescent="0.3">
      <c r="A477" s="2" t="s">
        <v>432</v>
      </c>
      <c r="B477" s="19" t="str">
        <f>_xlfn.XLOOKUP(A477,CATÁLOGO!$A$2:$A$846,CATÁLOGO!$B$2:$B$846,"FORA DO CATÁLOGO")</f>
        <v>JAQ001VG</v>
      </c>
      <c r="C477" s="13">
        <v>25</v>
      </c>
      <c r="D477" s="13">
        <v>0</v>
      </c>
      <c r="E477" s="13">
        <v>25</v>
      </c>
      <c r="F477" s="16" t="str">
        <f>_xlfn.XLOOKUP(A477,CATÁLOGO!$A$2:$A$846,CATÁLOGO!$E$2:$E$846,"FORA DO CATÁLOGO")</f>
        <v>Ativo</v>
      </c>
      <c r="G477" s="14"/>
    </row>
    <row r="478" spans="1:7" x14ac:dyDescent="0.3">
      <c r="A478" s="2" t="s">
        <v>433</v>
      </c>
      <c r="B478" s="19" t="str">
        <f>_xlfn.XLOOKUP(A478,CATÁLOGO!$A$2:$A$846,CATÁLOGO!$B$2:$B$846,"FORA DO CATÁLOGO")</f>
        <v>JAQ001VGG</v>
      </c>
      <c r="C478" s="13">
        <v>14</v>
      </c>
      <c r="D478" s="13">
        <v>2</v>
      </c>
      <c r="E478" s="13">
        <v>12</v>
      </c>
      <c r="F478" s="16" t="str">
        <f>_xlfn.XLOOKUP(A478,CATÁLOGO!$A$2:$A$846,CATÁLOGO!$E$2:$E$846,"FORA DO CATÁLOGO")</f>
        <v>Ativo</v>
      </c>
      <c r="G478" s="14"/>
    </row>
    <row r="479" spans="1:7" x14ac:dyDescent="0.3">
      <c r="A479" s="2" t="s">
        <v>434</v>
      </c>
      <c r="B479" s="19" t="str">
        <f>_xlfn.XLOOKUP(A479,CATÁLOGO!$A$2:$A$846,CATÁLOGO!$B$2:$B$846,"FORA DO CATÁLOGO")</f>
        <v>JAQ001BP</v>
      </c>
      <c r="C479" s="13">
        <v>9</v>
      </c>
      <c r="D479" s="13">
        <v>0</v>
      </c>
      <c r="E479" s="13">
        <v>9</v>
      </c>
      <c r="F479" s="16" t="str">
        <f>_xlfn.XLOOKUP(A479,CATÁLOGO!$A$2:$A$846,CATÁLOGO!$E$2:$E$846,"FORA DO CATÁLOGO")</f>
        <v>Ativo</v>
      </c>
      <c r="G479" s="14"/>
    </row>
    <row r="480" spans="1:7" x14ac:dyDescent="0.3">
      <c r="A480" s="2" t="s">
        <v>435</v>
      </c>
      <c r="B480" s="19" t="str">
        <f>_xlfn.XLOOKUP(A480,CATÁLOGO!$A$2:$A$846,CATÁLOGO!$B$2:$B$846,"FORA DO CATÁLOGO")</f>
        <v>JAQ001BM</v>
      </c>
      <c r="C480" s="13">
        <v>20</v>
      </c>
      <c r="D480" s="13">
        <v>1</v>
      </c>
      <c r="E480" s="13">
        <v>19</v>
      </c>
      <c r="F480" s="16" t="str">
        <f>_xlfn.XLOOKUP(A480,CATÁLOGO!$A$2:$A$846,CATÁLOGO!$E$2:$E$846,"FORA DO CATÁLOGO")</f>
        <v>Ativo</v>
      </c>
      <c r="G480" s="14"/>
    </row>
    <row r="481" spans="1:7" x14ac:dyDescent="0.3">
      <c r="A481" s="2" t="s">
        <v>436</v>
      </c>
      <c r="B481" s="19" t="str">
        <f>_xlfn.XLOOKUP(A481,CATÁLOGO!$A$2:$A$846,CATÁLOGO!$B$2:$B$846,"FORA DO CATÁLOGO")</f>
        <v>JAQ001BG</v>
      </c>
      <c r="C481" s="13">
        <v>16</v>
      </c>
      <c r="D481" s="13">
        <v>0</v>
      </c>
      <c r="E481" s="13">
        <v>16</v>
      </c>
      <c r="F481" s="16" t="str">
        <f>_xlfn.XLOOKUP(A481,CATÁLOGO!$A$2:$A$846,CATÁLOGO!$E$2:$E$846,"FORA DO CATÁLOGO")</f>
        <v>Ativo</v>
      </c>
      <c r="G481" s="14"/>
    </row>
    <row r="482" spans="1:7" x14ac:dyDescent="0.3">
      <c r="A482" s="2" t="s">
        <v>437</v>
      </c>
      <c r="B482" s="19" t="str">
        <f>_xlfn.XLOOKUP(A482,CATÁLOGO!$A$2:$A$846,CATÁLOGO!$B$2:$B$846,"FORA DO CATÁLOGO")</f>
        <v>JAQ001BGG</v>
      </c>
      <c r="C482" s="13">
        <v>6</v>
      </c>
      <c r="D482" s="13">
        <v>1</v>
      </c>
      <c r="E482" s="13">
        <v>5</v>
      </c>
      <c r="F482" s="16" t="str">
        <f>_xlfn.XLOOKUP(A482,CATÁLOGO!$A$2:$A$846,CATÁLOGO!$E$2:$E$846,"FORA DO CATÁLOGO")</f>
        <v>Ativo</v>
      </c>
      <c r="G482" s="14"/>
    </row>
    <row r="483" spans="1:7" x14ac:dyDescent="0.3">
      <c r="A483" s="2" t="s">
        <v>438</v>
      </c>
      <c r="B483" s="19" t="str">
        <f>_xlfn.XLOOKUP(A483,CATÁLOGO!$A$2:$A$846,CATÁLOGO!$B$2:$B$846,"FORA DO CATÁLOGO")</f>
        <v>MOL002BP</v>
      </c>
      <c r="C483" s="13">
        <v>6</v>
      </c>
      <c r="D483" s="13">
        <v>0</v>
      </c>
      <c r="E483" s="13">
        <v>6</v>
      </c>
      <c r="F483" s="16" t="str">
        <f>_xlfn.XLOOKUP(A483,CATÁLOGO!$A$2:$A$846,CATÁLOGO!$E$2:$E$846,"FORA DO CATÁLOGO")</f>
        <v>Ativo</v>
      </c>
      <c r="G483" s="14"/>
    </row>
    <row r="484" spans="1:7" x14ac:dyDescent="0.3">
      <c r="A484" s="2" t="s">
        <v>439</v>
      </c>
      <c r="B484" s="19" t="str">
        <f>_xlfn.XLOOKUP(A484,CATÁLOGO!$A$2:$A$846,CATÁLOGO!$B$2:$B$846,"FORA DO CATÁLOGO")</f>
        <v>MOL002BM</v>
      </c>
      <c r="C484" s="13">
        <v>9</v>
      </c>
      <c r="D484" s="13">
        <v>0</v>
      </c>
      <c r="E484" s="13">
        <v>9</v>
      </c>
      <c r="F484" s="16" t="str">
        <f>_xlfn.XLOOKUP(A484,CATÁLOGO!$A$2:$A$846,CATÁLOGO!$E$2:$E$846,"FORA DO CATÁLOGO")</f>
        <v>Ativo</v>
      </c>
      <c r="G484" s="14"/>
    </row>
    <row r="485" spans="1:7" x14ac:dyDescent="0.3">
      <c r="A485" s="2" t="s">
        <v>6</v>
      </c>
      <c r="B485" s="19" t="str">
        <f>_xlfn.XLOOKUP(A485,CATÁLOGO!$A$2:$A$846,CATÁLOGO!$B$2:$B$846,"FORA DO CATÁLOGO")</f>
        <v>MOL002BG</v>
      </c>
      <c r="C485" s="13">
        <v>4</v>
      </c>
      <c r="D485" s="13">
        <v>2</v>
      </c>
      <c r="E485" s="13">
        <v>2</v>
      </c>
      <c r="F485" s="16" t="str">
        <f>_xlfn.XLOOKUP(A485,CATÁLOGO!$A$2:$A$846,CATÁLOGO!$E$2:$E$846,"FORA DO CATÁLOGO")</f>
        <v>Ativo</v>
      </c>
      <c r="G485" s="14"/>
    </row>
    <row r="486" spans="1:7" x14ac:dyDescent="0.3">
      <c r="A486" s="2" t="s">
        <v>440</v>
      </c>
      <c r="B486" s="19" t="str">
        <f>_xlfn.XLOOKUP(A486,CATÁLOGO!$A$2:$A$846,CATÁLOGO!$B$2:$B$846,"FORA DO CATÁLOGO")</f>
        <v>MOL002BGG</v>
      </c>
      <c r="C486" s="13">
        <v>11</v>
      </c>
      <c r="D486" s="13">
        <v>2</v>
      </c>
      <c r="E486" s="13">
        <v>9</v>
      </c>
      <c r="F486" s="16" t="str">
        <f>_xlfn.XLOOKUP(A486,CATÁLOGO!$A$2:$A$846,CATÁLOGO!$E$2:$E$846,"FORA DO CATÁLOGO")</f>
        <v>Ativo</v>
      </c>
      <c r="G486" s="14"/>
    </row>
    <row r="487" spans="1:7" x14ac:dyDescent="0.3">
      <c r="A487" s="2" t="s">
        <v>1918</v>
      </c>
      <c r="B487" s="19" t="str">
        <f>_xlfn.XLOOKUP(A487,CATÁLOGO!$A$2:$A$846,CATÁLOGO!$B$2:$B$846,"FORA DO CATÁLOGO")</f>
        <v>TRI013MPP</v>
      </c>
      <c r="C487" s="13">
        <v>3</v>
      </c>
      <c r="D487" s="13">
        <v>0</v>
      </c>
      <c r="E487" s="13">
        <v>3</v>
      </c>
      <c r="F487" s="16" t="str">
        <f>_xlfn.XLOOKUP(A487,CATÁLOGO!$A$2:$A$846,CATÁLOGO!$E$2:$E$846,"FORA DO CATÁLOGO")</f>
        <v>Ativo</v>
      </c>
      <c r="G487" s="14"/>
    </row>
    <row r="488" spans="1:7" x14ac:dyDescent="0.3">
      <c r="A488" s="2" t="s">
        <v>441</v>
      </c>
      <c r="B488" s="19" t="str">
        <f>_xlfn.XLOOKUP(A488,CATÁLOGO!$A$2:$A$846,CATÁLOGO!$B$2:$B$846,"FORA DO CATÁLOGO")</f>
        <v>TRI013MP</v>
      </c>
      <c r="C488" s="13">
        <v>15</v>
      </c>
      <c r="D488" s="13">
        <v>0</v>
      </c>
      <c r="E488" s="13">
        <v>15</v>
      </c>
      <c r="F488" s="16" t="str">
        <f>_xlfn.XLOOKUP(A488,CATÁLOGO!$A$2:$A$846,CATÁLOGO!$E$2:$E$846,"FORA DO CATÁLOGO")</f>
        <v>Ativo</v>
      </c>
      <c r="G488" s="14"/>
    </row>
    <row r="489" spans="1:7" x14ac:dyDescent="0.3">
      <c r="A489" s="2" t="s">
        <v>442</v>
      </c>
      <c r="B489" s="19" t="str">
        <f>_xlfn.XLOOKUP(A489,CATÁLOGO!$A$2:$A$846,CATÁLOGO!$B$2:$B$846,"FORA DO CATÁLOGO")</f>
        <v>TRI013MM</v>
      </c>
      <c r="C489" s="13">
        <v>22</v>
      </c>
      <c r="D489" s="13">
        <v>0</v>
      </c>
      <c r="E489" s="13">
        <v>22</v>
      </c>
      <c r="F489" s="16" t="str">
        <f>_xlfn.XLOOKUP(A489,CATÁLOGO!$A$2:$A$846,CATÁLOGO!$E$2:$E$846,"FORA DO CATÁLOGO")</f>
        <v>Ativo</v>
      </c>
      <c r="G489" s="14"/>
    </row>
    <row r="490" spans="1:7" x14ac:dyDescent="0.3">
      <c r="A490" s="2" t="s">
        <v>443</v>
      </c>
      <c r="B490" s="19" t="str">
        <f>_xlfn.XLOOKUP(A490,CATÁLOGO!$A$2:$A$846,CATÁLOGO!$B$2:$B$846,"FORA DO CATÁLOGO")</f>
        <v>TRI013MG</v>
      </c>
      <c r="C490" s="13">
        <v>10</v>
      </c>
      <c r="D490" s="13">
        <v>0</v>
      </c>
      <c r="E490" s="13">
        <v>10</v>
      </c>
      <c r="F490" s="16" t="str">
        <f>_xlfn.XLOOKUP(A490,CATÁLOGO!$A$2:$A$846,CATÁLOGO!$E$2:$E$846,"FORA DO CATÁLOGO")</f>
        <v>Ativo</v>
      </c>
      <c r="G490" s="14"/>
    </row>
    <row r="491" spans="1:7" x14ac:dyDescent="0.3">
      <c r="A491" s="2" t="s">
        <v>444</v>
      </c>
      <c r="B491" s="19" t="str">
        <f>_xlfn.XLOOKUP(A491,CATÁLOGO!$A$2:$A$846,CATÁLOGO!$B$2:$B$846,"FORA DO CATÁLOGO")</f>
        <v>TRI013MGG</v>
      </c>
      <c r="C491" s="13">
        <v>7</v>
      </c>
      <c r="D491" s="13">
        <v>0</v>
      </c>
      <c r="E491" s="13">
        <v>7</v>
      </c>
      <c r="F491" s="16" t="str">
        <f>_xlfn.XLOOKUP(A491,CATÁLOGO!$A$2:$A$846,CATÁLOGO!$E$2:$E$846,"FORA DO CATÁLOGO")</f>
        <v>Ativo</v>
      </c>
      <c r="G491" s="14"/>
    </row>
    <row r="492" spans="1:7" x14ac:dyDescent="0.3">
      <c r="A492" s="2" t="s">
        <v>1512</v>
      </c>
      <c r="B492" s="19" t="str">
        <f>_xlfn.XLOOKUP(A492,CATÁLOGO!$A$2:$A$846,CATÁLOGO!$B$2:$B$846,"FORA DO CATÁLOGO")</f>
        <v>BER011G38</v>
      </c>
      <c r="C492" s="13">
        <v>4</v>
      </c>
      <c r="D492" s="13">
        <v>2</v>
      </c>
      <c r="E492" s="13">
        <v>2</v>
      </c>
      <c r="F492" s="16" t="str">
        <f>_xlfn.XLOOKUP(A492,CATÁLOGO!$A$2:$A$846,CATÁLOGO!$E$2:$E$846,"FORA DO CATÁLOGO")</f>
        <v>Ativo</v>
      </c>
      <c r="G492" s="14"/>
    </row>
    <row r="493" spans="1:7" x14ac:dyDescent="0.3">
      <c r="A493" s="2" t="s">
        <v>1511</v>
      </c>
      <c r="B493" s="19" t="str">
        <f>_xlfn.XLOOKUP(A493,CATÁLOGO!$A$2:$A$846,CATÁLOGO!$B$2:$B$846,"FORA DO CATÁLOGO")</f>
        <v>BER011G40</v>
      </c>
      <c r="C493" s="13">
        <v>15</v>
      </c>
      <c r="D493" s="13">
        <v>0</v>
      </c>
      <c r="E493" s="13">
        <v>15</v>
      </c>
      <c r="F493" s="16" t="str">
        <f>_xlfn.XLOOKUP(A493,CATÁLOGO!$A$2:$A$846,CATÁLOGO!$E$2:$E$846,"FORA DO CATÁLOGO")</f>
        <v>Ativo</v>
      </c>
      <c r="G493" s="14"/>
    </row>
    <row r="494" spans="1:7" x14ac:dyDescent="0.3">
      <c r="A494" s="2" t="s">
        <v>1508</v>
      </c>
      <c r="B494" s="19" t="str">
        <f>_xlfn.XLOOKUP(A494,CATÁLOGO!$A$2:$A$846,CATÁLOGO!$B$2:$B$846,"FORA DO CATÁLOGO")</f>
        <v>BER011G42</v>
      </c>
      <c r="C494" s="13">
        <v>4</v>
      </c>
      <c r="D494" s="13">
        <v>0</v>
      </c>
      <c r="E494" s="13">
        <v>4</v>
      </c>
      <c r="F494" s="16" t="str">
        <f>_xlfn.XLOOKUP(A494,CATÁLOGO!$A$2:$A$846,CATÁLOGO!$E$2:$E$846,"FORA DO CATÁLOGO")</f>
        <v>Ativo</v>
      </c>
      <c r="G494" s="14"/>
    </row>
    <row r="495" spans="1:7" x14ac:dyDescent="0.3">
      <c r="A495" s="2" t="s">
        <v>1510</v>
      </c>
      <c r="B495" s="19" t="str">
        <f>_xlfn.XLOOKUP(A495,CATÁLOGO!$A$2:$A$846,CATÁLOGO!$B$2:$B$846,"FORA DO CATÁLOGO")</f>
        <v>BER011G44</v>
      </c>
      <c r="C495" s="13">
        <v>6</v>
      </c>
      <c r="D495" s="13">
        <v>0</v>
      </c>
      <c r="E495" s="13">
        <v>6</v>
      </c>
      <c r="F495" s="16" t="str">
        <f>_xlfn.XLOOKUP(A495,CATÁLOGO!$A$2:$A$846,CATÁLOGO!$E$2:$E$846,"FORA DO CATÁLOGO")</f>
        <v>Ativo</v>
      </c>
      <c r="G495" s="14"/>
    </row>
    <row r="496" spans="1:7" x14ac:dyDescent="0.3">
      <c r="A496" s="2" t="s">
        <v>1268</v>
      </c>
      <c r="B496" s="19" t="str">
        <f>_xlfn.XLOOKUP(A496,CATÁLOGO!$A$2:$A$846,CATÁLOGO!$B$2:$B$846,"FORA DO CATÁLOGO")</f>
        <v>JAQ009YP</v>
      </c>
      <c r="C496" s="13">
        <v>10</v>
      </c>
      <c r="D496" s="13">
        <v>0</v>
      </c>
      <c r="E496" s="13">
        <v>10</v>
      </c>
      <c r="F496" s="16" t="str">
        <f>_xlfn.XLOOKUP(A496,CATÁLOGO!$A$2:$A$846,CATÁLOGO!$E$2:$E$846,"FORA DO CATÁLOGO")</f>
        <v>Ativo</v>
      </c>
      <c r="G496" s="14"/>
    </row>
    <row r="497" spans="1:7" x14ac:dyDescent="0.3">
      <c r="A497" s="2" t="s">
        <v>445</v>
      </c>
      <c r="B497" s="19" t="str">
        <f>_xlfn.XLOOKUP(A497,CATÁLOGO!$A$2:$A$846,CATÁLOGO!$B$2:$B$846,"FORA DO CATÁLOGO")</f>
        <v>JAQ009YM</v>
      </c>
      <c r="C497" s="13">
        <v>17</v>
      </c>
      <c r="D497" s="13">
        <v>0</v>
      </c>
      <c r="E497" s="13">
        <v>17</v>
      </c>
      <c r="F497" s="16" t="str">
        <f>_xlfn.XLOOKUP(A497,CATÁLOGO!$A$2:$A$846,CATÁLOGO!$E$2:$E$846,"FORA DO CATÁLOGO")</f>
        <v>Ativo</v>
      </c>
      <c r="G497" s="14"/>
    </row>
    <row r="498" spans="1:7" x14ac:dyDescent="0.3">
      <c r="A498" s="2" t="s">
        <v>446</v>
      </c>
      <c r="B498" s="19" t="str">
        <f>_xlfn.XLOOKUP(A498,CATÁLOGO!$A$2:$A$846,CATÁLOGO!$B$2:$B$846,"FORA DO CATÁLOGO")</f>
        <v>JAQ009YG</v>
      </c>
      <c r="C498" s="13">
        <v>6</v>
      </c>
      <c r="D498" s="13">
        <v>1</v>
      </c>
      <c r="E498" s="13">
        <v>5</v>
      </c>
      <c r="F498" s="16" t="str">
        <f>_xlfn.XLOOKUP(A498,CATÁLOGO!$A$2:$A$846,CATÁLOGO!$E$2:$E$846,"FORA DO CATÁLOGO")</f>
        <v>Ativo</v>
      </c>
      <c r="G498" s="14"/>
    </row>
    <row r="499" spans="1:7" x14ac:dyDescent="0.3">
      <c r="A499" s="2" t="s">
        <v>447</v>
      </c>
      <c r="B499" s="19" t="str">
        <f>_xlfn.XLOOKUP(A499,CATÁLOGO!$A$2:$A$846,CATÁLOGO!$B$2:$B$846,"FORA DO CATÁLOGO")</f>
        <v>JAQ009YGG</v>
      </c>
      <c r="C499" s="13">
        <v>3</v>
      </c>
      <c r="D499" s="13">
        <v>0</v>
      </c>
      <c r="E499" s="13">
        <v>3</v>
      </c>
      <c r="F499" s="16" t="str">
        <f>_xlfn.XLOOKUP(A499,CATÁLOGO!$A$2:$A$846,CATÁLOGO!$E$2:$E$846,"FORA DO CATÁLOGO")</f>
        <v>Ativo</v>
      </c>
      <c r="G499" s="14"/>
    </row>
    <row r="500" spans="1:7" x14ac:dyDescent="0.3">
      <c r="A500" s="2" t="s">
        <v>1808</v>
      </c>
      <c r="B500" s="19" t="str">
        <f>_xlfn.XLOOKUP(A500,CATÁLOGO!$A$2:$A$846,CATÁLOGO!$B$2:$B$846,"FORA DO CATÁLOGO")</f>
        <v>JAQ010HPP</v>
      </c>
      <c r="C500" s="13">
        <v>11</v>
      </c>
      <c r="D500" s="13">
        <v>0</v>
      </c>
      <c r="E500" s="13">
        <v>11</v>
      </c>
      <c r="F500" s="16" t="str">
        <f>_xlfn.XLOOKUP(A500,CATÁLOGO!$A$2:$A$846,CATÁLOGO!$E$2:$E$846,"FORA DO CATÁLOGO")</f>
        <v>Ativo</v>
      </c>
      <c r="G500" s="14"/>
    </row>
    <row r="501" spans="1:7" x14ac:dyDescent="0.3">
      <c r="A501" s="2" t="s">
        <v>448</v>
      </c>
      <c r="B501" s="19" t="str">
        <f>_xlfn.XLOOKUP(A501,CATÁLOGO!$A$2:$A$846,CATÁLOGO!$B$2:$B$846,"FORA DO CATÁLOGO")</f>
        <v>JAQ010HP</v>
      </c>
      <c r="C501" s="13">
        <v>36</v>
      </c>
      <c r="D501" s="13">
        <v>0</v>
      </c>
      <c r="E501" s="13">
        <v>36</v>
      </c>
      <c r="F501" s="16" t="str">
        <f>_xlfn.XLOOKUP(A501,CATÁLOGO!$A$2:$A$846,CATÁLOGO!$E$2:$E$846,"FORA DO CATÁLOGO")</f>
        <v>Ativo</v>
      </c>
      <c r="G501" s="14"/>
    </row>
    <row r="502" spans="1:7" x14ac:dyDescent="0.3">
      <c r="A502" s="2" t="s">
        <v>449</v>
      </c>
      <c r="B502" s="19" t="str">
        <f>_xlfn.XLOOKUP(A502,CATÁLOGO!$A$2:$A$846,CATÁLOGO!$B$2:$B$846,"FORA DO CATÁLOGO")</f>
        <v>JAQ010HM</v>
      </c>
      <c r="C502" s="13">
        <v>57</v>
      </c>
      <c r="D502" s="13">
        <v>0</v>
      </c>
      <c r="E502" s="13">
        <v>57</v>
      </c>
      <c r="F502" s="16" t="str">
        <f>_xlfn.XLOOKUP(A502,CATÁLOGO!$A$2:$A$846,CATÁLOGO!$E$2:$E$846,"FORA DO CATÁLOGO")</f>
        <v>Ativo</v>
      </c>
      <c r="G502" s="14"/>
    </row>
    <row r="503" spans="1:7" x14ac:dyDescent="0.3">
      <c r="A503" s="2" t="s">
        <v>450</v>
      </c>
      <c r="B503" s="19" t="str">
        <f>_xlfn.XLOOKUP(A503,CATÁLOGO!$A$2:$A$846,CATÁLOGO!$B$2:$B$846,"FORA DO CATÁLOGO")</f>
        <v>JAQ010HG</v>
      </c>
      <c r="C503" s="13">
        <v>39</v>
      </c>
      <c r="D503" s="13">
        <v>0</v>
      </c>
      <c r="E503" s="13">
        <v>39</v>
      </c>
      <c r="F503" s="16" t="str">
        <f>_xlfn.XLOOKUP(A503,CATÁLOGO!$A$2:$A$846,CATÁLOGO!$E$2:$E$846,"FORA DO CATÁLOGO")</f>
        <v>Ativo</v>
      </c>
      <c r="G503" s="14"/>
    </row>
    <row r="504" spans="1:7" x14ac:dyDescent="0.3">
      <c r="A504" s="2" t="s">
        <v>451</v>
      </c>
      <c r="B504" s="19" t="str">
        <f>_xlfn.XLOOKUP(A504,CATÁLOGO!$A$2:$A$846,CATÁLOGO!$B$2:$B$846,"FORA DO CATÁLOGO")</f>
        <v>JAQ010HGG</v>
      </c>
      <c r="C504" s="13">
        <v>22</v>
      </c>
      <c r="D504" s="13">
        <v>0</v>
      </c>
      <c r="E504" s="13">
        <v>22</v>
      </c>
      <c r="F504" s="16" t="str">
        <f>_xlfn.XLOOKUP(A504,CATÁLOGO!$A$2:$A$846,CATÁLOGO!$E$2:$E$846,"FORA DO CATÁLOGO")</f>
        <v>Ativo</v>
      </c>
      <c r="G504" s="14"/>
    </row>
    <row r="505" spans="1:7" x14ac:dyDescent="0.3">
      <c r="A505" s="2" t="s">
        <v>1807</v>
      </c>
      <c r="B505" s="19" t="str">
        <f>_xlfn.XLOOKUP(A505,CATÁLOGO!$A$2:$A$846,CATÁLOGO!$B$2:$B$846,"FORA DO CATÁLOGO")</f>
        <v>JAQ010VPP</v>
      </c>
      <c r="C505" s="13">
        <v>8</v>
      </c>
      <c r="D505" s="13">
        <v>0</v>
      </c>
      <c r="E505" s="13">
        <v>8</v>
      </c>
      <c r="F505" s="16" t="str">
        <f>_xlfn.XLOOKUP(A505,CATÁLOGO!$A$2:$A$846,CATÁLOGO!$E$2:$E$846,"FORA DO CATÁLOGO")</f>
        <v>Ativo</v>
      </c>
      <c r="G505" s="14"/>
    </row>
    <row r="506" spans="1:7" x14ac:dyDescent="0.3">
      <c r="A506" s="2" t="s">
        <v>452</v>
      </c>
      <c r="B506" s="19" t="str">
        <f>_xlfn.XLOOKUP(A506,CATÁLOGO!$A$2:$A$846,CATÁLOGO!$B$2:$B$846,"FORA DO CATÁLOGO")</f>
        <v>JAQ010VP</v>
      </c>
      <c r="C506" s="13">
        <v>23</v>
      </c>
      <c r="D506" s="13">
        <v>0</v>
      </c>
      <c r="E506" s="13">
        <v>23</v>
      </c>
      <c r="F506" s="16" t="str">
        <f>_xlfn.XLOOKUP(A506,CATÁLOGO!$A$2:$A$846,CATÁLOGO!$E$2:$E$846,"FORA DO CATÁLOGO")</f>
        <v>Ativo</v>
      </c>
      <c r="G506" s="14"/>
    </row>
    <row r="507" spans="1:7" x14ac:dyDescent="0.3">
      <c r="A507" s="2" t="s">
        <v>453</v>
      </c>
      <c r="B507" s="19" t="str">
        <f>_xlfn.XLOOKUP(A507,CATÁLOGO!$A$2:$A$846,CATÁLOGO!$B$2:$B$846,"FORA DO CATÁLOGO")</f>
        <v>JAQ010VM</v>
      </c>
      <c r="C507" s="13">
        <v>33</v>
      </c>
      <c r="D507" s="13">
        <v>0</v>
      </c>
      <c r="E507" s="13">
        <v>33</v>
      </c>
      <c r="F507" s="16" t="str">
        <f>_xlfn.XLOOKUP(A507,CATÁLOGO!$A$2:$A$846,CATÁLOGO!$E$2:$E$846,"FORA DO CATÁLOGO")</f>
        <v>Ativo</v>
      </c>
      <c r="G507" s="14"/>
    </row>
    <row r="508" spans="1:7" x14ac:dyDescent="0.3">
      <c r="A508" s="2" t="s">
        <v>454</v>
      </c>
      <c r="B508" s="19" t="str">
        <f>_xlfn.XLOOKUP(A508,CATÁLOGO!$A$2:$A$846,CATÁLOGO!$B$2:$B$846,"FORA DO CATÁLOGO")</f>
        <v>JAQ010VG</v>
      </c>
      <c r="C508" s="13">
        <v>23</v>
      </c>
      <c r="D508" s="13">
        <v>0</v>
      </c>
      <c r="E508" s="13">
        <v>23</v>
      </c>
      <c r="F508" s="16" t="str">
        <f>_xlfn.XLOOKUP(A508,CATÁLOGO!$A$2:$A$846,CATÁLOGO!$E$2:$E$846,"FORA DO CATÁLOGO")</f>
        <v>Ativo</v>
      </c>
      <c r="G508" s="14"/>
    </row>
    <row r="509" spans="1:7" x14ac:dyDescent="0.3">
      <c r="A509" s="2" t="s">
        <v>455</v>
      </c>
      <c r="B509" s="19" t="str">
        <f>_xlfn.XLOOKUP(A509,CATÁLOGO!$A$2:$A$846,CATÁLOGO!$B$2:$B$846,"FORA DO CATÁLOGO")</f>
        <v>JAQ010VGG</v>
      </c>
      <c r="C509" s="13">
        <v>10</v>
      </c>
      <c r="D509" s="13">
        <v>0</v>
      </c>
      <c r="E509" s="13">
        <v>10</v>
      </c>
      <c r="F509" s="16" t="str">
        <f>_xlfn.XLOOKUP(A509,CATÁLOGO!$A$2:$A$846,CATÁLOGO!$E$2:$E$846,"FORA DO CATÁLOGO")</f>
        <v>Ativo</v>
      </c>
      <c r="G509" s="14"/>
    </row>
    <row r="510" spans="1:7" x14ac:dyDescent="0.3">
      <c r="A510" s="2" t="s">
        <v>1289</v>
      </c>
      <c r="B510" s="19" t="str">
        <f>_xlfn.XLOOKUP(A510,CATÁLOGO!$A$2:$A$846,CATÁLOGO!$B$2:$B$846,"FORA DO CATÁLOGO")</f>
        <v>TRI001MP</v>
      </c>
      <c r="C510" s="13">
        <v>7</v>
      </c>
      <c r="D510" s="13">
        <v>2</v>
      </c>
      <c r="E510" s="13">
        <v>5</v>
      </c>
      <c r="F510" s="16" t="str">
        <f>_xlfn.XLOOKUP(A510,CATÁLOGO!$A$2:$A$846,CATÁLOGO!$E$2:$E$846,"FORA DO CATÁLOGO")</f>
        <v>Ativo</v>
      </c>
      <c r="G510" s="14"/>
    </row>
    <row r="511" spans="1:7" x14ac:dyDescent="0.3">
      <c r="A511" s="2" t="s">
        <v>456</v>
      </c>
      <c r="B511" s="19" t="str">
        <f>_xlfn.XLOOKUP(A511,CATÁLOGO!$A$2:$A$846,CATÁLOGO!$B$2:$B$846,"FORA DO CATÁLOGO")</f>
        <v>TRI001MM</v>
      </c>
      <c r="C511" s="13">
        <v>4</v>
      </c>
      <c r="D511" s="13">
        <v>0</v>
      </c>
      <c r="E511" s="13">
        <v>4</v>
      </c>
      <c r="F511" s="16" t="str">
        <f>_xlfn.XLOOKUP(A511,CATÁLOGO!$A$2:$A$846,CATÁLOGO!$E$2:$E$846,"FORA DO CATÁLOGO")</f>
        <v>Ativo</v>
      </c>
      <c r="G511" s="14"/>
    </row>
    <row r="512" spans="1:7" x14ac:dyDescent="0.3">
      <c r="A512" s="2" t="s">
        <v>457</v>
      </c>
      <c r="B512" s="19" t="str">
        <f>_xlfn.XLOOKUP(A512,CATÁLOGO!$A$2:$A$846,CATÁLOGO!$B$2:$B$846,"FORA DO CATÁLOGO")</f>
        <v>TRI001MG</v>
      </c>
      <c r="C512" s="13">
        <v>9</v>
      </c>
      <c r="D512" s="13">
        <v>0</v>
      </c>
      <c r="E512" s="13">
        <v>9</v>
      </c>
      <c r="F512" s="16" t="str">
        <f>_xlfn.XLOOKUP(A512,CATÁLOGO!$A$2:$A$846,CATÁLOGO!$E$2:$E$846,"FORA DO CATÁLOGO")</f>
        <v>Ativo</v>
      </c>
      <c r="G512" s="14"/>
    </row>
    <row r="513" spans="1:7" x14ac:dyDescent="0.3">
      <c r="A513" s="2" t="s">
        <v>1269</v>
      </c>
      <c r="B513" s="19" t="str">
        <f>_xlfn.XLOOKUP(A513,CATÁLOGO!$A$2:$A$846,CATÁLOGO!$B$2:$B$846,"FORA DO CATÁLOGO")</f>
        <v>TRI001MGG</v>
      </c>
      <c r="C513" s="13">
        <v>8</v>
      </c>
      <c r="D513" s="13">
        <v>0</v>
      </c>
      <c r="E513" s="13">
        <v>8</v>
      </c>
      <c r="F513" s="16" t="str">
        <f>_xlfn.XLOOKUP(A513,CATÁLOGO!$A$2:$A$846,CATÁLOGO!$E$2:$E$846,"FORA DO CATÁLOGO")</f>
        <v>Ativo</v>
      </c>
      <c r="G513" s="14"/>
    </row>
    <row r="514" spans="1:7" x14ac:dyDescent="0.3">
      <c r="A514" s="2" t="s">
        <v>458</v>
      </c>
      <c r="B514" s="19" t="str">
        <f>_xlfn.XLOOKUP(A514,CATÁLOGO!$A$2:$A$846,CATÁLOGO!$B$2:$B$846,"FORA DO CATÁLOGO")</f>
        <v>SAI012GP</v>
      </c>
      <c r="C514" s="13">
        <v>10</v>
      </c>
      <c r="D514" s="13">
        <v>0</v>
      </c>
      <c r="E514" s="13">
        <v>10</v>
      </c>
      <c r="F514" s="16" t="str">
        <f>_xlfn.XLOOKUP(A514,CATÁLOGO!$A$2:$A$846,CATÁLOGO!$E$2:$E$846,"FORA DO CATÁLOGO")</f>
        <v>Ativo</v>
      </c>
      <c r="G514" s="14"/>
    </row>
    <row r="515" spans="1:7" x14ac:dyDescent="0.3">
      <c r="A515" s="2" t="s">
        <v>1270</v>
      </c>
      <c r="B515" s="19" t="str">
        <f>_xlfn.XLOOKUP(A515,CATÁLOGO!$A$2:$A$846,CATÁLOGO!$B$2:$B$846,"FORA DO CATÁLOGO")</f>
        <v>SAI012GM</v>
      </c>
      <c r="C515" s="13">
        <v>3</v>
      </c>
      <c r="D515" s="13">
        <v>0</v>
      </c>
      <c r="E515" s="13">
        <v>3</v>
      </c>
      <c r="F515" s="16" t="str">
        <f>_xlfn.XLOOKUP(A515,CATÁLOGO!$A$2:$A$846,CATÁLOGO!$E$2:$E$846,"FORA DO CATÁLOGO")</f>
        <v>Ativo</v>
      </c>
      <c r="G515" s="14"/>
    </row>
    <row r="516" spans="1:7" x14ac:dyDescent="0.3">
      <c r="A516" s="2" t="s">
        <v>459</v>
      </c>
      <c r="B516" s="19" t="str">
        <f>_xlfn.XLOOKUP(A516,CATÁLOGO!$A$2:$A$846,CATÁLOGO!$B$2:$B$846,"FORA DO CATÁLOGO")</f>
        <v>SAI012GG</v>
      </c>
      <c r="C516" s="13">
        <v>4</v>
      </c>
      <c r="D516" s="13">
        <v>0</v>
      </c>
      <c r="E516" s="13">
        <v>4</v>
      </c>
      <c r="F516" s="16" t="str">
        <f>_xlfn.XLOOKUP(A516,CATÁLOGO!$A$2:$A$846,CATÁLOGO!$E$2:$E$846,"FORA DO CATÁLOGO")</f>
        <v>Ativo</v>
      </c>
      <c r="G516" s="14"/>
    </row>
    <row r="517" spans="1:7" x14ac:dyDescent="0.3">
      <c r="A517" s="2" t="s">
        <v>460</v>
      </c>
      <c r="B517" s="19" t="str">
        <f>_xlfn.XLOOKUP(A517,CATÁLOGO!$A$2:$A$846,CATÁLOGO!$B$2:$B$846,"FORA DO CATÁLOGO")</f>
        <v>SAI012GGG</v>
      </c>
      <c r="C517" s="13">
        <v>2</v>
      </c>
      <c r="D517" s="13">
        <v>2</v>
      </c>
      <c r="E517" s="13">
        <v>0</v>
      </c>
      <c r="F517" s="16" t="str">
        <f>_xlfn.XLOOKUP(A517,CATÁLOGO!$A$2:$A$846,CATÁLOGO!$E$2:$E$846,"FORA DO CATÁLOGO")</f>
        <v>Ativo</v>
      </c>
      <c r="G517" s="14"/>
    </row>
    <row r="518" spans="1:7" x14ac:dyDescent="0.3">
      <c r="A518" s="2" t="s">
        <v>461</v>
      </c>
      <c r="B518" s="19" t="str">
        <f>_xlfn.XLOOKUP(A518,CATÁLOGO!$A$2:$A$846,CATÁLOGO!$B$2:$B$846,"FORA DO CATÁLOGO")</f>
        <v>MOL017LP</v>
      </c>
      <c r="C518" s="13">
        <v>12</v>
      </c>
      <c r="D518" s="13">
        <v>0</v>
      </c>
      <c r="E518" s="13">
        <v>12</v>
      </c>
      <c r="F518" s="16" t="str">
        <f>_xlfn.XLOOKUP(A518,CATÁLOGO!$A$2:$A$846,CATÁLOGO!$E$2:$E$846,"FORA DO CATÁLOGO")</f>
        <v>Ativo</v>
      </c>
      <c r="G518" s="14"/>
    </row>
    <row r="519" spans="1:7" x14ac:dyDescent="0.3">
      <c r="A519" s="2" t="s">
        <v>462</v>
      </c>
      <c r="B519" s="19" t="str">
        <f>_xlfn.XLOOKUP(A519,CATÁLOGO!$A$2:$A$846,CATÁLOGO!$B$2:$B$846,"FORA DO CATÁLOGO")</f>
        <v>MOL017LM</v>
      </c>
      <c r="C519" s="13">
        <v>14</v>
      </c>
      <c r="D519" s="13">
        <v>0</v>
      </c>
      <c r="E519" s="13">
        <v>14</v>
      </c>
      <c r="F519" s="16" t="str">
        <f>_xlfn.XLOOKUP(A519,CATÁLOGO!$A$2:$A$846,CATÁLOGO!$E$2:$E$846,"FORA DO CATÁLOGO")</f>
        <v>Ativo</v>
      </c>
      <c r="G519" s="14"/>
    </row>
    <row r="520" spans="1:7" x14ac:dyDescent="0.3">
      <c r="A520" s="2" t="s">
        <v>463</v>
      </c>
      <c r="B520" s="19" t="str">
        <f>_xlfn.XLOOKUP(A520,CATÁLOGO!$A$2:$A$846,CATÁLOGO!$B$2:$B$846,"FORA DO CATÁLOGO")</f>
        <v>MOL017LG</v>
      </c>
      <c r="C520" s="13">
        <v>11</v>
      </c>
      <c r="D520" s="13">
        <v>2</v>
      </c>
      <c r="E520" s="13">
        <v>9</v>
      </c>
      <c r="F520" s="16" t="str">
        <f>_xlfn.XLOOKUP(A520,CATÁLOGO!$A$2:$A$846,CATÁLOGO!$E$2:$E$846,"FORA DO CATÁLOGO")</f>
        <v>Ativo</v>
      </c>
      <c r="G520" s="14"/>
    </row>
    <row r="521" spans="1:7" x14ac:dyDescent="0.3">
      <c r="A521" s="2" t="s">
        <v>464</v>
      </c>
      <c r="B521" s="19" t="str">
        <f>_xlfn.XLOOKUP(A521,CATÁLOGO!$A$2:$A$846,CATÁLOGO!$B$2:$B$846,"FORA DO CATÁLOGO")</f>
        <v>MOL017LGG</v>
      </c>
      <c r="C521" s="13">
        <v>7</v>
      </c>
      <c r="D521" s="13">
        <v>0</v>
      </c>
      <c r="E521" s="13">
        <v>7</v>
      </c>
      <c r="F521" s="16" t="str">
        <f>_xlfn.XLOOKUP(A521,CATÁLOGO!$A$2:$A$846,CATÁLOGO!$E$2:$E$846,"FORA DO CATÁLOGO")</f>
        <v>Ativo</v>
      </c>
      <c r="G521" s="14"/>
    </row>
    <row r="522" spans="1:7" x14ac:dyDescent="0.3">
      <c r="A522" s="2" t="s">
        <v>465</v>
      </c>
      <c r="B522" s="19" t="str">
        <f>_xlfn.XLOOKUP(A522,CATÁLOGO!$A$2:$A$846,CATÁLOGO!$B$2:$B$846,"FORA DO CATÁLOGO")</f>
        <v>ACE012AU</v>
      </c>
      <c r="C522" s="13">
        <v>2</v>
      </c>
      <c r="D522" s="13">
        <v>0</v>
      </c>
      <c r="E522" s="13">
        <v>2</v>
      </c>
      <c r="F522" s="16" t="str">
        <f>_xlfn.XLOOKUP(A522,CATÁLOGO!$A$2:$A$846,CATÁLOGO!$E$2:$E$846,"FORA DO CATÁLOGO")</f>
        <v>Ativo</v>
      </c>
      <c r="G522" s="14"/>
    </row>
    <row r="523" spans="1:7" x14ac:dyDescent="0.3">
      <c r="A523" s="2" t="s">
        <v>466</v>
      </c>
      <c r="B523" s="19" t="str">
        <f>_xlfn.XLOOKUP(A523,CATÁLOGO!$A$2:$A$846,CATÁLOGO!$B$2:$B$846,"FORA DO CATÁLOGO")</f>
        <v>MOL018BP</v>
      </c>
      <c r="C523" s="13">
        <v>13</v>
      </c>
      <c r="D523" s="13">
        <v>0</v>
      </c>
      <c r="E523" s="13">
        <v>13</v>
      </c>
      <c r="F523" s="16" t="str">
        <f>_xlfn.XLOOKUP(A523,CATÁLOGO!$A$2:$A$846,CATÁLOGO!$E$2:$E$846,"FORA DO CATÁLOGO")</f>
        <v>Ativo</v>
      </c>
      <c r="G523" s="14"/>
    </row>
    <row r="524" spans="1:7" x14ac:dyDescent="0.3">
      <c r="A524" s="2" t="s">
        <v>467</v>
      </c>
      <c r="B524" s="19" t="str">
        <f>_xlfn.XLOOKUP(A524,CATÁLOGO!$A$2:$A$846,CATÁLOGO!$B$2:$B$846,"FORA DO CATÁLOGO")</f>
        <v>MOL018BM</v>
      </c>
      <c r="C524" s="13">
        <v>17</v>
      </c>
      <c r="D524" s="13">
        <v>0</v>
      </c>
      <c r="E524" s="13">
        <v>17</v>
      </c>
      <c r="F524" s="16" t="str">
        <f>_xlfn.XLOOKUP(A524,CATÁLOGO!$A$2:$A$846,CATÁLOGO!$E$2:$E$846,"FORA DO CATÁLOGO")</f>
        <v>Ativo</v>
      </c>
      <c r="G524" s="14"/>
    </row>
    <row r="525" spans="1:7" x14ac:dyDescent="0.3">
      <c r="A525" s="2" t="s">
        <v>468</v>
      </c>
      <c r="B525" s="19" t="str">
        <f>_xlfn.XLOOKUP(A525,CATÁLOGO!$A$2:$A$846,CATÁLOGO!$B$2:$B$846,"FORA DO CATÁLOGO")</f>
        <v>MOL018BG</v>
      </c>
      <c r="C525" s="13">
        <v>14</v>
      </c>
      <c r="D525" s="13">
        <v>0</v>
      </c>
      <c r="E525" s="13">
        <v>14</v>
      </c>
      <c r="F525" s="16" t="str">
        <f>_xlfn.XLOOKUP(A525,CATÁLOGO!$A$2:$A$846,CATÁLOGO!$E$2:$E$846,"FORA DO CATÁLOGO")</f>
        <v>Ativo</v>
      </c>
      <c r="G525" s="14"/>
    </row>
    <row r="526" spans="1:7" x14ac:dyDescent="0.3">
      <c r="A526" s="2" t="s">
        <v>469</v>
      </c>
      <c r="B526" s="19" t="str">
        <f>_xlfn.XLOOKUP(A526,CATÁLOGO!$A$2:$A$846,CATÁLOGO!$B$2:$B$846,"FORA DO CATÁLOGO")</f>
        <v>MOL018BGG</v>
      </c>
      <c r="C526" s="13">
        <v>8</v>
      </c>
      <c r="D526" s="13">
        <v>2</v>
      </c>
      <c r="E526" s="13">
        <v>6</v>
      </c>
      <c r="F526" s="16" t="str">
        <f>_xlfn.XLOOKUP(A526,CATÁLOGO!$A$2:$A$846,CATÁLOGO!$E$2:$E$846,"FORA DO CATÁLOGO")</f>
        <v>Ativo</v>
      </c>
      <c r="G526" s="14"/>
    </row>
    <row r="527" spans="1:7" x14ac:dyDescent="0.3">
      <c r="A527" s="2" t="s">
        <v>1698</v>
      </c>
      <c r="B527" s="19" t="str">
        <f>_xlfn.XLOOKUP(A527,CATÁLOGO!$A$2:$A$846,CATÁLOGO!$B$2:$B$846,"FORA DO CATÁLOGO")</f>
        <v>CAL026O36</v>
      </c>
      <c r="C527" s="13">
        <v>10</v>
      </c>
      <c r="D527" s="13">
        <v>0</v>
      </c>
      <c r="E527" s="13">
        <v>10</v>
      </c>
      <c r="F527" s="16" t="str">
        <f>_xlfn.XLOOKUP(A527,CATÁLOGO!$A$2:$A$846,CATÁLOGO!$E$2:$E$846,"FORA DO CATÁLOGO")</f>
        <v>Ativo</v>
      </c>
      <c r="G527" s="14"/>
    </row>
    <row r="528" spans="1:7" x14ac:dyDescent="0.3">
      <c r="A528" s="2" t="s">
        <v>1697</v>
      </c>
      <c r="B528" s="19" t="str">
        <f>_xlfn.XLOOKUP(A528,CATÁLOGO!$A$2:$A$846,CATÁLOGO!$B$2:$B$846,"FORA DO CATÁLOGO")</f>
        <v>CAL026O38</v>
      </c>
      <c r="C528" s="13">
        <v>18</v>
      </c>
      <c r="D528" s="13">
        <v>0</v>
      </c>
      <c r="E528" s="13">
        <v>18</v>
      </c>
      <c r="F528" s="16" t="str">
        <f>_xlfn.XLOOKUP(A528,CATÁLOGO!$A$2:$A$846,CATÁLOGO!$E$2:$E$846,"FORA DO CATÁLOGO")</f>
        <v>Ativo</v>
      </c>
      <c r="G528" s="14"/>
    </row>
    <row r="529" spans="1:7" x14ac:dyDescent="0.3">
      <c r="A529" s="2" t="s">
        <v>1696</v>
      </c>
      <c r="B529" s="19" t="str">
        <f>_xlfn.XLOOKUP(A529,CATÁLOGO!$A$2:$A$846,CATÁLOGO!$B$2:$B$846,"FORA DO CATÁLOGO")</f>
        <v>CAL026O40</v>
      </c>
      <c r="C529" s="13">
        <v>19</v>
      </c>
      <c r="D529" s="13">
        <v>0</v>
      </c>
      <c r="E529" s="13">
        <v>19</v>
      </c>
      <c r="F529" s="16" t="str">
        <f>_xlfn.XLOOKUP(A529,CATÁLOGO!$A$2:$A$846,CATÁLOGO!$E$2:$E$846,"FORA DO CATÁLOGO")</f>
        <v>Ativo</v>
      </c>
      <c r="G529" s="14"/>
    </row>
    <row r="530" spans="1:7" x14ac:dyDescent="0.3">
      <c r="A530" s="2" t="s">
        <v>1693</v>
      </c>
      <c r="B530" s="19" t="str">
        <f>_xlfn.XLOOKUP(A530,CATÁLOGO!$A$2:$A$846,CATÁLOGO!$B$2:$B$846,"FORA DO CATÁLOGO")</f>
        <v>CAL026O42</v>
      </c>
      <c r="C530" s="13">
        <v>11</v>
      </c>
      <c r="D530" s="13">
        <v>0</v>
      </c>
      <c r="E530" s="13">
        <v>11</v>
      </c>
      <c r="F530" s="16" t="str">
        <f>_xlfn.XLOOKUP(A530,CATÁLOGO!$A$2:$A$846,CATÁLOGO!$E$2:$E$846,"FORA DO CATÁLOGO")</f>
        <v>Ativo</v>
      </c>
      <c r="G530" s="14"/>
    </row>
    <row r="531" spans="1:7" x14ac:dyDescent="0.3">
      <c r="A531" s="2" t="s">
        <v>1695</v>
      </c>
      <c r="B531" s="19" t="str">
        <f>_xlfn.XLOOKUP(A531,CATÁLOGO!$A$2:$A$846,CATÁLOGO!$B$2:$B$846,"FORA DO CATÁLOGO")</f>
        <v>CAL026O44</v>
      </c>
      <c r="C531" s="13">
        <v>8</v>
      </c>
      <c r="D531" s="13">
        <v>2</v>
      </c>
      <c r="E531" s="13">
        <v>6</v>
      </c>
      <c r="F531" s="16" t="str">
        <f>_xlfn.XLOOKUP(A531,CATÁLOGO!$A$2:$A$846,CATÁLOGO!$E$2:$E$846,"FORA DO CATÁLOGO")</f>
        <v>Ativo</v>
      </c>
      <c r="G531" s="14"/>
    </row>
    <row r="532" spans="1:7" x14ac:dyDescent="0.3">
      <c r="A532" s="2" t="s">
        <v>472</v>
      </c>
      <c r="B532" s="19" t="str">
        <f>_xlfn.XLOOKUP(A532,CATÁLOGO!$A$2:$A$846,CATÁLOGO!$B$2:$B$846,"FORA DO CATÁLOGO")</f>
        <v>CAM021AM</v>
      </c>
      <c r="C532" s="13">
        <v>8</v>
      </c>
      <c r="D532" s="13">
        <v>0</v>
      </c>
      <c r="E532" s="13">
        <v>8</v>
      </c>
      <c r="F532" s="16" t="str">
        <f>_xlfn.XLOOKUP(A532,CATÁLOGO!$A$2:$A$846,CATÁLOGO!$E$2:$E$846,"FORA DO CATÁLOGO")</f>
        <v>Ativo</v>
      </c>
      <c r="G532" s="14"/>
    </row>
    <row r="533" spans="1:7" x14ac:dyDescent="0.3">
      <c r="A533" s="2" t="s">
        <v>473</v>
      </c>
      <c r="B533" s="19" t="str">
        <f>_xlfn.XLOOKUP(A533,CATÁLOGO!$A$2:$A$846,CATÁLOGO!$B$2:$B$846,"FORA DO CATÁLOGO")</f>
        <v>CAM021AG</v>
      </c>
      <c r="C533" s="13">
        <v>10</v>
      </c>
      <c r="D533" s="13">
        <v>2</v>
      </c>
      <c r="E533" s="13">
        <v>8</v>
      </c>
      <c r="F533" s="16" t="str">
        <f>_xlfn.XLOOKUP(A533,CATÁLOGO!$A$2:$A$846,CATÁLOGO!$E$2:$E$846,"FORA DO CATÁLOGO")</f>
        <v>Ativo</v>
      </c>
      <c r="G533" s="14"/>
    </row>
    <row r="534" spans="1:7" x14ac:dyDescent="0.3">
      <c r="A534" s="2" t="s">
        <v>474</v>
      </c>
      <c r="B534" s="19" t="str">
        <f>_xlfn.XLOOKUP(A534,CATÁLOGO!$A$2:$A$846,CATÁLOGO!$B$2:$B$846,"FORA DO CATÁLOGO")</f>
        <v>CAM021AGG</v>
      </c>
      <c r="C534" s="13">
        <v>4</v>
      </c>
      <c r="D534" s="13">
        <v>0</v>
      </c>
      <c r="E534" s="13">
        <v>4</v>
      </c>
      <c r="F534" s="16" t="str">
        <f>_xlfn.XLOOKUP(A534,CATÁLOGO!$A$2:$A$846,CATÁLOGO!$E$2:$E$846,"FORA DO CATÁLOGO")</f>
        <v>Ativo</v>
      </c>
      <c r="G534" s="14"/>
    </row>
    <row r="535" spans="1:7" x14ac:dyDescent="0.3">
      <c r="A535" s="2" t="s">
        <v>476</v>
      </c>
      <c r="B535" s="19" t="str">
        <f>_xlfn.XLOOKUP(A535,CATÁLOGO!$A$2:$A$846,CATÁLOGO!$B$2:$B$846,"FORA DO CATÁLOGO")</f>
        <v>CAM022MM</v>
      </c>
      <c r="C535" s="13">
        <v>11</v>
      </c>
      <c r="D535" s="13">
        <v>0</v>
      </c>
      <c r="E535" s="13">
        <v>11</v>
      </c>
      <c r="F535" s="16" t="str">
        <f>_xlfn.XLOOKUP(A535,CATÁLOGO!$A$2:$A$846,CATÁLOGO!$E$2:$E$846,"FORA DO CATÁLOGO")</f>
        <v>Ativo</v>
      </c>
      <c r="G535" s="14"/>
    </row>
    <row r="536" spans="1:7" x14ac:dyDescent="0.3">
      <c r="A536" s="2" t="s">
        <v>477</v>
      </c>
      <c r="B536" s="19" t="str">
        <f>_xlfn.XLOOKUP(A536,CATÁLOGO!$A$2:$A$846,CATÁLOGO!$B$2:$B$846,"FORA DO CATÁLOGO")</f>
        <v>CAM022MG</v>
      </c>
      <c r="C536" s="13">
        <v>5</v>
      </c>
      <c r="D536" s="13">
        <v>0</v>
      </c>
      <c r="E536" s="13">
        <v>5</v>
      </c>
      <c r="F536" s="16" t="str">
        <f>_xlfn.XLOOKUP(A536,CATÁLOGO!$A$2:$A$846,CATÁLOGO!$E$2:$E$846,"FORA DO CATÁLOGO")</f>
        <v>Ativo</v>
      </c>
      <c r="G536" s="14"/>
    </row>
    <row r="537" spans="1:7" x14ac:dyDescent="0.3">
      <c r="A537" s="2" t="s">
        <v>478</v>
      </c>
      <c r="B537" s="19" t="str">
        <f>_xlfn.XLOOKUP(A537,CATÁLOGO!$A$2:$A$846,CATÁLOGO!$B$2:$B$846,"FORA DO CATÁLOGO")</f>
        <v>CAM022MGG</v>
      </c>
      <c r="C537" s="13">
        <v>7</v>
      </c>
      <c r="D537" s="13">
        <v>0</v>
      </c>
      <c r="E537" s="13">
        <v>7</v>
      </c>
      <c r="F537" s="16" t="str">
        <f>_xlfn.XLOOKUP(A537,CATÁLOGO!$A$2:$A$846,CATÁLOGO!$E$2:$E$846,"FORA DO CATÁLOGO")</f>
        <v>Ativo</v>
      </c>
      <c r="G537" s="14"/>
    </row>
    <row r="538" spans="1:7" x14ac:dyDescent="0.3">
      <c r="A538" s="2" t="s">
        <v>479</v>
      </c>
      <c r="B538" s="19" t="str">
        <f>_xlfn.XLOOKUP(A538,CATÁLOGO!$A$2:$A$846,CATÁLOGO!$B$2:$B$846,"FORA DO CATÁLOGO")</f>
        <v>CMS015LP</v>
      </c>
      <c r="C538" s="13">
        <v>26</v>
      </c>
      <c r="D538" s="13">
        <v>1</v>
      </c>
      <c r="E538" s="13">
        <v>25</v>
      </c>
      <c r="F538" s="16" t="str">
        <f>_xlfn.XLOOKUP(A538,CATÁLOGO!$A$2:$A$846,CATÁLOGO!$E$2:$E$846,"FORA DO CATÁLOGO")</f>
        <v>Ativo</v>
      </c>
      <c r="G538" s="14"/>
    </row>
    <row r="539" spans="1:7" x14ac:dyDescent="0.3">
      <c r="A539" s="2" t="s">
        <v>480</v>
      </c>
      <c r="B539" s="19" t="str">
        <f>_xlfn.XLOOKUP(A539,CATÁLOGO!$A$2:$A$846,CATÁLOGO!$B$2:$B$846,"FORA DO CATÁLOGO")</f>
        <v>CMS015LM</v>
      </c>
      <c r="C539" s="13">
        <v>35</v>
      </c>
      <c r="D539" s="13">
        <v>0</v>
      </c>
      <c r="E539" s="13">
        <v>35</v>
      </c>
      <c r="F539" s="16" t="str">
        <f>_xlfn.XLOOKUP(A539,CATÁLOGO!$A$2:$A$846,CATÁLOGO!$E$2:$E$846,"FORA DO CATÁLOGO")</f>
        <v>Ativo</v>
      </c>
      <c r="G539" s="14"/>
    </row>
    <row r="540" spans="1:7" x14ac:dyDescent="0.3">
      <c r="A540" s="2" t="s">
        <v>481</v>
      </c>
      <c r="B540" s="19" t="str">
        <f>_xlfn.XLOOKUP(A540,CATÁLOGO!$A$2:$A$846,CATÁLOGO!$B$2:$B$846,"FORA DO CATÁLOGO")</f>
        <v>CMS015LG</v>
      </c>
      <c r="C540" s="13">
        <v>27</v>
      </c>
      <c r="D540" s="13">
        <v>0</v>
      </c>
      <c r="E540" s="13">
        <v>27</v>
      </c>
      <c r="F540" s="16" t="str">
        <f>_xlfn.XLOOKUP(A540,CATÁLOGO!$A$2:$A$846,CATÁLOGO!$E$2:$E$846,"FORA DO CATÁLOGO")</f>
        <v>Ativo</v>
      </c>
      <c r="G540" s="14"/>
    </row>
    <row r="541" spans="1:7" x14ac:dyDescent="0.3">
      <c r="A541" s="2" t="s">
        <v>482</v>
      </c>
      <c r="B541" s="19" t="str">
        <f>_xlfn.XLOOKUP(A541,CATÁLOGO!$A$2:$A$846,CATÁLOGO!$B$2:$B$846,"FORA DO CATÁLOGO")</f>
        <v>CMS015OP</v>
      </c>
      <c r="C541" s="13">
        <v>11</v>
      </c>
      <c r="D541" s="13">
        <v>0</v>
      </c>
      <c r="E541" s="13">
        <v>11</v>
      </c>
      <c r="F541" s="16" t="str">
        <f>_xlfn.XLOOKUP(A541,CATÁLOGO!$A$2:$A$846,CATÁLOGO!$E$2:$E$846,"FORA DO CATÁLOGO")</f>
        <v>Ativo</v>
      </c>
      <c r="G541" s="14"/>
    </row>
    <row r="542" spans="1:7" x14ac:dyDescent="0.3">
      <c r="A542" s="2" t="s">
        <v>483</v>
      </c>
      <c r="B542" s="19" t="str">
        <f>_xlfn.XLOOKUP(A542,CATÁLOGO!$A$2:$A$846,CATÁLOGO!$B$2:$B$846,"FORA DO CATÁLOGO")</f>
        <v>CMS015OM</v>
      </c>
      <c r="C542" s="13">
        <v>13</v>
      </c>
      <c r="D542" s="13">
        <v>0</v>
      </c>
      <c r="E542" s="13">
        <v>13</v>
      </c>
      <c r="F542" s="16" t="str">
        <f>_xlfn.XLOOKUP(A542,CATÁLOGO!$A$2:$A$846,CATÁLOGO!$E$2:$E$846,"FORA DO CATÁLOGO")</f>
        <v>Ativo</v>
      </c>
      <c r="G542" s="14"/>
    </row>
    <row r="543" spans="1:7" x14ac:dyDescent="0.3">
      <c r="A543" s="2" t="s">
        <v>484</v>
      </c>
      <c r="B543" s="19" t="str">
        <f>_xlfn.XLOOKUP(A543,CATÁLOGO!$A$2:$A$846,CATÁLOGO!$B$2:$B$846,"FORA DO CATÁLOGO")</f>
        <v>CMS015OG</v>
      </c>
      <c r="C543" s="13">
        <v>11</v>
      </c>
      <c r="D543" s="13">
        <v>0</v>
      </c>
      <c r="E543" s="13">
        <v>11</v>
      </c>
      <c r="F543" s="16" t="str">
        <f>_xlfn.XLOOKUP(A543,CATÁLOGO!$A$2:$A$846,CATÁLOGO!$E$2:$E$846,"FORA DO CATÁLOGO")</f>
        <v>Ativo</v>
      </c>
      <c r="G543" s="14"/>
    </row>
    <row r="544" spans="1:7" x14ac:dyDescent="0.3">
      <c r="A544" s="2" t="s">
        <v>486</v>
      </c>
      <c r="B544" s="19" t="str">
        <f>_xlfn.XLOOKUP(A544,CATÁLOGO!$A$2:$A$846,CATÁLOGO!$B$2:$B$846,"FORA DO CATÁLOGO")</f>
        <v>CAM023YM</v>
      </c>
      <c r="C544" s="13">
        <v>7</v>
      </c>
      <c r="D544" s="13">
        <v>0</v>
      </c>
      <c r="E544" s="13">
        <v>7</v>
      </c>
      <c r="F544" s="16" t="str">
        <f>_xlfn.XLOOKUP(A544,CATÁLOGO!$A$2:$A$846,CATÁLOGO!$E$2:$E$846,"FORA DO CATÁLOGO")</f>
        <v>Ativo</v>
      </c>
      <c r="G544" s="14"/>
    </row>
    <row r="545" spans="1:7" x14ac:dyDescent="0.3">
      <c r="A545" s="2" t="s">
        <v>487</v>
      </c>
      <c r="B545" s="19" t="str">
        <f>_xlfn.XLOOKUP(A545,CATÁLOGO!$A$2:$A$846,CATÁLOGO!$B$2:$B$846,"FORA DO CATÁLOGO")</f>
        <v>CAM023YG</v>
      </c>
      <c r="C545" s="13">
        <v>7</v>
      </c>
      <c r="D545" s="13">
        <v>0</v>
      </c>
      <c r="E545" s="13">
        <v>7</v>
      </c>
      <c r="F545" s="16" t="str">
        <f>_xlfn.XLOOKUP(A545,CATÁLOGO!$A$2:$A$846,CATÁLOGO!$E$2:$E$846,"FORA DO CATÁLOGO")</f>
        <v>Ativo</v>
      </c>
      <c r="G545" s="14"/>
    </row>
    <row r="546" spans="1:7" x14ac:dyDescent="0.3">
      <c r="A546" s="2" t="s">
        <v>488</v>
      </c>
      <c r="B546" s="19" t="str">
        <f>_xlfn.XLOOKUP(A546,CATÁLOGO!$A$2:$A$846,CATÁLOGO!$B$2:$B$846,"FORA DO CATÁLOGO")</f>
        <v>CAM023YGG</v>
      </c>
      <c r="C546" s="13">
        <v>1</v>
      </c>
      <c r="D546" s="13">
        <v>1</v>
      </c>
      <c r="E546" s="13">
        <v>0</v>
      </c>
      <c r="F546" s="16" t="str">
        <f>_xlfn.XLOOKUP(A546,CATÁLOGO!$A$2:$A$846,CATÁLOGO!$E$2:$E$846,"FORA DO CATÁLOGO")</f>
        <v>Ativo</v>
      </c>
      <c r="G546" s="14"/>
    </row>
    <row r="547" spans="1:7" x14ac:dyDescent="0.3">
      <c r="A547" s="2" t="s">
        <v>1705</v>
      </c>
      <c r="B547" s="19" t="str">
        <f>_xlfn.XLOOKUP(A547,CATÁLOGO!$A$2:$A$846,CATÁLOGO!$B$2:$B$846,"FORA DO CATÁLOGO")</f>
        <v>CAL027P36</v>
      </c>
      <c r="C547" s="13">
        <v>8</v>
      </c>
      <c r="D547" s="13">
        <v>0</v>
      </c>
      <c r="E547" s="13">
        <v>8</v>
      </c>
      <c r="F547" s="16" t="str">
        <f>_xlfn.XLOOKUP(A547,CATÁLOGO!$A$2:$A$846,CATÁLOGO!$E$2:$E$846,"FORA DO CATÁLOGO")</f>
        <v>Ativo</v>
      </c>
      <c r="G547" s="14"/>
    </row>
    <row r="548" spans="1:7" x14ac:dyDescent="0.3">
      <c r="A548" s="2" t="s">
        <v>1704</v>
      </c>
      <c r="B548" s="19" t="str">
        <f>_xlfn.XLOOKUP(A548,CATÁLOGO!$A$2:$A$846,CATÁLOGO!$B$2:$B$846,"FORA DO CATÁLOGO")</f>
        <v>CAL027P38</v>
      </c>
      <c r="C548" s="13">
        <v>21</v>
      </c>
      <c r="D548" s="13">
        <v>0</v>
      </c>
      <c r="E548" s="13">
        <v>21</v>
      </c>
      <c r="F548" s="16" t="str">
        <f>_xlfn.XLOOKUP(A548,CATÁLOGO!$A$2:$A$846,CATÁLOGO!$E$2:$E$846,"FORA DO CATÁLOGO")</f>
        <v>Ativo</v>
      </c>
      <c r="G548" s="14"/>
    </row>
    <row r="549" spans="1:7" x14ac:dyDescent="0.3">
      <c r="A549" s="2" t="s">
        <v>1703</v>
      </c>
      <c r="B549" s="19" t="str">
        <f>_xlfn.XLOOKUP(A549,CATÁLOGO!$A$2:$A$846,CATÁLOGO!$B$2:$B$846,"FORA DO CATÁLOGO")</f>
        <v>CAL027P40</v>
      </c>
      <c r="C549" s="13">
        <v>26</v>
      </c>
      <c r="D549" s="13">
        <v>0</v>
      </c>
      <c r="E549" s="13">
        <v>26</v>
      </c>
      <c r="F549" s="16" t="str">
        <f>_xlfn.XLOOKUP(A549,CATÁLOGO!$A$2:$A$846,CATÁLOGO!$E$2:$E$846,"FORA DO CATÁLOGO")</f>
        <v>Ativo</v>
      </c>
      <c r="G549" s="14"/>
    </row>
    <row r="550" spans="1:7" x14ac:dyDescent="0.3">
      <c r="A550" s="2" t="s">
        <v>1699</v>
      </c>
      <c r="B550" s="19" t="str">
        <f>_xlfn.XLOOKUP(A550,CATÁLOGO!$A$2:$A$846,CATÁLOGO!$B$2:$B$846,"FORA DO CATÁLOGO")</f>
        <v>CAL027P42</v>
      </c>
      <c r="C550" s="13">
        <v>13</v>
      </c>
      <c r="D550" s="13">
        <v>1</v>
      </c>
      <c r="E550" s="13">
        <v>12</v>
      </c>
      <c r="F550" s="16" t="str">
        <f>_xlfn.XLOOKUP(A550,CATÁLOGO!$A$2:$A$846,CATÁLOGO!$E$2:$E$846,"FORA DO CATÁLOGO")</f>
        <v>Ativo</v>
      </c>
      <c r="G550" s="14"/>
    </row>
    <row r="551" spans="1:7" x14ac:dyDescent="0.3">
      <c r="A551" s="2" t="s">
        <v>1702</v>
      </c>
      <c r="B551" s="19" t="str">
        <f>_xlfn.XLOOKUP(A551,CATÁLOGO!$A$2:$A$846,CATÁLOGO!$B$2:$B$846,"FORA DO CATÁLOGO")</f>
        <v>CAL027P44</v>
      </c>
      <c r="C551" s="13">
        <v>5</v>
      </c>
      <c r="D551" s="13">
        <v>0</v>
      </c>
      <c r="E551" s="13">
        <v>5</v>
      </c>
      <c r="F551" s="16" t="str">
        <f>_xlfn.XLOOKUP(A551,CATÁLOGO!$A$2:$A$846,CATÁLOGO!$E$2:$E$846,"FORA DO CATÁLOGO")</f>
        <v>Ativo</v>
      </c>
      <c r="G551" s="14"/>
    </row>
    <row r="552" spans="1:7" x14ac:dyDescent="0.3">
      <c r="A552" s="2" t="s">
        <v>489</v>
      </c>
      <c r="B552" s="19" t="str">
        <f>_xlfn.XLOOKUP(A552,CATÁLOGO!$A$2:$A$846,CATÁLOGO!$B$2:$B$846,"FORA DO CATÁLOGO")</f>
        <v>MOL019VP</v>
      </c>
      <c r="C552" s="13">
        <v>13</v>
      </c>
      <c r="D552" s="13">
        <v>2</v>
      </c>
      <c r="E552" s="13">
        <v>11</v>
      </c>
      <c r="F552" s="16" t="str">
        <f>_xlfn.XLOOKUP(A552,CATÁLOGO!$A$2:$A$846,CATÁLOGO!$E$2:$E$846,"FORA DO CATÁLOGO")</f>
        <v>Ativo</v>
      </c>
      <c r="G552" s="14"/>
    </row>
    <row r="553" spans="1:7" x14ac:dyDescent="0.3">
      <c r="A553" s="2" t="s">
        <v>1271</v>
      </c>
      <c r="B553" s="19" t="str">
        <f>_xlfn.XLOOKUP(A553,CATÁLOGO!$A$2:$A$846,CATÁLOGO!$B$2:$B$846,"FORA DO CATÁLOGO")</f>
        <v>MOL019VM</v>
      </c>
      <c r="C553" s="13">
        <v>13</v>
      </c>
      <c r="D553" s="13">
        <v>1</v>
      </c>
      <c r="E553" s="13">
        <v>12</v>
      </c>
      <c r="F553" s="16" t="str">
        <f>_xlfn.XLOOKUP(A553,CATÁLOGO!$A$2:$A$846,CATÁLOGO!$E$2:$E$846,"FORA DO CATÁLOGO")</f>
        <v>Ativo</v>
      </c>
      <c r="G553" s="14"/>
    </row>
    <row r="554" spans="1:7" x14ac:dyDescent="0.3">
      <c r="A554" s="2" t="s">
        <v>1272</v>
      </c>
      <c r="B554" s="19" t="str">
        <f>_xlfn.XLOOKUP(A554,CATÁLOGO!$A$2:$A$846,CATÁLOGO!$B$2:$B$846,"FORA DO CATÁLOGO")</f>
        <v>MOL019VG</v>
      </c>
      <c r="C554" s="13">
        <v>9</v>
      </c>
      <c r="D554" s="13">
        <v>0</v>
      </c>
      <c r="E554" s="13">
        <v>9</v>
      </c>
      <c r="F554" s="16" t="str">
        <f>_xlfn.XLOOKUP(A554,CATÁLOGO!$A$2:$A$846,CATÁLOGO!$E$2:$E$846,"FORA DO CATÁLOGO")</f>
        <v>Ativo</v>
      </c>
      <c r="G554" s="14"/>
    </row>
    <row r="555" spans="1:7" x14ac:dyDescent="0.3">
      <c r="A555" s="2" t="s">
        <v>490</v>
      </c>
      <c r="B555" s="19" t="str">
        <f>_xlfn.XLOOKUP(A555,CATÁLOGO!$A$2:$A$846,CATÁLOGO!$B$2:$B$846,"FORA DO CATÁLOGO")</f>
        <v>MOL019VGG</v>
      </c>
      <c r="C555" s="13">
        <v>6</v>
      </c>
      <c r="D555" s="13">
        <v>0</v>
      </c>
      <c r="E555" s="13">
        <v>6</v>
      </c>
      <c r="F555" s="16" t="str">
        <f>_xlfn.XLOOKUP(A555,CATÁLOGO!$A$2:$A$846,CATÁLOGO!$E$2:$E$846,"FORA DO CATÁLOGO")</f>
        <v>Ativo</v>
      </c>
      <c r="G555" s="14"/>
    </row>
    <row r="556" spans="1:7" x14ac:dyDescent="0.3">
      <c r="A556" s="2" t="s">
        <v>491</v>
      </c>
      <c r="B556" s="19" t="str">
        <f>_xlfn.XLOOKUP(A556,CATÁLOGO!$A$2:$A$846,CATÁLOGO!$B$2:$B$846,"FORA DO CATÁLOGO")</f>
        <v>CAM024LP</v>
      </c>
      <c r="C556" s="13">
        <v>23</v>
      </c>
      <c r="D556" s="13">
        <v>0</v>
      </c>
      <c r="E556" s="13">
        <v>23</v>
      </c>
      <c r="F556" s="16" t="str">
        <f>_xlfn.XLOOKUP(A556,CATÁLOGO!$A$2:$A$846,CATÁLOGO!$E$2:$E$846,"FORA DO CATÁLOGO")</f>
        <v>Ativo</v>
      </c>
      <c r="G556" s="14"/>
    </row>
    <row r="557" spans="1:7" x14ac:dyDescent="0.3">
      <c r="A557" s="2" t="s">
        <v>492</v>
      </c>
      <c r="B557" s="19" t="str">
        <f>_xlfn.XLOOKUP(A557,CATÁLOGO!$A$2:$A$846,CATÁLOGO!$B$2:$B$846,"FORA DO CATÁLOGO")</f>
        <v>CAM024LM</v>
      </c>
      <c r="C557" s="13">
        <v>44</v>
      </c>
      <c r="D557" s="13">
        <v>0</v>
      </c>
      <c r="E557" s="13">
        <v>44</v>
      </c>
      <c r="F557" s="16" t="str">
        <f>_xlfn.XLOOKUP(A557,CATÁLOGO!$A$2:$A$846,CATÁLOGO!$E$2:$E$846,"FORA DO CATÁLOGO")</f>
        <v>Ativo</v>
      </c>
      <c r="G557" s="14"/>
    </row>
    <row r="558" spans="1:7" x14ac:dyDescent="0.3">
      <c r="A558" s="2" t="s">
        <v>493</v>
      </c>
      <c r="B558" s="19" t="str">
        <f>_xlfn.XLOOKUP(A558,CATÁLOGO!$A$2:$A$846,CATÁLOGO!$B$2:$B$846,"FORA DO CATÁLOGO")</f>
        <v>CAM024LG</v>
      </c>
      <c r="C558" s="13">
        <v>35</v>
      </c>
      <c r="D558" s="13">
        <v>1</v>
      </c>
      <c r="E558" s="13">
        <v>34</v>
      </c>
      <c r="F558" s="16" t="str">
        <f>_xlfn.XLOOKUP(A558,CATÁLOGO!$A$2:$A$846,CATÁLOGO!$E$2:$E$846,"FORA DO CATÁLOGO")</f>
        <v>Ativo</v>
      </c>
      <c r="G558" s="14"/>
    </row>
    <row r="559" spans="1:7" x14ac:dyDescent="0.3">
      <c r="A559" s="2" t="s">
        <v>494</v>
      </c>
      <c r="B559" s="19" t="str">
        <f>_xlfn.XLOOKUP(A559,CATÁLOGO!$A$2:$A$846,CATÁLOGO!$B$2:$B$846,"FORA DO CATÁLOGO")</f>
        <v>CAM024LGG</v>
      </c>
      <c r="C559" s="13">
        <v>12</v>
      </c>
      <c r="D559" s="13">
        <v>0</v>
      </c>
      <c r="E559" s="13">
        <v>12</v>
      </c>
      <c r="F559" s="16" t="str">
        <f>_xlfn.XLOOKUP(A559,CATÁLOGO!$A$2:$A$846,CATÁLOGO!$E$2:$E$846,"FORA DO CATÁLOGO")</f>
        <v>Ativo</v>
      </c>
      <c r="G559" s="14"/>
    </row>
    <row r="560" spans="1:7" x14ac:dyDescent="0.3">
      <c r="A560" s="2" t="s">
        <v>495</v>
      </c>
      <c r="B560" s="19" t="str">
        <f>_xlfn.XLOOKUP(A560,CATÁLOGO!$A$2:$A$846,CATÁLOGO!$B$2:$B$846,"FORA DO CATÁLOGO")</f>
        <v>CAM024YP</v>
      </c>
      <c r="C560" s="13">
        <v>14</v>
      </c>
      <c r="D560" s="13">
        <v>0</v>
      </c>
      <c r="E560" s="13">
        <v>14</v>
      </c>
      <c r="F560" s="16" t="str">
        <f>_xlfn.XLOOKUP(A560,CATÁLOGO!$A$2:$A$846,CATÁLOGO!$E$2:$E$846,"FORA DO CATÁLOGO")</f>
        <v>Ativo</v>
      </c>
      <c r="G560" s="14"/>
    </row>
    <row r="561" spans="1:7" x14ac:dyDescent="0.3">
      <c r="A561" s="2" t="s">
        <v>496</v>
      </c>
      <c r="B561" s="19" t="str">
        <f>_xlfn.XLOOKUP(A561,CATÁLOGO!$A$2:$A$846,CATÁLOGO!$B$2:$B$846,"FORA DO CATÁLOGO")</f>
        <v>CAM024YM</v>
      </c>
      <c r="C561" s="13">
        <v>26</v>
      </c>
      <c r="D561" s="13">
        <v>0</v>
      </c>
      <c r="E561" s="13">
        <v>26</v>
      </c>
      <c r="F561" s="16" t="str">
        <f>_xlfn.XLOOKUP(A561,CATÁLOGO!$A$2:$A$846,CATÁLOGO!$E$2:$E$846,"FORA DO CATÁLOGO")</f>
        <v>Ativo</v>
      </c>
      <c r="G561" s="14"/>
    </row>
    <row r="562" spans="1:7" x14ac:dyDescent="0.3">
      <c r="A562" s="2" t="s">
        <v>497</v>
      </c>
      <c r="B562" s="19" t="str">
        <f>_xlfn.XLOOKUP(A562,CATÁLOGO!$A$2:$A$846,CATÁLOGO!$B$2:$B$846,"FORA DO CATÁLOGO")</f>
        <v>CAM024YG</v>
      </c>
      <c r="C562" s="13">
        <v>20</v>
      </c>
      <c r="D562" s="13">
        <v>0</v>
      </c>
      <c r="E562" s="13">
        <v>20</v>
      </c>
      <c r="F562" s="16" t="str">
        <f>_xlfn.XLOOKUP(A562,CATÁLOGO!$A$2:$A$846,CATÁLOGO!$E$2:$E$846,"FORA DO CATÁLOGO")</f>
        <v>Ativo</v>
      </c>
      <c r="G562" s="14"/>
    </row>
    <row r="563" spans="1:7" x14ac:dyDescent="0.3">
      <c r="A563" s="2" t="s">
        <v>498</v>
      </c>
      <c r="B563" s="19" t="str">
        <f>_xlfn.XLOOKUP(A563,CATÁLOGO!$A$2:$A$846,CATÁLOGO!$B$2:$B$846,"FORA DO CATÁLOGO")</f>
        <v>CAM024YGG</v>
      </c>
      <c r="C563" s="13">
        <v>10</v>
      </c>
      <c r="D563" s="13">
        <v>0</v>
      </c>
      <c r="E563" s="13">
        <v>10</v>
      </c>
      <c r="F563" s="16" t="str">
        <f>_xlfn.XLOOKUP(A563,CATÁLOGO!$A$2:$A$846,CATÁLOGO!$E$2:$E$846,"FORA DO CATÁLOGO")</f>
        <v>Ativo</v>
      </c>
      <c r="G563" s="14"/>
    </row>
    <row r="564" spans="1:7" x14ac:dyDescent="0.3">
      <c r="A564" s="2" t="s">
        <v>1856</v>
      </c>
      <c r="B564" s="19" t="str">
        <f>_xlfn.XLOOKUP(A564,CATÁLOGO!$A$2:$A$846,CATÁLOGO!$B$2:$B$846,"FORA DO CATÁLOGO")</f>
        <v>MOL020HPP</v>
      </c>
      <c r="C564" s="13">
        <v>6</v>
      </c>
      <c r="D564" s="13">
        <v>0</v>
      </c>
      <c r="E564" s="13">
        <v>6</v>
      </c>
      <c r="F564" s="16" t="str">
        <f>_xlfn.XLOOKUP(A564,CATÁLOGO!$A$2:$A$846,CATÁLOGO!$E$2:$E$846,"FORA DO CATÁLOGO")</f>
        <v>Ativo</v>
      </c>
      <c r="G564" s="14"/>
    </row>
    <row r="565" spans="1:7" x14ac:dyDescent="0.3">
      <c r="A565" s="2" t="s">
        <v>499</v>
      </c>
      <c r="B565" s="19" t="str">
        <f>_xlfn.XLOOKUP(A565,CATÁLOGO!$A$2:$A$846,CATÁLOGO!$B$2:$B$846,"FORA DO CATÁLOGO")</f>
        <v>MOL020HP</v>
      </c>
      <c r="C565" s="13">
        <v>14</v>
      </c>
      <c r="D565" s="13">
        <v>0</v>
      </c>
      <c r="E565" s="13">
        <v>14</v>
      </c>
      <c r="F565" s="16" t="str">
        <f>_xlfn.XLOOKUP(A565,CATÁLOGO!$A$2:$A$846,CATÁLOGO!$E$2:$E$846,"FORA DO CATÁLOGO")</f>
        <v>Ativo</v>
      </c>
      <c r="G565" s="14"/>
    </row>
    <row r="566" spans="1:7" x14ac:dyDescent="0.3">
      <c r="A566" s="2" t="s">
        <v>500</v>
      </c>
      <c r="B566" s="19" t="str">
        <f>_xlfn.XLOOKUP(A566,CATÁLOGO!$A$2:$A$846,CATÁLOGO!$B$2:$B$846,"FORA DO CATÁLOGO")</f>
        <v>MOL020HM</v>
      </c>
      <c r="C566" s="13">
        <v>28</v>
      </c>
      <c r="D566" s="13">
        <v>0</v>
      </c>
      <c r="E566" s="13">
        <v>28</v>
      </c>
      <c r="F566" s="16" t="str">
        <f>_xlfn.XLOOKUP(A566,CATÁLOGO!$A$2:$A$846,CATÁLOGO!$E$2:$E$846,"FORA DO CATÁLOGO")</f>
        <v>Ativo</v>
      </c>
      <c r="G566" s="14"/>
    </row>
    <row r="567" spans="1:7" x14ac:dyDescent="0.3">
      <c r="A567" s="2" t="s">
        <v>501</v>
      </c>
      <c r="B567" s="19" t="str">
        <f>_xlfn.XLOOKUP(A567,CATÁLOGO!$A$2:$A$846,CATÁLOGO!$B$2:$B$846,"FORA DO CATÁLOGO")</f>
        <v>MOL020HG</v>
      </c>
      <c r="C567" s="13">
        <v>19</v>
      </c>
      <c r="D567" s="13">
        <v>0</v>
      </c>
      <c r="E567" s="13">
        <v>19</v>
      </c>
      <c r="F567" s="16" t="str">
        <f>_xlfn.XLOOKUP(A567,CATÁLOGO!$A$2:$A$846,CATÁLOGO!$E$2:$E$846,"FORA DO CATÁLOGO")</f>
        <v>Ativo</v>
      </c>
      <c r="G567" s="14"/>
    </row>
    <row r="568" spans="1:7" x14ac:dyDescent="0.3">
      <c r="A568" s="2" t="s">
        <v>502</v>
      </c>
      <c r="B568" s="19" t="str">
        <f>_xlfn.XLOOKUP(A568,CATÁLOGO!$A$2:$A$846,CATÁLOGO!$B$2:$B$846,"FORA DO CATÁLOGO")</f>
        <v>MOL020HGG</v>
      </c>
      <c r="C568" s="13">
        <v>9</v>
      </c>
      <c r="D568" s="13">
        <v>0</v>
      </c>
      <c r="E568" s="13">
        <v>9</v>
      </c>
      <c r="F568" s="16" t="str">
        <f>_xlfn.XLOOKUP(A568,CATÁLOGO!$A$2:$A$846,CATÁLOGO!$E$2:$E$846,"FORA DO CATÁLOGO")</f>
        <v>Ativo</v>
      </c>
      <c r="G568" s="14"/>
    </row>
    <row r="569" spans="1:7" x14ac:dyDescent="0.3">
      <c r="A569" s="2" t="s">
        <v>503</v>
      </c>
      <c r="B569" s="19" t="str">
        <f>_xlfn.XLOOKUP(A569,CATÁLOGO!$A$2:$A$846,CATÁLOGO!$B$2:$B$846,"FORA DO CATÁLOGO")</f>
        <v>CAM025MP</v>
      </c>
      <c r="C569" s="13">
        <v>8</v>
      </c>
      <c r="D569" s="13">
        <v>1</v>
      </c>
      <c r="E569" s="13">
        <v>7</v>
      </c>
      <c r="F569" s="16" t="str">
        <f>_xlfn.XLOOKUP(A569,CATÁLOGO!$A$2:$A$846,CATÁLOGO!$E$2:$E$846,"FORA DO CATÁLOGO")</f>
        <v>Ativo</v>
      </c>
      <c r="G569" s="14"/>
    </row>
    <row r="570" spans="1:7" x14ac:dyDescent="0.3">
      <c r="A570" s="2" t="s">
        <v>504</v>
      </c>
      <c r="B570" s="19" t="str">
        <f>_xlfn.XLOOKUP(A570,CATÁLOGO!$A$2:$A$846,CATÁLOGO!$B$2:$B$846,"FORA DO CATÁLOGO")</f>
        <v>CAM025MM</v>
      </c>
      <c r="C570" s="13">
        <v>8</v>
      </c>
      <c r="D570" s="13">
        <v>0</v>
      </c>
      <c r="E570" s="13">
        <v>8</v>
      </c>
      <c r="F570" s="16" t="str">
        <f>_xlfn.XLOOKUP(A570,CATÁLOGO!$A$2:$A$846,CATÁLOGO!$E$2:$E$846,"FORA DO CATÁLOGO")</f>
        <v>Ativo</v>
      </c>
      <c r="G570" s="14"/>
    </row>
    <row r="571" spans="1:7" x14ac:dyDescent="0.3">
      <c r="A571" s="2" t="s">
        <v>505</v>
      </c>
      <c r="B571" s="19" t="str">
        <f>_xlfn.XLOOKUP(A571,CATÁLOGO!$A$2:$A$846,CATÁLOGO!$B$2:$B$846,"FORA DO CATÁLOGO")</f>
        <v>CAM025MG</v>
      </c>
      <c r="C571" s="13">
        <v>15</v>
      </c>
      <c r="D571" s="13">
        <v>0</v>
      </c>
      <c r="E571" s="13">
        <v>15</v>
      </c>
      <c r="F571" s="16" t="str">
        <f>_xlfn.XLOOKUP(A571,CATÁLOGO!$A$2:$A$846,CATÁLOGO!$E$2:$E$846,"FORA DO CATÁLOGO")</f>
        <v>Ativo</v>
      </c>
      <c r="G571" s="14"/>
    </row>
    <row r="572" spans="1:7" x14ac:dyDescent="0.3">
      <c r="A572" s="2" t="s">
        <v>506</v>
      </c>
      <c r="B572" s="19" t="str">
        <f>_xlfn.XLOOKUP(A572,CATÁLOGO!$A$2:$A$846,CATÁLOGO!$B$2:$B$846,"FORA DO CATÁLOGO")</f>
        <v>CAM025MGG</v>
      </c>
      <c r="C572" s="13">
        <v>4</v>
      </c>
      <c r="D572" s="13">
        <v>0</v>
      </c>
      <c r="E572" s="13">
        <v>4</v>
      </c>
      <c r="F572" s="16" t="str">
        <f>_xlfn.XLOOKUP(A572,CATÁLOGO!$A$2:$A$846,CATÁLOGO!$E$2:$E$846,"FORA DO CATÁLOGO")</f>
        <v>Ativo</v>
      </c>
      <c r="G572" s="14"/>
    </row>
    <row r="573" spans="1:7" x14ac:dyDescent="0.3">
      <c r="A573" s="2" t="s">
        <v>507</v>
      </c>
      <c r="B573" s="19" t="str">
        <f>_xlfn.XLOOKUP(A573,CATÁLOGO!$A$2:$A$846,CATÁLOGO!$B$2:$B$846,"FORA DO CATÁLOGO")</f>
        <v>TRI015VP</v>
      </c>
      <c r="C573" s="13">
        <v>13</v>
      </c>
      <c r="D573" s="13">
        <v>0</v>
      </c>
      <c r="E573" s="13">
        <v>13</v>
      </c>
      <c r="F573" s="16" t="str">
        <f>_xlfn.XLOOKUP(A573,CATÁLOGO!$A$2:$A$846,CATÁLOGO!$E$2:$E$846,"FORA DO CATÁLOGO")</f>
        <v>Ativo</v>
      </c>
      <c r="G573" s="14"/>
    </row>
    <row r="574" spans="1:7" x14ac:dyDescent="0.3">
      <c r="A574" s="2" t="s">
        <v>508</v>
      </c>
      <c r="B574" s="19" t="str">
        <f>_xlfn.XLOOKUP(A574,CATÁLOGO!$A$2:$A$846,CATÁLOGO!$B$2:$B$846,"FORA DO CATÁLOGO")</f>
        <v>TRI015VM</v>
      </c>
      <c r="C574" s="13">
        <v>10</v>
      </c>
      <c r="D574" s="13">
        <v>2</v>
      </c>
      <c r="E574" s="13">
        <v>8</v>
      </c>
      <c r="F574" s="16" t="str">
        <f>_xlfn.XLOOKUP(A574,CATÁLOGO!$A$2:$A$846,CATÁLOGO!$E$2:$E$846,"FORA DO CATÁLOGO")</f>
        <v>Ativo</v>
      </c>
      <c r="G574" s="14"/>
    </row>
    <row r="575" spans="1:7" x14ac:dyDescent="0.3">
      <c r="A575" s="2" t="s">
        <v>509</v>
      </c>
      <c r="B575" s="19" t="str">
        <f>_xlfn.XLOOKUP(A575,CATÁLOGO!$A$2:$A$846,CATÁLOGO!$B$2:$B$846,"FORA DO CATÁLOGO")</f>
        <v>TRI015VG</v>
      </c>
      <c r="C575" s="13">
        <v>11</v>
      </c>
      <c r="D575" s="13">
        <v>0</v>
      </c>
      <c r="E575" s="13">
        <v>11</v>
      </c>
      <c r="F575" s="16" t="str">
        <f>_xlfn.XLOOKUP(A575,CATÁLOGO!$A$2:$A$846,CATÁLOGO!$E$2:$E$846,"FORA DO CATÁLOGO")</f>
        <v>Ativo</v>
      </c>
      <c r="G575" s="14"/>
    </row>
    <row r="576" spans="1:7" x14ac:dyDescent="0.3">
      <c r="A576" s="2" t="s">
        <v>510</v>
      </c>
      <c r="B576" s="19" t="str">
        <f>_xlfn.XLOOKUP(A576,CATÁLOGO!$A$2:$A$846,CATÁLOGO!$B$2:$B$846,"FORA DO CATÁLOGO")</f>
        <v>TRI015VGG</v>
      </c>
      <c r="C576" s="13">
        <v>8</v>
      </c>
      <c r="D576" s="13">
        <v>0</v>
      </c>
      <c r="E576" s="13">
        <v>8</v>
      </c>
      <c r="F576" s="16" t="str">
        <f>_xlfn.XLOOKUP(A576,CATÁLOGO!$A$2:$A$846,CATÁLOGO!$E$2:$E$846,"FORA DO CATÁLOGO")</f>
        <v>Ativo</v>
      </c>
      <c r="G576" s="14"/>
    </row>
    <row r="577" spans="1:7" x14ac:dyDescent="0.3">
      <c r="A577" s="2" t="s">
        <v>1711</v>
      </c>
      <c r="B577" s="19" t="str">
        <f>_xlfn.XLOOKUP(A577,CATÁLOGO!$A$2:$A$846,CATÁLOGO!$B$2:$B$846,"FORA DO CATÁLOGO")</f>
        <v>CAL028A36</v>
      </c>
      <c r="C577" s="13">
        <v>5</v>
      </c>
      <c r="D577" s="13">
        <v>0</v>
      </c>
      <c r="E577" s="13">
        <v>5</v>
      </c>
      <c r="F577" s="16" t="str">
        <f>_xlfn.XLOOKUP(A577,CATÁLOGO!$A$2:$A$846,CATÁLOGO!$E$2:$E$846,"FORA DO CATÁLOGO")</f>
        <v>Ativo</v>
      </c>
      <c r="G577" s="14"/>
    </row>
    <row r="578" spans="1:7" x14ac:dyDescent="0.3">
      <c r="A578" s="2" t="s">
        <v>1710</v>
      </c>
      <c r="B578" s="19" t="str">
        <f>_xlfn.XLOOKUP(A578,CATÁLOGO!$A$2:$A$846,CATÁLOGO!$B$2:$B$846,"FORA DO CATÁLOGO")</f>
        <v>CAL028A38</v>
      </c>
      <c r="C578" s="13">
        <v>15</v>
      </c>
      <c r="D578" s="13">
        <v>0</v>
      </c>
      <c r="E578" s="13">
        <v>15</v>
      </c>
      <c r="F578" s="16" t="str">
        <f>_xlfn.XLOOKUP(A578,CATÁLOGO!$A$2:$A$846,CATÁLOGO!$E$2:$E$846,"FORA DO CATÁLOGO")</f>
        <v>Ativo</v>
      </c>
      <c r="G578" s="14"/>
    </row>
    <row r="579" spans="1:7" x14ac:dyDescent="0.3">
      <c r="A579" s="2" t="s">
        <v>1709</v>
      </c>
      <c r="B579" s="19" t="str">
        <f>_xlfn.XLOOKUP(A579,CATÁLOGO!$A$2:$A$846,CATÁLOGO!$B$2:$B$846,"FORA DO CATÁLOGO")</f>
        <v>CAL028A40</v>
      </c>
      <c r="C579" s="13">
        <v>22</v>
      </c>
      <c r="D579" s="13">
        <v>0</v>
      </c>
      <c r="E579" s="13">
        <v>22</v>
      </c>
      <c r="F579" s="16" t="str">
        <f>_xlfn.XLOOKUP(A579,CATÁLOGO!$A$2:$A$846,CATÁLOGO!$E$2:$E$846,"FORA DO CATÁLOGO")</f>
        <v>Ativo</v>
      </c>
      <c r="G579" s="14"/>
    </row>
    <row r="580" spans="1:7" x14ac:dyDescent="0.3">
      <c r="A580" s="2" t="s">
        <v>1706</v>
      </c>
      <c r="B580" s="19" t="str">
        <f>_xlfn.XLOOKUP(A580,CATÁLOGO!$A$2:$A$846,CATÁLOGO!$B$2:$B$846,"FORA DO CATÁLOGO")</f>
        <v>CAL028A42</v>
      </c>
      <c r="C580" s="13">
        <v>14</v>
      </c>
      <c r="D580" s="13">
        <v>0</v>
      </c>
      <c r="E580" s="13">
        <v>14</v>
      </c>
      <c r="F580" s="16" t="str">
        <f>_xlfn.XLOOKUP(A580,CATÁLOGO!$A$2:$A$846,CATÁLOGO!$E$2:$E$846,"FORA DO CATÁLOGO")</f>
        <v>Ativo</v>
      </c>
      <c r="G580" s="14"/>
    </row>
    <row r="581" spans="1:7" x14ac:dyDescent="0.3">
      <c r="A581" s="2" t="s">
        <v>1708</v>
      </c>
      <c r="B581" s="19" t="str">
        <f>_xlfn.XLOOKUP(A581,CATÁLOGO!$A$2:$A$846,CATÁLOGO!$B$2:$B$846,"FORA DO CATÁLOGO")</f>
        <v>CAL028A44</v>
      </c>
      <c r="C581" s="13">
        <v>8</v>
      </c>
      <c r="D581" s="13">
        <v>0</v>
      </c>
      <c r="E581" s="13">
        <v>8</v>
      </c>
      <c r="F581" s="16" t="str">
        <f>_xlfn.XLOOKUP(A581,CATÁLOGO!$A$2:$A$846,CATÁLOGO!$E$2:$E$846,"FORA DO CATÁLOGO")</f>
        <v>Ativo</v>
      </c>
      <c r="G581" s="14"/>
    </row>
    <row r="582" spans="1:7" x14ac:dyDescent="0.3">
      <c r="A582" s="2" t="s">
        <v>1813</v>
      </c>
      <c r="B582" s="19" t="str">
        <f>_xlfn.XLOOKUP(A582,CATÁLOGO!$A$2:$A$846,CATÁLOGO!$B$2:$B$846,"FORA DO CATÁLOGO")</f>
        <v>MOL001MPP</v>
      </c>
      <c r="C582" s="13">
        <v>7</v>
      </c>
      <c r="D582" s="13">
        <v>0</v>
      </c>
      <c r="E582" s="13">
        <v>7</v>
      </c>
      <c r="F582" s="16" t="str">
        <f>_xlfn.XLOOKUP(A582,CATÁLOGO!$A$2:$A$846,CATÁLOGO!$E$2:$E$846,"FORA DO CATÁLOGO")</f>
        <v>Ativo</v>
      </c>
      <c r="G582" s="14"/>
    </row>
    <row r="583" spans="1:7" x14ac:dyDescent="0.3">
      <c r="A583" s="2" t="s">
        <v>511</v>
      </c>
      <c r="B583" s="19" t="str">
        <f>_xlfn.XLOOKUP(A583,CATÁLOGO!$A$2:$A$846,CATÁLOGO!$B$2:$B$846,"FORA DO CATÁLOGO")</f>
        <v>MOL001MP</v>
      </c>
      <c r="C583" s="13">
        <v>16</v>
      </c>
      <c r="D583" s="13">
        <v>0</v>
      </c>
      <c r="E583" s="13">
        <v>16</v>
      </c>
      <c r="F583" s="16" t="str">
        <f>_xlfn.XLOOKUP(A583,CATÁLOGO!$A$2:$A$846,CATÁLOGO!$E$2:$E$846,"FORA DO CATÁLOGO")</f>
        <v>Ativo</v>
      </c>
      <c r="G583" s="14"/>
    </row>
    <row r="584" spans="1:7" x14ac:dyDescent="0.3">
      <c r="A584" s="2" t="s">
        <v>512</v>
      </c>
      <c r="B584" s="19" t="str">
        <f>_xlfn.XLOOKUP(A584,CATÁLOGO!$A$2:$A$846,CATÁLOGO!$B$2:$B$846,"FORA DO CATÁLOGO")</f>
        <v>MOL001MM</v>
      </c>
      <c r="C584" s="13">
        <v>22</v>
      </c>
      <c r="D584" s="13">
        <v>0</v>
      </c>
      <c r="E584" s="13">
        <v>22</v>
      </c>
      <c r="F584" s="16" t="str">
        <f>_xlfn.XLOOKUP(A584,CATÁLOGO!$A$2:$A$846,CATÁLOGO!$E$2:$E$846,"FORA DO CATÁLOGO")</f>
        <v>Ativo</v>
      </c>
      <c r="G584" s="14"/>
    </row>
    <row r="585" spans="1:7" x14ac:dyDescent="0.3">
      <c r="A585" s="2" t="s">
        <v>1273</v>
      </c>
      <c r="B585" s="19" t="str">
        <f>_xlfn.XLOOKUP(A585,CATÁLOGO!$A$2:$A$846,CATÁLOGO!$B$2:$B$846,"FORA DO CATÁLOGO")</f>
        <v>MOL001MG</v>
      </c>
      <c r="C585" s="13">
        <v>10</v>
      </c>
      <c r="D585" s="13">
        <v>0</v>
      </c>
      <c r="E585" s="13">
        <v>10</v>
      </c>
      <c r="F585" s="16" t="str">
        <f>_xlfn.XLOOKUP(A585,CATÁLOGO!$A$2:$A$846,CATÁLOGO!$E$2:$E$846,"FORA DO CATÁLOGO")</f>
        <v>Ativo</v>
      </c>
      <c r="G585" s="14"/>
    </row>
    <row r="586" spans="1:7" x14ac:dyDescent="0.3">
      <c r="A586" s="2" t="s">
        <v>513</v>
      </c>
      <c r="B586" s="19" t="str">
        <f>_xlfn.XLOOKUP(A586,CATÁLOGO!$A$2:$A$846,CATÁLOGO!$B$2:$B$846,"FORA DO CATÁLOGO")</f>
        <v>MOL001MGG</v>
      </c>
      <c r="C586" s="13">
        <v>5</v>
      </c>
      <c r="D586" s="13">
        <v>0</v>
      </c>
      <c r="E586" s="13">
        <v>5</v>
      </c>
      <c r="F586" s="16" t="str">
        <f>_xlfn.XLOOKUP(A586,CATÁLOGO!$A$2:$A$846,CATÁLOGO!$E$2:$E$846,"FORA DO CATÁLOGO")</f>
        <v>Ativo</v>
      </c>
      <c r="G586" s="14"/>
    </row>
    <row r="587" spans="1:7" x14ac:dyDescent="0.3">
      <c r="A587" s="2" t="s">
        <v>1798</v>
      </c>
      <c r="B587" s="19" t="str">
        <f>_xlfn.XLOOKUP(A587,CATÁLOGO!$A$2:$A$846,CATÁLOGO!$B$2:$B$846,"FORA DO CATÁLOGO")</f>
        <v>CMS016HPP</v>
      </c>
      <c r="C587" s="13">
        <v>6</v>
      </c>
      <c r="D587" s="13">
        <v>0</v>
      </c>
      <c r="E587" s="13">
        <v>6</v>
      </c>
      <c r="F587" s="16" t="str">
        <f>_xlfn.XLOOKUP(A587,CATÁLOGO!$A$2:$A$846,CATÁLOGO!$E$2:$E$846,"FORA DO CATÁLOGO")</f>
        <v>Ativo</v>
      </c>
      <c r="G587" s="14"/>
    </row>
    <row r="588" spans="1:7" x14ac:dyDescent="0.3">
      <c r="A588" s="2" t="s">
        <v>514</v>
      </c>
      <c r="B588" s="19" t="str">
        <f>_xlfn.XLOOKUP(A588,CATÁLOGO!$A$2:$A$846,CATÁLOGO!$B$2:$B$846,"FORA DO CATÁLOGO")</f>
        <v>CMS016HP</v>
      </c>
      <c r="C588" s="13">
        <v>28</v>
      </c>
      <c r="D588" s="13">
        <v>2</v>
      </c>
      <c r="E588" s="13">
        <v>26</v>
      </c>
      <c r="F588" s="16" t="str">
        <f>_xlfn.XLOOKUP(A588,CATÁLOGO!$A$2:$A$846,CATÁLOGO!$E$2:$E$846,"FORA DO CATÁLOGO")</f>
        <v>Ativo</v>
      </c>
      <c r="G588" s="14"/>
    </row>
    <row r="589" spans="1:7" x14ac:dyDescent="0.3">
      <c r="A589" s="2" t="s">
        <v>515</v>
      </c>
      <c r="B589" s="19" t="str">
        <f>_xlfn.XLOOKUP(A589,CATÁLOGO!$A$2:$A$846,CATÁLOGO!$B$2:$B$846,"FORA DO CATÁLOGO")</f>
        <v>CMS016HM</v>
      </c>
      <c r="C589" s="13">
        <v>37</v>
      </c>
      <c r="D589" s="13">
        <v>0</v>
      </c>
      <c r="E589" s="13">
        <v>37</v>
      </c>
      <c r="F589" s="16" t="str">
        <f>_xlfn.XLOOKUP(A589,CATÁLOGO!$A$2:$A$846,CATÁLOGO!$E$2:$E$846,"FORA DO CATÁLOGO")</f>
        <v>Ativo</v>
      </c>
      <c r="G589" s="14"/>
    </row>
    <row r="590" spans="1:7" x14ac:dyDescent="0.3">
      <c r="A590" s="2" t="s">
        <v>516</v>
      </c>
      <c r="B590" s="19" t="str">
        <f>_xlfn.XLOOKUP(A590,CATÁLOGO!$A$2:$A$846,CATÁLOGO!$B$2:$B$846,"FORA DO CATÁLOGO")</f>
        <v>CMS016HG</v>
      </c>
      <c r="C590" s="13">
        <v>32</v>
      </c>
      <c r="D590" s="13">
        <v>0</v>
      </c>
      <c r="E590" s="13">
        <v>32</v>
      </c>
      <c r="F590" s="16" t="str">
        <f>_xlfn.XLOOKUP(A590,CATÁLOGO!$A$2:$A$846,CATÁLOGO!$E$2:$E$846,"FORA DO CATÁLOGO")</f>
        <v>Ativo</v>
      </c>
      <c r="G590" s="14"/>
    </row>
    <row r="591" spans="1:7" x14ac:dyDescent="0.3">
      <c r="A591" s="2" t="s">
        <v>517</v>
      </c>
      <c r="B591" s="19" t="str">
        <f>_xlfn.XLOOKUP(A591,CATÁLOGO!$A$2:$A$846,CATÁLOGO!$B$2:$B$846,"FORA DO CATÁLOGO")</f>
        <v>CMS016HGG</v>
      </c>
      <c r="C591" s="13">
        <v>16</v>
      </c>
      <c r="D591" s="13">
        <v>0</v>
      </c>
      <c r="E591" s="13">
        <v>16</v>
      </c>
      <c r="F591" s="16" t="str">
        <f>_xlfn.XLOOKUP(A591,CATÁLOGO!$A$2:$A$846,CATÁLOGO!$E$2:$E$846,"FORA DO CATÁLOGO")</f>
        <v>Ativo</v>
      </c>
      <c r="G591" s="14"/>
    </row>
    <row r="592" spans="1:7" x14ac:dyDescent="0.3">
      <c r="A592" s="2" t="s">
        <v>1797</v>
      </c>
      <c r="B592" s="19" t="str">
        <f>_xlfn.XLOOKUP(A592,CATÁLOGO!$A$2:$A$846,CATÁLOGO!$B$2:$B$846,"FORA DO CATÁLOGO")</f>
        <v>CMS016BPP</v>
      </c>
      <c r="C592" s="13">
        <v>4</v>
      </c>
      <c r="D592" s="13">
        <v>2</v>
      </c>
      <c r="E592" s="13">
        <v>2</v>
      </c>
      <c r="F592" s="16" t="str">
        <f>_xlfn.XLOOKUP(A592,CATÁLOGO!$A$2:$A$846,CATÁLOGO!$E$2:$E$846,"FORA DO CATÁLOGO")</f>
        <v>Ativo</v>
      </c>
      <c r="G592" s="14"/>
    </row>
    <row r="593" spans="1:7" x14ac:dyDescent="0.3">
      <c r="A593" s="2" t="s">
        <v>1274</v>
      </c>
      <c r="B593" s="19" t="str">
        <f>_xlfn.XLOOKUP(A593,CATÁLOGO!$A$2:$A$846,CATÁLOGO!$B$2:$B$846,"FORA DO CATÁLOGO")</f>
        <v>CMS016BP</v>
      </c>
      <c r="C593" s="13">
        <v>18</v>
      </c>
      <c r="D593" s="13">
        <v>0</v>
      </c>
      <c r="E593" s="13">
        <v>18</v>
      </c>
      <c r="F593" s="16" t="str">
        <f>_xlfn.XLOOKUP(A593,CATÁLOGO!$A$2:$A$846,CATÁLOGO!$E$2:$E$846,"FORA DO CATÁLOGO")</f>
        <v>Ativo</v>
      </c>
      <c r="G593" s="14"/>
    </row>
    <row r="594" spans="1:7" x14ac:dyDescent="0.3">
      <c r="A594" s="2" t="s">
        <v>518</v>
      </c>
      <c r="B594" s="19" t="str">
        <f>_xlfn.XLOOKUP(A594,CATÁLOGO!$A$2:$A$846,CATÁLOGO!$B$2:$B$846,"FORA DO CATÁLOGO")</f>
        <v>CMS016BM</v>
      </c>
      <c r="C594" s="13">
        <v>25</v>
      </c>
      <c r="D594" s="13">
        <v>0</v>
      </c>
      <c r="E594" s="13">
        <v>25</v>
      </c>
      <c r="F594" s="16" t="str">
        <f>_xlfn.XLOOKUP(A594,CATÁLOGO!$A$2:$A$846,CATÁLOGO!$E$2:$E$846,"FORA DO CATÁLOGO")</f>
        <v>Ativo</v>
      </c>
      <c r="G594" s="14"/>
    </row>
    <row r="595" spans="1:7" x14ac:dyDescent="0.3">
      <c r="A595" s="2" t="s">
        <v>519</v>
      </c>
      <c r="B595" s="19" t="str">
        <f>_xlfn.XLOOKUP(A595,CATÁLOGO!$A$2:$A$846,CATÁLOGO!$B$2:$B$846,"FORA DO CATÁLOGO")</f>
        <v>CMS016BG</v>
      </c>
      <c r="C595" s="13">
        <v>20</v>
      </c>
      <c r="D595" s="13">
        <v>0</v>
      </c>
      <c r="E595" s="13">
        <v>20</v>
      </c>
      <c r="F595" s="16" t="str">
        <f>_xlfn.XLOOKUP(A595,CATÁLOGO!$A$2:$A$846,CATÁLOGO!$E$2:$E$846,"FORA DO CATÁLOGO")</f>
        <v>Ativo</v>
      </c>
      <c r="G595" s="14"/>
    </row>
    <row r="596" spans="1:7" x14ac:dyDescent="0.3">
      <c r="A596" s="2" t="s">
        <v>520</v>
      </c>
      <c r="B596" s="19" t="str">
        <f>_xlfn.XLOOKUP(A596,CATÁLOGO!$A$2:$A$846,CATÁLOGO!$B$2:$B$846,"FORA DO CATÁLOGO")</f>
        <v>CMS016BGG</v>
      </c>
      <c r="C596" s="13">
        <v>9</v>
      </c>
      <c r="D596" s="13">
        <v>2</v>
      </c>
      <c r="E596" s="13">
        <v>7</v>
      </c>
      <c r="F596" s="16" t="str">
        <f>_xlfn.XLOOKUP(A596,CATÁLOGO!$A$2:$A$846,CATÁLOGO!$E$2:$E$846,"FORA DO CATÁLOGO")</f>
        <v>Ativo</v>
      </c>
      <c r="G596" s="14"/>
    </row>
    <row r="597" spans="1:7" x14ac:dyDescent="0.3">
      <c r="A597" s="2" t="s">
        <v>521</v>
      </c>
      <c r="B597" s="19" t="str">
        <f>_xlfn.XLOOKUP(A597,CATÁLOGO!$A$2:$A$846,CATÁLOGO!$B$2:$B$846,"FORA DO CATÁLOGO")</f>
        <v>MOL022YP</v>
      </c>
      <c r="C597" s="13">
        <v>7</v>
      </c>
      <c r="D597" s="13">
        <v>0</v>
      </c>
      <c r="E597" s="13">
        <v>7</v>
      </c>
      <c r="F597" s="16" t="str">
        <f>_xlfn.XLOOKUP(A597,CATÁLOGO!$A$2:$A$846,CATÁLOGO!$E$2:$E$846,"FORA DO CATÁLOGO")</f>
        <v>Ativo</v>
      </c>
      <c r="G597" s="14"/>
    </row>
    <row r="598" spans="1:7" x14ac:dyDescent="0.3">
      <c r="A598" s="2" t="s">
        <v>522</v>
      </c>
      <c r="B598" s="19" t="str">
        <f>_xlfn.XLOOKUP(A598,CATÁLOGO!$A$2:$A$846,CATÁLOGO!$B$2:$B$846,"FORA DO CATÁLOGO")</f>
        <v>MOL022YM</v>
      </c>
      <c r="C598" s="13">
        <v>14</v>
      </c>
      <c r="D598" s="13">
        <v>0</v>
      </c>
      <c r="E598" s="13">
        <v>14</v>
      </c>
      <c r="F598" s="16" t="str">
        <f>_xlfn.XLOOKUP(A598,CATÁLOGO!$A$2:$A$846,CATÁLOGO!$E$2:$E$846,"FORA DO CATÁLOGO")</f>
        <v>Ativo</v>
      </c>
      <c r="G598" s="14"/>
    </row>
    <row r="599" spans="1:7" x14ac:dyDescent="0.3">
      <c r="A599" s="2" t="s">
        <v>523</v>
      </c>
      <c r="B599" s="19" t="str">
        <f>_xlfn.XLOOKUP(A599,CATÁLOGO!$A$2:$A$846,CATÁLOGO!$B$2:$B$846,"FORA DO CATÁLOGO")</f>
        <v>MOL022YG</v>
      </c>
      <c r="C599" s="13">
        <v>11</v>
      </c>
      <c r="D599" s="13">
        <v>0</v>
      </c>
      <c r="E599" s="13">
        <v>11</v>
      </c>
      <c r="F599" s="16" t="str">
        <f>_xlfn.XLOOKUP(A599,CATÁLOGO!$A$2:$A$846,CATÁLOGO!$E$2:$E$846,"FORA DO CATÁLOGO")</f>
        <v>Ativo</v>
      </c>
      <c r="G599" s="14"/>
    </row>
    <row r="600" spans="1:7" x14ac:dyDescent="0.3">
      <c r="A600" s="2" t="s">
        <v>524</v>
      </c>
      <c r="B600" s="19" t="str">
        <f>_xlfn.XLOOKUP(A600,CATÁLOGO!$A$2:$A$846,CATÁLOGO!$B$2:$B$846,"FORA DO CATÁLOGO")</f>
        <v>MOL022YGG</v>
      </c>
      <c r="C600" s="13">
        <v>12</v>
      </c>
      <c r="D600" s="13">
        <v>0</v>
      </c>
      <c r="E600" s="13">
        <v>12</v>
      </c>
      <c r="F600" s="16" t="str">
        <f>_xlfn.XLOOKUP(A600,CATÁLOGO!$A$2:$A$846,CATÁLOGO!$E$2:$E$846,"FORA DO CATÁLOGO")</f>
        <v>Ativo</v>
      </c>
      <c r="G600" s="14"/>
    </row>
    <row r="601" spans="1:7" x14ac:dyDescent="0.3">
      <c r="A601" s="2" t="s">
        <v>525</v>
      </c>
      <c r="B601" s="19" t="str">
        <f>_xlfn.XLOOKUP(A601,CATÁLOGO!$A$2:$A$846,CATÁLOGO!$B$2:$B$846,"FORA DO CATÁLOGO")</f>
        <v>JAQ011VP</v>
      </c>
      <c r="C601" s="13">
        <v>13</v>
      </c>
      <c r="D601" s="13">
        <v>0</v>
      </c>
      <c r="E601" s="13">
        <v>13</v>
      </c>
      <c r="F601" s="16" t="str">
        <f>_xlfn.XLOOKUP(A601,CATÁLOGO!$A$2:$A$846,CATÁLOGO!$E$2:$E$846,"FORA DO CATÁLOGO")</f>
        <v>Ativo</v>
      </c>
      <c r="G601" s="14"/>
    </row>
    <row r="602" spans="1:7" x14ac:dyDescent="0.3">
      <c r="A602" s="2" t="s">
        <v>526</v>
      </c>
      <c r="B602" s="19" t="str">
        <f>_xlfn.XLOOKUP(A602,CATÁLOGO!$A$2:$A$846,CATÁLOGO!$B$2:$B$846,"FORA DO CATÁLOGO")</f>
        <v>JAQ011VM</v>
      </c>
      <c r="C602" s="13">
        <v>21</v>
      </c>
      <c r="D602" s="13">
        <v>0</v>
      </c>
      <c r="E602" s="13">
        <v>21</v>
      </c>
      <c r="F602" s="16" t="str">
        <f>_xlfn.XLOOKUP(A602,CATÁLOGO!$A$2:$A$846,CATÁLOGO!$E$2:$E$846,"FORA DO CATÁLOGO")</f>
        <v>Ativo</v>
      </c>
      <c r="G602" s="14"/>
    </row>
    <row r="603" spans="1:7" x14ac:dyDescent="0.3">
      <c r="A603" s="2" t="s">
        <v>527</v>
      </c>
      <c r="B603" s="19" t="str">
        <f>_xlfn.XLOOKUP(A603,CATÁLOGO!$A$2:$A$846,CATÁLOGO!$B$2:$B$846,"FORA DO CATÁLOGO")</f>
        <v>JAQ011VG</v>
      </c>
      <c r="C603" s="13">
        <v>6</v>
      </c>
      <c r="D603" s="13">
        <v>0</v>
      </c>
      <c r="E603" s="13">
        <v>6</v>
      </c>
      <c r="F603" s="16" t="str">
        <f>_xlfn.XLOOKUP(A603,CATÁLOGO!$A$2:$A$846,CATÁLOGO!$E$2:$E$846,"FORA DO CATÁLOGO")</f>
        <v>Ativo</v>
      </c>
      <c r="G603" s="14"/>
    </row>
    <row r="604" spans="1:7" x14ac:dyDescent="0.3">
      <c r="A604" s="2" t="s">
        <v>528</v>
      </c>
      <c r="B604" s="19" t="str">
        <f>_xlfn.XLOOKUP(A604,CATÁLOGO!$A$2:$A$846,CATÁLOGO!$B$2:$B$846,"FORA DO CATÁLOGO")</f>
        <v>JAQ011VGG</v>
      </c>
      <c r="C604" s="13">
        <v>4</v>
      </c>
      <c r="D604" s="13">
        <v>0</v>
      </c>
      <c r="E604" s="13">
        <v>4</v>
      </c>
      <c r="F604" s="16" t="str">
        <f>_xlfn.XLOOKUP(A604,CATÁLOGO!$A$2:$A$846,CATÁLOGO!$E$2:$E$846,"FORA DO CATÁLOGO")</f>
        <v>Ativo</v>
      </c>
      <c r="G604" s="14"/>
    </row>
  </sheetData>
  <conditionalFormatting sqref="F2:F604">
    <cfRule type="containsText" dxfId="9" priority="1" operator="containsText" text="Descontinuado">
      <formula>NOT(ISERROR(SEARCH("Descontinuado",F2)))</formula>
    </cfRule>
    <cfRule type="containsText" dxfId="8" priority="2" operator="containsText" text="Fora do catálogo">
      <formula>NOT(ISERROR(SEARCH("Fora do catálogo",F2)))</formula>
    </cfRule>
    <cfRule type="containsText" dxfId="7" priority="3" operator="containsText" text="FORA DO CATÁLOGO">
      <formula>NOT(ISERROR(SEARCH("FORA DO CATÁLOGO",F2)))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00A8-CE66-4887-95A9-0FFF51480572}">
  <dimension ref="A1:E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77734375" customWidth="1"/>
    <col min="2" max="2" width="16.6640625" customWidth="1"/>
    <col min="3" max="3" width="11.109375" customWidth="1"/>
    <col min="4" max="4" width="24.109375" customWidth="1"/>
    <col min="5" max="5" width="55.5546875" customWidth="1"/>
  </cols>
  <sheetData>
    <row r="1" spans="1:5" x14ac:dyDescent="0.3">
      <c r="A1" s="10" t="s">
        <v>0</v>
      </c>
      <c r="B1" s="10" t="s">
        <v>1413</v>
      </c>
      <c r="C1" s="10" t="s">
        <v>1</v>
      </c>
      <c r="D1" s="10" t="s">
        <v>1416</v>
      </c>
      <c r="E1" s="10" t="s">
        <v>2</v>
      </c>
    </row>
    <row r="2" spans="1:5" x14ac:dyDescent="0.3">
      <c r="A2" s="14" t="s">
        <v>11</v>
      </c>
      <c r="B2" s="20" t="str">
        <f>_xlfn.XLOOKUP(A2,CATÁLOGO!$A$2:$A$846,CATÁLOGO!$B$2:$B$846,"FORA DO CATÁLOGO")</f>
        <v>ACE001PU</v>
      </c>
      <c r="C2" s="16">
        <v>1</v>
      </c>
      <c r="D2" s="16" t="str">
        <f>_xlfn.XLOOKUP(A2,CATÁLOGO!$A$2:$A$846,CATÁLOGO!$E$2:$E$846,"FORA DO CATÁLOGO")</f>
        <v>Fora do catálogo 2026</v>
      </c>
      <c r="E2" s="14" t="s">
        <v>1378</v>
      </c>
    </row>
    <row r="3" spans="1:5" x14ac:dyDescent="0.3">
      <c r="A3" s="14" t="s">
        <v>1513</v>
      </c>
      <c r="B3" s="20" t="str">
        <f>_xlfn.XLOOKUP(A3,CATÁLOGO!$A$2:$A$846,CATÁLOGO!$B$2:$B$846,"FORA DO CATÁLOGO")</f>
        <v>CAL003P42</v>
      </c>
      <c r="C3" s="16">
        <v>6</v>
      </c>
      <c r="D3" s="16" t="str">
        <f>_xlfn.XLOOKUP(A3,CATÁLOGO!$A$2:$A$846,CATÁLOGO!$E$2:$E$846,"FORA DO CATÁLOGO")</f>
        <v>Ativo</v>
      </c>
      <c r="E3" s="14" t="s">
        <v>1379</v>
      </c>
    </row>
    <row r="4" spans="1:5" x14ac:dyDescent="0.3">
      <c r="A4" s="14" t="s">
        <v>79</v>
      </c>
      <c r="B4" s="20" t="str">
        <f>_xlfn.XLOOKUP(A4,CATÁLOGO!$A$2:$A$846,CATÁLOGO!$B$2:$B$846,"FORA DO CATÁLOGO")</f>
        <v>CAM004PM</v>
      </c>
      <c r="C4" s="16">
        <v>2</v>
      </c>
      <c r="D4" s="16" t="str">
        <f>_xlfn.XLOOKUP(A4,CATÁLOGO!$A$2:$A$846,CATÁLOGO!$E$2:$E$846,"FORA DO CATÁLOGO")</f>
        <v>Ativo</v>
      </c>
      <c r="E4" s="14" t="s">
        <v>1380</v>
      </c>
    </row>
    <row r="5" spans="1:5" x14ac:dyDescent="0.3">
      <c r="A5" s="14" t="s">
        <v>132</v>
      </c>
      <c r="B5" s="20" t="str">
        <f>_xlfn.XLOOKUP(A5,CATÁLOGO!$A$2:$A$846,CATÁLOGO!$B$2:$B$846,"FORA DO CATÁLOGO")</f>
        <v>MOL008HG</v>
      </c>
      <c r="C5" s="16">
        <v>1</v>
      </c>
      <c r="D5" s="16" t="str">
        <f>_xlfn.XLOOKUP(A5,CATÁLOGO!$A$2:$A$846,CATÁLOGO!$E$2:$E$846,"FORA DO CATÁLOGO")</f>
        <v>Descontinuado</v>
      </c>
      <c r="E5" s="14" t="s">
        <v>1381</v>
      </c>
    </row>
    <row r="6" spans="1:5" x14ac:dyDescent="0.3">
      <c r="A6" s="14" t="s">
        <v>133</v>
      </c>
      <c r="B6" s="20" t="str">
        <f>_xlfn.XLOOKUP(A6,CATÁLOGO!$A$2:$A$846,CATÁLOGO!$B$2:$B$846,"FORA DO CATÁLOGO")</f>
        <v>MOL008HGG</v>
      </c>
      <c r="C6" s="16">
        <v>1</v>
      </c>
      <c r="D6" s="16" t="str">
        <f>_xlfn.XLOOKUP(A6,CATÁLOGO!$A$2:$A$846,CATÁLOGO!$E$2:$E$846,"FORA DO CATÁLOGO")</f>
        <v>Descontinuado</v>
      </c>
      <c r="E6" s="14" t="s">
        <v>1382</v>
      </c>
    </row>
    <row r="7" spans="1:5" x14ac:dyDescent="0.3">
      <c r="A7" s="14" t="s">
        <v>158</v>
      </c>
      <c r="B7" s="20" t="str">
        <f>_xlfn.XLOOKUP(A7,CATÁLOGO!$A$2:$A$846,CATÁLOGO!$B$2:$B$846,"FORA DO CATÁLOGO")</f>
        <v>TOP006MG</v>
      </c>
      <c r="C7" s="16">
        <v>5</v>
      </c>
      <c r="D7" s="16" t="str">
        <f>_xlfn.XLOOKUP(A7,CATÁLOGO!$A$2:$A$846,CATÁLOGO!$E$2:$E$846,"FORA DO CATÁLOGO")</f>
        <v>Ativo</v>
      </c>
      <c r="E7" s="14" t="s">
        <v>1383</v>
      </c>
    </row>
    <row r="8" spans="1:5" x14ac:dyDescent="0.3">
      <c r="A8" s="14" t="s">
        <v>178</v>
      </c>
      <c r="B8" s="20" t="str">
        <f>_xlfn.XLOOKUP(A8,CATÁLOGO!$A$2:$A$846,CATÁLOGO!$B$2:$B$846,"FORA DO CATÁLOGO")</f>
        <v>TOP010YM</v>
      </c>
      <c r="C8" s="16">
        <v>1</v>
      </c>
      <c r="D8" s="16" t="str">
        <f>_xlfn.XLOOKUP(A8,CATÁLOGO!$A$2:$A$846,CATÁLOGO!$E$2:$E$846,"FORA DO CATÁLOGO")</f>
        <v>Descontinuado</v>
      </c>
      <c r="E8" s="14" t="s">
        <v>1384</v>
      </c>
    </row>
    <row r="9" spans="1:5" x14ac:dyDescent="0.3">
      <c r="A9" s="14" t="s">
        <v>1587</v>
      </c>
      <c r="B9" s="20" t="str">
        <f>_xlfn.XLOOKUP(A9,CATÁLOGO!$A$2:$A$846,CATÁLOGO!$B$2:$B$846,"FORA DO CATÁLOGO")</f>
        <v>CAL011L38</v>
      </c>
      <c r="C9" s="16">
        <v>5</v>
      </c>
      <c r="D9" s="16" t="str">
        <f>_xlfn.XLOOKUP(A9,CATÁLOGO!$A$2:$A$846,CATÁLOGO!$E$2:$E$846,"FORA DO CATÁLOGO")</f>
        <v>Ativo</v>
      </c>
      <c r="E9" s="14" t="s">
        <v>1385</v>
      </c>
    </row>
    <row r="10" spans="1:5" x14ac:dyDescent="0.3">
      <c r="A10" s="14" t="s">
        <v>212</v>
      </c>
      <c r="B10" s="20" t="str">
        <f>_xlfn.XLOOKUP(A10,CATÁLOGO!$A$2:$A$846,CATÁLOGO!$B$2:$B$846,"FORA DO CATÁLOGO")</f>
        <v>VES006MG</v>
      </c>
      <c r="C10" s="16">
        <v>4</v>
      </c>
      <c r="D10" s="16" t="str">
        <f>_xlfn.XLOOKUP(A10,CATÁLOGO!$A$2:$A$846,CATÁLOGO!$E$2:$E$846,"FORA DO CATÁLOGO")</f>
        <v>Ativo</v>
      </c>
      <c r="E10" s="14" t="s">
        <v>1386</v>
      </c>
    </row>
    <row r="11" spans="1:5" x14ac:dyDescent="0.3">
      <c r="A11" s="14" t="s">
        <v>1477</v>
      </c>
      <c r="B11" s="20" t="str">
        <f>_xlfn.XLOOKUP(A11,CATÁLOGO!$A$2:$A$846,CATÁLOGO!$B$2:$B$846,"FORA DO CATÁLOGO")</f>
        <v>BER006L42</v>
      </c>
      <c r="C11" s="16">
        <v>2</v>
      </c>
      <c r="D11" s="16" t="str">
        <f>_xlfn.XLOOKUP(A11,CATÁLOGO!$A$2:$A$846,CATÁLOGO!$E$2:$E$846,"FORA DO CATÁLOGO")</f>
        <v>Ativo</v>
      </c>
      <c r="E11" s="14" t="s">
        <v>1387</v>
      </c>
    </row>
    <row r="12" spans="1:5" x14ac:dyDescent="0.3">
      <c r="A12" s="14" t="s">
        <v>246</v>
      </c>
      <c r="B12" s="20" t="str">
        <f>_xlfn.XLOOKUP(A12,CATÁLOGO!$A$2:$A$846,CATÁLOGO!$B$2:$B$846,"FORA DO CATÁLOGO")</f>
        <v>VES007VGG</v>
      </c>
      <c r="C12" s="16">
        <v>3</v>
      </c>
      <c r="D12" s="16" t="str">
        <f>_xlfn.XLOOKUP(A12,CATÁLOGO!$A$2:$A$846,CATÁLOGO!$E$2:$E$846,"FORA DO CATÁLOGO")</f>
        <v>Ativo</v>
      </c>
      <c r="E12" s="14" t="s">
        <v>1388</v>
      </c>
    </row>
    <row r="13" spans="1:5" x14ac:dyDescent="0.3">
      <c r="A13" s="14" t="s">
        <v>1618</v>
      </c>
      <c r="B13" s="20" t="str">
        <f>_xlfn.XLOOKUP(A13,CATÁLOGO!$A$2:$A$846,CATÁLOGO!$B$2:$B$846,"FORA DO CATÁLOGO")</f>
        <v>CAL016V38</v>
      </c>
      <c r="C13" s="16">
        <v>4</v>
      </c>
      <c r="D13" s="16" t="str">
        <f>_xlfn.XLOOKUP(A13,CATÁLOGO!$A$2:$A$846,CATÁLOGO!$E$2:$E$846,"FORA DO CATÁLOGO")</f>
        <v>Descontinuado</v>
      </c>
      <c r="E13" s="14" t="s">
        <v>1389</v>
      </c>
    </row>
    <row r="14" spans="1:5" x14ac:dyDescent="0.3">
      <c r="A14" s="14" t="s">
        <v>1617</v>
      </c>
      <c r="B14" s="20" t="str">
        <f>_xlfn.XLOOKUP(A14,CATÁLOGO!$A$2:$A$846,CATÁLOGO!$B$2:$B$846,"FORA DO CATÁLOGO")</f>
        <v>CAL016V40</v>
      </c>
      <c r="C14" s="16">
        <v>4</v>
      </c>
      <c r="D14" s="16" t="str">
        <f>_xlfn.XLOOKUP(A14,CATÁLOGO!$A$2:$A$846,CATÁLOGO!$E$2:$E$846,"FORA DO CATÁLOGO")</f>
        <v>Descontinuado</v>
      </c>
      <c r="E14" s="14" t="s">
        <v>1390</v>
      </c>
    </row>
    <row r="15" spans="1:5" x14ac:dyDescent="0.3">
      <c r="A15" s="14" t="s">
        <v>1678</v>
      </c>
      <c r="B15" s="20" t="str">
        <f>_xlfn.XLOOKUP(A15,CATÁLOGO!$A$2:$A$846,CATÁLOGO!$B$2:$B$846,"FORA DO CATÁLOGO")</f>
        <v>CAL023L40</v>
      </c>
      <c r="C15" s="16">
        <v>7</v>
      </c>
      <c r="D15" s="16" t="str">
        <f>_xlfn.XLOOKUP(A15,CATÁLOGO!$A$2:$A$846,CATÁLOGO!$E$2:$E$846,"FORA DO CATÁLOGO")</f>
        <v>Ativo</v>
      </c>
      <c r="E15" s="14" t="s">
        <v>1391</v>
      </c>
    </row>
    <row r="16" spans="1:5" x14ac:dyDescent="0.3">
      <c r="A16" s="14" t="s">
        <v>1483</v>
      </c>
      <c r="B16" s="20" t="str">
        <f>_xlfn.XLOOKUP(A16,CATÁLOGO!$A$2:$A$846,CATÁLOGO!$B$2:$B$846,"FORA DO CATÁLOGO")</f>
        <v>BER007A42</v>
      </c>
      <c r="C16" s="16">
        <v>4</v>
      </c>
      <c r="D16" s="16" t="str">
        <f>_xlfn.XLOOKUP(A16,CATÁLOGO!$A$2:$A$846,CATÁLOGO!$E$2:$E$846,"FORA DO CATÁLOGO")</f>
        <v>Ativo</v>
      </c>
      <c r="E16" s="14" t="s">
        <v>1392</v>
      </c>
    </row>
    <row r="17" spans="1:5" x14ac:dyDescent="0.3">
      <c r="A17" s="14" t="s">
        <v>323</v>
      </c>
      <c r="B17" s="20" t="str">
        <f>_xlfn.XLOOKUP(A17,CATÁLOGO!$A$2:$A$846,CATÁLOGO!$B$2:$B$846,"FORA DO CATÁLOGO")</f>
        <v>SAI009BP</v>
      </c>
      <c r="C17" s="16">
        <v>2</v>
      </c>
      <c r="D17" s="16" t="str">
        <f>_xlfn.XLOOKUP(A17,CATÁLOGO!$A$2:$A$846,CATÁLOGO!$E$2:$E$846,"FORA DO CATÁLOGO")</f>
        <v>Ativo</v>
      </c>
      <c r="E17" s="14" t="s">
        <v>1393</v>
      </c>
    </row>
    <row r="18" spans="1:5" x14ac:dyDescent="0.3">
      <c r="A18" s="14" t="s">
        <v>340</v>
      </c>
      <c r="B18" s="20" t="str">
        <f>_xlfn.XLOOKUP(A18,CATÁLOGO!$A$2:$A$846,CATÁLOGO!$B$2:$B$846,"FORA DO CATÁLOGO")</f>
        <v>CAM017YG</v>
      </c>
      <c r="C18" s="16">
        <v>4</v>
      </c>
      <c r="D18" s="16" t="str">
        <f>_xlfn.XLOOKUP(A18,CATÁLOGO!$A$2:$A$846,CATÁLOGO!$E$2:$E$846,"FORA DO CATÁLOGO")</f>
        <v>Descontinuado</v>
      </c>
      <c r="E18" s="14" t="s">
        <v>1394</v>
      </c>
    </row>
    <row r="19" spans="1:5" x14ac:dyDescent="0.3">
      <c r="A19" s="14" t="s">
        <v>348</v>
      </c>
      <c r="B19" s="20" t="str">
        <f>_xlfn.XLOOKUP(A19,CATÁLOGO!$A$2:$A$846,CATÁLOGO!$B$2:$B$846,"FORA DO CATÁLOGO")</f>
        <v>VES009GG</v>
      </c>
      <c r="C19" s="16">
        <v>3</v>
      </c>
      <c r="D19" s="16" t="str">
        <f>_xlfn.XLOOKUP(A19,CATÁLOGO!$A$2:$A$846,CATÁLOGO!$E$2:$E$846,"FORA DO CATÁLOGO")</f>
        <v>Descontinuado</v>
      </c>
      <c r="E19" s="14" t="s">
        <v>1395</v>
      </c>
    </row>
    <row r="20" spans="1:5" x14ac:dyDescent="0.3">
      <c r="A20" s="14" t="s">
        <v>1685</v>
      </c>
      <c r="B20" s="20" t="str">
        <f>_xlfn.XLOOKUP(A20,CATÁLOGO!$A$2:$A$846,CATÁLOGO!$B$2:$B$846,"FORA DO CATÁLOGO")</f>
        <v>CAL024A38</v>
      </c>
      <c r="C20" s="16">
        <v>5</v>
      </c>
      <c r="D20" s="16" t="str">
        <f>_xlfn.XLOOKUP(A20,CATÁLOGO!$A$2:$A$846,CATÁLOGO!$E$2:$E$846,"FORA DO CATÁLOGO")</f>
        <v>Ativo</v>
      </c>
      <c r="E20" s="14" t="s">
        <v>1396</v>
      </c>
    </row>
    <row r="21" spans="1:5" x14ac:dyDescent="0.3">
      <c r="A21" s="14" t="s">
        <v>385</v>
      </c>
      <c r="B21" s="20" t="str">
        <f>_xlfn.XLOOKUP(A21,CATÁLOGO!$A$2:$A$846,CATÁLOGO!$B$2:$B$846,"FORA DO CATÁLOGO")</f>
        <v>TOP001YG</v>
      </c>
      <c r="C21" s="16">
        <v>5</v>
      </c>
      <c r="D21" s="16" t="str">
        <f>_xlfn.XLOOKUP(A21,CATÁLOGO!$A$2:$A$846,CATÁLOGO!$E$2:$E$846,"FORA DO CATÁLOGO")</f>
        <v>Ativo</v>
      </c>
      <c r="E21" s="14" t="s">
        <v>1397</v>
      </c>
    </row>
    <row r="22" spans="1:5" x14ac:dyDescent="0.3">
      <c r="A22" s="14" t="s">
        <v>1288</v>
      </c>
      <c r="B22" s="20" t="str">
        <f>_xlfn.XLOOKUP(A22,CATÁLOGO!$A$2:$A$846,CATÁLOGO!$B$2:$B$846,"FORA DO CATÁLOGO")</f>
        <v>CAM020YP</v>
      </c>
      <c r="C22" s="16">
        <v>4</v>
      </c>
      <c r="D22" s="16" t="str">
        <f>_xlfn.XLOOKUP(A22,CATÁLOGO!$A$2:$A$846,CATÁLOGO!$E$2:$E$846,"FORA DO CATÁLOGO")</f>
        <v>Ativo</v>
      </c>
      <c r="E22" s="14" t="s">
        <v>1398</v>
      </c>
    </row>
    <row r="23" spans="1:5" x14ac:dyDescent="0.3">
      <c r="A23" s="14" t="s">
        <v>410</v>
      </c>
      <c r="B23" s="20" t="str">
        <f>_xlfn.XLOOKUP(A23,CATÁLOGO!$A$2:$A$846,CATÁLOGO!$B$2:$B$846,"FORA DO CATÁLOGO")</f>
        <v>CAM020YG</v>
      </c>
      <c r="C23" s="16">
        <v>5</v>
      </c>
      <c r="D23" s="16" t="str">
        <f>_xlfn.XLOOKUP(A23,CATÁLOGO!$A$2:$A$846,CATÁLOGO!$E$2:$E$846,"FORA DO CATÁLOGO")</f>
        <v>Ativo</v>
      </c>
      <c r="E23" s="14" t="s">
        <v>1399</v>
      </c>
    </row>
    <row r="24" spans="1:5" x14ac:dyDescent="0.3">
      <c r="A24" s="14" t="s">
        <v>490</v>
      </c>
      <c r="B24" s="20" t="str">
        <f>_xlfn.XLOOKUP(A24,CATÁLOGO!$A$2:$A$846,CATÁLOGO!$B$2:$B$846,"FORA DO CATÁLOGO")</f>
        <v>MOL019VGG</v>
      </c>
      <c r="C24" s="16">
        <v>2</v>
      </c>
      <c r="D24" s="16" t="str">
        <f>_xlfn.XLOOKUP(A24,CATÁLOGO!$A$2:$A$846,CATÁLOGO!$E$2:$E$846,"FORA DO CATÁLOGO")</f>
        <v>Ativo</v>
      </c>
      <c r="E24" s="14" t="s">
        <v>1400</v>
      </c>
    </row>
  </sheetData>
  <conditionalFormatting sqref="D2:D24">
    <cfRule type="containsText" dxfId="6" priority="1" operator="containsText" text="Descontinuado">
      <formula>NOT(ISERROR(SEARCH("Descontinuado",D2)))</formula>
    </cfRule>
    <cfRule type="containsText" dxfId="5" priority="2" operator="containsText" text="Fora do catálogo">
      <formula>NOT(ISERROR(SEARCH("Fora do catálogo",D2)))</formula>
    </cfRule>
    <cfRule type="containsText" dxfId="4" priority="3" operator="containsText" text="FORA DO CATÁLOGO">
      <formula>NOT(ISERROR(SEARCH("FORA DO CATÁLOGO",D2)))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8AB5-7795-421B-B34E-37DFA703C927}">
  <dimension ref="A1:J41"/>
  <sheetViews>
    <sheetView topLeftCell="A8" workbookViewId="0"/>
  </sheetViews>
  <sheetFormatPr defaultRowHeight="14.4" x14ac:dyDescent="0.3"/>
  <cols>
    <col min="1" max="1" width="48.109375" customWidth="1"/>
    <col min="2" max="10" width="17.5546875" customWidth="1"/>
  </cols>
  <sheetData>
    <row r="1" spans="1:6" ht="18" x14ac:dyDescent="0.35">
      <c r="A1" s="3" t="s">
        <v>2015</v>
      </c>
    </row>
    <row r="2" spans="1:6" x14ac:dyDescent="0.3">
      <c r="A2" s="21" t="s">
        <v>2016</v>
      </c>
    </row>
    <row r="4" spans="1:6" ht="28.8" x14ac:dyDescent="0.3">
      <c r="A4" s="23" t="s">
        <v>2017</v>
      </c>
      <c r="B4" s="23" t="s">
        <v>2018</v>
      </c>
    </row>
    <row r="5" spans="1:6" x14ac:dyDescent="0.3">
      <c r="A5" s="42" t="s">
        <v>2019</v>
      </c>
      <c r="B5" s="43">
        <f>SUM('AVARIA PINHEIROS'!C2:C24)</f>
        <v>80</v>
      </c>
    </row>
    <row r="6" spans="1:6" x14ac:dyDescent="0.3">
      <c r="A6" s="44" t="s">
        <v>2020</v>
      </c>
      <c r="B6" s="45">
        <f>SUM(PINHEIROS!C2:C725)</f>
        <v>2358</v>
      </c>
    </row>
    <row r="7" spans="1:6" x14ac:dyDescent="0.3">
      <c r="A7" s="46" t="s">
        <v>2021</v>
      </c>
      <c r="B7" s="47">
        <f>B5/(B5+B6)</f>
        <v>3.2813781788351107E-2</v>
      </c>
    </row>
    <row r="9" spans="1:6" ht="45" customHeight="1" x14ac:dyDescent="0.3">
      <c r="A9" s="23" t="s">
        <v>2022</v>
      </c>
      <c r="B9" s="23" t="s">
        <v>2023</v>
      </c>
      <c r="C9" s="23" t="s">
        <v>2024</v>
      </c>
      <c r="D9" s="23" t="s">
        <v>2025</v>
      </c>
      <c r="E9" s="23" t="s">
        <v>2026</v>
      </c>
      <c r="F9" s="23" t="s">
        <v>2027</v>
      </c>
    </row>
    <row r="10" spans="1:6" x14ac:dyDescent="0.3">
      <c r="A10" s="37" t="s">
        <v>2028</v>
      </c>
      <c r="B10" s="38">
        <f>B5+B6</f>
        <v>2438</v>
      </c>
      <c r="C10" s="38">
        <f>B5</f>
        <v>80</v>
      </c>
      <c r="D10" s="38">
        <f>B5</f>
        <v>80</v>
      </c>
      <c r="E10" s="38">
        <f>B10-D10</f>
        <v>2358</v>
      </c>
      <c r="F10" s="39">
        <f>D10/B10</f>
        <v>3.2813781788351107E-2</v>
      </c>
    </row>
    <row r="11" spans="1:6" x14ac:dyDescent="0.3">
      <c r="A11" t="s">
        <v>2029</v>
      </c>
      <c r="B11" s="24">
        <f>SUM(ELDORADO!C2:C731)</f>
        <v>2323</v>
      </c>
      <c r="C11" s="26">
        <f>B11*$B$7</f>
        <v>76.226415094339615</v>
      </c>
      <c r="D11" s="40">
        <f>F41</f>
        <v>69</v>
      </c>
      <c r="E11" s="24">
        <f>B11-D11</f>
        <v>2254</v>
      </c>
      <c r="F11" s="25">
        <f>D11/B11</f>
        <v>2.9702970297029702E-2</v>
      </c>
    </row>
    <row r="12" spans="1:6" x14ac:dyDescent="0.3">
      <c r="A12" t="s">
        <v>2030</v>
      </c>
      <c r="B12" s="24">
        <f>SUM(SAVASSI!C2:C720)</f>
        <v>2114</v>
      </c>
      <c r="C12" s="26">
        <f>B12*$B$7</f>
        <v>69.368334700574238</v>
      </c>
      <c r="D12" s="40">
        <f>H41</f>
        <v>65</v>
      </c>
      <c r="E12" s="24">
        <f>B12-D12</f>
        <v>2049</v>
      </c>
      <c r="F12" s="25">
        <f>D12/B12</f>
        <v>3.0747398297067172E-2</v>
      </c>
    </row>
    <row r="13" spans="1:6" x14ac:dyDescent="0.3">
      <c r="A13" t="s">
        <v>2031</v>
      </c>
      <c r="B13" s="24">
        <f>SUM(BATEL!C2:C721)</f>
        <v>1904</v>
      </c>
      <c r="C13" s="26">
        <f>B13*$B$7</f>
        <v>62.477440525020505</v>
      </c>
      <c r="D13" s="40">
        <f>J41</f>
        <v>49</v>
      </c>
      <c r="E13" s="24">
        <f>B13-D13</f>
        <v>1855</v>
      </c>
      <c r="F13" s="25">
        <f>D13/B13</f>
        <v>2.5735294117647058E-2</v>
      </c>
    </row>
    <row r="14" spans="1:6" x14ac:dyDescent="0.3">
      <c r="A14" s="30" t="s">
        <v>2032</v>
      </c>
      <c r="B14" s="31">
        <f>SUM(B10:B13)</f>
        <v>8779</v>
      </c>
      <c r="C14" s="32">
        <f>SUM(C10:C13)</f>
        <v>288.07219031993435</v>
      </c>
      <c r="D14" s="31">
        <f>SUM(D10:D13)</f>
        <v>263</v>
      </c>
      <c r="E14" s="31">
        <f>SUM(E10:E13)</f>
        <v>8516</v>
      </c>
      <c r="F14" s="33">
        <f>D14/B14</f>
        <v>2.995785396970042E-2</v>
      </c>
    </row>
    <row r="16" spans="1:6" x14ac:dyDescent="0.3">
      <c r="A16" s="21" t="s">
        <v>2041</v>
      </c>
    </row>
    <row r="17" spans="1:10" ht="45" customHeight="1" x14ac:dyDescent="0.3">
      <c r="A17" s="23" t="s">
        <v>0</v>
      </c>
      <c r="B17" s="23" t="s">
        <v>1413</v>
      </c>
      <c r="C17" s="23" t="s">
        <v>2033</v>
      </c>
      <c r="D17" s="23" t="s">
        <v>2034</v>
      </c>
      <c r="E17" s="23" t="s">
        <v>2035</v>
      </c>
      <c r="F17" s="23" t="s">
        <v>2036</v>
      </c>
      <c r="G17" s="23" t="s">
        <v>2037</v>
      </c>
      <c r="H17" s="23" t="s">
        <v>2038</v>
      </c>
      <c r="I17" s="23" t="s">
        <v>2039</v>
      </c>
      <c r="J17" s="23" t="s">
        <v>2040</v>
      </c>
    </row>
    <row r="18" spans="1:10" x14ac:dyDescent="0.3">
      <c r="A18" t="str">
        <f>'AVARIA PINHEIROS'!A2</f>
        <v>VLT-ACE-001-PRE-U</v>
      </c>
      <c r="B18" s="27" t="str">
        <f>'AVARIA PINHEIROS'!B2</f>
        <v>ACE001PU</v>
      </c>
      <c r="C18" s="28">
        <f>'AVARIA PINHEIROS'!C2</f>
        <v>1</v>
      </c>
      <c r="D18" s="25">
        <f>C18/$C$41</f>
        <v>1.2500000000000001E-2</v>
      </c>
      <c r="E18" s="29">
        <f>SUMIFS(ELDORADO!$C$2:$C$731,ELDORADO!$A$2:$A$731,$A18)</f>
        <v>0</v>
      </c>
      <c r="F18" s="41">
        <f>MIN(E18,ROUND($D18*$C$11,0))</f>
        <v>0</v>
      </c>
      <c r="G18" s="29">
        <f>SUMIFS(SAVASSI!$C$2:$C$720,SAVASSI!$A$2:$A$720,$A18)</f>
        <v>0</v>
      </c>
      <c r="H18" s="41">
        <f>MIN(G18,ROUND($D18*$C$12,0))</f>
        <v>0</v>
      </c>
      <c r="I18" s="29">
        <f>SUMIFS(BATEL!$C$2:$C$721,BATEL!$A$2:$A$721,$A18)</f>
        <v>0</v>
      </c>
      <c r="J18" s="41">
        <f>MIN(I18,ROUND($D18*$C$13,0))</f>
        <v>0</v>
      </c>
    </row>
    <row r="19" spans="1:10" x14ac:dyDescent="0.3">
      <c r="A19" t="str">
        <f>'AVARIA PINHEIROS'!A3</f>
        <v>VLT-CAL-003-PRE-G</v>
      </c>
      <c r="B19" s="27" t="str">
        <f>'AVARIA PINHEIROS'!B3</f>
        <v>CAL003P42</v>
      </c>
      <c r="C19" s="28">
        <f>'AVARIA PINHEIROS'!C3</f>
        <v>6</v>
      </c>
      <c r="D19" s="25">
        <f>C19/$C$41</f>
        <v>7.4999999999999997E-2</v>
      </c>
      <c r="E19" s="29">
        <f>SUMIFS(ELDORADO!$C$2:$C$731,ELDORADO!$A$2:$A$731,$A19)</f>
        <v>6</v>
      </c>
      <c r="F19" s="41">
        <f>MIN(E19,ROUND($D19*$C$11,0))</f>
        <v>6</v>
      </c>
      <c r="G19" s="29">
        <f>SUMIFS(SAVASSI!$C$2:$C$720,SAVASSI!$A$2:$A$720,$A19)</f>
        <v>5</v>
      </c>
      <c r="H19" s="41">
        <f>MIN(G19,ROUND($D19*$C$12,0))</f>
        <v>5</v>
      </c>
      <c r="I19" s="29">
        <f>SUMIFS(BATEL!$C$2:$C$721,BATEL!$A$2:$A$721,$A19)</f>
        <v>4</v>
      </c>
      <c r="J19" s="41">
        <f>MIN(I19,ROUND($D19*$C$13,0))</f>
        <v>4</v>
      </c>
    </row>
    <row r="20" spans="1:10" x14ac:dyDescent="0.3">
      <c r="A20" t="str">
        <f>'AVARIA PINHEIROS'!A4</f>
        <v>VLT-CAM-004-PRE-M</v>
      </c>
      <c r="B20" s="27" t="str">
        <f>'AVARIA PINHEIROS'!B4</f>
        <v>CAM004PM</v>
      </c>
      <c r="C20" s="28">
        <f>'AVARIA PINHEIROS'!C4</f>
        <v>2</v>
      </c>
      <c r="D20" s="25">
        <f>C20/$C$41</f>
        <v>2.5000000000000001E-2</v>
      </c>
      <c r="E20" s="29">
        <f>SUMIFS(ELDORADO!$C$2:$C$731,ELDORADO!$A$2:$A$731,$A20)</f>
        <v>3</v>
      </c>
      <c r="F20" s="41">
        <f>MIN(E20,ROUND($D20*$C$11,0))</f>
        <v>2</v>
      </c>
      <c r="G20" s="29">
        <f>SUMIFS(SAVASSI!$C$2:$C$720,SAVASSI!$A$2:$A$720,$A20)</f>
        <v>2</v>
      </c>
      <c r="H20" s="41">
        <f>MIN(G20,ROUND($D20*$C$12,0))</f>
        <v>2</v>
      </c>
      <c r="I20" s="29">
        <f>SUMIFS(BATEL!$C$2:$C$721,BATEL!$A$2:$A$721,$A20)</f>
        <v>3</v>
      </c>
      <c r="J20" s="41">
        <f>MIN(I20,ROUND($D20*$C$13,0))</f>
        <v>2</v>
      </c>
    </row>
    <row r="21" spans="1:10" x14ac:dyDescent="0.3">
      <c r="A21" t="str">
        <f>'AVARIA PINHEIROS'!A5</f>
        <v>VLT-MOL-008-VIN-G</v>
      </c>
      <c r="B21" s="27" t="str">
        <f>'AVARIA PINHEIROS'!B5</f>
        <v>MOL008HG</v>
      </c>
      <c r="C21" s="28">
        <f>'AVARIA PINHEIROS'!C5</f>
        <v>1</v>
      </c>
      <c r="D21" s="25">
        <f>C21/$C$41</f>
        <v>1.2500000000000001E-2</v>
      </c>
      <c r="E21" s="29">
        <f>SUMIFS(ELDORADO!$C$2:$C$731,ELDORADO!$A$2:$A$731,$A21)</f>
        <v>0</v>
      </c>
      <c r="F21" s="41">
        <f>MIN(E21,ROUND($D21*$C$11,0))</f>
        <v>0</v>
      </c>
      <c r="G21" s="29">
        <f>SUMIFS(SAVASSI!$C$2:$C$720,SAVASSI!$A$2:$A$720,$A21)</f>
        <v>1</v>
      </c>
      <c r="H21" s="41">
        <f>MIN(G21,ROUND($D21*$C$12,0))</f>
        <v>1</v>
      </c>
      <c r="I21" s="29">
        <f>SUMIFS(BATEL!$C$2:$C$721,BATEL!$A$2:$A$721,$A21)</f>
        <v>0</v>
      </c>
      <c r="J21" s="41">
        <f>MIN(I21,ROUND($D21*$C$13,0))</f>
        <v>0</v>
      </c>
    </row>
    <row r="22" spans="1:10" x14ac:dyDescent="0.3">
      <c r="A22" t="str">
        <f>'AVARIA PINHEIROS'!A6</f>
        <v>VLT-MOL-008-VIN-GG</v>
      </c>
      <c r="B22" s="27" t="str">
        <f>'AVARIA PINHEIROS'!B6</f>
        <v>MOL008HGG</v>
      </c>
      <c r="C22" s="28">
        <f>'AVARIA PINHEIROS'!C6</f>
        <v>1</v>
      </c>
      <c r="D22" s="25">
        <f>C22/$C$41</f>
        <v>1.2500000000000001E-2</v>
      </c>
      <c r="E22" s="29">
        <f>SUMIFS(ELDORADO!$C$2:$C$731,ELDORADO!$A$2:$A$731,$A22)</f>
        <v>1</v>
      </c>
      <c r="F22" s="41">
        <f>MIN(E22,ROUND($D22*$C$11,0))</f>
        <v>1</v>
      </c>
      <c r="G22" s="29">
        <f>SUMIFS(SAVASSI!$C$2:$C$720,SAVASSI!$A$2:$A$720,$A22)</f>
        <v>1</v>
      </c>
      <c r="H22" s="41">
        <f>MIN(G22,ROUND($D22*$C$12,0))</f>
        <v>1</v>
      </c>
      <c r="I22" s="29">
        <f>SUMIFS(BATEL!$C$2:$C$721,BATEL!$A$2:$A$721,$A22)</f>
        <v>1</v>
      </c>
      <c r="J22" s="41">
        <f>MIN(I22,ROUND($D22*$C$13,0))</f>
        <v>1</v>
      </c>
    </row>
    <row r="23" spans="1:10" x14ac:dyDescent="0.3">
      <c r="A23" t="str">
        <f>'AVARIA PINHEIROS'!A7</f>
        <v>VLT-TOP-006-MRR-G</v>
      </c>
      <c r="B23" s="27" t="str">
        <f>'AVARIA PINHEIROS'!B7</f>
        <v>TOP006MG</v>
      </c>
      <c r="C23" s="28">
        <f>'AVARIA PINHEIROS'!C7</f>
        <v>5</v>
      </c>
      <c r="D23" s="25">
        <f>C23/$C$41</f>
        <v>6.25E-2</v>
      </c>
      <c r="E23" s="29">
        <f>SUMIFS(ELDORADO!$C$2:$C$731,ELDORADO!$A$2:$A$731,$A23)</f>
        <v>6</v>
      </c>
      <c r="F23" s="41">
        <f>MIN(E23,ROUND($D23*$C$11,0))</f>
        <v>5</v>
      </c>
      <c r="G23" s="29">
        <f>SUMIFS(SAVASSI!$C$2:$C$720,SAVASSI!$A$2:$A$720,$A23)</f>
        <v>4</v>
      </c>
      <c r="H23" s="41">
        <f>MIN(G23,ROUND($D23*$C$12,0))</f>
        <v>4</v>
      </c>
      <c r="I23" s="29">
        <f>SUMIFS(BATEL!$C$2:$C$721,BATEL!$A$2:$A$721,$A23)</f>
        <v>3</v>
      </c>
      <c r="J23" s="41">
        <f>MIN(I23,ROUND($D23*$C$13,0))</f>
        <v>3</v>
      </c>
    </row>
    <row r="24" spans="1:10" x14ac:dyDescent="0.3">
      <c r="A24" t="str">
        <f>'AVARIA PINHEIROS'!A8</f>
        <v>VLT-TOP-010-AMA-M</v>
      </c>
      <c r="B24" s="27" t="str">
        <f>'AVARIA PINHEIROS'!B8</f>
        <v>TOP010YM</v>
      </c>
      <c r="C24" s="28">
        <f>'AVARIA PINHEIROS'!C8</f>
        <v>1</v>
      </c>
      <c r="D24" s="25">
        <f>C24/$C$41</f>
        <v>1.2500000000000001E-2</v>
      </c>
      <c r="E24" s="29">
        <f>SUMIFS(ELDORADO!$C$2:$C$731,ELDORADO!$A$2:$A$731,$A24)</f>
        <v>0</v>
      </c>
      <c r="F24" s="41">
        <f>MIN(E24,ROUND($D24*$C$11,0))</f>
        <v>0</v>
      </c>
      <c r="G24" s="29">
        <f>SUMIFS(SAVASSI!$C$2:$C$720,SAVASSI!$A$2:$A$720,$A24)</f>
        <v>1</v>
      </c>
      <c r="H24" s="41">
        <f>MIN(G24,ROUND($D24*$C$12,0))</f>
        <v>1</v>
      </c>
      <c r="I24" s="29">
        <f>SUMIFS(BATEL!$C$2:$C$721,BATEL!$A$2:$A$721,$A24)</f>
        <v>1</v>
      </c>
      <c r="J24" s="41">
        <f>MIN(I24,ROUND($D24*$C$13,0))</f>
        <v>1</v>
      </c>
    </row>
    <row r="25" spans="1:10" x14ac:dyDescent="0.3">
      <c r="A25" t="str">
        <f>'AVARIA PINHEIROS'!A9</f>
        <v>VLT-CAL-011-LIL-P</v>
      </c>
      <c r="B25" s="27" t="str">
        <f>'AVARIA PINHEIROS'!B9</f>
        <v>CAL011L38</v>
      </c>
      <c r="C25" s="28">
        <f>'AVARIA PINHEIROS'!C9</f>
        <v>5</v>
      </c>
      <c r="D25" s="25">
        <f>C25/$C$41</f>
        <v>6.25E-2</v>
      </c>
      <c r="E25" s="29">
        <f>SUMIFS(ELDORADO!$C$2:$C$731,ELDORADO!$A$2:$A$731,$A25)</f>
        <v>6</v>
      </c>
      <c r="F25" s="41">
        <f>MIN(E25,ROUND($D25*$C$11,0))</f>
        <v>5</v>
      </c>
      <c r="G25" s="29">
        <f>SUMIFS(SAVASSI!$C$2:$C$720,SAVASSI!$A$2:$A$720,$A25)</f>
        <v>4</v>
      </c>
      <c r="H25" s="41">
        <f>MIN(G25,ROUND($D25*$C$12,0))</f>
        <v>4</v>
      </c>
      <c r="I25" s="29">
        <f>SUMIFS(BATEL!$C$2:$C$721,BATEL!$A$2:$A$721,$A25)</f>
        <v>4</v>
      </c>
      <c r="J25" s="41">
        <f>MIN(I25,ROUND($D25*$C$13,0))</f>
        <v>4</v>
      </c>
    </row>
    <row r="26" spans="1:10" x14ac:dyDescent="0.3">
      <c r="A26" t="str">
        <f>'AVARIA PINHEIROS'!A10</f>
        <v>VLT-VES-006-MRR-G</v>
      </c>
      <c r="B26" s="27" t="str">
        <f>'AVARIA PINHEIROS'!B10</f>
        <v>VES006MG</v>
      </c>
      <c r="C26" s="28">
        <f>'AVARIA PINHEIROS'!C10</f>
        <v>4</v>
      </c>
      <c r="D26" s="25">
        <f>C26/$C$41</f>
        <v>0.05</v>
      </c>
      <c r="E26" s="29">
        <f>SUMIFS(ELDORADO!$C$2:$C$731,ELDORADO!$A$2:$A$731,$A26)</f>
        <v>4</v>
      </c>
      <c r="F26" s="41">
        <f>MIN(E26,ROUND($D26*$C$11,0))</f>
        <v>4</v>
      </c>
      <c r="G26" s="29">
        <f>SUMIFS(SAVASSI!$C$2:$C$720,SAVASSI!$A$2:$A$720,$A26)</f>
        <v>3</v>
      </c>
      <c r="H26" s="41">
        <f>MIN(G26,ROUND($D26*$C$12,0))</f>
        <v>3</v>
      </c>
      <c r="I26" s="29">
        <f>SUMIFS(BATEL!$C$2:$C$721,BATEL!$A$2:$A$721,$A26)</f>
        <v>3</v>
      </c>
      <c r="J26" s="41">
        <f>MIN(I26,ROUND($D26*$C$13,0))</f>
        <v>3</v>
      </c>
    </row>
    <row r="27" spans="1:10" x14ac:dyDescent="0.3">
      <c r="A27" t="str">
        <f>'AVARIA PINHEIROS'!A11</f>
        <v>VLT-BER-006-LIL-G</v>
      </c>
      <c r="B27" s="27" t="str">
        <f>'AVARIA PINHEIROS'!B11</f>
        <v>BER006L42</v>
      </c>
      <c r="C27" s="28">
        <f>'AVARIA PINHEIROS'!C11</f>
        <v>2</v>
      </c>
      <c r="D27" s="25">
        <f>C27/$C$41</f>
        <v>2.5000000000000001E-2</v>
      </c>
      <c r="E27" s="29">
        <f>SUMIFS(ELDORADO!$C$2:$C$731,ELDORADO!$A$2:$A$731,$A27)</f>
        <v>2</v>
      </c>
      <c r="F27" s="41">
        <f>MIN(E27,ROUND($D27*$C$11,0))</f>
        <v>2</v>
      </c>
      <c r="G27" s="29">
        <f>SUMIFS(SAVASSI!$C$2:$C$720,SAVASSI!$A$2:$A$720,$A27)</f>
        <v>2</v>
      </c>
      <c r="H27" s="41">
        <f>MIN(G27,ROUND($D27*$C$12,0))</f>
        <v>2</v>
      </c>
      <c r="I27" s="29">
        <f>SUMIFS(BATEL!$C$2:$C$721,BATEL!$A$2:$A$721,$A27)</f>
        <v>1</v>
      </c>
      <c r="J27" s="41">
        <f>MIN(I27,ROUND($D27*$C$13,0))</f>
        <v>1</v>
      </c>
    </row>
    <row r="28" spans="1:10" x14ac:dyDescent="0.3">
      <c r="A28" t="str">
        <f>'AVARIA PINHEIROS'!A12</f>
        <v>VLT-VES-007-OLI-GG</v>
      </c>
      <c r="B28" s="27" t="str">
        <f>'AVARIA PINHEIROS'!B12</f>
        <v>VES007VGG</v>
      </c>
      <c r="C28" s="28">
        <f>'AVARIA PINHEIROS'!C12</f>
        <v>3</v>
      </c>
      <c r="D28" s="25">
        <f>C28/$C$41</f>
        <v>3.7499999999999999E-2</v>
      </c>
      <c r="E28" s="29">
        <f>SUMIFS(ELDORADO!$C$2:$C$731,ELDORADO!$A$2:$A$731,$A28)</f>
        <v>2</v>
      </c>
      <c r="F28" s="41">
        <f>MIN(E28,ROUND($D28*$C$11,0))</f>
        <v>2</v>
      </c>
      <c r="G28" s="29">
        <f>SUMIFS(SAVASSI!$C$2:$C$720,SAVASSI!$A$2:$A$720,$A28)</f>
        <v>2</v>
      </c>
      <c r="H28" s="41">
        <f>MIN(G28,ROUND($D28*$C$12,0))</f>
        <v>2</v>
      </c>
      <c r="I28" s="29">
        <f>SUMIFS(BATEL!$C$2:$C$721,BATEL!$A$2:$A$721,$A28)</f>
        <v>2</v>
      </c>
      <c r="J28" s="41">
        <f>MIN(I28,ROUND($D28*$C$13,0))</f>
        <v>2</v>
      </c>
    </row>
    <row r="29" spans="1:10" x14ac:dyDescent="0.3">
      <c r="A29" t="str">
        <f>'AVARIA PINHEIROS'!A13</f>
        <v>VLT-CAL-016-OLI-P</v>
      </c>
      <c r="B29" s="27" t="str">
        <f>'AVARIA PINHEIROS'!B13</f>
        <v>CAL016V38</v>
      </c>
      <c r="C29" s="28">
        <f>'AVARIA PINHEIROS'!C13</f>
        <v>4</v>
      </c>
      <c r="D29" s="25">
        <f>C29/$C$41</f>
        <v>0.05</v>
      </c>
      <c r="E29" s="29">
        <f>SUMIFS(ELDORADO!$C$2:$C$731,ELDORADO!$A$2:$A$731,$A29)</f>
        <v>2</v>
      </c>
      <c r="F29" s="41">
        <f>MIN(E29,ROUND($D29*$C$11,0))</f>
        <v>2</v>
      </c>
      <c r="G29" s="29">
        <f>SUMIFS(SAVASSI!$C$2:$C$720,SAVASSI!$A$2:$A$720,$A29)</f>
        <v>3</v>
      </c>
      <c r="H29" s="41">
        <f>MIN(G29,ROUND($D29*$C$12,0))</f>
        <v>3</v>
      </c>
      <c r="I29" s="29">
        <f>SUMIFS(BATEL!$C$2:$C$721,BATEL!$A$2:$A$721,$A29)</f>
        <v>2</v>
      </c>
      <c r="J29" s="41">
        <f>MIN(I29,ROUND($D29*$C$13,0))</f>
        <v>2</v>
      </c>
    </row>
    <row r="30" spans="1:10" x14ac:dyDescent="0.3">
      <c r="A30" t="str">
        <f>'AVARIA PINHEIROS'!A14</f>
        <v>VLT-CAL-016-OLI-M</v>
      </c>
      <c r="B30" s="27" t="str">
        <f>'AVARIA PINHEIROS'!B14</f>
        <v>CAL016V40</v>
      </c>
      <c r="C30" s="28">
        <f>'AVARIA PINHEIROS'!C14</f>
        <v>4</v>
      </c>
      <c r="D30" s="25">
        <f>C30/$C$41</f>
        <v>0.05</v>
      </c>
      <c r="E30" s="29">
        <f>SUMIFS(ELDORADO!$C$2:$C$731,ELDORADO!$A$2:$A$731,$A30)</f>
        <v>2</v>
      </c>
      <c r="F30" s="41">
        <f>MIN(E30,ROUND($D30*$C$11,0))</f>
        <v>2</v>
      </c>
      <c r="G30" s="29">
        <f>SUMIFS(SAVASSI!$C$2:$C$720,SAVASSI!$A$2:$A$720,$A30)</f>
        <v>3</v>
      </c>
      <c r="H30" s="41">
        <f>MIN(G30,ROUND($D30*$C$12,0))</f>
        <v>3</v>
      </c>
      <c r="I30" s="29">
        <f>SUMIFS(BATEL!$C$2:$C$721,BATEL!$A$2:$A$721,$A30)</f>
        <v>1</v>
      </c>
      <c r="J30" s="41">
        <f>MIN(I30,ROUND($D30*$C$13,0))</f>
        <v>1</v>
      </c>
    </row>
    <row r="31" spans="1:10" x14ac:dyDescent="0.3">
      <c r="A31" t="str">
        <f>'AVARIA PINHEIROS'!A15</f>
        <v>VLT-CAL-023-LIL-M</v>
      </c>
      <c r="B31" s="27" t="str">
        <f>'AVARIA PINHEIROS'!B15</f>
        <v>CAL023L40</v>
      </c>
      <c r="C31" s="28">
        <f>'AVARIA PINHEIROS'!C15</f>
        <v>7</v>
      </c>
      <c r="D31" s="25">
        <f>C31/$C$41</f>
        <v>8.7499999999999994E-2</v>
      </c>
      <c r="E31" s="29">
        <f>SUMIFS(ELDORADO!$C$2:$C$731,ELDORADO!$A$2:$A$731,$A31)</f>
        <v>6</v>
      </c>
      <c r="F31" s="41">
        <f>MIN(E31,ROUND($D31*$C$11,0))</f>
        <v>6</v>
      </c>
      <c r="G31" s="29">
        <f>SUMIFS(SAVASSI!$C$2:$C$720,SAVASSI!$A$2:$A$720,$A31)</f>
        <v>6</v>
      </c>
      <c r="H31" s="41">
        <f>MIN(G31,ROUND($D31*$C$12,0))</f>
        <v>6</v>
      </c>
      <c r="I31" s="29">
        <f>SUMIFS(BATEL!$C$2:$C$721,BATEL!$A$2:$A$721,$A31)</f>
        <v>7</v>
      </c>
      <c r="J31" s="41">
        <f>MIN(I31,ROUND($D31*$C$13,0))</f>
        <v>5</v>
      </c>
    </row>
    <row r="32" spans="1:10" x14ac:dyDescent="0.3">
      <c r="A32" t="str">
        <f>'AVARIA PINHEIROS'!A16</f>
        <v>VLT-BER-007-AZM-G</v>
      </c>
      <c r="B32" s="27" t="str">
        <f>'AVARIA PINHEIROS'!B16</f>
        <v>BER007A42</v>
      </c>
      <c r="C32" s="28">
        <f>'AVARIA PINHEIROS'!C16</f>
        <v>4</v>
      </c>
      <c r="D32" s="25">
        <f>C32/$C$41</f>
        <v>0.05</v>
      </c>
      <c r="E32" s="29">
        <f>SUMIFS(ELDORADO!$C$2:$C$731,ELDORADO!$A$2:$A$731,$A32)</f>
        <v>5</v>
      </c>
      <c r="F32" s="41">
        <f>MIN(E32,ROUND($D32*$C$11,0))</f>
        <v>4</v>
      </c>
      <c r="G32" s="29">
        <f>SUMIFS(SAVASSI!$C$2:$C$720,SAVASSI!$A$2:$A$720,$A32)</f>
        <v>4</v>
      </c>
      <c r="H32" s="41">
        <f>MIN(G32,ROUND($D32*$C$12,0))</f>
        <v>3</v>
      </c>
      <c r="I32" s="29">
        <f>SUMIFS(BATEL!$C$2:$C$721,BATEL!$A$2:$A$721,$A32)</f>
        <v>2</v>
      </c>
      <c r="J32" s="41">
        <f>MIN(I32,ROUND($D32*$C$13,0))</f>
        <v>2</v>
      </c>
    </row>
    <row r="33" spans="1:10" x14ac:dyDescent="0.3">
      <c r="A33" t="str">
        <f>'AVARIA PINHEIROS'!A17</f>
        <v>VLT-SAI-009-BRA-P</v>
      </c>
      <c r="B33" s="27" t="str">
        <f>'AVARIA PINHEIROS'!B17</f>
        <v>SAI009BP</v>
      </c>
      <c r="C33" s="28">
        <f>'AVARIA PINHEIROS'!C17</f>
        <v>2</v>
      </c>
      <c r="D33" s="25">
        <f>C33/$C$41</f>
        <v>2.5000000000000001E-2</v>
      </c>
      <c r="E33" s="29">
        <f>SUMIFS(ELDORADO!$C$2:$C$731,ELDORADO!$A$2:$A$731,$A33)</f>
        <v>1</v>
      </c>
      <c r="F33" s="41">
        <f>MIN(E33,ROUND($D33*$C$11,0))</f>
        <v>1</v>
      </c>
      <c r="G33" s="29">
        <f>SUMIFS(SAVASSI!$C$2:$C$720,SAVASSI!$A$2:$A$720,$A33)</f>
        <v>2</v>
      </c>
      <c r="H33" s="41">
        <f>MIN(G33,ROUND($D33*$C$12,0))</f>
        <v>2</v>
      </c>
      <c r="I33" s="29">
        <f>SUMIFS(BATEL!$C$2:$C$721,BATEL!$A$2:$A$721,$A33)</f>
        <v>1</v>
      </c>
      <c r="J33" s="41">
        <f>MIN(I33,ROUND($D33*$C$13,0))</f>
        <v>1</v>
      </c>
    </row>
    <row r="34" spans="1:10" x14ac:dyDescent="0.3">
      <c r="A34" t="str">
        <f>'AVARIA PINHEIROS'!A18</f>
        <v>VLT-CAM-017-AMA-G</v>
      </c>
      <c r="B34" s="27" t="str">
        <f>'AVARIA PINHEIROS'!B18</f>
        <v>CAM017YG</v>
      </c>
      <c r="C34" s="28">
        <f>'AVARIA PINHEIROS'!C18</f>
        <v>4</v>
      </c>
      <c r="D34" s="25">
        <f>C34/$C$41</f>
        <v>0.05</v>
      </c>
      <c r="E34" s="29">
        <f>SUMIFS(ELDORADO!$C$2:$C$731,ELDORADO!$A$2:$A$731,$A34)</f>
        <v>5</v>
      </c>
      <c r="F34" s="41">
        <f>MIN(E34,ROUND($D34*$C$11,0))</f>
        <v>4</v>
      </c>
      <c r="G34" s="29">
        <f>SUMIFS(SAVASSI!$C$2:$C$720,SAVASSI!$A$2:$A$720,$A34)</f>
        <v>4</v>
      </c>
      <c r="H34" s="41">
        <f>MIN(G34,ROUND($D34*$C$12,0))</f>
        <v>3</v>
      </c>
      <c r="I34" s="29">
        <f>SUMIFS(BATEL!$C$2:$C$721,BATEL!$A$2:$A$721,$A34)</f>
        <v>3</v>
      </c>
      <c r="J34" s="41">
        <f>MIN(I34,ROUND($D34*$C$13,0))</f>
        <v>3</v>
      </c>
    </row>
    <row r="35" spans="1:10" x14ac:dyDescent="0.3">
      <c r="A35" t="str">
        <f>'AVARIA PINHEIROS'!A19</f>
        <v>VLT-VES-009-BEG-G</v>
      </c>
      <c r="B35" s="27" t="str">
        <f>'AVARIA PINHEIROS'!B19</f>
        <v>VES009GG</v>
      </c>
      <c r="C35" s="28">
        <f>'AVARIA PINHEIROS'!C19</f>
        <v>3</v>
      </c>
      <c r="D35" s="25">
        <f>C35/$C$41</f>
        <v>3.7499999999999999E-2</v>
      </c>
      <c r="E35" s="29">
        <f>SUMIFS(ELDORADO!$C$2:$C$731,ELDORADO!$A$2:$A$731,$A35)</f>
        <v>3</v>
      </c>
      <c r="F35" s="41">
        <f>MIN(E35,ROUND($D35*$C$11,0))</f>
        <v>3</v>
      </c>
      <c r="G35" s="29">
        <f>SUMIFS(SAVASSI!$C$2:$C$720,SAVASSI!$A$2:$A$720,$A35)</f>
        <v>3</v>
      </c>
      <c r="H35" s="41">
        <f>MIN(G35,ROUND($D35*$C$12,0))</f>
        <v>3</v>
      </c>
      <c r="I35" s="29">
        <f>SUMIFS(BATEL!$C$2:$C$721,BATEL!$A$2:$A$721,$A35)</f>
        <v>3</v>
      </c>
      <c r="J35" s="41">
        <f>MIN(I35,ROUND($D35*$C$13,0))</f>
        <v>2</v>
      </c>
    </row>
    <row r="36" spans="1:10" x14ac:dyDescent="0.3">
      <c r="A36" t="str">
        <f>'AVARIA PINHEIROS'!A20</f>
        <v>VLT-CAL-024-AZM-P</v>
      </c>
      <c r="B36" s="27" t="str">
        <f>'AVARIA PINHEIROS'!B20</f>
        <v>CAL024A38</v>
      </c>
      <c r="C36" s="28">
        <f>'AVARIA PINHEIROS'!C20</f>
        <v>5</v>
      </c>
      <c r="D36" s="25">
        <f>C36/$C$41</f>
        <v>6.25E-2</v>
      </c>
      <c r="E36" s="29">
        <f>SUMIFS(ELDORADO!$C$2:$C$731,ELDORADO!$A$2:$A$731,$A36)</f>
        <v>6</v>
      </c>
      <c r="F36" s="41">
        <f>MIN(E36,ROUND($D36*$C$11,0))</f>
        <v>5</v>
      </c>
      <c r="G36" s="29">
        <f>SUMIFS(SAVASSI!$C$2:$C$720,SAVASSI!$A$2:$A$720,$A36)</f>
        <v>6</v>
      </c>
      <c r="H36" s="41">
        <f>MIN(G36,ROUND($D36*$C$12,0))</f>
        <v>4</v>
      </c>
      <c r="I36" s="29">
        <f>SUMIFS(BATEL!$C$2:$C$721,BATEL!$A$2:$A$721,$A36)</f>
        <v>5</v>
      </c>
      <c r="J36" s="41">
        <f>MIN(I36,ROUND($D36*$C$13,0))</f>
        <v>4</v>
      </c>
    </row>
    <row r="37" spans="1:10" x14ac:dyDescent="0.3">
      <c r="A37" t="str">
        <f>'AVARIA PINHEIROS'!A21</f>
        <v>VLT-TOP-001-AMA-G</v>
      </c>
      <c r="B37" s="27" t="str">
        <f>'AVARIA PINHEIROS'!B21</f>
        <v>TOP001YG</v>
      </c>
      <c r="C37" s="28">
        <f>'AVARIA PINHEIROS'!C21</f>
        <v>5</v>
      </c>
      <c r="D37" s="25">
        <f>C37/$C$41</f>
        <v>6.25E-2</v>
      </c>
      <c r="E37" s="29">
        <f>SUMIFS(ELDORADO!$C$2:$C$731,ELDORADO!$A$2:$A$731,$A37)</f>
        <v>6</v>
      </c>
      <c r="F37" s="41">
        <f>MIN(E37,ROUND($D37*$C$11,0))</f>
        <v>5</v>
      </c>
      <c r="G37" s="29">
        <f>SUMIFS(SAVASSI!$C$2:$C$720,SAVASSI!$A$2:$A$720,$A37)</f>
        <v>5</v>
      </c>
      <c r="H37" s="41">
        <f>MIN(G37,ROUND($D37*$C$12,0))</f>
        <v>4</v>
      </c>
      <c r="I37" s="29">
        <f>SUMIFS(BATEL!$C$2:$C$721,BATEL!$A$2:$A$721,$A37)</f>
        <v>5</v>
      </c>
      <c r="J37" s="41">
        <f>MIN(I37,ROUND($D37*$C$13,0))</f>
        <v>4</v>
      </c>
    </row>
    <row r="38" spans="1:10" x14ac:dyDescent="0.3">
      <c r="A38" t="str">
        <f>'AVARIA PINHEIROS'!A22</f>
        <v>VLT-CAM-020-AMA-P</v>
      </c>
      <c r="B38" s="27" t="str">
        <f>'AVARIA PINHEIROS'!B22</f>
        <v>CAM020YP</v>
      </c>
      <c r="C38" s="28">
        <f>'AVARIA PINHEIROS'!C22</f>
        <v>4</v>
      </c>
      <c r="D38" s="25">
        <f>C38/$C$41</f>
        <v>0.05</v>
      </c>
      <c r="E38" s="29">
        <f>SUMIFS(ELDORADO!$C$2:$C$731,ELDORADO!$A$2:$A$731,$A38)</f>
        <v>4</v>
      </c>
      <c r="F38" s="41">
        <f>MIN(E38,ROUND($D38*$C$11,0))</f>
        <v>4</v>
      </c>
      <c r="G38" s="29">
        <f>SUMIFS(SAVASSI!$C$2:$C$720,SAVASSI!$A$2:$A$720,$A38)</f>
        <v>3</v>
      </c>
      <c r="H38" s="41">
        <f>MIN(G38,ROUND($D38*$C$12,0))</f>
        <v>3</v>
      </c>
      <c r="I38" s="29">
        <f>SUMIFS(BATEL!$C$2:$C$721,BATEL!$A$2:$A$721,$A38)</f>
        <v>0</v>
      </c>
      <c r="J38" s="41">
        <f>MIN(I38,ROUND($D38*$C$13,0))</f>
        <v>0</v>
      </c>
    </row>
    <row r="39" spans="1:10" x14ac:dyDescent="0.3">
      <c r="A39" t="str">
        <f>'AVARIA PINHEIROS'!A23</f>
        <v>VLT-CAM-020-AMA-G</v>
      </c>
      <c r="B39" s="27" t="str">
        <f>'AVARIA PINHEIROS'!B23</f>
        <v>CAM020YG</v>
      </c>
      <c r="C39" s="28">
        <f>'AVARIA PINHEIROS'!C23</f>
        <v>5</v>
      </c>
      <c r="D39" s="25">
        <f>C39/$C$41</f>
        <v>6.25E-2</v>
      </c>
      <c r="E39" s="29">
        <f>SUMIFS(ELDORADO!$C$2:$C$731,ELDORADO!$A$2:$A$731,$A39)</f>
        <v>4</v>
      </c>
      <c r="F39" s="41">
        <f>MIN(E39,ROUND($D39*$C$11,0))</f>
        <v>4</v>
      </c>
      <c r="G39" s="29">
        <f>SUMIFS(SAVASSI!$C$2:$C$720,SAVASSI!$A$2:$A$720,$A39)</f>
        <v>4</v>
      </c>
      <c r="H39" s="41">
        <f>MIN(G39,ROUND($D39*$C$12,0))</f>
        <v>4</v>
      </c>
      <c r="I39" s="29">
        <f>SUMIFS(BATEL!$C$2:$C$721,BATEL!$A$2:$A$721,$A39)</f>
        <v>3</v>
      </c>
      <c r="J39" s="41">
        <f>MIN(I39,ROUND($D39*$C$13,0))</f>
        <v>3</v>
      </c>
    </row>
    <row r="40" spans="1:10" x14ac:dyDescent="0.3">
      <c r="A40" t="str">
        <f>'AVARIA PINHEIROS'!A24</f>
        <v>VLT-MOL-019-OLI-GG</v>
      </c>
      <c r="B40" s="27" t="str">
        <f>'AVARIA PINHEIROS'!B24</f>
        <v>MOL019VGG</v>
      </c>
      <c r="C40" s="28">
        <f>'AVARIA PINHEIROS'!C24</f>
        <v>2</v>
      </c>
      <c r="D40" s="25">
        <f>C40/$C$41</f>
        <v>2.5000000000000001E-2</v>
      </c>
      <c r="E40" s="29">
        <f>SUMIFS(ELDORADO!$C$2:$C$731,ELDORADO!$A$2:$A$731,$A40)</f>
        <v>2</v>
      </c>
      <c r="F40" s="41">
        <f>MIN(E40,ROUND($D40*$C$11,0))</f>
        <v>2</v>
      </c>
      <c r="G40" s="29">
        <f>SUMIFS(SAVASSI!$C$2:$C$720,SAVASSI!$A$2:$A$720,$A40)</f>
        <v>4</v>
      </c>
      <c r="H40" s="41">
        <f>MIN(G40,ROUND($D40*$C$12,0))</f>
        <v>2</v>
      </c>
      <c r="I40" s="29">
        <f>SUMIFS(BATEL!$C$2:$C$721,BATEL!$A$2:$A$721,$A40)</f>
        <v>1</v>
      </c>
      <c r="J40" s="41">
        <f>MIN(I40,ROUND($D40*$C$13,0))</f>
        <v>1</v>
      </c>
    </row>
    <row r="41" spans="1:10" x14ac:dyDescent="0.3">
      <c r="A41" s="30" t="s">
        <v>2042</v>
      </c>
      <c r="B41" s="34"/>
      <c r="C41" s="35">
        <f>SUM(C18:C40)</f>
        <v>80</v>
      </c>
      <c r="D41" s="33">
        <f>SUM(D18:D40)</f>
        <v>1</v>
      </c>
      <c r="E41" s="36">
        <f>SUM(E18:E40)</f>
        <v>76</v>
      </c>
      <c r="F41" s="36">
        <f>SUM(F18:F40)</f>
        <v>69</v>
      </c>
      <c r="G41" s="36">
        <f>SUM(G18:G40)</f>
        <v>72</v>
      </c>
      <c r="H41" s="36">
        <f>SUM(H18:H40)</f>
        <v>65</v>
      </c>
      <c r="I41" s="36">
        <f>SUM(I18:I40)</f>
        <v>55</v>
      </c>
      <c r="J41" s="36">
        <f>SUM(J18:J40)</f>
        <v>49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099A-4FC1-41D7-80DE-04032F307985}">
  <dimension ref="A1:E20"/>
  <sheetViews>
    <sheetView topLeftCell="A2" workbookViewId="0">
      <selection activeCell="D15" sqref="D4:D15"/>
    </sheetView>
  </sheetViews>
  <sheetFormatPr defaultRowHeight="14.4" x14ac:dyDescent="0.3"/>
  <cols>
    <col min="1" max="1" width="4.6640625" customWidth="1"/>
    <col min="2" max="2" width="13" customWidth="1"/>
    <col min="3" max="3" width="22.21875" customWidth="1"/>
    <col min="4" max="5" width="70.33203125" customWidth="1"/>
  </cols>
  <sheetData>
    <row r="1" spans="1:5" ht="18" x14ac:dyDescent="0.35">
      <c r="A1" s="3" t="s">
        <v>1354</v>
      </c>
    </row>
    <row r="3" spans="1:5" x14ac:dyDescent="0.3">
      <c r="A3" s="17" t="s">
        <v>1355</v>
      </c>
      <c r="B3" s="17" t="s">
        <v>1356</v>
      </c>
      <c r="C3" s="17" t="s">
        <v>1357</v>
      </c>
      <c r="D3" s="17" t="s">
        <v>1358</v>
      </c>
      <c r="E3" s="17" t="s">
        <v>1359</v>
      </c>
    </row>
    <row r="4" spans="1:5" ht="28.8" x14ac:dyDescent="0.3">
      <c r="A4" s="5">
        <v>1</v>
      </c>
      <c r="B4" s="7" t="s">
        <v>1360</v>
      </c>
      <c r="C4" s="5" t="s">
        <v>1361</v>
      </c>
      <c r="D4" s="5" t="s">
        <v>1362</v>
      </c>
      <c r="E4" s="5" t="s">
        <v>1363</v>
      </c>
    </row>
    <row r="5" spans="1:5" x14ac:dyDescent="0.3">
      <c r="A5" s="5">
        <v>2</v>
      </c>
      <c r="B5" s="7" t="s">
        <v>1360</v>
      </c>
      <c r="C5" s="5" t="s">
        <v>1364</v>
      </c>
      <c r="D5" s="5" t="s">
        <v>1365</v>
      </c>
      <c r="E5" s="5" t="s">
        <v>1366</v>
      </c>
    </row>
    <row r="6" spans="1:5" ht="57.6" x14ac:dyDescent="0.3">
      <c r="A6" s="5">
        <v>3</v>
      </c>
      <c r="B6" s="7" t="s">
        <v>1360</v>
      </c>
      <c r="C6" s="5" t="s">
        <v>1367</v>
      </c>
      <c r="D6" s="5" t="s">
        <v>1411</v>
      </c>
      <c r="E6" s="5" t="s">
        <v>1410</v>
      </c>
    </row>
    <row r="7" spans="1:5" ht="43.2" x14ac:dyDescent="0.3">
      <c r="A7" s="5">
        <v>4</v>
      </c>
      <c r="B7" s="7" t="s">
        <v>1360</v>
      </c>
      <c r="C7" s="5" t="s">
        <v>1368</v>
      </c>
      <c r="D7" s="5" t="s">
        <v>1369</v>
      </c>
      <c r="E7" s="5" t="s">
        <v>1402</v>
      </c>
    </row>
    <row r="8" spans="1:5" ht="28.8" x14ac:dyDescent="0.3">
      <c r="A8" s="6">
        <v>5</v>
      </c>
      <c r="B8" s="8" t="s">
        <v>1360</v>
      </c>
      <c r="C8" s="6" t="s">
        <v>1370</v>
      </c>
      <c r="D8" s="6" t="s">
        <v>1371</v>
      </c>
      <c r="E8" s="6" t="s">
        <v>1372</v>
      </c>
    </row>
    <row r="9" spans="1:5" ht="72" x14ac:dyDescent="0.3">
      <c r="A9" s="6">
        <v>6</v>
      </c>
      <c r="B9" s="8" t="s">
        <v>1360</v>
      </c>
      <c r="C9" s="6" t="s">
        <v>1374</v>
      </c>
      <c r="D9" s="6" t="s">
        <v>1375</v>
      </c>
      <c r="E9" s="6" t="s">
        <v>2014</v>
      </c>
    </row>
    <row r="10" spans="1:5" ht="43.2" x14ac:dyDescent="0.3">
      <c r="A10" s="50">
        <v>7</v>
      </c>
      <c r="B10" s="51" t="s">
        <v>1403</v>
      </c>
      <c r="C10" s="50" t="s">
        <v>1404</v>
      </c>
      <c r="D10" s="50" t="s">
        <v>1405</v>
      </c>
      <c r="E10" s="50" t="s">
        <v>2047</v>
      </c>
    </row>
    <row r="11" spans="1:5" ht="72" x14ac:dyDescent="0.3">
      <c r="A11" s="5">
        <v>8</v>
      </c>
      <c r="B11" s="7" t="s">
        <v>1403</v>
      </c>
      <c r="C11" s="5" t="s">
        <v>1406</v>
      </c>
      <c r="D11" s="5" t="s">
        <v>1412</v>
      </c>
      <c r="E11" s="5" t="s">
        <v>1407</v>
      </c>
    </row>
    <row r="12" spans="1:5" ht="100.8" x14ac:dyDescent="0.3">
      <c r="A12" s="5">
        <v>9</v>
      </c>
      <c r="B12" s="7" t="s">
        <v>1360</v>
      </c>
      <c r="C12" s="5" t="s">
        <v>1993</v>
      </c>
      <c r="D12" s="5" t="s">
        <v>1994</v>
      </c>
      <c r="E12" s="5" t="s">
        <v>1995</v>
      </c>
    </row>
    <row r="13" spans="1:5" ht="57.6" x14ac:dyDescent="0.3">
      <c r="A13" s="5">
        <v>10</v>
      </c>
      <c r="B13" s="7" t="s">
        <v>1360</v>
      </c>
      <c r="C13" s="5" t="s">
        <v>1996</v>
      </c>
      <c r="D13" s="5" t="s">
        <v>1997</v>
      </c>
      <c r="E13" s="5" t="s">
        <v>1998</v>
      </c>
    </row>
    <row r="14" spans="1:5" ht="57.6" x14ac:dyDescent="0.3">
      <c r="A14" s="5">
        <v>11</v>
      </c>
      <c r="B14" s="7" t="s">
        <v>1360</v>
      </c>
      <c r="C14" s="5" t="s">
        <v>2008</v>
      </c>
      <c r="D14" s="5" t="s">
        <v>2009</v>
      </c>
      <c r="E14" s="5" t="s">
        <v>2010</v>
      </c>
    </row>
    <row r="15" spans="1:5" ht="86.4" x14ac:dyDescent="0.3">
      <c r="A15" s="5">
        <v>12</v>
      </c>
      <c r="B15" s="7" t="s">
        <v>1360</v>
      </c>
      <c r="C15" s="5" t="s">
        <v>2011</v>
      </c>
      <c r="D15" s="5" t="s">
        <v>2012</v>
      </c>
      <c r="E15" s="5" t="s">
        <v>2013</v>
      </c>
    </row>
    <row r="16" spans="1:5" x14ac:dyDescent="0.3">
      <c r="A16" s="48">
        <v>13</v>
      </c>
      <c r="B16" s="49" t="s">
        <v>2043</v>
      </c>
      <c r="C16" s="48" t="s">
        <v>2044</v>
      </c>
      <c r="D16" s="48" t="s">
        <v>2045</v>
      </c>
      <c r="E16" s="48" t="s">
        <v>2046</v>
      </c>
    </row>
    <row r="17" spans="4:5" x14ac:dyDescent="0.3">
      <c r="D17" s="1" t="s">
        <v>1373</v>
      </c>
    </row>
    <row r="18" spans="4:5" x14ac:dyDescent="0.3">
      <c r="D18" t="s">
        <v>1408</v>
      </c>
      <c r="E18" s="4">
        <f>SUM(CD!C2:C604)</f>
        <v>6601</v>
      </c>
    </row>
    <row r="19" spans="4:5" x14ac:dyDescent="0.3">
      <c r="D19" t="s">
        <v>1409</v>
      </c>
      <c r="E19" s="4">
        <f>SUM(CD!D2:D604)</f>
        <v>189</v>
      </c>
    </row>
    <row r="20" spans="4:5" x14ac:dyDescent="0.3">
      <c r="D20" t="s">
        <v>1377</v>
      </c>
      <c r="E20" s="4">
        <f>SUM(CD!E2:E604)</f>
        <v>6412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4F66-7E99-4CAA-80D2-B53CB3455022}">
  <dimension ref="A1:F8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77734375" customWidth="1"/>
    <col min="2" max="2" width="16.6640625" customWidth="1"/>
    <col min="3" max="3" width="40.77734375" customWidth="1"/>
    <col min="4" max="5" width="27.77734375" customWidth="1"/>
    <col min="6" max="6" width="48.109375" customWidth="1"/>
  </cols>
  <sheetData>
    <row r="1" spans="1:6" x14ac:dyDescent="0.3">
      <c r="A1" s="15" t="s">
        <v>0</v>
      </c>
      <c r="B1" s="15" t="s">
        <v>1413</v>
      </c>
      <c r="C1" s="15" t="s">
        <v>1414</v>
      </c>
      <c r="D1" s="15" t="s">
        <v>1415</v>
      </c>
      <c r="E1" s="15" t="s">
        <v>1416</v>
      </c>
      <c r="F1" s="15" t="s">
        <v>1417</v>
      </c>
    </row>
    <row r="2" spans="1:6" x14ac:dyDescent="0.3">
      <c r="A2" t="s">
        <v>24</v>
      </c>
      <c r="B2" t="s">
        <v>581</v>
      </c>
      <c r="C2" t="s">
        <v>1418</v>
      </c>
      <c r="D2" t="s">
        <v>1419</v>
      </c>
      <c r="E2" t="s">
        <v>1420</v>
      </c>
      <c r="F2" t="s">
        <v>1421</v>
      </c>
    </row>
    <row r="3" spans="1:6" x14ac:dyDescent="0.3">
      <c r="A3" t="s">
        <v>1248</v>
      </c>
      <c r="B3" t="s">
        <v>1422</v>
      </c>
      <c r="C3" t="s">
        <v>1418</v>
      </c>
      <c r="D3" t="s">
        <v>1419</v>
      </c>
      <c r="E3" t="s">
        <v>1423</v>
      </c>
      <c r="F3" t="s">
        <v>1424</v>
      </c>
    </row>
    <row r="4" spans="1:6" x14ac:dyDescent="0.3">
      <c r="A4" t="s">
        <v>28</v>
      </c>
      <c r="B4" t="s">
        <v>586</v>
      </c>
      <c r="C4" t="s">
        <v>1425</v>
      </c>
      <c r="D4" t="s">
        <v>1419</v>
      </c>
      <c r="E4" t="s">
        <v>1420</v>
      </c>
      <c r="F4" t="s">
        <v>1421</v>
      </c>
    </row>
    <row r="5" spans="1:6" x14ac:dyDescent="0.3">
      <c r="A5" t="s">
        <v>1426</v>
      </c>
      <c r="B5" t="s">
        <v>1427</v>
      </c>
      <c r="C5" t="s">
        <v>1428</v>
      </c>
      <c r="D5" t="s">
        <v>1429</v>
      </c>
      <c r="E5" t="s">
        <v>1420</v>
      </c>
      <c r="F5" t="s">
        <v>1421</v>
      </c>
    </row>
    <row r="6" spans="1:6" x14ac:dyDescent="0.3">
      <c r="A6" t="s">
        <v>29</v>
      </c>
      <c r="B6" t="s">
        <v>1430</v>
      </c>
      <c r="C6" t="s">
        <v>1428</v>
      </c>
      <c r="D6" t="s">
        <v>1429</v>
      </c>
      <c r="E6" t="s">
        <v>1420</v>
      </c>
      <c r="F6" t="s">
        <v>1421</v>
      </c>
    </row>
    <row r="7" spans="1:6" x14ac:dyDescent="0.3">
      <c r="A7" t="s">
        <v>1431</v>
      </c>
      <c r="B7" t="s">
        <v>1432</v>
      </c>
      <c r="C7" t="s">
        <v>1433</v>
      </c>
      <c r="D7" t="s">
        <v>1434</v>
      </c>
      <c r="E7" t="s">
        <v>1423</v>
      </c>
      <c r="F7" t="s">
        <v>1424</v>
      </c>
    </row>
    <row r="8" spans="1:6" x14ac:dyDescent="0.3">
      <c r="A8" t="s">
        <v>1316</v>
      </c>
      <c r="B8" t="s">
        <v>775</v>
      </c>
      <c r="C8" t="s">
        <v>1435</v>
      </c>
      <c r="D8" t="s">
        <v>1434</v>
      </c>
      <c r="E8" t="s">
        <v>1423</v>
      </c>
      <c r="F8" t="s">
        <v>1424</v>
      </c>
    </row>
    <row r="9" spans="1:6" x14ac:dyDescent="0.3">
      <c r="A9" t="s">
        <v>209</v>
      </c>
      <c r="B9" t="s">
        <v>816</v>
      </c>
      <c r="C9" t="s">
        <v>1436</v>
      </c>
      <c r="D9" t="s">
        <v>1437</v>
      </c>
      <c r="E9" t="s">
        <v>1420</v>
      </c>
      <c r="F9" t="s">
        <v>1421</v>
      </c>
    </row>
    <row r="10" spans="1:6" x14ac:dyDescent="0.3">
      <c r="A10" t="s">
        <v>251</v>
      </c>
      <c r="B10" t="s">
        <v>873</v>
      </c>
      <c r="C10" t="s">
        <v>1438</v>
      </c>
      <c r="D10" t="s">
        <v>1439</v>
      </c>
      <c r="E10" t="s">
        <v>1423</v>
      </c>
      <c r="F10" t="s">
        <v>1424</v>
      </c>
    </row>
    <row r="11" spans="1:6" x14ac:dyDescent="0.3">
      <c r="A11" t="s">
        <v>250</v>
      </c>
      <c r="B11" t="s">
        <v>872</v>
      </c>
      <c r="C11" t="s">
        <v>1438</v>
      </c>
      <c r="D11" t="s">
        <v>1439</v>
      </c>
      <c r="E11" t="s">
        <v>1423</v>
      </c>
      <c r="F11" t="s">
        <v>1424</v>
      </c>
    </row>
    <row r="12" spans="1:6" x14ac:dyDescent="0.3">
      <c r="A12" t="s">
        <v>288</v>
      </c>
      <c r="B12" t="s">
        <v>938</v>
      </c>
      <c r="C12" t="s">
        <v>1440</v>
      </c>
      <c r="D12" t="s">
        <v>1429</v>
      </c>
      <c r="E12" t="s">
        <v>1420</v>
      </c>
      <c r="F12" t="s">
        <v>1421</v>
      </c>
    </row>
    <row r="13" spans="1:6" x14ac:dyDescent="0.3">
      <c r="A13" t="s">
        <v>286</v>
      </c>
      <c r="B13" t="s">
        <v>936</v>
      </c>
      <c r="C13" t="s">
        <v>1440</v>
      </c>
      <c r="D13" t="s">
        <v>1429</v>
      </c>
      <c r="E13" t="s">
        <v>1420</v>
      </c>
      <c r="F13" t="s">
        <v>1421</v>
      </c>
    </row>
    <row r="14" spans="1:6" x14ac:dyDescent="0.3">
      <c r="A14" t="s">
        <v>287</v>
      </c>
      <c r="B14" t="s">
        <v>937</v>
      </c>
      <c r="C14" t="s">
        <v>1440</v>
      </c>
      <c r="D14" t="s">
        <v>1429</v>
      </c>
      <c r="E14" t="s">
        <v>1420</v>
      </c>
      <c r="F14" t="s">
        <v>1421</v>
      </c>
    </row>
    <row r="15" spans="1:6" x14ac:dyDescent="0.3">
      <c r="A15" t="s">
        <v>416</v>
      </c>
      <c r="B15" t="s">
        <v>1441</v>
      </c>
      <c r="C15" t="s">
        <v>1442</v>
      </c>
      <c r="D15" t="s">
        <v>1429</v>
      </c>
      <c r="E15" t="s">
        <v>1420</v>
      </c>
      <c r="F15" t="s">
        <v>1421</v>
      </c>
    </row>
    <row r="16" spans="1:6" x14ac:dyDescent="0.3">
      <c r="A16" t="s">
        <v>465</v>
      </c>
      <c r="B16" t="s">
        <v>1166</v>
      </c>
      <c r="C16" t="s">
        <v>1443</v>
      </c>
      <c r="D16" t="s">
        <v>1437</v>
      </c>
      <c r="E16" t="s">
        <v>1420</v>
      </c>
      <c r="F16" t="s">
        <v>1421</v>
      </c>
    </row>
    <row r="17" spans="1:6" x14ac:dyDescent="0.3">
      <c r="A17" t="s">
        <v>470</v>
      </c>
      <c r="B17" t="s">
        <v>1171</v>
      </c>
      <c r="C17" t="s">
        <v>1444</v>
      </c>
      <c r="D17" t="s">
        <v>1437</v>
      </c>
      <c r="E17" t="s">
        <v>1420</v>
      </c>
      <c r="F17" t="s">
        <v>1421</v>
      </c>
    </row>
    <row r="18" spans="1:6" x14ac:dyDescent="0.3">
      <c r="A18" t="s">
        <v>1445</v>
      </c>
      <c r="B18" t="s">
        <v>542</v>
      </c>
      <c r="C18" t="s">
        <v>1446</v>
      </c>
      <c r="D18" t="s">
        <v>1419</v>
      </c>
      <c r="E18" t="s">
        <v>1420</v>
      </c>
      <c r="F18" t="s">
        <v>1421</v>
      </c>
    </row>
    <row r="19" spans="1:6" x14ac:dyDescent="0.3">
      <c r="A19" t="s">
        <v>1447</v>
      </c>
      <c r="B19" t="s">
        <v>543</v>
      </c>
      <c r="C19" t="s">
        <v>1446</v>
      </c>
      <c r="D19" t="s">
        <v>1419</v>
      </c>
      <c r="E19" t="s">
        <v>1420</v>
      </c>
      <c r="F19" t="s">
        <v>1421</v>
      </c>
    </row>
    <row r="20" spans="1:6" x14ac:dyDescent="0.3">
      <c r="A20" t="s">
        <v>1448</v>
      </c>
      <c r="B20" t="s">
        <v>541</v>
      </c>
      <c r="C20" t="s">
        <v>1446</v>
      </c>
      <c r="D20" t="s">
        <v>1419</v>
      </c>
      <c r="E20" t="s">
        <v>1420</v>
      </c>
      <c r="F20" t="s">
        <v>1421</v>
      </c>
    </row>
    <row r="21" spans="1:6" x14ac:dyDescent="0.3">
      <c r="A21" t="s">
        <v>1449</v>
      </c>
      <c r="B21" t="s">
        <v>540</v>
      </c>
      <c r="C21" t="s">
        <v>1446</v>
      </c>
      <c r="D21" t="s">
        <v>1419</v>
      </c>
      <c r="E21" t="s">
        <v>1420</v>
      </c>
      <c r="F21" t="s">
        <v>1421</v>
      </c>
    </row>
    <row r="22" spans="1:6" x14ac:dyDescent="0.3">
      <c r="A22" t="s">
        <v>1450</v>
      </c>
      <c r="B22" t="s">
        <v>573</v>
      </c>
      <c r="C22" t="s">
        <v>1451</v>
      </c>
      <c r="D22" t="s">
        <v>1419</v>
      </c>
      <c r="E22" t="s">
        <v>1420</v>
      </c>
      <c r="F22" t="s">
        <v>1421</v>
      </c>
    </row>
    <row r="23" spans="1:6" x14ac:dyDescent="0.3">
      <c r="A23" t="s">
        <v>1452</v>
      </c>
      <c r="B23" t="s">
        <v>574</v>
      </c>
      <c r="C23" t="s">
        <v>1451</v>
      </c>
      <c r="D23" t="s">
        <v>1419</v>
      </c>
      <c r="E23" t="s">
        <v>1420</v>
      </c>
      <c r="F23" t="s">
        <v>1421</v>
      </c>
    </row>
    <row r="24" spans="1:6" x14ac:dyDescent="0.3">
      <c r="A24" t="s">
        <v>1453</v>
      </c>
      <c r="B24" t="s">
        <v>572</v>
      </c>
      <c r="C24" t="s">
        <v>1451</v>
      </c>
      <c r="D24" t="s">
        <v>1419</v>
      </c>
      <c r="E24" t="s">
        <v>1420</v>
      </c>
      <c r="F24" t="s">
        <v>1421</v>
      </c>
    </row>
    <row r="25" spans="1:6" x14ac:dyDescent="0.3">
      <c r="A25" t="s">
        <v>1454</v>
      </c>
      <c r="B25" t="s">
        <v>571</v>
      </c>
      <c r="C25" t="s">
        <v>1451</v>
      </c>
      <c r="D25" t="s">
        <v>1419</v>
      </c>
      <c r="E25" t="s">
        <v>1420</v>
      </c>
      <c r="F25" t="s">
        <v>1421</v>
      </c>
    </row>
    <row r="26" spans="1:6" x14ac:dyDescent="0.3">
      <c r="A26" t="s">
        <v>1455</v>
      </c>
      <c r="B26" t="s">
        <v>570</v>
      </c>
      <c r="C26" t="s">
        <v>1451</v>
      </c>
      <c r="D26" t="s">
        <v>1419</v>
      </c>
      <c r="E26" t="s">
        <v>1420</v>
      </c>
      <c r="F26" t="s">
        <v>1421</v>
      </c>
    </row>
    <row r="27" spans="1:6" x14ac:dyDescent="0.3">
      <c r="A27" t="s">
        <v>1456</v>
      </c>
      <c r="B27" t="s">
        <v>578</v>
      </c>
      <c r="C27" t="s">
        <v>1457</v>
      </c>
      <c r="D27" t="s">
        <v>1429</v>
      </c>
      <c r="E27" t="s">
        <v>1420</v>
      </c>
      <c r="F27" t="s">
        <v>1421</v>
      </c>
    </row>
    <row r="28" spans="1:6" x14ac:dyDescent="0.3">
      <c r="A28" t="s">
        <v>1458</v>
      </c>
      <c r="B28" t="s">
        <v>579</v>
      </c>
      <c r="C28" t="s">
        <v>1457</v>
      </c>
      <c r="D28" t="s">
        <v>1429</v>
      </c>
      <c r="E28" t="s">
        <v>1420</v>
      </c>
      <c r="F28" t="s">
        <v>1421</v>
      </c>
    </row>
    <row r="29" spans="1:6" x14ac:dyDescent="0.3">
      <c r="A29" t="s">
        <v>1459</v>
      </c>
      <c r="B29" t="s">
        <v>577</v>
      </c>
      <c r="C29" t="s">
        <v>1457</v>
      </c>
      <c r="D29" t="s">
        <v>1429</v>
      </c>
      <c r="E29" t="s">
        <v>1420</v>
      </c>
      <c r="F29" t="s">
        <v>1421</v>
      </c>
    </row>
    <row r="30" spans="1:6" x14ac:dyDescent="0.3">
      <c r="A30" t="s">
        <v>1460</v>
      </c>
      <c r="B30" t="s">
        <v>576</v>
      </c>
      <c r="C30" t="s">
        <v>1457</v>
      </c>
      <c r="D30" t="s">
        <v>1429</v>
      </c>
      <c r="E30" t="s">
        <v>1420</v>
      </c>
      <c r="F30" t="s">
        <v>1421</v>
      </c>
    </row>
    <row r="31" spans="1:6" x14ac:dyDescent="0.3">
      <c r="A31" t="s">
        <v>1461</v>
      </c>
      <c r="B31" t="s">
        <v>580</v>
      </c>
      <c r="C31" t="s">
        <v>1457</v>
      </c>
      <c r="D31" t="s">
        <v>1429</v>
      </c>
      <c r="E31" t="s">
        <v>1420</v>
      </c>
      <c r="F31" t="s">
        <v>1421</v>
      </c>
    </row>
    <row r="32" spans="1:6" x14ac:dyDescent="0.3">
      <c r="A32" t="s">
        <v>1462</v>
      </c>
      <c r="B32" t="s">
        <v>575</v>
      </c>
      <c r="C32" t="s">
        <v>1457</v>
      </c>
      <c r="D32" t="s">
        <v>1429</v>
      </c>
      <c r="E32" t="s">
        <v>1420</v>
      </c>
      <c r="F32" t="s">
        <v>1421</v>
      </c>
    </row>
    <row r="33" spans="1:6" x14ac:dyDescent="0.3">
      <c r="A33" t="s">
        <v>1463</v>
      </c>
      <c r="B33" t="s">
        <v>689</v>
      </c>
      <c r="C33" t="s">
        <v>1464</v>
      </c>
      <c r="D33" t="s">
        <v>1429</v>
      </c>
      <c r="E33" t="s">
        <v>1420</v>
      </c>
      <c r="F33" t="s">
        <v>1421</v>
      </c>
    </row>
    <row r="34" spans="1:6" x14ac:dyDescent="0.3">
      <c r="A34" t="s">
        <v>1465</v>
      </c>
      <c r="B34" t="s">
        <v>690</v>
      </c>
      <c r="C34" t="s">
        <v>1464</v>
      </c>
      <c r="D34" t="s">
        <v>1429</v>
      </c>
      <c r="E34" t="s">
        <v>1420</v>
      </c>
      <c r="F34" t="s">
        <v>1421</v>
      </c>
    </row>
    <row r="35" spans="1:6" x14ac:dyDescent="0.3">
      <c r="A35" t="s">
        <v>1466</v>
      </c>
      <c r="B35" t="s">
        <v>688</v>
      </c>
      <c r="C35" t="s">
        <v>1464</v>
      </c>
      <c r="D35" t="s">
        <v>1429</v>
      </c>
      <c r="E35" t="s">
        <v>1420</v>
      </c>
      <c r="F35" t="s">
        <v>1421</v>
      </c>
    </row>
    <row r="36" spans="1:6" x14ac:dyDescent="0.3">
      <c r="A36" t="s">
        <v>1467</v>
      </c>
      <c r="B36" t="s">
        <v>687</v>
      </c>
      <c r="C36" t="s">
        <v>1464</v>
      </c>
      <c r="D36" t="s">
        <v>1429</v>
      </c>
      <c r="E36" t="s">
        <v>1420</v>
      </c>
      <c r="F36" t="s">
        <v>1421</v>
      </c>
    </row>
    <row r="37" spans="1:6" x14ac:dyDescent="0.3">
      <c r="A37" t="s">
        <v>1468</v>
      </c>
      <c r="B37" t="s">
        <v>1469</v>
      </c>
      <c r="C37" t="s">
        <v>1464</v>
      </c>
      <c r="D37" t="s">
        <v>1429</v>
      </c>
      <c r="E37" t="s">
        <v>1420</v>
      </c>
      <c r="F37" t="s">
        <v>1421</v>
      </c>
    </row>
    <row r="38" spans="1:6" x14ac:dyDescent="0.3">
      <c r="A38" t="s">
        <v>1470</v>
      </c>
      <c r="B38" t="s">
        <v>725</v>
      </c>
      <c r="C38" t="s">
        <v>1471</v>
      </c>
      <c r="D38" t="s">
        <v>1434</v>
      </c>
      <c r="E38" t="s">
        <v>1423</v>
      </c>
      <c r="F38" t="s">
        <v>1424</v>
      </c>
    </row>
    <row r="39" spans="1:6" x14ac:dyDescent="0.3">
      <c r="A39" t="s">
        <v>1472</v>
      </c>
      <c r="B39" t="s">
        <v>1473</v>
      </c>
      <c r="C39" t="s">
        <v>1471</v>
      </c>
      <c r="D39" t="s">
        <v>1434</v>
      </c>
      <c r="E39" t="s">
        <v>1423</v>
      </c>
      <c r="F39" t="s">
        <v>1424</v>
      </c>
    </row>
    <row r="40" spans="1:6" x14ac:dyDescent="0.3">
      <c r="A40" t="s">
        <v>1474</v>
      </c>
      <c r="B40" t="s">
        <v>724</v>
      </c>
      <c r="C40" t="s">
        <v>1471</v>
      </c>
      <c r="D40" t="s">
        <v>1434</v>
      </c>
      <c r="E40" t="s">
        <v>1423</v>
      </c>
      <c r="F40" t="s">
        <v>1424</v>
      </c>
    </row>
    <row r="41" spans="1:6" x14ac:dyDescent="0.3">
      <c r="A41" t="s">
        <v>1475</v>
      </c>
      <c r="B41" t="s">
        <v>723</v>
      </c>
      <c r="C41" t="s">
        <v>1471</v>
      </c>
      <c r="D41" t="s">
        <v>1434</v>
      </c>
      <c r="E41" t="s">
        <v>1423</v>
      </c>
      <c r="F41" t="s">
        <v>1424</v>
      </c>
    </row>
    <row r="42" spans="1:6" x14ac:dyDescent="0.3">
      <c r="A42" t="s">
        <v>1476</v>
      </c>
      <c r="B42" t="s">
        <v>722</v>
      </c>
      <c r="C42" t="s">
        <v>1471</v>
      </c>
      <c r="D42" t="s">
        <v>1434</v>
      </c>
      <c r="E42" t="s">
        <v>1423</v>
      </c>
      <c r="F42" t="s">
        <v>1424</v>
      </c>
    </row>
    <row r="43" spans="1:6" x14ac:dyDescent="0.3">
      <c r="A43" t="s">
        <v>1477</v>
      </c>
      <c r="B43" t="s">
        <v>858</v>
      </c>
      <c r="C43" t="s">
        <v>1478</v>
      </c>
      <c r="D43" t="s">
        <v>1439</v>
      </c>
      <c r="E43" t="s">
        <v>1420</v>
      </c>
      <c r="F43" t="s">
        <v>1421</v>
      </c>
    </row>
    <row r="44" spans="1:6" x14ac:dyDescent="0.3">
      <c r="A44" t="s">
        <v>1479</v>
      </c>
      <c r="B44" t="s">
        <v>859</v>
      </c>
      <c r="C44" t="s">
        <v>1478</v>
      </c>
      <c r="D44" t="s">
        <v>1439</v>
      </c>
      <c r="E44" t="s">
        <v>1420</v>
      </c>
      <c r="F44" t="s">
        <v>1421</v>
      </c>
    </row>
    <row r="45" spans="1:6" x14ac:dyDescent="0.3">
      <c r="A45" t="s">
        <v>1480</v>
      </c>
      <c r="B45" t="s">
        <v>857</v>
      </c>
      <c r="C45" t="s">
        <v>1478</v>
      </c>
      <c r="D45" t="s">
        <v>1439</v>
      </c>
      <c r="E45" t="s">
        <v>1420</v>
      </c>
      <c r="F45" t="s">
        <v>1421</v>
      </c>
    </row>
    <row r="46" spans="1:6" x14ac:dyDescent="0.3">
      <c r="A46" t="s">
        <v>1481</v>
      </c>
      <c r="B46" t="s">
        <v>856</v>
      </c>
      <c r="C46" t="s">
        <v>1478</v>
      </c>
      <c r="D46" t="s">
        <v>1439</v>
      </c>
      <c r="E46" t="s">
        <v>1420</v>
      </c>
      <c r="F46" t="s">
        <v>1421</v>
      </c>
    </row>
    <row r="47" spans="1:6" x14ac:dyDescent="0.3">
      <c r="A47" t="s">
        <v>1482</v>
      </c>
      <c r="B47" t="s">
        <v>855</v>
      </c>
      <c r="C47" t="s">
        <v>1478</v>
      </c>
      <c r="D47" t="s">
        <v>1439</v>
      </c>
      <c r="E47" t="s">
        <v>1420</v>
      </c>
      <c r="F47" t="s">
        <v>1421</v>
      </c>
    </row>
    <row r="48" spans="1:6" x14ac:dyDescent="0.3">
      <c r="A48" t="s">
        <v>1483</v>
      </c>
      <c r="B48" t="s">
        <v>973</v>
      </c>
      <c r="C48" t="s">
        <v>1484</v>
      </c>
      <c r="D48" t="s">
        <v>1429</v>
      </c>
      <c r="E48" t="s">
        <v>1420</v>
      </c>
      <c r="F48" t="s">
        <v>1421</v>
      </c>
    </row>
    <row r="49" spans="1:6" x14ac:dyDescent="0.3">
      <c r="A49" t="s">
        <v>1485</v>
      </c>
      <c r="B49" t="s">
        <v>974</v>
      </c>
      <c r="C49" t="s">
        <v>1484</v>
      </c>
      <c r="D49" t="s">
        <v>1429</v>
      </c>
      <c r="E49" t="s">
        <v>1420</v>
      </c>
      <c r="F49" t="s">
        <v>1421</v>
      </c>
    </row>
    <row r="50" spans="1:6" x14ac:dyDescent="0.3">
      <c r="A50" t="s">
        <v>1486</v>
      </c>
      <c r="B50" t="s">
        <v>972</v>
      </c>
      <c r="C50" t="s">
        <v>1484</v>
      </c>
      <c r="D50" t="s">
        <v>1429</v>
      </c>
      <c r="E50" t="s">
        <v>1420</v>
      </c>
      <c r="F50" t="s">
        <v>1421</v>
      </c>
    </row>
    <row r="51" spans="1:6" x14ac:dyDescent="0.3">
      <c r="A51" t="s">
        <v>1487</v>
      </c>
      <c r="B51" t="s">
        <v>971</v>
      </c>
      <c r="C51" t="s">
        <v>1484</v>
      </c>
      <c r="D51" t="s">
        <v>1429</v>
      </c>
      <c r="E51" t="s">
        <v>1420</v>
      </c>
      <c r="F51" t="s">
        <v>1421</v>
      </c>
    </row>
    <row r="52" spans="1:6" x14ac:dyDescent="0.3">
      <c r="A52" t="s">
        <v>1488</v>
      </c>
      <c r="B52" t="s">
        <v>1001</v>
      </c>
      <c r="C52" t="s">
        <v>1489</v>
      </c>
      <c r="D52" t="s">
        <v>1429</v>
      </c>
      <c r="E52" t="s">
        <v>1420</v>
      </c>
      <c r="F52" t="s">
        <v>1421</v>
      </c>
    </row>
    <row r="53" spans="1:6" x14ac:dyDescent="0.3">
      <c r="A53" t="s">
        <v>1490</v>
      </c>
      <c r="B53" t="s">
        <v>1002</v>
      </c>
      <c r="C53" t="s">
        <v>1489</v>
      </c>
      <c r="D53" t="s">
        <v>1429</v>
      </c>
      <c r="E53" t="s">
        <v>1420</v>
      </c>
      <c r="F53" t="s">
        <v>1421</v>
      </c>
    </row>
    <row r="54" spans="1:6" x14ac:dyDescent="0.3">
      <c r="A54" t="s">
        <v>1491</v>
      </c>
      <c r="B54" t="s">
        <v>1000</v>
      </c>
      <c r="C54" t="s">
        <v>1489</v>
      </c>
      <c r="D54" t="s">
        <v>1429</v>
      </c>
      <c r="E54" t="s">
        <v>1420</v>
      </c>
      <c r="F54" t="s">
        <v>1421</v>
      </c>
    </row>
    <row r="55" spans="1:6" x14ac:dyDescent="0.3">
      <c r="A55" t="s">
        <v>1492</v>
      </c>
      <c r="B55" t="s">
        <v>999</v>
      </c>
      <c r="C55" t="s">
        <v>1489</v>
      </c>
      <c r="D55" t="s">
        <v>1429</v>
      </c>
      <c r="E55" t="s">
        <v>1420</v>
      </c>
      <c r="F55" t="s">
        <v>1421</v>
      </c>
    </row>
    <row r="56" spans="1:6" x14ac:dyDescent="0.3">
      <c r="A56" t="s">
        <v>1493</v>
      </c>
      <c r="B56" t="s">
        <v>1003</v>
      </c>
      <c r="C56" t="s">
        <v>1489</v>
      </c>
      <c r="D56" t="s">
        <v>1429</v>
      </c>
      <c r="E56" t="s">
        <v>1420</v>
      </c>
      <c r="F56" t="s">
        <v>1421</v>
      </c>
    </row>
    <row r="57" spans="1:6" x14ac:dyDescent="0.3">
      <c r="A57" t="s">
        <v>1494</v>
      </c>
      <c r="B57" t="s">
        <v>998</v>
      </c>
      <c r="C57" t="s">
        <v>1489</v>
      </c>
      <c r="D57" t="s">
        <v>1429</v>
      </c>
      <c r="E57" t="s">
        <v>1420</v>
      </c>
      <c r="F57" t="s">
        <v>1421</v>
      </c>
    </row>
    <row r="58" spans="1:6" x14ac:dyDescent="0.3">
      <c r="A58" t="s">
        <v>1495</v>
      </c>
      <c r="B58" t="s">
        <v>1031</v>
      </c>
      <c r="C58" t="s">
        <v>1496</v>
      </c>
      <c r="D58" t="s">
        <v>1429</v>
      </c>
      <c r="E58" t="s">
        <v>1420</v>
      </c>
      <c r="F58" t="s">
        <v>1421</v>
      </c>
    </row>
    <row r="59" spans="1:6" x14ac:dyDescent="0.3">
      <c r="A59" t="s">
        <v>1497</v>
      </c>
      <c r="B59" t="s">
        <v>1032</v>
      </c>
      <c r="C59" t="s">
        <v>1496</v>
      </c>
      <c r="D59" t="s">
        <v>1429</v>
      </c>
      <c r="E59" t="s">
        <v>1420</v>
      </c>
      <c r="F59" t="s">
        <v>1421</v>
      </c>
    </row>
    <row r="60" spans="1:6" x14ac:dyDescent="0.3">
      <c r="A60" t="s">
        <v>1498</v>
      </c>
      <c r="B60" t="s">
        <v>1030</v>
      </c>
      <c r="C60" t="s">
        <v>1496</v>
      </c>
      <c r="D60" t="s">
        <v>1429</v>
      </c>
      <c r="E60" t="s">
        <v>1420</v>
      </c>
      <c r="F60" t="s">
        <v>1421</v>
      </c>
    </row>
    <row r="61" spans="1:6" x14ac:dyDescent="0.3">
      <c r="A61" t="s">
        <v>1499</v>
      </c>
      <c r="B61" t="s">
        <v>1029</v>
      </c>
      <c r="C61" t="s">
        <v>1496</v>
      </c>
      <c r="D61" t="s">
        <v>1429</v>
      </c>
      <c r="E61" t="s">
        <v>1420</v>
      </c>
      <c r="F61" t="s">
        <v>1421</v>
      </c>
    </row>
    <row r="62" spans="1:6" x14ac:dyDescent="0.3">
      <c r="A62" t="s">
        <v>1500</v>
      </c>
      <c r="B62" t="s">
        <v>1033</v>
      </c>
      <c r="C62" t="s">
        <v>1496</v>
      </c>
      <c r="D62" t="s">
        <v>1429</v>
      </c>
      <c r="E62" t="s">
        <v>1420</v>
      </c>
      <c r="F62" t="s">
        <v>1421</v>
      </c>
    </row>
    <row r="63" spans="1:6" x14ac:dyDescent="0.3">
      <c r="A63" t="s">
        <v>1501</v>
      </c>
      <c r="B63" t="s">
        <v>1502</v>
      </c>
      <c r="C63" t="s">
        <v>1496</v>
      </c>
      <c r="D63" t="s">
        <v>1429</v>
      </c>
      <c r="E63" t="s">
        <v>1420</v>
      </c>
      <c r="F63" t="s">
        <v>1421</v>
      </c>
    </row>
    <row r="64" spans="1:6" x14ac:dyDescent="0.3">
      <c r="A64" t="s">
        <v>1503</v>
      </c>
      <c r="B64" t="s">
        <v>1100</v>
      </c>
      <c r="C64" t="s">
        <v>1504</v>
      </c>
      <c r="D64" t="s">
        <v>1429</v>
      </c>
      <c r="E64" t="s">
        <v>1423</v>
      </c>
      <c r="F64" t="s">
        <v>1421</v>
      </c>
    </row>
    <row r="65" spans="1:6" x14ac:dyDescent="0.3">
      <c r="A65" t="s">
        <v>1505</v>
      </c>
      <c r="B65" t="s">
        <v>1101</v>
      </c>
      <c r="C65" t="s">
        <v>1504</v>
      </c>
      <c r="D65" t="s">
        <v>1429</v>
      </c>
      <c r="E65" t="s">
        <v>1423</v>
      </c>
      <c r="F65" t="s">
        <v>1421</v>
      </c>
    </row>
    <row r="66" spans="1:6" x14ac:dyDescent="0.3">
      <c r="A66" t="s">
        <v>1506</v>
      </c>
      <c r="B66" t="s">
        <v>1099</v>
      </c>
      <c r="C66" t="s">
        <v>1504</v>
      </c>
      <c r="D66" t="s">
        <v>1429</v>
      </c>
      <c r="E66" t="s">
        <v>1423</v>
      </c>
      <c r="F66" t="s">
        <v>1421</v>
      </c>
    </row>
    <row r="67" spans="1:6" x14ac:dyDescent="0.3">
      <c r="A67" t="s">
        <v>1507</v>
      </c>
      <c r="B67" t="s">
        <v>1098</v>
      </c>
      <c r="C67" t="s">
        <v>1504</v>
      </c>
      <c r="D67" t="s">
        <v>1429</v>
      </c>
      <c r="E67" t="s">
        <v>1423</v>
      </c>
      <c r="F67" t="s">
        <v>1421</v>
      </c>
    </row>
    <row r="68" spans="1:6" x14ac:dyDescent="0.3">
      <c r="A68" t="s">
        <v>1508</v>
      </c>
      <c r="B68" t="s">
        <v>1140</v>
      </c>
      <c r="C68" t="s">
        <v>1509</v>
      </c>
      <c r="D68" t="s">
        <v>1437</v>
      </c>
      <c r="E68" t="s">
        <v>1420</v>
      </c>
      <c r="F68" t="s">
        <v>1421</v>
      </c>
    </row>
    <row r="69" spans="1:6" x14ac:dyDescent="0.3">
      <c r="A69" t="s">
        <v>1510</v>
      </c>
      <c r="B69" t="s">
        <v>1141</v>
      </c>
      <c r="C69" t="s">
        <v>1509</v>
      </c>
      <c r="D69" t="s">
        <v>1437</v>
      </c>
      <c r="E69" t="s">
        <v>1420</v>
      </c>
      <c r="F69" t="s">
        <v>1421</v>
      </c>
    </row>
    <row r="70" spans="1:6" x14ac:dyDescent="0.3">
      <c r="A70" t="s">
        <v>1511</v>
      </c>
      <c r="B70" t="s">
        <v>1139</v>
      </c>
      <c r="C70" t="s">
        <v>1509</v>
      </c>
      <c r="D70" t="s">
        <v>1437</v>
      </c>
      <c r="E70" t="s">
        <v>1420</v>
      </c>
      <c r="F70" t="s">
        <v>1421</v>
      </c>
    </row>
    <row r="71" spans="1:6" x14ac:dyDescent="0.3">
      <c r="A71" t="s">
        <v>1512</v>
      </c>
      <c r="B71" t="s">
        <v>1138</v>
      </c>
      <c r="C71" t="s">
        <v>1509</v>
      </c>
      <c r="D71" t="s">
        <v>1437</v>
      </c>
      <c r="E71" t="s">
        <v>1420</v>
      </c>
      <c r="F71" t="s">
        <v>1421</v>
      </c>
    </row>
    <row r="72" spans="1:6" x14ac:dyDescent="0.3">
      <c r="A72" t="s">
        <v>1513</v>
      </c>
      <c r="B72" t="s">
        <v>546</v>
      </c>
      <c r="C72" t="s">
        <v>1514</v>
      </c>
      <c r="D72" t="s">
        <v>1419</v>
      </c>
      <c r="E72" t="s">
        <v>1420</v>
      </c>
      <c r="F72" t="s">
        <v>1421</v>
      </c>
    </row>
    <row r="73" spans="1:6" x14ac:dyDescent="0.3">
      <c r="A73" t="s">
        <v>1515</v>
      </c>
      <c r="B73" t="s">
        <v>547</v>
      </c>
      <c r="C73" t="s">
        <v>1514</v>
      </c>
      <c r="D73" t="s">
        <v>1419</v>
      </c>
      <c r="E73" t="s">
        <v>1420</v>
      </c>
      <c r="F73" t="s">
        <v>1421</v>
      </c>
    </row>
    <row r="74" spans="1:6" x14ac:dyDescent="0.3">
      <c r="A74" t="s">
        <v>1516</v>
      </c>
      <c r="B74" t="s">
        <v>545</v>
      </c>
      <c r="C74" t="s">
        <v>1514</v>
      </c>
      <c r="D74" t="s">
        <v>1419</v>
      </c>
      <c r="E74" t="s">
        <v>1420</v>
      </c>
      <c r="F74" t="s">
        <v>1421</v>
      </c>
    </row>
    <row r="75" spans="1:6" x14ac:dyDescent="0.3">
      <c r="A75" t="s">
        <v>1517</v>
      </c>
      <c r="B75" t="s">
        <v>544</v>
      </c>
      <c r="C75" t="s">
        <v>1514</v>
      </c>
      <c r="D75" t="s">
        <v>1419</v>
      </c>
      <c r="E75" t="s">
        <v>1420</v>
      </c>
      <c r="F75" t="s">
        <v>1421</v>
      </c>
    </row>
    <row r="76" spans="1:6" x14ac:dyDescent="0.3">
      <c r="A76" t="s">
        <v>1518</v>
      </c>
      <c r="B76" t="s">
        <v>1519</v>
      </c>
      <c r="C76" t="s">
        <v>1520</v>
      </c>
      <c r="D76" t="s">
        <v>1429</v>
      </c>
      <c r="E76" t="s">
        <v>1420</v>
      </c>
      <c r="F76" t="s">
        <v>1421</v>
      </c>
    </row>
    <row r="77" spans="1:6" x14ac:dyDescent="0.3">
      <c r="A77" t="s">
        <v>1521</v>
      </c>
      <c r="B77" t="s">
        <v>1522</v>
      </c>
      <c r="C77" t="s">
        <v>1520</v>
      </c>
      <c r="D77" t="s">
        <v>1429</v>
      </c>
      <c r="E77" t="s">
        <v>1420</v>
      </c>
      <c r="F77" t="s">
        <v>1421</v>
      </c>
    </row>
    <row r="78" spans="1:6" x14ac:dyDescent="0.3">
      <c r="A78" t="s">
        <v>1523</v>
      </c>
      <c r="B78" t="s">
        <v>556</v>
      </c>
      <c r="C78" t="s">
        <v>1520</v>
      </c>
      <c r="D78" t="s">
        <v>1429</v>
      </c>
      <c r="E78" t="s">
        <v>1420</v>
      </c>
      <c r="F78" t="s">
        <v>1421</v>
      </c>
    </row>
    <row r="79" spans="1:6" x14ac:dyDescent="0.3">
      <c r="A79" t="s">
        <v>1524</v>
      </c>
      <c r="B79" t="s">
        <v>555</v>
      </c>
      <c r="C79" t="s">
        <v>1520</v>
      </c>
      <c r="D79" t="s">
        <v>1429</v>
      </c>
      <c r="E79" t="s">
        <v>1420</v>
      </c>
      <c r="F79" t="s">
        <v>1421</v>
      </c>
    </row>
    <row r="80" spans="1:6" x14ac:dyDescent="0.3">
      <c r="A80" t="s">
        <v>1525</v>
      </c>
      <c r="B80" t="s">
        <v>557</v>
      </c>
      <c r="C80" t="s">
        <v>1520</v>
      </c>
      <c r="D80" t="s">
        <v>1429</v>
      </c>
      <c r="E80" t="s">
        <v>1420</v>
      </c>
      <c r="F80" t="s">
        <v>1421</v>
      </c>
    </row>
    <row r="81" spans="1:6" x14ac:dyDescent="0.3">
      <c r="A81" t="s">
        <v>1526</v>
      </c>
      <c r="B81" t="s">
        <v>554</v>
      </c>
      <c r="C81" t="s">
        <v>1520</v>
      </c>
      <c r="D81" t="s">
        <v>1429</v>
      </c>
      <c r="E81" t="s">
        <v>1420</v>
      </c>
      <c r="F81" t="s">
        <v>1421</v>
      </c>
    </row>
    <row r="82" spans="1:6" x14ac:dyDescent="0.3">
      <c r="A82" t="s">
        <v>1527</v>
      </c>
      <c r="B82" t="s">
        <v>551</v>
      </c>
      <c r="C82" t="s">
        <v>1520</v>
      </c>
      <c r="D82" t="s">
        <v>1429</v>
      </c>
      <c r="E82" t="s">
        <v>1420</v>
      </c>
      <c r="F82" t="s">
        <v>1421</v>
      </c>
    </row>
    <row r="83" spans="1:6" x14ac:dyDescent="0.3">
      <c r="A83" t="s">
        <v>1528</v>
      </c>
      <c r="B83" t="s">
        <v>552</v>
      </c>
      <c r="C83" t="s">
        <v>1520</v>
      </c>
      <c r="D83" t="s">
        <v>1429</v>
      </c>
      <c r="E83" t="s">
        <v>1420</v>
      </c>
      <c r="F83" t="s">
        <v>1421</v>
      </c>
    </row>
    <row r="84" spans="1:6" x14ac:dyDescent="0.3">
      <c r="A84" t="s">
        <v>1529</v>
      </c>
      <c r="B84" t="s">
        <v>550</v>
      </c>
      <c r="C84" t="s">
        <v>1520</v>
      </c>
      <c r="D84" t="s">
        <v>1429</v>
      </c>
      <c r="E84" t="s">
        <v>1420</v>
      </c>
      <c r="F84" t="s">
        <v>1421</v>
      </c>
    </row>
    <row r="85" spans="1:6" x14ac:dyDescent="0.3">
      <c r="A85" t="s">
        <v>1530</v>
      </c>
      <c r="B85" t="s">
        <v>549</v>
      </c>
      <c r="C85" t="s">
        <v>1520</v>
      </c>
      <c r="D85" t="s">
        <v>1429</v>
      </c>
      <c r="E85" t="s">
        <v>1420</v>
      </c>
      <c r="F85" t="s">
        <v>1421</v>
      </c>
    </row>
    <row r="86" spans="1:6" x14ac:dyDescent="0.3">
      <c r="A86" t="s">
        <v>1531</v>
      </c>
      <c r="B86" t="s">
        <v>553</v>
      </c>
      <c r="C86" t="s">
        <v>1520</v>
      </c>
      <c r="D86" t="s">
        <v>1429</v>
      </c>
      <c r="E86" t="s">
        <v>1420</v>
      </c>
      <c r="F86" t="s">
        <v>1421</v>
      </c>
    </row>
    <row r="87" spans="1:6" x14ac:dyDescent="0.3">
      <c r="A87" t="s">
        <v>1532</v>
      </c>
      <c r="B87" t="s">
        <v>548</v>
      </c>
      <c r="C87" t="s">
        <v>1520</v>
      </c>
      <c r="D87" t="s">
        <v>1429</v>
      </c>
      <c r="E87" t="s">
        <v>1420</v>
      </c>
      <c r="F87" t="s">
        <v>1421</v>
      </c>
    </row>
    <row r="88" spans="1:6" x14ac:dyDescent="0.3">
      <c r="A88" t="s">
        <v>1533</v>
      </c>
      <c r="B88" t="s">
        <v>561</v>
      </c>
      <c r="C88" t="s">
        <v>1534</v>
      </c>
      <c r="D88" t="s">
        <v>1429</v>
      </c>
      <c r="E88" t="s">
        <v>1420</v>
      </c>
      <c r="F88" t="s">
        <v>1421</v>
      </c>
    </row>
    <row r="89" spans="1:6" x14ac:dyDescent="0.3">
      <c r="A89" t="s">
        <v>1535</v>
      </c>
      <c r="B89" t="s">
        <v>562</v>
      </c>
      <c r="C89" t="s">
        <v>1534</v>
      </c>
      <c r="D89" t="s">
        <v>1429</v>
      </c>
      <c r="E89" t="s">
        <v>1420</v>
      </c>
      <c r="F89" t="s">
        <v>1421</v>
      </c>
    </row>
    <row r="90" spans="1:6" x14ac:dyDescent="0.3">
      <c r="A90" t="s">
        <v>1536</v>
      </c>
      <c r="B90" t="s">
        <v>560</v>
      </c>
      <c r="C90" t="s">
        <v>1534</v>
      </c>
      <c r="D90" t="s">
        <v>1429</v>
      </c>
      <c r="E90" t="s">
        <v>1420</v>
      </c>
      <c r="F90" t="s">
        <v>1421</v>
      </c>
    </row>
    <row r="91" spans="1:6" x14ac:dyDescent="0.3">
      <c r="A91" t="s">
        <v>1537</v>
      </c>
      <c r="B91" t="s">
        <v>559</v>
      </c>
      <c r="C91" t="s">
        <v>1534</v>
      </c>
      <c r="D91" t="s">
        <v>1429</v>
      </c>
      <c r="E91" t="s">
        <v>1420</v>
      </c>
      <c r="F91" t="s">
        <v>1421</v>
      </c>
    </row>
    <row r="92" spans="1:6" x14ac:dyDescent="0.3">
      <c r="A92" t="s">
        <v>1538</v>
      </c>
      <c r="B92" t="s">
        <v>558</v>
      </c>
      <c r="C92" t="s">
        <v>1534</v>
      </c>
      <c r="D92" t="s">
        <v>1429</v>
      </c>
      <c r="E92" t="s">
        <v>1420</v>
      </c>
      <c r="F92" t="s">
        <v>1421</v>
      </c>
    </row>
    <row r="93" spans="1:6" x14ac:dyDescent="0.3">
      <c r="A93" t="s">
        <v>1539</v>
      </c>
      <c r="B93" t="s">
        <v>1540</v>
      </c>
      <c r="C93" t="s">
        <v>1541</v>
      </c>
      <c r="D93" t="s">
        <v>1419</v>
      </c>
      <c r="E93" t="s">
        <v>1423</v>
      </c>
      <c r="F93" t="s">
        <v>1421</v>
      </c>
    </row>
    <row r="94" spans="1:6" x14ac:dyDescent="0.3">
      <c r="A94" t="s">
        <v>1542</v>
      </c>
      <c r="B94" t="s">
        <v>1543</v>
      </c>
      <c r="C94" t="s">
        <v>1541</v>
      </c>
      <c r="D94" t="s">
        <v>1419</v>
      </c>
      <c r="E94" t="s">
        <v>1423</v>
      </c>
      <c r="F94" t="s">
        <v>1424</v>
      </c>
    </row>
    <row r="95" spans="1:6" x14ac:dyDescent="0.3">
      <c r="A95" t="s">
        <v>1544</v>
      </c>
      <c r="B95" t="s">
        <v>1545</v>
      </c>
      <c r="C95" t="s">
        <v>1541</v>
      </c>
      <c r="D95" t="s">
        <v>1419</v>
      </c>
      <c r="E95" t="s">
        <v>1423</v>
      </c>
      <c r="F95" t="s">
        <v>1424</v>
      </c>
    </row>
    <row r="96" spans="1:6" x14ac:dyDescent="0.3">
      <c r="A96" t="s">
        <v>1546</v>
      </c>
      <c r="B96" t="s">
        <v>608</v>
      </c>
      <c r="C96" t="s">
        <v>1541</v>
      </c>
      <c r="D96" t="s">
        <v>1419</v>
      </c>
      <c r="E96" t="s">
        <v>1423</v>
      </c>
      <c r="F96" t="s">
        <v>1421</v>
      </c>
    </row>
    <row r="97" spans="1:6" x14ac:dyDescent="0.3">
      <c r="A97" t="s">
        <v>1547</v>
      </c>
      <c r="B97" t="s">
        <v>607</v>
      </c>
      <c r="C97" t="s">
        <v>1541</v>
      </c>
      <c r="D97" t="s">
        <v>1419</v>
      </c>
      <c r="E97" t="s">
        <v>1423</v>
      </c>
      <c r="F97" t="s">
        <v>1424</v>
      </c>
    </row>
    <row r="98" spans="1:6" x14ac:dyDescent="0.3">
      <c r="A98" t="s">
        <v>1548</v>
      </c>
      <c r="B98" t="s">
        <v>605</v>
      </c>
      <c r="C98" t="s">
        <v>1541</v>
      </c>
      <c r="D98" t="s">
        <v>1419</v>
      </c>
      <c r="E98" t="s">
        <v>1420</v>
      </c>
      <c r="F98" t="s">
        <v>1421</v>
      </c>
    </row>
    <row r="99" spans="1:6" x14ac:dyDescent="0.3">
      <c r="A99" t="s">
        <v>1549</v>
      </c>
      <c r="B99" t="s">
        <v>606</v>
      </c>
      <c r="C99" t="s">
        <v>1541</v>
      </c>
      <c r="D99" t="s">
        <v>1419</v>
      </c>
      <c r="E99" t="s">
        <v>1420</v>
      </c>
      <c r="F99" t="s">
        <v>1421</v>
      </c>
    </row>
    <row r="100" spans="1:6" x14ac:dyDescent="0.3">
      <c r="A100" t="s">
        <v>1550</v>
      </c>
      <c r="B100" t="s">
        <v>604</v>
      </c>
      <c r="C100" t="s">
        <v>1541</v>
      </c>
      <c r="D100" t="s">
        <v>1419</v>
      </c>
      <c r="E100" t="s">
        <v>1420</v>
      </c>
      <c r="F100" t="s">
        <v>1421</v>
      </c>
    </row>
    <row r="101" spans="1:6" x14ac:dyDescent="0.3">
      <c r="A101" t="s">
        <v>1551</v>
      </c>
      <c r="B101" t="s">
        <v>603</v>
      </c>
      <c r="C101" t="s">
        <v>1541</v>
      </c>
      <c r="D101" t="s">
        <v>1419</v>
      </c>
      <c r="E101" t="s">
        <v>1420</v>
      </c>
      <c r="F101" t="s">
        <v>1421</v>
      </c>
    </row>
    <row r="102" spans="1:6" x14ac:dyDescent="0.3">
      <c r="A102" t="s">
        <v>1552</v>
      </c>
      <c r="B102" t="s">
        <v>602</v>
      </c>
      <c r="C102" t="s">
        <v>1541</v>
      </c>
      <c r="D102" t="s">
        <v>1419</v>
      </c>
      <c r="E102" t="s">
        <v>1420</v>
      </c>
      <c r="F102" t="s">
        <v>1421</v>
      </c>
    </row>
    <row r="103" spans="1:6" x14ac:dyDescent="0.3">
      <c r="A103" t="s">
        <v>1553</v>
      </c>
      <c r="B103" t="s">
        <v>611</v>
      </c>
      <c r="C103" t="s">
        <v>1554</v>
      </c>
      <c r="D103" t="s">
        <v>1429</v>
      </c>
      <c r="E103" t="s">
        <v>1420</v>
      </c>
      <c r="F103" t="s">
        <v>1421</v>
      </c>
    </row>
    <row r="104" spans="1:6" x14ac:dyDescent="0.3">
      <c r="A104" t="s">
        <v>1555</v>
      </c>
      <c r="B104" t="s">
        <v>612</v>
      </c>
      <c r="C104" t="s">
        <v>1554</v>
      </c>
      <c r="D104" t="s">
        <v>1429</v>
      </c>
      <c r="E104" t="s">
        <v>1420</v>
      </c>
      <c r="F104" t="s">
        <v>1421</v>
      </c>
    </row>
    <row r="105" spans="1:6" x14ac:dyDescent="0.3">
      <c r="A105" t="s">
        <v>1556</v>
      </c>
      <c r="B105" t="s">
        <v>610</v>
      </c>
      <c r="C105" t="s">
        <v>1554</v>
      </c>
      <c r="D105" t="s">
        <v>1429</v>
      </c>
      <c r="E105" t="s">
        <v>1420</v>
      </c>
      <c r="F105" t="s">
        <v>1421</v>
      </c>
    </row>
    <row r="106" spans="1:6" x14ac:dyDescent="0.3">
      <c r="A106" t="s">
        <v>1557</v>
      </c>
      <c r="B106" t="s">
        <v>609</v>
      </c>
      <c r="C106" t="s">
        <v>1554</v>
      </c>
      <c r="D106" t="s">
        <v>1429</v>
      </c>
      <c r="E106" t="s">
        <v>1420</v>
      </c>
      <c r="F106" t="s">
        <v>1421</v>
      </c>
    </row>
    <row r="107" spans="1:6" x14ac:dyDescent="0.3">
      <c r="A107" t="s">
        <v>1558</v>
      </c>
      <c r="B107" t="s">
        <v>676</v>
      </c>
      <c r="C107" t="s">
        <v>1559</v>
      </c>
      <c r="D107" t="s">
        <v>1419</v>
      </c>
      <c r="E107" t="s">
        <v>1420</v>
      </c>
      <c r="F107" t="s">
        <v>1421</v>
      </c>
    </row>
    <row r="108" spans="1:6" x14ac:dyDescent="0.3">
      <c r="A108" t="s">
        <v>1560</v>
      </c>
      <c r="B108" t="s">
        <v>677</v>
      </c>
      <c r="C108" t="s">
        <v>1559</v>
      </c>
      <c r="D108" t="s">
        <v>1419</v>
      </c>
      <c r="E108" t="s">
        <v>1420</v>
      </c>
      <c r="F108" t="s">
        <v>1421</v>
      </c>
    </row>
    <row r="109" spans="1:6" x14ac:dyDescent="0.3">
      <c r="A109" t="s">
        <v>1561</v>
      </c>
      <c r="B109" t="s">
        <v>675</v>
      </c>
      <c r="C109" t="s">
        <v>1559</v>
      </c>
      <c r="D109" t="s">
        <v>1419</v>
      </c>
      <c r="E109" t="s">
        <v>1420</v>
      </c>
      <c r="F109" t="s">
        <v>1421</v>
      </c>
    </row>
    <row r="110" spans="1:6" x14ac:dyDescent="0.3">
      <c r="A110" t="s">
        <v>1562</v>
      </c>
      <c r="B110" t="s">
        <v>674</v>
      </c>
      <c r="C110" t="s">
        <v>1559</v>
      </c>
      <c r="D110" t="s">
        <v>1419</v>
      </c>
      <c r="E110" t="s">
        <v>1420</v>
      </c>
      <c r="F110" t="s">
        <v>1421</v>
      </c>
    </row>
    <row r="111" spans="1:6" x14ac:dyDescent="0.3">
      <c r="A111" t="s">
        <v>1563</v>
      </c>
      <c r="B111" t="s">
        <v>672</v>
      </c>
      <c r="C111" t="s">
        <v>1559</v>
      </c>
      <c r="D111" t="s">
        <v>1419</v>
      </c>
      <c r="E111" t="s">
        <v>1420</v>
      </c>
      <c r="F111" t="s">
        <v>1421</v>
      </c>
    </row>
    <row r="112" spans="1:6" x14ac:dyDescent="0.3">
      <c r="A112" t="s">
        <v>1564</v>
      </c>
      <c r="B112" t="s">
        <v>673</v>
      </c>
      <c r="C112" t="s">
        <v>1559</v>
      </c>
      <c r="D112" t="s">
        <v>1419</v>
      </c>
      <c r="E112" t="s">
        <v>1420</v>
      </c>
      <c r="F112" t="s">
        <v>1421</v>
      </c>
    </row>
    <row r="113" spans="1:6" x14ac:dyDescent="0.3">
      <c r="A113" t="s">
        <v>1565</v>
      </c>
      <c r="B113" t="s">
        <v>671</v>
      </c>
      <c r="C113" t="s">
        <v>1559</v>
      </c>
      <c r="D113" t="s">
        <v>1419</v>
      </c>
      <c r="E113" t="s">
        <v>1420</v>
      </c>
      <c r="F113" t="s">
        <v>1421</v>
      </c>
    </row>
    <row r="114" spans="1:6" x14ac:dyDescent="0.3">
      <c r="A114" t="s">
        <v>1566</v>
      </c>
      <c r="B114" t="s">
        <v>670</v>
      </c>
      <c r="C114" t="s">
        <v>1559</v>
      </c>
      <c r="D114" t="s">
        <v>1419</v>
      </c>
      <c r="E114" t="s">
        <v>1420</v>
      </c>
      <c r="F114" t="s">
        <v>1421</v>
      </c>
    </row>
    <row r="115" spans="1:6" x14ac:dyDescent="0.3">
      <c r="A115" t="s">
        <v>1567</v>
      </c>
      <c r="B115" t="s">
        <v>680</v>
      </c>
      <c r="C115" t="s">
        <v>1559</v>
      </c>
      <c r="D115" t="s">
        <v>1419</v>
      </c>
      <c r="E115" t="s">
        <v>1420</v>
      </c>
      <c r="F115" t="s">
        <v>1421</v>
      </c>
    </row>
    <row r="116" spans="1:6" x14ac:dyDescent="0.3">
      <c r="A116" t="s">
        <v>1568</v>
      </c>
      <c r="B116" t="s">
        <v>681</v>
      </c>
      <c r="C116" t="s">
        <v>1559</v>
      </c>
      <c r="D116" t="s">
        <v>1419</v>
      </c>
      <c r="E116" t="s">
        <v>1420</v>
      </c>
      <c r="F116" t="s">
        <v>1421</v>
      </c>
    </row>
    <row r="117" spans="1:6" x14ac:dyDescent="0.3">
      <c r="A117" t="s">
        <v>1569</v>
      </c>
      <c r="B117" t="s">
        <v>679</v>
      </c>
      <c r="C117" t="s">
        <v>1559</v>
      </c>
      <c r="D117" t="s">
        <v>1419</v>
      </c>
      <c r="E117" t="s">
        <v>1420</v>
      </c>
      <c r="F117" t="s">
        <v>1421</v>
      </c>
    </row>
    <row r="118" spans="1:6" x14ac:dyDescent="0.3">
      <c r="A118" t="s">
        <v>1570</v>
      </c>
      <c r="B118" t="s">
        <v>678</v>
      </c>
      <c r="C118" t="s">
        <v>1559</v>
      </c>
      <c r="D118" t="s">
        <v>1419</v>
      </c>
      <c r="E118" t="s">
        <v>1420</v>
      </c>
      <c r="F118" t="s">
        <v>1421</v>
      </c>
    </row>
    <row r="119" spans="1:6" x14ac:dyDescent="0.3">
      <c r="A119" t="s">
        <v>1571</v>
      </c>
      <c r="B119" t="s">
        <v>685</v>
      </c>
      <c r="C119" t="s">
        <v>1572</v>
      </c>
      <c r="D119" t="s">
        <v>1429</v>
      </c>
      <c r="E119" t="s">
        <v>1420</v>
      </c>
      <c r="F119" t="s">
        <v>1421</v>
      </c>
    </row>
    <row r="120" spans="1:6" x14ac:dyDescent="0.3">
      <c r="A120" t="s">
        <v>1573</v>
      </c>
      <c r="B120" t="s">
        <v>686</v>
      </c>
      <c r="C120" t="s">
        <v>1572</v>
      </c>
      <c r="D120" t="s">
        <v>1429</v>
      </c>
      <c r="E120" t="s">
        <v>1420</v>
      </c>
      <c r="F120" t="s">
        <v>1421</v>
      </c>
    </row>
    <row r="121" spans="1:6" x14ac:dyDescent="0.3">
      <c r="A121" t="s">
        <v>1574</v>
      </c>
      <c r="B121" t="s">
        <v>684</v>
      </c>
      <c r="C121" t="s">
        <v>1572</v>
      </c>
      <c r="D121" t="s">
        <v>1429</v>
      </c>
      <c r="E121" t="s">
        <v>1420</v>
      </c>
      <c r="F121" t="s">
        <v>1421</v>
      </c>
    </row>
    <row r="122" spans="1:6" x14ac:dyDescent="0.3">
      <c r="A122" t="s">
        <v>1575</v>
      </c>
      <c r="B122" t="s">
        <v>683</v>
      </c>
      <c r="C122" t="s">
        <v>1572</v>
      </c>
      <c r="D122" t="s">
        <v>1429</v>
      </c>
      <c r="E122" t="s">
        <v>1420</v>
      </c>
      <c r="F122" t="s">
        <v>1421</v>
      </c>
    </row>
    <row r="123" spans="1:6" x14ac:dyDescent="0.3">
      <c r="A123" t="s">
        <v>1576</v>
      </c>
      <c r="B123" t="s">
        <v>682</v>
      </c>
      <c r="C123" t="s">
        <v>1572</v>
      </c>
      <c r="D123" t="s">
        <v>1429</v>
      </c>
      <c r="E123" t="s">
        <v>1420</v>
      </c>
      <c r="F123" t="s">
        <v>1421</v>
      </c>
    </row>
    <row r="124" spans="1:6" x14ac:dyDescent="0.3">
      <c r="A124" t="s">
        <v>1577</v>
      </c>
      <c r="B124" t="s">
        <v>697</v>
      </c>
      <c r="C124" t="s">
        <v>1578</v>
      </c>
      <c r="D124" t="s">
        <v>1434</v>
      </c>
      <c r="E124" t="s">
        <v>1420</v>
      </c>
      <c r="F124" t="s">
        <v>1421</v>
      </c>
    </row>
    <row r="125" spans="1:6" x14ac:dyDescent="0.3">
      <c r="A125" t="s">
        <v>1579</v>
      </c>
      <c r="B125" t="s">
        <v>698</v>
      </c>
      <c r="C125" t="s">
        <v>1578</v>
      </c>
      <c r="D125" t="s">
        <v>1434</v>
      </c>
      <c r="E125" t="s">
        <v>1420</v>
      </c>
      <c r="F125" t="s">
        <v>1421</v>
      </c>
    </row>
    <row r="126" spans="1:6" x14ac:dyDescent="0.3">
      <c r="A126" t="s">
        <v>1580</v>
      </c>
      <c r="B126" t="s">
        <v>1581</v>
      </c>
      <c r="C126" t="s">
        <v>1578</v>
      </c>
      <c r="D126" t="s">
        <v>1434</v>
      </c>
      <c r="E126" t="s">
        <v>1420</v>
      </c>
      <c r="F126" t="s">
        <v>1421</v>
      </c>
    </row>
    <row r="127" spans="1:6" x14ac:dyDescent="0.3">
      <c r="A127" t="s">
        <v>1582</v>
      </c>
      <c r="B127" t="s">
        <v>696</v>
      </c>
      <c r="C127" t="s">
        <v>1578</v>
      </c>
      <c r="D127" t="s">
        <v>1434</v>
      </c>
      <c r="E127" t="s">
        <v>1420</v>
      </c>
      <c r="F127" t="s">
        <v>1421</v>
      </c>
    </row>
    <row r="128" spans="1:6" x14ac:dyDescent="0.3">
      <c r="A128" t="s">
        <v>1583</v>
      </c>
      <c r="B128" t="s">
        <v>814</v>
      </c>
      <c r="C128" t="s">
        <v>1584</v>
      </c>
      <c r="D128" t="s">
        <v>1439</v>
      </c>
      <c r="E128" t="s">
        <v>1420</v>
      </c>
      <c r="F128" t="s">
        <v>1421</v>
      </c>
    </row>
    <row r="129" spans="1:6" x14ac:dyDescent="0.3">
      <c r="A129" t="s">
        <v>1585</v>
      </c>
      <c r="B129" t="s">
        <v>815</v>
      </c>
      <c r="C129" t="s">
        <v>1584</v>
      </c>
      <c r="D129" t="s">
        <v>1439</v>
      </c>
      <c r="E129" t="s">
        <v>1420</v>
      </c>
      <c r="F129" t="s">
        <v>1421</v>
      </c>
    </row>
    <row r="130" spans="1:6" x14ac:dyDescent="0.3">
      <c r="A130" t="s">
        <v>1586</v>
      </c>
      <c r="B130" t="s">
        <v>813</v>
      </c>
      <c r="C130" t="s">
        <v>1584</v>
      </c>
      <c r="D130" t="s">
        <v>1439</v>
      </c>
      <c r="E130" t="s">
        <v>1420</v>
      </c>
      <c r="F130" t="s">
        <v>1421</v>
      </c>
    </row>
    <row r="131" spans="1:6" x14ac:dyDescent="0.3">
      <c r="A131" t="s">
        <v>1587</v>
      </c>
      <c r="B131" t="s">
        <v>812</v>
      </c>
      <c r="C131" t="s">
        <v>1584</v>
      </c>
      <c r="D131" t="s">
        <v>1439</v>
      </c>
      <c r="E131" t="s">
        <v>1420</v>
      </c>
      <c r="F131" t="s">
        <v>1421</v>
      </c>
    </row>
    <row r="132" spans="1:6" x14ac:dyDescent="0.3">
      <c r="A132" t="s">
        <v>1588</v>
      </c>
      <c r="B132" t="s">
        <v>811</v>
      </c>
      <c r="C132" t="s">
        <v>1584</v>
      </c>
      <c r="D132" t="s">
        <v>1439</v>
      </c>
      <c r="E132" t="s">
        <v>1420</v>
      </c>
      <c r="F132" t="s">
        <v>1421</v>
      </c>
    </row>
    <row r="133" spans="1:6" x14ac:dyDescent="0.3">
      <c r="A133" t="s">
        <v>1589</v>
      </c>
      <c r="B133" t="s">
        <v>848</v>
      </c>
      <c r="C133" t="s">
        <v>1590</v>
      </c>
      <c r="D133" t="s">
        <v>1439</v>
      </c>
      <c r="E133" t="s">
        <v>1420</v>
      </c>
      <c r="F133" t="s">
        <v>1421</v>
      </c>
    </row>
    <row r="134" spans="1:6" x14ac:dyDescent="0.3">
      <c r="A134" t="s">
        <v>1591</v>
      </c>
      <c r="B134" t="s">
        <v>849</v>
      </c>
      <c r="C134" t="s">
        <v>1590</v>
      </c>
      <c r="D134" t="s">
        <v>1439</v>
      </c>
      <c r="E134" t="s">
        <v>1420</v>
      </c>
      <c r="F134" t="s">
        <v>1421</v>
      </c>
    </row>
    <row r="135" spans="1:6" x14ac:dyDescent="0.3">
      <c r="A135" t="s">
        <v>1592</v>
      </c>
      <c r="B135" t="s">
        <v>847</v>
      </c>
      <c r="C135" t="s">
        <v>1590</v>
      </c>
      <c r="D135" t="s">
        <v>1439</v>
      </c>
      <c r="E135" t="s">
        <v>1420</v>
      </c>
      <c r="F135" t="s">
        <v>1421</v>
      </c>
    </row>
    <row r="136" spans="1:6" x14ac:dyDescent="0.3">
      <c r="A136" t="s">
        <v>1593</v>
      </c>
      <c r="B136" t="s">
        <v>846</v>
      </c>
      <c r="C136" t="s">
        <v>1590</v>
      </c>
      <c r="D136" t="s">
        <v>1439</v>
      </c>
      <c r="E136" t="s">
        <v>1420</v>
      </c>
      <c r="F136" t="s">
        <v>1421</v>
      </c>
    </row>
    <row r="137" spans="1:6" x14ac:dyDescent="0.3">
      <c r="A137" t="s">
        <v>1594</v>
      </c>
      <c r="B137" t="s">
        <v>863</v>
      </c>
      <c r="C137" t="s">
        <v>1595</v>
      </c>
      <c r="D137" t="s">
        <v>1439</v>
      </c>
      <c r="E137" t="s">
        <v>1423</v>
      </c>
      <c r="F137" t="s">
        <v>1424</v>
      </c>
    </row>
    <row r="138" spans="1:6" x14ac:dyDescent="0.3">
      <c r="A138" t="s">
        <v>1596</v>
      </c>
      <c r="B138" t="s">
        <v>864</v>
      </c>
      <c r="C138" t="s">
        <v>1595</v>
      </c>
      <c r="D138" t="s">
        <v>1439</v>
      </c>
      <c r="E138" t="s">
        <v>1423</v>
      </c>
      <c r="F138" t="s">
        <v>1424</v>
      </c>
    </row>
    <row r="139" spans="1:6" x14ac:dyDescent="0.3">
      <c r="A139" t="s">
        <v>1597</v>
      </c>
      <c r="B139" t="s">
        <v>862</v>
      </c>
      <c r="C139" t="s">
        <v>1595</v>
      </c>
      <c r="D139" t="s">
        <v>1439</v>
      </c>
      <c r="E139" t="s">
        <v>1423</v>
      </c>
      <c r="F139" t="s">
        <v>1424</v>
      </c>
    </row>
    <row r="140" spans="1:6" x14ac:dyDescent="0.3">
      <c r="A140" t="s">
        <v>1598</v>
      </c>
      <c r="B140" t="s">
        <v>861</v>
      </c>
      <c r="C140" t="s">
        <v>1595</v>
      </c>
      <c r="D140" t="s">
        <v>1439</v>
      </c>
      <c r="E140" t="s">
        <v>1423</v>
      </c>
      <c r="F140" t="s">
        <v>1424</v>
      </c>
    </row>
    <row r="141" spans="1:6" x14ac:dyDescent="0.3">
      <c r="A141" t="s">
        <v>1599</v>
      </c>
      <c r="B141" t="s">
        <v>860</v>
      </c>
      <c r="C141" t="s">
        <v>1595</v>
      </c>
      <c r="D141" t="s">
        <v>1439</v>
      </c>
      <c r="E141" t="s">
        <v>1423</v>
      </c>
      <c r="F141" t="s">
        <v>1424</v>
      </c>
    </row>
    <row r="142" spans="1:6" x14ac:dyDescent="0.3">
      <c r="A142" t="s">
        <v>1600</v>
      </c>
      <c r="B142" t="s">
        <v>877</v>
      </c>
      <c r="C142" t="s">
        <v>1601</v>
      </c>
      <c r="D142" t="s">
        <v>1439</v>
      </c>
      <c r="E142" t="s">
        <v>1423</v>
      </c>
      <c r="F142" t="s">
        <v>1424</v>
      </c>
    </row>
    <row r="143" spans="1:6" x14ac:dyDescent="0.3">
      <c r="A143" t="s">
        <v>1602</v>
      </c>
      <c r="B143" t="s">
        <v>878</v>
      </c>
      <c r="C143" t="s">
        <v>1601</v>
      </c>
      <c r="D143" t="s">
        <v>1439</v>
      </c>
      <c r="E143" t="s">
        <v>1423</v>
      </c>
      <c r="F143" t="s">
        <v>1424</v>
      </c>
    </row>
    <row r="144" spans="1:6" x14ac:dyDescent="0.3">
      <c r="A144" t="s">
        <v>1603</v>
      </c>
      <c r="B144" t="s">
        <v>876</v>
      </c>
      <c r="C144" t="s">
        <v>1601</v>
      </c>
      <c r="D144" t="s">
        <v>1439</v>
      </c>
      <c r="E144" t="s">
        <v>1423</v>
      </c>
      <c r="F144" t="s">
        <v>1424</v>
      </c>
    </row>
    <row r="145" spans="1:6" x14ac:dyDescent="0.3">
      <c r="A145" t="s">
        <v>1604</v>
      </c>
      <c r="B145" t="s">
        <v>875</v>
      </c>
      <c r="C145" t="s">
        <v>1601</v>
      </c>
      <c r="D145" t="s">
        <v>1439</v>
      </c>
      <c r="E145" t="s">
        <v>1423</v>
      </c>
      <c r="F145" t="s">
        <v>1424</v>
      </c>
    </row>
    <row r="146" spans="1:6" x14ac:dyDescent="0.3">
      <c r="A146" t="s">
        <v>1605</v>
      </c>
      <c r="B146" t="s">
        <v>1606</v>
      </c>
      <c r="C146" t="s">
        <v>1601</v>
      </c>
      <c r="D146" t="s">
        <v>1439</v>
      </c>
      <c r="E146" t="s">
        <v>1423</v>
      </c>
      <c r="F146" t="s">
        <v>1424</v>
      </c>
    </row>
    <row r="147" spans="1:6" x14ac:dyDescent="0.3">
      <c r="A147" t="s">
        <v>1607</v>
      </c>
      <c r="B147" t="s">
        <v>874</v>
      </c>
      <c r="C147" t="s">
        <v>1601</v>
      </c>
      <c r="D147" t="s">
        <v>1439</v>
      </c>
      <c r="E147" t="s">
        <v>1423</v>
      </c>
      <c r="F147" t="s">
        <v>1424</v>
      </c>
    </row>
    <row r="148" spans="1:6" x14ac:dyDescent="0.3">
      <c r="A148" t="s">
        <v>1608</v>
      </c>
      <c r="B148" t="s">
        <v>897</v>
      </c>
      <c r="C148" t="s">
        <v>1609</v>
      </c>
      <c r="D148" t="s">
        <v>1439</v>
      </c>
      <c r="E148" t="s">
        <v>1423</v>
      </c>
      <c r="F148" t="s">
        <v>1424</v>
      </c>
    </row>
    <row r="149" spans="1:6" x14ac:dyDescent="0.3">
      <c r="A149" t="s">
        <v>1610</v>
      </c>
      <c r="B149" t="s">
        <v>898</v>
      </c>
      <c r="C149" t="s">
        <v>1609</v>
      </c>
      <c r="D149" t="s">
        <v>1439</v>
      </c>
      <c r="E149" t="s">
        <v>1423</v>
      </c>
      <c r="F149" t="s">
        <v>1424</v>
      </c>
    </row>
    <row r="150" spans="1:6" x14ac:dyDescent="0.3">
      <c r="A150" t="s">
        <v>1611</v>
      </c>
      <c r="B150" t="s">
        <v>896</v>
      </c>
      <c r="C150" t="s">
        <v>1609</v>
      </c>
      <c r="D150" t="s">
        <v>1439</v>
      </c>
      <c r="E150" t="s">
        <v>1423</v>
      </c>
      <c r="F150" t="s">
        <v>1424</v>
      </c>
    </row>
    <row r="151" spans="1:6" x14ac:dyDescent="0.3">
      <c r="A151" t="s">
        <v>1612</v>
      </c>
      <c r="B151" t="s">
        <v>895</v>
      </c>
      <c r="C151" t="s">
        <v>1609</v>
      </c>
      <c r="D151" t="s">
        <v>1439</v>
      </c>
      <c r="E151" t="s">
        <v>1423</v>
      </c>
      <c r="F151" t="s">
        <v>1424</v>
      </c>
    </row>
    <row r="152" spans="1:6" x14ac:dyDescent="0.3">
      <c r="A152" t="s">
        <v>1613</v>
      </c>
      <c r="B152" t="s">
        <v>894</v>
      </c>
      <c r="C152" t="s">
        <v>1609</v>
      </c>
      <c r="D152" t="s">
        <v>1439</v>
      </c>
      <c r="E152" t="s">
        <v>1423</v>
      </c>
      <c r="F152" t="s">
        <v>1424</v>
      </c>
    </row>
    <row r="153" spans="1:6" x14ac:dyDescent="0.3">
      <c r="A153" t="s">
        <v>1614</v>
      </c>
      <c r="B153" t="s">
        <v>902</v>
      </c>
      <c r="C153" t="s">
        <v>1615</v>
      </c>
      <c r="D153" t="s">
        <v>1439</v>
      </c>
      <c r="E153" t="s">
        <v>1423</v>
      </c>
      <c r="F153" t="s">
        <v>1424</v>
      </c>
    </row>
    <row r="154" spans="1:6" x14ac:dyDescent="0.3">
      <c r="A154" t="s">
        <v>1616</v>
      </c>
      <c r="B154" t="s">
        <v>903</v>
      </c>
      <c r="C154" t="s">
        <v>1615</v>
      </c>
      <c r="D154" t="s">
        <v>1439</v>
      </c>
      <c r="E154" t="s">
        <v>1423</v>
      </c>
      <c r="F154" t="s">
        <v>1424</v>
      </c>
    </row>
    <row r="155" spans="1:6" x14ac:dyDescent="0.3">
      <c r="A155" t="s">
        <v>1617</v>
      </c>
      <c r="B155" t="s">
        <v>901</v>
      </c>
      <c r="C155" t="s">
        <v>1615</v>
      </c>
      <c r="D155" t="s">
        <v>1439</v>
      </c>
      <c r="E155" t="s">
        <v>1423</v>
      </c>
      <c r="F155" t="s">
        <v>1424</v>
      </c>
    </row>
    <row r="156" spans="1:6" x14ac:dyDescent="0.3">
      <c r="A156" t="s">
        <v>1618</v>
      </c>
      <c r="B156" t="s">
        <v>900</v>
      </c>
      <c r="C156" t="s">
        <v>1615</v>
      </c>
      <c r="D156" t="s">
        <v>1439</v>
      </c>
      <c r="E156" t="s">
        <v>1423</v>
      </c>
      <c r="F156" t="s">
        <v>1424</v>
      </c>
    </row>
    <row r="157" spans="1:6" x14ac:dyDescent="0.3">
      <c r="A157" t="s">
        <v>1619</v>
      </c>
      <c r="B157" t="s">
        <v>899</v>
      </c>
      <c r="C157" t="s">
        <v>1615</v>
      </c>
      <c r="D157" t="s">
        <v>1439</v>
      </c>
      <c r="E157" t="s">
        <v>1423</v>
      </c>
      <c r="F157" t="s">
        <v>1424</v>
      </c>
    </row>
    <row r="158" spans="1:6" x14ac:dyDescent="0.3">
      <c r="A158" t="s">
        <v>1620</v>
      </c>
      <c r="B158" t="s">
        <v>906</v>
      </c>
      <c r="C158" t="s">
        <v>1621</v>
      </c>
      <c r="D158" t="s">
        <v>1439</v>
      </c>
      <c r="E158" t="s">
        <v>1423</v>
      </c>
      <c r="F158" t="s">
        <v>1424</v>
      </c>
    </row>
    <row r="159" spans="1:6" x14ac:dyDescent="0.3">
      <c r="A159" t="s">
        <v>1622</v>
      </c>
      <c r="B159" t="s">
        <v>1623</v>
      </c>
      <c r="C159" t="s">
        <v>1621</v>
      </c>
      <c r="D159" t="s">
        <v>1439</v>
      </c>
      <c r="E159" t="s">
        <v>1423</v>
      </c>
      <c r="F159" t="s">
        <v>1424</v>
      </c>
    </row>
    <row r="160" spans="1:6" x14ac:dyDescent="0.3">
      <c r="A160" t="s">
        <v>1624</v>
      </c>
      <c r="B160" t="s">
        <v>905</v>
      </c>
      <c r="C160" t="s">
        <v>1621</v>
      </c>
      <c r="D160" t="s">
        <v>1439</v>
      </c>
      <c r="E160" t="s">
        <v>1423</v>
      </c>
      <c r="F160" t="s">
        <v>1424</v>
      </c>
    </row>
    <row r="161" spans="1:6" x14ac:dyDescent="0.3">
      <c r="A161" t="s">
        <v>1625</v>
      </c>
      <c r="B161" t="s">
        <v>904</v>
      </c>
      <c r="C161" t="s">
        <v>1621</v>
      </c>
      <c r="D161" t="s">
        <v>1439</v>
      </c>
      <c r="E161" t="s">
        <v>1423</v>
      </c>
      <c r="F161" t="s">
        <v>1424</v>
      </c>
    </row>
    <row r="162" spans="1:6" x14ac:dyDescent="0.3">
      <c r="A162" t="s">
        <v>1626</v>
      </c>
      <c r="B162" t="s">
        <v>915</v>
      </c>
      <c r="C162" t="s">
        <v>1627</v>
      </c>
      <c r="D162" t="s">
        <v>1439</v>
      </c>
      <c r="E162" t="s">
        <v>1420</v>
      </c>
      <c r="F162" t="s">
        <v>1421</v>
      </c>
    </row>
    <row r="163" spans="1:6" x14ac:dyDescent="0.3">
      <c r="A163" t="s">
        <v>1628</v>
      </c>
      <c r="B163" t="s">
        <v>916</v>
      </c>
      <c r="C163" t="s">
        <v>1627</v>
      </c>
      <c r="D163" t="s">
        <v>1439</v>
      </c>
      <c r="E163" t="s">
        <v>1420</v>
      </c>
      <c r="F163" t="s">
        <v>1421</v>
      </c>
    </row>
    <row r="164" spans="1:6" x14ac:dyDescent="0.3">
      <c r="A164" t="s">
        <v>1629</v>
      </c>
      <c r="B164" t="s">
        <v>914</v>
      </c>
      <c r="C164" t="s">
        <v>1627</v>
      </c>
      <c r="D164" t="s">
        <v>1439</v>
      </c>
      <c r="E164" t="s">
        <v>1420</v>
      </c>
      <c r="F164" t="s">
        <v>1421</v>
      </c>
    </row>
    <row r="165" spans="1:6" x14ac:dyDescent="0.3">
      <c r="A165" t="s">
        <v>1630</v>
      </c>
      <c r="B165" t="s">
        <v>913</v>
      </c>
      <c r="C165" t="s">
        <v>1627</v>
      </c>
      <c r="D165" t="s">
        <v>1439</v>
      </c>
      <c r="E165" t="s">
        <v>1420</v>
      </c>
      <c r="F165" t="s">
        <v>1421</v>
      </c>
    </row>
    <row r="166" spans="1:6" x14ac:dyDescent="0.3">
      <c r="A166" t="s">
        <v>1631</v>
      </c>
      <c r="B166" t="s">
        <v>912</v>
      </c>
      <c r="C166" t="s">
        <v>1627</v>
      </c>
      <c r="D166" t="s">
        <v>1439</v>
      </c>
      <c r="E166" t="s">
        <v>1420</v>
      </c>
      <c r="F166" t="s">
        <v>1421</v>
      </c>
    </row>
    <row r="167" spans="1:6" x14ac:dyDescent="0.3">
      <c r="A167" t="s">
        <v>1632</v>
      </c>
      <c r="B167" t="s">
        <v>1633</v>
      </c>
      <c r="C167" t="s">
        <v>1634</v>
      </c>
      <c r="D167" t="s">
        <v>1439</v>
      </c>
      <c r="E167" t="s">
        <v>1423</v>
      </c>
      <c r="F167" t="s">
        <v>1424</v>
      </c>
    </row>
    <row r="168" spans="1:6" x14ac:dyDescent="0.3">
      <c r="A168" t="s">
        <v>1635</v>
      </c>
      <c r="B168" t="s">
        <v>1636</v>
      </c>
      <c r="C168" t="s">
        <v>1634</v>
      </c>
      <c r="D168" t="s">
        <v>1439</v>
      </c>
      <c r="E168" t="s">
        <v>1423</v>
      </c>
      <c r="F168" t="s">
        <v>1424</v>
      </c>
    </row>
    <row r="169" spans="1:6" x14ac:dyDescent="0.3">
      <c r="A169" t="s">
        <v>1637</v>
      </c>
      <c r="B169" t="s">
        <v>1638</v>
      </c>
      <c r="C169" t="s">
        <v>1634</v>
      </c>
      <c r="D169" t="s">
        <v>1439</v>
      </c>
      <c r="E169" t="s">
        <v>1423</v>
      </c>
      <c r="F169" t="s">
        <v>1424</v>
      </c>
    </row>
    <row r="170" spans="1:6" x14ac:dyDescent="0.3">
      <c r="A170" t="s">
        <v>1639</v>
      </c>
      <c r="B170" t="s">
        <v>925</v>
      </c>
      <c r="C170" t="s">
        <v>1634</v>
      </c>
      <c r="D170" t="s">
        <v>1439</v>
      </c>
      <c r="E170" t="s">
        <v>1423</v>
      </c>
      <c r="F170" t="s">
        <v>1424</v>
      </c>
    </row>
    <row r="171" spans="1:6" x14ac:dyDescent="0.3">
      <c r="A171" t="s">
        <v>1640</v>
      </c>
      <c r="B171" t="s">
        <v>928</v>
      </c>
      <c r="C171" t="s">
        <v>1641</v>
      </c>
      <c r="D171" t="s">
        <v>1439</v>
      </c>
      <c r="E171" t="s">
        <v>1420</v>
      </c>
      <c r="F171" t="s">
        <v>1421</v>
      </c>
    </row>
    <row r="172" spans="1:6" x14ac:dyDescent="0.3">
      <c r="A172" t="s">
        <v>1642</v>
      </c>
      <c r="B172" t="s">
        <v>929</v>
      </c>
      <c r="C172" t="s">
        <v>1641</v>
      </c>
      <c r="D172" t="s">
        <v>1439</v>
      </c>
      <c r="E172" t="s">
        <v>1420</v>
      </c>
      <c r="F172" t="s">
        <v>1421</v>
      </c>
    </row>
    <row r="173" spans="1:6" x14ac:dyDescent="0.3">
      <c r="A173" t="s">
        <v>1643</v>
      </c>
      <c r="B173" t="s">
        <v>1644</v>
      </c>
      <c r="C173" t="s">
        <v>1641</v>
      </c>
      <c r="D173" t="s">
        <v>1439</v>
      </c>
      <c r="E173" t="s">
        <v>1420</v>
      </c>
      <c r="F173" t="s">
        <v>1421</v>
      </c>
    </row>
    <row r="174" spans="1:6" x14ac:dyDescent="0.3">
      <c r="A174" t="s">
        <v>1645</v>
      </c>
      <c r="B174" t="s">
        <v>927</v>
      </c>
      <c r="C174" t="s">
        <v>1641</v>
      </c>
      <c r="D174" t="s">
        <v>1439</v>
      </c>
      <c r="E174" t="s">
        <v>1420</v>
      </c>
      <c r="F174" t="s">
        <v>1421</v>
      </c>
    </row>
    <row r="175" spans="1:6" x14ac:dyDescent="0.3">
      <c r="A175" t="s">
        <v>1646</v>
      </c>
      <c r="B175" t="s">
        <v>926</v>
      </c>
      <c r="C175" t="s">
        <v>1641</v>
      </c>
      <c r="D175" t="s">
        <v>1439</v>
      </c>
      <c r="E175" t="s">
        <v>1420</v>
      </c>
      <c r="F175" t="s">
        <v>1421</v>
      </c>
    </row>
    <row r="176" spans="1:6" x14ac:dyDescent="0.3">
      <c r="A176" t="s">
        <v>1647</v>
      </c>
      <c r="B176" t="s">
        <v>951</v>
      </c>
      <c r="C176" t="s">
        <v>1648</v>
      </c>
      <c r="D176" t="s">
        <v>1429</v>
      </c>
      <c r="E176" t="s">
        <v>1420</v>
      </c>
      <c r="F176" t="s">
        <v>1421</v>
      </c>
    </row>
    <row r="177" spans="1:6" x14ac:dyDescent="0.3">
      <c r="A177" t="s">
        <v>1649</v>
      </c>
      <c r="B177" t="s">
        <v>952</v>
      </c>
      <c r="C177" t="s">
        <v>1648</v>
      </c>
      <c r="D177" t="s">
        <v>1429</v>
      </c>
      <c r="E177" t="s">
        <v>1420</v>
      </c>
      <c r="F177" t="s">
        <v>1421</v>
      </c>
    </row>
    <row r="178" spans="1:6" x14ac:dyDescent="0.3">
      <c r="A178" t="s">
        <v>1650</v>
      </c>
      <c r="B178" t="s">
        <v>950</v>
      </c>
      <c r="C178" t="s">
        <v>1648</v>
      </c>
      <c r="D178" t="s">
        <v>1429</v>
      </c>
      <c r="E178" t="s">
        <v>1420</v>
      </c>
      <c r="F178" t="s">
        <v>1421</v>
      </c>
    </row>
    <row r="179" spans="1:6" x14ac:dyDescent="0.3">
      <c r="A179" t="s">
        <v>1651</v>
      </c>
      <c r="B179" t="s">
        <v>1652</v>
      </c>
      <c r="C179" t="s">
        <v>1648</v>
      </c>
      <c r="D179" t="s">
        <v>1429</v>
      </c>
      <c r="E179" t="s">
        <v>1420</v>
      </c>
      <c r="F179" t="s">
        <v>1421</v>
      </c>
    </row>
    <row r="180" spans="1:6" x14ac:dyDescent="0.3">
      <c r="A180" t="s">
        <v>1653</v>
      </c>
      <c r="B180" t="s">
        <v>949</v>
      </c>
      <c r="C180" t="s">
        <v>1648</v>
      </c>
      <c r="D180" t="s">
        <v>1429</v>
      </c>
      <c r="E180" t="s">
        <v>1420</v>
      </c>
      <c r="F180" t="s">
        <v>1421</v>
      </c>
    </row>
    <row r="181" spans="1:6" x14ac:dyDescent="0.3">
      <c r="A181" t="s">
        <v>1654</v>
      </c>
      <c r="B181" t="s">
        <v>1655</v>
      </c>
      <c r="C181" t="s">
        <v>1656</v>
      </c>
      <c r="D181" t="s">
        <v>1429</v>
      </c>
      <c r="E181" t="s">
        <v>1423</v>
      </c>
      <c r="F181" t="s">
        <v>1421</v>
      </c>
    </row>
    <row r="182" spans="1:6" x14ac:dyDescent="0.3">
      <c r="A182" t="s">
        <v>1657</v>
      </c>
      <c r="B182" t="s">
        <v>1658</v>
      </c>
      <c r="C182" t="s">
        <v>1656</v>
      </c>
      <c r="D182" t="s">
        <v>1429</v>
      </c>
      <c r="E182" t="s">
        <v>1423</v>
      </c>
      <c r="F182" t="s">
        <v>1421</v>
      </c>
    </row>
    <row r="183" spans="1:6" x14ac:dyDescent="0.3">
      <c r="A183" t="s">
        <v>1659</v>
      </c>
      <c r="B183" t="s">
        <v>1660</v>
      </c>
      <c r="C183" t="s">
        <v>1656</v>
      </c>
      <c r="D183" t="s">
        <v>1429</v>
      </c>
      <c r="E183" t="s">
        <v>1423</v>
      </c>
      <c r="F183" t="s">
        <v>1421</v>
      </c>
    </row>
    <row r="184" spans="1:6" x14ac:dyDescent="0.3">
      <c r="A184" t="s">
        <v>1661</v>
      </c>
      <c r="B184" t="s">
        <v>1662</v>
      </c>
      <c r="C184" t="s">
        <v>1656</v>
      </c>
      <c r="D184" t="s">
        <v>1429</v>
      </c>
      <c r="E184" t="s">
        <v>1423</v>
      </c>
      <c r="F184" t="s">
        <v>1421</v>
      </c>
    </row>
    <row r="185" spans="1:6" x14ac:dyDescent="0.3">
      <c r="A185" t="s">
        <v>1663</v>
      </c>
      <c r="B185" t="s">
        <v>1664</v>
      </c>
      <c r="C185" t="s">
        <v>1656</v>
      </c>
      <c r="D185" t="s">
        <v>1429</v>
      </c>
      <c r="E185" t="s">
        <v>1423</v>
      </c>
      <c r="F185" t="s">
        <v>1421</v>
      </c>
    </row>
    <row r="186" spans="1:6" x14ac:dyDescent="0.3">
      <c r="A186" t="s">
        <v>1665</v>
      </c>
      <c r="B186" t="s">
        <v>1666</v>
      </c>
      <c r="C186" t="s">
        <v>1656</v>
      </c>
      <c r="D186" t="s">
        <v>1429</v>
      </c>
      <c r="E186" t="s">
        <v>1423</v>
      </c>
      <c r="F186" t="s">
        <v>1421</v>
      </c>
    </row>
    <row r="187" spans="1:6" x14ac:dyDescent="0.3">
      <c r="A187" t="s">
        <v>1667</v>
      </c>
      <c r="B187" t="s">
        <v>1668</v>
      </c>
      <c r="C187" t="s">
        <v>1656</v>
      </c>
      <c r="D187" t="s">
        <v>1429</v>
      </c>
      <c r="E187" t="s">
        <v>1423</v>
      </c>
      <c r="F187" t="s">
        <v>1421</v>
      </c>
    </row>
    <row r="188" spans="1:6" x14ac:dyDescent="0.3">
      <c r="A188" t="s">
        <v>1669</v>
      </c>
      <c r="B188" t="s">
        <v>1670</v>
      </c>
      <c r="C188" t="s">
        <v>1656</v>
      </c>
      <c r="D188" t="s">
        <v>1429</v>
      </c>
      <c r="E188" t="s">
        <v>1423</v>
      </c>
      <c r="F188" t="s">
        <v>1421</v>
      </c>
    </row>
    <row r="189" spans="1:6" x14ac:dyDescent="0.3">
      <c r="A189" t="s">
        <v>1671</v>
      </c>
      <c r="B189" t="s">
        <v>1672</v>
      </c>
      <c r="C189" t="s">
        <v>1656</v>
      </c>
      <c r="D189" t="s">
        <v>1429</v>
      </c>
      <c r="E189" t="s">
        <v>1423</v>
      </c>
      <c r="F189" t="s">
        <v>1421</v>
      </c>
    </row>
    <row r="190" spans="1:6" x14ac:dyDescent="0.3">
      <c r="A190" t="s">
        <v>1673</v>
      </c>
      <c r="B190" t="s">
        <v>1674</v>
      </c>
      <c r="C190" t="s">
        <v>1656</v>
      </c>
      <c r="D190" t="s">
        <v>1429</v>
      </c>
      <c r="E190" t="s">
        <v>1423</v>
      </c>
      <c r="F190" t="s">
        <v>1421</v>
      </c>
    </row>
    <row r="191" spans="1:6" x14ac:dyDescent="0.3">
      <c r="A191" t="s">
        <v>1675</v>
      </c>
      <c r="B191" t="s">
        <v>969</v>
      </c>
      <c r="C191" t="s">
        <v>1676</v>
      </c>
      <c r="D191" t="s">
        <v>1429</v>
      </c>
      <c r="E191" t="s">
        <v>1420</v>
      </c>
      <c r="F191" t="s">
        <v>1421</v>
      </c>
    </row>
    <row r="192" spans="1:6" x14ac:dyDescent="0.3">
      <c r="A192" t="s">
        <v>1677</v>
      </c>
      <c r="B192" t="s">
        <v>970</v>
      </c>
      <c r="C192" t="s">
        <v>1676</v>
      </c>
      <c r="D192" t="s">
        <v>1429</v>
      </c>
      <c r="E192" t="s">
        <v>1420</v>
      </c>
      <c r="F192" t="s">
        <v>1421</v>
      </c>
    </row>
    <row r="193" spans="1:6" x14ac:dyDescent="0.3">
      <c r="A193" t="s">
        <v>1678</v>
      </c>
      <c r="B193" t="s">
        <v>968</v>
      </c>
      <c r="C193" t="s">
        <v>1676</v>
      </c>
      <c r="D193" t="s">
        <v>1429</v>
      </c>
      <c r="E193" t="s">
        <v>1420</v>
      </c>
      <c r="F193" t="s">
        <v>1421</v>
      </c>
    </row>
    <row r="194" spans="1:6" x14ac:dyDescent="0.3">
      <c r="A194" t="s">
        <v>1679</v>
      </c>
      <c r="B194" t="s">
        <v>967</v>
      </c>
      <c r="C194" t="s">
        <v>1676</v>
      </c>
      <c r="D194" t="s">
        <v>1429</v>
      </c>
      <c r="E194" t="s">
        <v>1420</v>
      </c>
      <c r="F194" t="s">
        <v>1421</v>
      </c>
    </row>
    <row r="195" spans="1:6" x14ac:dyDescent="0.3">
      <c r="A195" t="s">
        <v>1680</v>
      </c>
      <c r="B195" t="s">
        <v>966</v>
      </c>
      <c r="C195" t="s">
        <v>1676</v>
      </c>
      <c r="D195" t="s">
        <v>1429</v>
      </c>
      <c r="E195" t="s">
        <v>1420</v>
      </c>
      <c r="F195" t="s">
        <v>1421</v>
      </c>
    </row>
    <row r="196" spans="1:6" x14ac:dyDescent="0.3">
      <c r="A196" t="s">
        <v>1681</v>
      </c>
      <c r="B196" t="s">
        <v>1050</v>
      </c>
      <c r="C196" t="s">
        <v>1682</v>
      </c>
      <c r="D196" t="s">
        <v>1429</v>
      </c>
      <c r="E196" t="s">
        <v>1420</v>
      </c>
      <c r="F196" t="s">
        <v>1421</v>
      </c>
    </row>
    <row r="197" spans="1:6" x14ac:dyDescent="0.3">
      <c r="A197" t="s">
        <v>1683</v>
      </c>
      <c r="B197" t="s">
        <v>1051</v>
      </c>
      <c r="C197" t="s">
        <v>1682</v>
      </c>
      <c r="D197" t="s">
        <v>1429</v>
      </c>
      <c r="E197" t="s">
        <v>1420</v>
      </c>
      <c r="F197" t="s">
        <v>1421</v>
      </c>
    </row>
    <row r="198" spans="1:6" x14ac:dyDescent="0.3">
      <c r="A198" t="s">
        <v>1684</v>
      </c>
      <c r="B198" t="s">
        <v>1049</v>
      </c>
      <c r="C198" t="s">
        <v>1682</v>
      </c>
      <c r="D198" t="s">
        <v>1429</v>
      </c>
      <c r="E198" t="s">
        <v>1420</v>
      </c>
      <c r="F198" t="s">
        <v>1421</v>
      </c>
    </row>
    <row r="199" spans="1:6" x14ac:dyDescent="0.3">
      <c r="A199" t="s">
        <v>1685</v>
      </c>
      <c r="B199" t="s">
        <v>1048</v>
      </c>
      <c r="C199" t="s">
        <v>1682</v>
      </c>
      <c r="D199" t="s">
        <v>1429</v>
      </c>
      <c r="E199" t="s">
        <v>1420</v>
      </c>
      <c r="F199" t="s">
        <v>1421</v>
      </c>
    </row>
    <row r="200" spans="1:6" x14ac:dyDescent="0.3">
      <c r="A200" t="s">
        <v>1686</v>
      </c>
      <c r="B200" t="s">
        <v>1104</v>
      </c>
      <c r="C200" t="s">
        <v>1687</v>
      </c>
      <c r="D200" t="s">
        <v>1429</v>
      </c>
      <c r="E200" t="s">
        <v>1423</v>
      </c>
      <c r="F200" t="s">
        <v>1421</v>
      </c>
    </row>
    <row r="201" spans="1:6" x14ac:dyDescent="0.3">
      <c r="A201" t="s">
        <v>1688</v>
      </c>
      <c r="B201" t="s">
        <v>1105</v>
      </c>
      <c r="C201" t="s">
        <v>1687</v>
      </c>
      <c r="D201" t="s">
        <v>1429</v>
      </c>
      <c r="E201" t="s">
        <v>1423</v>
      </c>
      <c r="F201" t="s">
        <v>1421</v>
      </c>
    </row>
    <row r="202" spans="1:6" x14ac:dyDescent="0.3">
      <c r="A202" t="s">
        <v>1689</v>
      </c>
      <c r="B202" t="s">
        <v>1103</v>
      </c>
      <c r="C202" t="s">
        <v>1687</v>
      </c>
      <c r="D202" t="s">
        <v>1429</v>
      </c>
      <c r="E202" t="s">
        <v>1423</v>
      </c>
      <c r="F202" t="s">
        <v>1421</v>
      </c>
    </row>
    <row r="203" spans="1:6" x14ac:dyDescent="0.3">
      <c r="A203" t="s">
        <v>1690</v>
      </c>
      <c r="B203" t="s">
        <v>1102</v>
      </c>
      <c r="C203" t="s">
        <v>1687</v>
      </c>
      <c r="D203" t="s">
        <v>1429</v>
      </c>
      <c r="E203" t="s">
        <v>1423</v>
      </c>
      <c r="F203" t="s">
        <v>1421</v>
      </c>
    </row>
    <row r="204" spans="1:6" x14ac:dyDescent="0.3">
      <c r="A204" t="s">
        <v>1691</v>
      </c>
      <c r="B204" t="s">
        <v>1692</v>
      </c>
      <c r="C204" t="s">
        <v>1687</v>
      </c>
      <c r="D204" t="s">
        <v>1429</v>
      </c>
      <c r="E204" t="s">
        <v>1423</v>
      </c>
      <c r="F204" t="s">
        <v>1421</v>
      </c>
    </row>
    <row r="205" spans="1:6" x14ac:dyDescent="0.3">
      <c r="A205" t="s">
        <v>1693</v>
      </c>
      <c r="B205" t="s">
        <v>1175</v>
      </c>
      <c r="C205" t="s">
        <v>1694</v>
      </c>
      <c r="D205" t="s">
        <v>1437</v>
      </c>
      <c r="E205" t="s">
        <v>1420</v>
      </c>
      <c r="F205" t="s">
        <v>1421</v>
      </c>
    </row>
    <row r="206" spans="1:6" x14ac:dyDescent="0.3">
      <c r="A206" t="s">
        <v>1695</v>
      </c>
      <c r="B206" t="s">
        <v>1176</v>
      </c>
      <c r="C206" t="s">
        <v>1694</v>
      </c>
      <c r="D206" t="s">
        <v>1437</v>
      </c>
      <c r="E206" t="s">
        <v>1420</v>
      </c>
      <c r="F206" t="s">
        <v>1421</v>
      </c>
    </row>
    <row r="207" spans="1:6" x14ac:dyDescent="0.3">
      <c r="A207" t="s">
        <v>1696</v>
      </c>
      <c r="B207" t="s">
        <v>1174</v>
      </c>
      <c r="C207" t="s">
        <v>1694</v>
      </c>
      <c r="D207" t="s">
        <v>1437</v>
      </c>
      <c r="E207" t="s">
        <v>1420</v>
      </c>
      <c r="F207" t="s">
        <v>1421</v>
      </c>
    </row>
    <row r="208" spans="1:6" x14ac:dyDescent="0.3">
      <c r="A208" t="s">
        <v>1697</v>
      </c>
      <c r="B208" t="s">
        <v>1173</v>
      </c>
      <c r="C208" t="s">
        <v>1694</v>
      </c>
      <c r="D208" t="s">
        <v>1437</v>
      </c>
      <c r="E208" t="s">
        <v>1420</v>
      </c>
      <c r="F208" t="s">
        <v>1421</v>
      </c>
    </row>
    <row r="209" spans="1:6" x14ac:dyDescent="0.3">
      <c r="A209" t="s">
        <v>1698</v>
      </c>
      <c r="B209" t="s">
        <v>1172</v>
      </c>
      <c r="C209" t="s">
        <v>1694</v>
      </c>
      <c r="D209" t="s">
        <v>1437</v>
      </c>
      <c r="E209" t="s">
        <v>1420</v>
      </c>
      <c r="F209" t="s">
        <v>1421</v>
      </c>
    </row>
    <row r="210" spans="1:6" x14ac:dyDescent="0.3">
      <c r="A210" t="s">
        <v>1699</v>
      </c>
      <c r="B210" t="s">
        <v>1700</v>
      </c>
      <c r="C210" t="s">
        <v>1701</v>
      </c>
      <c r="D210" t="s">
        <v>1437</v>
      </c>
      <c r="E210" t="s">
        <v>1420</v>
      </c>
      <c r="F210" t="s">
        <v>1421</v>
      </c>
    </row>
    <row r="211" spans="1:6" x14ac:dyDescent="0.3">
      <c r="A211" t="s">
        <v>1702</v>
      </c>
      <c r="B211" t="s">
        <v>1197</v>
      </c>
      <c r="C211" t="s">
        <v>1701</v>
      </c>
      <c r="D211" t="s">
        <v>1437</v>
      </c>
      <c r="E211" t="s">
        <v>1420</v>
      </c>
      <c r="F211" t="s">
        <v>1421</v>
      </c>
    </row>
    <row r="212" spans="1:6" x14ac:dyDescent="0.3">
      <c r="A212" t="s">
        <v>1703</v>
      </c>
      <c r="B212" t="s">
        <v>1196</v>
      </c>
      <c r="C212" t="s">
        <v>1701</v>
      </c>
      <c r="D212" t="s">
        <v>1437</v>
      </c>
      <c r="E212" t="s">
        <v>1420</v>
      </c>
      <c r="F212" t="s">
        <v>1421</v>
      </c>
    </row>
    <row r="213" spans="1:6" x14ac:dyDescent="0.3">
      <c r="A213" t="s">
        <v>1704</v>
      </c>
      <c r="B213" t="s">
        <v>1195</v>
      </c>
      <c r="C213" t="s">
        <v>1701</v>
      </c>
      <c r="D213" t="s">
        <v>1437</v>
      </c>
      <c r="E213" t="s">
        <v>1420</v>
      </c>
      <c r="F213" t="s">
        <v>1421</v>
      </c>
    </row>
    <row r="214" spans="1:6" x14ac:dyDescent="0.3">
      <c r="A214" t="s">
        <v>1705</v>
      </c>
      <c r="B214" t="s">
        <v>1194</v>
      </c>
      <c r="C214" t="s">
        <v>1701</v>
      </c>
      <c r="D214" t="s">
        <v>1437</v>
      </c>
      <c r="E214" t="s">
        <v>1420</v>
      </c>
      <c r="F214" t="s">
        <v>1421</v>
      </c>
    </row>
    <row r="215" spans="1:6" x14ac:dyDescent="0.3">
      <c r="A215" t="s">
        <v>1706</v>
      </c>
      <c r="B215" t="s">
        <v>1225</v>
      </c>
      <c r="C215" t="s">
        <v>1707</v>
      </c>
      <c r="D215" t="s">
        <v>1437</v>
      </c>
      <c r="E215" t="s">
        <v>1420</v>
      </c>
      <c r="F215" t="s">
        <v>1421</v>
      </c>
    </row>
    <row r="216" spans="1:6" x14ac:dyDescent="0.3">
      <c r="A216" t="s">
        <v>1708</v>
      </c>
      <c r="B216" t="s">
        <v>1226</v>
      </c>
      <c r="C216" t="s">
        <v>1707</v>
      </c>
      <c r="D216" t="s">
        <v>1437</v>
      </c>
      <c r="E216" t="s">
        <v>1420</v>
      </c>
      <c r="F216" t="s">
        <v>1421</v>
      </c>
    </row>
    <row r="217" spans="1:6" x14ac:dyDescent="0.3">
      <c r="A217" t="s">
        <v>1709</v>
      </c>
      <c r="B217" t="s">
        <v>1224</v>
      </c>
      <c r="C217" t="s">
        <v>1707</v>
      </c>
      <c r="D217" t="s">
        <v>1437</v>
      </c>
      <c r="E217" t="s">
        <v>1420</v>
      </c>
      <c r="F217" t="s">
        <v>1421</v>
      </c>
    </row>
    <row r="218" spans="1:6" x14ac:dyDescent="0.3">
      <c r="A218" t="s">
        <v>1710</v>
      </c>
      <c r="B218" t="s">
        <v>1223</v>
      </c>
      <c r="C218" t="s">
        <v>1707</v>
      </c>
      <c r="D218" t="s">
        <v>1437</v>
      </c>
      <c r="E218" t="s">
        <v>1420</v>
      </c>
      <c r="F218" t="s">
        <v>1421</v>
      </c>
    </row>
    <row r="219" spans="1:6" x14ac:dyDescent="0.3">
      <c r="A219" t="s">
        <v>1711</v>
      </c>
      <c r="B219" t="s">
        <v>1222</v>
      </c>
      <c r="C219" t="s">
        <v>1707</v>
      </c>
      <c r="D219" t="s">
        <v>1437</v>
      </c>
      <c r="E219" t="s">
        <v>1420</v>
      </c>
      <c r="F219" t="s">
        <v>1421</v>
      </c>
    </row>
    <row r="220" spans="1:6" x14ac:dyDescent="0.3">
      <c r="A220" t="s">
        <v>27</v>
      </c>
      <c r="B220" t="s">
        <v>584</v>
      </c>
      <c r="C220" t="s">
        <v>1712</v>
      </c>
      <c r="D220" t="s">
        <v>1419</v>
      </c>
      <c r="E220" t="s">
        <v>1420</v>
      </c>
      <c r="F220" t="s">
        <v>1421</v>
      </c>
    </row>
    <row r="221" spans="1:6" x14ac:dyDescent="0.3">
      <c r="A221" t="s">
        <v>1249</v>
      </c>
      <c r="B221" t="s">
        <v>585</v>
      </c>
      <c r="C221" t="s">
        <v>1712</v>
      </c>
      <c r="D221" t="s">
        <v>1419</v>
      </c>
      <c r="E221" t="s">
        <v>1420</v>
      </c>
      <c r="F221" t="s">
        <v>1421</v>
      </c>
    </row>
    <row r="222" spans="1:6" x14ac:dyDescent="0.3">
      <c r="A222" t="s">
        <v>26</v>
      </c>
      <c r="B222" t="s">
        <v>583</v>
      </c>
      <c r="C222" t="s">
        <v>1712</v>
      </c>
      <c r="D222" t="s">
        <v>1419</v>
      </c>
      <c r="E222" t="s">
        <v>1420</v>
      </c>
      <c r="F222" t="s">
        <v>1421</v>
      </c>
    </row>
    <row r="223" spans="1:6" x14ac:dyDescent="0.3">
      <c r="A223" t="s">
        <v>25</v>
      </c>
      <c r="B223" t="s">
        <v>582</v>
      </c>
      <c r="C223" t="s">
        <v>1712</v>
      </c>
      <c r="D223" t="s">
        <v>1419</v>
      </c>
      <c r="E223" t="s">
        <v>1420</v>
      </c>
      <c r="F223" t="s">
        <v>1421</v>
      </c>
    </row>
    <row r="224" spans="1:6" x14ac:dyDescent="0.3">
      <c r="A224" t="s">
        <v>53</v>
      </c>
      <c r="B224" t="s">
        <v>623</v>
      </c>
      <c r="C224" t="s">
        <v>1713</v>
      </c>
      <c r="D224" t="s">
        <v>1419</v>
      </c>
      <c r="E224" t="s">
        <v>1420</v>
      </c>
      <c r="F224" t="s">
        <v>1421</v>
      </c>
    </row>
    <row r="225" spans="1:6" x14ac:dyDescent="0.3">
      <c r="A225" t="s">
        <v>54</v>
      </c>
      <c r="B225" t="s">
        <v>624</v>
      </c>
      <c r="C225" t="s">
        <v>1713</v>
      </c>
      <c r="D225" t="s">
        <v>1419</v>
      </c>
      <c r="E225" t="s">
        <v>1420</v>
      </c>
      <c r="F225" t="s">
        <v>1421</v>
      </c>
    </row>
    <row r="226" spans="1:6" x14ac:dyDescent="0.3">
      <c r="A226" t="s">
        <v>52</v>
      </c>
      <c r="B226" t="s">
        <v>622</v>
      </c>
      <c r="C226" t="s">
        <v>1713</v>
      </c>
      <c r="D226" t="s">
        <v>1419</v>
      </c>
      <c r="E226" t="s">
        <v>1420</v>
      </c>
      <c r="F226" t="s">
        <v>1421</v>
      </c>
    </row>
    <row r="227" spans="1:6" x14ac:dyDescent="0.3">
      <c r="A227" t="s">
        <v>51</v>
      </c>
      <c r="B227" t="s">
        <v>621</v>
      </c>
      <c r="C227" t="s">
        <v>1713</v>
      </c>
      <c r="D227" t="s">
        <v>1419</v>
      </c>
      <c r="E227" t="s">
        <v>1420</v>
      </c>
      <c r="F227" t="s">
        <v>1421</v>
      </c>
    </row>
    <row r="228" spans="1:6" x14ac:dyDescent="0.3">
      <c r="A228" t="s">
        <v>1714</v>
      </c>
      <c r="B228" t="s">
        <v>620</v>
      </c>
      <c r="C228" t="s">
        <v>1713</v>
      </c>
      <c r="D228" t="s">
        <v>1419</v>
      </c>
      <c r="E228" t="s">
        <v>1420</v>
      </c>
      <c r="F228" t="s">
        <v>1421</v>
      </c>
    </row>
    <row r="229" spans="1:6" x14ac:dyDescent="0.3">
      <c r="A229" t="s">
        <v>65</v>
      </c>
      <c r="B229" t="s">
        <v>635</v>
      </c>
      <c r="C229" t="s">
        <v>1715</v>
      </c>
      <c r="D229" t="s">
        <v>1419</v>
      </c>
      <c r="E229" t="s">
        <v>1420</v>
      </c>
      <c r="F229" t="s">
        <v>1421</v>
      </c>
    </row>
    <row r="230" spans="1:6" x14ac:dyDescent="0.3">
      <c r="A230" t="s">
        <v>66</v>
      </c>
      <c r="B230" t="s">
        <v>636</v>
      </c>
      <c r="C230" t="s">
        <v>1715</v>
      </c>
      <c r="D230" t="s">
        <v>1419</v>
      </c>
      <c r="E230" t="s">
        <v>1420</v>
      </c>
      <c r="F230" t="s">
        <v>1421</v>
      </c>
    </row>
    <row r="231" spans="1:6" x14ac:dyDescent="0.3">
      <c r="A231" t="s">
        <v>64</v>
      </c>
      <c r="B231" t="s">
        <v>634</v>
      </c>
      <c r="C231" t="s">
        <v>1715</v>
      </c>
      <c r="D231" t="s">
        <v>1419</v>
      </c>
      <c r="E231" t="s">
        <v>1420</v>
      </c>
      <c r="F231" t="s">
        <v>1421</v>
      </c>
    </row>
    <row r="232" spans="1:6" x14ac:dyDescent="0.3">
      <c r="A232" t="s">
        <v>63</v>
      </c>
      <c r="B232" t="s">
        <v>633</v>
      </c>
      <c r="C232" t="s">
        <v>1715</v>
      </c>
      <c r="D232" t="s">
        <v>1419</v>
      </c>
      <c r="E232" t="s">
        <v>1420</v>
      </c>
      <c r="F232" t="s">
        <v>1421</v>
      </c>
    </row>
    <row r="233" spans="1:6" x14ac:dyDescent="0.3">
      <c r="A233" t="s">
        <v>61</v>
      </c>
      <c r="B233" t="s">
        <v>631</v>
      </c>
      <c r="C233" t="s">
        <v>1715</v>
      </c>
      <c r="D233" t="s">
        <v>1419</v>
      </c>
      <c r="E233" t="s">
        <v>1420</v>
      </c>
      <c r="F233" t="s">
        <v>1421</v>
      </c>
    </row>
    <row r="234" spans="1:6" x14ac:dyDescent="0.3">
      <c r="A234" t="s">
        <v>62</v>
      </c>
      <c r="B234" t="s">
        <v>632</v>
      </c>
      <c r="C234" t="s">
        <v>1715</v>
      </c>
      <c r="D234" t="s">
        <v>1419</v>
      </c>
      <c r="E234" t="s">
        <v>1420</v>
      </c>
      <c r="F234" t="s">
        <v>1421</v>
      </c>
    </row>
    <row r="235" spans="1:6" x14ac:dyDescent="0.3">
      <c r="A235" t="s">
        <v>60</v>
      </c>
      <c r="B235" t="s">
        <v>630</v>
      </c>
      <c r="C235" t="s">
        <v>1715</v>
      </c>
      <c r="D235" t="s">
        <v>1419</v>
      </c>
      <c r="E235" t="s">
        <v>1420</v>
      </c>
      <c r="F235" t="s">
        <v>1421</v>
      </c>
    </row>
    <row r="236" spans="1:6" x14ac:dyDescent="0.3">
      <c r="A236" t="s">
        <v>59</v>
      </c>
      <c r="B236" t="s">
        <v>629</v>
      </c>
      <c r="C236" t="s">
        <v>1715</v>
      </c>
      <c r="D236" t="s">
        <v>1419</v>
      </c>
      <c r="E236" t="s">
        <v>1420</v>
      </c>
      <c r="F236" t="s">
        <v>1421</v>
      </c>
    </row>
    <row r="237" spans="1:6" x14ac:dyDescent="0.3">
      <c r="A237" t="s">
        <v>73</v>
      </c>
      <c r="B237" t="s">
        <v>643</v>
      </c>
      <c r="C237" t="s">
        <v>1716</v>
      </c>
      <c r="D237" t="s">
        <v>1419</v>
      </c>
      <c r="E237" t="s">
        <v>1420</v>
      </c>
      <c r="F237" t="s">
        <v>1421</v>
      </c>
    </row>
    <row r="238" spans="1:6" x14ac:dyDescent="0.3">
      <c r="A238" t="s">
        <v>1250</v>
      </c>
      <c r="B238" t="s">
        <v>644</v>
      </c>
      <c r="C238" t="s">
        <v>1716</v>
      </c>
      <c r="D238" t="s">
        <v>1419</v>
      </c>
      <c r="E238" t="s">
        <v>1420</v>
      </c>
      <c r="F238" t="s">
        <v>1421</v>
      </c>
    </row>
    <row r="239" spans="1:6" x14ac:dyDescent="0.3">
      <c r="A239" t="s">
        <v>72</v>
      </c>
      <c r="B239" t="s">
        <v>642</v>
      </c>
      <c r="C239" t="s">
        <v>1716</v>
      </c>
      <c r="D239" t="s">
        <v>1419</v>
      </c>
      <c r="E239" t="s">
        <v>1420</v>
      </c>
      <c r="F239" t="s">
        <v>1421</v>
      </c>
    </row>
    <row r="240" spans="1:6" x14ac:dyDescent="0.3">
      <c r="A240" t="s">
        <v>71</v>
      </c>
      <c r="B240" t="s">
        <v>641</v>
      </c>
      <c r="C240" t="s">
        <v>1716</v>
      </c>
      <c r="D240" t="s">
        <v>1419</v>
      </c>
      <c r="E240" t="s">
        <v>1420</v>
      </c>
      <c r="F240" t="s">
        <v>1421</v>
      </c>
    </row>
    <row r="241" spans="1:6" x14ac:dyDescent="0.3">
      <c r="A241" t="s">
        <v>76</v>
      </c>
      <c r="B241" t="s">
        <v>647</v>
      </c>
      <c r="C241" t="s">
        <v>1716</v>
      </c>
      <c r="D241" t="s">
        <v>1419</v>
      </c>
      <c r="E241" t="s">
        <v>1420</v>
      </c>
      <c r="F241" t="s">
        <v>1421</v>
      </c>
    </row>
    <row r="242" spans="1:6" x14ac:dyDescent="0.3">
      <c r="A242" t="s">
        <v>77</v>
      </c>
      <c r="B242" t="s">
        <v>648</v>
      </c>
      <c r="C242" t="s">
        <v>1716</v>
      </c>
      <c r="D242" t="s">
        <v>1419</v>
      </c>
      <c r="E242" t="s">
        <v>1420</v>
      </c>
      <c r="F242" t="s">
        <v>1421</v>
      </c>
    </row>
    <row r="243" spans="1:6" x14ac:dyDescent="0.3">
      <c r="A243" t="s">
        <v>75</v>
      </c>
      <c r="B243" t="s">
        <v>646</v>
      </c>
      <c r="C243" t="s">
        <v>1716</v>
      </c>
      <c r="D243" t="s">
        <v>1419</v>
      </c>
      <c r="E243" t="s">
        <v>1420</v>
      </c>
      <c r="F243" t="s">
        <v>1421</v>
      </c>
    </row>
    <row r="244" spans="1:6" x14ac:dyDescent="0.3">
      <c r="A244" t="s">
        <v>74</v>
      </c>
      <c r="B244" t="s">
        <v>645</v>
      </c>
      <c r="C244" t="s">
        <v>1716</v>
      </c>
      <c r="D244" t="s">
        <v>1419</v>
      </c>
      <c r="E244" t="s">
        <v>1420</v>
      </c>
      <c r="F244" t="s">
        <v>1421</v>
      </c>
    </row>
    <row r="245" spans="1:6" x14ac:dyDescent="0.3">
      <c r="A245" t="s">
        <v>80</v>
      </c>
      <c r="B245" t="s">
        <v>651</v>
      </c>
      <c r="C245" t="s">
        <v>1716</v>
      </c>
      <c r="D245" t="s">
        <v>1419</v>
      </c>
      <c r="E245" t="s">
        <v>1420</v>
      </c>
      <c r="F245" t="s">
        <v>1421</v>
      </c>
    </row>
    <row r="246" spans="1:6" x14ac:dyDescent="0.3">
      <c r="A246" t="s">
        <v>81</v>
      </c>
      <c r="B246" t="s">
        <v>652</v>
      </c>
      <c r="C246" t="s">
        <v>1716</v>
      </c>
      <c r="D246" t="s">
        <v>1419</v>
      </c>
      <c r="E246" t="s">
        <v>1420</v>
      </c>
      <c r="F246" t="s">
        <v>1421</v>
      </c>
    </row>
    <row r="247" spans="1:6" x14ac:dyDescent="0.3">
      <c r="A247" t="s">
        <v>79</v>
      </c>
      <c r="B247" t="s">
        <v>650</v>
      </c>
      <c r="C247" t="s">
        <v>1716</v>
      </c>
      <c r="D247" t="s">
        <v>1419</v>
      </c>
      <c r="E247" t="s">
        <v>1420</v>
      </c>
      <c r="F247" t="s">
        <v>1421</v>
      </c>
    </row>
    <row r="248" spans="1:6" x14ac:dyDescent="0.3">
      <c r="A248" t="s">
        <v>78</v>
      </c>
      <c r="B248" t="s">
        <v>649</v>
      </c>
      <c r="C248" t="s">
        <v>1716</v>
      </c>
      <c r="D248" t="s">
        <v>1419</v>
      </c>
      <c r="E248" t="s">
        <v>1420</v>
      </c>
      <c r="F248" t="s">
        <v>1421</v>
      </c>
    </row>
    <row r="249" spans="1:6" x14ac:dyDescent="0.3">
      <c r="A249" t="s">
        <v>95</v>
      </c>
      <c r="B249" t="s">
        <v>668</v>
      </c>
      <c r="C249" t="s">
        <v>1717</v>
      </c>
      <c r="D249" t="s">
        <v>1419</v>
      </c>
      <c r="E249" t="s">
        <v>1420</v>
      </c>
      <c r="F249" t="s">
        <v>1421</v>
      </c>
    </row>
    <row r="250" spans="1:6" x14ac:dyDescent="0.3">
      <c r="A250" t="s">
        <v>96</v>
      </c>
      <c r="B250" t="s">
        <v>669</v>
      </c>
      <c r="C250" t="s">
        <v>1717</v>
      </c>
      <c r="D250" t="s">
        <v>1419</v>
      </c>
      <c r="E250" t="s">
        <v>1420</v>
      </c>
      <c r="F250" t="s">
        <v>1421</v>
      </c>
    </row>
    <row r="251" spans="1:6" x14ac:dyDescent="0.3">
      <c r="A251" t="s">
        <v>94</v>
      </c>
      <c r="B251" t="s">
        <v>667</v>
      </c>
      <c r="C251" t="s">
        <v>1717</v>
      </c>
      <c r="D251" t="s">
        <v>1419</v>
      </c>
      <c r="E251" t="s">
        <v>1420</v>
      </c>
      <c r="F251" t="s">
        <v>1421</v>
      </c>
    </row>
    <row r="252" spans="1:6" x14ac:dyDescent="0.3">
      <c r="A252" t="s">
        <v>93</v>
      </c>
      <c r="B252" t="s">
        <v>666</v>
      </c>
      <c r="C252" t="s">
        <v>1717</v>
      </c>
      <c r="D252" t="s">
        <v>1419</v>
      </c>
      <c r="E252" t="s">
        <v>1420</v>
      </c>
      <c r="F252" t="s">
        <v>1421</v>
      </c>
    </row>
    <row r="253" spans="1:6" x14ac:dyDescent="0.3">
      <c r="A253" t="s">
        <v>1718</v>
      </c>
      <c r="B253" t="s">
        <v>1719</v>
      </c>
      <c r="C253" t="s">
        <v>1720</v>
      </c>
      <c r="D253" t="s">
        <v>1434</v>
      </c>
      <c r="E253" t="s">
        <v>1423</v>
      </c>
      <c r="F253" t="s">
        <v>1424</v>
      </c>
    </row>
    <row r="254" spans="1:6" x14ac:dyDescent="0.3">
      <c r="A254" t="s">
        <v>1312</v>
      </c>
      <c r="B254" t="s">
        <v>709</v>
      </c>
      <c r="C254" t="s">
        <v>1720</v>
      </c>
      <c r="D254" t="s">
        <v>1434</v>
      </c>
      <c r="E254" t="s">
        <v>1423</v>
      </c>
      <c r="F254" t="s">
        <v>1424</v>
      </c>
    </row>
    <row r="255" spans="1:6" x14ac:dyDescent="0.3">
      <c r="A255" t="s">
        <v>1721</v>
      </c>
      <c r="B255" t="s">
        <v>1722</v>
      </c>
      <c r="C255" t="s">
        <v>1720</v>
      </c>
      <c r="D255" t="s">
        <v>1434</v>
      </c>
      <c r="E255" t="s">
        <v>1423</v>
      </c>
      <c r="F255" t="s">
        <v>1424</v>
      </c>
    </row>
    <row r="256" spans="1:6" x14ac:dyDescent="0.3">
      <c r="A256" t="s">
        <v>1723</v>
      </c>
      <c r="B256" t="s">
        <v>1724</v>
      </c>
      <c r="C256" t="s">
        <v>1720</v>
      </c>
      <c r="D256" t="s">
        <v>1434</v>
      </c>
      <c r="E256" t="s">
        <v>1423</v>
      </c>
      <c r="F256" t="s">
        <v>1424</v>
      </c>
    </row>
    <row r="257" spans="1:6" x14ac:dyDescent="0.3">
      <c r="A257" t="s">
        <v>123</v>
      </c>
      <c r="B257" t="s">
        <v>720</v>
      </c>
      <c r="C257" t="s">
        <v>1725</v>
      </c>
      <c r="D257" t="s">
        <v>1434</v>
      </c>
      <c r="E257" t="s">
        <v>1423</v>
      </c>
      <c r="F257" t="s">
        <v>1424</v>
      </c>
    </row>
    <row r="258" spans="1:6" x14ac:dyDescent="0.3">
      <c r="A258" t="s">
        <v>1315</v>
      </c>
      <c r="B258" t="s">
        <v>721</v>
      </c>
      <c r="C258" t="s">
        <v>1725</v>
      </c>
      <c r="D258" t="s">
        <v>1434</v>
      </c>
      <c r="E258" t="s">
        <v>1423</v>
      </c>
      <c r="F258" t="s">
        <v>1424</v>
      </c>
    </row>
    <row r="259" spans="1:6" x14ac:dyDescent="0.3">
      <c r="A259" t="s">
        <v>122</v>
      </c>
      <c r="B259" t="s">
        <v>719</v>
      </c>
      <c r="C259" t="s">
        <v>1725</v>
      </c>
      <c r="D259" t="s">
        <v>1434</v>
      </c>
      <c r="E259" t="s">
        <v>1423</v>
      </c>
      <c r="F259" t="s">
        <v>1424</v>
      </c>
    </row>
    <row r="260" spans="1:6" x14ac:dyDescent="0.3">
      <c r="A260" t="s">
        <v>1314</v>
      </c>
      <c r="B260" t="s">
        <v>718</v>
      </c>
      <c r="C260" t="s">
        <v>1725</v>
      </c>
      <c r="D260" t="s">
        <v>1434</v>
      </c>
      <c r="E260" t="s">
        <v>1423</v>
      </c>
      <c r="F260" t="s">
        <v>1424</v>
      </c>
    </row>
    <row r="261" spans="1:6" x14ac:dyDescent="0.3">
      <c r="A261" t="s">
        <v>161</v>
      </c>
      <c r="B261" t="s">
        <v>1726</v>
      </c>
      <c r="C261" t="s">
        <v>1727</v>
      </c>
      <c r="D261" t="s">
        <v>1434</v>
      </c>
      <c r="E261" t="s">
        <v>1423</v>
      </c>
      <c r="F261" t="s">
        <v>1424</v>
      </c>
    </row>
    <row r="262" spans="1:6" x14ac:dyDescent="0.3">
      <c r="A262" t="s">
        <v>1728</v>
      </c>
      <c r="B262" t="s">
        <v>1729</v>
      </c>
      <c r="C262" t="s">
        <v>1727</v>
      </c>
      <c r="D262" t="s">
        <v>1434</v>
      </c>
      <c r="E262" t="s">
        <v>1423</v>
      </c>
      <c r="F262" t="s">
        <v>1424</v>
      </c>
    </row>
    <row r="263" spans="1:6" x14ac:dyDescent="0.3">
      <c r="A263" t="s">
        <v>160</v>
      </c>
      <c r="B263" t="s">
        <v>1730</v>
      </c>
      <c r="C263" t="s">
        <v>1727</v>
      </c>
      <c r="D263" t="s">
        <v>1434</v>
      </c>
      <c r="E263" t="s">
        <v>1423</v>
      </c>
      <c r="F263" t="s">
        <v>1424</v>
      </c>
    </row>
    <row r="264" spans="1:6" x14ac:dyDescent="0.3">
      <c r="A264" t="s">
        <v>1326</v>
      </c>
      <c r="B264" t="s">
        <v>1731</v>
      </c>
      <c r="C264" t="s">
        <v>1727</v>
      </c>
      <c r="D264" t="s">
        <v>1434</v>
      </c>
      <c r="E264" t="s">
        <v>1423</v>
      </c>
      <c r="F264" t="s">
        <v>1424</v>
      </c>
    </row>
    <row r="265" spans="1:6" x14ac:dyDescent="0.3">
      <c r="A265" t="s">
        <v>171</v>
      </c>
      <c r="B265" t="s">
        <v>773</v>
      </c>
      <c r="C265" t="s">
        <v>1732</v>
      </c>
      <c r="D265" t="s">
        <v>1434</v>
      </c>
      <c r="E265" t="s">
        <v>1420</v>
      </c>
      <c r="F265" t="s">
        <v>1421</v>
      </c>
    </row>
    <row r="266" spans="1:6" x14ac:dyDescent="0.3">
      <c r="A266" t="s">
        <v>172</v>
      </c>
      <c r="B266" t="s">
        <v>774</v>
      </c>
      <c r="C266" t="s">
        <v>1732</v>
      </c>
      <c r="D266" t="s">
        <v>1434</v>
      </c>
      <c r="E266" t="s">
        <v>1420</v>
      </c>
      <c r="F266" t="s">
        <v>1421</v>
      </c>
    </row>
    <row r="267" spans="1:6" x14ac:dyDescent="0.3">
      <c r="A267" t="s">
        <v>170</v>
      </c>
      <c r="B267" t="s">
        <v>772</v>
      </c>
      <c r="C267" t="s">
        <v>1732</v>
      </c>
      <c r="D267" t="s">
        <v>1434</v>
      </c>
      <c r="E267" t="s">
        <v>1420</v>
      </c>
      <c r="F267" t="s">
        <v>1421</v>
      </c>
    </row>
    <row r="268" spans="1:6" x14ac:dyDescent="0.3">
      <c r="A268" t="s">
        <v>169</v>
      </c>
      <c r="B268" t="s">
        <v>771</v>
      </c>
      <c r="C268" t="s">
        <v>1732</v>
      </c>
      <c r="D268" t="s">
        <v>1434</v>
      </c>
      <c r="E268" t="s">
        <v>1420</v>
      </c>
      <c r="F268" t="s">
        <v>1421</v>
      </c>
    </row>
    <row r="269" spans="1:6" x14ac:dyDescent="0.3">
      <c r="A269" t="s">
        <v>184</v>
      </c>
      <c r="B269" t="s">
        <v>786</v>
      </c>
      <c r="C269" t="s">
        <v>1733</v>
      </c>
      <c r="D269" t="s">
        <v>1434</v>
      </c>
      <c r="E269" t="s">
        <v>1423</v>
      </c>
      <c r="F269" t="s">
        <v>1424</v>
      </c>
    </row>
    <row r="270" spans="1:6" x14ac:dyDescent="0.3">
      <c r="A270" t="s">
        <v>185</v>
      </c>
      <c r="B270" t="s">
        <v>787</v>
      </c>
      <c r="C270" t="s">
        <v>1733</v>
      </c>
      <c r="D270" t="s">
        <v>1434</v>
      </c>
      <c r="E270" t="s">
        <v>1423</v>
      </c>
      <c r="F270" t="s">
        <v>1424</v>
      </c>
    </row>
    <row r="271" spans="1:6" x14ac:dyDescent="0.3">
      <c r="A271" t="s">
        <v>183</v>
      </c>
      <c r="B271" t="s">
        <v>785</v>
      </c>
      <c r="C271" t="s">
        <v>1733</v>
      </c>
      <c r="D271" t="s">
        <v>1434</v>
      </c>
      <c r="E271" t="s">
        <v>1423</v>
      </c>
      <c r="F271" t="s">
        <v>1424</v>
      </c>
    </row>
    <row r="272" spans="1:6" x14ac:dyDescent="0.3">
      <c r="A272" t="s">
        <v>182</v>
      </c>
      <c r="B272" t="s">
        <v>784</v>
      </c>
      <c r="C272" t="s">
        <v>1733</v>
      </c>
      <c r="D272" t="s">
        <v>1434</v>
      </c>
      <c r="E272" t="s">
        <v>1423</v>
      </c>
      <c r="F272" t="s">
        <v>1424</v>
      </c>
    </row>
    <row r="273" spans="1:6" x14ac:dyDescent="0.3">
      <c r="A273" t="s">
        <v>186</v>
      </c>
      <c r="B273" t="s">
        <v>790</v>
      </c>
      <c r="C273" t="s">
        <v>1733</v>
      </c>
      <c r="D273" t="s">
        <v>1434</v>
      </c>
      <c r="E273" t="s">
        <v>1423</v>
      </c>
      <c r="F273" t="s">
        <v>1424</v>
      </c>
    </row>
    <row r="274" spans="1:6" x14ac:dyDescent="0.3">
      <c r="A274" t="s">
        <v>1284</v>
      </c>
      <c r="B274" t="s">
        <v>1734</v>
      </c>
      <c r="C274" t="s">
        <v>1733</v>
      </c>
      <c r="D274" t="s">
        <v>1434</v>
      </c>
      <c r="E274" t="s">
        <v>1423</v>
      </c>
      <c r="F274" t="s">
        <v>1424</v>
      </c>
    </row>
    <row r="275" spans="1:6" x14ac:dyDescent="0.3">
      <c r="A275" t="s">
        <v>1259</v>
      </c>
      <c r="B275" t="s">
        <v>789</v>
      </c>
      <c r="C275" t="s">
        <v>1733</v>
      </c>
      <c r="D275" t="s">
        <v>1434</v>
      </c>
      <c r="E275" t="s">
        <v>1423</v>
      </c>
      <c r="F275" t="s">
        <v>1424</v>
      </c>
    </row>
    <row r="276" spans="1:6" x14ac:dyDescent="0.3">
      <c r="A276" t="s">
        <v>1283</v>
      </c>
      <c r="B276" t="s">
        <v>788</v>
      </c>
      <c r="C276" t="s">
        <v>1733</v>
      </c>
      <c r="D276" t="s">
        <v>1434</v>
      </c>
      <c r="E276" t="s">
        <v>1423</v>
      </c>
      <c r="F276" t="s">
        <v>1424</v>
      </c>
    </row>
    <row r="277" spans="1:6" x14ac:dyDescent="0.3">
      <c r="A277" t="s">
        <v>1260</v>
      </c>
      <c r="B277" t="s">
        <v>1735</v>
      </c>
      <c r="C277" t="s">
        <v>1736</v>
      </c>
      <c r="D277" t="s">
        <v>1434</v>
      </c>
      <c r="E277" t="s">
        <v>1423</v>
      </c>
      <c r="F277" t="s">
        <v>1424</v>
      </c>
    </row>
    <row r="278" spans="1:6" x14ac:dyDescent="0.3">
      <c r="A278" t="s">
        <v>190</v>
      </c>
      <c r="B278" t="s">
        <v>1737</v>
      </c>
      <c r="C278" t="s">
        <v>1736</v>
      </c>
      <c r="D278" t="s">
        <v>1434</v>
      </c>
      <c r="E278" t="s">
        <v>1423</v>
      </c>
      <c r="F278" t="s">
        <v>1424</v>
      </c>
    </row>
    <row r="279" spans="1:6" x14ac:dyDescent="0.3">
      <c r="A279" t="s">
        <v>1285</v>
      </c>
      <c r="B279" t="s">
        <v>1738</v>
      </c>
      <c r="C279" t="s">
        <v>1736</v>
      </c>
      <c r="D279" t="s">
        <v>1434</v>
      </c>
      <c r="E279" t="s">
        <v>1423</v>
      </c>
      <c r="F279" t="s">
        <v>1424</v>
      </c>
    </row>
    <row r="280" spans="1:6" x14ac:dyDescent="0.3">
      <c r="A280" t="s">
        <v>189</v>
      </c>
      <c r="B280" t="s">
        <v>792</v>
      </c>
      <c r="C280" t="s">
        <v>1736</v>
      </c>
      <c r="D280" t="s">
        <v>1434</v>
      </c>
      <c r="E280" t="s">
        <v>1423</v>
      </c>
      <c r="F280" t="s">
        <v>1424</v>
      </c>
    </row>
    <row r="281" spans="1:6" x14ac:dyDescent="0.3">
      <c r="A281" t="s">
        <v>188</v>
      </c>
      <c r="B281" t="s">
        <v>1739</v>
      </c>
      <c r="C281" t="s">
        <v>1736</v>
      </c>
      <c r="D281" t="s">
        <v>1434</v>
      </c>
      <c r="E281" t="s">
        <v>1423</v>
      </c>
      <c r="F281" t="s">
        <v>1424</v>
      </c>
    </row>
    <row r="282" spans="1:6" x14ac:dyDescent="0.3">
      <c r="A282" t="s">
        <v>187</v>
      </c>
      <c r="B282" t="s">
        <v>791</v>
      </c>
      <c r="C282" t="s">
        <v>1736</v>
      </c>
      <c r="D282" t="s">
        <v>1434</v>
      </c>
      <c r="E282" t="s">
        <v>1423</v>
      </c>
      <c r="F282" t="s">
        <v>1424</v>
      </c>
    </row>
    <row r="283" spans="1:6" x14ac:dyDescent="0.3">
      <c r="A283" t="s">
        <v>200</v>
      </c>
      <c r="B283" t="s">
        <v>802</v>
      </c>
      <c r="C283" t="s">
        <v>1740</v>
      </c>
      <c r="D283" t="s">
        <v>1439</v>
      </c>
      <c r="E283" t="s">
        <v>1420</v>
      </c>
      <c r="F283" t="s">
        <v>1421</v>
      </c>
    </row>
    <row r="284" spans="1:6" x14ac:dyDescent="0.3">
      <c r="A284" t="s">
        <v>201</v>
      </c>
      <c r="B284" t="s">
        <v>803</v>
      </c>
      <c r="C284" t="s">
        <v>1740</v>
      </c>
      <c r="D284" t="s">
        <v>1439</v>
      </c>
      <c r="E284" t="s">
        <v>1420</v>
      </c>
      <c r="F284" t="s">
        <v>1421</v>
      </c>
    </row>
    <row r="285" spans="1:6" x14ac:dyDescent="0.3">
      <c r="A285" t="s">
        <v>199</v>
      </c>
      <c r="B285" t="s">
        <v>801</v>
      </c>
      <c r="C285" t="s">
        <v>1740</v>
      </c>
      <c r="D285" t="s">
        <v>1439</v>
      </c>
      <c r="E285" t="s">
        <v>1420</v>
      </c>
      <c r="F285" t="s">
        <v>1421</v>
      </c>
    </row>
    <row r="286" spans="1:6" x14ac:dyDescent="0.3">
      <c r="A286" t="s">
        <v>198</v>
      </c>
      <c r="B286" t="s">
        <v>800</v>
      </c>
      <c r="C286" t="s">
        <v>1740</v>
      </c>
      <c r="D286" t="s">
        <v>1439</v>
      </c>
      <c r="E286" t="s">
        <v>1420</v>
      </c>
      <c r="F286" t="s">
        <v>1421</v>
      </c>
    </row>
    <row r="287" spans="1:6" x14ac:dyDescent="0.3">
      <c r="A287" t="s">
        <v>224</v>
      </c>
      <c r="B287" t="s">
        <v>832</v>
      </c>
      <c r="C287" t="s">
        <v>1741</v>
      </c>
      <c r="D287" t="s">
        <v>1439</v>
      </c>
      <c r="E287" t="s">
        <v>1420</v>
      </c>
      <c r="F287" t="s">
        <v>1421</v>
      </c>
    </row>
    <row r="288" spans="1:6" x14ac:dyDescent="0.3">
      <c r="A288" t="s">
        <v>225</v>
      </c>
      <c r="B288" t="s">
        <v>833</v>
      </c>
      <c r="C288" t="s">
        <v>1741</v>
      </c>
      <c r="D288" t="s">
        <v>1439</v>
      </c>
      <c r="E288" t="s">
        <v>1420</v>
      </c>
      <c r="F288" t="s">
        <v>1421</v>
      </c>
    </row>
    <row r="289" spans="1:6" x14ac:dyDescent="0.3">
      <c r="A289" t="s">
        <v>223</v>
      </c>
      <c r="B289" t="s">
        <v>831</v>
      </c>
      <c r="C289" t="s">
        <v>1741</v>
      </c>
      <c r="D289" t="s">
        <v>1439</v>
      </c>
      <c r="E289" t="s">
        <v>1420</v>
      </c>
      <c r="F289" t="s">
        <v>1421</v>
      </c>
    </row>
    <row r="290" spans="1:6" x14ac:dyDescent="0.3">
      <c r="A290" t="s">
        <v>222</v>
      </c>
      <c r="B290" t="s">
        <v>830</v>
      </c>
      <c r="C290" t="s">
        <v>1741</v>
      </c>
      <c r="D290" t="s">
        <v>1439</v>
      </c>
      <c r="E290" t="s">
        <v>1420</v>
      </c>
      <c r="F290" t="s">
        <v>1421</v>
      </c>
    </row>
    <row r="291" spans="1:6" x14ac:dyDescent="0.3">
      <c r="A291" t="s">
        <v>1742</v>
      </c>
      <c r="B291" t="s">
        <v>829</v>
      </c>
      <c r="C291" t="s">
        <v>1741</v>
      </c>
      <c r="D291" t="s">
        <v>1439</v>
      </c>
      <c r="E291" t="s">
        <v>1420</v>
      </c>
      <c r="F291" t="s">
        <v>1421</v>
      </c>
    </row>
    <row r="292" spans="1:6" x14ac:dyDescent="0.3">
      <c r="A292" t="s">
        <v>230</v>
      </c>
      <c r="B292" t="s">
        <v>1743</v>
      </c>
      <c r="C292" t="s">
        <v>1744</v>
      </c>
      <c r="D292" t="s">
        <v>1439</v>
      </c>
      <c r="E292" t="s">
        <v>1423</v>
      </c>
      <c r="F292" t="s">
        <v>1424</v>
      </c>
    </row>
    <row r="293" spans="1:6" x14ac:dyDescent="0.3">
      <c r="A293" t="s">
        <v>229</v>
      </c>
      <c r="B293" t="s">
        <v>836</v>
      </c>
      <c r="C293" t="s">
        <v>1744</v>
      </c>
      <c r="D293" t="s">
        <v>1439</v>
      </c>
      <c r="E293" t="s">
        <v>1423</v>
      </c>
      <c r="F293" t="s">
        <v>1424</v>
      </c>
    </row>
    <row r="294" spans="1:6" x14ac:dyDescent="0.3">
      <c r="A294" t="s">
        <v>1261</v>
      </c>
      <c r="B294" t="s">
        <v>1745</v>
      </c>
      <c r="C294" t="s">
        <v>1744</v>
      </c>
      <c r="D294" t="s">
        <v>1439</v>
      </c>
      <c r="E294" t="s">
        <v>1423</v>
      </c>
      <c r="F294" t="s">
        <v>1424</v>
      </c>
    </row>
    <row r="295" spans="1:6" x14ac:dyDescent="0.3">
      <c r="A295" t="s">
        <v>228</v>
      </c>
      <c r="B295" t="s">
        <v>835</v>
      </c>
      <c r="C295" t="s">
        <v>1744</v>
      </c>
      <c r="D295" t="s">
        <v>1439</v>
      </c>
      <c r="E295" t="s">
        <v>1423</v>
      </c>
      <c r="F295" t="s">
        <v>1424</v>
      </c>
    </row>
    <row r="296" spans="1:6" x14ac:dyDescent="0.3">
      <c r="A296" t="s">
        <v>227</v>
      </c>
      <c r="B296" t="s">
        <v>1746</v>
      </c>
      <c r="C296" t="s">
        <v>1744</v>
      </c>
      <c r="D296" t="s">
        <v>1439</v>
      </c>
      <c r="E296" t="s">
        <v>1423</v>
      </c>
      <c r="F296" t="s">
        <v>1424</v>
      </c>
    </row>
    <row r="297" spans="1:6" x14ac:dyDescent="0.3">
      <c r="A297" t="s">
        <v>226</v>
      </c>
      <c r="B297" t="s">
        <v>834</v>
      </c>
      <c r="C297" t="s">
        <v>1744</v>
      </c>
      <c r="D297" t="s">
        <v>1439</v>
      </c>
      <c r="E297" t="s">
        <v>1423</v>
      </c>
      <c r="F297" t="s">
        <v>1424</v>
      </c>
    </row>
    <row r="298" spans="1:6" x14ac:dyDescent="0.3">
      <c r="A298" t="s">
        <v>1287</v>
      </c>
      <c r="B298" t="s">
        <v>881</v>
      </c>
      <c r="C298" t="s">
        <v>1747</v>
      </c>
      <c r="D298" t="s">
        <v>1439</v>
      </c>
      <c r="E298" t="s">
        <v>1423</v>
      </c>
      <c r="F298" t="s">
        <v>1424</v>
      </c>
    </row>
    <row r="299" spans="1:6" x14ac:dyDescent="0.3">
      <c r="A299" t="s">
        <v>253</v>
      </c>
      <c r="B299" t="s">
        <v>880</v>
      </c>
      <c r="C299" t="s">
        <v>1747</v>
      </c>
      <c r="D299" t="s">
        <v>1439</v>
      </c>
      <c r="E299" t="s">
        <v>1423</v>
      </c>
      <c r="F299" t="s">
        <v>1424</v>
      </c>
    </row>
    <row r="300" spans="1:6" x14ac:dyDescent="0.3">
      <c r="A300" t="s">
        <v>252</v>
      </c>
      <c r="B300" t="s">
        <v>879</v>
      </c>
      <c r="C300" t="s">
        <v>1747</v>
      </c>
      <c r="D300" t="s">
        <v>1439</v>
      </c>
      <c r="E300" t="s">
        <v>1423</v>
      </c>
      <c r="F300" t="s">
        <v>1424</v>
      </c>
    </row>
    <row r="301" spans="1:6" x14ac:dyDescent="0.3">
      <c r="A301" t="s">
        <v>281</v>
      </c>
      <c r="B301" t="s">
        <v>931</v>
      </c>
      <c r="C301" t="s">
        <v>1748</v>
      </c>
      <c r="D301" t="s">
        <v>1429</v>
      </c>
      <c r="E301" t="s">
        <v>1420</v>
      </c>
      <c r="F301" t="s">
        <v>1421</v>
      </c>
    </row>
    <row r="302" spans="1:6" x14ac:dyDescent="0.3">
      <c r="A302" t="s">
        <v>280</v>
      </c>
      <c r="B302" t="s">
        <v>1749</v>
      </c>
      <c r="C302" t="s">
        <v>1748</v>
      </c>
      <c r="D302" t="s">
        <v>1429</v>
      </c>
      <c r="E302" t="s">
        <v>1420</v>
      </c>
      <c r="F302" t="s">
        <v>1421</v>
      </c>
    </row>
    <row r="303" spans="1:6" x14ac:dyDescent="0.3">
      <c r="A303" t="s">
        <v>279</v>
      </c>
      <c r="B303" t="s">
        <v>930</v>
      </c>
      <c r="C303" t="s">
        <v>1748</v>
      </c>
      <c r="D303" t="s">
        <v>1429</v>
      </c>
      <c r="E303" t="s">
        <v>1420</v>
      </c>
      <c r="F303" t="s">
        <v>1421</v>
      </c>
    </row>
    <row r="304" spans="1:6" x14ac:dyDescent="0.3">
      <c r="A304" t="s">
        <v>340</v>
      </c>
      <c r="B304" t="s">
        <v>1009</v>
      </c>
      <c r="C304" t="s">
        <v>1750</v>
      </c>
      <c r="D304" t="s">
        <v>1429</v>
      </c>
      <c r="E304" t="s">
        <v>1423</v>
      </c>
      <c r="F304" t="s">
        <v>1421</v>
      </c>
    </row>
    <row r="305" spans="1:6" x14ac:dyDescent="0.3">
      <c r="A305" t="s">
        <v>341</v>
      </c>
      <c r="B305" t="s">
        <v>1751</v>
      </c>
      <c r="C305" t="s">
        <v>1750</v>
      </c>
      <c r="D305" t="s">
        <v>1429</v>
      </c>
      <c r="E305" t="s">
        <v>1423</v>
      </c>
      <c r="F305" t="s">
        <v>1421</v>
      </c>
    </row>
    <row r="306" spans="1:6" x14ac:dyDescent="0.3">
      <c r="A306" t="s">
        <v>339</v>
      </c>
      <c r="B306" t="s">
        <v>1008</v>
      </c>
      <c r="C306" t="s">
        <v>1750</v>
      </c>
      <c r="D306" t="s">
        <v>1429</v>
      </c>
      <c r="E306" t="s">
        <v>1423</v>
      </c>
      <c r="F306" t="s">
        <v>1421</v>
      </c>
    </row>
    <row r="307" spans="1:6" x14ac:dyDescent="0.3">
      <c r="A307" t="s">
        <v>338</v>
      </c>
      <c r="B307" t="s">
        <v>1007</v>
      </c>
      <c r="C307" t="s">
        <v>1750</v>
      </c>
      <c r="D307" t="s">
        <v>1429</v>
      </c>
      <c r="E307" t="s">
        <v>1423</v>
      </c>
      <c r="F307" t="s">
        <v>1421</v>
      </c>
    </row>
    <row r="308" spans="1:6" x14ac:dyDescent="0.3">
      <c r="A308" t="s">
        <v>344</v>
      </c>
      <c r="B308" t="s">
        <v>1012</v>
      </c>
      <c r="C308" t="s">
        <v>1752</v>
      </c>
      <c r="D308" t="s">
        <v>1429</v>
      </c>
      <c r="E308" t="s">
        <v>1420</v>
      </c>
      <c r="F308" t="s">
        <v>1421</v>
      </c>
    </row>
    <row r="309" spans="1:6" x14ac:dyDescent="0.3">
      <c r="A309" t="s">
        <v>345</v>
      </c>
      <c r="B309" t="s">
        <v>1013</v>
      </c>
      <c r="C309" t="s">
        <v>1752</v>
      </c>
      <c r="D309" t="s">
        <v>1429</v>
      </c>
      <c r="E309" t="s">
        <v>1420</v>
      </c>
      <c r="F309" t="s">
        <v>1421</v>
      </c>
    </row>
    <row r="310" spans="1:6" x14ac:dyDescent="0.3">
      <c r="A310" t="s">
        <v>343</v>
      </c>
      <c r="B310" t="s">
        <v>1011</v>
      </c>
      <c r="C310" t="s">
        <v>1752</v>
      </c>
      <c r="D310" t="s">
        <v>1429</v>
      </c>
      <c r="E310" t="s">
        <v>1420</v>
      </c>
      <c r="F310" t="s">
        <v>1421</v>
      </c>
    </row>
    <row r="311" spans="1:6" x14ac:dyDescent="0.3">
      <c r="A311" t="s">
        <v>342</v>
      </c>
      <c r="B311" t="s">
        <v>1010</v>
      </c>
      <c r="C311" t="s">
        <v>1752</v>
      </c>
      <c r="D311" t="s">
        <v>1429</v>
      </c>
      <c r="E311" t="s">
        <v>1420</v>
      </c>
      <c r="F311" t="s">
        <v>1421</v>
      </c>
    </row>
    <row r="312" spans="1:6" x14ac:dyDescent="0.3">
      <c r="A312" t="s">
        <v>391</v>
      </c>
      <c r="B312" t="s">
        <v>1753</v>
      </c>
      <c r="C312" t="s">
        <v>1754</v>
      </c>
      <c r="D312" t="s">
        <v>1429</v>
      </c>
      <c r="E312" t="s">
        <v>1420</v>
      </c>
      <c r="F312" t="s">
        <v>1421</v>
      </c>
    </row>
    <row r="313" spans="1:6" x14ac:dyDescent="0.3">
      <c r="A313" t="s">
        <v>392</v>
      </c>
      <c r="B313" t="s">
        <v>1070</v>
      </c>
      <c r="C313" t="s">
        <v>1754</v>
      </c>
      <c r="D313" t="s">
        <v>1429</v>
      </c>
      <c r="E313" t="s">
        <v>1420</v>
      </c>
      <c r="F313" t="s">
        <v>1421</v>
      </c>
    </row>
    <row r="314" spans="1:6" x14ac:dyDescent="0.3">
      <c r="A314" t="s">
        <v>390</v>
      </c>
      <c r="B314" t="s">
        <v>1069</v>
      </c>
      <c r="C314" t="s">
        <v>1754</v>
      </c>
      <c r="D314" t="s">
        <v>1429</v>
      </c>
      <c r="E314" t="s">
        <v>1420</v>
      </c>
      <c r="F314" t="s">
        <v>1421</v>
      </c>
    </row>
    <row r="315" spans="1:6" x14ac:dyDescent="0.3">
      <c r="A315" t="s">
        <v>389</v>
      </c>
      <c r="B315" t="s">
        <v>1068</v>
      </c>
      <c r="C315" t="s">
        <v>1754</v>
      </c>
      <c r="D315" t="s">
        <v>1429</v>
      </c>
      <c r="E315" t="s">
        <v>1420</v>
      </c>
      <c r="F315" t="s">
        <v>1421</v>
      </c>
    </row>
    <row r="316" spans="1:6" x14ac:dyDescent="0.3">
      <c r="A316" t="s">
        <v>410</v>
      </c>
      <c r="B316" t="s">
        <v>1093</v>
      </c>
      <c r="C316" t="s">
        <v>1755</v>
      </c>
      <c r="D316" t="s">
        <v>1429</v>
      </c>
      <c r="E316" t="s">
        <v>1420</v>
      </c>
      <c r="F316" t="s">
        <v>1421</v>
      </c>
    </row>
    <row r="317" spans="1:6" x14ac:dyDescent="0.3">
      <c r="A317" t="s">
        <v>411</v>
      </c>
      <c r="B317" t="s">
        <v>1756</v>
      </c>
      <c r="C317" t="s">
        <v>1755</v>
      </c>
      <c r="D317" t="s">
        <v>1429</v>
      </c>
      <c r="E317" t="s">
        <v>1420</v>
      </c>
      <c r="F317" t="s">
        <v>1421</v>
      </c>
    </row>
    <row r="318" spans="1:6" x14ac:dyDescent="0.3">
      <c r="A318" t="s">
        <v>409</v>
      </c>
      <c r="B318" t="s">
        <v>1092</v>
      </c>
      <c r="C318" t="s">
        <v>1755</v>
      </c>
      <c r="D318" t="s">
        <v>1429</v>
      </c>
      <c r="E318" t="s">
        <v>1420</v>
      </c>
      <c r="F318" t="s">
        <v>1421</v>
      </c>
    </row>
    <row r="319" spans="1:6" x14ac:dyDescent="0.3">
      <c r="A319" t="s">
        <v>1288</v>
      </c>
      <c r="B319" t="s">
        <v>1091</v>
      </c>
      <c r="C319" t="s">
        <v>1755</v>
      </c>
      <c r="D319" t="s">
        <v>1429</v>
      </c>
      <c r="E319" t="s">
        <v>1420</v>
      </c>
      <c r="F319" t="s">
        <v>1421</v>
      </c>
    </row>
    <row r="320" spans="1:6" x14ac:dyDescent="0.3">
      <c r="A320" t="s">
        <v>414</v>
      </c>
      <c r="B320" t="s">
        <v>1096</v>
      </c>
      <c r="C320" t="s">
        <v>1755</v>
      </c>
      <c r="D320" t="s">
        <v>1429</v>
      </c>
      <c r="E320" t="s">
        <v>1420</v>
      </c>
      <c r="F320" t="s">
        <v>1421</v>
      </c>
    </row>
    <row r="321" spans="1:6" x14ac:dyDescent="0.3">
      <c r="A321" t="s">
        <v>415</v>
      </c>
      <c r="B321" t="s">
        <v>1097</v>
      </c>
      <c r="C321" t="s">
        <v>1755</v>
      </c>
      <c r="D321" t="s">
        <v>1429</v>
      </c>
      <c r="E321" t="s">
        <v>1420</v>
      </c>
      <c r="F321" t="s">
        <v>1421</v>
      </c>
    </row>
    <row r="322" spans="1:6" x14ac:dyDescent="0.3">
      <c r="A322" t="s">
        <v>413</v>
      </c>
      <c r="B322" t="s">
        <v>1095</v>
      </c>
      <c r="C322" t="s">
        <v>1755</v>
      </c>
      <c r="D322" t="s">
        <v>1429</v>
      </c>
      <c r="E322" t="s">
        <v>1420</v>
      </c>
      <c r="F322" t="s">
        <v>1421</v>
      </c>
    </row>
    <row r="323" spans="1:6" x14ac:dyDescent="0.3">
      <c r="A323" t="s">
        <v>412</v>
      </c>
      <c r="B323" t="s">
        <v>1094</v>
      </c>
      <c r="C323" t="s">
        <v>1755</v>
      </c>
      <c r="D323" t="s">
        <v>1429</v>
      </c>
      <c r="E323" t="s">
        <v>1420</v>
      </c>
      <c r="F323" t="s">
        <v>1421</v>
      </c>
    </row>
    <row r="324" spans="1:6" x14ac:dyDescent="0.3">
      <c r="A324" t="s">
        <v>473</v>
      </c>
      <c r="B324" t="s">
        <v>1757</v>
      </c>
      <c r="C324" t="s">
        <v>1758</v>
      </c>
      <c r="D324" t="s">
        <v>1437</v>
      </c>
      <c r="E324" t="s">
        <v>1420</v>
      </c>
      <c r="F324" t="s">
        <v>1421</v>
      </c>
    </row>
    <row r="325" spans="1:6" x14ac:dyDescent="0.3">
      <c r="A325" t="s">
        <v>474</v>
      </c>
      <c r="B325" t="s">
        <v>1179</v>
      </c>
      <c r="C325" t="s">
        <v>1758</v>
      </c>
      <c r="D325" t="s">
        <v>1437</v>
      </c>
      <c r="E325" t="s">
        <v>1420</v>
      </c>
      <c r="F325" t="s">
        <v>1421</v>
      </c>
    </row>
    <row r="326" spans="1:6" x14ac:dyDescent="0.3">
      <c r="A326" t="s">
        <v>472</v>
      </c>
      <c r="B326" t="s">
        <v>1178</v>
      </c>
      <c r="C326" t="s">
        <v>1758</v>
      </c>
      <c r="D326" t="s">
        <v>1437</v>
      </c>
      <c r="E326" t="s">
        <v>1420</v>
      </c>
      <c r="F326" t="s">
        <v>1421</v>
      </c>
    </row>
    <row r="327" spans="1:6" x14ac:dyDescent="0.3">
      <c r="A327" t="s">
        <v>471</v>
      </c>
      <c r="B327" t="s">
        <v>1177</v>
      </c>
      <c r="C327" t="s">
        <v>1758</v>
      </c>
      <c r="D327" t="s">
        <v>1437</v>
      </c>
      <c r="E327" t="s">
        <v>1420</v>
      </c>
      <c r="F327" t="s">
        <v>1421</v>
      </c>
    </row>
    <row r="328" spans="1:6" x14ac:dyDescent="0.3">
      <c r="A328" t="s">
        <v>477</v>
      </c>
      <c r="B328" t="s">
        <v>1182</v>
      </c>
      <c r="C328" t="s">
        <v>1759</v>
      </c>
      <c r="D328" t="s">
        <v>1437</v>
      </c>
      <c r="E328" t="s">
        <v>1420</v>
      </c>
      <c r="F328" t="s">
        <v>1421</v>
      </c>
    </row>
    <row r="329" spans="1:6" x14ac:dyDescent="0.3">
      <c r="A329" t="s">
        <v>478</v>
      </c>
      <c r="B329" t="s">
        <v>1183</v>
      </c>
      <c r="C329" t="s">
        <v>1759</v>
      </c>
      <c r="D329" t="s">
        <v>1437</v>
      </c>
      <c r="E329" t="s">
        <v>1420</v>
      </c>
      <c r="F329" t="s">
        <v>1421</v>
      </c>
    </row>
    <row r="330" spans="1:6" x14ac:dyDescent="0.3">
      <c r="A330" t="s">
        <v>476</v>
      </c>
      <c r="B330" t="s">
        <v>1181</v>
      </c>
      <c r="C330" t="s">
        <v>1759</v>
      </c>
      <c r="D330" t="s">
        <v>1437</v>
      </c>
      <c r="E330" t="s">
        <v>1420</v>
      </c>
      <c r="F330" t="s">
        <v>1421</v>
      </c>
    </row>
    <row r="331" spans="1:6" x14ac:dyDescent="0.3">
      <c r="A331" t="s">
        <v>475</v>
      </c>
      <c r="B331" t="s">
        <v>1180</v>
      </c>
      <c r="C331" t="s">
        <v>1759</v>
      </c>
      <c r="D331" t="s">
        <v>1437</v>
      </c>
      <c r="E331" t="s">
        <v>1420</v>
      </c>
      <c r="F331" t="s">
        <v>1421</v>
      </c>
    </row>
    <row r="332" spans="1:6" x14ac:dyDescent="0.3">
      <c r="A332" t="s">
        <v>487</v>
      </c>
      <c r="B332" t="s">
        <v>1192</v>
      </c>
      <c r="C332" t="s">
        <v>1760</v>
      </c>
      <c r="D332" t="s">
        <v>1437</v>
      </c>
      <c r="E332" t="s">
        <v>1420</v>
      </c>
      <c r="F332" t="s">
        <v>1421</v>
      </c>
    </row>
    <row r="333" spans="1:6" x14ac:dyDescent="0.3">
      <c r="A333" t="s">
        <v>488</v>
      </c>
      <c r="B333" t="s">
        <v>1193</v>
      </c>
      <c r="C333" t="s">
        <v>1760</v>
      </c>
      <c r="D333" t="s">
        <v>1437</v>
      </c>
      <c r="E333" t="s">
        <v>1420</v>
      </c>
      <c r="F333" t="s">
        <v>1421</v>
      </c>
    </row>
    <row r="334" spans="1:6" x14ac:dyDescent="0.3">
      <c r="A334" t="s">
        <v>486</v>
      </c>
      <c r="B334" t="s">
        <v>1191</v>
      </c>
      <c r="C334" t="s">
        <v>1760</v>
      </c>
      <c r="D334" t="s">
        <v>1437</v>
      </c>
      <c r="E334" t="s">
        <v>1420</v>
      </c>
      <c r="F334" t="s">
        <v>1421</v>
      </c>
    </row>
    <row r="335" spans="1:6" x14ac:dyDescent="0.3">
      <c r="A335" t="s">
        <v>485</v>
      </c>
      <c r="B335" t="s">
        <v>1190</v>
      </c>
      <c r="C335" t="s">
        <v>1760</v>
      </c>
      <c r="D335" t="s">
        <v>1437</v>
      </c>
      <c r="E335" t="s">
        <v>1420</v>
      </c>
      <c r="F335" t="s">
        <v>1421</v>
      </c>
    </row>
    <row r="336" spans="1:6" x14ac:dyDescent="0.3">
      <c r="A336" t="s">
        <v>497</v>
      </c>
      <c r="B336" t="s">
        <v>1208</v>
      </c>
      <c r="C336" t="s">
        <v>1761</v>
      </c>
      <c r="D336" t="s">
        <v>1437</v>
      </c>
      <c r="E336" t="s">
        <v>1420</v>
      </c>
      <c r="F336" t="s">
        <v>1421</v>
      </c>
    </row>
    <row r="337" spans="1:6" x14ac:dyDescent="0.3">
      <c r="A337" t="s">
        <v>498</v>
      </c>
      <c r="B337" t="s">
        <v>1209</v>
      </c>
      <c r="C337" t="s">
        <v>1761</v>
      </c>
      <c r="D337" t="s">
        <v>1437</v>
      </c>
      <c r="E337" t="s">
        <v>1420</v>
      </c>
      <c r="F337" t="s">
        <v>1421</v>
      </c>
    </row>
    <row r="338" spans="1:6" x14ac:dyDescent="0.3">
      <c r="A338" t="s">
        <v>496</v>
      </c>
      <c r="B338" t="s">
        <v>1207</v>
      </c>
      <c r="C338" t="s">
        <v>1761</v>
      </c>
      <c r="D338" t="s">
        <v>1437</v>
      </c>
      <c r="E338" t="s">
        <v>1420</v>
      </c>
      <c r="F338" t="s">
        <v>1421</v>
      </c>
    </row>
    <row r="339" spans="1:6" x14ac:dyDescent="0.3">
      <c r="A339" t="s">
        <v>495</v>
      </c>
      <c r="B339" t="s">
        <v>1206</v>
      </c>
      <c r="C339" t="s">
        <v>1761</v>
      </c>
      <c r="D339" t="s">
        <v>1437</v>
      </c>
      <c r="E339" t="s">
        <v>1420</v>
      </c>
      <c r="F339" t="s">
        <v>1421</v>
      </c>
    </row>
    <row r="340" spans="1:6" x14ac:dyDescent="0.3">
      <c r="A340" t="s">
        <v>493</v>
      </c>
      <c r="B340" t="s">
        <v>1204</v>
      </c>
      <c r="C340" t="s">
        <v>1761</v>
      </c>
      <c r="D340" t="s">
        <v>1437</v>
      </c>
      <c r="E340" t="s">
        <v>1420</v>
      </c>
      <c r="F340" t="s">
        <v>1421</v>
      </c>
    </row>
    <row r="341" spans="1:6" x14ac:dyDescent="0.3">
      <c r="A341" t="s">
        <v>494</v>
      </c>
      <c r="B341" t="s">
        <v>1205</v>
      </c>
      <c r="C341" t="s">
        <v>1761</v>
      </c>
      <c r="D341" t="s">
        <v>1437</v>
      </c>
      <c r="E341" t="s">
        <v>1420</v>
      </c>
      <c r="F341" t="s">
        <v>1421</v>
      </c>
    </row>
    <row r="342" spans="1:6" x14ac:dyDescent="0.3">
      <c r="A342" t="s">
        <v>492</v>
      </c>
      <c r="B342" t="s">
        <v>1203</v>
      </c>
      <c r="C342" t="s">
        <v>1761</v>
      </c>
      <c r="D342" t="s">
        <v>1437</v>
      </c>
      <c r="E342" t="s">
        <v>1420</v>
      </c>
      <c r="F342" t="s">
        <v>1421</v>
      </c>
    </row>
    <row r="343" spans="1:6" x14ac:dyDescent="0.3">
      <c r="A343" t="s">
        <v>491</v>
      </c>
      <c r="B343" t="s">
        <v>1202</v>
      </c>
      <c r="C343" t="s">
        <v>1761</v>
      </c>
      <c r="D343" t="s">
        <v>1437</v>
      </c>
      <c r="E343" t="s">
        <v>1420</v>
      </c>
      <c r="F343" t="s">
        <v>1421</v>
      </c>
    </row>
    <row r="344" spans="1:6" x14ac:dyDescent="0.3">
      <c r="A344" t="s">
        <v>505</v>
      </c>
      <c r="B344" t="s">
        <v>1216</v>
      </c>
      <c r="C344" t="s">
        <v>1762</v>
      </c>
      <c r="D344" t="s">
        <v>1437</v>
      </c>
      <c r="E344" t="s">
        <v>1420</v>
      </c>
      <c r="F344" t="s">
        <v>1421</v>
      </c>
    </row>
    <row r="345" spans="1:6" x14ac:dyDescent="0.3">
      <c r="A345" t="s">
        <v>506</v>
      </c>
      <c r="B345" t="s">
        <v>1217</v>
      </c>
      <c r="C345" t="s">
        <v>1762</v>
      </c>
      <c r="D345" t="s">
        <v>1437</v>
      </c>
      <c r="E345" t="s">
        <v>1420</v>
      </c>
      <c r="F345" t="s">
        <v>1421</v>
      </c>
    </row>
    <row r="346" spans="1:6" x14ac:dyDescent="0.3">
      <c r="A346" t="s">
        <v>504</v>
      </c>
      <c r="B346" t="s">
        <v>1215</v>
      </c>
      <c r="C346" t="s">
        <v>1762</v>
      </c>
      <c r="D346" t="s">
        <v>1437</v>
      </c>
      <c r="E346" t="s">
        <v>1420</v>
      </c>
      <c r="F346" t="s">
        <v>1421</v>
      </c>
    </row>
    <row r="347" spans="1:6" x14ac:dyDescent="0.3">
      <c r="A347" t="s">
        <v>503</v>
      </c>
      <c r="B347" t="s">
        <v>1214</v>
      </c>
      <c r="C347" t="s">
        <v>1762</v>
      </c>
      <c r="D347" t="s">
        <v>1437</v>
      </c>
      <c r="E347" t="s">
        <v>1420</v>
      </c>
      <c r="F347" t="s">
        <v>1421</v>
      </c>
    </row>
    <row r="348" spans="1:6" x14ac:dyDescent="0.3">
      <c r="A348" t="s">
        <v>49</v>
      </c>
      <c r="B348" t="s">
        <v>619</v>
      </c>
      <c r="C348" t="s">
        <v>1763</v>
      </c>
      <c r="D348" t="s">
        <v>1419</v>
      </c>
      <c r="E348" t="s">
        <v>1420</v>
      </c>
      <c r="F348" t="s">
        <v>1421</v>
      </c>
    </row>
    <row r="349" spans="1:6" x14ac:dyDescent="0.3">
      <c r="A349" t="s">
        <v>50</v>
      </c>
      <c r="B349" t="s">
        <v>1764</v>
      </c>
      <c r="C349" t="s">
        <v>1763</v>
      </c>
      <c r="D349" t="s">
        <v>1419</v>
      </c>
      <c r="E349" t="s">
        <v>1420</v>
      </c>
      <c r="F349" t="s">
        <v>1421</v>
      </c>
    </row>
    <row r="350" spans="1:6" x14ac:dyDescent="0.3">
      <c r="A350" t="s">
        <v>48</v>
      </c>
      <c r="B350" t="s">
        <v>618</v>
      </c>
      <c r="C350" t="s">
        <v>1763</v>
      </c>
      <c r="D350" t="s">
        <v>1419</v>
      </c>
      <c r="E350" t="s">
        <v>1420</v>
      </c>
      <c r="F350" t="s">
        <v>1421</v>
      </c>
    </row>
    <row r="351" spans="1:6" x14ac:dyDescent="0.3">
      <c r="A351" t="s">
        <v>47</v>
      </c>
      <c r="B351" t="s">
        <v>617</v>
      </c>
      <c r="C351" t="s">
        <v>1763</v>
      </c>
      <c r="D351" t="s">
        <v>1419</v>
      </c>
      <c r="E351" t="s">
        <v>1420</v>
      </c>
      <c r="F351" t="s">
        <v>1421</v>
      </c>
    </row>
    <row r="352" spans="1:6" x14ac:dyDescent="0.3">
      <c r="A352" t="s">
        <v>57</v>
      </c>
      <c r="B352" t="s">
        <v>627</v>
      </c>
      <c r="C352" t="s">
        <v>1765</v>
      </c>
      <c r="D352" t="s">
        <v>1419</v>
      </c>
      <c r="E352" t="s">
        <v>1420</v>
      </c>
      <c r="F352" t="s">
        <v>1421</v>
      </c>
    </row>
    <row r="353" spans="1:6" x14ac:dyDescent="0.3">
      <c r="A353" t="s">
        <v>58</v>
      </c>
      <c r="B353" t="s">
        <v>628</v>
      </c>
      <c r="C353" t="s">
        <v>1765</v>
      </c>
      <c r="D353" t="s">
        <v>1419</v>
      </c>
      <c r="E353" t="s">
        <v>1420</v>
      </c>
      <c r="F353" t="s">
        <v>1421</v>
      </c>
    </row>
    <row r="354" spans="1:6" x14ac:dyDescent="0.3">
      <c r="A354" t="s">
        <v>56</v>
      </c>
      <c r="B354" t="s">
        <v>626</v>
      </c>
      <c r="C354" t="s">
        <v>1765</v>
      </c>
      <c r="D354" t="s">
        <v>1419</v>
      </c>
      <c r="E354" t="s">
        <v>1420</v>
      </c>
      <c r="F354" t="s">
        <v>1421</v>
      </c>
    </row>
    <row r="355" spans="1:6" x14ac:dyDescent="0.3">
      <c r="A355" t="s">
        <v>55</v>
      </c>
      <c r="B355" t="s">
        <v>625</v>
      </c>
      <c r="C355" t="s">
        <v>1765</v>
      </c>
      <c r="D355" t="s">
        <v>1419</v>
      </c>
      <c r="E355" t="s">
        <v>1420</v>
      </c>
      <c r="F355" t="s">
        <v>1421</v>
      </c>
    </row>
    <row r="356" spans="1:6" x14ac:dyDescent="0.3">
      <c r="A356" t="s">
        <v>88</v>
      </c>
      <c r="B356" t="s">
        <v>659</v>
      </c>
      <c r="C356" t="s">
        <v>1766</v>
      </c>
      <c r="D356" t="s">
        <v>1419</v>
      </c>
      <c r="E356" t="s">
        <v>1420</v>
      </c>
      <c r="F356" t="s">
        <v>1421</v>
      </c>
    </row>
    <row r="357" spans="1:6" x14ac:dyDescent="0.3">
      <c r="A357" t="s">
        <v>1251</v>
      </c>
      <c r="B357" t="s">
        <v>660</v>
      </c>
      <c r="C357" t="s">
        <v>1766</v>
      </c>
      <c r="D357" t="s">
        <v>1419</v>
      </c>
      <c r="E357" t="s">
        <v>1420</v>
      </c>
      <c r="F357" t="s">
        <v>1421</v>
      </c>
    </row>
    <row r="358" spans="1:6" x14ac:dyDescent="0.3">
      <c r="A358" t="s">
        <v>87</v>
      </c>
      <c r="B358" t="s">
        <v>658</v>
      </c>
      <c r="C358" t="s">
        <v>1766</v>
      </c>
      <c r="D358" t="s">
        <v>1419</v>
      </c>
      <c r="E358" t="s">
        <v>1420</v>
      </c>
      <c r="F358" t="s">
        <v>1421</v>
      </c>
    </row>
    <row r="359" spans="1:6" x14ac:dyDescent="0.3">
      <c r="A359" t="s">
        <v>86</v>
      </c>
      <c r="B359" t="s">
        <v>657</v>
      </c>
      <c r="C359" t="s">
        <v>1766</v>
      </c>
      <c r="D359" t="s">
        <v>1419</v>
      </c>
      <c r="E359" t="s">
        <v>1420</v>
      </c>
      <c r="F359" t="s">
        <v>1421</v>
      </c>
    </row>
    <row r="360" spans="1:6" x14ac:dyDescent="0.3">
      <c r="A360" t="s">
        <v>1767</v>
      </c>
      <c r="B360" t="s">
        <v>656</v>
      </c>
      <c r="C360" t="s">
        <v>1766</v>
      </c>
      <c r="D360" t="s">
        <v>1419</v>
      </c>
      <c r="E360" t="s">
        <v>1420</v>
      </c>
      <c r="F360" t="s">
        <v>1421</v>
      </c>
    </row>
    <row r="361" spans="1:6" x14ac:dyDescent="0.3">
      <c r="A361" t="s">
        <v>99</v>
      </c>
      <c r="B361" t="s">
        <v>1768</v>
      </c>
      <c r="C361" t="s">
        <v>1769</v>
      </c>
      <c r="D361" t="s">
        <v>1434</v>
      </c>
      <c r="E361" t="s">
        <v>1423</v>
      </c>
      <c r="F361" t="s">
        <v>1424</v>
      </c>
    </row>
    <row r="362" spans="1:6" x14ac:dyDescent="0.3">
      <c r="A362" t="s">
        <v>100</v>
      </c>
      <c r="B362" t="s">
        <v>1770</v>
      </c>
      <c r="C362" t="s">
        <v>1769</v>
      </c>
      <c r="D362" t="s">
        <v>1434</v>
      </c>
      <c r="E362" t="s">
        <v>1423</v>
      </c>
      <c r="F362" t="s">
        <v>1424</v>
      </c>
    </row>
    <row r="363" spans="1:6" x14ac:dyDescent="0.3">
      <c r="A363" t="s">
        <v>98</v>
      </c>
      <c r="B363" t="s">
        <v>1771</v>
      </c>
      <c r="C363" t="s">
        <v>1769</v>
      </c>
      <c r="D363" t="s">
        <v>1434</v>
      </c>
      <c r="E363" t="s">
        <v>1423</v>
      </c>
      <c r="F363" t="s">
        <v>1424</v>
      </c>
    </row>
    <row r="364" spans="1:6" x14ac:dyDescent="0.3">
      <c r="A364" t="s">
        <v>97</v>
      </c>
      <c r="B364" t="s">
        <v>691</v>
      </c>
      <c r="C364" t="s">
        <v>1769</v>
      </c>
      <c r="D364" t="s">
        <v>1434</v>
      </c>
      <c r="E364" t="s">
        <v>1423</v>
      </c>
      <c r="F364" t="s">
        <v>1424</v>
      </c>
    </row>
    <row r="365" spans="1:6" x14ac:dyDescent="0.3">
      <c r="A365" t="s">
        <v>1253</v>
      </c>
      <c r="B365" t="s">
        <v>694</v>
      </c>
      <c r="C365" t="s">
        <v>1772</v>
      </c>
      <c r="D365" t="s">
        <v>1434</v>
      </c>
      <c r="E365" t="s">
        <v>1423</v>
      </c>
      <c r="F365" t="s">
        <v>1424</v>
      </c>
    </row>
    <row r="366" spans="1:6" x14ac:dyDescent="0.3">
      <c r="A366" t="s">
        <v>102</v>
      </c>
      <c r="B366" t="s">
        <v>695</v>
      </c>
      <c r="C366" t="s">
        <v>1772</v>
      </c>
      <c r="D366" t="s">
        <v>1434</v>
      </c>
      <c r="E366" t="s">
        <v>1423</v>
      </c>
      <c r="F366" t="s">
        <v>1424</v>
      </c>
    </row>
    <row r="367" spans="1:6" x14ac:dyDescent="0.3">
      <c r="A367" t="s">
        <v>1252</v>
      </c>
      <c r="B367" t="s">
        <v>693</v>
      </c>
      <c r="C367" t="s">
        <v>1772</v>
      </c>
      <c r="D367" t="s">
        <v>1434</v>
      </c>
      <c r="E367" t="s">
        <v>1423</v>
      </c>
      <c r="F367" t="s">
        <v>1424</v>
      </c>
    </row>
    <row r="368" spans="1:6" x14ac:dyDescent="0.3">
      <c r="A368" t="s">
        <v>101</v>
      </c>
      <c r="B368" t="s">
        <v>692</v>
      </c>
      <c r="C368" t="s">
        <v>1772</v>
      </c>
      <c r="D368" t="s">
        <v>1434</v>
      </c>
      <c r="E368" t="s">
        <v>1423</v>
      </c>
      <c r="F368" t="s">
        <v>1424</v>
      </c>
    </row>
    <row r="369" spans="1:6" x14ac:dyDescent="0.3">
      <c r="A369" t="s">
        <v>1773</v>
      </c>
      <c r="B369" t="s">
        <v>1774</v>
      </c>
      <c r="C369" t="s">
        <v>1775</v>
      </c>
      <c r="D369" t="s">
        <v>1434</v>
      </c>
      <c r="E369" t="s">
        <v>1423</v>
      </c>
      <c r="F369" t="s">
        <v>1424</v>
      </c>
    </row>
    <row r="370" spans="1:6" x14ac:dyDescent="0.3">
      <c r="A370" t="s">
        <v>1254</v>
      </c>
      <c r="B370" t="s">
        <v>1776</v>
      </c>
      <c r="C370" t="s">
        <v>1775</v>
      </c>
      <c r="D370" t="s">
        <v>1434</v>
      </c>
      <c r="E370" t="s">
        <v>1423</v>
      </c>
      <c r="F370" t="s">
        <v>1424</v>
      </c>
    </row>
    <row r="371" spans="1:6" x14ac:dyDescent="0.3">
      <c r="A371" t="s">
        <v>1313</v>
      </c>
      <c r="B371" t="s">
        <v>717</v>
      </c>
      <c r="C371" t="s">
        <v>1775</v>
      </c>
      <c r="D371" t="s">
        <v>1434</v>
      </c>
      <c r="E371" t="s">
        <v>1423</v>
      </c>
      <c r="F371" t="s">
        <v>1424</v>
      </c>
    </row>
    <row r="372" spans="1:6" x14ac:dyDescent="0.3">
      <c r="A372" t="s">
        <v>1777</v>
      </c>
      <c r="B372" t="s">
        <v>1778</v>
      </c>
      <c r="C372" t="s">
        <v>1775</v>
      </c>
      <c r="D372" t="s">
        <v>1434</v>
      </c>
      <c r="E372" t="s">
        <v>1423</v>
      </c>
      <c r="F372" t="s">
        <v>1424</v>
      </c>
    </row>
    <row r="373" spans="1:6" x14ac:dyDescent="0.3">
      <c r="A373" t="s">
        <v>1779</v>
      </c>
      <c r="B373" t="s">
        <v>1780</v>
      </c>
      <c r="C373" t="s">
        <v>1775</v>
      </c>
      <c r="D373" t="s">
        <v>1434</v>
      </c>
      <c r="E373" t="s">
        <v>1423</v>
      </c>
      <c r="F373" t="s">
        <v>1424</v>
      </c>
    </row>
    <row r="374" spans="1:6" x14ac:dyDescent="0.3">
      <c r="A374" t="s">
        <v>196</v>
      </c>
      <c r="B374" t="s">
        <v>798</v>
      </c>
      <c r="C374" t="s">
        <v>1781</v>
      </c>
      <c r="D374" t="s">
        <v>1434</v>
      </c>
      <c r="E374" t="s">
        <v>1423</v>
      </c>
      <c r="F374" t="s">
        <v>1424</v>
      </c>
    </row>
    <row r="375" spans="1:6" x14ac:dyDescent="0.3">
      <c r="A375" t="s">
        <v>197</v>
      </c>
      <c r="B375" t="s">
        <v>799</v>
      </c>
      <c r="C375" t="s">
        <v>1781</v>
      </c>
      <c r="D375" t="s">
        <v>1434</v>
      </c>
      <c r="E375" t="s">
        <v>1423</v>
      </c>
      <c r="F375" t="s">
        <v>1424</v>
      </c>
    </row>
    <row r="376" spans="1:6" x14ac:dyDescent="0.3">
      <c r="A376" t="s">
        <v>195</v>
      </c>
      <c r="B376" t="s">
        <v>797</v>
      </c>
      <c r="C376" t="s">
        <v>1781</v>
      </c>
      <c r="D376" t="s">
        <v>1434</v>
      </c>
      <c r="E376" t="s">
        <v>1423</v>
      </c>
      <c r="F376" t="s">
        <v>1424</v>
      </c>
    </row>
    <row r="377" spans="1:6" x14ac:dyDescent="0.3">
      <c r="A377" t="s">
        <v>194</v>
      </c>
      <c r="B377" t="s">
        <v>796</v>
      </c>
      <c r="C377" t="s">
        <v>1781</v>
      </c>
      <c r="D377" t="s">
        <v>1434</v>
      </c>
      <c r="E377" t="s">
        <v>1423</v>
      </c>
      <c r="F377" t="s">
        <v>1424</v>
      </c>
    </row>
    <row r="378" spans="1:6" x14ac:dyDescent="0.3">
      <c r="A378" t="s">
        <v>192</v>
      </c>
      <c r="B378" t="s">
        <v>795</v>
      </c>
      <c r="C378" t="s">
        <v>1781</v>
      </c>
      <c r="D378" t="s">
        <v>1434</v>
      </c>
      <c r="E378" t="s">
        <v>1423</v>
      </c>
      <c r="F378" t="s">
        <v>1424</v>
      </c>
    </row>
    <row r="379" spans="1:6" x14ac:dyDescent="0.3">
      <c r="A379" t="s">
        <v>193</v>
      </c>
      <c r="B379" t="s">
        <v>1782</v>
      </c>
      <c r="C379" t="s">
        <v>1781</v>
      </c>
      <c r="D379" t="s">
        <v>1434</v>
      </c>
      <c r="E379" t="s">
        <v>1423</v>
      </c>
      <c r="F379" t="s">
        <v>1424</v>
      </c>
    </row>
    <row r="380" spans="1:6" x14ac:dyDescent="0.3">
      <c r="A380" t="s">
        <v>191</v>
      </c>
      <c r="B380" t="s">
        <v>794</v>
      </c>
      <c r="C380" t="s">
        <v>1781</v>
      </c>
      <c r="D380" t="s">
        <v>1434</v>
      </c>
      <c r="E380" t="s">
        <v>1423</v>
      </c>
      <c r="F380" t="s">
        <v>1424</v>
      </c>
    </row>
    <row r="381" spans="1:6" x14ac:dyDescent="0.3">
      <c r="A381" t="s">
        <v>1286</v>
      </c>
      <c r="B381" t="s">
        <v>793</v>
      </c>
      <c r="C381" t="s">
        <v>1781</v>
      </c>
      <c r="D381" t="s">
        <v>1434</v>
      </c>
      <c r="E381" t="s">
        <v>1423</v>
      </c>
      <c r="F381" t="s">
        <v>1424</v>
      </c>
    </row>
    <row r="382" spans="1:6" x14ac:dyDescent="0.3">
      <c r="A382" t="s">
        <v>284</v>
      </c>
      <c r="B382" t="s">
        <v>934</v>
      </c>
      <c r="C382" t="s">
        <v>1783</v>
      </c>
      <c r="D382" t="s">
        <v>1429</v>
      </c>
      <c r="E382" t="s">
        <v>1420</v>
      </c>
      <c r="F382" t="s">
        <v>1421</v>
      </c>
    </row>
    <row r="383" spans="1:6" x14ac:dyDescent="0.3">
      <c r="A383" t="s">
        <v>285</v>
      </c>
      <c r="B383" t="s">
        <v>935</v>
      </c>
      <c r="C383" t="s">
        <v>1783</v>
      </c>
      <c r="D383" t="s">
        <v>1429</v>
      </c>
      <c r="E383" t="s">
        <v>1420</v>
      </c>
      <c r="F383" t="s">
        <v>1421</v>
      </c>
    </row>
    <row r="384" spans="1:6" x14ac:dyDescent="0.3">
      <c r="A384" t="s">
        <v>283</v>
      </c>
      <c r="B384" t="s">
        <v>933</v>
      </c>
      <c r="C384" t="s">
        <v>1783</v>
      </c>
      <c r="D384" t="s">
        <v>1429</v>
      </c>
      <c r="E384" t="s">
        <v>1420</v>
      </c>
      <c r="F384" t="s">
        <v>1421</v>
      </c>
    </row>
    <row r="385" spans="1:6" x14ac:dyDescent="0.3">
      <c r="A385" t="s">
        <v>282</v>
      </c>
      <c r="B385" t="s">
        <v>932</v>
      </c>
      <c r="C385" t="s">
        <v>1783</v>
      </c>
      <c r="D385" t="s">
        <v>1429</v>
      </c>
      <c r="E385" t="s">
        <v>1420</v>
      </c>
      <c r="F385" t="s">
        <v>1421</v>
      </c>
    </row>
    <row r="386" spans="1:6" x14ac:dyDescent="0.3">
      <c r="A386" t="s">
        <v>302</v>
      </c>
      <c r="B386" t="s">
        <v>956</v>
      </c>
      <c r="C386" t="s">
        <v>1784</v>
      </c>
      <c r="D386" t="s">
        <v>1429</v>
      </c>
      <c r="E386" t="s">
        <v>1420</v>
      </c>
      <c r="F386" t="s">
        <v>1421</v>
      </c>
    </row>
    <row r="387" spans="1:6" x14ac:dyDescent="0.3">
      <c r="A387" t="s">
        <v>303</v>
      </c>
      <c r="B387" t="s">
        <v>957</v>
      </c>
      <c r="C387" t="s">
        <v>1784</v>
      </c>
      <c r="D387" t="s">
        <v>1429</v>
      </c>
      <c r="E387" t="s">
        <v>1420</v>
      </c>
      <c r="F387" t="s">
        <v>1421</v>
      </c>
    </row>
    <row r="388" spans="1:6" x14ac:dyDescent="0.3">
      <c r="A388" t="s">
        <v>301</v>
      </c>
      <c r="B388" t="s">
        <v>955</v>
      </c>
      <c r="C388" t="s">
        <v>1784</v>
      </c>
      <c r="D388" t="s">
        <v>1429</v>
      </c>
      <c r="E388" t="s">
        <v>1420</v>
      </c>
      <c r="F388" t="s">
        <v>1421</v>
      </c>
    </row>
    <row r="389" spans="1:6" x14ac:dyDescent="0.3">
      <c r="A389" t="s">
        <v>300</v>
      </c>
      <c r="B389" t="s">
        <v>954</v>
      </c>
      <c r="C389" t="s">
        <v>1784</v>
      </c>
      <c r="D389" t="s">
        <v>1429</v>
      </c>
      <c r="E389" t="s">
        <v>1420</v>
      </c>
      <c r="F389" t="s">
        <v>1421</v>
      </c>
    </row>
    <row r="390" spans="1:6" x14ac:dyDescent="0.3">
      <c r="A390" t="s">
        <v>1785</v>
      </c>
      <c r="B390" t="s">
        <v>953</v>
      </c>
      <c r="C390" t="s">
        <v>1784</v>
      </c>
      <c r="D390" t="s">
        <v>1429</v>
      </c>
      <c r="E390" t="s">
        <v>1420</v>
      </c>
      <c r="F390" t="s">
        <v>1421</v>
      </c>
    </row>
    <row r="391" spans="1:6" x14ac:dyDescent="0.3">
      <c r="A391" t="s">
        <v>314</v>
      </c>
      <c r="B391" t="s">
        <v>977</v>
      </c>
      <c r="C391" t="s">
        <v>1786</v>
      </c>
      <c r="D391" t="s">
        <v>1429</v>
      </c>
      <c r="E391" t="s">
        <v>1420</v>
      </c>
      <c r="F391" t="s">
        <v>1421</v>
      </c>
    </row>
    <row r="392" spans="1:6" x14ac:dyDescent="0.3">
      <c r="A392" t="s">
        <v>1264</v>
      </c>
      <c r="B392" t="s">
        <v>978</v>
      </c>
      <c r="C392" t="s">
        <v>1786</v>
      </c>
      <c r="D392" t="s">
        <v>1429</v>
      </c>
      <c r="E392" t="s">
        <v>1420</v>
      </c>
      <c r="F392" t="s">
        <v>1421</v>
      </c>
    </row>
    <row r="393" spans="1:6" x14ac:dyDescent="0.3">
      <c r="A393" t="s">
        <v>313</v>
      </c>
      <c r="B393" t="s">
        <v>976</v>
      </c>
      <c r="C393" t="s">
        <v>1786</v>
      </c>
      <c r="D393" t="s">
        <v>1429</v>
      </c>
      <c r="E393" t="s">
        <v>1420</v>
      </c>
      <c r="F393" t="s">
        <v>1421</v>
      </c>
    </row>
    <row r="394" spans="1:6" x14ac:dyDescent="0.3">
      <c r="A394" t="s">
        <v>312</v>
      </c>
      <c r="B394" t="s">
        <v>975</v>
      </c>
      <c r="C394" t="s">
        <v>1786</v>
      </c>
      <c r="D394" t="s">
        <v>1429</v>
      </c>
      <c r="E394" t="s">
        <v>1420</v>
      </c>
      <c r="F394" t="s">
        <v>1421</v>
      </c>
    </row>
    <row r="395" spans="1:6" x14ac:dyDescent="0.3">
      <c r="A395" t="s">
        <v>321</v>
      </c>
      <c r="B395" t="s">
        <v>985</v>
      </c>
      <c r="C395" t="s">
        <v>1787</v>
      </c>
      <c r="D395" t="s">
        <v>1429</v>
      </c>
      <c r="E395" t="s">
        <v>1420</v>
      </c>
      <c r="F395" t="s">
        <v>1421</v>
      </c>
    </row>
    <row r="396" spans="1:6" x14ac:dyDescent="0.3">
      <c r="A396" t="s">
        <v>322</v>
      </c>
      <c r="B396" t="s">
        <v>986</v>
      </c>
      <c r="C396" t="s">
        <v>1787</v>
      </c>
      <c r="D396" t="s">
        <v>1429</v>
      </c>
      <c r="E396" t="s">
        <v>1420</v>
      </c>
      <c r="F396" t="s">
        <v>1421</v>
      </c>
    </row>
    <row r="397" spans="1:6" x14ac:dyDescent="0.3">
      <c r="A397" t="s">
        <v>320</v>
      </c>
      <c r="B397" t="s">
        <v>984</v>
      </c>
      <c r="C397" t="s">
        <v>1787</v>
      </c>
      <c r="D397" t="s">
        <v>1429</v>
      </c>
      <c r="E397" t="s">
        <v>1420</v>
      </c>
      <c r="F397" t="s">
        <v>1421</v>
      </c>
    </row>
    <row r="398" spans="1:6" x14ac:dyDescent="0.3">
      <c r="A398" t="s">
        <v>319</v>
      </c>
      <c r="B398" t="s">
        <v>983</v>
      </c>
      <c r="C398" t="s">
        <v>1787</v>
      </c>
      <c r="D398" t="s">
        <v>1429</v>
      </c>
      <c r="E398" t="s">
        <v>1420</v>
      </c>
      <c r="F398" t="s">
        <v>1421</v>
      </c>
    </row>
    <row r="399" spans="1:6" x14ac:dyDescent="0.3">
      <c r="A399" t="s">
        <v>317</v>
      </c>
      <c r="B399" t="s">
        <v>981</v>
      </c>
      <c r="C399" t="s">
        <v>1787</v>
      </c>
      <c r="D399" t="s">
        <v>1429</v>
      </c>
      <c r="E399" t="s">
        <v>1420</v>
      </c>
      <c r="F399" t="s">
        <v>1421</v>
      </c>
    </row>
    <row r="400" spans="1:6" x14ac:dyDescent="0.3">
      <c r="A400" t="s">
        <v>318</v>
      </c>
      <c r="B400" t="s">
        <v>982</v>
      </c>
      <c r="C400" t="s">
        <v>1787</v>
      </c>
      <c r="D400" t="s">
        <v>1429</v>
      </c>
      <c r="E400" t="s">
        <v>1420</v>
      </c>
      <c r="F400" t="s">
        <v>1421</v>
      </c>
    </row>
    <row r="401" spans="1:6" x14ac:dyDescent="0.3">
      <c r="A401" t="s">
        <v>316</v>
      </c>
      <c r="B401" t="s">
        <v>980</v>
      </c>
      <c r="C401" t="s">
        <v>1787</v>
      </c>
      <c r="D401" t="s">
        <v>1429</v>
      </c>
      <c r="E401" t="s">
        <v>1420</v>
      </c>
      <c r="F401" t="s">
        <v>1421</v>
      </c>
    </row>
    <row r="402" spans="1:6" x14ac:dyDescent="0.3">
      <c r="A402" t="s">
        <v>315</v>
      </c>
      <c r="B402" t="s">
        <v>979</v>
      </c>
      <c r="C402" t="s">
        <v>1787</v>
      </c>
      <c r="D402" t="s">
        <v>1429</v>
      </c>
      <c r="E402" t="s">
        <v>1420</v>
      </c>
      <c r="F402" t="s">
        <v>1421</v>
      </c>
    </row>
    <row r="403" spans="1:6" x14ac:dyDescent="0.3">
      <c r="A403" t="s">
        <v>374</v>
      </c>
      <c r="B403" t="s">
        <v>1046</v>
      </c>
      <c r="C403" t="s">
        <v>1788</v>
      </c>
      <c r="D403" t="s">
        <v>1429</v>
      </c>
      <c r="E403" t="s">
        <v>1420</v>
      </c>
      <c r="F403" t="s">
        <v>1421</v>
      </c>
    </row>
    <row r="404" spans="1:6" x14ac:dyDescent="0.3">
      <c r="A404" t="s">
        <v>375</v>
      </c>
      <c r="B404" t="s">
        <v>1047</v>
      </c>
      <c r="C404" t="s">
        <v>1788</v>
      </c>
      <c r="D404" t="s">
        <v>1429</v>
      </c>
      <c r="E404" t="s">
        <v>1420</v>
      </c>
      <c r="F404" t="s">
        <v>1421</v>
      </c>
    </row>
    <row r="405" spans="1:6" x14ac:dyDescent="0.3">
      <c r="A405" t="s">
        <v>373</v>
      </c>
      <c r="B405" t="s">
        <v>1045</v>
      </c>
      <c r="C405" t="s">
        <v>1788</v>
      </c>
      <c r="D405" t="s">
        <v>1429</v>
      </c>
      <c r="E405" t="s">
        <v>1420</v>
      </c>
      <c r="F405" t="s">
        <v>1421</v>
      </c>
    </row>
    <row r="406" spans="1:6" x14ac:dyDescent="0.3">
      <c r="A406" t="s">
        <v>372</v>
      </c>
      <c r="B406" t="s">
        <v>1044</v>
      </c>
      <c r="C406" t="s">
        <v>1788</v>
      </c>
      <c r="D406" t="s">
        <v>1429</v>
      </c>
      <c r="E406" t="s">
        <v>1420</v>
      </c>
      <c r="F406" t="s">
        <v>1421</v>
      </c>
    </row>
    <row r="407" spans="1:6" x14ac:dyDescent="0.3">
      <c r="A407" t="s">
        <v>1789</v>
      </c>
      <c r="B407" t="s">
        <v>1043</v>
      </c>
      <c r="C407" t="s">
        <v>1788</v>
      </c>
      <c r="D407" t="s">
        <v>1429</v>
      </c>
      <c r="E407" t="s">
        <v>1420</v>
      </c>
      <c r="F407" t="s">
        <v>1421</v>
      </c>
    </row>
    <row r="408" spans="1:6" x14ac:dyDescent="0.3">
      <c r="A408" t="s">
        <v>370</v>
      </c>
      <c r="B408" t="s">
        <v>1041</v>
      </c>
      <c r="C408" t="s">
        <v>1788</v>
      </c>
      <c r="D408" t="s">
        <v>1429</v>
      </c>
      <c r="E408" t="s">
        <v>1420</v>
      </c>
      <c r="F408" t="s">
        <v>1421</v>
      </c>
    </row>
    <row r="409" spans="1:6" x14ac:dyDescent="0.3">
      <c r="A409" t="s">
        <v>371</v>
      </c>
      <c r="B409" t="s">
        <v>1042</v>
      </c>
      <c r="C409" t="s">
        <v>1788</v>
      </c>
      <c r="D409" t="s">
        <v>1429</v>
      </c>
      <c r="E409" t="s">
        <v>1420</v>
      </c>
      <c r="F409" t="s">
        <v>1421</v>
      </c>
    </row>
    <row r="410" spans="1:6" x14ac:dyDescent="0.3">
      <c r="A410" t="s">
        <v>369</v>
      </c>
      <c r="B410" t="s">
        <v>1040</v>
      </c>
      <c r="C410" t="s">
        <v>1788</v>
      </c>
      <c r="D410" t="s">
        <v>1429</v>
      </c>
      <c r="E410" t="s">
        <v>1420</v>
      </c>
      <c r="F410" t="s">
        <v>1421</v>
      </c>
    </row>
    <row r="411" spans="1:6" x14ac:dyDescent="0.3">
      <c r="A411" t="s">
        <v>368</v>
      </c>
      <c r="B411" t="s">
        <v>1039</v>
      </c>
      <c r="C411" t="s">
        <v>1788</v>
      </c>
      <c r="D411" t="s">
        <v>1429</v>
      </c>
      <c r="E411" t="s">
        <v>1420</v>
      </c>
      <c r="F411" t="s">
        <v>1421</v>
      </c>
    </row>
    <row r="412" spans="1:6" x14ac:dyDescent="0.3">
      <c r="A412" t="s">
        <v>1790</v>
      </c>
      <c r="B412" t="s">
        <v>1038</v>
      </c>
      <c r="C412" t="s">
        <v>1788</v>
      </c>
      <c r="D412" t="s">
        <v>1429</v>
      </c>
      <c r="E412" t="s">
        <v>1420</v>
      </c>
      <c r="F412" t="s">
        <v>1421</v>
      </c>
    </row>
    <row r="413" spans="1:6" x14ac:dyDescent="0.3">
      <c r="A413" t="s">
        <v>382</v>
      </c>
      <c r="B413" t="s">
        <v>1058</v>
      </c>
      <c r="C413" t="s">
        <v>1791</v>
      </c>
      <c r="D413" t="s">
        <v>1429</v>
      </c>
      <c r="E413" t="s">
        <v>1420</v>
      </c>
      <c r="F413" t="s">
        <v>1421</v>
      </c>
    </row>
    <row r="414" spans="1:6" x14ac:dyDescent="0.3">
      <c r="A414" t="s">
        <v>381</v>
      </c>
      <c r="B414" t="s">
        <v>1057</v>
      </c>
      <c r="C414" t="s">
        <v>1791</v>
      </c>
      <c r="D414" t="s">
        <v>1429</v>
      </c>
      <c r="E414" t="s">
        <v>1420</v>
      </c>
      <c r="F414" t="s">
        <v>1421</v>
      </c>
    </row>
    <row r="415" spans="1:6" x14ac:dyDescent="0.3">
      <c r="A415" t="s">
        <v>380</v>
      </c>
      <c r="B415" t="s">
        <v>1056</v>
      </c>
      <c r="C415" t="s">
        <v>1791</v>
      </c>
      <c r="D415" t="s">
        <v>1429</v>
      </c>
      <c r="E415" t="s">
        <v>1420</v>
      </c>
      <c r="F415" t="s">
        <v>1421</v>
      </c>
    </row>
    <row r="416" spans="1:6" x14ac:dyDescent="0.3">
      <c r="A416" t="s">
        <v>402</v>
      </c>
      <c r="B416" t="s">
        <v>1083</v>
      </c>
      <c r="C416" t="s">
        <v>1792</v>
      </c>
      <c r="D416" t="s">
        <v>1429</v>
      </c>
      <c r="E416" t="s">
        <v>1420</v>
      </c>
      <c r="F416" t="s">
        <v>1421</v>
      </c>
    </row>
    <row r="417" spans="1:6" x14ac:dyDescent="0.3">
      <c r="A417" t="s">
        <v>403</v>
      </c>
      <c r="B417" t="s">
        <v>1793</v>
      </c>
      <c r="C417" t="s">
        <v>1792</v>
      </c>
      <c r="D417" t="s">
        <v>1429</v>
      </c>
      <c r="E417" t="s">
        <v>1420</v>
      </c>
      <c r="F417" t="s">
        <v>1421</v>
      </c>
    </row>
    <row r="418" spans="1:6" x14ac:dyDescent="0.3">
      <c r="A418" t="s">
        <v>401</v>
      </c>
      <c r="B418" t="s">
        <v>1082</v>
      </c>
      <c r="C418" t="s">
        <v>1792</v>
      </c>
      <c r="D418" t="s">
        <v>1429</v>
      </c>
      <c r="E418" t="s">
        <v>1420</v>
      </c>
      <c r="F418" t="s">
        <v>1421</v>
      </c>
    </row>
    <row r="419" spans="1:6" x14ac:dyDescent="0.3">
      <c r="A419" t="s">
        <v>400</v>
      </c>
      <c r="B419" t="s">
        <v>1081</v>
      </c>
      <c r="C419" t="s">
        <v>1792</v>
      </c>
      <c r="D419" t="s">
        <v>1429</v>
      </c>
      <c r="E419" t="s">
        <v>1420</v>
      </c>
      <c r="F419" t="s">
        <v>1421</v>
      </c>
    </row>
    <row r="420" spans="1:6" x14ac:dyDescent="0.3">
      <c r="A420" t="s">
        <v>1794</v>
      </c>
      <c r="B420" t="s">
        <v>1080</v>
      </c>
      <c r="C420" t="s">
        <v>1792</v>
      </c>
      <c r="D420" t="s">
        <v>1429</v>
      </c>
      <c r="E420" t="s">
        <v>1420</v>
      </c>
      <c r="F420" t="s">
        <v>1421</v>
      </c>
    </row>
    <row r="421" spans="1:6" x14ac:dyDescent="0.3">
      <c r="A421" t="s">
        <v>481</v>
      </c>
      <c r="B421" t="s">
        <v>1186</v>
      </c>
      <c r="C421" t="s">
        <v>1795</v>
      </c>
      <c r="D421" t="s">
        <v>1437</v>
      </c>
      <c r="E421" t="s">
        <v>1420</v>
      </c>
      <c r="F421" t="s">
        <v>1421</v>
      </c>
    </row>
    <row r="422" spans="1:6" x14ac:dyDescent="0.3">
      <c r="A422" t="s">
        <v>480</v>
      </c>
      <c r="B422" t="s">
        <v>1185</v>
      </c>
      <c r="C422" t="s">
        <v>1795</v>
      </c>
      <c r="D422" t="s">
        <v>1437</v>
      </c>
      <c r="E422" t="s">
        <v>1420</v>
      </c>
      <c r="F422" t="s">
        <v>1421</v>
      </c>
    </row>
    <row r="423" spans="1:6" x14ac:dyDescent="0.3">
      <c r="A423" t="s">
        <v>479</v>
      </c>
      <c r="B423" t="s">
        <v>1184</v>
      </c>
      <c r="C423" t="s">
        <v>1795</v>
      </c>
      <c r="D423" t="s">
        <v>1437</v>
      </c>
      <c r="E423" t="s">
        <v>1420</v>
      </c>
      <c r="F423" t="s">
        <v>1421</v>
      </c>
    </row>
    <row r="424" spans="1:6" x14ac:dyDescent="0.3">
      <c r="A424" t="s">
        <v>484</v>
      </c>
      <c r="B424" t="s">
        <v>1189</v>
      </c>
      <c r="C424" t="s">
        <v>1795</v>
      </c>
      <c r="D424" t="s">
        <v>1437</v>
      </c>
      <c r="E424" t="s">
        <v>1420</v>
      </c>
      <c r="F424" t="s">
        <v>1421</v>
      </c>
    </row>
    <row r="425" spans="1:6" x14ac:dyDescent="0.3">
      <c r="A425" t="s">
        <v>483</v>
      </c>
      <c r="B425" t="s">
        <v>1188</v>
      </c>
      <c r="C425" t="s">
        <v>1795</v>
      </c>
      <c r="D425" t="s">
        <v>1437</v>
      </c>
      <c r="E425" t="s">
        <v>1420</v>
      </c>
      <c r="F425" t="s">
        <v>1421</v>
      </c>
    </row>
    <row r="426" spans="1:6" x14ac:dyDescent="0.3">
      <c r="A426" t="s">
        <v>482</v>
      </c>
      <c r="B426" t="s">
        <v>1187</v>
      </c>
      <c r="C426" t="s">
        <v>1795</v>
      </c>
      <c r="D426" t="s">
        <v>1437</v>
      </c>
      <c r="E426" t="s">
        <v>1420</v>
      </c>
      <c r="F426" t="s">
        <v>1421</v>
      </c>
    </row>
    <row r="427" spans="1:6" x14ac:dyDescent="0.3">
      <c r="A427" t="s">
        <v>519</v>
      </c>
      <c r="B427" t="s">
        <v>1237</v>
      </c>
      <c r="C427" t="s">
        <v>1796</v>
      </c>
      <c r="D427" t="s">
        <v>1437</v>
      </c>
      <c r="E427" t="s">
        <v>1420</v>
      </c>
      <c r="F427" t="s">
        <v>1421</v>
      </c>
    </row>
    <row r="428" spans="1:6" x14ac:dyDescent="0.3">
      <c r="A428" t="s">
        <v>520</v>
      </c>
      <c r="B428" t="s">
        <v>1238</v>
      </c>
      <c r="C428" t="s">
        <v>1796</v>
      </c>
      <c r="D428" t="s">
        <v>1437</v>
      </c>
      <c r="E428" t="s">
        <v>1420</v>
      </c>
      <c r="F428" t="s">
        <v>1421</v>
      </c>
    </row>
    <row r="429" spans="1:6" x14ac:dyDescent="0.3">
      <c r="A429" t="s">
        <v>518</v>
      </c>
      <c r="B429" t="s">
        <v>1236</v>
      </c>
      <c r="C429" t="s">
        <v>1796</v>
      </c>
      <c r="D429" t="s">
        <v>1437</v>
      </c>
      <c r="E429" t="s">
        <v>1420</v>
      </c>
      <c r="F429" t="s">
        <v>1421</v>
      </c>
    </row>
    <row r="430" spans="1:6" x14ac:dyDescent="0.3">
      <c r="A430" t="s">
        <v>1274</v>
      </c>
      <c r="B430" t="s">
        <v>1235</v>
      </c>
      <c r="C430" t="s">
        <v>1796</v>
      </c>
      <c r="D430" t="s">
        <v>1437</v>
      </c>
      <c r="E430" t="s">
        <v>1420</v>
      </c>
      <c r="F430" t="s">
        <v>1421</v>
      </c>
    </row>
    <row r="431" spans="1:6" x14ac:dyDescent="0.3">
      <c r="A431" t="s">
        <v>1797</v>
      </c>
      <c r="B431" t="s">
        <v>1234</v>
      </c>
      <c r="C431" t="s">
        <v>1796</v>
      </c>
      <c r="D431" t="s">
        <v>1437</v>
      </c>
      <c r="E431" t="s">
        <v>1420</v>
      </c>
      <c r="F431" t="s">
        <v>1421</v>
      </c>
    </row>
    <row r="432" spans="1:6" x14ac:dyDescent="0.3">
      <c r="A432" t="s">
        <v>516</v>
      </c>
      <c r="B432" t="s">
        <v>1232</v>
      </c>
      <c r="C432" t="s">
        <v>1796</v>
      </c>
      <c r="D432" t="s">
        <v>1437</v>
      </c>
      <c r="E432" t="s">
        <v>1420</v>
      </c>
      <c r="F432" t="s">
        <v>1421</v>
      </c>
    </row>
    <row r="433" spans="1:6" x14ac:dyDescent="0.3">
      <c r="A433" t="s">
        <v>517</v>
      </c>
      <c r="B433" t="s">
        <v>1233</v>
      </c>
      <c r="C433" t="s">
        <v>1796</v>
      </c>
      <c r="D433" t="s">
        <v>1437</v>
      </c>
      <c r="E433" t="s">
        <v>1420</v>
      </c>
      <c r="F433" t="s">
        <v>1421</v>
      </c>
    </row>
    <row r="434" spans="1:6" x14ac:dyDescent="0.3">
      <c r="A434" t="s">
        <v>515</v>
      </c>
      <c r="B434" t="s">
        <v>1231</v>
      </c>
      <c r="C434" t="s">
        <v>1796</v>
      </c>
      <c r="D434" t="s">
        <v>1437</v>
      </c>
      <c r="E434" t="s">
        <v>1420</v>
      </c>
      <c r="F434" t="s">
        <v>1421</v>
      </c>
    </row>
    <row r="435" spans="1:6" x14ac:dyDescent="0.3">
      <c r="A435" t="s">
        <v>514</v>
      </c>
      <c r="B435" t="s">
        <v>1230</v>
      </c>
      <c r="C435" t="s">
        <v>1796</v>
      </c>
      <c r="D435" t="s">
        <v>1437</v>
      </c>
      <c r="E435" t="s">
        <v>1420</v>
      </c>
      <c r="F435" t="s">
        <v>1421</v>
      </c>
    </row>
    <row r="436" spans="1:6" x14ac:dyDescent="0.3">
      <c r="A436" t="s">
        <v>1798</v>
      </c>
      <c r="B436" t="s">
        <v>1229</v>
      </c>
      <c r="C436" t="s">
        <v>1796</v>
      </c>
      <c r="D436" t="s">
        <v>1437</v>
      </c>
      <c r="E436" t="s">
        <v>1420</v>
      </c>
      <c r="F436" t="s">
        <v>1421</v>
      </c>
    </row>
    <row r="437" spans="1:6" x14ac:dyDescent="0.3">
      <c r="A437" t="s">
        <v>436</v>
      </c>
      <c r="B437" t="s">
        <v>1127</v>
      </c>
      <c r="C437" t="s">
        <v>1799</v>
      </c>
      <c r="D437" t="s">
        <v>1437</v>
      </c>
      <c r="E437" t="s">
        <v>1420</v>
      </c>
      <c r="F437" t="s">
        <v>1421</v>
      </c>
    </row>
    <row r="438" spans="1:6" x14ac:dyDescent="0.3">
      <c r="A438" t="s">
        <v>437</v>
      </c>
      <c r="B438" t="s">
        <v>1128</v>
      </c>
      <c r="C438" t="s">
        <v>1799</v>
      </c>
      <c r="D438" t="s">
        <v>1437</v>
      </c>
      <c r="E438" t="s">
        <v>1420</v>
      </c>
      <c r="F438" t="s">
        <v>1421</v>
      </c>
    </row>
    <row r="439" spans="1:6" x14ac:dyDescent="0.3">
      <c r="A439" t="s">
        <v>435</v>
      </c>
      <c r="B439" t="s">
        <v>1126</v>
      </c>
      <c r="C439" t="s">
        <v>1799</v>
      </c>
      <c r="D439" t="s">
        <v>1437</v>
      </c>
      <c r="E439" t="s">
        <v>1420</v>
      </c>
      <c r="F439" t="s">
        <v>1421</v>
      </c>
    </row>
    <row r="440" spans="1:6" x14ac:dyDescent="0.3">
      <c r="A440" t="s">
        <v>434</v>
      </c>
      <c r="B440" t="s">
        <v>1125</v>
      </c>
      <c r="C440" t="s">
        <v>1799</v>
      </c>
      <c r="D440" t="s">
        <v>1437</v>
      </c>
      <c r="E440" t="s">
        <v>1420</v>
      </c>
      <c r="F440" t="s">
        <v>1421</v>
      </c>
    </row>
    <row r="441" spans="1:6" x14ac:dyDescent="0.3">
      <c r="A441" t="s">
        <v>432</v>
      </c>
      <c r="B441" t="s">
        <v>1123</v>
      </c>
      <c r="C441" t="s">
        <v>1799</v>
      </c>
      <c r="D441" t="s">
        <v>1437</v>
      </c>
      <c r="E441" t="s">
        <v>1420</v>
      </c>
      <c r="F441" t="s">
        <v>1421</v>
      </c>
    </row>
    <row r="442" spans="1:6" x14ac:dyDescent="0.3">
      <c r="A442" t="s">
        <v>433</v>
      </c>
      <c r="B442" t="s">
        <v>1124</v>
      </c>
      <c r="C442" t="s">
        <v>1799</v>
      </c>
      <c r="D442" t="s">
        <v>1437</v>
      </c>
      <c r="E442" t="s">
        <v>1420</v>
      </c>
      <c r="F442" t="s">
        <v>1421</v>
      </c>
    </row>
    <row r="443" spans="1:6" x14ac:dyDescent="0.3">
      <c r="A443" t="s">
        <v>5</v>
      </c>
      <c r="B443" t="s">
        <v>1122</v>
      </c>
      <c r="C443" t="s">
        <v>1799</v>
      </c>
      <c r="D443" t="s">
        <v>1437</v>
      </c>
      <c r="E443" t="s">
        <v>1420</v>
      </c>
      <c r="F443" t="s">
        <v>1421</v>
      </c>
    </row>
    <row r="444" spans="1:6" x14ac:dyDescent="0.3">
      <c r="A444" t="s">
        <v>3</v>
      </c>
      <c r="B444" t="s">
        <v>1121</v>
      </c>
      <c r="C444" t="s">
        <v>1799</v>
      </c>
      <c r="D444" t="s">
        <v>1437</v>
      </c>
      <c r="E444" t="s">
        <v>1420</v>
      </c>
      <c r="F444" t="s">
        <v>1421</v>
      </c>
    </row>
    <row r="445" spans="1:6" x14ac:dyDescent="0.3">
      <c r="A445" t="s">
        <v>388</v>
      </c>
      <c r="B445" t="s">
        <v>1066</v>
      </c>
      <c r="C445" t="s">
        <v>1800</v>
      </c>
      <c r="D445" t="s">
        <v>1429</v>
      </c>
      <c r="E445" t="s">
        <v>1423</v>
      </c>
      <c r="F445" t="s">
        <v>1421</v>
      </c>
    </row>
    <row r="446" spans="1:6" x14ac:dyDescent="0.3">
      <c r="A446" t="s">
        <v>10</v>
      </c>
      <c r="B446" t="s">
        <v>1067</v>
      </c>
      <c r="C446" t="s">
        <v>1800</v>
      </c>
      <c r="D446" t="s">
        <v>1429</v>
      </c>
      <c r="E446" t="s">
        <v>1423</v>
      </c>
      <c r="F446" t="s">
        <v>1421</v>
      </c>
    </row>
    <row r="447" spans="1:6" x14ac:dyDescent="0.3">
      <c r="A447" t="s">
        <v>387</v>
      </c>
      <c r="B447" t="s">
        <v>1065</v>
      </c>
      <c r="C447" t="s">
        <v>1800</v>
      </c>
      <c r="D447" t="s">
        <v>1429</v>
      </c>
      <c r="E447" t="s">
        <v>1423</v>
      </c>
      <c r="F447" t="s">
        <v>1421</v>
      </c>
    </row>
    <row r="448" spans="1:6" x14ac:dyDescent="0.3">
      <c r="A448" t="s">
        <v>9</v>
      </c>
      <c r="B448" t="s">
        <v>1064</v>
      </c>
      <c r="C448" t="s">
        <v>1800</v>
      </c>
      <c r="D448" t="s">
        <v>1429</v>
      </c>
      <c r="E448" t="s">
        <v>1423</v>
      </c>
      <c r="F448" t="s">
        <v>1421</v>
      </c>
    </row>
    <row r="449" spans="1:6" x14ac:dyDescent="0.3">
      <c r="A449" t="s">
        <v>207</v>
      </c>
      <c r="B449" t="s">
        <v>809</v>
      </c>
      <c r="C449" t="s">
        <v>1801</v>
      </c>
      <c r="D449" t="s">
        <v>1439</v>
      </c>
      <c r="E449" t="s">
        <v>1420</v>
      </c>
      <c r="F449" t="s">
        <v>1421</v>
      </c>
    </row>
    <row r="450" spans="1:6" x14ac:dyDescent="0.3">
      <c r="A450" t="s">
        <v>208</v>
      </c>
      <c r="B450" t="s">
        <v>810</v>
      </c>
      <c r="C450" t="s">
        <v>1801</v>
      </c>
      <c r="D450" t="s">
        <v>1439</v>
      </c>
      <c r="E450" t="s">
        <v>1420</v>
      </c>
      <c r="F450" t="s">
        <v>1421</v>
      </c>
    </row>
    <row r="451" spans="1:6" x14ac:dyDescent="0.3">
      <c r="A451" t="s">
        <v>206</v>
      </c>
      <c r="B451" t="s">
        <v>808</v>
      </c>
      <c r="C451" t="s">
        <v>1801</v>
      </c>
      <c r="D451" t="s">
        <v>1439</v>
      </c>
      <c r="E451" t="s">
        <v>1420</v>
      </c>
      <c r="F451" t="s">
        <v>1421</v>
      </c>
    </row>
    <row r="452" spans="1:6" x14ac:dyDescent="0.3">
      <c r="A452" t="s">
        <v>205</v>
      </c>
      <c r="B452" t="s">
        <v>807</v>
      </c>
      <c r="C452" t="s">
        <v>1801</v>
      </c>
      <c r="D452" t="s">
        <v>1439</v>
      </c>
      <c r="E452" t="s">
        <v>1420</v>
      </c>
      <c r="F452" t="s">
        <v>1421</v>
      </c>
    </row>
    <row r="453" spans="1:6" x14ac:dyDescent="0.3">
      <c r="A453" t="s">
        <v>277</v>
      </c>
      <c r="B453" t="s">
        <v>923</v>
      </c>
      <c r="C453" t="s">
        <v>1802</v>
      </c>
      <c r="D453" t="s">
        <v>1437</v>
      </c>
      <c r="E453" t="s">
        <v>1420</v>
      </c>
      <c r="F453" t="s">
        <v>1421</v>
      </c>
    </row>
    <row r="454" spans="1:6" x14ac:dyDescent="0.3">
      <c r="A454" t="s">
        <v>278</v>
      </c>
      <c r="B454" t="s">
        <v>924</v>
      </c>
      <c r="C454" t="s">
        <v>1802</v>
      </c>
      <c r="D454" t="s">
        <v>1437</v>
      </c>
      <c r="E454" t="s">
        <v>1420</v>
      </c>
      <c r="F454" t="s">
        <v>1421</v>
      </c>
    </row>
    <row r="455" spans="1:6" x14ac:dyDescent="0.3">
      <c r="A455" t="s">
        <v>276</v>
      </c>
      <c r="B455" t="s">
        <v>922</v>
      </c>
      <c r="C455" t="s">
        <v>1802</v>
      </c>
      <c r="D455" t="s">
        <v>1437</v>
      </c>
      <c r="E455" t="s">
        <v>1420</v>
      </c>
      <c r="F455" t="s">
        <v>1421</v>
      </c>
    </row>
    <row r="456" spans="1:6" x14ac:dyDescent="0.3">
      <c r="A456" t="s">
        <v>275</v>
      </c>
      <c r="B456" t="s">
        <v>921</v>
      </c>
      <c r="C456" t="s">
        <v>1802</v>
      </c>
      <c r="D456" t="s">
        <v>1437</v>
      </c>
      <c r="E456" t="s">
        <v>1420</v>
      </c>
      <c r="F456" t="s">
        <v>1421</v>
      </c>
    </row>
    <row r="457" spans="1:6" x14ac:dyDescent="0.3">
      <c r="A457" t="s">
        <v>395</v>
      </c>
      <c r="B457" t="s">
        <v>1074</v>
      </c>
      <c r="C457" t="s">
        <v>1803</v>
      </c>
      <c r="D457" t="s">
        <v>1429</v>
      </c>
      <c r="E457" t="s">
        <v>1420</v>
      </c>
      <c r="F457" t="s">
        <v>1421</v>
      </c>
    </row>
    <row r="458" spans="1:6" x14ac:dyDescent="0.3">
      <c r="A458" t="s">
        <v>396</v>
      </c>
      <c r="B458" t="s">
        <v>1075</v>
      </c>
      <c r="C458" t="s">
        <v>1803</v>
      </c>
      <c r="D458" t="s">
        <v>1429</v>
      </c>
      <c r="E458" t="s">
        <v>1420</v>
      </c>
      <c r="F458" t="s">
        <v>1421</v>
      </c>
    </row>
    <row r="459" spans="1:6" x14ac:dyDescent="0.3">
      <c r="A459" t="s">
        <v>394</v>
      </c>
      <c r="B459" t="s">
        <v>1073</v>
      </c>
      <c r="C459" t="s">
        <v>1803</v>
      </c>
      <c r="D459" t="s">
        <v>1429</v>
      </c>
      <c r="E459" t="s">
        <v>1420</v>
      </c>
      <c r="F459" t="s">
        <v>1421</v>
      </c>
    </row>
    <row r="460" spans="1:6" x14ac:dyDescent="0.3">
      <c r="A460" t="s">
        <v>393</v>
      </c>
      <c r="B460" t="s">
        <v>1072</v>
      </c>
      <c r="C460" t="s">
        <v>1803</v>
      </c>
      <c r="D460" t="s">
        <v>1429</v>
      </c>
      <c r="E460" t="s">
        <v>1420</v>
      </c>
      <c r="F460" t="s">
        <v>1421</v>
      </c>
    </row>
    <row r="461" spans="1:6" x14ac:dyDescent="0.3">
      <c r="A461" t="s">
        <v>1804</v>
      </c>
      <c r="B461" t="s">
        <v>1071</v>
      </c>
      <c r="C461" t="s">
        <v>1803</v>
      </c>
      <c r="D461" t="s">
        <v>1429</v>
      </c>
      <c r="E461" t="s">
        <v>1420</v>
      </c>
      <c r="F461" t="s">
        <v>1421</v>
      </c>
    </row>
    <row r="462" spans="1:6" x14ac:dyDescent="0.3">
      <c r="A462" t="s">
        <v>446</v>
      </c>
      <c r="B462" t="s">
        <v>1144</v>
      </c>
      <c r="C462" t="s">
        <v>1805</v>
      </c>
      <c r="D462" t="s">
        <v>1437</v>
      </c>
      <c r="E462" t="s">
        <v>1420</v>
      </c>
      <c r="F462" t="s">
        <v>1421</v>
      </c>
    </row>
    <row r="463" spans="1:6" x14ac:dyDescent="0.3">
      <c r="A463" t="s">
        <v>447</v>
      </c>
      <c r="B463" t="s">
        <v>1145</v>
      </c>
      <c r="C463" t="s">
        <v>1805</v>
      </c>
      <c r="D463" t="s">
        <v>1437</v>
      </c>
      <c r="E463" t="s">
        <v>1420</v>
      </c>
      <c r="F463" t="s">
        <v>1421</v>
      </c>
    </row>
    <row r="464" spans="1:6" x14ac:dyDescent="0.3">
      <c r="A464" t="s">
        <v>445</v>
      </c>
      <c r="B464" t="s">
        <v>1143</v>
      </c>
      <c r="C464" t="s">
        <v>1805</v>
      </c>
      <c r="D464" t="s">
        <v>1437</v>
      </c>
      <c r="E464" t="s">
        <v>1420</v>
      </c>
      <c r="F464" t="s">
        <v>1421</v>
      </c>
    </row>
    <row r="465" spans="1:6" x14ac:dyDescent="0.3">
      <c r="A465" t="s">
        <v>1268</v>
      </c>
      <c r="B465" t="s">
        <v>1142</v>
      </c>
      <c r="C465" t="s">
        <v>1805</v>
      </c>
      <c r="D465" t="s">
        <v>1437</v>
      </c>
      <c r="E465" t="s">
        <v>1420</v>
      </c>
      <c r="F465" t="s">
        <v>1421</v>
      </c>
    </row>
    <row r="466" spans="1:6" x14ac:dyDescent="0.3">
      <c r="A466" t="s">
        <v>454</v>
      </c>
      <c r="B466" t="s">
        <v>1154</v>
      </c>
      <c r="C466" t="s">
        <v>1806</v>
      </c>
      <c r="D466" t="s">
        <v>1437</v>
      </c>
      <c r="E466" t="s">
        <v>1420</v>
      </c>
      <c r="F466" t="s">
        <v>1421</v>
      </c>
    </row>
    <row r="467" spans="1:6" x14ac:dyDescent="0.3">
      <c r="A467" t="s">
        <v>455</v>
      </c>
      <c r="B467" t="s">
        <v>1155</v>
      </c>
      <c r="C467" t="s">
        <v>1806</v>
      </c>
      <c r="D467" t="s">
        <v>1437</v>
      </c>
      <c r="E467" t="s">
        <v>1420</v>
      </c>
      <c r="F467" t="s">
        <v>1421</v>
      </c>
    </row>
    <row r="468" spans="1:6" x14ac:dyDescent="0.3">
      <c r="A468" t="s">
        <v>453</v>
      </c>
      <c r="B468" t="s">
        <v>1153</v>
      </c>
      <c r="C468" t="s">
        <v>1806</v>
      </c>
      <c r="D468" t="s">
        <v>1437</v>
      </c>
      <c r="E468" t="s">
        <v>1420</v>
      </c>
      <c r="F468" t="s">
        <v>1421</v>
      </c>
    </row>
    <row r="469" spans="1:6" x14ac:dyDescent="0.3">
      <c r="A469" t="s">
        <v>452</v>
      </c>
      <c r="B469" t="s">
        <v>1152</v>
      </c>
      <c r="C469" t="s">
        <v>1806</v>
      </c>
      <c r="D469" t="s">
        <v>1437</v>
      </c>
      <c r="E469" t="s">
        <v>1420</v>
      </c>
      <c r="F469" t="s">
        <v>1421</v>
      </c>
    </row>
    <row r="470" spans="1:6" x14ac:dyDescent="0.3">
      <c r="A470" t="s">
        <v>1807</v>
      </c>
      <c r="B470" t="s">
        <v>1151</v>
      </c>
      <c r="C470" t="s">
        <v>1806</v>
      </c>
      <c r="D470" t="s">
        <v>1437</v>
      </c>
      <c r="E470" t="s">
        <v>1420</v>
      </c>
      <c r="F470" t="s">
        <v>1421</v>
      </c>
    </row>
    <row r="471" spans="1:6" x14ac:dyDescent="0.3">
      <c r="A471" t="s">
        <v>450</v>
      </c>
      <c r="B471" t="s">
        <v>1149</v>
      </c>
      <c r="C471" t="s">
        <v>1806</v>
      </c>
      <c r="D471" t="s">
        <v>1437</v>
      </c>
      <c r="E471" t="s">
        <v>1420</v>
      </c>
      <c r="F471" t="s">
        <v>1421</v>
      </c>
    </row>
    <row r="472" spans="1:6" x14ac:dyDescent="0.3">
      <c r="A472" t="s">
        <v>451</v>
      </c>
      <c r="B472" t="s">
        <v>1150</v>
      </c>
      <c r="C472" t="s">
        <v>1806</v>
      </c>
      <c r="D472" t="s">
        <v>1437</v>
      </c>
      <c r="E472" t="s">
        <v>1420</v>
      </c>
      <c r="F472" t="s">
        <v>1421</v>
      </c>
    </row>
    <row r="473" spans="1:6" x14ac:dyDescent="0.3">
      <c r="A473" t="s">
        <v>449</v>
      </c>
      <c r="B473" t="s">
        <v>1148</v>
      </c>
      <c r="C473" t="s">
        <v>1806</v>
      </c>
      <c r="D473" t="s">
        <v>1437</v>
      </c>
      <c r="E473" t="s">
        <v>1420</v>
      </c>
      <c r="F473" t="s">
        <v>1421</v>
      </c>
    </row>
    <row r="474" spans="1:6" x14ac:dyDescent="0.3">
      <c r="A474" t="s">
        <v>448</v>
      </c>
      <c r="B474" t="s">
        <v>1147</v>
      </c>
      <c r="C474" t="s">
        <v>1806</v>
      </c>
      <c r="D474" t="s">
        <v>1437</v>
      </c>
      <c r="E474" t="s">
        <v>1420</v>
      </c>
      <c r="F474" t="s">
        <v>1421</v>
      </c>
    </row>
    <row r="475" spans="1:6" x14ac:dyDescent="0.3">
      <c r="A475" t="s">
        <v>1808</v>
      </c>
      <c r="B475" t="s">
        <v>1146</v>
      </c>
      <c r="C475" t="s">
        <v>1806</v>
      </c>
      <c r="D475" t="s">
        <v>1437</v>
      </c>
      <c r="E475" t="s">
        <v>1420</v>
      </c>
      <c r="F475" t="s">
        <v>1421</v>
      </c>
    </row>
    <row r="476" spans="1:6" x14ac:dyDescent="0.3">
      <c r="A476" t="s">
        <v>527</v>
      </c>
      <c r="B476" t="s">
        <v>1245</v>
      </c>
      <c r="C476" t="s">
        <v>1809</v>
      </c>
      <c r="D476" t="s">
        <v>1437</v>
      </c>
      <c r="E476" t="s">
        <v>1420</v>
      </c>
      <c r="F476" t="s">
        <v>1421</v>
      </c>
    </row>
    <row r="477" spans="1:6" x14ac:dyDescent="0.3">
      <c r="A477" t="s">
        <v>528</v>
      </c>
      <c r="B477" t="s">
        <v>1246</v>
      </c>
      <c r="C477" t="s">
        <v>1809</v>
      </c>
      <c r="D477" t="s">
        <v>1437</v>
      </c>
      <c r="E477" t="s">
        <v>1420</v>
      </c>
      <c r="F477" t="s">
        <v>1421</v>
      </c>
    </row>
    <row r="478" spans="1:6" x14ac:dyDescent="0.3">
      <c r="A478" t="s">
        <v>526</v>
      </c>
      <c r="B478" t="s">
        <v>1244</v>
      </c>
      <c r="C478" t="s">
        <v>1809</v>
      </c>
      <c r="D478" t="s">
        <v>1437</v>
      </c>
      <c r="E478" t="s">
        <v>1420</v>
      </c>
      <c r="F478" t="s">
        <v>1421</v>
      </c>
    </row>
    <row r="479" spans="1:6" x14ac:dyDescent="0.3">
      <c r="A479" t="s">
        <v>525</v>
      </c>
      <c r="B479" t="s">
        <v>1243</v>
      </c>
      <c r="C479" t="s">
        <v>1809</v>
      </c>
      <c r="D479" t="s">
        <v>1437</v>
      </c>
      <c r="E479" t="s">
        <v>1420</v>
      </c>
      <c r="F479" t="s">
        <v>1421</v>
      </c>
    </row>
    <row r="480" spans="1:6" x14ac:dyDescent="0.3">
      <c r="A480" t="s">
        <v>1273</v>
      </c>
      <c r="B480" t="s">
        <v>1228</v>
      </c>
      <c r="C480" t="s">
        <v>1810</v>
      </c>
      <c r="D480" t="s">
        <v>1437</v>
      </c>
      <c r="E480" t="s">
        <v>1420</v>
      </c>
      <c r="F480" t="s">
        <v>1421</v>
      </c>
    </row>
    <row r="481" spans="1:6" x14ac:dyDescent="0.3">
      <c r="A481" t="s">
        <v>513</v>
      </c>
      <c r="B481" t="s">
        <v>1811</v>
      </c>
      <c r="C481" t="s">
        <v>1810</v>
      </c>
      <c r="D481" t="s">
        <v>1437</v>
      </c>
      <c r="E481" t="s">
        <v>1420</v>
      </c>
      <c r="F481" t="s">
        <v>1421</v>
      </c>
    </row>
    <row r="482" spans="1:6" x14ac:dyDescent="0.3">
      <c r="A482" t="s">
        <v>512</v>
      </c>
      <c r="B482" t="s">
        <v>1812</v>
      </c>
      <c r="C482" t="s">
        <v>1810</v>
      </c>
      <c r="D482" t="s">
        <v>1437</v>
      </c>
      <c r="E482" t="s">
        <v>1420</v>
      </c>
      <c r="F482" t="s">
        <v>1421</v>
      </c>
    </row>
    <row r="483" spans="1:6" x14ac:dyDescent="0.3">
      <c r="A483" t="s">
        <v>511</v>
      </c>
      <c r="B483" t="s">
        <v>1227</v>
      </c>
      <c r="C483" t="s">
        <v>1810</v>
      </c>
      <c r="D483" t="s">
        <v>1437</v>
      </c>
      <c r="E483" t="s">
        <v>1420</v>
      </c>
      <c r="F483" t="s">
        <v>1421</v>
      </c>
    </row>
    <row r="484" spans="1:6" x14ac:dyDescent="0.3">
      <c r="A484" t="s">
        <v>1813</v>
      </c>
      <c r="B484" t="s">
        <v>1814</v>
      </c>
      <c r="C484" t="s">
        <v>1810</v>
      </c>
      <c r="D484" t="s">
        <v>1437</v>
      </c>
      <c r="E484" t="s">
        <v>1420</v>
      </c>
      <c r="F484" t="s">
        <v>1421</v>
      </c>
    </row>
    <row r="485" spans="1:6" x14ac:dyDescent="0.3">
      <c r="A485" t="s">
        <v>6</v>
      </c>
      <c r="B485" t="s">
        <v>1131</v>
      </c>
      <c r="C485" t="s">
        <v>1815</v>
      </c>
      <c r="D485" t="s">
        <v>1437</v>
      </c>
      <c r="E485" t="s">
        <v>1420</v>
      </c>
      <c r="F485" t="s">
        <v>1421</v>
      </c>
    </row>
    <row r="486" spans="1:6" x14ac:dyDescent="0.3">
      <c r="A486" t="s">
        <v>440</v>
      </c>
      <c r="B486" t="s">
        <v>1132</v>
      </c>
      <c r="C486" t="s">
        <v>1815</v>
      </c>
      <c r="D486" t="s">
        <v>1437</v>
      </c>
      <c r="E486" t="s">
        <v>1420</v>
      </c>
      <c r="F486" t="s">
        <v>1421</v>
      </c>
    </row>
    <row r="487" spans="1:6" x14ac:dyDescent="0.3">
      <c r="A487" t="s">
        <v>439</v>
      </c>
      <c r="B487" t="s">
        <v>1130</v>
      </c>
      <c r="C487" t="s">
        <v>1815</v>
      </c>
      <c r="D487" t="s">
        <v>1437</v>
      </c>
      <c r="E487" t="s">
        <v>1420</v>
      </c>
      <c r="F487" t="s">
        <v>1421</v>
      </c>
    </row>
    <row r="488" spans="1:6" x14ac:dyDescent="0.3">
      <c r="A488" t="s">
        <v>438</v>
      </c>
      <c r="B488" t="s">
        <v>1129</v>
      </c>
      <c r="C488" t="s">
        <v>1815</v>
      </c>
      <c r="D488" t="s">
        <v>1437</v>
      </c>
      <c r="E488" t="s">
        <v>1420</v>
      </c>
      <c r="F488" t="s">
        <v>1421</v>
      </c>
    </row>
    <row r="489" spans="1:6" x14ac:dyDescent="0.3">
      <c r="A489" t="s">
        <v>32</v>
      </c>
      <c r="B489" t="s">
        <v>589</v>
      </c>
      <c r="C489" t="s">
        <v>1816</v>
      </c>
      <c r="D489" t="s">
        <v>1419</v>
      </c>
      <c r="E489" t="s">
        <v>1420</v>
      </c>
      <c r="F489" t="s">
        <v>1421</v>
      </c>
    </row>
    <row r="490" spans="1:6" x14ac:dyDescent="0.3">
      <c r="A490" t="s">
        <v>33</v>
      </c>
      <c r="B490" t="s">
        <v>590</v>
      </c>
      <c r="C490" t="s">
        <v>1816</v>
      </c>
      <c r="D490" t="s">
        <v>1419</v>
      </c>
      <c r="E490" t="s">
        <v>1420</v>
      </c>
      <c r="F490" t="s">
        <v>1421</v>
      </c>
    </row>
    <row r="491" spans="1:6" x14ac:dyDescent="0.3">
      <c r="A491" t="s">
        <v>31</v>
      </c>
      <c r="B491" t="s">
        <v>588</v>
      </c>
      <c r="C491" t="s">
        <v>1816</v>
      </c>
      <c r="D491" t="s">
        <v>1419</v>
      </c>
      <c r="E491" t="s">
        <v>1420</v>
      </c>
      <c r="F491" t="s">
        <v>1421</v>
      </c>
    </row>
    <row r="492" spans="1:6" x14ac:dyDescent="0.3">
      <c r="A492" t="s">
        <v>30</v>
      </c>
      <c r="B492" t="s">
        <v>587</v>
      </c>
      <c r="C492" t="s">
        <v>1816</v>
      </c>
      <c r="D492" t="s">
        <v>1419</v>
      </c>
      <c r="E492" t="s">
        <v>1420</v>
      </c>
      <c r="F492" t="s">
        <v>1421</v>
      </c>
    </row>
    <row r="493" spans="1:6" x14ac:dyDescent="0.3">
      <c r="A493" t="s">
        <v>35</v>
      </c>
      <c r="B493" t="s">
        <v>592</v>
      </c>
      <c r="C493" t="s">
        <v>1816</v>
      </c>
      <c r="D493" t="s">
        <v>1419</v>
      </c>
      <c r="E493" t="s">
        <v>1420</v>
      </c>
      <c r="F493" t="s">
        <v>1421</v>
      </c>
    </row>
    <row r="494" spans="1:6" x14ac:dyDescent="0.3">
      <c r="A494" t="s">
        <v>36</v>
      </c>
      <c r="B494" t="s">
        <v>593</v>
      </c>
      <c r="C494" t="s">
        <v>1816</v>
      </c>
      <c r="D494" t="s">
        <v>1419</v>
      </c>
      <c r="E494" t="s">
        <v>1420</v>
      </c>
      <c r="F494" t="s">
        <v>1421</v>
      </c>
    </row>
    <row r="495" spans="1:6" x14ac:dyDescent="0.3">
      <c r="A495" t="s">
        <v>34</v>
      </c>
      <c r="B495" t="s">
        <v>591</v>
      </c>
      <c r="C495" t="s">
        <v>1816</v>
      </c>
      <c r="D495" t="s">
        <v>1419</v>
      </c>
      <c r="E495" t="s">
        <v>1420</v>
      </c>
      <c r="F495" t="s">
        <v>1421</v>
      </c>
    </row>
    <row r="496" spans="1:6" x14ac:dyDescent="0.3">
      <c r="A496" t="s">
        <v>1817</v>
      </c>
      <c r="B496" t="s">
        <v>1818</v>
      </c>
      <c r="C496" t="s">
        <v>1816</v>
      </c>
      <c r="D496" t="s">
        <v>1419</v>
      </c>
      <c r="E496" t="s">
        <v>1420</v>
      </c>
      <c r="F496" t="s">
        <v>1421</v>
      </c>
    </row>
    <row r="497" spans="1:6" x14ac:dyDescent="0.3">
      <c r="A497" t="s">
        <v>1819</v>
      </c>
      <c r="B497" t="s">
        <v>1820</v>
      </c>
      <c r="C497" t="s">
        <v>1816</v>
      </c>
      <c r="D497" t="s">
        <v>1419</v>
      </c>
      <c r="E497" t="s">
        <v>1423</v>
      </c>
      <c r="F497" t="s">
        <v>1424</v>
      </c>
    </row>
    <row r="498" spans="1:6" x14ac:dyDescent="0.3">
      <c r="A498" t="s">
        <v>1821</v>
      </c>
      <c r="B498" t="s">
        <v>1822</v>
      </c>
      <c r="C498" t="s">
        <v>1816</v>
      </c>
      <c r="D498" t="s">
        <v>1419</v>
      </c>
      <c r="E498" t="s">
        <v>1423</v>
      </c>
      <c r="F498" t="s">
        <v>1421</v>
      </c>
    </row>
    <row r="499" spans="1:6" x14ac:dyDescent="0.3">
      <c r="A499" t="s">
        <v>1823</v>
      </c>
      <c r="B499" t="s">
        <v>1824</v>
      </c>
      <c r="C499" t="s">
        <v>1816</v>
      </c>
      <c r="D499" t="s">
        <v>1419</v>
      </c>
      <c r="E499" t="s">
        <v>1423</v>
      </c>
      <c r="F499" t="s">
        <v>1424</v>
      </c>
    </row>
    <row r="500" spans="1:6" x14ac:dyDescent="0.3">
      <c r="A500" t="s">
        <v>1825</v>
      </c>
      <c r="B500" t="s">
        <v>1826</v>
      </c>
      <c r="C500" t="s">
        <v>1816</v>
      </c>
      <c r="D500" t="s">
        <v>1419</v>
      </c>
      <c r="E500" t="s">
        <v>1423</v>
      </c>
      <c r="F500" t="s">
        <v>1421</v>
      </c>
    </row>
    <row r="501" spans="1:6" x14ac:dyDescent="0.3">
      <c r="A501" t="s">
        <v>69</v>
      </c>
      <c r="B501" t="s">
        <v>639</v>
      </c>
      <c r="C501" t="s">
        <v>1827</v>
      </c>
      <c r="D501" t="s">
        <v>1429</v>
      </c>
      <c r="E501" t="s">
        <v>1420</v>
      </c>
      <c r="F501" t="s">
        <v>1421</v>
      </c>
    </row>
    <row r="502" spans="1:6" x14ac:dyDescent="0.3">
      <c r="A502" t="s">
        <v>70</v>
      </c>
      <c r="B502" t="s">
        <v>640</v>
      </c>
      <c r="C502" t="s">
        <v>1827</v>
      </c>
      <c r="D502" t="s">
        <v>1429</v>
      </c>
      <c r="E502" t="s">
        <v>1420</v>
      </c>
      <c r="F502" t="s">
        <v>1421</v>
      </c>
    </row>
    <row r="503" spans="1:6" x14ac:dyDescent="0.3">
      <c r="A503" t="s">
        <v>68</v>
      </c>
      <c r="B503" t="s">
        <v>638</v>
      </c>
      <c r="C503" t="s">
        <v>1827</v>
      </c>
      <c r="D503" t="s">
        <v>1429</v>
      </c>
      <c r="E503" t="s">
        <v>1420</v>
      </c>
      <c r="F503" t="s">
        <v>1421</v>
      </c>
    </row>
    <row r="504" spans="1:6" x14ac:dyDescent="0.3">
      <c r="A504" t="s">
        <v>67</v>
      </c>
      <c r="B504" t="s">
        <v>637</v>
      </c>
      <c r="C504" t="s">
        <v>1827</v>
      </c>
      <c r="D504" t="s">
        <v>1429</v>
      </c>
      <c r="E504" t="s">
        <v>1420</v>
      </c>
      <c r="F504" t="s">
        <v>1421</v>
      </c>
    </row>
    <row r="505" spans="1:6" x14ac:dyDescent="0.3">
      <c r="A505" t="s">
        <v>91</v>
      </c>
      <c r="B505" t="s">
        <v>664</v>
      </c>
      <c r="C505" t="s">
        <v>1828</v>
      </c>
      <c r="D505" t="s">
        <v>1429</v>
      </c>
      <c r="E505" t="s">
        <v>1420</v>
      </c>
      <c r="F505" t="s">
        <v>1421</v>
      </c>
    </row>
    <row r="506" spans="1:6" x14ac:dyDescent="0.3">
      <c r="A506" t="s">
        <v>92</v>
      </c>
      <c r="B506" t="s">
        <v>665</v>
      </c>
      <c r="C506" t="s">
        <v>1828</v>
      </c>
      <c r="D506" t="s">
        <v>1429</v>
      </c>
      <c r="E506" t="s">
        <v>1420</v>
      </c>
      <c r="F506" t="s">
        <v>1421</v>
      </c>
    </row>
    <row r="507" spans="1:6" x14ac:dyDescent="0.3">
      <c r="A507" t="s">
        <v>90</v>
      </c>
      <c r="B507" t="s">
        <v>663</v>
      </c>
      <c r="C507" t="s">
        <v>1828</v>
      </c>
      <c r="D507" t="s">
        <v>1429</v>
      </c>
      <c r="E507" t="s">
        <v>1420</v>
      </c>
      <c r="F507" t="s">
        <v>1421</v>
      </c>
    </row>
    <row r="508" spans="1:6" x14ac:dyDescent="0.3">
      <c r="A508" t="s">
        <v>89</v>
      </c>
      <c r="B508" t="s">
        <v>662</v>
      </c>
      <c r="C508" t="s">
        <v>1828</v>
      </c>
      <c r="D508" t="s">
        <v>1429</v>
      </c>
      <c r="E508" t="s">
        <v>1420</v>
      </c>
      <c r="F508" t="s">
        <v>1421</v>
      </c>
    </row>
    <row r="509" spans="1:6" x14ac:dyDescent="0.3">
      <c r="A509" t="s">
        <v>1829</v>
      </c>
      <c r="B509" t="s">
        <v>661</v>
      </c>
      <c r="C509" t="s">
        <v>1828</v>
      </c>
      <c r="D509" t="s">
        <v>1429</v>
      </c>
      <c r="E509" t="s">
        <v>1420</v>
      </c>
      <c r="F509" t="s">
        <v>1421</v>
      </c>
    </row>
    <row r="510" spans="1:6" x14ac:dyDescent="0.3">
      <c r="A510" t="s">
        <v>105</v>
      </c>
      <c r="B510" t="s">
        <v>701</v>
      </c>
      <c r="C510" t="s">
        <v>1830</v>
      </c>
      <c r="D510" t="s">
        <v>1434</v>
      </c>
      <c r="E510" t="s">
        <v>1423</v>
      </c>
      <c r="F510" t="s">
        <v>1424</v>
      </c>
    </row>
    <row r="511" spans="1:6" x14ac:dyDescent="0.3">
      <c r="A511" t="s">
        <v>106</v>
      </c>
      <c r="B511" t="s">
        <v>702</v>
      </c>
      <c r="C511" t="s">
        <v>1830</v>
      </c>
      <c r="D511" t="s">
        <v>1434</v>
      </c>
      <c r="E511" t="s">
        <v>1423</v>
      </c>
      <c r="F511" t="s">
        <v>1424</v>
      </c>
    </row>
    <row r="512" spans="1:6" x14ac:dyDescent="0.3">
      <c r="A512" t="s">
        <v>104</v>
      </c>
      <c r="B512" t="s">
        <v>700</v>
      </c>
      <c r="C512" t="s">
        <v>1830</v>
      </c>
      <c r="D512" t="s">
        <v>1434</v>
      </c>
      <c r="E512" t="s">
        <v>1423</v>
      </c>
      <c r="F512" t="s">
        <v>1424</v>
      </c>
    </row>
    <row r="513" spans="1:6" x14ac:dyDescent="0.3">
      <c r="A513" t="s">
        <v>103</v>
      </c>
      <c r="B513" t="s">
        <v>699</v>
      </c>
      <c r="C513" t="s">
        <v>1830</v>
      </c>
      <c r="D513" t="s">
        <v>1434</v>
      </c>
      <c r="E513" t="s">
        <v>1423</v>
      </c>
      <c r="F513" t="s">
        <v>1424</v>
      </c>
    </row>
    <row r="514" spans="1:6" x14ac:dyDescent="0.3">
      <c r="A514" t="s">
        <v>1255</v>
      </c>
      <c r="B514" t="s">
        <v>731</v>
      </c>
      <c r="C514" t="s">
        <v>1831</v>
      </c>
      <c r="D514" t="s">
        <v>1434</v>
      </c>
      <c r="E514" t="s">
        <v>1423</v>
      </c>
      <c r="F514" t="s">
        <v>1424</v>
      </c>
    </row>
    <row r="515" spans="1:6" x14ac:dyDescent="0.3">
      <c r="A515" t="s">
        <v>130</v>
      </c>
      <c r="B515" t="s">
        <v>732</v>
      </c>
      <c r="C515" t="s">
        <v>1831</v>
      </c>
      <c r="D515" t="s">
        <v>1434</v>
      </c>
      <c r="E515" t="s">
        <v>1423</v>
      </c>
      <c r="F515" t="s">
        <v>1424</v>
      </c>
    </row>
    <row r="516" spans="1:6" x14ac:dyDescent="0.3">
      <c r="A516" t="s">
        <v>129</v>
      </c>
      <c r="B516" t="s">
        <v>730</v>
      </c>
      <c r="C516" t="s">
        <v>1831</v>
      </c>
      <c r="D516" t="s">
        <v>1434</v>
      </c>
      <c r="E516" t="s">
        <v>1423</v>
      </c>
      <c r="F516" t="s">
        <v>1424</v>
      </c>
    </row>
    <row r="517" spans="1:6" x14ac:dyDescent="0.3">
      <c r="A517" t="s">
        <v>128</v>
      </c>
      <c r="B517" t="s">
        <v>729</v>
      </c>
      <c r="C517" t="s">
        <v>1831</v>
      </c>
      <c r="D517" t="s">
        <v>1434</v>
      </c>
      <c r="E517" t="s">
        <v>1423</v>
      </c>
      <c r="F517" t="s">
        <v>1424</v>
      </c>
    </row>
    <row r="518" spans="1:6" x14ac:dyDescent="0.3">
      <c r="A518" t="s">
        <v>135</v>
      </c>
      <c r="B518" t="s">
        <v>1832</v>
      </c>
      <c r="C518" t="s">
        <v>1833</v>
      </c>
      <c r="D518" t="s">
        <v>1434</v>
      </c>
      <c r="E518" t="s">
        <v>1423</v>
      </c>
      <c r="F518" t="s">
        <v>1424</v>
      </c>
    </row>
    <row r="519" spans="1:6" x14ac:dyDescent="0.3">
      <c r="A519" t="s">
        <v>136</v>
      </c>
      <c r="B519" t="s">
        <v>738</v>
      </c>
      <c r="C519" t="s">
        <v>1833</v>
      </c>
      <c r="D519" t="s">
        <v>1434</v>
      </c>
      <c r="E519" t="s">
        <v>1423</v>
      </c>
      <c r="F519" t="s">
        <v>1424</v>
      </c>
    </row>
    <row r="520" spans="1:6" x14ac:dyDescent="0.3">
      <c r="A520" t="s">
        <v>134</v>
      </c>
      <c r="B520" t="s">
        <v>737</v>
      </c>
      <c r="C520" t="s">
        <v>1833</v>
      </c>
      <c r="D520" t="s">
        <v>1434</v>
      </c>
      <c r="E520" t="s">
        <v>1423</v>
      </c>
      <c r="F520" t="s">
        <v>1424</v>
      </c>
    </row>
    <row r="521" spans="1:6" x14ac:dyDescent="0.3">
      <c r="A521" t="s">
        <v>1278</v>
      </c>
      <c r="B521" t="s">
        <v>736</v>
      </c>
      <c r="C521" t="s">
        <v>1833</v>
      </c>
      <c r="D521" t="s">
        <v>1434</v>
      </c>
      <c r="E521" t="s">
        <v>1423</v>
      </c>
      <c r="F521" t="s">
        <v>1424</v>
      </c>
    </row>
    <row r="522" spans="1:6" x14ac:dyDescent="0.3">
      <c r="A522" t="s">
        <v>132</v>
      </c>
      <c r="B522" t="s">
        <v>1834</v>
      </c>
      <c r="C522" t="s">
        <v>1833</v>
      </c>
      <c r="D522" t="s">
        <v>1434</v>
      </c>
      <c r="E522" t="s">
        <v>1423</v>
      </c>
      <c r="F522" t="s">
        <v>1424</v>
      </c>
    </row>
    <row r="523" spans="1:6" x14ac:dyDescent="0.3">
      <c r="A523" t="s">
        <v>133</v>
      </c>
      <c r="B523" t="s">
        <v>735</v>
      </c>
      <c r="C523" t="s">
        <v>1833</v>
      </c>
      <c r="D523" t="s">
        <v>1434</v>
      </c>
      <c r="E523" t="s">
        <v>1423</v>
      </c>
      <c r="F523" t="s">
        <v>1424</v>
      </c>
    </row>
    <row r="524" spans="1:6" x14ac:dyDescent="0.3">
      <c r="A524" t="s">
        <v>131</v>
      </c>
      <c r="B524" t="s">
        <v>734</v>
      </c>
      <c r="C524" t="s">
        <v>1833</v>
      </c>
      <c r="D524" t="s">
        <v>1434</v>
      </c>
      <c r="E524" t="s">
        <v>1423</v>
      </c>
      <c r="F524" t="s">
        <v>1424</v>
      </c>
    </row>
    <row r="525" spans="1:6" x14ac:dyDescent="0.3">
      <c r="A525" t="s">
        <v>1256</v>
      </c>
      <c r="B525" t="s">
        <v>733</v>
      </c>
      <c r="C525" t="s">
        <v>1833</v>
      </c>
      <c r="D525" t="s">
        <v>1434</v>
      </c>
      <c r="E525" t="s">
        <v>1423</v>
      </c>
      <c r="F525" t="s">
        <v>1424</v>
      </c>
    </row>
    <row r="526" spans="1:6" x14ac:dyDescent="0.3">
      <c r="A526" t="s">
        <v>164</v>
      </c>
      <c r="B526" t="s">
        <v>766</v>
      </c>
      <c r="C526" t="s">
        <v>1835</v>
      </c>
      <c r="D526" t="s">
        <v>1434</v>
      </c>
      <c r="E526" t="s">
        <v>1420</v>
      </c>
      <c r="F526" t="s">
        <v>1421</v>
      </c>
    </row>
    <row r="527" spans="1:6" x14ac:dyDescent="0.3">
      <c r="A527" t="s">
        <v>165</v>
      </c>
      <c r="B527" t="s">
        <v>767</v>
      </c>
      <c r="C527" t="s">
        <v>1835</v>
      </c>
      <c r="D527" t="s">
        <v>1434</v>
      </c>
      <c r="E527" t="s">
        <v>1420</v>
      </c>
      <c r="F527" t="s">
        <v>1421</v>
      </c>
    </row>
    <row r="528" spans="1:6" x14ac:dyDescent="0.3">
      <c r="A528" t="s">
        <v>163</v>
      </c>
      <c r="B528" t="s">
        <v>765</v>
      </c>
      <c r="C528" t="s">
        <v>1835</v>
      </c>
      <c r="D528" t="s">
        <v>1434</v>
      </c>
      <c r="E528" t="s">
        <v>1420</v>
      </c>
      <c r="F528" t="s">
        <v>1421</v>
      </c>
    </row>
    <row r="529" spans="1:6" x14ac:dyDescent="0.3">
      <c r="A529" t="s">
        <v>162</v>
      </c>
      <c r="B529" t="s">
        <v>764</v>
      </c>
      <c r="C529" t="s">
        <v>1835</v>
      </c>
      <c r="D529" t="s">
        <v>1434</v>
      </c>
      <c r="E529" t="s">
        <v>1420</v>
      </c>
      <c r="F529" t="s">
        <v>1421</v>
      </c>
    </row>
    <row r="530" spans="1:6" x14ac:dyDescent="0.3">
      <c r="A530" t="s">
        <v>204</v>
      </c>
      <c r="B530" t="s">
        <v>806</v>
      </c>
      <c r="C530" t="s">
        <v>1836</v>
      </c>
      <c r="D530" t="s">
        <v>1437</v>
      </c>
      <c r="E530" t="s">
        <v>1420</v>
      </c>
      <c r="F530" t="s">
        <v>1421</v>
      </c>
    </row>
    <row r="531" spans="1:6" x14ac:dyDescent="0.3">
      <c r="A531" t="s">
        <v>203</v>
      </c>
      <c r="B531" t="s">
        <v>805</v>
      </c>
      <c r="C531" t="s">
        <v>1836</v>
      </c>
      <c r="D531" t="s">
        <v>1437</v>
      </c>
      <c r="E531" t="s">
        <v>1420</v>
      </c>
      <c r="F531" t="s">
        <v>1421</v>
      </c>
    </row>
    <row r="532" spans="1:6" x14ac:dyDescent="0.3">
      <c r="A532" t="s">
        <v>202</v>
      </c>
      <c r="B532" t="s">
        <v>804</v>
      </c>
      <c r="C532" t="s">
        <v>1836</v>
      </c>
      <c r="D532" t="s">
        <v>1437</v>
      </c>
      <c r="E532" t="s">
        <v>1420</v>
      </c>
      <c r="F532" t="s">
        <v>1421</v>
      </c>
    </row>
    <row r="533" spans="1:6" x14ac:dyDescent="0.3">
      <c r="A533" t="s">
        <v>1837</v>
      </c>
      <c r="B533" t="s">
        <v>1838</v>
      </c>
      <c r="C533" t="s">
        <v>1839</v>
      </c>
      <c r="D533" t="s">
        <v>1439</v>
      </c>
      <c r="E533" t="s">
        <v>1423</v>
      </c>
      <c r="F533" t="s">
        <v>1424</v>
      </c>
    </row>
    <row r="534" spans="1:6" x14ac:dyDescent="0.3">
      <c r="A534" t="s">
        <v>1840</v>
      </c>
      <c r="B534" t="s">
        <v>1841</v>
      </c>
      <c r="C534" t="s">
        <v>1839</v>
      </c>
      <c r="D534" t="s">
        <v>1439</v>
      </c>
      <c r="E534" t="s">
        <v>1423</v>
      </c>
      <c r="F534" t="s">
        <v>1424</v>
      </c>
    </row>
    <row r="535" spans="1:6" x14ac:dyDescent="0.3">
      <c r="A535" t="s">
        <v>1842</v>
      </c>
      <c r="B535" t="s">
        <v>1843</v>
      </c>
      <c r="C535" t="s">
        <v>1839</v>
      </c>
      <c r="D535" t="s">
        <v>1439</v>
      </c>
      <c r="E535" t="s">
        <v>1423</v>
      </c>
      <c r="F535" t="s">
        <v>1424</v>
      </c>
    </row>
    <row r="536" spans="1:6" x14ac:dyDescent="0.3">
      <c r="A536" t="s">
        <v>263</v>
      </c>
      <c r="B536" t="s">
        <v>892</v>
      </c>
      <c r="C536" t="s">
        <v>1844</v>
      </c>
      <c r="D536" t="s">
        <v>1437</v>
      </c>
      <c r="E536" t="s">
        <v>1420</v>
      </c>
      <c r="F536" t="s">
        <v>1421</v>
      </c>
    </row>
    <row r="537" spans="1:6" x14ac:dyDescent="0.3">
      <c r="A537" t="s">
        <v>264</v>
      </c>
      <c r="B537" t="s">
        <v>893</v>
      </c>
      <c r="C537" t="s">
        <v>1844</v>
      </c>
      <c r="D537" t="s">
        <v>1437</v>
      </c>
      <c r="E537" t="s">
        <v>1420</v>
      </c>
      <c r="F537" t="s">
        <v>1421</v>
      </c>
    </row>
    <row r="538" spans="1:6" x14ac:dyDescent="0.3">
      <c r="A538" t="s">
        <v>262</v>
      </c>
      <c r="B538" t="s">
        <v>891</v>
      </c>
      <c r="C538" t="s">
        <v>1844</v>
      </c>
      <c r="D538" t="s">
        <v>1437</v>
      </c>
      <c r="E538" t="s">
        <v>1420</v>
      </c>
      <c r="F538" t="s">
        <v>1421</v>
      </c>
    </row>
    <row r="539" spans="1:6" x14ac:dyDescent="0.3">
      <c r="A539" t="s">
        <v>261</v>
      </c>
      <c r="B539" t="s">
        <v>890</v>
      </c>
      <c r="C539" t="s">
        <v>1844</v>
      </c>
      <c r="D539" t="s">
        <v>1437</v>
      </c>
      <c r="E539" t="s">
        <v>1420</v>
      </c>
      <c r="F539" t="s">
        <v>1421</v>
      </c>
    </row>
    <row r="540" spans="1:6" x14ac:dyDescent="0.3">
      <c r="A540" t="s">
        <v>1845</v>
      </c>
      <c r="B540" t="s">
        <v>889</v>
      </c>
      <c r="C540" t="s">
        <v>1844</v>
      </c>
      <c r="D540" t="s">
        <v>1437</v>
      </c>
      <c r="E540" t="s">
        <v>1420</v>
      </c>
      <c r="F540" t="s">
        <v>1421</v>
      </c>
    </row>
    <row r="541" spans="1:6" x14ac:dyDescent="0.3">
      <c r="A541" t="s">
        <v>399</v>
      </c>
      <c r="B541" t="s">
        <v>1078</v>
      </c>
      <c r="C541" t="s">
        <v>1846</v>
      </c>
      <c r="D541" t="s">
        <v>1429</v>
      </c>
      <c r="E541" t="s">
        <v>1420</v>
      </c>
      <c r="F541" t="s">
        <v>1421</v>
      </c>
    </row>
    <row r="542" spans="1:6" x14ac:dyDescent="0.3">
      <c r="A542" t="s">
        <v>1318</v>
      </c>
      <c r="B542" t="s">
        <v>1079</v>
      </c>
      <c r="C542" t="s">
        <v>1846</v>
      </c>
      <c r="D542" t="s">
        <v>1429</v>
      </c>
      <c r="E542" t="s">
        <v>1420</v>
      </c>
      <c r="F542" t="s">
        <v>1421</v>
      </c>
    </row>
    <row r="543" spans="1:6" x14ac:dyDescent="0.3">
      <c r="A543" t="s">
        <v>398</v>
      </c>
      <c r="B543" t="s">
        <v>1077</v>
      </c>
      <c r="C543" t="s">
        <v>1846</v>
      </c>
      <c r="D543" t="s">
        <v>1429</v>
      </c>
      <c r="E543" t="s">
        <v>1420</v>
      </c>
      <c r="F543" t="s">
        <v>1421</v>
      </c>
    </row>
    <row r="544" spans="1:6" x14ac:dyDescent="0.3">
      <c r="A544" t="s">
        <v>397</v>
      </c>
      <c r="B544" t="s">
        <v>1076</v>
      </c>
      <c r="C544" t="s">
        <v>1846</v>
      </c>
      <c r="D544" t="s">
        <v>1429</v>
      </c>
      <c r="E544" t="s">
        <v>1420</v>
      </c>
      <c r="F544" t="s">
        <v>1421</v>
      </c>
    </row>
    <row r="545" spans="1:6" x14ac:dyDescent="0.3">
      <c r="A545" t="s">
        <v>426</v>
      </c>
      <c r="B545" t="s">
        <v>1115</v>
      </c>
      <c r="C545" t="s">
        <v>1847</v>
      </c>
      <c r="D545" t="s">
        <v>1437</v>
      </c>
      <c r="E545" t="s">
        <v>1420</v>
      </c>
      <c r="F545" t="s">
        <v>1421</v>
      </c>
    </row>
    <row r="546" spans="1:6" x14ac:dyDescent="0.3">
      <c r="A546" t="s">
        <v>427</v>
      </c>
      <c r="B546" t="s">
        <v>1116</v>
      </c>
      <c r="C546" t="s">
        <v>1847</v>
      </c>
      <c r="D546" t="s">
        <v>1437</v>
      </c>
      <c r="E546" t="s">
        <v>1420</v>
      </c>
      <c r="F546" t="s">
        <v>1421</v>
      </c>
    </row>
    <row r="547" spans="1:6" x14ac:dyDescent="0.3">
      <c r="A547" t="s">
        <v>425</v>
      </c>
      <c r="B547" t="s">
        <v>1848</v>
      </c>
      <c r="C547" t="s">
        <v>1847</v>
      </c>
      <c r="D547" t="s">
        <v>1437</v>
      </c>
      <c r="E547" t="s">
        <v>1420</v>
      </c>
      <c r="F547" t="s">
        <v>1421</v>
      </c>
    </row>
    <row r="548" spans="1:6" x14ac:dyDescent="0.3">
      <c r="A548" t="s">
        <v>1267</v>
      </c>
      <c r="B548" t="s">
        <v>1114</v>
      </c>
      <c r="C548" t="s">
        <v>1847</v>
      </c>
      <c r="D548" t="s">
        <v>1437</v>
      </c>
      <c r="E548" t="s">
        <v>1420</v>
      </c>
      <c r="F548" t="s">
        <v>1421</v>
      </c>
    </row>
    <row r="549" spans="1:6" x14ac:dyDescent="0.3">
      <c r="A549" t="s">
        <v>423</v>
      </c>
      <c r="B549" t="s">
        <v>1112</v>
      </c>
      <c r="C549" t="s">
        <v>1847</v>
      </c>
      <c r="D549" t="s">
        <v>1437</v>
      </c>
      <c r="E549" t="s">
        <v>1420</v>
      </c>
      <c r="F549" t="s">
        <v>1421</v>
      </c>
    </row>
    <row r="550" spans="1:6" x14ac:dyDescent="0.3">
      <c r="A550" t="s">
        <v>424</v>
      </c>
      <c r="B550" t="s">
        <v>1113</v>
      </c>
      <c r="C550" t="s">
        <v>1847</v>
      </c>
      <c r="D550" t="s">
        <v>1437</v>
      </c>
      <c r="E550" t="s">
        <v>1420</v>
      </c>
      <c r="F550" t="s">
        <v>1421</v>
      </c>
    </row>
    <row r="551" spans="1:6" x14ac:dyDescent="0.3">
      <c r="A551" t="s">
        <v>422</v>
      </c>
      <c r="B551" t="s">
        <v>1111</v>
      </c>
      <c r="C551" t="s">
        <v>1847</v>
      </c>
      <c r="D551" t="s">
        <v>1437</v>
      </c>
      <c r="E551" t="s">
        <v>1420</v>
      </c>
      <c r="F551" t="s">
        <v>1421</v>
      </c>
    </row>
    <row r="552" spans="1:6" x14ac:dyDescent="0.3">
      <c r="A552" t="s">
        <v>421</v>
      </c>
      <c r="B552" t="s">
        <v>1110</v>
      </c>
      <c r="C552" t="s">
        <v>1847</v>
      </c>
      <c r="D552" t="s">
        <v>1437</v>
      </c>
      <c r="E552" t="s">
        <v>1420</v>
      </c>
      <c r="F552" t="s">
        <v>1421</v>
      </c>
    </row>
    <row r="553" spans="1:6" x14ac:dyDescent="0.3">
      <c r="A553" t="s">
        <v>430</v>
      </c>
      <c r="B553" t="s">
        <v>1119</v>
      </c>
      <c r="C553" t="s">
        <v>1849</v>
      </c>
      <c r="D553" t="s">
        <v>1437</v>
      </c>
      <c r="E553" t="s">
        <v>1420</v>
      </c>
      <c r="F553" t="s">
        <v>1421</v>
      </c>
    </row>
    <row r="554" spans="1:6" x14ac:dyDescent="0.3">
      <c r="A554" t="s">
        <v>431</v>
      </c>
      <c r="B554" t="s">
        <v>1120</v>
      </c>
      <c r="C554" t="s">
        <v>1849</v>
      </c>
      <c r="D554" t="s">
        <v>1437</v>
      </c>
      <c r="E554" t="s">
        <v>1420</v>
      </c>
      <c r="F554" t="s">
        <v>1421</v>
      </c>
    </row>
    <row r="555" spans="1:6" x14ac:dyDescent="0.3">
      <c r="A555" t="s">
        <v>429</v>
      </c>
      <c r="B555" t="s">
        <v>1118</v>
      </c>
      <c r="C555" t="s">
        <v>1849</v>
      </c>
      <c r="D555" t="s">
        <v>1437</v>
      </c>
      <c r="E555" t="s">
        <v>1420</v>
      </c>
      <c r="F555" t="s">
        <v>1421</v>
      </c>
    </row>
    <row r="556" spans="1:6" x14ac:dyDescent="0.3">
      <c r="A556" t="s">
        <v>428</v>
      </c>
      <c r="B556" t="s">
        <v>1117</v>
      </c>
      <c r="C556" t="s">
        <v>1849</v>
      </c>
      <c r="D556" t="s">
        <v>1437</v>
      </c>
      <c r="E556" t="s">
        <v>1420</v>
      </c>
      <c r="F556" t="s">
        <v>1421</v>
      </c>
    </row>
    <row r="557" spans="1:6" x14ac:dyDescent="0.3">
      <c r="A557" t="s">
        <v>463</v>
      </c>
      <c r="B557" t="s">
        <v>1164</v>
      </c>
      <c r="C557" t="s">
        <v>1850</v>
      </c>
      <c r="D557" t="s">
        <v>1437</v>
      </c>
      <c r="E557" t="s">
        <v>1420</v>
      </c>
      <c r="F557" t="s">
        <v>1421</v>
      </c>
    </row>
    <row r="558" spans="1:6" x14ac:dyDescent="0.3">
      <c r="A558" t="s">
        <v>464</v>
      </c>
      <c r="B558" t="s">
        <v>1165</v>
      </c>
      <c r="C558" t="s">
        <v>1850</v>
      </c>
      <c r="D558" t="s">
        <v>1437</v>
      </c>
      <c r="E558" t="s">
        <v>1420</v>
      </c>
      <c r="F558" t="s">
        <v>1421</v>
      </c>
    </row>
    <row r="559" spans="1:6" x14ac:dyDescent="0.3">
      <c r="A559" t="s">
        <v>462</v>
      </c>
      <c r="B559" t="s">
        <v>1163</v>
      </c>
      <c r="C559" t="s">
        <v>1850</v>
      </c>
      <c r="D559" t="s">
        <v>1437</v>
      </c>
      <c r="E559" t="s">
        <v>1420</v>
      </c>
      <c r="F559" t="s">
        <v>1421</v>
      </c>
    </row>
    <row r="560" spans="1:6" x14ac:dyDescent="0.3">
      <c r="A560" t="s">
        <v>461</v>
      </c>
      <c r="B560" t="s">
        <v>1851</v>
      </c>
      <c r="C560" t="s">
        <v>1850</v>
      </c>
      <c r="D560" t="s">
        <v>1437</v>
      </c>
      <c r="E560" t="s">
        <v>1420</v>
      </c>
      <c r="F560" t="s">
        <v>1421</v>
      </c>
    </row>
    <row r="561" spans="1:6" x14ac:dyDescent="0.3">
      <c r="A561" t="s">
        <v>468</v>
      </c>
      <c r="B561" t="s">
        <v>1169</v>
      </c>
      <c r="C561" t="s">
        <v>1852</v>
      </c>
      <c r="D561" t="s">
        <v>1437</v>
      </c>
      <c r="E561" t="s">
        <v>1420</v>
      </c>
      <c r="F561" t="s">
        <v>1421</v>
      </c>
    </row>
    <row r="562" spans="1:6" x14ac:dyDescent="0.3">
      <c r="A562" t="s">
        <v>469</v>
      </c>
      <c r="B562" t="s">
        <v>1170</v>
      </c>
      <c r="C562" t="s">
        <v>1852</v>
      </c>
      <c r="D562" t="s">
        <v>1437</v>
      </c>
      <c r="E562" t="s">
        <v>1420</v>
      </c>
      <c r="F562" t="s">
        <v>1421</v>
      </c>
    </row>
    <row r="563" spans="1:6" x14ac:dyDescent="0.3">
      <c r="A563" t="s">
        <v>467</v>
      </c>
      <c r="B563" t="s">
        <v>1168</v>
      </c>
      <c r="C563" t="s">
        <v>1852</v>
      </c>
      <c r="D563" t="s">
        <v>1437</v>
      </c>
      <c r="E563" t="s">
        <v>1420</v>
      </c>
      <c r="F563" t="s">
        <v>1421</v>
      </c>
    </row>
    <row r="564" spans="1:6" x14ac:dyDescent="0.3">
      <c r="A564" t="s">
        <v>466</v>
      </c>
      <c r="B564" t="s">
        <v>1167</v>
      </c>
      <c r="C564" t="s">
        <v>1852</v>
      </c>
      <c r="D564" t="s">
        <v>1437</v>
      </c>
      <c r="E564" t="s">
        <v>1420</v>
      </c>
      <c r="F564" t="s">
        <v>1421</v>
      </c>
    </row>
    <row r="565" spans="1:6" x14ac:dyDescent="0.3">
      <c r="A565" t="s">
        <v>1272</v>
      </c>
      <c r="B565" t="s">
        <v>1200</v>
      </c>
      <c r="C565" t="s">
        <v>1853</v>
      </c>
      <c r="D565" t="s">
        <v>1437</v>
      </c>
      <c r="E565" t="s">
        <v>1420</v>
      </c>
      <c r="F565" t="s">
        <v>1421</v>
      </c>
    </row>
    <row r="566" spans="1:6" x14ac:dyDescent="0.3">
      <c r="A566" t="s">
        <v>490</v>
      </c>
      <c r="B566" t="s">
        <v>1201</v>
      </c>
      <c r="C566" t="s">
        <v>1853</v>
      </c>
      <c r="D566" t="s">
        <v>1437</v>
      </c>
      <c r="E566" t="s">
        <v>1420</v>
      </c>
      <c r="F566" t="s">
        <v>1421</v>
      </c>
    </row>
    <row r="567" spans="1:6" x14ac:dyDescent="0.3">
      <c r="A567" t="s">
        <v>1271</v>
      </c>
      <c r="B567" t="s">
        <v>1199</v>
      </c>
      <c r="C567" t="s">
        <v>1853</v>
      </c>
      <c r="D567" t="s">
        <v>1437</v>
      </c>
      <c r="E567" t="s">
        <v>1420</v>
      </c>
      <c r="F567" t="s">
        <v>1421</v>
      </c>
    </row>
    <row r="568" spans="1:6" x14ac:dyDescent="0.3">
      <c r="A568" t="s">
        <v>489</v>
      </c>
      <c r="B568" t="s">
        <v>1198</v>
      </c>
      <c r="C568" t="s">
        <v>1853</v>
      </c>
      <c r="D568" t="s">
        <v>1437</v>
      </c>
      <c r="E568" t="s">
        <v>1420</v>
      </c>
      <c r="F568" t="s">
        <v>1421</v>
      </c>
    </row>
    <row r="569" spans="1:6" x14ac:dyDescent="0.3">
      <c r="A569" t="s">
        <v>501</v>
      </c>
      <c r="B569" t="s">
        <v>1212</v>
      </c>
      <c r="C569" t="s">
        <v>1854</v>
      </c>
      <c r="D569" t="s">
        <v>1437</v>
      </c>
      <c r="E569" t="s">
        <v>1420</v>
      </c>
      <c r="F569" t="s">
        <v>1421</v>
      </c>
    </row>
    <row r="570" spans="1:6" x14ac:dyDescent="0.3">
      <c r="A570" t="s">
        <v>502</v>
      </c>
      <c r="B570" t="s">
        <v>1213</v>
      </c>
      <c r="C570" t="s">
        <v>1854</v>
      </c>
      <c r="D570" t="s">
        <v>1437</v>
      </c>
      <c r="E570" t="s">
        <v>1420</v>
      </c>
      <c r="F570" t="s">
        <v>1421</v>
      </c>
    </row>
    <row r="571" spans="1:6" x14ac:dyDescent="0.3">
      <c r="A571" t="s">
        <v>500</v>
      </c>
      <c r="B571" t="s">
        <v>1855</v>
      </c>
      <c r="C571" t="s">
        <v>1854</v>
      </c>
      <c r="D571" t="s">
        <v>1437</v>
      </c>
      <c r="E571" t="s">
        <v>1420</v>
      </c>
      <c r="F571" t="s">
        <v>1421</v>
      </c>
    </row>
    <row r="572" spans="1:6" x14ac:dyDescent="0.3">
      <c r="A572" t="s">
        <v>499</v>
      </c>
      <c r="B572" t="s">
        <v>1211</v>
      </c>
      <c r="C572" t="s">
        <v>1854</v>
      </c>
      <c r="D572" t="s">
        <v>1437</v>
      </c>
      <c r="E572" t="s">
        <v>1420</v>
      </c>
      <c r="F572" t="s">
        <v>1421</v>
      </c>
    </row>
    <row r="573" spans="1:6" x14ac:dyDescent="0.3">
      <c r="A573" t="s">
        <v>1856</v>
      </c>
      <c r="B573" t="s">
        <v>1210</v>
      </c>
      <c r="C573" t="s">
        <v>1854</v>
      </c>
      <c r="D573" t="s">
        <v>1437</v>
      </c>
      <c r="E573" t="s">
        <v>1420</v>
      </c>
      <c r="F573" t="s">
        <v>1421</v>
      </c>
    </row>
    <row r="574" spans="1:6" x14ac:dyDescent="0.3">
      <c r="A574" t="s">
        <v>523</v>
      </c>
      <c r="B574" t="s">
        <v>1241</v>
      </c>
      <c r="C574" t="s">
        <v>1857</v>
      </c>
      <c r="D574" t="s">
        <v>1437</v>
      </c>
      <c r="E574" t="s">
        <v>1420</v>
      </c>
      <c r="F574" t="s">
        <v>1421</v>
      </c>
    </row>
    <row r="575" spans="1:6" x14ac:dyDescent="0.3">
      <c r="A575" t="s">
        <v>524</v>
      </c>
      <c r="B575" t="s">
        <v>1242</v>
      </c>
      <c r="C575" t="s">
        <v>1857</v>
      </c>
      <c r="D575" t="s">
        <v>1437</v>
      </c>
      <c r="E575" t="s">
        <v>1420</v>
      </c>
      <c r="F575" t="s">
        <v>1421</v>
      </c>
    </row>
    <row r="576" spans="1:6" x14ac:dyDescent="0.3">
      <c r="A576" t="s">
        <v>522</v>
      </c>
      <c r="B576" t="s">
        <v>1240</v>
      </c>
      <c r="C576" t="s">
        <v>1857</v>
      </c>
      <c r="D576" t="s">
        <v>1437</v>
      </c>
      <c r="E576" t="s">
        <v>1420</v>
      </c>
      <c r="F576" t="s">
        <v>1421</v>
      </c>
    </row>
    <row r="577" spans="1:6" x14ac:dyDescent="0.3">
      <c r="A577" t="s">
        <v>521</v>
      </c>
      <c r="B577" t="s">
        <v>1239</v>
      </c>
      <c r="C577" t="s">
        <v>1857</v>
      </c>
      <c r="D577" t="s">
        <v>1437</v>
      </c>
      <c r="E577" t="s">
        <v>1420</v>
      </c>
      <c r="F577" t="s">
        <v>1421</v>
      </c>
    </row>
    <row r="578" spans="1:6" x14ac:dyDescent="0.3">
      <c r="A578" t="s">
        <v>39</v>
      </c>
      <c r="B578" t="s">
        <v>596</v>
      </c>
      <c r="C578" t="s">
        <v>1858</v>
      </c>
      <c r="D578" t="s">
        <v>1419</v>
      </c>
      <c r="E578" t="s">
        <v>1420</v>
      </c>
      <c r="F578" t="s">
        <v>1421</v>
      </c>
    </row>
    <row r="579" spans="1:6" x14ac:dyDescent="0.3">
      <c r="A579" t="s">
        <v>40</v>
      </c>
      <c r="B579" t="s">
        <v>597</v>
      </c>
      <c r="C579" t="s">
        <v>1858</v>
      </c>
      <c r="D579" t="s">
        <v>1419</v>
      </c>
      <c r="E579" t="s">
        <v>1420</v>
      </c>
      <c r="F579" t="s">
        <v>1421</v>
      </c>
    </row>
    <row r="580" spans="1:6" x14ac:dyDescent="0.3">
      <c r="A580" t="s">
        <v>38</v>
      </c>
      <c r="B580" t="s">
        <v>595</v>
      </c>
      <c r="C580" t="s">
        <v>1858</v>
      </c>
      <c r="D580" t="s">
        <v>1419</v>
      </c>
      <c r="E580" t="s">
        <v>1420</v>
      </c>
      <c r="F580" t="s">
        <v>1421</v>
      </c>
    </row>
    <row r="581" spans="1:6" x14ac:dyDescent="0.3">
      <c r="A581" t="s">
        <v>37</v>
      </c>
      <c r="B581" t="s">
        <v>594</v>
      </c>
      <c r="C581" t="s">
        <v>1858</v>
      </c>
      <c r="D581" t="s">
        <v>1419</v>
      </c>
      <c r="E581" t="s">
        <v>1420</v>
      </c>
      <c r="F581" t="s">
        <v>1421</v>
      </c>
    </row>
    <row r="582" spans="1:6" x14ac:dyDescent="0.3">
      <c r="A582" t="s">
        <v>1277</v>
      </c>
      <c r="B582" t="s">
        <v>600</v>
      </c>
      <c r="C582" t="s">
        <v>1858</v>
      </c>
      <c r="D582" t="s">
        <v>1419</v>
      </c>
      <c r="E582" t="s">
        <v>1423</v>
      </c>
      <c r="F582" t="s">
        <v>1424</v>
      </c>
    </row>
    <row r="583" spans="1:6" x14ac:dyDescent="0.3">
      <c r="A583" t="s">
        <v>42</v>
      </c>
      <c r="B583" t="s">
        <v>601</v>
      </c>
      <c r="C583" t="s">
        <v>1858</v>
      </c>
      <c r="D583" t="s">
        <v>1419</v>
      </c>
      <c r="E583" t="s">
        <v>1423</v>
      </c>
      <c r="F583" t="s">
        <v>1424</v>
      </c>
    </row>
    <row r="584" spans="1:6" x14ac:dyDescent="0.3">
      <c r="A584" t="s">
        <v>1276</v>
      </c>
      <c r="B584" t="s">
        <v>599</v>
      </c>
      <c r="C584" t="s">
        <v>1858</v>
      </c>
      <c r="D584" t="s">
        <v>1419</v>
      </c>
      <c r="E584" t="s">
        <v>1423</v>
      </c>
      <c r="F584" t="s">
        <v>1421</v>
      </c>
    </row>
    <row r="585" spans="1:6" x14ac:dyDescent="0.3">
      <c r="A585" t="s">
        <v>41</v>
      </c>
      <c r="B585" t="s">
        <v>598</v>
      </c>
      <c r="C585" t="s">
        <v>1858</v>
      </c>
      <c r="D585" t="s">
        <v>1419</v>
      </c>
      <c r="E585" t="s">
        <v>1423</v>
      </c>
      <c r="F585" t="s">
        <v>1424</v>
      </c>
    </row>
    <row r="586" spans="1:6" x14ac:dyDescent="0.3">
      <c r="A586" t="s">
        <v>113</v>
      </c>
      <c r="B586" t="s">
        <v>708</v>
      </c>
      <c r="C586" t="s">
        <v>1859</v>
      </c>
      <c r="D586" t="s">
        <v>1429</v>
      </c>
      <c r="E586" t="s">
        <v>1420</v>
      </c>
      <c r="F586" t="s">
        <v>1421</v>
      </c>
    </row>
    <row r="587" spans="1:6" x14ac:dyDescent="0.3">
      <c r="A587" t="s">
        <v>114</v>
      </c>
      <c r="B587" t="s">
        <v>1860</v>
      </c>
      <c r="C587" t="s">
        <v>1859</v>
      </c>
      <c r="D587" t="s">
        <v>1429</v>
      </c>
      <c r="E587" t="s">
        <v>1420</v>
      </c>
      <c r="F587" t="s">
        <v>1421</v>
      </c>
    </row>
    <row r="588" spans="1:6" x14ac:dyDescent="0.3">
      <c r="A588" t="s">
        <v>112</v>
      </c>
      <c r="B588" t="s">
        <v>707</v>
      </c>
      <c r="C588" t="s">
        <v>1859</v>
      </c>
      <c r="D588" t="s">
        <v>1429</v>
      </c>
      <c r="E588" t="s">
        <v>1420</v>
      </c>
      <c r="F588" t="s">
        <v>1421</v>
      </c>
    </row>
    <row r="589" spans="1:6" x14ac:dyDescent="0.3">
      <c r="A589" t="s">
        <v>111</v>
      </c>
      <c r="B589" t="s">
        <v>706</v>
      </c>
      <c r="C589" t="s">
        <v>1859</v>
      </c>
      <c r="D589" t="s">
        <v>1429</v>
      </c>
      <c r="E589" t="s">
        <v>1420</v>
      </c>
      <c r="F589" t="s">
        <v>1421</v>
      </c>
    </row>
    <row r="590" spans="1:6" x14ac:dyDescent="0.3">
      <c r="A590" t="s">
        <v>117</v>
      </c>
      <c r="B590" t="s">
        <v>712</v>
      </c>
      <c r="C590" t="s">
        <v>1861</v>
      </c>
      <c r="D590" t="s">
        <v>1429</v>
      </c>
      <c r="E590" t="s">
        <v>1420</v>
      </c>
      <c r="F590" t="s">
        <v>1421</v>
      </c>
    </row>
    <row r="591" spans="1:6" x14ac:dyDescent="0.3">
      <c r="A591" t="s">
        <v>118</v>
      </c>
      <c r="B591" t="s">
        <v>713</v>
      </c>
      <c r="C591" t="s">
        <v>1861</v>
      </c>
      <c r="D591" t="s">
        <v>1429</v>
      </c>
      <c r="E591" t="s">
        <v>1420</v>
      </c>
      <c r="F591" t="s">
        <v>1421</v>
      </c>
    </row>
    <row r="592" spans="1:6" x14ac:dyDescent="0.3">
      <c r="A592" t="s">
        <v>116</v>
      </c>
      <c r="B592" t="s">
        <v>711</v>
      </c>
      <c r="C592" t="s">
        <v>1861</v>
      </c>
      <c r="D592" t="s">
        <v>1429</v>
      </c>
      <c r="E592" t="s">
        <v>1420</v>
      </c>
      <c r="F592" t="s">
        <v>1421</v>
      </c>
    </row>
    <row r="593" spans="1:6" x14ac:dyDescent="0.3">
      <c r="A593" t="s">
        <v>115</v>
      </c>
      <c r="B593" t="s">
        <v>710</v>
      </c>
      <c r="C593" t="s">
        <v>1861</v>
      </c>
      <c r="D593" t="s">
        <v>1429</v>
      </c>
      <c r="E593" t="s">
        <v>1420</v>
      </c>
      <c r="F593" t="s">
        <v>1421</v>
      </c>
    </row>
    <row r="594" spans="1:6" x14ac:dyDescent="0.3">
      <c r="A594" t="s">
        <v>121</v>
      </c>
      <c r="B594" t="s">
        <v>716</v>
      </c>
      <c r="C594" t="s">
        <v>1862</v>
      </c>
      <c r="D594" t="s">
        <v>1429</v>
      </c>
      <c r="E594" t="s">
        <v>1420</v>
      </c>
      <c r="F594" t="s">
        <v>1421</v>
      </c>
    </row>
    <row r="595" spans="1:6" x14ac:dyDescent="0.3">
      <c r="A595" t="s">
        <v>120</v>
      </c>
      <c r="B595" t="s">
        <v>715</v>
      </c>
      <c r="C595" t="s">
        <v>1862</v>
      </c>
      <c r="D595" t="s">
        <v>1429</v>
      </c>
      <c r="E595" t="s">
        <v>1420</v>
      </c>
      <c r="F595" t="s">
        <v>1421</v>
      </c>
    </row>
    <row r="596" spans="1:6" x14ac:dyDescent="0.3">
      <c r="A596" t="s">
        <v>119</v>
      </c>
      <c r="B596" t="s">
        <v>714</v>
      </c>
      <c r="C596" t="s">
        <v>1862</v>
      </c>
      <c r="D596" t="s">
        <v>1429</v>
      </c>
      <c r="E596" t="s">
        <v>1420</v>
      </c>
      <c r="F596" t="s">
        <v>1421</v>
      </c>
    </row>
    <row r="597" spans="1:6" x14ac:dyDescent="0.3">
      <c r="A597" t="s">
        <v>233</v>
      </c>
      <c r="B597" t="s">
        <v>840</v>
      </c>
      <c r="C597" t="s">
        <v>1863</v>
      </c>
      <c r="D597" t="s">
        <v>1437</v>
      </c>
      <c r="E597" t="s">
        <v>1420</v>
      </c>
      <c r="F597" t="s">
        <v>1421</v>
      </c>
    </row>
    <row r="598" spans="1:6" x14ac:dyDescent="0.3">
      <c r="A598" t="s">
        <v>234</v>
      </c>
      <c r="B598" t="s">
        <v>841</v>
      </c>
      <c r="C598" t="s">
        <v>1863</v>
      </c>
      <c r="D598" t="s">
        <v>1437</v>
      </c>
      <c r="E598" t="s">
        <v>1420</v>
      </c>
      <c r="F598" t="s">
        <v>1421</v>
      </c>
    </row>
    <row r="599" spans="1:6" x14ac:dyDescent="0.3">
      <c r="A599" t="s">
        <v>232</v>
      </c>
      <c r="B599" t="s">
        <v>839</v>
      </c>
      <c r="C599" t="s">
        <v>1863</v>
      </c>
      <c r="D599" t="s">
        <v>1437</v>
      </c>
      <c r="E599" t="s">
        <v>1420</v>
      </c>
      <c r="F599" t="s">
        <v>1421</v>
      </c>
    </row>
    <row r="600" spans="1:6" x14ac:dyDescent="0.3">
      <c r="A600" t="s">
        <v>231</v>
      </c>
      <c r="B600" t="s">
        <v>838</v>
      </c>
      <c r="C600" t="s">
        <v>1863</v>
      </c>
      <c r="D600" t="s">
        <v>1437</v>
      </c>
      <c r="E600" t="s">
        <v>1420</v>
      </c>
      <c r="F600" t="s">
        <v>1421</v>
      </c>
    </row>
    <row r="601" spans="1:6" x14ac:dyDescent="0.3">
      <c r="A601" t="s">
        <v>1864</v>
      </c>
      <c r="B601" t="s">
        <v>837</v>
      </c>
      <c r="C601" t="s">
        <v>1863</v>
      </c>
      <c r="D601" t="s">
        <v>1437</v>
      </c>
      <c r="E601" t="s">
        <v>1420</v>
      </c>
      <c r="F601" t="s">
        <v>1421</v>
      </c>
    </row>
    <row r="602" spans="1:6" x14ac:dyDescent="0.3">
      <c r="A602" t="s">
        <v>255</v>
      </c>
      <c r="B602" t="s">
        <v>884</v>
      </c>
      <c r="C602" t="s">
        <v>1865</v>
      </c>
      <c r="D602" t="s">
        <v>1439</v>
      </c>
      <c r="E602" t="s">
        <v>1423</v>
      </c>
      <c r="F602" t="s">
        <v>1424</v>
      </c>
    </row>
    <row r="603" spans="1:6" x14ac:dyDescent="0.3">
      <c r="A603" t="s">
        <v>256</v>
      </c>
      <c r="B603" t="s">
        <v>1866</v>
      </c>
      <c r="C603" t="s">
        <v>1865</v>
      </c>
      <c r="D603" t="s">
        <v>1439</v>
      </c>
      <c r="E603" t="s">
        <v>1423</v>
      </c>
      <c r="F603" t="s">
        <v>1424</v>
      </c>
    </row>
    <row r="604" spans="1:6" x14ac:dyDescent="0.3">
      <c r="A604" t="s">
        <v>1262</v>
      </c>
      <c r="B604" t="s">
        <v>883</v>
      </c>
      <c r="C604" t="s">
        <v>1865</v>
      </c>
      <c r="D604" t="s">
        <v>1439</v>
      </c>
      <c r="E604" t="s">
        <v>1423</v>
      </c>
      <c r="F604" t="s">
        <v>1424</v>
      </c>
    </row>
    <row r="605" spans="1:6" x14ac:dyDescent="0.3">
      <c r="A605" t="s">
        <v>254</v>
      </c>
      <c r="B605" t="s">
        <v>882</v>
      </c>
      <c r="C605" t="s">
        <v>1865</v>
      </c>
      <c r="D605" t="s">
        <v>1439</v>
      </c>
      <c r="E605" t="s">
        <v>1423</v>
      </c>
      <c r="F605" t="s">
        <v>1424</v>
      </c>
    </row>
    <row r="606" spans="1:6" x14ac:dyDescent="0.3">
      <c r="A606" t="s">
        <v>298</v>
      </c>
      <c r="B606" t="s">
        <v>947</v>
      </c>
      <c r="C606" t="s">
        <v>1867</v>
      </c>
      <c r="D606" t="s">
        <v>1429</v>
      </c>
      <c r="E606" t="s">
        <v>1420</v>
      </c>
      <c r="F606" t="s">
        <v>1421</v>
      </c>
    </row>
    <row r="607" spans="1:6" x14ac:dyDescent="0.3">
      <c r="A607" t="s">
        <v>299</v>
      </c>
      <c r="B607" t="s">
        <v>948</v>
      </c>
      <c r="C607" t="s">
        <v>1867</v>
      </c>
      <c r="D607" t="s">
        <v>1429</v>
      </c>
      <c r="E607" t="s">
        <v>1420</v>
      </c>
      <c r="F607" t="s">
        <v>1421</v>
      </c>
    </row>
    <row r="608" spans="1:6" x14ac:dyDescent="0.3">
      <c r="A608" t="s">
        <v>297</v>
      </c>
      <c r="B608" t="s">
        <v>946</v>
      </c>
      <c r="C608" t="s">
        <v>1867</v>
      </c>
      <c r="D608" t="s">
        <v>1429</v>
      </c>
      <c r="E608" t="s">
        <v>1420</v>
      </c>
      <c r="F608" t="s">
        <v>1421</v>
      </c>
    </row>
    <row r="609" spans="1:6" x14ac:dyDescent="0.3">
      <c r="A609" t="s">
        <v>296</v>
      </c>
      <c r="B609" t="s">
        <v>945</v>
      </c>
      <c r="C609" t="s">
        <v>1867</v>
      </c>
      <c r="D609" t="s">
        <v>1429</v>
      </c>
      <c r="E609" t="s">
        <v>1420</v>
      </c>
      <c r="F609" t="s">
        <v>1421</v>
      </c>
    </row>
    <row r="610" spans="1:6" x14ac:dyDescent="0.3">
      <c r="A610" t="s">
        <v>329</v>
      </c>
      <c r="B610" t="s">
        <v>993</v>
      </c>
      <c r="C610" t="s">
        <v>1868</v>
      </c>
      <c r="D610" t="s">
        <v>1429</v>
      </c>
      <c r="E610" t="s">
        <v>1420</v>
      </c>
      <c r="F610" t="s">
        <v>1421</v>
      </c>
    </row>
    <row r="611" spans="1:6" x14ac:dyDescent="0.3">
      <c r="A611" t="s">
        <v>330</v>
      </c>
      <c r="B611" t="s">
        <v>994</v>
      </c>
      <c r="C611" t="s">
        <v>1868</v>
      </c>
      <c r="D611" t="s">
        <v>1429</v>
      </c>
      <c r="E611" t="s">
        <v>1420</v>
      </c>
      <c r="F611" t="s">
        <v>1421</v>
      </c>
    </row>
    <row r="612" spans="1:6" x14ac:dyDescent="0.3">
      <c r="A612" t="s">
        <v>328</v>
      </c>
      <c r="B612" t="s">
        <v>992</v>
      </c>
      <c r="C612" t="s">
        <v>1868</v>
      </c>
      <c r="D612" t="s">
        <v>1429</v>
      </c>
      <c r="E612" t="s">
        <v>1420</v>
      </c>
      <c r="F612" t="s">
        <v>1421</v>
      </c>
    </row>
    <row r="613" spans="1:6" x14ac:dyDescent="0.3">
      <c r="A613" t="s">
        <v>327</v>
      </c>
      <c r="B613" t="s">
        <v>991</v>
      </c>
      <c r="C613" t="s">
        <v>1868</v>
      </c>
      <c r="D613" t="s">
        <v>1429</v>
      </c>
      <c r="E613" t="s">
        <v>1420</v>
      </c>
      <c r="F613" t="s">
        <v>1421</v>
      </c>
    </row>
    <row r="614" spans="1:6" x14ac:dyDescent="0.3">
      <c r="A614" t="s">
        <v>325</v>
      </c>
      <c r="B614" t="s">
        <v>989</v>
      </c>
      <c r="C614" t="s">
        <v>1868</v>
      </c>
      <c r="D614" t="s">
        <v>1429</v>
      </c>
      <c r="E614" t="s">
        <v>1420</v>
      </c>
      <c r="F614" t="s">
        <v>1421</v>
      </c>
    </row>
    <row r="615" spans="1:6" x14ac:dyDescent="0.3">
      <c r="A615" t="s">
        <v>326</v>
      </c>
      <c r="B615" t="s">
        <v>990</v>
      </c>
      <c r="C615" t="s">
        <v>1868</v>
      </c>
      <c r="D615" t="s">
        <v>1429</v>
      </c>
      <c r="E615" t="s">
        <v>1420</v>
      </c>
      <c r="F615" t="s">
        <v>1421</v>
      </c>
    </row>
    <row r="616" spans="1:6" x14ac:dyDescent="0.3">
      <c r="A616" t="s">
        <v>324</v>
      </c>
      <c r="B616" t="s">
        <v>988</v>
      </c>
      <c r="C616" t="s">
        <v>1868</v>
      </c>
      <c r="D616" t="s">
        <v>1429</v>
      </c>
      <c r="E616" t="s">
        <v>1420</v>
      </c>
      <c r="F616" t="s">
        <v>1421</v>
      </c>
    </row>
    <row r="617" spans="1:6" x14ac:dyDescent="0.3">
      <c r="A617" t="s">
        <v>323</v>
      </c>
      <c r="B617" t="s">
        <v>987</v>
      </c>
      <c r="C617" t="s">
        <v>1868</v>
      </c>
      <c r="D617" t="s">
        <v>1429</v>
      </c>
      <c r="E617" t="s">
        <v>1420</v>
      </c>
      <c r="F617" t="s">
        <v>1421</v>
      </c>
    </row>
    <row r="618" spans="1:6" x14ac:dyDescent="0.3">
      <c r="A618" t="s">
        <v>407</v>
      </c>
      <c r="B618" t="s">
        <v>1089</v>
      </c>
      <c r="C618" t="s">
        <v>1869</v>
      </c>
      <c r="D618" t="s">
        <v>1429</v>
      </c>
      <c r="E618" t="s">
        <v>1423</v>
      </c>
      <c r="F618" t="s">
        <v>1421</v>
      </c>
    </row>
    <row r="619" spans="1:6" x14ac:dyDescent="0.3">
      <c r="A619" t="s">
        <v>408</v>
      </c>
      <c r="B619" t="s">
        <v>1090</v>
      </c>
      <c r="C619" t="s">
        <v>1869</v>
      </c>
      <c r="D619" t="s">
        <v>1429</v>
      </c>
      <c r="E619" t="s">
        <v>1423</v>
      </c>
      <c r="F619" t="s">
        <v>1421</v>
      </c>
    </row>
    <row r="620" spans="1:6" x14ac:dyDescent="0.3">
      <c r="A620" t="s">
        <v>406</v>
      </c>
      <c r="B620" t="s">
        <v>1088</v>
      </c>
      <c r="C620" t="s">
        <v>1869</v>
      </c>
      <c r="D620" t="s">
        <v>1429</v>
      </c>
      <c r="E620" t="s">
        <v>1423</v>
      </c>
      <c r="F620" t="s">
        <v>1421</v>
      </c>
    </row>
    <row r="621" spans="1:6" x14ac:dyDescent="0.3">
      <c r="A621" t="s">
        <v>1266</v>
      </c>
      <c r="B621" t="s">
        <v>1087</v>
      </c>
      <c r="C621" t="s">
        <v>1869</v>
      </c>
      <c r="D621" t="s">
        <v>1429</v>
      </c>
      <c r="E621" t="s">
        <v>1423</v>
      </c>
      <c r="F621" t="s">
        <v>1421</v>
      </c>
    </row>
    <row r="622" spans="1:6" x14ac:dyDescent="0.3">
      <c r="A622" t="s">
        <v>419</v>
      </c>
      <c r="B622" t="s">
        <v>1108</v>
      </c>
      <c r="C622" t="s">
        <v>1870</v>
      </c>
      <c r="D622" t="s">
        <v>1429</v>
      </c>
      <c r="E622" t="s">
        <v>1420</v>
      </c>
      <c r="F622" t="s">
        <v>1421</v>
      </c>
    </row>
    <row r="623" spans="1:6" x14ac:dyDescent="0.3">
      <c r="A623" t="s">
        <v>420</v>
      </c>
      <c r="B623" t="s">
        <v>1109</v>
      </c>
      <c r="C623" t="s">
        <v>1870</v>
      </c>
      <c r="D623" t="s">
        <v>1429</v>
      </c>
      <c r="E623" t="s">
        <v>1420</v>
      </c>
      <c r="F623" t="s">
        <v>1421</v>
      </c>
    </row>
    <row r="624" spans="1:6" x14ac:dyDescent="0.3">
      <c r="A624" t="s">
        <v>418</v>
      </c>
      <c r="B624" t="s">
        <v>1107</v>
      </c>
      <c r="C624" t="s">
        <v>1870</v>
      </c>
      <c r="D624" t="s">
        <v>1429</v>
      </c>
      <c r="E624" t="s">
        <v>1420</v>
      </c>
      <c r="F624" t="s">
        <v>1421</v>
      </c>
    </row>
    <row r="625" spans="1:6" x14ac:dyDescent="0.3">
      <c r="A625" t="s">
        <v>417</v>
      </c>
      <c r="B625" t="s">
        <v>1106</v>
      </c>
      <c r="C625" t="s">
        <v>1870</v>
      </c>
      <c r="D625" t="s">
        <v>1429</v>
      </c>
      <c r="E625" t="s">
        <v>1420</v>
      </c>
      <c r="F625" t="s">
        <v>1421</v>
      </c>
    </row>
    <row r="626" spans="1:6" x14ac:dyDescent="0.3">
      <c r="A626" t="s">
        <v>459</v>
      </c>
      <c r="B626" t="s">
        <v>1871</v>
      </c>
      <c r="C626" t="s">
        <v>1872</v>
      </c>
      <c r="D626" t="s">
        <v>1437</v>
      </c>
      <c r="E626" t="s">
        <v>1420</v>
      </c>
      <c r="F626" t="s">
        <v>1421</v>
      </c>
    </row>
    <row r="627" spans="1:6" x14ac:dyDescent="0.3">
      <c r="A627" t="s">
        <v>460</v>
      </c>
      <c r="B627" t="s">
        <v>1162</v>
      </c>
      <c r="C627" t="s">
        <v>1872</v>
      </c>
      <c r="D627" t="s">
        <v>1437</v>
      </c>
      <c r="E627" t="s">
        <v>1420</v>
      </c>
      <c r="F627" t="s">
        <v>1421</v>
      </c>
    </row>
    <row r="628" spans="1:6" x14ac:dyDescent="0.3">
      <c r="A628" t="s">
        <v>1270</v>
      </c>
      <c r="B628" t="s">
        <v>1161</v>
      </c>
      <c r="C628" t="s">
        <v>1872</v>
      </c>
      <c r="D628" t="s">
        <v>1437</v>
      </c>
      <c r="E628" t="s">
        <v>1420</v>
      </c>
      <c r="F628" t="s">
        <v>1421</v>
      </c>
    </row>
    <row r="629" spans="1:6" x14ac:dyDescent="0.3">
      <c r="A629" t="s">
        <v>458</v>
      </c>
      <c r="B629" t="s">
        <v>1160</v>
      </c>
      <c r="C629" t="s">
        <v>1872</v>
      </c>
      <c r="D629" t="s">
        <v>1437</v>
      </c>
      <c r="E629" t="s">
        <v>1420</v>
      </c>
      <c r="F629" t="s">
        <v>1421</v>
      </c>
    </row>
    <row r="630" spans="1:6" x14ac:dyDescent="0.3">
      <c r="A630" t="s">
        <v>385</v>
      </c>
      <c r="B630" t="s">
        <v>1062</v>
      </c>
      <c r="C630" t="s">
        <v>1873</v>
      </c>
      <c r="D630" t="s">
        <v>1429</v>
      </c>
      <c r="E630" t="s">
        <v>1420</v>
      </c>
      <c r="F630" t="s">
        <v>1421</v>
      </c>
    </row>
    <row r="631" spans="1:6" x14ac:dyDescent="0.3">
      <c r="A631" t="s">
        <v>386</v>
      </c>
      <c r="B631" t="s">
        <v>1063</v>
      </c>
      <c r="C631" t="s">
        <v>1873</v>
      </c>
      <c r="D631" t="s">
        <v>1429</v>
      </c>
      <c r="E631" t="s">
        <v>1420</v>
      </c>
      <c r="F631" t="s">
        <v>1421</v>
      </c>
    </row>
    <row r="632" spans="1:6" x14ac:dyDescent="0.3">
      <c r="A632" t="s">
        <v>384</v>
      </c>
      <c r="B632" t="s">
        <v>1061</v>
      </c>
      <c r="C632" t="s">
        <v>1873</v>
      </c>
      <c r="D632" t="s">
        <v>1429</v>
      </c>
      <c r="E632" t="s">
        <v>1420</v>
      </c>
      <c r="F632" t="s">
        <v>1421</v>
      </c>
    </row>
    <row r="633" spans="1:6" x14ac:dyDescent="0.3">
      <c r="A633" t="s">
        <v>383</v>
      </c>
      <c r="B633" t="s">
        <v>1060</v>
      </c>
      <c r="C633" t="s">
        <v>1873</v>
      </c>
      <c r="D633" t="s">
        <v>1429</v>
      </c>
      <c r="E633" t="s">
        <v>1420</v>
      </c>
      <c r="F633" t="s">
        <v>1421</v>
      </c>
    </row>
    <row r="634" spans="1:6" x14ac:dyDescent="0.3">
      <c r="A634" t="s">
        <v>1874</v>
      </c>
      <c r="B634" t="s">
        <v>1059</v>
      </c>
      <c r="C634" t="s">
        <v>1873</v>
      </c>
      <c r="D634" t="s">
        <v>1429</v>
      </c>
      <c r="E634" t="s">
        <v>1420</v>
      </c>
      <c r="F634" t="s">
        <v>1421</v>
      </c>
    </row>
    <row r="635" spans="1:6" x14ac:dyDescent="0.3">
      <c r="A635" t="s">
        <v>19</v>
      </c>
      <c r="B635" t="s">
        <v>565</v>
      </c>
      <c r="C635" t="s">
        <v>1875</v>
      </c>
      <c r="D635" t="s">
        <v>1419</v>
      </c>
      <c r="E635" t="s">
        <v>1420</v>
      </c>
      <c r="F635" t="s">
        <v>1421</v>
      </c>
    </row>
    <row r="636" spans="1:6" x14ac:dyDescent="0.3">
      <c r="A636" t="s">
        <v>20</v>
      </c>
      <c r="B636" t="s">
        <v>566</v>
      </c>
      <c r="C636" t="s">
        <v>1875</v>
      </c>
      <c r="D636" t="s">
        <v>1419</v>
      </c>
      <c r="E636" t="s">
        <v>1420</v>
      </c>
      <c r="F636" t="s">
        <v>1421</v>
      </c>
    </row>
    <row r="637" spans="1:6" x14ac:dyDescent="0.3">
      <c r="A637" t="s">
        <v>18</v>
      </c>
      <c r="B637" t="s">
        <v>564</v>
      </c>
      <c r="C637" t="s">
        <v>1875</v>
      </c>
      <c r="D637" t="s">
        <v>1419</v>
      </c>
      <c r="E637" t="s">
        <v>1420</v>
      </c>
      <c r="F637" t="s">
        <v>1421</v>
      </c>
    </row>
    <row r="638" spans="1:6" x14ac:dyDescent="0.3">
      <c r="A638" t="s">
        <v>17</v>
      </c>
      <c r="B638" t="s">
        <v>563</v>
      </c>
      <c r="C638" t="s">
        <v>1875</v>
      </c>
      <c r="D638" t="s">
        <v>1419</v>
      </c>
      <c r="E638" t="s">
        <v>1420</v>
      </c>
      <c r="F638" t="s">
        <v>1421</v>
      </c>
    </row>
    <row r="639" spans="1:6" x14ac:dyDescent="0.3">
      <c r="A639" t="s">
        <v>22</v>
      </c>
      <c r="B639" t="s">
        <v>568</v>
      </c>
      <c r="C639" t="s">
        <v>1875</v>
      </c>
      <c r="D639" t="s">
        <v>1419</v>
      </c>
      <c r="E639" t="s">
        <v>1423</v>
      </c>
      <c r="F639" t="s">
        <v>1421</v>
      </c>
    </row>
    <row r="640" spans="1:6" x14ac:dyDescent="0.3">
      <c r="A640" t="s">
        <v>1275</v>
      </c>
      <c r="B640" t="s">
        <v>569</v>
      </c>
      <c r="C640" t="s">
        <v>1875</v>
      </c>
      <c r="D640" t="s">
        <v>1419</v>
      </c>
      <c r="E640" t="s">
        <v>1423</v>
      </c>
      <c r="F640" t="s">
        <v>1421</v>
      </c>
    </row>
    <row r="641" spans="1:6" x14ac:dyDescent="0.3">
      <c r="A641" t="s">
        <v>1310</v>
      </c>
      <c r="B641" t="s">
        <v>567</v>
      </c>
      <c r="C641" t="s">
        <v>1875</v>
      </c>
      <c r="D641" t="s">
        <v>1419</v>
      </c>
      <c r="E641" t="s">
        <v>1423</v>
      </c>
      <c r="F641" t="s">
        <v>1421</v>
      </c>
    </row>
    <row r="642" spans="1:6" x14ac:dyDescent="0.3">
      <c r="A642" t="s">
        <v>21</v>
      </c>
      <c r="B642" t="s">
        <v>1876</v>
      </c>
      <c r="C642" t="s">
        <v>1875</v>
      </c>
      <c r="D642" t="s">
        <v>1419</v>
      </c>
      <c r="E642" t="s">
        <v>1423</v>
      </c>
      <c r="F642" t="s">
        <v>1421</v>
      </c>
    </row>
    <row r="643" spans="1:6" x14ac:dyDescent="0.3">
      <c r="A643" t="s">
        <v>84</v>
      </c>
      <c r="B643" t="s">
        <v>654</v>
      </c>
      <c r="C643" t="s">
        <v>1877</v>
      </c>
      <c r="D643" t="s">
        <v>1419</v>
      </c>
      <c r="E643" t="s">
        <v>1420</v>
      </c>
      <c r="F643" t="s">
        <v>1421</v>
      </c>
    </row>
    <row r="644" spans="1:6" x14ac:dyDescent="0.3">
      <c r="A644" t="s">
        <v>85</v>
      </c>
      <c r="B644" t="s">
        <v>655</v>
      </c>
      <c r="C644" t="s">
        <v>1877</v>
      </c>
      <c r="D644" t="s">
        <v>1419</v>
      </c>
      <c r="E644" t="s">
        <v>1420</v>
      </c>
      <c r="F644" t="s">
        <v>1421</v>
      </c>
    </row>
    <row r="645" spans="1:6" x14ac:dyDescent="0.3">
      <c r="A645" t="s">
        <v>83</v>
      </c>
      <c r="B645" t="s">
        <v>653</v>
      </c>
      <c r="C645" t="s">
        <v>1877</v>
      </c>
      <c r="D645" t="s">
        <v>1419</v>
      </c>
      <c r="E645" t="s">
        <v>1420</v>
      </c>
      <c r="F645" t="s">
        <v>1421</v>
      </c>
    </row>
    <row r="646" spans="1:6" x14ac:dyDescent="0.3">
      <c r="A646" t="s">
        <v>82</v>
      </c>
      <c r="B646" t="s">
        <v>1878</v>
      </c>
      <c r="C646" t="s">
        <v>1877</v>
      </c>
      <c r="D646" t="s">
        <v>1419</v>
      </c>
      <c r="E646" t="s">
        <v>1420</v>
      </c>
      <c r="F646" t="s">
        <v>1421</v>
      </c>
    </row>
    <row r="647" spans="1:6" x14ac:dyDescent="0.3">
      <c r="A647" t="s">
        <v>126</v>
      </c>
      <c r="B647" t="s">
        <v>1879</v>
      </c>
      <c r="C647" t="s">
        <v>1880</v>
      </c>
      <c r="D647" t="s">
        <v>1429</v>
      </c>
      <c r="E647" t="s">
        <v>1420</v>
      </c>
      <c r="F647" t="s">
        <v>1421</v>
      </c>
    </row>
    <row r="648" spans="1:6" x14ac:dyDescent="0.3">
      <c r="A648" t="s">
        <v>127</v>
      </c>
      <c r="B648" t="s">
        <v>728</v>
      </c>
      <c r="C648" t="s">
        <v>1880</v>
      </c>
      <c r="D648" t="s">
        <v>1429</v>
      </c>
      <c r="E648" t="s">
        <v>1420</v>
      </c>
      <c r="F648" t="s">
        <v>1421</v>
      </c>
    </row>
    <row r="649" spans="1:6" x14ac:dyDescent="0.3">
      <c r="A649" t="s">
        <v>125</v>
      </c>
      <c r="B649" t="s">
        <v>727</v>
      </c>
      <c r="C649" t="s">
        <v>1880</v>
      </c>
      <c r="D649" t="s">
        <v>1429</v>
      </c>
      <c r="E649" t="s">
        <v>1420</v>
      </c>
      <c r="F649" t="s">
        <v>1421</v>
      </c>
    </row>
    <row r="650" spans="1:6" x14ac:dyDescent="0.3">
      <c r="A650" t="s">
        <v>124</v>
      </c>
      <c r="B650" t="s">
        <v>726</v>
      </c>
      <c r="C650" t="s">
        <v>1880</v>
      </c>
      <c r="D650" t="s">
        <v>1429</v>
      </c>
      <c r="E650" t="s">
        <v>1420</v>
      </c>
      <c r="F650" t="s">
        <v>1421</v>
      </c>
    </row>
    <row r="651" spans="1:6" x14ac:dyDescent="0.3">
      <c r="A651" t="s">
        <v>143</v>
      </c>
      <c r="B651" t="s">
        <v>745</v>
      </c>
      <c r="C651" t="s">
        <v>1881</v>
      </c>
      <c r="D651" t="s">
        <v>1434</v>
      </c>
      <c r="E651" t="s">
        <v>1420</v>
      </c>
      <c r="F651" t="s">
        <v>1421</v>
      </c>
    </row>
    <row r="652" spans="1:6" x14ac:dyDescent="0.3">
      <c r="A652" t="s">
        <v>144</v>
      </c>
      <c r="B652" t="s">
        <v>746</v>
      </c>
      <c r="C652" t="s">
        <v>1881</v>
      </c>
      <c r="D652" t="s">
        <v>1434</v>
      </c>
      <c r="E652" t="s">
        <v>1420</v>
      </c>
      <c r="F652" t="s">
        <v>1421</v>
      </c>
    </row>
    <row r="653" spans="1:6" x14ac:dyDescent="0.3">
      <c r="A653" t="s">
        <v>142</v>
      </c>
      <c r="B653" t="s">
        <v>744</v>
      </c>
      <c r="C653" t="s">
        <v>1881</v>
      </c>
      <c r="D653" t="s">
        <v>1434</v>
      </c>
      <c r="E653" t="s">
        <v>1420</v>
      </c>
      <c r="F653" t="s">
        <v>1421</v>
      </c>
    </row>
    <row r="654" spans="1:6" x14ac:dyDescent="0.3">
      <c r="A654" t="s">
        <v>141</v>
      </c>
      <c r="B654" t="s">
        <v>743</v>
      </c>
      <c r="C654" t="s">
        <v>1881</v>
      </c>
      <c r="D654" t="s">
        <v>1434</v>
      </c>
      <c r="E654" t="s">
        <v>1420</v>
      </c>
      <c r="F654" t="s">
        <v>1421</v>
      </c>
    </row>
    <row r="655" spans="1:6" x14ac:dyDescent="0.3">
      <c r="A655" t="s">
        <v>158</v>
      </c>
      <c r="B655" t="s">
        <v>762</v>
      </c>
      <c r="C655" t="s">
        <v>1882</v>
      </c>
      <c r="D655" t="s">
        <v>1434</v>
      </c>
      <c r="E655" t="s">
        <v>1420</v>
      </c>
      <c r="F655" t="s">
        <v>1421</v>
      </c>
    </row>
    <row r="656" spans="1:6" x14ac:dyDescent="0.3">
      <c r="A656" t="s">
        <v>159</v>
      </c>
      <c r="B656" t="s">
        <v>763</v>
      </c>
      <c r="C656" t="s">
        <v>1882</v>
      </c>
      <c r="D656" t="s">
        <v>1434</v>
      </c>
      <c r="E656" t="s">
        <v>1420</v>
      </c>
      <c r="F656" t="s">
        <v>1421</v>
      </c>
    </row>
    <row r="657" spans="1:6" x14ac:dyDescent="0.3">
      <c r="A657" t="s">
        <v>157</v>
      </c>
      <c r="B657" t="s">
        <v>761</v>
      </c>
      <c r="C657" t="s">
        <v>1882</v>
      </c>
      <c r="D657" t="s">
        <v>1434</v>
      </c>
      <c r="E657" t="s">
        <v>1420</v>
      </c>
      <c r="F657" t="s">
        <v>1421</v>
      </c>
    </row>
    <row r="658" spans="1:6" x14ac:dyDescent="0.3">
      <c r="A658" t="s">
        <v>156</v>
      </c>
      <c r="B658" t="s">
        <v>760</v>
      </c>
      <c r="C658" t="s">
        <v>1882</v>
      </c>
      <c r="D658" t="s">
        <v>1434</v>
      </c>
      <c r="E658" t="s">
        <v>1420</v>
      </c>
      <c r="F658" t="s">
        <v>1421</v>
      </c>
    </row>
    <row r="659" spans="1:6" x14ac:dyDescent="0.3">
      <c r="A659" t="s">
        <v>1883</v>
      </c>
      <c r="B659" t="s">
        <v>1884</v>
      </c>
      <c r="C659" t="s">
        <v>1885</v>
      </c>
      <c r="D659" t="s">
        <v>1434</v>
      </c>
      <c r="E659" t="s">
        <v>1423</v>
      </c>
      <c r="F659" t="s">
        <v>1424</v>
      </c>
    </row>
    <row r="660" spans="1:6" x14ac:dyDescent="0.3">
      <c r="A660" t="s">
        <v>1886</v>
      </c>
      <c r="B660" t="s">
        <v>1887</v>
      </c>
      <c r="C660" t="s">
        <v>1885</v>
      </c>
      <c r="D660" t="s">
        <v>1434</v>
      </c>
      <c r="E660" t="s">
        <v>1423</v>
      </c>
      <c r="F660" t="s">
        <v>1424</v>
      </c>
    </row>
    <row r="661" spans="1:6" x14ac:dyDescent="0.3">
      <c r="A661" t="s">
        <v>1888</v>
      </c>
      <c r="B661" t="s">
        <v>1889</v>
      </c>
      <c r="C661" t="s">
        <v>1885</v>
      </c>
      <c r="D661" t="s">
        <v>1434</v>
      </c>
      <c r="E661" t="s">
        <v>1423</v>
      </c>
      <c r="F661" t="s">
        <v>1424</v>
      </c>
    </row>
    <row r="662" spans="1:6" x14ac:dyDescent="0.3">
      <c r="A662" t="s">
        <v>1890</v>
      </c>
      <c r="B662" t="s">
        <v>1891</v>
      </c>
      <c r="C662" t="s">
        <v>1885</v>
      </c>
      <c r="D662" t="s">
        <v>1434</v>
      </c>
      <c r="E662" t="s">
        <v>1423</v>
      </c>
      <c r="F662" t="s">
        <v>1424</v>
      </c>
    </row>
    <row r="663" spans="1:6" x14ac:dyDescent="0.3">
      <c r="A663" t="s">
        <v>168</v>
      </c>
      <c r="B663" t="s">
        <v>770</v>
      </c>
      <c r="C663" t="s">
        <v>1892</v>
      </c>
      <c r="D663" t="s">
        <v>1429</v>
      </c>
      <c r="E663" t="s">
        <v>1420</v>
      </c>
      <c r="F663" t="s">
        <v>1421</v>
      </c>
    </row>
    <row r="664" spans="1:6" x14ac:dyDescent="0.3">
      <c r="A664" t="s">
        <v>167</v>
      </c>
      <c r="B664" t="s">
        <v>769</v>
      </c>
      <c r="C664" t="s">
        <v>1892</v>
      </c>
      <c r="D664" t="s">
        <v>1429</v>
      </c>
      <c r="E664" t="s">
        <v>1420</v>
      </c>
      <c r="F664" t="s">
        <v>1421</v>
      </c>
    </row>
    <row r="665" spans="1:6" x14ac:dyDescent="0.3">
      <c r="A665" t="s">
        <v>166</v>
      </c>
      <c r="B665" t="s">
        <v>768</v>
      </c>
      <c r="C665" t="s">
        <v>1892</v>
      </c>
      <c r="D665" t="s">
        <v>1429</v>
      </c>
      <c r="E665" t="s">
        <v>1420</v>
      </c>
      <c r="F665" t="s">
        <v>1421</v>
      </c>
    </row>
    <row r="666" spans="1:6" x14ac:dyDescent="0.3">
      <c r="A666" t="s">
        <v>175</v>
      </c>
      <c r="B666" t="s">
        <v>778</v>
      </c>
      <c r="C666" t="s">
        <v>1893</v>
      </c>
      <c r="D666" t="s">
        <v>1434</v>
      </c>
      <c r="E666" t="s">
        <v>1423</v>
      </c>
      <c r="F666" t="s">
        <v>1424</v>
      </c>
    </row>
    <row r="667" spans="1:6" x14ac:dyDescent="0.3">
      <c r="A667" t="s">
        <v>176</v>
      </c>
      <c r="B667" t="s">
        <v>1894</v>
      </c>
      <c r="C667" t="s">
        <v>1893</v>
      </c>
      <c r="D667" t="s">
        <v>1434</v>
      </c>
      <c r="E667" t="s">
        <v>1423</v>
      </c>
      <c r="F667" t="s">
        <v>1424</v>
      </c>
    </row>
    <row r="668" spans="1:6" x14ac:dyDescent="0.3">
      <c r="A668" t="s">
        <v>174</v>
      </c>
      <c r="B668" t="s">
        <v>777</v>
      </c>
      <c r="C668" t="s">
        <v>1893</v>
      </c>
      <c r="D668" t="s">
        <v>1434</v>
      </c>
      <c r="E668" t="s">
        <v>1423</v>
      </c>
      <c r="F668" t="s">
        <v>1424</v>
      </c>
    </row>
    <row r="669" spans="1:6" x14ac:dyDescent="0.3">
      <c r="A669" t="s">
        <v>173</v>
      </c>
      <c r="B669" t="s">
        <v>776</v>
      </c>
      <c r="C669" t="s">
        <v>1893</v>
      </c>
      <c r="D669" t="s">
        <v>1434</v>
      </c>
      <c r="E669" t="s">
        <v>1423</v>
      </c>
      <c r="F669" t="s">
        <v>1424</v>
      </c>
    </row>
    <row r="670" spans="1:6" x14ac:dyDescent="0.3">
      <c r="A670" t="s">
        <v>179</v>
      </c>
      <c r="B670" t="s">
        <v>780</v>
      </c>
      <c r="C670" t="s">
        <v>1895</v>
      </c>
      <c r="D670" t="s">
        <v>1434</v>
      </c>
      <c r="E670" t="s">
        <v>1423</v>
      </c>
      <c r="F670" t="s">
        <v>1424</v>
      </c>
    </row>
    <row r="671" spans="1:6" x14ac:dyDescent="0.3">
      <c r="A671" t="s">
        <v>178</v>
      </c>
      <c r="B671" t="s">
        <v>1896</v>
      </c>
      <c r="C671" t="s">
        <v>1895</v>
      </c>
      <c r="D671" t="s">
        <v>1434</v>
      </c>
      <c r="E671" t="s">
        <v>1423</v>
      </c>
      <c r="F671" t="s">
        <v>1424</v>
      </c>
    </row>
    <row r="672" spans="1:6" x14ac:dyDescent="0.3">
      <c r="A672" t="s">
        <v>177</v>
      </c>
      <c r="B672" t="s">
        <v>779</v>
      </c>
      <c r="C672" t="s">
        <v>1895</v>
      </c>
      <c r="D672" t="s">
        <v>1434</v>
      </c>
      <c r="E672" t="s">
        <v>1423</v>
      </c>
      <c r="F672" t="s">
        <v>1424</v>
      </c>
    </row>
    <row r="673" spans="1:6" x14ac:dyDescent="0.3">
      <c r="A673" t="s">
        <v>181</v>
      </c>
      <c r="B673" t="s">
        <v>783</v>
      </c>
      <c r="C673" t="s">
        <v>1895</v>
      </c>
      <c r="D673" t="s">
        <v>1434</v>
      </c>
      <c r="E673" t="s">
        <v>1423</v>
      </c>
      <c r="F673" t="s">
        <v>1424</v>
      </c>
    </row>
    <row r="674" spans="1:6" x14ac:dyDescent="0.3">
      <c r="A674" t="s">
        <v>180</v>
      </c>
      <c r="B674" t="s">
        <v>782</v>
      </c>
      <c r="C674" t="s">
        <v>1895</v>
      </c>
      <c r="D674" t="s">
        <v>1434</v>
      </c>
      <c r="E674" t="s">
        <v>1423</v>
      </c>
      <c r="F674" t="s">
        <v>1424</v>
      </c>
    </row>
    <row r="675" spans="1:6" x14ac:dyDescent="0.3">
      <c r="A675" t="s">
        <v>1258</v>
      </c>
      <c r="B675" t="s">
        <v>781</v>
      </c>
      <c r="C675" t="s">
        <v>1895</v>
      </c>
      <c r="D675" t="s">
        <v>1434</v>
      </c>
      <c r="E675" t="s">
        <v>1423</v>
      </c>
      <c r="F675" t="s">
        <v>1424</v>
      </c>
    </row>
    <row r="676" spans="1:6" x14ac:dyDescent="0.3">
      <c r="A676" t="s">
        <v>273</v>
      </c>
      <c r="B676" t="s">
        <v>919</v>
      </c>
      <c r="C676" t="s">
        <v>1897</v>
      </c>
      <c r="D676" t="s">
        <v>1439</v>
      </c>
      <c r="E676" t="s">
        <v>1423</v>
      </c>
      <c r="F676" t="s">
        <v>1424</v>
      </c>
    </row>
    <row r="677" spans="1:6" x14ac:dyDescent="0.3">
      <c r="A677" t="s">
        <v>274</v>
      </c>
      <c r="B677" t="s">
        <v>920</v>
      </c>
      <c r="C677" t="s">
        <v>1897</v>
      </c>
      <c r="D677" t="s">
        <v>1439</v>
      </c>
      <c r="E677" t="s">
        <v>1423</v>
      </c>
      <c r="F677" t="s">
        <v>1424</v>
      </c>
    </row>
    <row r="678" spans="1:6" x14ac:dyDescent="0.3">
      <c r="A678" t="s">
        <v>272</v>
      </c>
      <c r="B678" t="s">
        <v>918</v>
      </c>
      <c r="C678" t="s">
        <v>1897</v>
      </c>
      <c r="D678" t="s">
        <v>1439</v>
      </c>
      <c r="E678" t="s">
        <v>1423</v>
      </c>
      <c r="F678" t="s">
        <v>1424</v>
      </c>
    </row>
    <row r="679" spans="1:6" x14ac:dyDescent="0.3">
      <c r="A679" t="s">
        <v>271</v>
      </c>
      <c r="B679" t="s">
        <v>917</v>
      </c>
      <c r="C679" t="s">
        <v>1897</v>
      </c>
      <c r="D679" t="s">
        <v>1439</v>
      </c>
      <c r="E679" t="s">
        <v>1423</v>
      </c>
      <c r="F679" t="s">
        <v>1424</v>
      </c>
    </row>
    <row r="680" spans="1:6" x14ac:dyDescent="0.3">
      <c r="A680" t="s">
        <v>290</v>
      </c>
      <c r="B680" t="s">
        <v>941</v>
      </c>
      <c r="C680" t="s">
        <v>1898</v>
      </c>
      <c r="D680" t="s">
        <v>1429</v>
      </c>
      <c r="E680" t="s">
        <v>1420</v>
      </c>
      <c r="F680" t="s">
        <v>1421</v>
      </c>
    </row>
    <row r="681" spans="1:6" x14ac:dyDescent="0.3">
      <c r="A681" t="s">
        <v>291</v>
      </c>
      <c r="B681" t="s">
        <v>942</v>
      </c>
      <c r="C681" t="s">
        <v>1898</v>
      </c>
      <c r="D681" t="s">
        <v>1429</v>
      </c>
      <c r="E681" t="s">
        <v>1420</v>
      </c>
      <c r="F681" t="s">
        <v>1421</v>
      </c>
    </row>
    <row r="682" spans="1:6" x14ac:dyDescent="0.3">
      <c r="A682" t="s">
        <v>1263</v>
      </c>
      <c r="B682" t="s">
        <v>940</v>
      </c>
      <c r="C682" t="s">
        <v>1898</v>
      </c>
      <c r="D682" t="s">
        <v>1429</v>
      </c>
      <c r="E682" t="s">
        <v>1420</v>
      </c>
      <c r="F682" t="s">
        <v>1421</v>
      </c>
    </row>
    <row r="683" spans="1:6" x14ac:dyDescent="0.3">
      <c r="A683" t="s">
        <v>289</v>
      </c>
      <c r="B683" t="s">
        <v>939</v>
      </c>
      <c r="C683" t="s">
        <v>1898</v>
      </c>
      <c r="D683" t="s">
        <v>1429</v>
      </c>
      <c r="E683" t="s">
        <v>1420</v>
      </c>
      <c r="F683" t="s">
        <v>1421</v>
      </c>
    </row>
    <row r="684" spans="1:6" x14ac:dyDescent="0.3">
      <c r="A684" t="s">
        <v>294</v>
      </c>
      <c r="B684" t="s">
        <v>944</v>
      </c>
      <c r="C684" t="s">
        <v>1898</v>
      </c>
      <c r="D684" t="s">
        <v>1429</v>
      </c>
      <c r="E684" t="s">
        <v>1420</v>
      </c>
      <c r="F684" t="s">
        <v>1421</v>
      </c>
    </row>
    <row r="685" spans="1:6" x14ac:dyDescent="0.3">
      <c r="A685" t="s">
        <v>295</v>
      </c>
      <c r="B685" t="s">
        <v>1899</v>
      </c>
      <c r="C685" t="s">
        <v>1898</v>
      </c>
      <c r="D685" t="s">
        <v>1429</v>
      </c>
      <c r="E685" t="s">
        <v>1420</v>
      </c>
      <c r="F685" t="s">
        <v>1421</v>
      </c>
    </row>
    <row r="686" spans="1:6" x14ac:dyDescent="0.3">
      <c r="A686" t="s">
        <v>293</v>
      </c>
      <c r="B686" t="s">
        <v>1900</v>
      </c>
      <c r="C686" t="s">
        <v>1898</v>
      </c>
      <c r="D686" t="s">
        <v>1429</v>
      </c>
      <c r="E686" t="s">
        <v>1420</v>
      </c>
      <c r="F686" t="s">
        <v>1421</v>
      </c>
    </row>
    <row r="687" spans="1:6" x14ac:dyDescent="0.3">
      <c r="A687" t="s">
        <v>292</v>
      </c>
      <c r="B687" t="s">
        <v>943</v>
      </c>
      <c r="C687" t="s">
        <v>1898</v>
      </c>
      <c r="D687" t="s">
        <v>1429</v>
      </c>
      <c r="E687" t="s">
        <v>1420</v>
      </c>
      <c r="F687" t="s">
        <v>1421</v>
      </c>
    </row>
    <row r="688" spans="1:6" x14ac:dyDescent="0.3">
      <c r="A688" t="s">
        <v>333</v>
      </c>
      <c r="B688" t="s">
        <v>996</v>
      </c>
      <c r="C688" t="s">
        <v>1901</v>
      </c>
      <c r="D688" t="s">
        <v>1429</v>
      </c>
      <c r="E688" t="s">
        <v>1420</v>
      </c>
      <c r="F688" t="s">
        <v>1421</v>
      </c>
    </row>
    <row r="689" spans="1:6" x14ac:dyDescent="0.3">
      <c r="A689" t="s">
        <v>334</v>
      </c>
      <c r="B689" t="s">
        <v>997</v>
      </c>
      <c r="C689" t="s">
        <v>1901</v>
      </c>
      <c r="D689" t="s">
        <v>1429</v>
      </c>
      <c r="E689" t="s">
        <v>1420</v>
      </c>
      <c r="F689" t="s">
        <v>1421</v>
      </c>
    </row>
    <row r="690" spans="1:6" x14ac:dyDescent="0.3">
      <c r="A690" t="s">
        <v>332</v>
      </c>
      <c r="B690" t="s">
        <v>995</v>
      </c>
      <c r="C690" t="s">
        <v>1901</v>
      </c>
      <c r="D690" t="s">
        <v>1429</v>
      </c>
      <c r="E690" t="s">
        <v>1420</v>
      </c>
      <c r="F690" t="s">
        <v>1421</v>
      </c>
    </row>
    <row r="691" spans="1:6" x14ac:dyDescent="0.3">
      <c r="A691" t="s">
        <v>331</v>
      </c>
      <c r="B691" t="s">
        <v>1902</v>
      </c>
      <c r="C691" t="s">
        <v>1901</v>
      </c>
      <c r="D691" t="s">
        <v>1429</v>
      </c>
      <c r="E691" t="s">
        <v>1420</v>
      </c>
      <c r="F691" t="s">
        <v>1421</v>
      </c>
    </row>
    <row r="692" spans="1:6" x14ac:dyDescent="0.3">
      <c r="A692" t="s">
        <v>337</v>
      </c>
      <c r="B692" t="s">
        <v>1006</v>
      </c>
      <c r="C692" t="s">
        <v>1903</v>
      </c>
      <c r="D692" t="s">
        <v>1429</v>
      </c>
      <c r="E692" t="s">
        <v>1420</v>
      </c>
      <c r="F692" t="s">
        <v>1421</v>
      </c>
    </row>
    <row r="693" spans="1:6" x14ac:dyDescent="0.3">
      <c r="A693" t="s">
        <v>336</v>
      </c>
      <c r="B693" t="s">
        <v>1005</v>
      </c>
      <c r="C693" t="s">
        <v>1903</v>
      </c>
      <c r="D693" t="s">
        <v>1429</v>
      </c>
      <c r="E693" t="s">
        <v>1420</v>
      </c>
      <c r="F693" t="s">
        <v>1421</v>
      </c>
    </row>
    <row r="694" spans="1:6" x14ac:dyDescent="0.3">
      <c r="A694" t="s">
        <v>335</v>
      </c>
      <c r="B694" t="s">
        <v>1004</v>
      </c>
      <c r="C694" t="s">
        <v>1903</v>
      </c>
      <c r="D694" t="s">
        <v>1429</v>
      </c>
      <c r="E694" t="s">
        <v>1420</v>
      </c>
      <c r="F694" t="s">
        <v>1421</v>
      </c>
    </row>
    <row r="695" spans="1:6" x14ac:dyDescent="0.3">
      <c r="A695" t="s">
        <v>366</v>
      </c>
      <c r="B695" t="s">
        <v>1036</v>
      </c>
      <c r="C695" t="s">
        <v>1904</v>
      </c>
      <c r="D695" t="s">
        <v>1429</v>
      </c>
      <c r="E695" t="s">
        <v>1420</v>
      </c>
      <c r="F695" t="s">
        <v>1421</v>
      </c>
    </row>
    <row r="696" spans="1:6" x14ac:dyDescent="0.3">
      <c r="A696" t="s">
        <v>367</v>
      </c>
      <c r="B696" t="s">
        <v>1037</v>
      </c>
      <c r="C696" t="s">
        <v>1904</v>
      </c>
      <c r="D696" t="s">
        <v>1429</v>
      </c>
      <c r="E696" t="s">
        <v>1420</v>
      </c>
      <c r="F696" t="s">
        <v>1421</v>
      </c>
    </row>
    <row r="697" spans="1:6" x14ac:dyDescent="0.3">
      <c r="A697" t="s">
        <v>365</v>
      </c>
      <c r="B697" t="s">
        <v>1035</v>
      </c>
      <c r="C697" t="s">
        <v>1904</v>
      </c>
      <c r="D697" t="s">
        <v>1429</v>
      </c>
      <c r="E697" t="s">
        <v>1420</v>
      </c>
      <c r="F697" t="s">
        <v>1421</v>
      </c>
    </row>
    <row r="698" spans="1:6" x14ac:dyDescent="0.3">
      <c r="A698" t="s">
        <v>364</v>
      </c>
      <c r="B698" t="s">
        <v>1034</v>
      </c>
      <c r="C698" t="s">
        <v>1904</v>
      </c>
      <c r="D698" t="s">
        <v>1429</v>
      </c>
      <c r="E698" t="s">
        <v>1420</v>
      </c>
      <c r="F698" t="s">
        <v>1421</v>
      </c>
    </row>
    <row r="699" spans="1:6" x14ac:dyDescent="0.3">
      <c r="A699" t="s">
        <v>457</v>
      </c>
      <c r="B699" t="s">
        <v>1158</v>
      </c>
      <c r="C699" t="s">
        <v>1905</v>
      </c>
      <c r="D699" t="s">
        <v>1437</v>
      </c>
      <c r="E699" t="s">
        <v>1420</v>
      </c>
      <c r="F699" t="s">
        <v>1421</v>
      </c>
    </row>
    <row r="700" spans="1:6" x14ac:dyDescent="0.3">
      <c r="A700" t="s">
        <v>1269</v>
      </c>
      <c r="B700" t="s">
        <v>1159</v>
      </c>
      <c r="C700" t="s">
        <v>1905</v>
      </c>
      <c r="D700" t="s">
        <v>1437</v>
      </c>
      <c r="E700" t="s">
        <v>1420</v>
      </c>
      <c r="F700" t="s">
        <v>1421</v>
      </c>
    </row>
    <row r="701" spans="1:6" x14ac:dyDescent="0.3">
      <c r="A701" t="s">
        <v>456</v>
      </c>
      <c r="B701" t="s">
        <v>1157</v>
      </c>
      <c r="C701" t="s">
        <v>1905</v>
      </c>
      <c r="D701" t="s">
        <v>1437</v>
      </c>
      <c r="E701" t="s">
        <v>1420</v>
      </c>
      <c r="F701" t="s">
        <v>1421</v>
      </c>
    </row>
    <row r="702" spans="1:6" x14ac:dyDescent="0.3">
      <c r="A702" t="s">
        <v>1289</v>
      </c>
      <c r="B702" t="s">
        <v>1156</v>
      </c>
      <c r="C702" t="s">
        <v>1905</v>
      </c>
      <c r="D702" t="s">
        <v>1437</v>
      </c>
      <c r="E702" t="s">
        <v>1420</v>
      </c>
      <c r="F702" t="s">
        <v>1421</v>
      </c>
    </row>
    <row r="703" spans="1:6" x14ac:dyDescent="0.3">
      <c r="A703" t="s">
        <v>45</v>
      </c>
      <c r="B703" t="s">
        <v>615</v>
      </c>
      <c r="C703" t="s">
        <v>1906</v>
      </c>
      <c r="D703" t="s">
        <v>1419</v>
      </c>
      <c r="E703" t="s">
        <v>1420</v>
      </c>
      <c r="F703" t="s">
        <v>1421</v>
      </c>
    </row>
    <row r="704" spans="1:6" x14ac:dyDescent="0.3">
      <c r="A704" t="s">
        <v>46</v>
      </c>
      <c r="B704" t="s">
        <v>616</v>
      </c>
      <c r="C704" t="s">
        <v>1906</v>
      </c>
      <c r="D704" t="s">
        <v>1419</v>
      </c>
      <c r="E704" t="s">
        <v>1420</v>
      </c>
      <c r="F704" t="s">
        <v>1421</v>
      </c>
    </row>
    <row r="705" spans="1:6" x14ac:dyDescent="0.3">
      <c r="A705" t="s">
        <v>44</v>
      </c>
      <c r="B705" t="s">
        <v>614</v>
      </c>
      <c r="C705" t="s">
        <v>1906</v>
      </c>
      <c r="D705" t="s">
        <v>1419</v>
      </c>
      <c r="E705" t="s">
        <v>1420</v>
      </c>
      <c r="F705" t="s">
        <v>1421</v>
      </c>
    </row>
    <row r="706" spans="1:6" x14ac:dyDescent="0.3">
      <c r="A706" t="s">
        <v>43</v>
      </c>
      <c r="B706" t="s">
        <v>613</v>
      </c>
      <c r="C706" t="s">
        <v>1906</v>
      </c>
      <c r="D706" t="s">
        <v>1419</v>
      </c>
      <c r="E706" t="s">
        <v>1420</v>
      </c>
      <c r="F706" t="s">
        <v>1421</v>
      </c>
    </row>
    <row r="707" spans="1:6" x14ac:dyDescent="0.3">
      <c r="A707" t="s">
        <v>220</v>
      </c>
      <c r="B707" t="s">
        <v>827</v>
      </c>
      <c r="C707" t="s">
        <v>1907</v>
      </c>
      <c r="D707" t="s">
        <v>1439</v>
      </c>
      <c r="E707" t="s">
        <v>1420</v>
      </c>
      <c r="F707" t="s">
        <v>1421</v>
      </c>
    </row>
    <row r="708" spans="1:6" x14ac:dyDescent="0.3">
      <c r="A708" t="s">
        <v>221</v>
      </c>
      <c r="B708" t="s">
        <v>828</v>
      </c>
      <c r="C708" t="s">
        <v>1907</v>
      </c>
      <c r="D708" t="s">
        <v>1439</v>
      </c>
      <c r="E708" t="s">
        <v>1420</v>
      </c>
      <c r="F708" t="s">
        <v>1421</v>
      </c>
    </row>
    <row r="709" spans="1:6" x14ac:dyDescent="0.3">
      <c r="A709" t="s">
        <v>219</v>
      </c>
      <c r="B709" t="s">
        <v>826</v>
      </c>
      <c r="C709" t="s">
        <v>1907</v>
      </c>
      <c r="D709" t="s">
        <v>1439</v>
      </c>
      <c r="E709" t="s">
        <v>1420</v>
      </c>
      <c r="F709" t="s">
        <v>1421</v>
      </c>
    </row>
    <row r="710" spans="1:6" x14ac:dyDescent="0.3">
      <c r="A710" t="s">
        <v>218</v>
      </c>
      <c r="B710" t="s">
        <v>825</v>
      </c>
      <c r="C710" t="s">
        <v>1907</v>
      </c>
      <c r="D710" t="s">
        <v>1439</v>
      </c>
      <c r="E710" t="s">
        <v>1420</v>
      </c>
      <c r="F710" t="s">
        <v>1421</v>
      </c>
    </row>
    <row r="711" spans="1:6" x14ac:dyDescent="0.3">
      <c r="A711" t="s">
        <v>237</v>
      </c>
      <c r="B711" t="s">
        <v>844</v>
      </c>
      <c r="C711" t="s">
        <v>1908</v>
      </c>
      <c r="D711" t="s">
        <v>1439</v>
      </c>
      <c r="E711" t="s">
        <v>1423</v>
      </c>
      <c r="F711" t="s">
        <v>1424</v>
      </c>
    </row>
    <row r="712" spans="1:6" x14ac:dyDescent="0.3">
      <c r="A712" t="s">
        <v>238</v>
      </c>
      <c r="B712" t="s">
        <v>845</v>
      </c>
      <c r="C712" t="s">
        <v>1908</v>
      </c>
      <c r="D712" t="s">
        <v>1439</v>
      </c>
      <c r="E712" t="s">
        <v>1423</v>
      </c>
      <c r="F712" t="s">
        <v>1424</v>
      </c>
    </row>
    <row r="713" spans="1:6" x14ac:dyDescent="0.3">
      <c r="A713" t="s">
        <v>236</v>
      </c>
      <c r="B713" t="s">
        <v>843</v>
      </c>
      <c r="C713" t="s">
        <v>1908</v>
      </c>
      <c r="D713" t="s">
        <v>1439</v>
      </c>
      <c r="E713" t="s">
        <v>1423</v>
      </c>
      <c r="F713" t="s">
        <v>1424</v>
      </c>
    </row>
    <row r="714" spans="1:6" x14ac:dyDescent="0.3">
      <c r="A714" t="s">
        <v>235</v>
      </c>
      <c r="B714" t="s">
        <v>842</v>
      </c>
      <c r="C714" t="s">
        <v>1908</v>
      </c>
      <c r="D714" t="s">
        <v>1439</v>
      </c>
      <c r="E714" t="s">
        <v>1423</v>
      </c>
      <c r="F714" t="s">
        <v>1424</v>
      </c>
    </row>
    <row r="715" spans="1:6" x14ac:dyDescent="0.3">
      <c r="A715" t="s">
        <v>241</v>
      </c>
      <c r="B715" t="s">
        <v>853</v>
      </c>
      <c r="C715" t="s">
        <v>1909</v>
      </c>
      <c r="D715" t="s">
        <v>1437</v>
      </c>
      <c r="E715" t="s">
        <v>1420</v>
      </c>
      <c r="F715" t="s">
        <v>1421</v>
      </c>
    </row>
    <row r="716" spans="1:6" x14ac:dyDescent="0.3">
      <c r="A716" t="s">
        <v>242</v>
      </c>
      <c r="B716" t="s">
        <v>854</v>
      </c>
      <c r="C716" t="s">
        <v>1909</v>
      </c>
      <c r="D716" t="s">
        <v>1437</v>
      </c>
      <c r="E716" t="s">
        <v>1420</v>
      </c>
      <c r="F716" t="s">
        <v>1421</v>
      </c>
    </row>
    <row r="717" spans="1:6" x14ac:dyDescent="0.3">
      <c r="A717" t="s">
        <v>240</v>
      </c>
      <c r="B717" t="s">
        <v>852</v>
      </c>
      <c r="C717" t="s">
        <v>1909</v>
      </c>
      <c r="D717" t="s">
        <v>1437</v>
      </c>
      <c r="E717" t="s">
        <v>1420</v>
      </c>
      <c r="F717" t="s">
        <v>1421</v>
      </c>
    </row>
    <row r="718" spans="1:6" x14ac:dyDescent="0.3">
      <c r="A718" t="s">
        <v>239</v>
      </c>
      <c r="B718" t="s">
        <v>851</v>
      </c>
      <c r="C718" t="s">
        <v>1909</v>
      </c>
      <c r="D718" t="s">
        <v>1437</v>
      </c>
      <c r="E718" t="s">
        <v>1420</v>
      </c>
      <c r="F718" t="s">
        <v>1421</v>
      </c>
    </row>
    <row r="719" spans="1:6" x14ac:dyDescent="0.3">
      <c r="A719" t="s">
        <v>1910</v>
      </c>
      <c r="B719" t="s">
        <v>850</v>
      </c>
      <c r="C719" t="s">
        <v>1909</v>
      </c>
      <c r="D719" t="s">
        <v>1437</v>
      </c>
      <c r="E719" t="s">
        <v>1420</v>
      </c>
      <c r="F719" t="s">
        <v>1421</v>
      </c>
    </row>
    <row r="720" spans="1:6" x14ac:dyDescent="0.3">
      <c r="A720" t="s">
        <v>249</v>
      </c>
      <c r="B720" t="s">
        <v>871</v>
      </c>
      <c r="C720" t="s">
        <v>1911</v>
      </c>
      <c r="D720" t="s">
        <v>1439</v>
      </c>
      <c r="E720" t="s">
        <v>1420</v>
      </c>
      <c r="F720" t="s">
        <v>1421</v>
      </c>
    </row>
    <row r="721" spans="1:6" x14ac:dyDescent="0.3">
      <c r="A721" t="s">
        <v>248</v>
      </c>
      <c r="B721" t="s">
        <v>870</v>
      </c>
      <c r="C721" t="s">
        <v>1911</v>
      </c>
      <c r="D721" t="s">
        <v>1439</v>
      </c>
      <c r="E721" t="s">
        <v>1420</v>
      </c>
      <c r="F721" t="s">
        <v>1421</v>
      </c>
    </row>
    <row r="722" spans="1:6" x14ac:dyDescent="0.3">
      <c r="A722" t="s">
        <v>247</v>
      </c>
      <c r="B722" t="s">
        <v>869</v>
      </c>
      <c r="C722" t="s">
        <v>1911</v>
      </c>
      <c r="D722" t="s">
        <v>1439</v>
      </c>
      <c r="E722" t="s">
        <v>1420</v>
      </c>
      <c r="F722" t="s">
        <v>1421</v>
      </c>
    </row>
    <row r="723" spans="1:6" x14ac:dyDescent="0.3">
      <c r="A723" t="s">
        <v>259</v>
      </c>
      <c r="B723" t="s">
        <v>887</v>
      </c>
      <c r="C723" t="s">
        <v>1912</v>
      </c>
      <c r="D723" t="s">
        <v>1437</v>
      </c>
      <c r="E723" t="s">
        <v>1420</v>
      </c>
      <c r="F723" t="s">
        <v>1421</v>
      </c>
    </row>
    <row r="724" spans="1:6" x14ac:dyDescent="0.3">
      <c r="A724" t="s">
        <v>260</v>
      </c>
      <c r="B724" t="s">
        <v>888</v>
      </c>
      <c r="C724" t="s">
        <v>1912</v>
      </c>
      <c r="D724" t="s">
        <v>1437</v>
      </c>
      <c r="E724" t="s">
        <v>1420</v>
      </c>
      <c r="F724" t="s">
        <v>1421</v>
      </c>
    </row>
    <row r="725" spans="1:6" x14ac:dyDescent="0.3">
      <c r="A725" t="s">
        <v>258</v>
      </c>
      <c r="B725" t="s">
        <v>886</v>
      </c>
      <c r="C725" t="s">
        <v>1912</v>
      </c>
      <c r="D725" t="s">
        <v>1437</v>
      </c>
      <c r="E725" t="s">
        <v>1420</v>
      </c>
      <c r="F725" t="s">
        <v>1421</v>
      </c>
    </row>
    <row r="726" spans="1:6" x14ac:dyDescent="0.3">
      <c r="A726" t="s">
        <v>257</v>
      </c>
      <c r="B726" t="s">
        <v>885</v>
      </c>
      <c r="C726" t="s">
        <v>1912</v>
      </c>
      <c r="D726" t="s">
        <v>1437</v>
      </c>
      <c r="E726" t="s">
        <v>1420</v>
      </c>
      <c r="F726" t="s">
        <v>1421</v>
      </c>
    </row>
    <row r="727" spans="1:6" x14ac:dyDescent="0.3">
      <c r="A727" t="s">
        <v>267</v>
      </c>
      <c r="B727" t="s">
        <v>908</v>
      </c>
      <c r="C727" t="s">
        <v>1913</v>
      </c>
      <c r="D727" t="s">
        <v>1439</v>
      </c>
      <c r="E727" t="s">
        <v>1423</v>
      </c>
      <c r="F727" t="s">
        <v>1424</v>
      </c>
    </row>
    <row r="728" spans="1:6" x14ac:dyDescent="0.3">
      <c r="A728" t="s">
        <v>266</v>
      </c>
      <c r="B728" t="s">
        <v>907</v>
      </c>
      <c r="C728" t="s">
        <v>1913</v>
      </c>
      <c r="D728" t="s">
        <v>1439</v>
      </c>
      <c r="E728" t="s">
        <v>1423</v>
      </c>
      <c r="F728" t="s">
        <v>1424</v>
      </c>
    </row>
    <row r="729" spans="1:6" x14ac:dyDescent="0.3">
      <c r="A729" t="s">
        <v>265</v>
      </c>
      <c r="B729" t="s">
        <v>1914</v>
      </c>
      <c r="C729" t="s">
        <v>1913</v>
      </c>
      <c r="D729" t="s">
        <v>1439</v>
      </c>
      <c r="E729" t="s">
        <v>1423</v>
      </c>
      <c r="F729" t="s">
        <v>1424</v>
      </c>
    </row>
    <row r="730" spans="1:6" x14ac:dyDescent="0.3">
      <c r="A730" t="s">
        <v>270</v>
      </c>
      <c r="B730" t="s">
        <v>911</v>
      </c>
      <c r="C730" t="s">
        <v>1915</v>
      </c>
      <c r="D730" t="s">
        <v>1439</v>
      </c>
      <c r="E730" t="s">
        <v>1420</v>
      </c>
      <c r="F730" t="s">
        <v>1421</v>
      </c>
    </row>
    <row r="731" spans="1:6" x14ac:dyDescent="0.3">
      <c r="A731" t="s">
        <v>269</v>
      </c>
      <c r="B731" t="s">
        <v>910</v>
      </c>
      <c r="C731" t="s">
        <v>1915</v>
      </c>
      <c r="D731" t="s">
        <v>1439</v>
      </c>
      <c r="E731" t="s">
        <v>1420</v>
      </c>
      <c r="F731" t="s">
        <v>1421</v>
      </c>
    </row>
    <row r="732" spans="1:6" x14ac:dyDescent="0.3">
      <c r="A732" t="s">
        <v>268</v>
      </c>
      <c r="B732" t="s">
        <v>909</v>
      </c>
      <c r="C732" t="s">
        <v>1915</v>
      </c>
      <c r="D732" t="s">
        <v>1439</v>
      </c>
      <c r="E732" t="s">
        <v>1420</v>
      </c>
      <c r="F732" t="s">
        <v>1421</v>
      </c>
    </row>
    <row r="733" spans="1:6" x14ac:dyDescent="0.3">
      <c r="A733" t="s">
        <v>378</v>
      </c>
      <c r="B733" t="s">
        <v>1054</v>
      </c>
      <c r="C733" t="s">
        <v>1916</v>
      </c>
      <c r="D733" t="s">
        <v>1429</v>
      </c>
      <c r="E733" t="s">
        <v>1420</v>
      </c>
      <c r="F733" t="s">
        <v>1421</v>
      </c>
    </row>
    <row r="734" spans="1:6" x14ac:dyDescent="0.3">
      <c r="A734" t="s">
        <v>379</v>
      </c>
      <c r="B734" t="s">
        <v>1055</v>
      </c>
      <c r="C734" t="s">
        <v>1916</v>
      </c>
      <c r="D734" t="s">
        <v>1429</v>
      </c>
      <c r="E734" t="s">
        <v>1420</v>
      </c>
      <c r="F734" t="s">
        <v>1421</v>
      </c>
    </row>
    <row r="735" spans="1:6" x14ac:dyDescent="0.3">
      <c r="A735" t="s">
        <v>377</v>
      </c>
      <c r="B735" t="s">
        <v>1053</v>
      </c>
      <c r="C735" t="s">
        <v>1916</v>
      </c>
      <c r="D735" t="s">
        <v>1429</v>
      </c>
      <c r="E735" t="s">
        <v>1420</v>
      </c>
      <c r="F735" t="s">
        <v>1421</v>
      </c>
    </row>
    <row r="736" spans="1:6" x14ac:dyDescent="0.3">
      <c r="A736" t="s">
        <v>376</v>
      </c>
      <c r="B736" t="s">
        <v>1052</v>
      </c>
      <c r="C736" t="s">
        <v>1916</v>
      </c>
      <c r="D736" t="s">
        <v>1429</v>
      </c>
      <c r="E736" t="s">
        <v>1420</v>
      </c>
      <c r="F736" t="s">
        <v>1421</v>
      </c>
    </row>
    <row r="737" spans="1:6" x14ac:dyDescent="0.3">
      <c r="A737" t="s">
        <v>443</v>
      </c>
      <c r="B737" t="s">
        <v>1136</v>
      </c>
      <c r="C737" t="s">
        <v>1917</v>
      </c>
      <c r="D737" t="s">
        <v>1437</v>
      </c>
      <c r="E737" t="s">
        <v>1420</v>
      </c>
      <c r="F737" t="s">
        <v>1421</v>
      </c>
    </row>
    <row r="738" spans="1:6" x14ac:dyDescent="0.3">
      <c r="A738" t="s">
        <v>444</v>
      </c>
      <c r="B738" t="s">
        <v>1137</v>
      </c>
      <c r="C738" t="s">
        <v>1917</v>
      </c>
      <c r="D738" t="s">
        <v>1437</v>
      </c>
      <c r="E738" t="s">
        <v>1420</v>
      </c>
      <c r="F738" t="s">
        <v>1421</v>
      </c>
    </row>
    <row r="739" spans="1:6" x14ac:dyDescent="0.3">
      <c r="A739" t="s">
        <v>442</v>
      </c>
      <c r="B739" t="s">
        <v>1135</v>
      </c>
      <c r="C739" t="s">
        <v>1917</v>
      </c>
      <c r="D739" t="s">
        <v>1437</v>
      </c>
      <c r="E739" t="s">
        <v>1420</v>
      </c>
      <c r="F739" t="s">
        <v>1421</v>
      </c>
    </row>
    <row r="740" spans="1:6" x14ac:dyDescent="0.3">
      <c r="A740" t="s">
        <v>441</v>
      </c>
      <c r="B740" t="s">
        <v>1134</v>
      </c>
      <c r="C740" t="s">
        <v>1917</v>
      </c>
      <c r="D740" t="s">
        <v>1437</v>
      </c>
      <c r="E740" t="s">
        <v>1420</v>
      </c>
      <c r="F740" t="s">
        <v>1421</v>
      </c>
    </row>
    <row r="741" spans="1:6" x14ac:dyDescent="0.3">
      <c r="A741" t="s">
        <v>1918</v>
      </c>
      <c r="B741" t="s">
        <v>1133</v>
      </c>
      <c r="C741" t="s">
        <v>1917</v>
      </c>
      <c r="D741" t="s">
        <v>1437</v>
      </c>
      <c r="E741" t="s">
        <v>1420</v>
      </c>
      <c r="F741" t="s">
        <v>1421</v>
      </c>
    </row>
    <row r="742" spans="1:6" x14ac:dyDescent="0.3">
      <c r="A742" t="s">
        <v>509</v>
      </c>
      <c r="B742" t="s">
        <v>1220</v>
      </c>
      <c r="C742" t="s">
        <v>1919</v>
      </c>
      <c r="D742" t="s">
        <v>1437</v>
      </c>
      <c r="E742" t="s">
        <v>1420</v>
      </c>
      <c r="F742" t="s">
        <v>1421</v>
      </c>
    </row>
    <row r="743" spans="1:6" x14ac:dyDescent="0.3">
      <c r="A743" t="s">
        <v>510</v>
      </c>
      <c r="B743" t="s">
        <v>1221</v>
      </c>
      <c r="C743" t="s">
        <v>1919</v>
      </c>
      <c r="D743" t="s">
        <v>1437</v>
      </c>
      <c r="E743" t="s">
        <v>1420</v>
      </c>
      <c r="F743" t="s">
        <v>1421</v>
      </c>
    </row>
    <row r="744" spans="1:6" x14ac:dyDescent="0.3">
      <c r="A744" t="s">
        <v>508</v>
      </c>
      <c r="B744" t="s">
        <v>1219</v>
      </c>
      <c r="C744" t="s">
        <v>1919</v>
      </c>
      <c r="D744" t="s">
        <v>1437</v>
      </c>
      <c r="E744" t="s">
        <v>1420</v>
      </c>
      <c r="F744" t="s">
        <v>1421</v>
      </c>
    </row>
    <row r="745" spans="1:6" x14ac:dyDescent="0.3">
      <c r="A745" t="s">
        <v>507</v>
      </c>
      <c r="B745" t="s">
        <v>1218</v>
      </c>
      <c r="C745" t="s">
        <v>1919</v>
      </c>
      <c r="D745" t="s">
        <v>1437</v>
      </c>
      <c r="E745" t="s">
        <v>1420</v>
      </c>
      <c r="F745" t="s">
        <v>1421</v>
      </c>
    </row>
    <row r="746" spans="1:6" x14ac:dyDescent="0.3">
      <c r="A746" t="s">
        <v>109</v>
      </c>
      <c r="B746" t="s">
        <v>705</v>
      </c>
      <c r="C746" t="s">
        <v>1920</v>
      </c>
      <c r="D746" t="s">
        <v>1434</v>
      </c>
      <c r="E746" t="s">
        <v>1423</v>
      </c>
      <c r="F746" t="s">
        <v>1424</v>
      </c>
    </row>
    <row r="747" spans="1:6" x14ac:dyDescent="0.3">
      <c r="A747" t="s">
        <v>110</v>
      </c>
      <c r="B747" t="s">
        <v>1921</v>
      </c>
      <c r="C747" t="s">
        <v>1920</v>
      </c>
      <c r="D747" t="s">
        <v>1434</v>
      </c>
      <c r="E747" t="s">
        <v>1423</v>
      </c>
      <c r="F747" t="s">
        <v>1424</v>
      </c>
    </row>
    <row r="748" spans="1:6" x14ac:dyDescent="0.3">
      <c r="A748" t="s">
        <v>108</v>
      </c>
      <c r="B748" t="s">
        <v>704</v>
      </c>
      <c r="C748" t="s">
        <v>1920</v>
      </c>
      <c r="D748" t="s">
        <v>1434</v>
      </c>
      <c r="E748" t="s">
        <v>1423</v>
      </c>
      <c r="F748" t="s">
        <v>1424</v>
      </c>
    </row>
    <row r="749" spans="1:6" x14ac:dyDescent="0.3">
      <c r="A749" t="s">
        <v>107</v>
      </c>
      <c r="B749" t="s">
        <v>703</v>
      </c>
      <c r="C749" t="s">
        <v>1920</v>
      </c>
      <c r="D749" t="s">
        <v>1434</v>
      </c>
      <c r="E749" t="s">
        <v>1423</v>
      </c>
      <c r="F749" t="s">
        <v>1424</v>
      </c>
    </row>
    <row r="750" spans="1:6" x14ac:dyDescent="0.3">
      <c r="A750" t="s">
        <v>139</v>
      </c>
      <c r="B750" t="s">
        <v>741</v>
      </c>
      <c r="C750" t="s">
        <v>1922</v>
      </c>
      <c r="D750" t="s">
        <v>1434</v>
      </c>
      <c r="E750" t="s">
        <v>1420</v>
      </c>
      <c r="F750" t="s">
        <v>1421</v>
      </c>
    </row>
    <row r="751" spans="1:6" x14ac:dyDescent="0.3">
      <c r="A751" t="s">
        <v>140</v>
      </c>
      <c r="B751" t="s">
        <v>742</v>
      </c>
      <c r="C751" t="s">
        <v>1922</v>
      </c>
      <c r="D751" t="s">
        <v>1434</v>
      </c>
      <c r="E751" t="s">
        <v>1420</v>
      </c>
      <c r="F751" t="s">
        <v>1421</v>
      </c>
    </row>
    <row r="752" spans="1:6" x14ac:dyDescent="0.3">
      <c r="A752" t="s">
        <v>138</v>
      </c>
      <c r="B752" t="s">
        <v>740</v>
      </c>
      <c r="C752" t="s">
        <v>1922</v>
      </c>
      <c r="D752" t="s">
        <v>1434</v>
      </c>
      <c r="E752" t="s">
        <v>1420</v>
      </c>
      <c r="F752" t="s">
        <v>1421</v>
      </c>
    </row>
    <row r="753" spans="1:6" x14ac:dyDescent="0.3">
      <c r="A753" t="s">
        <v>137</v>
      </c>
      <c r="B753" t="s">
        <v>739</v>
      </c>
      <c r="C753" t="s">
        <v>1922</v>
      </c>
      <c r="D753" t="s">
        <v>1434</v>
      </c>
      <c r="E753" t="s">
        <v>1420</v>
      </c>
      <c r="F753" t="s">
        <v>1421</v>
      </c>
    </row>
    <row r="754" spans="1:6" x14ac:dyDescent="0.3">
      <c r="A754" t="s">
        <v>148</v>
      </c>
      <c r="B754" t="s">
        <v>1923</v>
      </c>
      <c r="C754" t="s">
        <v>1924</v>
      </c>
      <c r="D754" t="s">
        <v>1434</v>
      </c>
      <c r="E754" t="s">
        <v>1423</v>
      </c>
      <c r="F754" t="s">
        <v>1424</v>
      </c>
    </row>
    <row r="755" spans="1:6" x14ac:dyDescent="0.3">
      <c r="A755" t="s">
        <v>1282</v>
      </c>
      <c r="B755" t="s">
        <v>1925</v>
      </c>
      <c r="C755" t="s">
        <v>1924</v>
      </c>
      <c r="D755" t="s">
        <v>1434</v>
      </c>
      <c r="E755" t="s">
        <v>1423</v>
      </c>
      <c r="F755" t="s">
        <v>1424</v>
      </c>
    </row>
    <row r="756" spans="1:6" x14ac:dyDescent="0.3">
      <c r="A756" t="s">
        <v>1281</v>
      </c>
      <c r="B756" t="s">
        <v>1926</v>
      </c>
      <c r="C756" t="s">
        <v>1924</v>
      </c>
      <c r="D756" t="s">
        <v>1434</v>
      </c>
      <c r="E756" t="s">
        <v>1423</v>
      </c>
      <c r="F756" t="s">
        <v>1424</v>
      </c>
    </row>
    <row r="757" spans="1:6" x14ac:dyDescent="0.3">
      <c r="A757" t="s">
        <v>1280</v>
      </c>
      <c r="B757" t="s">
        <v>751</v>
      </c>
      <c r="C757" t="s">
        <v>1924</v>
      </c>
      <c r="D757" t="s">
        <v>1434</v>
      </c>
      <c r="E757" t="s">
        <v>1423</v>
      </c>
      <c r="F757" t="s">
        <v>1424</v>
      </c>
    </row>
    <row r="758" spans="1:6" x14ac:dyDescent="0.3">
      <c r="A758" t="s">
        <v>146</v>
      </c>
      <c r="B758" t="s">
        <v>749</v>
      </c>
      <c r="C758" t="s">
        <v>1924</v>
      </c>
      <c r="D758" t="s">
        <v>1434</v>
      </c>
      <c r="E758" t="s">
        <v>1423</v>
      </c>
      <c r="F758" t="s">
        <v>1424</v>
      </c>
    </row>
    <row r="759" spans="1:6" x14ac:dyDescent="0.3">
      <c r="A759" t="s">
        <v>147</v>
      </c>
      <c r="B759" t="s">
        <v>750</v>
      </c>
      <c r="C759" t="s">
        <v>1924</v>
      </c>
      <c r="D759" t="s">
        <v>1434</v>
      </c>
      <c r="E759" t="s">
        <v>1423</v>
      </c>
      <c r="F759" t="s">
        <v>1424</v>
      </c>
    </row>
    <row r="760" spans="1:6" x14ac:dyDescent="0.3">
      <c r="A760" t="s">
        <v>1279</v>
      </c>
      <c r="B760" t="s">
        <v>748</v>
      </c>
      <c r="C760" t="s">
        <v>1924</v>
      </c>
      <c r="D760" t="s">
        <v>1434</v>
      </c>
      <c r="E760" t="s">
        <v>1423</v>
      </c>
      <c r="F760" t="s">
        <v>1424</v>
      </c>
    </row>
    <row r="761" spans="1:6" x14ac:dyDescent="0.3">
      <c r="A761" t="s">
        <v>145</v>
      </c>
      <c r="B761" t="s">
        <v>747</v>
      </c>
      <c r="C761" t="s">
        <v>1924</v>
      </c>
      <c r="D761" t="s">
        <v>1434</v>
      </c>
      <c r="E761" t="s">
        <v>1423</v>
      </c>
      <c r="F761" t="s">
        <v>1424</v>
      </c>
    </row>
    <row r="762" spans="1:6" x14ac:dyDescent="0.3">
      <c r="A762" t="s">
        <v>1257</v>
      </c>
      <c r="B762" t="s">
        <v>1927</v>
      </c>
      <c r="C762" t="s">
        <v>1928</v>
      </c>
      <c r="D762" t="s">
        <v>1434</v>
      </c>
      <c r="E762" t="s">
        <v>1423</v>
      </c>
      <c r="F762" t="s">
        <v>1424</v>
      </c>
    </row>
    <row r="763" spans="1:6" x14ac:dyDescent="0.3">
      <c r="A763" t="s">
        <v>151</v>
      </c>
      <c r="B763" t="s">
        <v>755</v>
      </c>
      <c r="C763" t="s">
        <v>1928</v>
      </c>
      <c r="D763" t="s">
        <v>1434</v>
      </c>
      <c r="E763" t="s">
        <v>1423</v>
      </c>
      <c r="F763" t="s">
        <v>1424</v>
      </c>
    </row>
    <row r="764" spans="1:6" x14ac:dyDescent="0.3">
      <c r="A764" t="s">
        <v>150</v>
      </c>
      <c r="B764" t="s">
        <v>754</v>
      </c>
      <c r="C764" t="s">
        <v>1928</v>
      </c>
      <c r="D764" t="s">
        <v>1434</v>
      </c>
      <c r="E764" t="s">
        <v>1423</v>
      </c>
      <c r="F764" t="s">
        <v>1424</v>
      </c>
    </row>
    <row r="765" spans="1:6" x14ac:dyDescent="0.3">
      <c r="A765" t="s">
        <v>149</v>
      </c>
      <c r="B765" t="s">
        <v>753</v>
      </c>
      <c r="C765" t="s">
        <v>1928</v>
      </c>
      <c r="D765" t="s">
        <v>1434</v>
      </c>
      <c r="E765" t="s">
        <v>1423</v>
      </c>
      <c r="F765" t="s">
        <v>1424</v>
      </c>
    </row>
    <row r="766" spans="1:6" x14ac:dyDescent="0.3">
      <c r="A766" t="s">
        <v>1929</v>
      </c>
      <c r="B766" t="s">
        <v>752</v>
      </c>
      <c r="C766" t="s">
        <v>1928</v>
      </c>
      <c r="D766" t="s">
        <v>1434</v>
      </c>
      <c r="E766" t="s">
        <v>1423</v>
      </c>
      <c r="F766" t="s">
        <v>1424</v>
      </c>
    </row>
    <row r="767" spans="1:6" x14ac:dyDescent="0.3">
      <c r="A767" t="s">
        <v>154</v>
      </c>
      <c r="B767" t="s">
        <v>758</v>
      </c>
      <c r="C767" t="s">
        <v>1930</v>
      </c>
      <c r="D767" t="s">
        <v>1434</v>
      </c>
      <c r="E767" t="s">
        <v>1423</v>
      </c>
      <c r="F767" t="s">
        <v>1424</v>
      </c>
    </row>
    <row r="768" spans="1:6" x14ac:dyDescent="0.3">
      <c r="A768" t="s">
        <v>155</v>
      </c>
      <c r="B768" t="s">
        <v>759</v>
      </c>
      <c r="C768" t="s">
        <v>1930</v>
      </c>
      <c r="D768" t="s">
        <v>1434</v>
      </c>
      <c r="E768" t="s">
        <v>1423</v>
      </c>
      <c r="F768" t="s">
        <v>1424</v>
      </c>
    </row>
    <row r="769" spans="1:6" x14ac:dyDescent="0.3">
      <c r="A769" t="s">
        <v>153</v>
      </c>
      <c r="B769" t="s">
        <v>757</v>
      </c>
      <c r="C769" t="s">
        <v>1930</v>
      </c>
      <c r="D769" t="s">
        <v>1434</v>
      </c>
      <c r="E769" t="s">
        <v>1423</v>
      </c>
      <c r="F769" t="s">
        <v>1424</v>
      </c>
    </row>
    <row r="770" spans="1:6" x14ac:dyDescent="0.3">
      <c r="A770" t="s">
        <v>152</v>
      </c>
      <c r="B770" t="s">
        <v>756</v>
      </c>
      <c r="C770" t="s">
        <v>1930</v>
      </c>
      <c r="D770" t="s">
        <v>1434</v>
      </c>
      <c r="E770" t="s">
        <v>1423</v>
      </c>
      <c r="F770" t="s">
        <v>1424</v>
      </c>
    </row>
    <row r="771" spans="1:6" x14ac:dyDescent="0.3">
      <c r="A771" t="s">
        <v>212</v>
      </c>
      <c r="B771" t="s">
        <v>819</v>
      </c>
      <c r="C771" t="s">
        <v>1931</v>
      </c>
      <c r="D771" t="s">
        <v>1439</v>
      </c>
      <c r="E771" t="s">
        <v>1420</v>
      </c>
      <c r="F771" t="s">
        <v>1421</v>
      </c>
    </row>
    <row r="772" spans="1:6" x14ac:dyDescent="0.3">
      <c r="A772" t="s">
        <v>213</v>
      </c>
      <c r="B772" t="s">
        <v>820</v>
      </c>
      <c r="C772" t="s">
        <v>1931</v>
      </c>
      <c r="D772" t="s">
        <v>1439</v>
      </c>
      <c r="E772" t="s">
        <v>1420</v>
      </c>
      <c r="F772" t="s">
        <v>1421</v>
      </c>
    </row>
    <row r="773" spans="1:6" x14ac:dyDescent="0.3">
      <c r="A773" t="s">
        <v>211</v>
      </c>
      <c r="B773" t="s">
        <v>818</v>
      </c>
      <c r="C773" t="s">
        <v>1931</v>
      </c>
      <c r="D773" t="s">
        <v>1439</v>
      </c>
      <c r="E773" t="s">
        <v>1420</v>
      </c>
      <c r="F773" t="s">
        <v>1421</v>
      </c>
    </row>
    <row r="774" spans="1:6" x14ac:dyDescent="0.3">
      <c r="A774" t="s">
        <v>210</v>
      </c>
      <c r="B774" t="s">
        <v>817</v>
      </c>
      <c r="C774" t="s">
        <v>1931</v>
      </c>
      <c r="D774" t="s">
        <v>1439</v>
      </c>
      <c r="E774" t="s">
        <v>1420</v>
      </c>
      <c r="F774" t="s">
        <v>1421</v>
      </c>
    </row>
    <row r="775" spans="1:6" x14ac:dyDescent="0.3">
      <c r="A775" t="s">
        <v>216</v>
      </c>
      <c r="B775" t="s">
        <v>823</v>
      </c>
      <c r="C775" t="s">
        <v>1931</v>
      </c>
      <c r="D775" t="s">
        <v>1439</v>
      </c>
      <c r="E775" t="s">
        <v>1420</v>
      </c>
      <c r="F775" t="s">
        <v>1421</v>
      </c>
    </row>
    <row r="776" spans="1:6" x14ac:dyDescent="0.3">
      <c r="A776" t="s">
        <v>217</v>
      </c>
      <c r="B776" t="s">
        <v>824</v>
      </c>
      <c r="C776" t="s">
        <v>1931</v>
      </c>
      <c r="D776" t="s">
        <v>1439</v>
      </c>
      <c r="E776" t="s">
        <v>1420</v>
      </c>
      <c r="F776" t="s">
        <v>1421</v>
      </c>
    </row>
    <row r="777" spans="1:6" x14ac:dyDescent="0.3">
      <c r="A777" t="s">
        <v>215</v>
      </c>
      <c r="B777" t="s">
        <v>822</v>
      </c>
      <c r="C777" t="s">
        <v>1931</v>
      </c>
      <c r="D777" t="s">
        <v>1439</v>
      </c>
      <c r="E777" t="s">
        <v>1420</v>
      </c>
      <c r="F777" t="s">
        <v>1421</v>
      </c>
    </row>
    <row r="778" spans="1:6" x14ac:dyDescent="0.3">
      <c r="A778" t="s">
        <v>214</v>
      </c>
      <c r="B778" t="s">
        <v>821</v>
      </c>
      <c r="C778" t="s">
        <v>1931</v>
      </c>
      <c r="D778" t="s">
        <v>1439</v>
      </c>
      <c r="E778" t="s">
        <v>1420</v>
      </c>
      <c r="F778" t="s">
        <v>1421</v>
      </c>
    </row>
    <row r="779" spans="1:6" x14ac:dyDescent="0.3">
      <c r="A779" t="s">
        <v>245</v>
      </c>
      <c r="B779" t="s">
        <v>867</v>
      </c>
      <c r="C779" t="s">
        <v>1932</v>
      </c>
      <c r="D779" t="s">
        <v>1437</v>
      </c>
      <c r="E779" t="s">
        <v>1420</v>
      </c>
      <c r="F779" t="s">
        <v>1421</v>
      </c>
    </row>
    <row r="780" spans="1:6" x14ac:dyDescent="0.3">
      <c r="A780" t="s">
        <v>246</v>
      </c>
      <c r="B780" t="s">
        <v>868</v>
      </c>
      <c r="C780" t="s">
        <v>1932</v>
      </c>
      <c r="D780" t="s">
        <v>1437</v>
      </c>
      <c r="E780" t="s">
        <v>1420</v>
      </c>
      <c r="F780" t="s">
        <v>1421</v>
      </c>
    </row>
    <row r="781" spans="1:6" x14ac:dyDescent="0.3">
      <c r="A781" t="s">
        <v>244</v>
      </c>
      <c r="B781" t="s">
        <v>866</v>
      </c>
      <c r="C781" t="s">
        <v>1932</v>
      </c>
      <c r="D781" t="s">
        <v>1437</v>
      </c>
      <c r="E781" t="s">
        <v>1420</v>
      </c>
      <c r="F781" t="s">
        <v>1421</v>
      </c>
    </row>
    <row r="782" spans="1:6" x14ac:dyDescent="0.3">
      <c r="A782" t="s">
        <v>243</v>
      </c>
      <c r="B782" t="s">
        <v>865</v>
      </c>
      <c r="C782" t="s">
        <v>1932</v>
      </c>
      <c r="D782" t="s">
        <v>1437</v>
      </c>
      <c r="E782" t="s">
        <v>1420</v>
      </c>
      <c r="F782" t="s">
        <v>1421</v>
      </c>
    </row>
    <row r="783" spans="1:6" x14ac:dyDescent="0.3">
      <c r="A783" t="s">
        <v>306</v>
      </c>
      <c r="B783" t="s">
        <v>960</v>
      </c>
      <c r="C783" t="s">
        <v>1933</v>
      </c>
      <c r="D783" t="s">
        <v>1429</v>
      </c>
      <c r="E783" t="s">
        <v>1420</v>
      </c>
      <c r="F783" t="s">
        <v>1421</v>
      </c>
    </row>
    <row r="784" spans="1:6" x14ac:dyDescent="0.3">
      <c r="A784" t="s">
        <v>307</v>
      </c>
      <c r="B784" t="s">
        <v>961</v>
      </c>
      <c r="C784" t="s">
        <v>1933</v>
      </c>
      <c r="D784" t="s">
        <v>1429</v>
      </c>
      <c r="E784" t="s">
        <v>1420</v>
      </c>
      <c r="F784" t="s">
        <v>1421</v>
      </c>
    </row>
    <row r="785" spans="1:6" x14ac:dyDescent="0.3">
      <c r="A785" t="s">
        <v>305</v>
      </c>
      <c r="B785" t="s">
        <v>959</v>
      </c>
      <c r="C785" t="s">
        <v>1933</v>
      </c>
      <c r="D785" t="s">
        <v>1429</v>
      </c>
      <c r="E785" t="s">
        <v>1420</v>
      </c>
      <c r="F785" t="s">
        <v>1421</v>
      </c>
    </row>
    <row r="786" spans="1:6" x14ac:dyDescent="0.3">
      <c r="A786" t="s">
        <v>304</v>
      </c>
      <c r="B786" t="s">
        <v>958</v>
      </c>
      <c r="C786" t="s">
        <v>1933</v>
      </c>
      <c r="D786" t="s">
        <v>1429</v>
      </c>
      <c r="E786" t="s">
        <v>1420</v>
      </c>
      <c r="F786" t="s">
        <v>1421</v>
      </c>
    </row>
    <row r="787" spans="1:6" x14ac:dyDescent="0.3">
      <c r="A787" t="s">
        <v>310</v>
      </c>
      <c r="B787" t="s">
        <v>964</v>
      </c>
      <c r="C787" t="s">
        <v>1933</v>
      </c>
      <c r="D787" t="s">
        <v>1429</v>
      </c>
      <c r="E787" t="s">
        <v>1420</v>
      </c>
      <c r="F787" t="s">
        <v>1421</v>
      </c>
    </row>
    <row r="788" spans="1:6" x14ac:dyDescent="0.3">
      <c r="A788" t="s">
        <v>311</v>
      </c>
      <c r="B788" t="s">
        <v>965</v>
      </c>
      <c r="C788" t="s">
        <v>1933</v>
      </c>
      <c r="D788" t="s">
        <v>1429</v>
      </c>
      <c r="E788" t="s">
        <v>1420</v>
      </c>
      <c r="F788" t="s">
        <v>1421</v>
      </c>
    </row>
    <row r="789" spans="1:6" x14ac:dyDescent="0.3">
      <c r="A789" t="s">
        <v>309</v>
      </c>
      <c r="B789" t="s">
        <v>963</v>
      </c>
      <c r="C789" t="s">
        <v>1933</v>
      </c>
      <c r="D789" t="s">
        <v>1429</v>
      </c>
      <c r="E789" t="s">
        <v>1420</v>
      </c>
      <c r="F789" t="s">
        <v>1421</v>
      </c>
    </row>
    <row r="790" spans="1:6" x14ac:dyDescent="0.3">
      <c r="A790" t="s">
        <v>308</v>
      </c>
      <c r="B790" t="s">
        <v>962</v>
      </c>
      <c r="C790" t="s">
        <v>1933</v>
      </c>
      <c r="D790" t="s">
        <v>1429</v>
      </c>
      <c r="E790" t="s">
        <v>1420</v>
      </c>
      <c r="F790" t="s">
        <v>1421</v>
      </c>
    </row>
    <row r="791" spans="1:6" x14ac:dyDescent="0.3">
      <c r="A791" t="s">
        <v>348</v>
      </c>
      <c r="B791" t="s">
        <v>1016</v>
      </c>
      <c r="C791" t="s">
        <v>1934</v>
      </c>
      <c r="D791" t="s">
        <v>1429</v>
      </c>
      <c r="E791" t="s">
        <v>1423</v>
      </c>
      <c r="F791" t="s">
        <v>1421</v>
      </c>
    </row>
    <row r="792" spans="1:6" x14ac:dyDescent="0.3">
      <c r="A792" t="s">
        <v>347</v>
      </c>
      <c r="B792" t="s">
        <v>1015</v>
      </c>
      <c r="C792" t="s">
        <v>1934</v>
      </c>
      <c r="D792" t="s">
        <v>1429</v>
      </c>
      <c r="E792" t="s">
        <v>1423</v>
      </c>
      <c r="F792" t="s">
        <v>1421</v>
      </c>
    </row>
    <row r="793" spans="1:6" x14ac:dyDescent="0.3">
      <c r="A793" t="s">
        <v>346</v>
      </c>
      <c r="B793" t="s">
        <v>1014</v>
      </c>
      <c r="C793" t="s">
        <v>1934</v>
      </c>
      <c r="D793" t="s">
        <v>1429</v>
      </c>
      <c r="E793" t="s">
        <v>1423</v>
      </c>
      <c r="F793" t="s">
        <v>1421</v>
      </c>
    </row>
    <row r="794" spans="1:6" x14ac:dyDescent="0.3">
      <c r="A794" t="s">
        <v>351</v>
      </c>
      <c r="B794" t="s">
        <v>1019</v>
      </c>
      <c r="C794" t="s">
        <v>1934</v>
      </c>
      <c r="D794" t="s">
        <v>1429</v>
      </c>
      <c r="E794" t="s">
        <v>1423</v>
      </c>
      <c r="F794" t="s">
        <v>1421</v>
      </c>
    </row>
    <row r="795" spans="1:6" x14ac:dyDescent="0.3">
      <c r="A795" t="s">
        <v>350</v>
      </c>
      <c r="B795" t="s">
        <v>1018</v>
      </c>
      <c r="C795" t="s">
        <v>1934</v>
      </c>
      <c r="D795" t="s">
        <v>1429</v>
      </c>
      <c r="E795" t="s">
        <v>1423</v>
      </c>
      <c r="F795" t="s">
        <v>1421</v>
      </c>
    </row>
    <row r="796" spans="1:6" x14ac:dyDescent="0.3">
      <c r="A796" t="s">
        <v>349</v>
      </c>
      <c r="B796" t="s">
        <v>1017</v>
      </c>
      <c r="C796" t="s">
        <v>1934</v>
      </c>
      <c r="D796" t="s">
        <v>1429</v>
      </c>
      <c r="E796" t="s">
        <v>1423</v>
      </c>
      <c r="F796" t="s">
        <v>1421</v>
      </c>
    </row>
    <row r="797" spans="1:6" x14ac:dyDescent="0.3">
      <c r="A797" t="s">
        <v>354</v>
      </c>
      <c r="B797" t="s">
        <v>1021</v>
      </c>
      <c r="C797" t="s">
        <v>1935</v>
      </c>
      <c r="D797" t="s">
        <v>1429</v>
      </c>
      <c r="E797" t="s">
        <v>1420</v>
      </c>
      <c r="F797" t="s">
        <v>1421</v>
      </c>
    </row>
    <row r="798" spans="1:6" x14ac:dyDescent="0.3">
      <c r="A798" t="s">
        <v>355</v>
      </c>
      <c r="B798" t="s">
        <v>1022</v>
      </c>
      <c r="C798" t="s">
        <v>1935</v>
      </c>
      <c r="D798" t="s">
        <v>1429</v>
      </c>
      <c r="E798" t="s">
        <v>1420</v>
      </c>
      <c r="F798" t="s">
        <v>1421</v>
      </c>
    </row>
    <row r="799" spans="1:6" x14ac:dyDescent="0.3">
      <c r="A799" t="s">
        <v>353</v>
      </c>
      <c r="B799" t="s">
        <v>1936</v>
      </c>
      <c r="C799" t="s">
        <v>1935</v>
      </c>
      <c r="D799" t="s">
        <v>1429</v>
      </c>
      <c r="E799" t="s">
        <v>1420</v>
      </c>
      <c r="F799" t="s">
        <v>1421</v>
      </c>
    </row>
    <row r="800" spans="1:6" x14ac:dyDescent="0.3">
      <c r="A800" t="s">
        <v>352</v>
      </c>
      <c r="B800" t="s">
        <v>1020</v>
      </c>
      <c r="C800" t="s">
        <v>1935</v>
      </c>
      <c r="D800" t="s">
        <v>1429</v>
      </c>
      <c r="E800" t="s">
        <v>1420</v>
      </c>
      <c r="F800" t="s">
        <v>1421</v>
      </c>
    </row>
    <row r="801" spans="1:6" x14ac:dyDescent="0.3">
      <c r="A801" t="s">
        <v>362</v>
      </c>
      <c r="B801" t="s">
        <v>1027</v>
      </c>
      <c r="C801" t="s">
        <v>1935</v>
      </c>
      <c r="D801" t="s">
        <v>1429</v>
      </c>
      <c r="E801" t="s">
        <v>1420</v>
      </c>
      <c r="F801" t="s">
        <v>1421</v>
      </c>
    </row>
    <row r="802" spans="1:6" x14ac:dyDescent="0.3">
      <c r="A802" t="s">
        <v>363</v>
      </c>
      <c r="B802" t="s">
        <v>1028</v>
      </c>
      <c r="C802" t="s">
        <v>1935</v>
      </c>
      <c r="D802" t="s">
        <v>1429</v>
      </c>
      <c r="E802" t="s">
        <v>1420</v>
      </c>
      <c r="F802" t="s">
        <v>1421</v>
      </c>
    </row>
    <row r="803" spans="1:6" x14ac:dyDescent="0.3">
      <c r="A803" t="s">
        <v>361</v>
      </c>
      <c r="B803" t="s">
        <v>1026</v>
      </c>
      <c r="C803" t="s">
        <v>1935</v>
      </c>
      <c r="D803" t="s">
        <v>1429</v>
      </c>
      <c r="E803" t="s">
        <v>1420</v>
      </c>
      <c r="F803" t="s">
        <v>1421</v>
      </c>
    </row>
    <row r="804" spans="1:6" x14ac:dyDescent="0.3">
      <c r="A804" t="s">
        <v>360</v>
      </c>
      <c r="B804" t="s">
        <v>1025</v>
      </c>
      <c r="C804" t="s">
        <v>1935</v>
      </c>
      <c r="D804" t="s">
        <v>1429</v>
      </c>
      <c r="E804" t="s">
        <v>1420</v>
      </c>
      <c r="F804" t="s">
        <v>1421</v>
      </c>
    </row>
    <row r="805" spans="1:6" x14ac:dyDescent="0.3">
      <c r="A805" t="s">
        <v>358</v>
      </c>
      <c r="B805" t="s">
        <v>1024</v>
      </c>
      <c r="C805" t="s">
        <v>1935</v>
      </c>
      <c r="D805" t="s">
        <v>1429</v>
      </c>
      <c r="E805" t="s">
        <v>1420</v>
      </c>
      <c r="F805" t="s">
        <v>1421</v>
      </c>
    </row>
    <row r="806" spans="1:6" x14ac:dyDescent="0.3">
      <c r="A806" t="s">
        <v>359</v>
      </c>
      <c r="B806" t="s">
        <v>1937</v>
      </c>
      <c r="C806" t="s">
        <v>1935</v>
      </c>
      <c r="D806" t="s">
        <v>1429</v>
      </c>
      <c r="E806" t="s">
        <v>1420</v>
      </c>
      <c r="F806" t="s">
        <v>1421</v>
      </c>
    </row>
    <row r="807" spans="1:6" x14ac:dyDescent="0.3">
      <c r="A807" t="s">
        <v>357</v>
      </c>
      <c r="B807" t="s">
        <v>1938</v>
      </c>
      <c r="C807" t="s">
        <v>1935</v>
      </c>
      <c r="D807" t="s">
        <v>1429</v>
      </c>
      <c r="E807" t="s">
        <v>1420</v>
      </c>
      <c r="F807" t="s">
        <v>1421</v>
      </c>
    </row>
    <row r="808" spans="1:6" x14ac:dyDescent="0.3">
      <c r="A808" t="s">
        <v>356</v>
      </c>
      <c r="B808" t="s">
        <v>1023</v>
      </c>
      <c r="C808" t="s">
        <v>1935</v>
      </c>
      <c r="D808" t="s">
        <v>1429</v>
      </c>
      <c r="E808" t="s">
        <v>1420</v>
      </c>
      <c r="F808" t="s">
        <v>1421</v>
      </c>
    </row>
    <row r="809" spans="1:6" x14ac:dyDescent="0.3">
      <c r="A809" t="s">
        <v>405</v>
      </c>
      <c r="B809" t="s">
        <v>1086</v>
      </c>
      <c r="C809" t="s">
        <v>1939</v>
      </c>
      <c r="D809" t="s">
        <v>1429</v>
      </c>
      <c r="E809" t="s">
        <v>1420</v>
      </c>
      <c r="F809" t="s">
        <v>1421</v>
      </c>
    </row>
    <row r="810" spans="1:6" x14ac:dyDescent="0.3">
      <c r="A810" t="s">
        <v>1265</v>
      </c>
      <c r="B810" t="s">
        <v>1085</v>
      </c>
      <c r="C810" t="s">
        <v>1939</v>
      </c>
      <c r="D810" t="s">
        <v>1429</v>
      </c>
      <c r="E810" t="s">
        <v>1420</v>
      </c>
      <c r="F810" t="s">
        <v>1421</v>
      </c>
    </row>
    <row r="811" spans="1:6" x14ac:dyDescent="0.3">
      <c r="A811" t="s">
        <v>404</v>
      </c>
      <c r="B811" t="s">
        <v>1084</v>
      </c>
      <c r="C811" t="s">
        <v>1939</v>
      </c>
      <c r="D811" t="s">
        <v>1429</v>
      </c>
      <c r="E811" t="s">
        <v>1420</v>
      </c>
      <c r="F811" t="s">
        <v>1421</v>
      </c>
    </row>
    <row r="812" spans="1:6" x14ac:dyDescent="0.3">
      <c r="A812" t="s">
        <v>1302</v>
      </c>
      <c r="B812" t="s">
        <v>529</v>
      </c>
      <c r="C812" t="s">
        <v>1940</v>
      </c>
      <c r="D812" t="s">
        <v>1941</v>
      </c>
      <c r="E812" t="s">
        <v>1942</v>
      </c>
      <c r="F812" t="s">
        <v>1424</v>
      </c>
    </row>
    <row r="813" spans="1:6" x14ac:dyDescent="0.3">
      <c r="A813" t="s">
        <v>1943</v>
      </c>
      <c r="B813" t="s">
        <v>1944</v>
      </c>
      <c r="C813" t="s">
        <v>1940</v>
      </c>
      <c r="D813" t="s">
        <v>1941</v>
      </c>
      <c r="E813" t="s">
        <v>1942</v>
      </c>
      <c r="F813" t="s">
        <v>1424</v>
      </c>
    </row>
    <row r="814" spans="1:6" x14ac:dyDescent="0.3">
      <c r="A814" t="s">
        <v>1945</v>
      </c>
      <c r="B814" t="s">
        <v>1946</v>
      </c>
      <c r="C814" t="s">
        <v>1940</v>
      </c>
      <c r="D814" t="s">
        <v>1941</v>
      </c>
      <c r="E814" t="s">
        <v>1942</v>
      </c>
      <c r="F814" t="s">
        <v>1424</v>
      </c>
    </row>
    <row r="815" spans="1:6" x14ac:dyDescent="0.3">
      <c r="A815" t="s">
        <v>8</v>
      </c>
      <c r="B815" t="s">
        <v>1947</v>
      </c>
      <c r="C815" t="s">
        <v>1940</v>
      </c>
      <c r="D815" t="s">
        <v>1941</v>
      </c>
      <c r="E815" t="s">
        <v>1942</v>
      </c>
      <c r="F815" t="s">
        <v>1424</v>
      </c>
    </row>
    <row r="816" spans="1:6" x14ac:dyDescent="0.3">
      <c r="A816" t="s">
        <v>1948</v>
      </c>
      <c r="B816" t="s">
        <v>534</v>
      </c>
      <c r="C816" t="s">
        <v>1949</v>
      </c>
      <c r="D816" t="s">
        <v>1941</v>
      </c>
      <c r="E816" t="s">
        <v>1942</v>
      </c>
      <c r="F816" t="s">
        <v>1424</v>
      </c>
    </row>
    <row r="817" spans="1:6" x14ac:dyDescent="0.3">
      <c r="A817" t="s">
        <v>1950</v>
      </c>
      <c r="B817" t="s">
        <v>1951</v>
      </c>
      <c r="C817" t="s">
        <v>1949</v>
      </c>
      <c r="D817" t="s">
        <v>1941</v>
      </c>
      <c r="E817" t="s">
        <v>1942</v>
      </c>
      <c r="F817" t="s">
        <v>1424</v>
      </c>
    </row>
    <row r="818" spans="1:6" x14ac:dyDescent="0.3">
      <c r="A818" t="s">
        <v>1952</v>
      </c>
      <c r="B818" t="s">
        <v>535</v>
      </c>
      <c r="C818" t="s">
        <v>1949</v>
      </c>
      <c r="D818" t="s">
        <v>1941</v>
      </c>
      <c r="E818" t="s">
        <v>1942</v>
      </c>
      <c r="F818" t="s">
        <v>1424</v>
      </c>
    </row>
    <row r="819" spans="1:6" x14ac:dyDescent="0.3">
      <c r="A819" t="s">
        <v>1953</v>
      </c>
      <c r="B819" t="s">
        <v>1954</v>
      </c>
      <c r="C819" t="s">
        <v>1949</v>
      </c>
      <c r="D819" t="s">
        <v>1941</v>
      </c>
      <c r="E819" t="s">
        <v>1942</v>
      </c>
      <c r="F819" t="s">
        <v>1424</v>
      </c>
    </row>
    <row r="820" spans="1:6" x14ac:dyDescent="0.3">
      <c r="A820" t="s">
        <v>1955</v>
      </c>
      <c r="B820" t="s">
        <v>536</v>
      </c>
      <c r="C820" t="s">
        <v>1949</v>
      </c>
      <c r="D820" t="s">
        <v>1941</v>
      </c>
      <c r="E820" t="s">
        <v>1942</v>
      </c>
      <c r="F820" t="s">
        <v>1424</v>
      </c>
    </row>
    <row r="821" spans="1:6" x14ac:dyDescent="0.3">
      <c r="A821" t="s">
        <v>1956</v>
      </c>
      <c r="B821" t="s">
        <v>530</v>
      </c>
      <c r="C821" t="s">
        <v>1949</v>
      </c>
      <c r="D821" t="s">
        <v>1941</v>
      </c>
      <c r="E821" t="s">
        <v>1942</v>
      </c>
      <c r="F821" t="s">
        <v>1424</v>
      </c>
    </row>
    <row r="822" spans="1:6" x14ac:dyDescent="0.3">
      <c r="A822" t="s">
        <v>1957</v>
      </c>
      <c r="B822" t="s">
        <v>531</v>
      </c>
      <c r="C822" t="s">
        <v>1949</v>
      </c>
      <c r="D822" t="s">
        <v>1941</v>
      </c>
      <c r="E822" t="s">
        <v>1942</v>
      </c>
      <c r="F822" t="s">
        <v>1424</v>
      </c>
    </row>
    <row r="823" spans="1:6" x14ac:dyDescent="0.3">
      <c r="A823" t="s">
        <v>1958</v>
      </c>
      <c r="B823" t="s">
        <v>1959</v>
      </c>
      <c r="C823" t="s">
        <v>1949</v>
      </c>
      <c r="D823" t="s">
        <v>1941</v>
      </c>
      <c r="E823" t="s">
        <v>1942</v>
      </c>
      <c r="F823" t="s">
        <v>1424</v>
      </c>
    </row>
    <row r="824" spans="1:6" x14ac:dyDescent="0.3">
      <c r="A824" t="s">
        <v>1960</v>
      </c>
      <c r="B824" t="s">
        <v>532</v>
      </c>
      <c r="C824" t="s">
        <v>1949</v>
      </c>
      <c r="D824" t="s">
        <v>1941</v>
      </c>
      <c r="E824" t="s">
        <v>1942</v>
      </c>
      <c r="F824" t="s">
        <v>1424</v>
      </c>
    </row>
    <row r="825" spans="1:6" x14ac:dyDescent="0.3">
      <c r="A825" t="s">
        <v>1961</v>
      </c>
      <c r="B825" t="s">
        <v>533</v>
      </c>
      <c r="C825" t="s">
        <v>1949</v>
      </c>
      <c r="D825" t="s">
        <v>1941</v>
      </c>
      <c r="E825" t="s">
        <v>1942</v>
      </c>
      <c r="F825" t="s">
        <v>1424</v>
      </c>
    </row>
    <row r="826" spans="1:6" x14ac:dyDescent="0.3">
      <c r="A826" t="s">
        <v>11</v>
      </c>
      <c r="B826" t="s">
        <v>1962</v>
      </c>
      <c r="C826" t="s">
        <v>1963</v>
      </c>
      <c r="D826" t="s">
        <v>1941</v>
      </c>
      <c r="E826" t="s">
        <v>1942</v>
      </c>
      <c r="F826" t="s">
        <v>1424</v>
      </c>
    </row>
    <row r="827" spans="1:6" x14ac:dyDescent="0.3">
      <c r="A827" t="s">
        <v>1964</v>
      </c>
      <c r="B827" t="s">
        <v>1965</v>
      </c>
      <c r="C827" t="s">
        <v>1966</v>
      </c>
      <c r="D827" t="s">
        <v>1941</v>
      </c>
      <c r="E827" t="s">
        <v>1942</v>
      </c>
      <c r="F827" t="s">
        <v>1424</v>
      </c>
    </row>
    <row r="828" spans="1:6" x14ac:dyDescent="0.3">
      <c r="A828" t="s">
        <v>12</v>
      </c>
      <c r="B828" t="s">
        <v>1967</v>
      </c>
      <c r="C828" t="s">
        <v>1966</v>
      </c>
      <c r="D828" t="s">
        <v>1941</v>
      </c>
      <c r="E828" t="s">
        <v>1942</v>
      </c>
      <c r="F828" t="s">
        <v>1424</v>
      </c>
    </row>
    <row r="829" spans="1:6" x14ac:dyDescent="0.3">
      <c r="A829" t="s">
        <v>1322</v>
      </c>
      <c r="B829" t="s">
        <v>1968</v>
      </c>
      <c r="C829" t="s">
        <v>1966</v>
      </c>
      <c r="D829" t="s">
        <v>1941</v>
      </c>
      <c r="E829" t="s">
        <v>1942</v>
      </c>
      <c r="F829" t="s">
        <v>1424</v>
      </c>
    </row>
    <row r="830" spans="1:6" x14ac:dyDescent="0.3">
      <c r="A830" t="s">
        <v>13</v>
      </c>
      <c r="B830" t="s">
        <v>1969</v>
      </c>
      <c r="C830" t="s">
        <v>1966</v>
      </c>
      <c r="D830" t="s">
        <v>1941</v>
      </c>
      <c r="E830" t="s">
        <v>1942</v>
      </c>
      <c r="F830" t="s">
        <v>1424</v>
      </c>
    </row>
    <row r="831" spans="1:6" x14ac:dyDescent="0.3">
      <c r="A831" t="s">
        <v>14</v>
      </c>
      <c r="B831" t="s">
        <v>1970</v>
      </c>
      <c r="C831" t="s">
        <v>1966</v>
      </c>
      <c r="D831" t="s">
        <v>1941</v>
      </c>
      <c r="E831" t="s">
        <v>1942</v>
      </c>
      <c r="F831" t="s">
        <v>1424</v>
      </c>
    </row>
    <row r="832" spans="1:6" x14ac:dyDescent="0.3">
      <c r="A832" t="s">
        <v>15</v>
      </c>
      <c r="B832" t="s">
        <v>1971</v>
      </c>
      <c r="C832" t="s">
        <v>1966</v>
      </c>
      <c r="D832" t="s">
        <v>1941</v>
      </c>
      <c r="E832" t="s">
        <v>1942</v>
      </c>
      <c r="F832" t="s">
        <v>1424</v>
      </c>
    </row>
    <row r="833" spans="1:6" x14ac:dyDescent="0.3">
      <c r="A833" t="s">
        <v>16</v>
      </c>
      <c r="B833" t="s">
        <v>1972</v>
      </c>
      <c r="C833" t="s">
        <v>1966</v>
      </c>
      <c r="D833" t="s">
        <v>1941</v>
      </c>
      <c r="E833" t="s">
        <v>1942</v>
      </c>
      <c r="F833" t="s">
        <v>1424</v>
      </c>
    </row>
    <row r="834" spans="1:6" x14ac:dyDescent="0.3">
      <c r="A834" t="s">
        <v>1973</v>
      </c>
      <c r="B834" t="s">
        <v>1974</v>
      </c>
      <c r="C834" t="s">
        <v>1966</v>
      </c>
      <c r="D834" t="s">
        <v>1941</v>
      </c>
      <c r="E834" t="s">
        <v>1942</v>
      </c>
      <c r="F834" t="s">
        <v>1424</v>
      </c>
    </row>
    <row r="835" spans="1:6" x14ac:dyDescent="0.3">
      <c r="A835" t="s">
        <v>1975</v>
      </c>
      <c r="B835" t="s">
        <v>1976</v>
      </c>
      <c r="C835" t="s">
        <v>1977</v>
      </c>
      <c r="D835" t="s">
        <v>1941</v>
      </c>
      <c r="E835" t="s">
        <v>1942</v>
      </c>
      <c r="F835" t="s">
        <v>1424</v>
      </c>
    </row>
    <row r="836" spans="1:6" x14ac:dyDescent="0.3">
      <c r="A836" t="s">
        <v>1307</v>
      </c>
      <c r="B836" t="s">
        <v>537</v>
      </c>
      <c r="C836" t="s">
        <v>1977</v>
      </c>
      <c r="D836" t="s">
        <v>1941</v>
      </c>
      <c r="E836" t="s">
        <v>1942</v>
      </c>
      <c r="F836" t="s">
        <v>1424</v>
      </c>
    </row>
    <row r="837" spans="1:6" x14ac:dyDescent="0.3">
      <c r="A837" t="s">
        <v>1978</v>
      </c>
      <c r="B837" t="s">
        <v>1979</v>
      </c>
      <c r="C837" t="s">
        <v>1977</v>
      </c>
      <c r="D837" t="s">
        <v>1941</v>
      </c>
      <c r="E837" t="s">
        <v>1942</v>
      </c>
      <c r="F837" t="s">
        <v>1424</v>
      </c>
    </row>
    <row r="838" spans="1:6" x14ac:dyDescent="0.3">
      <c r="A838" t="s">
        <v>1247</v>
      </c>
      <c r="B838" t="s">
        <v>1980</v>
      </c>
      <c r="C838" t="s">
        <v>1977</v>
      </c>
      <c r="D838" t="s">
        <v>1941</v>
      </c>
      <c r="E838" t="s">
        <v>1942</v>
      </c>
      <c r="F838" t="s">
        <v>1424</v>
      </c>
    </row>
    <row r="839" spans="1:6" x14ac:dyDescent="0.3">
      <c r="A839" t="s">
        <v>1308</v>
      </c>
      <c r="B839" t="s">
        <v>538</v>
      </c>
      <c r="C839" t="s">
        <v>1977</v>
      </c>
      <c r="D839" t="s">
        <v>1941</v>
      </c>
      <c r="E839" t="s">
        <v>1942</v>
      </c>
      <c r="F839" t="s">
        <v>1424</v>
      </c>
    </row>
    <row r="840" spans="1:6" x14ac:dyDescent="0.3">
      <c r="A840" t="s">
        <v>1309</v>
      </c>
      <c r="B840" t="s">
        <v>539</v>
      </c>
      <c r="C840" t="s">
        <v>1977</v>
      </c>
      <c r="D840" t="s">
        <v>1941</v>
      </c>
      <c r="E840" t="s">
        <v>1942</v>
      </c>
      <c r="F840" t="s">
        <v>1424</v>
      </c>
    </row>
    <row r="841" spans="1:6" x14ac:dyDescent="0.3">
      <c r="A841" t="s">
        <v>1981</v>
      </c>
      <c r="B841" t="s">
        <v>1982</v>
      </c>
      <c r="C841" t="s">
        <v>1977</v>
      </c>
      <c r="D841" t="s">
        <v>1941</v>
      </c>
      <c r="E841" t="s">
        <v>1942</v>
      </c>
      <c r="F841" t="s">
        <v>1424</v>
      </c>
    </row>
    <row r="842" spans="1:6" x14ac:dyDescent="0.3">
      <c r="A842" t="s">
        <v>1983</v>
      </c>
      <c r="B842" t="s">
        <v>1984</v>
      </c>
      <c r="C842" t="s">
        <v>1977</v>
      </c>
      <c r="D842" t="s">
        <v>1941</v>
      </c>
      <c r="E842" t="s">
        <v>1942</v>
      </c>
      <c r="F842" t="s">
        <v>1424</v>
      </c>
    </row>
    <row r="843" spans="1:6" x14ac:dyDescent="0.3">
      <c r="A843" t="s">
        <v>1985</v>
      </c>
      <c r="B843" t="s">
        <v>1986</v>
      </c>
      <c r="C843" t="s">
        <v>1977</v>
      </c>
      <c r="D843" t="s">
        <v>1941</v>
      </c>
      <c r="E843" t="s">
        <v>1942</v>
      </c>
      <c r="F843" t="s">
        <v>1424</v>
      </c>
    </row>
    <row r="844" spans="1:6" x14ac:dyDescent="0.3">
      <c r="A844" t="s">
        <v>1987</v>
      </c>
      <c r="B844" t="s">
        <v>1988</v>
      </c>
      <c r="C844" t="s">
        <v>1977</v>
      </c>
      <c r="D844" t="s">
        <v>1941</v>
      </c>
      <c r="E844" t="s">
        <v>1942</v>
      </c>
      <c r="F844" t="s">
        <v>1424</v>
      </c>
    </row>
    <row r="845" spans="1:6" x14ac:dyDescent="0.3">
      <c r="A845" t="s">
        <v>1989</v>
      </c>
      <c r="B845" t="s">
        <v>1990</v>
      </c>
      <c r="C845" t="s">
        <v>1977</v>
      </c>
      <c r="D845" t="s">
        <v>1941</v>
      </c>
      <c r="E845" t="s">
        <v>1942</v>
      </c>
      <c r="F845" t="s">
        <v>1424</v>
      </c>
    </row>
    <row r="846" spans="1:6" x14ac:dyDescent="0.3">
      <c r="A846" t="s">
        <v>1323</v>
      </c>
      <c r="B846" t="s">
        <v>1991</v>
      </c>
      <c r="C846" t="s">
        <v>1977</v>
      </c>
      <c r="D846" t="s">
        <v>1941</v>
      </c>
      <c r="E846" t="s">
        <v>1942</v>
      </c>
      <c r="F846" t="s">
        <v>1424</v>
      </c>
    </row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71676B2CB3044BA809445BC2B77AFE" ma:contentTypeVersion="9" ma:contentTypeDescription="Create a new document." ma:contentTypeScope="" ma:versionID="6dc960e957a45b1116b0c060c2b0b64a">
  <xsd:schema xmlns:xsd="http://www.w3.org/2001/XMLSchema" xmlns:xs="http://www.w3.org/2001/XMLSchema" xmlns:p="http://schemas.microsoft.com/office/2006/metadata/properties" xmlns:ns3="aef129fd-5fe1-4b17-8133-7e327db7961e" targetNamespace="http://schemas.microsoft.com/office/2006/metadata/properties" ma:root="true" ma:fieldsID="f1604cb84108b9384f1b8d87834c7353" ns3:_="">
    <xsd:import namespace="aef129fd-5fe1-4b17-8133-7e327db7961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129fd-5fe1-4b17-8133-7e327db7961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f129fd-5fe1-4b17-8133-7e327db7961e" xsi:nil="true"/>
  </documentManagement>
</p:properties>
</file>

<file path=customXml/itemProps1.xml><?xml version="1.0" encoding="utf-8"?>
<ds:datastoreItem xmlns:ds="http://schemas.openxmlformats.org/officeDocument/2006/customXml" ds:itemID="{2F7619CA-B76B-42ED-BA8F-96568BB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f129fd-5fe1-4b17-8133-7e327db796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AA8B02-A858-4514-B546-14ADEF6BF0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73E7E1-206B-4907-BC76-6B6E9DCEE118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aef129fd-5fe1-4b17-8133-7e327db796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PINHEIROS</vt:lpstr>
      <vt:lpstr>ELDORADO</vt:lpstr>
      <vt:lpstr>SAVASSI</vt:lpstr>
      <vt:lpstr>BATEL</vt:lpstr>
      <vt:lpstr>CD</vt:lpstr>
      <vt:lpstr>AVARIA PINHEIROS</vt:lpstr>
      <vt:lpstr>AVARIA ESTIMADA</vt:lpstr>
      <vt:lpstr>DECISÕES</vt:lpstr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vulto</dc:creator>
  <cp:lastModifiedBy>Pedro Pace Costa</cp:lastModifiedBy>
  <dcterms:created xsi:type="dcterms:W3CDTF">2026-09-30T18:00:00Z</dcterms:created>
  <dcterms:modified xsi:type="dcterms:W3CDTF">2026-10-19T21:27:54Z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0x010100AD71676B2CB3044BA809445BC2B77AFE</vt:lpwstr>
  </property>
</Properties>
</file>